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课题\玉米 蚜虫 文章\20170903 Frontiers 小修\20170914\Supplementary data\"/>
    </mc:Choice>
  </mc:AlternateContent>
  <bookViews>
    <workbookView xWindow="0" yWindow="0" windowWidth="25200" windowHeight="11715" activeTab="2" xr2:uid="{558131BF-DE1D-4BBB-8A7D-1A9F01DCC690}"/>
  </bookViews>
  <sheets>
    <sheet name="TPS genes" sheetId="3" r:id="rId1"/>
    <sheet name="Gene induced by aphid feeding" sheetId="1" r:id="rId2"/>
    <sheet name="DEGs of TPS between B73 &amp; Mo17" sheetId="2" r:id="rId3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I9" i="1"/>
  <c r="I8" i="1"/>
  <c r="J8" i="1" l="1"/>
  <c r="J7" i="1" l="1"/>
  <c r="I7" i="1"/>
  <c r="I4" i="1"/>
  <c r="J4" i="1"/>
  <c r="J3" i="1"/>
  <c r="I3" i="1"/>
</calcChain>
</file>

<file path=xl/sharedStrings.xml><?xml version="1.0" encoding="utf-8"?>
<sst xmlns="http://schemas.openxmlformats.org/spreadsheetml/2006/main" count="114" uniqueCount="46">
  <si>
    <t>TPS2  GRMZM2G046615</t>
  </si>
  <si>
    <t>TPS3  GRMZM2G064406</t>
  </si>
  <si>
    <t>TPS8</t>
  </si>
  <si>
    <t>TPS8  GRMZM2G038153</t>
  </si>
  <si>
    <t>Mo17 0 h</t>
  </si>
  <si>
    <t>Mo17 6 h</t>
  </si>
  <si>
    <t>Mo17 24h</t>
  </si>
  <si>
    <t>SE</t>
  </si>
  <si>
    <t>B73 0 h</t>
  </si>
  <si>
    <t>B73 6 h</t>
  </si>
  <si>
    <t>B73 24 h</t>
  </si>
  <si>
    <t>gene_short_name</t>
  </si>
  <si>
    <t>TPS1  GRMZM2G049538</t>
  </si>
  <si>
    <t>ND</t>
  </si>
  <si>
    <t>TPS5  GRMZM2G074309</t>
  </si>
  <si>
    <t>TPS6  GRMZM2G127087</t>
  </si>
  <si>
    <t>TPS7  AC217050.4_FG007</t>
  </si>
  <si>
    <t>TPS9   GRMZM2G465812</t>
  </si>
  <si>
    <t>TPS10   GRMZM2G179092</t>
  </si>
  <si>
    <t>TPS1</t>
  </si>
  <si>
    <t>TPS2</t>
  </si>
  <si>
    <t>TPS3</t>
  </si>
  <si>
    <t>TPS4</t>
  </si>
  <si>
    <t>TPS5</t>
  </si>
  <si>
    <t>TPS6</t>
  </si>
  <si>
    <t>TPS7</t>
  </si>
  <si>
    <t>TPS9</t>
  </si>
  <si>
    <t>TPS10</t>
  </si>
  <si>
    <t>ND represented no detection</t>
    <phoneticPr fontId="1" type="noConversion"/>
  </si>
  <si>
    <t>GRMZM2G030583</t>
    <phoneticPr fontId="1" type="noConversion"/>
  </si>
  <si>
    <t>Monoterpene synthase</t>
    <phoneticPr fontId="1" type="noConversion"/>
  </si>
  <si>
    <t xml:space="preserve"> 6 h</t>
    <phoneticPr fontId="1" type="noConversion"/>
  </si>
  <si>
    <t>24 h</t>
    <phoneticPr fontId="1" type="noConversion"/>
  </si>
  <si>
    <t>fold change</t>
    <phoneticPr fontId="1" type="noConversion"/>
  </si>
  <si>
    <t>Table S8. Differentially expressed volatile-related terpene bisynthesis genes between B73 and Mo17</t>
    <phoneticPr fontId="1" type="noConversion"/>
  </si>
  <si>
    <t>TPS4  GRMZM2G117319</t>
    <phoneticPr fontId="1" type="noConversion"/>
  </si>
  <si>
    <t>B73 0 h SE</t>
    <phoneticPr fontId="1" type="noConversion"/>
  </si>
  <si>
    <t>Mo17 0 h SE</t>
    <phoneticPr fontId="1" type="noConversion"/>
  </si>
  <si>
    <t>B73 6 h SE</t>
    <phoneticPr fontId="1" type="noConversion"/>
  </si>
  <si>
    <t>Mo17 6 h SE</t>
    <phoneticPr fontId="1" type="noConversion"/>
  </si>
  <si>
    <t>B73 24 h SE</t>
    <phoneticPr fontId="1" type="noConversion"/>
  </si>
  <si>
    <t>Mo17 24h SE</t>
    <phoneticPr fontId="1" type="noConversion"/>
  </si>
  <si>
    <t>TPS8  GRMZM2G038153</t>
    <phoneticPr fontId="1" type="noConversion"/>
  </si>
  <si>
    <t>TPS7  AC217050.4_FG007</t>
    <phoneticPr fontId="1" type="noConversion"/>
  </si>
  <si>
    <t>TPS3  GRMZM2G064406</t>
    <phoneticPr fontId="1" type="noConversion"/>
  </si>
  <si>
    <t>TPS2  GRMZM2G046615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</si>
</sst>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34"/>
    </font>
    <font>
      <sz val="9"/>
      <name val="Arial"/>
      <family val="2"/>
      <charset val="134"/>
    </font>
    <font>
      <b/>
      <sz val="16"/>
      <color theme="1"/>
      <name val="Arial"/>
      <family val="2"/>
    </font>
    <font>
      <sz val="11"/>
      <color rgb="FFFF0000"/>
      <name val="Arial"/>
      <family val="2"/>
      <charset val="134"/>
    </font>
    <font>
      <b/>
      <sz val="11"/>
      <color theme="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FC3D-3D9F-47C4-9BFE-CFC4CB204E10}">
  <dimension ref="A1:N14"/>
  <sheetViews>
    <sheetView workbookViewId="0">
      <selection activeCell="C36" sqref="C36"/>
    </sheetView>
  </sheetViews>
  <sheetFormatPr defaultRowHeight="14.25" x14ac:dyDescent="0.2"/>
  <cols>
    <col min="2" max="2" width="27.625" customWidth="1"/>
    <col min="3" max="8" width="9" style="2"/>
  </cols>
  <sheetData>
    <row r="1" spans="1:14" ht="20.25" x14ac:dyDescent="0.2">
      <c r="A1" s="3" t="s">
        <v>34</v>
      </c>
    </row>
    <row r="2" spans="1:14" x14ac:dyDescent="0.2">
      <c r="A2" t="s">
        <v>28</v>
      </c>
    </row>
    <row r="3" spans="1:14" s="12" customFormat="1" ht="15" x14ac:dyDescent="0.2">
      <c r="B3" s="12" t="s">
        <v>11</v>
      </c>
      <c r="C3" s="12" t="s">
        <v>8</v>
      </c>
      <c r="D3" s="12" t="s">
        <v>9</v>
      </c>
      <c r="E3" s="12" t="s">
        <v>10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7</v>
      </c>
      <c r="K3" s="12" t="s">
        <v>7</v>
      </c>
      <c r="L3" s="12" t="s">
        <v>7</v>
      </c>
      <c r="M3" s="12" t="s">
        <v>7</v>
      </c>
      <c r="N3" s="12" t="s">
        <v>7</v>
      </c>
    </row>
    <row r="4" spans="1:14" s="2" customFormat="1" x14ac:dyDescent="0.2">
      <c r="A4" s="5" t="s">
        <v>19</v>
      </c>
      <c r="B4" s="6" t="s">
        <v>12</v>
      </c>
      <c r="C4" s="2">
        <v>132.08333333333334</v>
      </c>
      <c r="D4" s="2">
        <v>84.913133333333334</v>
      </c>
      <c r="E4" s="2">
        <v>72.328566666666674</v>
      </c>
      <c r="F4" s="2">
        <v>104.89213333333332</v>
      </c>
      <c r="G4" s="2">
        <v>90.183366666666657</v>
      </c>
      <c r="H4" s="2">
        <v>91.844399999999993</v>
      </c>
      <c r="I4" s="2">
        <v>17.685682121736527</v>
      </c>
      <c r="J4" s="2">
        <v>12.077474811307942</v>
      </c>
      <c r="K4" s="2">
        <v>9.516204679446048</v>
      </c>
      <c r="L4" s="2">
        <v>13.855713640388451</v>
      </c>
      <c r="M4" s="2">
        <v>11.99941705477579</v>
      </c>
      <c r="N4" s="2">
        <v>12.266124011683608</v>
      </c>
    </row>
    <row r="5" spans="1:14" s="2" customFormat="1" x14ac:dyDescent="0.2">
      <c r="A5" s="5" t="s">
        <v>20</v>
      </c>
      <c r="B5" s="6" t="s">
        <v>0</v>
      </c>
      <c r="C5" s="2">
        <v>10.321733333333333</v>
      </c>
      <c r="D5" s="2">
        <v>8.843849999999998</v>
      </c>
      <c r="E5" s="2">
        <v>7.1658200000000001</v>
      </c>
      <c r="F5" s="2">
        <v>1.4604920000000001</v>
      </c>
      <c r="G5" s="2">
        <v>8.7434200000000004</v>
      </c>
      <c r="H5" s="2">
        <v>7.8779166666666667</v>
      </c>
      <c r="I5" s="2">
        <v>1.6415511529580156</v>
      </c>
      <c r="J5" s="2">
        <v>1.3678322770110893</v>
      </c>
      <c r="K5" s="2">
        <v>1.1915181650454738</v>
      </c>
      <c r="L5" s="2">
        <v>0.36365965550772866</v>
      </c>
      <c r="M5" s="2">
        <v>1.3450962234105532</v>
      </c>
      <c r="N5" s="2">
        <v>1.2129061057687489</v>
      </c>
    </row>
    <row r="6" spans="1:14" s="2" customFormat="1" x14ac:dyDescent="0.2">
      <c r="A6" s="5" t="s">
        <v>21</v>
      </c>
      <c r="B6" s="6" t="s">
        <v>1</v>
      </c>
      <c r="C6" s="2">
        <v>1.4429113333333332</v>
      </c>
      <c r="D6" s="2">
        <v>1.4666723333333334</v>
      </c>
      <c r="E6" s="2">
        <v>1.5919666666666668</v>
      </c>
      <c r="F6" s="2">
        <v>0.30907813333333339</v>
      </c>
      <c r="G6" s="2">
        <v>1.5195333333333334</v>
      </c>
      <c r="H6" s="2">
        <v>1.6659656666666667</v>
      </c>
      <c r="I6" s="2">
        <v>0.3824472106166345</v>
      </c>
      <c r="J6" s="2">
        <v>0.38263687018126091</v>
      </c>
      <c r="K6" s="2">
        <v>0.39712749591423552</v>
      </c>
      <c r="L6" s="2">
        <v>0.14688241181395559</v>
      </c>
      <c r="M6" s="2">
        <v>0.37576553595441847</v>
      </c>
      <c r="N6" s="2">
        <v>0.39798861384313233</v>
      </c>
    </row>
    <row r="7" spans="1:14" s="2" customFormat="1" x14ac:dyDescent="0.2">
      <c r="A7" s="5" t="s">
        <v>22</v>
      </c>
      <c r="B7" s="6" t="s">
        <v>35</v>
      </c>
      <c r="C7" s="2">
        <v>8.5519666666666661E-2</v>
      </c>
      <c r="D7" s="2">
        <v>8.0824033333333337E-2</v>
      </c>
      <c r="E7" s="2">
        <v>8.1497100000000003E-2</v>
      </c>
      <c r="F7" s="2" t="s">
        <v>13</v>
      </c>
      <c r="G7" s="2" t="s">
        <v>13</v>
      </c>
      <c r="H7" s="2" t="s">
        <v>13</v>
      </c>
      <c r="I7" s="2">
        <v>5.8107452454722E-2</v>
      </c>
      <c r="J7" s="2">
        <v>5.5845473341782852E-2</v>
      </c>
      <c r="K7" s="2">
        <v>5.7326977800246891E-2</v>
      </c>
      <c r="L7" s="2" t="s">
        <v>13</v>
      </c>
      <c r="M7" s="2" t="s">
        <v>13</v>
      </c>
      <c r="N7" s="2" t="s">
        <v>13</v>
      </c>
    </row>
    <row r="8" spans="1:14" s="2" customFormat="1" x14ac:dyDescent="0.2">
      <c r="A8" s="5" t="s">
        <v>23</v>
      </c>
      <c r="B8" s="6" t="s">
        <v>14</v>
      </c>
      <c r="C8" s="2">
        <v>0</v>
      </c>
      <c r="D8" s="2">
        <v>5.6969866666666667E-2</v>
      </c>
      <c r="E8" s="2">
        <v>0</v>
      </c>
      <c r="F8" s="2" t="s">
        <v>13</v>
      </c>
      <c r="G8" s="2" t="s">
        <v>13</v>
      </c>
      <c r="H8" s="2" t="s">
        <v>13</v>
      </c>
      <c r="I8" s="2">
        <v>0</v>
      </c>
      <c r="J8" s="2">
        <v>3.8968860667004938E-2</v>
      </c>
      <c r="K8" s="2">
        <v>0</v>
      </c>
      <c r="L8" s="2" t="s">
        <v>13</v>
      </c>
      <c r="M8" s="2" t="s">
        <v>13</v>
      </c>
      <c r="N8" s="2" t="s">
        <v>13</v>
      </c>
    </row>
    <row r="9" spans="1:14" s="2" customFormat="1" x14ac:dyDescent="0.2">
      <c r="A9" s="5" t="s">
        <v>24</v>
      </c>
      <c r="B9" s="6" t="s">
        <v>15</v>
      </c>
      <c r="C9" s="2">
        <v>5.3657866666666665E-2</v>
      </c>
      <c r="D9" s="2">
        <v>7.91433E-2</v>
      </c>
      <c r="E9" s="2">
        <v>0.15186866666666665</v>
      </c>
      <c r="F9" s="2">
        <v>0</v>
      </c>
      <c r="G9" s="2">
        <v>5.4548266666666657E-2</v>
      </c>
      <c r="H9" s="2">
        <v>5.4675399999999992E-2</v>
      </c>
      <c r="I9" s="2">
        <v>4.7704989271749945E-2</v>
      </c>
      <c r="J9" s="2">
        <v>5.6030959212653143E-2</v>
      </c>
      <c r="K9" s="2">
        <v>9.4398239553382446E-2</v>
      </c>
      <c r="L9" s="2">
        <v>0</v>
      </c>
      <c r="M9" s="2">
        <v>4.8135209888442831E-2</v>
      </c>
      <c r="N9" s="2">
        <v>4.8071620076298664E-2</v>
      </c>
    </row>
    <row r="10" spans="1:14" s="2" customFormat="1" x14ac:dyDescent="0.2">
      <c r="A10" s="5" t="s">
        <v>25</v>
      </c>
      <c r="B10" s="6" t="s">
        <v>16</v>
      </c>
      <c r="C10" s="2">
        <v>12.040993333333333</v>
      </c>
      <c r="D10" s="2">
        <v>15.368099999999998</v>
      </c>
      <c r="E10" s="2">
        <v>14.763833333333332</v>
      </c>
      <c r="F10" s="2">
        <v>51.633766666666666</v>
      </c>
      <c r="G10" s="2">
        <v>69.745233333333331</v>
      </c>
      <c r="H10" s="2">
        <v>72.51733333333334</v>
      </c>
      <c r="I10" s="2">
        <v>1.7461439276429807</v>
      </c>
      <c r="J10" s="2">
        <v>2.134175270059453</v>
      </c>
      <c r="K10" s="2">
        <v>2.0625549692338154</v>
      </c>
      <c r="L10" s="2">
        <v>6.7099936960560091</v>
      </c>
      <c r="M10" s="2">
        <v>9.0607330520830853</v>
      </c>
      <c r="N10" s="2">
        <v>9.5698405194536722</v>
      </c>
    </row>
    <row r="11" spans="1:14" s="2" customFormat="1" x14ac:dyDescent="0.2">
      <c r="A11" s="5" t="s">
        <v>2</v>
      </c>
      <c r="B11" s="6" t="s">
        <v>3</v>
      </c>
      <c r="C11" s="2">
        <v>1.1927506666666667</v>
      </c>
      <c r="D11" s="2">
        <v>3.5014500000000002</v>
      </c>
      <c r="E11" s="2">
        <v>2.5233433333333335</v>
      </c>
      <c r="F11" s="2">
        <v>0</v>
      </c>
      <c r="G11" s="2">
        <v>0</v>
      </c>
      <c r="H11" s="2">
        <v>8.3041199999999996E-2</v>
      </c>
      <c r="I11" s="2">
        <v>0.31643933169004823</v>
      </c>
      <c r="J11" s="2">
        <v>0.65954185351146133</v>
      </c>
      <c r="K11" s="2">
        <v>0.52517801211694959</v>
      </c>
      <c r="L11" s="2">
        <v>0</v>
      </c>
      <c r="M11" s="2">
        <v>0</v>
      </c>
      <c r="N11" s="2">
        <v>5.704138061302514E-2</v>
      </c>
    </row>
    <row r="12" spans="1:14" s="2" customFormat="1" x14ac:dyDescent="0.2">
      <c r="A12" s="1" t="s">
        <v>26</v>
      </c>
      <c r="B12" s="4" t="s">
        <v>17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13</v>
      </c>
      <c r="M12" s="2" t="s">
        <v>13</v>
      </c>
      <c r="N12" s="2" t="s">
        <v>13</v>
      </c>
    </row>
    <row r="13" spans="1:14" s="2" customFormat="1" x14ac:dyDescent="0.2">
      <c r="A13" s="1" t="s">
        <v>27</v>
      </c>
      <c r="B13" s="4" t="s">
        <v>18</v>
      </c>
      <c r="C13" s="2">
        <v>3.1799266666666668</v>
      </c>
      <c r="D13" s="2">
        <v>0.50944833333333339</v>
      </c>
      <c r="E13" s="2">
        <v>1.8066623333333334</v>
      </c>
      <c r="F13" s="2">
        <v>0</v>
      </c>
      <c r="G13" s="2">
        <v>0.174871</v>
      </c>
      <c r="H13" s="2">
        <v>0.15912633333333334</v>
      </c>
      <c r="I13" s="2">
        <v>0.72089975337151546</v>
      </c>
      <c r="J13" s="2">
        <v>0.20201976666680693</v>
      </c>
      <c r="K13" s="2">
        <v>0.53031152203408805</v>
      </c>
      <c r="L13" s="2">
        <v>0</v>
      </c>
      <c r="M13" s="2">
        <v>0.10498064327452625</v>
      </c>
      <c r="N13" s="2">
        <v>9.4208492144344985E-2</v>
      </c>
    </row>
    <row r="14" spans="1:14" x14ac:dyDescent="0.2">
      <c r="A14" t="s">
        <v>30</v>
      </c>
      <c r="B14" s="4" t="s">
        <v>29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13</v>
      </c>
      <c r="K14" s="2" t="s">
        <v>13</v>
      </c>
      <c r="L14" s="2" t="s">
        <v>13</v>
      </c>
      <c r="M14" s="2" t="s">
        <v>13</v>
      </c>
      <c r="N14" s="2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88D8-90F1-4C92-9A0E-A764BE0E9556}">
  <dimension ref="A1:J9"/>
  <sheetViews>
    <sheetView workbookViewId="0">
      <selection activeCell="I9" sqref="I9:J9"/>
    </sheetView>
  </sheetViews>
  <sheetFormatPr defaultRowHeight="14.25" x14ac:dyDescent="0.2"/>
  <cols>
    <col min="1" max="1" width="27.25" customWidth="1"/>
  </cols>
  <sheetData>
    <row r="1" spans="1:10" ht="20.25" x14ac:dyDescent="0.2">
      <c r="A1" s="3" t="s">
        <v>34</v>
      </c>
    </row>
    <row r="2" spans="1:10" s="10" customFormat="1" ht="15.75" x14ac:dyDescent="0.2">
      <c r="B2" s="11" t="s">
        <v>4</v>
      </c>
      <c r="C2" s="11" t="s">
        <v>5</v>
      </c>
      <c r="D2" s="11" t="s">
        <v>6</v>
      </c>
      <c r="E2" s="10" t="s">
        <v>7</v>
      </c>
      <c r="F2" s="10" t="s">
        <v>7</v>
      </c>
      <c r="G2" s="10" t="s">
        <v>7</v>
      </c>
      <c r="H2" s="10" t="s">
        <v>33</v>
      </c>
      <c r="I2" s="11" t="s">
        <v>31</v>
      </c>
      <c r="J2" s="10" t="s">
        <v>32</v>
      </c>
    </row>
    <row r="3" spans="1:10" x14ac:dyDescent="0.2">
      <c r="A3" t="s">
        <v>0</v>
      </c>
      <c r="B3">
        <v>1.4604920000000001</v>
      </c>
      <c r="C3">
        <v>8.7434200000000004</v>
      </c>
      <c r="D3">
        <v>7.8779166666666667</v>
      </c>
      <c r="E3">
        <v>0.36365965550772866</v>
      </c>
      <c r="F3">
        <v>1.3450962234105532</v>
      </c>
      <c r="G3">
        <v>1.2129061057687489</v>
      </c>
      <c r="I3">
        <f>C3/B3</f>
        <v>5.9866264245199563</v>
      </c>
      <c r="J3">
        <f>D3/B3</f>
        <v>5.3940156239586834</v>
      </c>
    </row>
    <row r="4" spans="1:10" x14ac:dyDescent="0.2">
      <c r="A4" t="s">
        <v>1</v>
      </c>
      <c r="B4">
        <v>0.30907813333333339</v>
      </c>
      <c r="C4">
        <v>1.5195333333333334</v>
      </c>
      <c r="D4">
        <v>1.6659656666666667</v>
      </c>
      <c r="E4">
        <v>0.14688241181395559</v>
      </c>
      <c r="F4">
        <v>0.37576553595441847</v>
      </c>
      <c r="G4">
        <v>0.39798861384313233</v>
      </c>
      <c r="I4">
        <f>C4/B4</f>
        <v>4.9163404636411236</v>
      </c>
      <c r="J4">
        <f>D4/B4</f>
        <v>5.3901117128527574</v>
      </c>
    </row>
    <row r="6" spans="1:10" s="10" customFormat="1" ht="15.75" x14ac:dyDescent="0.2">
      <c r="B6" s="10" t="s">
        <v>8</v>
      </c>
      <c r="C6" s="10" t="s">
        <v>9</v>
      </c>
      <c r="D6" s="10" t="s">
        <v>10</v>
      </c>
      <c r="E6" s="10" t="s">
        <v>7</v>
      </c>
      <c r="F6" s="10" t="s">
        <v>7</v>
      </c>
      <c r="G6" s="10" t="s">
        <v>7</v>
      </c>
      <c r="I6" s="11" t="s">
        <v>31</v>
      </c>
      <c r="J6" s="10" t="s">
        <v>32</v>
      </c>
    </row>
    <row r="7" spans="1:10" x14ac:dyDescent="0.2">
      <c r="A7" t="s">
        <v>3</v>
      </c>
      <c r="B7">
        <v>1.1927506666666667</v>
      </c>
      <c r="C7">
        <v>3.5014500000000002</v>
      </c>
      <c r="D7">
        <v>2.5233433333333335</v>
      </c>
      <c r="E7">
        <v>0.31643933169004823</v>
      </c>
      <c r="F7">
        <v>0.65954185351146133</v>
      </c>
      <c r="G7">
        <v>0.52517801211694959</v>
      </c>
      <c r="I7">
        <f>C7/B7</f>
        <v>2.9356093422151375</v>
      </c>
      <c r="J7">
        <f>D7/B7</f>
        <v>2.1155664832996668</v>
      </c>
    </row>
    <row r="8" spans="1:10" x14ac:dyDescent="0.2">
      <c r="A8" s="4" t="s">
        <v>18</v>
      </c>
      <c r="B8" s="2">
        <v>3.1799266666666668</v>
      </c>
      <c r="C8" s="2">
        <v>0.50944833333333339</v>
      </c>
      <c r="D8" s="2">
        <v>1.8066623333333334</v>
      </c>
      <c r="E8">
        <v>0.72089975337151546</v>
      </c>
      <c r="F8">
        <v>0.20201976666680693</v>
      </c>
      <c r="G8">
        <v>0.53031152203408805</v>
      </c>
      <c r="I8">
        <f>C8/B8</f>
        <v>0.16020757292096885</v>
      </c>
      <c r="J8">
        <f>D8/B8</f>
        <v>0.56814591112164015</v>
      </c>
    </row>
    <row r="9" spans="1:10" x14ac:dyDescent="0.2">
      <c r="I9" s="14">
        <f>1-I8</f>
        <v>0.83979242707903112</v>
      </c>
      <c r="J9" s="14">
        <f>1-J8</f>
        <v>0.43185408887835985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6C78-E62C-401A-9ED3-AB6807613C7B}">
  <dimension ref="A1:M8"/>
  <sheetViews>
    <sheetView tabSelected="1" workbookViewId="0">
      <selection activeCell="J8" sqref="J8:K8"/>
    </sheetView>
  </sheetViews>
  <sheetFormatPr defaultRowHeight="14.25" x14ac:dyDescent="0.2"/>
  <cols>
    <col min="1" max="1" width="23.625" customWidth="1"/>
    <col min="2" max="7" width="14.375" style="2" customWidth="1"/>
    <col min="8" max="13" width="14.375" customWidth="1"/>
  </cols>
  <sheetData>
    <row r="1" spans="1:13" ht="20.25" x14ac:dyDescent="0.2">
      <c r="A1" s="3" t="s">
        <v>34</v>
      </c>
    </row>
    <row r="2" spans="1:13" ht="20.25" x14ac:dyDescent="0.2">
      <c r="A2" s="3"/>
    </row>
    <row r="3" spans="1:13" s="8" customFormat="1" ht="15" x14ac:dyDescent="0.2">
      <c r="A3" s="8" t="s">
        <v>11</v>
      </c>
      <c r="B3" s="8" t="s">
        <v>8</v>
      </c>
      <c r="C3" s="8" t="s">
        <v>4</v>
      </c>
      <c r="D3" s="9" t="s">
        <v>36</v>
      </c>
      <c r="E3" s="9" t="s">
        <v>37</v>
      </c>
      <c r="F3" s="8" t="s">
        <v>9</v>
      </c>
      <c r="G3" s="8" t="s">
        <v>5</v>
      </c>
      <c r="H3" s="9" t="s">
        <v>38</v>
      </c>
      <c r="I3" s="9" t="s">
        <v>39</v>
      </c>
      <c r="J3" s="8" t="s">
        <v>10</v>
      </c>
      <c r="K3" s="8" t="s">
        <v>6</v>
      </c>
      <c r="L3" s="9" t="s">
        <v>40</v>
      </c>
      <c r="M3" s="9" t="s">
        <v>41</v>
      </c>
    </row>
    <row r="4" spans="1:13" s="5" customFormat="1" x14ac:dyDescent="0.2">
      <c r="A4" s="5" t="s">
        <v>45</v>
      </c>
      <c r="B4" s="13">
        <v>10.321733333333333</v>
      </c>
      <c r="C4" s="13">
        <v>1.4604920000000001</v>
      </c>
      <c r="D4" s="7">
        <v>1.6415511529580156</v>
      </c>
      <c r="E4" s="7">
        <v>1.1915181650454738</v>
      </c>
      <c r="F4" s="5">
        <v>8.843849999999998</v>
      </c>
      <c r="G4" s="5">
        <v>8.7434200000000004</v>
      </c>
      <c r="H4" s="7">
        <v>1.3678322770110893</v>
      </c>
      <c r="I4" s="7">
        <v>1.3450962234105532</v>
      </c>
      <c r="J4" s="5">
        <v>7.1658200000000001</v>
      </c>
      <c r="K4" s="5">
        <v>7.8779166666666667</v>
      </c>
      <c r="L4" s="7">
        <v>1.1915181650454738</v>
      </c>
      <c r="M4" s="7">
        <v>1.2129061057687489</v>
      </c>
    </row>
    <row r="5" spans="1:13" s="5" customFormat="1" x14ac:dyDescent="0.2">
      <c r="A5" s="5" t="s">
        <v>44</v>
      </c>
      <c r="B5" s="13">
        <v>1.4429113333333332</v>
      </c>
      <c r="C5" s="13">
        <v>0.30907813333333339</v>
      </c>
      <c r="D5" s="7">
        <v>0.3824472106166345</v>
      </c>
      <c r="E5" s="7">
        <v>0.39712749591423552</v>
      </c>
      <c r="F5" s="5">
        <v>1.4666723333333334</v>
      </c>
      <c r="G5" s="5">
        <v>1.5195333333333334</v>
      </c>
      <c r="H5" s="7">
        <v>0.38263687018126091</v>
      </c>
      <c r="I5" s="7">
        <v>0.37576553595441847</v>
      </c>
      <c r="J5" s="5">
        <v>1.5919666666666668</v>
      </c>
      <c r="K5" s="5">
        <v>1.6659656666666667</v>
      </c>
      <c r="L5" s="7">
        <v>0.39712749591423552</v>
      </c>
      <c r="M5" s="7">
        <v>0.39798861384313233</v>
      </c>
    </row>
    <row r="6" spans="1:13" s="5" customFormat="1" x14ac:dyDescent="0.2">
      <c r="A6" s="5" t="s">
        <v>43</v>
      </c>
      <c r="B6" s="13">
        <v>12.040993333333333</v>
      </c>
      <c r="C6" s="13">
        <v>51.633766666666666</v>
      </c>
      <c r="D6" s="7">
        <v>1.7461439276429807</v>
      </c>
      <c r="E6" s="7">
        <v>2.0625549692338154</v>
      </c>
      <c r="F6" s="13">
        <v>15.368099999999998</v>
      </c>
      <c r="G6" s="13">
        <v>69.745233333333331</v>
      </c>
      <c r="H6" s="7">
        <v>2.134175270059453</v>
      </c>
      <c r="I6" s="7">
        <v>9.0607330520830853</v>
      </c>
      <c r="J6" s="13">
        <v>14.763833333333332</v>
      </c>
      <c r="K6" s="13">
        <v>72.51733333333334</v>
      </c>
      <c r="L6" s="7">
        <v>2.0625549692338154</v>
      </c>
      <c r="M6" s="7">
        <v>9.5698405194536722</v>
      </c>
    </row>
    <row r="7" spans="1:13" s="5" customFormat="1" x14ac:dyDescent="0.2">
      <c r="A7" s="5" t="s">
        <v>42</v>
      </c>
      <c r="B7" s="13">
        <v>1.1927506666666667</v>
      </c>
      <c r="C7" s="13">
        <v>0</v>
      </c>
      <c r="D7" s="7">
        <v>0.31643933169004823</v>
      </c>
      <c r="E7" s="7">
        <v>0.52517801211694959</v>
      </c>
      <c r="F7" s="13">
        <v>3.5014500000000002</v>
      </c>
      <c r="G7" s="13">
        <v>0</v>
      </c>
      <c r="H7" s="7">
        <v>0.65954185351146133</v>
      </c>
      <c r="I7" s="7">
        <v>0</v>
      </c>
      <c r="J7" s="5">
        <v>2.5233433333333335</v>
      </c>
      <c r="K7" s="5">
        <v>8.3041199999999996E-2</v>
      </c>
      <c r="L7" s="7">
        <v>0.52517801211694959</v>
      </c>
      <c r="M7" s="7">
        <v>5.704138061302514E-2</v>
      </c>
    </row>
    <row r="8" spans="1:13" s="5" customFormat="1" x14ac:dyDescent="0.2">
      <c r="A8" s="5" t="s">
        <v>18</v>
      </c>
      <c r="B8" s="13">
        <v>3.1799266666666668</v>
      </c>
      <c r="C8" s="13">
        <v>0</v>
      </c>
      <c r="D8" s="7">
        <v>0.72089975337151546</v>
      </c>
      <c r="E8" s="7">
        <v>0.53031152203408805</v>
      </c>
      <c r="F8" s="5">
        <v>0.50944833333333339</v>
      </c>
      <c r="G8" s="5">
        <v>0.174871</v>
      </c>
      <c r="H8" s="7">
        <v>0.20201976666680693</v>
      </c>
      <c r="I8" s="7">
        <v>0.10498064327452625</v>
      </c>
      <c r="J8" s="13">
        <v>1.8066623333333334</v>
      </c>
      <c r="K8" s="13">
        <v>0.15912633333333334</v>
      </c>
      <c r="L8" s="7">
        <v>0.53031152203408805</v>
      </c>
      <c r="M8" s="7">
        <v>9.4208492144344985E-2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0156C8ACEF944B083A200EE5CE9F0" ma:contentTypeVersion="7" ma:contentTypeDescription="Create a new document." ma:contentTypeScope="" ma:versionID="9a3eeddc7f9364600683c4e53f127ed9">
  <xsd:schema xmlns:xsd="http://www.w3.org/2001/XMLSchema" xmlns:p="http://schemas.microsoft.com/office/2006/metadata/properties" xmlns:ns2="c9a61552-4ef7-4f28-96d6-ad85a0258266" targetNamespace="http://schemas.microsoft.com/office/2006/metadata/properties" ma:root="true" ma:fieldsID="4190d27311c5547b1d1a21254d037156" ns2:_="">
    <xsd:import namespace="c9a61552-4ef7-4f28-96d6-ad85a0258266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c9a61552-4ef7-4f28-96d6-ad85a0258266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StageName xmlns="c9a61552-4ef7-4f28-96d6-ad85a0258266" xsi:nil="true"/>
    <Checked_x0020_Out_x0020_To xmlns="c9a61552-4ef7-4f28-96d6-ad85a0258266">
      <UserInfo>
        <DisplayName/>
        <AccountId xsi:nil="true"/>
        <AccountType/>
      </UserInfo>
    </Checked_x0020_Out_x0020_To>
    <DocumentId xmlns="c9a61552-4ef7-4f28-96d6-ad85a0258266">Table 8.XLSX</DocumentId>
    <FileFormat xmlns="c9a61552-4ef7-4f28-96d6-ad85a0258266">XLSX</FileFormat>
    <IsDeleted xmlns="c9a61552-4ef7-4f28-96d6-ad85a0258266">false</IsDeleted>
    <TitleName xmlns="c9a61552-4ef7-4f28-96d6-ad85a0258266">Table 8.XLSX</TitleName>
    <DocumentType xmlns="c9a61552-4ef7-4f28-96d6-ad85a0258266">Table</DocumentType>
  </documentManagement>
</p:properties>
</file>

<file path=customXml/itemProps1.xml><?xml version="1.0" encoding="utf-8"?>
<ds:datastoreItem xmlns:ds="http://schemas.openxmlformats.org/officeDocument/2006/customXml" ds:itemID="{B4B508B8-5059-486B-8F00-D3198DB35092}"/>
</file>

<file path=customXml/itemProps2.xml><?xml version="1.0" encoding="utf-8"?>
<ds:datastoreItem xmlns:ds="http://schemas.openxmlformats.org/officeDocument/2006/customXml" ds:itemID="{3D5FEDC0-1ED2-47DB-9535-9B12FF416465}"/>
</file>

<file path=customXml/itemProps3.xml><?xml version="1.0" encoding="utf-8"?>
<ds:datastoreItem xmlns:ds="http://schemas.openxmlformats.org/officeDocument/2006/customXml" ds:itemID="{0EAE80DF-8709-4177-B70D-BCB79BEDA3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TPS genes</vt:lpstr>
      <vt:lpstr>Gene induced by aphid feeding</vt:lpstr>
      <vt:lpstr>DEGs of TPS between B73 &amp; Mo17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Juan</dc:creator>
  <cp:lastModifiedBy>Song Juan</cp:lastModifiedBy>
  <dcterms:created xsi:type="dcterms:W3CDTF">2017-09-06T13:55:24Z</dcterms:created>
  <dcterms:modified xsi:type="dcterms:W3CDTF">2017-09-14T07:31:41Z</dcterms:modified>
</cp:coreProperties>
</file>