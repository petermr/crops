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/>
  <mc:AlternateContent xmlns:mc="http://schemas.openxmlformats.org/markup-compatibility/2006">
    <mc:Choice Requires="x15">
      <x15ac:absPath xmlns:x15ac="http://schemas.microsoft.com/office/spreadsheetml/2010/11/ac" url="E:\课题\玉米 蚜虫 文章\20170327 PJ 拒稿后\20170301 supplementary data-PJ\"/>
    </mc:Choice>
  </mc:AlternateContent>
  <bookViews>
    <workbookView xWindow="13920" yWindow="4350" windowWidth="25440" windowHeight="15960" firstSheet="11" activeTab="14"/>
  </bookViews>
  <sheets>
    <sheet name="B73 and Mo17" sheetId="3" r:id="rId1"/>
    <sheet name="B73 6 h" sheetId="4" r:id="rId2"/>
    <sheet name="B73 24 h" sheetId="5" r:id="rId3"/>
    <sheet name="Mo17 6 h" sheetId="6" r:id="rId4"/>
    <sheet name="Mo17 24 h" sheetId="7" r:id="rId5"/>
    <sheet name="up-regulated in B73 6 h" sheetId="9" r:id="rId6"/>
    <sheet name="up-regulated in B73 24 h" sheetId="11" r:id="rId7"/>
    <sheet name="up-regulated in Mo17 6 h" sheetId="10" r:id="rId8"/>
    <sheet name="up-regulated in Mo17 24 h" sheetId="12" r:id="rId9"/>
    <sheet name="down-regulated in B73 6h" sheetId="13" r:id="rId10"/>
    <sheet name="down-regulated in B73 24 h" sheetId="14" r:id="rId11"/>
    <sheet name="down-regulated in Mo17 6 h" sheetId="15" r:id="rId12"/>
    <sheet name="down-regulated in Mo17 24 h" sheetId="16" r:id="rId13"/>
    <sheet name="B73 Mo17 6 h" sheetId="19" r:id="rId14"/>
    <sheet name="B73 Mo17 24 h" sheetId="20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1" hidden="1">'B73 6 h'!$L$1:$M$1</definedName>
    <definedName name="_xlnm._FilterDatabase" localSheetId="0" hidden="1">'B73 and Mo17'!$A$10:$J$10</definedName>
    <definedName name="_xlnm._FilterDatabase" localSheetId="11" hidden="1">'down-regulated in Mo17 6 h'!$A$4:$I$300</definedName>
    <definedName name="_xlnm._FilterDatabase" localSheetId="8" hidden="1">'up-regulated in Mo17 24 h'!$A$4:$I$214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20" l="1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3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87" i="20"/>
  <c r="B288" i="20"/>
  <c r="B289" i="20"/>
  <c r="B290" i="20"/>
  <c r="B291" i="20"/>
  <c r="B292" i="20"/>
  <c r="B293" i="20"/>
  <c r="B294" i="20"/>
  <c r="B295" i="20"/>
  <c r="B296" i="20"/>
  <c r="B297" i="20"/>
  <c r="B298" i="20"/>
  <c r="B299" i="20"/>
  <c r="B300" i="20"/>
  <c r="B301" i="20"/>
  <c r="B302" i="20"/>
  <c r="B303" i="20"/>
  <c r="B304" i="20"/>
  <c r="B305" i="20"/>
  <c r="B306" i="20"/>
  <c r="B307" i="20"/>
  <c r="B308" i="20"/>
  <c r="B309" i="20"/>
  <c r="B310" i="20"/>
  <c r="B311" i="20"/>
  <c r="B312" i="20"/>
  <c r="B313" i="20"/>
  <c r="B314" i="20"/>
  <c r="B315" i="20"/>
  <c r="B316" i="20"/>
  <c r="B317" i="20"/>
  <c r="B318" i="20"/>
  <c r="B319" i="20"/>
  <c r="B320" i="20"/>
  <c r="B321" i="20"/>
  <c r="B322" i="20"/>
  <c r="B323" i="20"/>
  <c r="B324" i="20"/>
  <c r="B325" i="20"/>
  <c r="B326" i="20"/>
  <c r="B327" i="20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46" i="20"/>
  <c r="B347" i="20"/>
  <c r="B348" i="20"/>
  <c r="B349" i="20"/>
  <c r="B350" i="20"/>
  <c r="B351" i="20"/>
  <c r="B352" i="20"/>
  <c r="B353" i="20"/>
  <c r="B354" i="20"/>
  <c r="B355" i="20"/>
  <c r="B356" i="20"/>
  <c r="B357" i="20"/>
  <c r="B358" i="20"/>
  <c r="B359" i="20"/>
  <c r="B360" i="20"/>
  <c r="B361" i="20"/>
  <c r="B362" i="20"/>
  <c r="B363" i="20"/>
  <c r="B364" i="20"/>
  <c r="B365" i="20"/>
  <c r="B366" i="20"/>
  <c r="B367" i="20"/>
  <c r="B368" i="20"/>
  <c r="B369" i="20"/>
  <c r="B370" i="20"/>
  <c r="B371" i="20"/>
  <c r="B372" i="20"/>
  <c r="B373" i="20"/>
  <c r="B374" i="20"/>
  <c r="B375" i="20"/>
  <c r="B376" i="20"/>
  <c r="B377" i="20"/>
  <c r="B378" i="20"/>
  <c r="B379" i="20"/>
  <c r="B380" i="20"/>
  <c r="B381" i="20"/>
  <c r="B382" i="20"/>
  <c r="B383" i="20"/>
  <c r="B384" i="20"/>
  <c r="B385" i="20"/>
  <c r="B386" i="20"/>
  <c r="B387" i="20"/>
  <c r="B388" i="20"/>
  <c r="B389" i="20"/>
  <c r="B390" i="20"/>
  <c r="B391" i="20"/>
  <c r="B392" i="20"/>
  <c r="B393" i="20"/>
  <c r="B394" i="20"/>
  <c r="B395" i="20"/>
  <c r="B396" i="20"/>
  <c r="B397" i="20"/>
  <c r="B398" i="20"/>
  <c r="B399" i="20"/>
  <c r="B400" i="20"/>
  <c r="B401" i="20"/>
  <c r="B402" i="20"/>
  <c r="B403" i="20"/>
  <c r="B404" i="20"/>
  <c r="B405" i="20"/>
  <c r="B406" i="20"/>
  <c r="B407" i="20"/>
  <c r="B408" i="20"/>
  <c r="B409" i="20"/>
  <c r="B410" i="20"/>
  <c r="B411" i="20"/>
  <c r="B412" i="20"/>
  <c r="B413" i="20"/>
  <c r="B414" i="20"/>
  <c r="B415" i="20"/>
  <c r="B416" i="20"/>
  <c r="B417" i="20"/>
  <c r="B418" i="20"/>
  <c r="B419" i="20"/>
  <c r="B420" i="20"/>
  <c r="B421" i="20"/>
  <c r="B422" i="20"/>
  <c r="B423" i="20"/>
  <c r="B424" i="20"/>
  <c r="B425" i="20"/>
  <c r="B426" i="20"/>
  <c r="B427" i="20"/>
  <c r="B428" i="20"/>
  <c r="B429" i="20"/>
  <c r="B430" i="20"/>
  <c r="B431" i="20"/>
  <c r="B432" i="20"/>
  <c r="B433" i="20"/>
  <c r="B434" i="20"/>
  <c r="B435" i="20"/>
  <c r="B436" i="20"/>
  <c r="B437" i="20"/>
  <c r="B438" i="20"/>
  <c r="B439" i="20"/>
  <c r="B440" i="20"/>
  <c r="B441" i="20"/>
  <c r="B442" i="20"/>
  <c r="B443" i="20"/>
  <c r="B444" i="20"/>
  <c r="B445" i="20"/>
  <c r="B446" i="20"/>
  <c r="B447" i="20"/>
  <c r="B448" i="20"/>
  <c r="B449" i="20"/>
  <c r="B450" i="20"/>
  <c r="B451" i="20"/>
  <c r="B452" i="20"/>
  <c r="B453" i="20"/>
  <c r="B454" i="20"/>
  <c r="B455" i="20"/>
  <c r="B456" i="20"/>
  <c r="B457" i="20"/>
  <c r="B458" i="20"/>
  <c r="B459" i="20"/>
  <c r="B460" i="20"/>
  <c r="B461" i="20"/>
  <c r="B462" i="20"/>
  <c r="B463" i="20"/>
  <c r="B464" i="20"/>
  <c r="B465" i="20"/>
  <c r="B466" i="20"/>
  <c r="B467" i="20"/>
  <c r="B468" i="20"/>
  <c r="B469" i="20"/>
  <c r="B470" i="20"/>
  <c r="B471" i="20"/>
  <c r="B472" i="20"/>
  <c r="B473" i="20"/>
  <c r="B474" i="20"/>
  <c r="B475" i="20"/>
  <c r="B476" i="20"/>
  <c r="B477" i="20"/>
  <c r="B478" i="20"/>
  <c r="B479" i="20"/>
  <c r="B480" i="20"/>
  <c r="B481" i="20"/>
  <c r="B482" i="20"/>
  <c r="B483" i="20"/>
  <c r="B484" i="20"/>
  <c r="B485" i="20"/>
  <c r="B486" i="20"/>
  <c r="B487" i="20"/>
  <c r="B488" i="20"/>
  <c r="B489" i="20"/>
  <c r="B490" i="20"/>
  <c r="B491" i="20"/>
  <c r="B492" i="20"/>
  <c r="B493" i="20"/>
  <c r="B494" i="20"/>
  <c r="B495" i="20"/>
  <c r="B496" i="20"/>
  <c r="B497" i="20"/>
  <c r="B498" i="20"/>
  <c r="B499" i="20"/>
  <c r="B500" i="20"/>
  <c r="B501" i="20"/>
  <c r="B502" i="20"/>
  <c r="B503" i="20"/>
  <c r="B504" i="20"/>
  <c r="B505" i="20"/>
  <c r="B506" i="20"/>
  <c r="B507" i="20"/>
  <c r="B508" i="20"/>
  <c r="B509" i="20"/>
  <c r="B510" i="20"/>
  <c r="B511" i="20"/>
  <c r="B512" i="20"/>
  <c r="B513" i="20"/>
  <c r="B514" i="20"/>
  <c r="B515" i="20"/>
  <c r="B516" i="20"/>
  <c r="B517" i="20"/>
  <c r="B518" i="20"/>
  <c r="B519" i="20"/>
  <c r="B520" i="20"/>
  <c r="B521" i="20"/>
  <c r="B522" i="20"/>
  <c r="B523" i="20"/>
  <c r="B524" i="20"/>
  <c r="B525" i="20"/>
  <c r="B526" i="20"/>
  <c r="B527" i="20"/>
  <c r="B528" i="20"/>
  <c r="B529" i="20"/>
  <c r="B530" i="20"/>
  <c r="B531" i="20"/>
  <c r="B532" i="20"/>
  <c r="B533" i="20"/>
  <c r="B534" i="20"/>
  <c r="B535" i="20"/>
  <c r="B536" i="20"/>
  <c r="B537" i="20"/>
  <c r="B538" i="20"/>
  <c r="B539" i="20"/>
  <c r="B540" i="20"/>
  <c r="B541" i="20"/>
  <c r="B542" i="20"/>
  <c r="B543" i="20"/>
  <c r="B544" i="20"/>
  <c r="B545" i="20"/>
  <c r="B546" i="20"/>
  <c r="B547" i="20"/>
  <c r="B548" i="20"/>
  <c r="B549" i="20"/>
  <c r="B550" i="20"/>
  <c r="B551" i="20"/>
  <c r="B552" i="20"/>
  <c r="B553" i="20"/>
  <c r="B554" i="20"/>
  <c r="B555" i="20"/>
  <c r="B556" i="20"/>
  <c r="B557" i="20"/>
  <c r="B558" i="20"/>
  <c r="B559" i="20"/>
  <c r="B560" i="20"/>
  <c r="B561" i="20"/>
  <c r="B562" i="20"/>
  <c r="B563" i="20"/>
  <c r="B564" i="20"/>
  <c r="B565" i="20"/>
  <c r="B566" i="20"/>
  <c r="B567" i="20"/>
  <c r="B568" i="20"/>
  <c r="B569" i="20"/>
  <c r="B3" i="20"/>
  <c r="I4" i="19" l="1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289" i="19"/>
  <c r="I290" i="19"/>
  <c r="I291" i="19"/>
  <c r="I292" i="19"/>
  <c r="I293" i="19"/>
  <c r="I294" i="19"/>
  <c r="I295" i="19"/>
  <c r="I296" i="19"/>
  <c r="I297" i="19"/>
  <c r="I298" i="19"/>
  <c r="I299" i="19"/>
  <c r="I300" i="19"/>
  <c r="I301" i="19"/>
  <c r="I302" i="19"/>
  <c r="I303" i="19"/>
  <c r="I304" i="19"/>
  <c r="I305" i="19"/>
  <c r="I306" i="19"/>
  <c r="I307" i="19"/>
  <c r="I308" i="19"/>
  <c r="I309" i="19"/>
  <c r="I310" i="19"/>
  <c r="I311" i="19"/>
  <c r="I312" i="19"/>
  <c r="I313" i="19"/>
  <c r="I314" i="19"/>
  <c r="I315" i="19"/>
  <c r="I316" i="19"/>
  <c r="I317" i="19"/>
  <c r="I318" i="19"/>
  <c r="I319" i="19"/>
  <c r="I320" i="19"/>
  <c r="I321" i="19"/>
  <c r="I322" i="19"/>
  <c r="I323" i="19"/>
  <c r="I324" i="19"/>
  <c r="I325" i="19"/>
  <c r="I326" i="19"/>
  <c r="I327" i="19"/>
  <c r="I328" i="19"/>
  <c r="I329" i="19"/>
  <c r="I330" i="19"/>
  <c r="I331" i="19"/>
  <c r="I332" i="19"/>
  <c r="I333" i="19"/>
  <c r="I334" i="19"/>
  <c r="I335" i="19"/>
  <c r="I336" i="19"/>
  <c r="I337" i="19"/>
  <c r="I338" i="19"/>
  <c r="I339" i="19"/>
  <c r="I340" i="19"/>
  <c r="I341" i="19"/>
  <c r="I342" i="19"/>
  <c r="I343" i="19"/>
  <c r="I344" i="19"/>
  <c r="I345" i="19"/>
  <c r="I346" i="19"/>
  <c r="I347" i="19"/>
  <c r="I348" i="19"/>
  <c r="I349" i="19"/>
  <c r="I350" i="19"/>
  <c r="I351" i="19"/>
  <c r="I352" i="19"/>
  <c r="I353" i="19"/>
  <c r="I354" i="19"/>
  <c r="I355" i="19"/>
  <c r="I356" i="19"/>
  <c r="I357" i="19"/>
  <c r="I358" i="19"/>
  <c r="I359" i="19"/>
  <c r="I360" i="19"/>
  <c r="I361" i="19"/>
  <c r="I362" i="19"/>
  <c r="I363" i="19"/>
  <c r="I364" i="19"/>
  <c r="I365" i="19"/>
  <c r="I366" i="19"/>
  <c r="I367" i="19"/>
  <c r="I368" i="19"/>
  <c r="I369" i="19"/>
  <c r="I370" i="19"/>
  <c r="I371" i="19"/>
  <c r="I372" i="19"/>
  <c r="I373" i="19"/>
  <c r="I374" i="19"/>
  <c r="I375" i="19"/>
  <c r="I376" i="19"/>
  <c r="I377" i="19"/>
  <c r="I378" i="19"/>
  <c r="I379" i="19"/>
  <c r="I380" i="19"/>
  <c r="I381" i="19"/>
  <c r="I382" i="19"/>
  <c r="I383" i="19"/>
  <c r="I384" i="19"/>
  <c r="I385" i="19"/>
  <c r="I386" i="19"/>
  <c r="I387" i="19"/>
  <c r="I388" i="19"/>
  <c r="I389" i="19"/>
  <c r="I390" i="19"/>
  <c r="I391" i="19"/>
  <c r="I392" i="19"/>
  <c r="I393" i="19"/>
  <c r="I394" i="19"/>
  <c r="I395" i="19"/>
  <c r="I396" i="19"/>
  <c r="I397" i="19"/>
  <c r="I398" i="19"/>
  <c r="I399" i="19"/>
  <c r="I400" i="19"/>
  <c r="I401" i="19"/>
  <c r="I402" i="19"/>
  <c r="I403" i="19"/>
  <c r="I404" i="19"/>
  <c r="I405" i="19"/>
  <c r="I406" i="19"/>
  <c r="I407" i="19"/>
  <c r="I408" i="19"/>
  <c r="I409" i="19"/>
  <c r="I410" i="19"/>
  <c r="I411" i="19"/>
  <c r="I412" i="19"/>
  <c r="I413" i="19"/>
  <c r="I414" i="19"/>
  <c r="I415" i="19"/>
  <c r="I416" i="19"/>
  <c r="I417" i="19"/>
  <c r="I418" i="19"/>
  <c r="I419" i="19"/>
  <c r="I420" i="19"/>
  <c r="I421" i="19"/>
  <c r="I422" i="19"/>
  <c r="I423" i="19"/>
  <c r="I424" i="19"/>
  <c r="I425" i="19"/>
  <c r="I426" i="19"/>
  <c r="I427" i="19"/>
  <c r="I428" i="19"/>
  <c r="I429" i="19"/>
  <c r="I430" i="19"/>
  <c r="I431" i="19"/>
  <c r="I432" i="19"/>
  <c r="I433" i="19"/>
  <c r="I434" i="19"/>
  <c r="I435" i="19"/>
  <c r="I436" i="19"/>
  <c r="I437" i="19"/>
  <c r="I438" i="19"/>
  <c r="I439" i="19"/>
  <c r="I440" i="19"/>
  <c r="I441" i="19"/>
  <c r="I442" i="19"/>
  <c r="I443" i="19"/>
  <c r="I444" i="19"/>
  <c r="I445" i="19"/>
  <c r="I446" i="19"/>
  <c r="I447" i="19"/>
  <c r="I448" i="19"/>
  <c r="I449" i="19"/>
  <c r="I450" i="19"/>
  <c r="I451" i="19"/>
  <c r="I452" i="19"/>
  <c r="I453" i="19"/>
  <c r="I454" i="19"/>
  <c r="I455" i="19"/>
  <c r="I456" i="19"/>
  <c r="I457" i="19"/>
  <c r="I458" i="19"/>
  <c r="I459" i="19"/>
  <c r="I460" i="19"/>
  <c r="I461" i="19"/>
  <c r="I462" i="19"/>
  <c r="I463" i="19"/>
  <c r="I464" i="19"/>
  <c r="I465" i="19"/>
  <c r="I466" i="19"/>
  <c r="I467" i="19"/>
  <c r="I468" i="19"/>
  <c r="I469" i="19"/>
  <c r="I470" i="19"/>
  <c r="I471" i="19"/>
  <c r="I472" i="19"/>
  <c r="I473" i="19"/>
  <c r="I474" i="19"/>
  <c r="I475" i="19"/>
  <c r="I476" i="19"/>
  <c r="I477" i="19"/>
  <c r="I478" i="19"/>
  <c r="I479" i="19"/>
  <c r="I480" i="19"/>
  <c r="I481" i="19"/>
  <c r="I482" i="19"/>
  <c r="I483" i="19"/>
  <c r="I484" i="19"/>
  <c r="I485" i="19"/>
  <c r="I486" i="19"/>
  <c r="I487" i="19"/>
  <c r="I488" i="19"/>
  <c r="I489" i="19"/>
  <c r="I490" i="19"/>
  <c r="I491" i="19"/>
  <c r="I492" i="19"/>
  <c r="I493" i="19"/>
  <c r="I494" i="19"/>
  <c r="I495" i="19"/>
  <c r="I496" i="19"/>
  <c r="I497" i="19"/>
  <c r="I498" i="19"/>
  <c r="I499" i="19"/>
  <c r="I500" i="19"/>
  <c r="I501" i="19"/>
  <c r="I502" i="19"/>
  <c r="I503" i="19"/>
  <c r="I504" i="19"/>
  <c r="I505" i="19"/>
  <c r="I506" i="19"/>
  <c r="I507" i="19"/>
  <c r="I508" i="19"/>
  <c r="I509" i="19"/>
  <c r="I510" i="19"/>
  <c r="I511" i="19"/>
  <c r="I512" i="19"/>
  <c r="I513" i="19"/>
  <c r="I514" i="19"/>
  <c r="I515" i="19"/>
  <c r="I516" i="19"/>
  <c r="I517" i="19"/>
  <c r="I518" i="19"/>
  <c r="I519" i="19"/>
  <c r="I520" i="19"/>
  <c r="I521" i="19"/>
  <c r="I522" i="19"/>
  <c r="I523" i="19"/>
  <c r="I524" i="19"/>
  <c r="I525" i="19"/>
  <c r="I526" i="19"/>
  <c r="I527" i="19"/>
  <c r="I528" i="19"/>
  <c r="I529" i="19"/>
  <c r="I530" i="19"/>
  <c r="I531" i="19"/>
  <c r="I532" i="19"/>
  <c r="I533" i="19"/>
  <c r="I534" i="19"/>
  <c r="I535" i="19"/>
  <c r="I536" i="19"/>
  <c r="I537" i="19"/>
  <c r="I538" i="19"/>
  <c r="I539" i="19"/>
  <c r="I540" i="19"/>
  <c r="I541" i="19"/>
  <c r="I542" i="19"/>
  <c r="I543" i="19"/>
  <c r="I544" i="19"/>
  <c r="I545" i="19"/>
  <c r="I546" i="19"/>
  <c r="I547" i="19"/>
  <c r="I548" i="19"/>
  <c r="I549" i="19"/>
  <c r="I550" i="19"/>
  <c r="I551" i="19"/>
  <c r="I552" i="19"/>
  <c r="I553" i="19"/>
  <c r="I554" i="19"/>
  <c r="I555" i="19"/>
  <c r="I556" i="19"/>
  <c r="I557" i="19"/>
  <c r="I558" i="19"/>
  <c r="I559" i="19"/>
  <c r="I560" i="19"/>
  <c r="I561" i="19"/>
  <c r="I562" i="19"/>
  <c r="I563" i="19"/>
  <c r="I564" i="19"/>
  <c r="I565" i="19"/>
  <c r="I566" i="19"/>
  <c r="I567" i="19"/>
  <c r="I568" i="19"/>
  <c r="I569" i="19"/>
  <c r="I570" i="19"/>
  <c r="I571" i="19"/>
  <c r="I572" i="19"/>
  <c r="I573" i="19"/>
  <c r="I574" i="19"/>
  <c r="I575" i="19"/>
  <c r="I576" i="19"/>
  <c r="I577" i="19"/>
  <c r="I578" i="19"/>
  <c r="I579" i="19"/>
  <c r="I580" i="19"/>
  <c r="I581" i="19"/>
  <c r="I582" i="19"/>
  <c r="I583" i="19"/>
  <c r="I584" i="19"/>
  <c r="I585" i="19"/>
  <c r="I586" i="19"/>
  <c r="I587" i="19"/>
  <c r="I588" i="19"/>
  <c r="I589" i="19"/>
  <c r="I590" i="19"/>
  <c r="I591" i="19"/>
  <c r="I592" i="19"/>
  <c r="I593" i="19"/>
  <c r="I594" i="19"/>
  <c r="I595" i="19"/>
  <c r="I596" i="19"/>
  <c r="I597" i="19"/>
  <c r="I598" i="19"/>
  <c r="I599" i="19"/>
  <c r="I600" i="19"/>
  <c r="I601" i="19"/>
  <c r="I602" i="19"/>
  <c r="I603" i="19"/>
  <c r="I604" i="19"/>
  <c r="I605" i="19"/>
  <c r="I606" i="19"/>
  <c r="I607" i="19"/>
  <c r="I608" i="19"/>
  <c r="I609" i="19"/>
  <c r="I610" i="19"/>
  <c r="I611" i="19"/>
  <c r="I612" i="19"/>
  <c r="I613" i="19"/>
  <c r="I614" i="19"/>
  <c r="I615" i="19"/>
  <c r="I616" i="19"/>
  <c r="I617" i="19"/>
  <c r="I618" i="19"/>
  <c r="I619" i="19"/>
  <c r="I620" i="19"/>
  <c r="I621" i="19"/>
  <c r="I622" i="19"/>
  <c r="I623" i="19"/>
  <c r="I624" i="19"/>
  <c r="I625" i="19"/>
  <c r="I626" i="19"/>
  <c r="I627" i="19"/>
  <c r="I628" i="19"/>
  <c r="I629" i="19"/>
  <c r="I630" i="19"/>
  <c r="I631" i="19"/>
  <c r="I632" i="19"/>
  <c r="I633" i="19"/>
  <c r="I634" i="19"/>
  <c r="I635" i="19"/>
  <c r="I636" i="19"/>
  <c r="I637" i="19"/>
  <c r="I638" i="19"/>
  <c r="I639" i="19"/>
  <c r="I640" i="19"/>
  <c r="I641" i="19"/>
  <c r="I642" i="19"/>
  <c r="I643" i="19"/>
  <c r="I644" i="19"/>
  <c r="I645" i="19"/>
  <c r="I646" i="19"/>
  <c r="I647" i="19"/>
  <c r="I648" i="19"/>
  <c r="I649" i="19"/>
  <c r="I650" i="19"/>
  <c r="I651" i="19"/>
  <c r="I652" i="19"/>
  <c r="I653" i="19"/>
  <c r="I654" i="19"/>
  <c r="I655" i="19"/>
  <c r="I656" i="19"/>
  <c r="I657" i="19"/>
  <c r="I658" i="19"/>
  <c r="I659" i="19"/>
  <c r="I660" i="19"/>
  <c r="I661" i="19"/>
  <c r="I662" i="19"/>
  <c r="I663" i="19"/>
  <c r="I664" i="19"/>
  <c r="I665" i="19"/>
  <c r="I666" i="19"/>
  <c r="I667" i="19"/>
  <c r="I668" i="19"/>
  <c r="I669" i="19"/>
  <c r="I670" i="19"/>
  <c r="I671" i="19"/>
  <c r="I672" i="19"/>
  <c r="I673" i="19"/>
  <c r="I674" i="19"/>
  <c r="I675" i="19"/>
  <c r="I676" i="19"/>
  <c r="I677" i="19"/>
  <c r="I678" i="19"/>
  <c r="I679" i="19"/>
  <c r="I680" i="19"/>
  <c r="I681" i="19"/>
  <c r="I682" i="19"/>
  <c r="I683" i="19"/>
  <c r="I684" i="19"/>
  <c r="I685" i="19"/>
  <c r="I686" i="19"/>
  <c r="I687" i="19"/>
  <c r="I688" i="19"/>
  <c r="I689" i="19"/>
  <c r="I690" i="19"/>
  <c r="I691" i="19"/>
  <c r="I692" i="19"/>
  <c r="I693" i="19"/>
  <c r="I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1" i="19"/>
  <c r="B522" i="19"/>
  <c r="B523" i="19"/>
  <c r="B524" i="19"/>
  <c r="B525" i="19"/>
  <c r="B526" i="19"/>
  <c r="B527" i="19"/>
  <c r="B528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54" i="19"/>
  <c r="B555" i="19"/>
  <c r="B556" i="19"/>
  <c r="B557" i="19"/>
  <c r="B558" i="19"/>
  <c r="B559" i="19"/>
  <c r="B560" i="19"/>
  <c r="B561" i="19"/>
  <c r="B562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3" i="19"/>
  <c r="B5" i="9" l="1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</calcChain>
</file>

<file path=xl/sharedStrings.xml><?xml version="1.0" encoding="utf-8"?>
<sst xmlns="http://schemas.openxmlformats.org/spreadsheetml/2006/main" count="43389" uniqueCount="3548">
  <si>
    <t>sample_1</t>
  </si>
  <si>
    <t>sample_2</t>
  </si>
  <si>
    <t>value_1</t>
  </si>
  <si>
    <t>value_2</t>
  </si>
  <si>
    <t>log2(fold_change)</t>
  </si>
  <si>
    <t>GRMZM2G007025</t>
  </si>
  <si>
    <t>GRMZM2G055698</t>
  </si>
  <si>
    <t>GRMZM2G030567</t>
  </si>
  <si>
    <t>H4C7</t>
  </si>
  <si>
    <t>GRMZM2G092813</t>
  </si>
  <si>
    <t>GRMZM2G392863</t>
  </si>
  <si>
    <t>GRMZM2G099454</t>
  </si>
  <si>
    <t>GRMZM2G018579</t>
  </si>
  <si>
    <t>GRMZM2G031790</t>
  </si>
  <si>
    <t>GRMZM5G838098</t>
  </si>
  <si>
    <t>GRMZM5G815358</t>
  </si>
  <si>
    <t>GRMZM2G132367</t>
  </si>
  <si>
    <t>GRMZM2G075712</t>
  </si>
  <si>
    <t>GRMZM2G331638</t>
  </si>
  <si>
    <t>GRMZM2G155242</t>
  </si>
  <si>
    <t>GRMZM2G180452</t>
  </si>
  <si>
    <t>GRMZM2G012758</t>
  </si>
  <si>
    <t>GRMZM2G703561</t>
  </si>
  <si>
    <t>GRMZM2G001079</t>
  </si>
  <si>
    <t>AC208201.3_FG003</t>
  </si>
  <si>
    <t>GRMZM2G112538</t>
  </si>
  <si>
    <t>GRMZM2G112524</t>
  </si>
  <si>
    <t>GRMZM2G318652</t>
  </si>
  <si>
    <t>GRMZM2G107597</t>
  </si>
  <si>
    <t>GRMZM2G038153</t>
  </si>
  <si>
    <t>GRMZM2G442387</t>
  </si>
  <si>
    <t>GRMZM2G046297</t>
  </si>
  <si>
    <t>GRMZM2G311036</t>
  </si>
  <si>
    <t>GRMZM2G336824</t>
  </si>
  <si>
    <t>GRMZM2G179792</t>
  </si>
  <si>
    <t>GRMZM2G135913</t>
  </si>
  <si>
    <t>GRMZM2G093962</t>
  </si>
  <si>
    <t>GRMZM2G025190</t>
  </si>
  <si>
    <t>GRMZM2G044383</t>
  </si>
  <si>
    <t>GRMZM2G026147</t>
  </si>
  <si>
    <t>GRMZM2G053720</t>
  </si>
  <si>
    <t>GRMZM5G846082</t>
  </si>
  <si>
    <t>GRMZM5G855014</t>
  </si>
  <si>
    <t>GRMZM5G811095</t>
  </si>
  <si>
    <t>GRMZM2G100381</t>
  </si>
  <si>
    <t>GRMZM2G428216</t>
  </si>
  <si>
    <t>GRMZM2G024927</t>
  </si>
  <si>
    <t>GRMZM2G037265</t>
  </si>
  <si>
    <t>GRMZM2G050177</t>
  </si>
  <si>
    <t>GRMZM2G059129</t>
  </si>
  <si>
    <t>GRMZM2G096585</t>
  </si>
  <si>
    <t>GRMZM2G309731</t>
  </si>
  <si>
    <t>GRMZM2G113165</t>
  </si>
  <si>
    <t>GRMZM2G101245</t>
  </si>
  <si>
    <t>GRMZM2G401147</t>
  </si>
  <si>
    <t>GRMZM2G131205</t>
  </si>
  <si>
    <t>GRMZM2G450498</t>
  </si>
  <si>
    <t>AC212023.4_FG004</t>
  </si>
  <si>
    <t>GRMZM2G144782</t>
  </si>
  <si>
    <t>GRMZM2G154090</t>
  </si>
  <si>
    <t>GRMZM5G827939</t>
  </si>
  <si>
    <t>GRMZM2G162505</t>
  </si>
  <si>
    <t>GRMZM2G081554</t>
  </si>
  <si>
    <t>GRMZM2G138455</t>
  </si>
  <si>
    <t>GRMZM2G171118</t>
  </si>
  <si>
    <t>GRMZM5G859316</t>
  </si>
  <si>
    <t>GRMZM5G872578</t>
  </si>
  <si>
    <t>GRMZM2G341410</t>
  </si>
  <si>
    <t>GRMZM2G039639</t>
  </si>
  <si>
    <t>GRMZM2G149219</t>
  </si>
  <si>
    <t>GRMZM2G363813</t>
  </si>
  <si>
    <t>GRMZM2G109056</t>
  </si>
  <si>
    <t>GRMZM2G143142</t>
  </si>
  <si>
    <t>GRMZM2G090043</t>
  </si>
  <si>
    <t>GRMZM2G301089</t>
  </si>
  <si>
    <t>GRMZM2G149923</t>
  </si>
  <si>
    <t>GRMZM2G010034</t>
  </si>
  <si>
    <t>GRMZM2G328500</t>
  </si>
  <si>
    <t>GRMZM2G099305</t>
  </si>
  <si>
    <t>GRMZM2G420108</t>
  </si>
  <si>
    <t>GRMZM2G475948</t>
  </si>
  <si>
    <t>GRMZM2G029385</t>
  </si>
  <si>
    <t>GRMZM2G004036</t>
  </si>
  <si>
    <t>GRMZM2G031062</t>
  </si>
  <si>
    <t>GRMZM2G342856</t>
  </si>
  <si>
    <t>GRMZM2G168833</t>
  </si>
  <si>
    <t>GRMZM5G865162</t>
  </si>
  <si>
    <t>GRMZM2G059428</t>
  </si>
  <si>
    <t>GRMZM2G178852</t>
  </si>
  <si>
    <t>GRMZM2G464393</t>
  </si>
  <si>
    <t>AC166636.1_FG007</t>
  </si>
  <si>
    <t>GRMZM2G140674</t>
  </si>
  <si>
    <t>GRMZM2G380789</t>
  </si>
  <si>
    <t>GRMZM2G003506</t>
  </si>
  <si>
    <t>AC208897.3_FG004</t>
  </si>
  <si>
    <t>GRMZM2G116902</t>
  </si>
  <si>
    <t>GRMZM2G077942</t>
  </si>
  <si>
    <t>GRMZM2G042253</t>
  </si>
  <si>
    <t>GRMZM2G321033</t>
  </si>
  <si>
    <t>GRMZM2G377647</t>
  </si>
  <si>
    <t>GRMZM2G136513</t>
  </si>
  <si>
    <t>GRMZM5G883632</t>
  </si>
  <si>
    <t>GRMZM2G305526</t>
  </si>
  <si>
    <t>GRMZM2G043878</t>
  </si>
  <si>
    <t>GRMZM2G338037</t>
  </si>
  <si>
    <t>GRMZM2G053669</t>
  </si>
  <si>
    <t>GRMZM2G010909</t>
  </si>
  <si>
    <t>GRMZM2G327199</t>
  </si>
  <si>
    <t>GRMZM2G073969</t>
  </si>
  <si>
    <t>GRMZM2G075502</t>
  </si>
  <si>
    <t>GRMZM2G003138</t>
  </si>
  <si>
    <t>GRMZM2G107499</t>
  </si>
  <si>
    <t>GRMZM5G862467</t>
  </si>
  <si>
    <t>GRMZM2G125241</t>
  </si>
  <si>
    <t>GRMZM2G028821</t>
  </si>
  <si>
    <t>GRMZM2G373607</t>
  </si>
  <si>
    <t>GRMZM2G052344</t>
  </si>
  <si>
    <t>GRMZM2G342246</t>
  </si>
  <si>
    <t>GRMZM2G176595</t>
  </si>
  <si>
    <t>GRMZM2G344279</t>
  </si>
  <si>
    <t>GRMZM2G179528</t>
  </si>
  <si>
    <t>GRMZM2G371462</t>
  </si>
  <si>
    <t>GRMZM2G130232</t>
  </si>
  <si>
    <t>GRMZM2G004572</t>
  </si>
  <si>
    <t>GRMZM2G136372</t>
  </si>
  <si>
    <t>GRMZM2G402631</t>
  </si>
  <si>
    <t>GRMZM2G392791</t>
  </si>
  <si>
    <t>GRMZM5G893912</t>
  </si>
  <si>
    <t>GRMZM2G310947</t>
  </si>
  <si>
    <t>GRMZM2G023847</t>
  </si>
  <si>
    <t>GRMZM2G161579</t>
  </si>
  <si>
    <t>GRMZM2G136534</t>
  </si>
  <si>
    <t>GRMZM5G840852</t>
  </si>
  <si>
    <t>GRMZM2G154124</t>
  </si>
  <si>
    <t>GRMZM2G122126</t>
  </si>
  <si>
    <t>GRMZM2G059138</t>
  </si>
  <si>
    <t>GRMZM2G131266</t>
  </si>
  <si>
    <t>GRMZM2G161245</t>
  </si>
  <si>
    <t>GRMZM2G536825</t>
  </si>
  <si>
    <t>GRMZM2G466563</t>
  </si>
  <si>
    <t>GRMZM2G129266</t>
  </si>
  <si>
    <t>GRMZM2G350225</t>
  </si>
  <si>
    <t>GRMZM2G009735</t>
  </si>
  <si>
    <t>GRMZM2G153208</t>
  </si>
  <si>
    <t>GRMZM2G001764</t>
  </si>
  <si>
    <t>GRMZM5G891371</t>
  </si>
  <si>
    <t>GRMZM2G060742</t>
  </si>
  <si>
    <t>GRMZM2G164761</t>
  </si>
  <si>
    <t>GRMZM2G324390</t>
  </si>
  <si>
    <t>GRMZM2G145412</t>
  </si>
  <si>
    <t>GRMZM2G084486</t>
  </si>
  <si>
    <t>GRMZM2G105189</t>
  </si>
  <si>
    <t>GRMZM2G000752</t>
  </si>
  <si>
    <t>GRMZM2G120621</t>
  </si>
  <si>
    <t>GRMZM2G129540</t>
  </si>
  <si>
    <t>GRMZM2G066067</t>
  </si>
  <si>
    <t>GRMZM2G118172</t>
  </si>
  <si>
    <t>GRMZM2G341959</t>
  </si>
  <si>
    <t>GRMZM2G467893</t>
  </si>
  <si>
    <t>GRMZM2G075974</t>
  </si>
  <si>
    <t>GRMZM2G004160</t>
  </si>
  <si>
    <t>GRMZM2G457346</t>
  </si>
  <si>
    <t>GRMZM2G054361</t>
  </si>
  <si>
    <t>GRMZM2G049349</t>
  </si>
  <si>
    <t>GRMZM2G128564</t>
  </si>
  <si>
    <t>GRMZM2G011367</t>
  </si>
  <si>
    <t>GRMZM2G039278</t>
  </si>
  <si>
    <t>GRMZM2G091578</t>
  </si>
  <si>
    <t>GRMZM2G427697</t>
  </si>
  <si>
    <t>AC235547.1_FG005</t>
  </si>
  <si>
    <t>GRMZM2G068179</t>
  </si>
  <si>
    <t>GRMZM2G308687</t>
  </si>
  <si>
    <t>GRMZM2G006047</t>
  </si>
  <si>
    <t>GRMZM2G448925</t>
  </si>
  <si>
    <t>GRMZM2G015892</t>
  </si>
  <si>
    <t>GRMZM2G139250</t>
  </si>
  <si>
    <t>AC206201.3_FG004</t>
  </si>
  <si>
    <t>GRMZM2G138382</t>
  </si>
  <si>
    <t>GRMZM2G340257</t>
  </si>
  <si>
    <t>AC191575.2_FG001</t>
  </si>
  <si>
    <t>GRMZM2G366681</t>
  </si>
  <si>
    <t>GRMZM2G381441</t>
  </si>
  <si>
    <t>GRMZM2G005207</t>
  </si>
  <si>
    <t>AC202107.3_FG001</t>
  </si>
  <si>
    <t>GRMZM2G044317</t>
  </si>
  <si>
    <t>GRMZM2G031624</t>
  </si>
  <si>
    <t>GRMZM2G048175</t>
  </si>
  <si>
    <t>GRMZM2G406108</t>
  </si>
  <si>
    <t>GRMZM2G020054</t>
  </si>
  <si>
    <t>GRMZM2G028104</t>
  </si>
  <si>
    <t>SPP2</t>
  </si>
  <si>
    <t>GRMZM5G871827</t>
  </si>
  <si>
    <t>GRMZM2G148441</t>
  </si>
  <si>
    <t>GRMZM2G116520</t>
  </si>
  <si>
    <t>GRMZM5G897005</t>
  </si>
  <si>
    <t>GRMZM2G177203</t>
  </si>
  <si>
    <t>GRMZM2G159811</t>
  </si>
  <si>
    <t>GRMZM2G034206</t>
  </si>
  <si>
    <t>GRMZM2G046583</t>
  </si>
  <si>
    <t>AC233888.1_FG001</t>
  </si>
  <si>
    <t>GRMZM2G043813</t>
  </si>
  <si>
    <t>GRMZM2G397684</t>
  </si>
  <si>
    <t>GRMZM2G098676</t>
  </si>
  <si>
    <t>GRMZM2G077036</t>
  </si>
  <si>
    <t>GRMZM2G405662</t>
  </si>
  <si>
    <t>GRMZM2G092427</t>
  </si>
  <si>
    <t>GRMZM2G177340</t>
  </si>
  <si>
    <t>GRMZM2G173724</t>
  </si>
  <si>
    <t>GRMZM2G173742</t>
  </si>
  <si>
    <t>GRMZM2G470974</t>
  </si>
  <si>
    <t>GRMZM2G172586</t>
  </si>
  <si>
    <t>AC152495.1_FG017</t>
  </si>
  <si>
    <t>GRMZM2G003762</t>
  </si>
  <si>
    <t>GRMZM2G180596</t>
  </si>
  <si>
    <t>GRMZM5G831224</t>
  </si>
  <si>
    <t>GRMZM2G056697</t>
  </si>
  <si>
    <t>GRMZM2G015599</t>
  </si>
  <si>
    <t>GRMZM2G104489</t>
  </si>
  <si>
    <t>GRMZM2G471362</t>
  </si>
  <si>
    <t>GRMZM2G336859</t>
  </si>
  <si>
    <t>GRMZM2G390967</t>
  </si>
  <si>
    <t>GRMZM2G092363</t>
  </si>
  <si>
    <t>GRMZM2G049930</t>
  </si>
  <si>
    <t>GRMZM2G407495</t>
  </si>
  <si>
    <t>GRMZM2G148316</t>
  </si>
  <si>
    <t>TPS10</t>
  </si>
  <si>
    <t>GRMZM2G165757</t>
  </si>
  <si>
    <t>GRMZM2G072529</t>
  </si>
  <si>
    <t>GRMZM2G332423</t>
  </si>
  <si>
    <t>GRMZM2G436448</t>
  </si>
  <si>
    <t>GRMZM2G066961</t>
  </si>
  <si>
    <t>GRMZM2G087809</t>
  </si>
  <si>
    <t>GRMZM2G005939</t>
  </si>
  <si>
    <t>GRMZM2G005633</t>
  </si>
  <si>
    <t>GRMZM2G031660</t>
  </si>
  <si>
    <t>GRMZM2G018027</t>
  </si>
  <si>
    <t>GRMZM2G181030</t>
  </si>
  <si>
    <t>GRMZM2G152135</t>
  </si>
  <si>
    <t>GRMZM2G006212</t>
  </si>
  <si>
    <t>GRMZM2G085236</t>
  </si>
  <si>
    <t>GRMZM2G074759</t>
  </si>
  <si>
    <t>GRMZM5G802365</t>
  </si>
  <si>
    <t>GRMZM2G018716</t>
  </si>
  <si>
    <t>GRMZM2G474039</t>
  </si>
  <si>
    <t>GRMZM2G072820</t>
  </si>
  <si>
    <t>GRMZM5G882427</t>
  </si>
  <si>
    <t>GRMZM2G045849</t>
  </si>
  <si>
    <t>GRMZM2G093526</t>
  </si>
  <si>
    <t>GRMZM2G477063</t>
  </si>
  <si>
    <t>GRMZM2G074743</t>
  </si>
  <si>
    <t>GRMZM2G038722</t>
  </si>
  <si>
    <t>GRMZM2G163067</t>
  </si>
  <si>
    <t>GRMZM2G066489</t>
  </si>
  <si>
    <t>GRMZM2G076844</t>
  </si>
  <si>
    <t>GRMZM2G050234</t>
  </si>
  <si>
    <t>GRMZM2G045398</t>
  </si>
  <si>
    <t>GRMZM2G164405</t>
  </si>
  <si>
    <t>GRMZM2G120016</t>
  </si>
  <si>
    <t>GRMZM2G044752</t>
  </si>
  <si>
    <t>GRMZM2G118345</t>
  </si>
  <si>
    <t>GRMZM2G441347</t>
  </si>
  <si>
    <t>GRMZM2G048366</t>
  </si>
  <si>
    <t>GRMZM2G082191</t>
  </si>
  <si>
    <t>GRMZM2G051943</t>
  </si>
  <si>
    <t>GRMZM2G112072</t>
  </si>
  <si>
    <t>GRMZM2G135387</t>
  </si>
  <si>
    <t>AC208221.3_FG002</t>
  </si>
  <si>
    <t>GRMZM2G430362</t>
  </si>
  <si>
    <t>GRMZM2G071996</t>
  </si>
  <si>
    <t>GRMZM2G028640</t>
  </si>
  <si>
    <t>GRMZM2G406196</t>
  </si>
  <si>
    <t>GRMZM2G134235</t>
  </si>
  <si>
    <t>GRMZM2G093826</t>
  </si>
  <si>
    <t>GRMZM2G144956</t>
  </si>
  <si>
    <t>AC177924.2_FG003</t>
  </si>
  <si>
    <t>GRMZM2G151365</t>
  </si>
  <si>
    <t>GRMZM2G178486</t>
  </si>
  <si>
    <t>GRMZM2G074083</t>
  </si>
  <si>
    <t>GRMZM2G147491</t>
  </si>
  <si>
    <t>GRMZM2G108597</t>
  </si>
  <si>
    <t>GRMZM2G088778</t>
  </si>
  <si>
    <t>GRMZM2G170452</t>
  </si>
  <si>
    <t>GRMZM2G115451</t>
  </si>
  <si>
    <t>GRMZM2G113033</t>
  </si>
  <si>
    <t>GRMZM2G353024</t>
  </si>
  <si>
    <t>GRMZM2G042677</t>
  </si>
  <si>
    <t>GRMZM6G654251</t>
  </si>
  <si>
    <t>GRMZM2G100475</t>
  </si>
  <si>
    <t>GRMZM2G330049</t>
  </si>
  <si>
    <t>GRMZM2G088819</t>
  </si>
  <si>
    <t>GRMZM2G125482</t>
  </si>
  <si>
    <t>GRMZM2G002131</t>
  </si>
  <si>
    <t>GRMZM2G138468</t>
  </si>
  <si>
    <t>GRMZM2G329047</t>
  </si>
  <si>
    <t>GRMZM2G052908</t>
  </si>
  <si>
    <t>GRMZM2G013781</t>
  </si>
  <si>
    <t>GRMZM2G172826</t>
  </si>
  <si>
    <t>GRMZM2G175874</t>
  </si>
  <si>
    <t>GRMZM5G803981</t>
  </si>
  <si>
    <t>GRMZM2G137864</t>
  </si>
  <si>
    <t>GRMZM2G177110</t>
  </si>
  <si>
    <t>GRMZM2G129209</t>
  </si>
  <si>
    <t>GRMZM2G125196</t>
  </si>
  <si>
    <t>GRMZM2G349839</t>
  </si>
  <si>
    <t>GRMZM5G892308</t>
  </si>
  <si>
    <t>GRMZM2G355752</t>
  </si>
  <si>
    <t>GRMZM2G139467</t>
  </si>
  <si>
    <t>GRMZM2G084958</t>
  </si>
  <si>
    <t>GRMZM2G042933</t>
  </si>
  <si>
    <t>GRMZM2G082032</t>
  </si>
  <si>
    <t>GRMZM2G159161</t>
  </si>
  <si>
    <t>GRMZM2G115705</t>
  </si>
  <si>
    <t>GRMZM2G114861</t>
  </si>
  <si>
    <t>GRMZM2G107711</t>
  </si>
  <si>
    <t>GRMZM2G421256</t>
  </si>
  <si>
    <t>GRMZM2G076771</t>
  </si>
  <si>
    <t>GRMZM2G153378</t>
  </si>
  <si>
    <t>GRMZM2G080274</t>
  </si>
  <si>
    <t>GRMZM2G042756</t>
  </si>
  <si>
    <t>GRMZM2G081032</t>
  </si>
  <si>
    <t>GRMZM2G322819</t>
  </si>
  <si>
    <t>AC212835.3_FG008</t>
  </si>
  <si>
    <t>GRMZM2G177866</t>
  </si>
  <si>
    <t>GRMZM2G108153</t>
  </si>
  <si>
    <t>GRMZM2G108123</t>
  </si>
  <si>
    <t>GRMZM2G081957</t>
  </si>
  <si>
    <t>GRMZM2G138190</t>
  </si>
  <si>
    <t>GRMZM2G122618</t>
  </si>
  <si>
    <t>GRMZM2G147268</t>
  </si>
  <si>
    <t>GRMZM2G051952</t>
  </si>
  <si>
    <t>GRMZM2G121264</t>
  </si>
  <si>
    <t>GRMZM2G068557</t>
  </si>
  <si>
    <t>GRMZM2G168651</t>
  </si>
  <si>
    <t>GRMZM2G437912</t>
  </si>
  <si>
    <t>GRMZM2G479546</t>
  </si>
  <si>
    <t>GRMZM2G119272</t>
  </si>
  <si>
    <t>GRMZM2G083935</t>
  </si>
  <si>
    <t>GRMZM2G097802</t>
  </si>
  <si>
    <t>GRMZM2G334336</t>
  </si>
  <si>
    <t>GRMZM2G167613</t>
  </si>
  <si>
    <t>GRMZM2G131912</t>
  </si>
  <si>
    <t>GRMZM2G106092</t>
  </si>
  <si>
    <t>GRMZM2G041493</t>
  </si>
  <si>
    <t>GRMZM2G318156</t>
  </si>
  <si>
    <t>GRMZM2G703156</t>
  </si>
  <si>
    <t>GRMZM2G143403</t>
  </si>
  <si>
    <t>GRMZM2G460138</t>
  </si>
  <si>
    <t>GRMZM2G164440</t>
  </si>
  <si>
    <t>GRMZM2G333095</t>
  </si>
  <si>
    <t>GRMZM2G136042</t>
  </si>
  <si>
    <t>GRMZM2G074687</t>
  </si>
  <si>
    <t>GRMZM2G474459</t>
  </si>
  <si>
    <t>GRMZM2G082487</t>
  </si>
  <si>
    <t>GRMZM2G034848</t>
  </si>
  <si>
    <t>GRMZM2G110412</t>
  </si>
  <si>
    <t>GRMZM2G414252</t>
  </si>
  <si>
    <t>GRMZM2G081529</t>
  </si>
  <si>
    <t>GRMZM2G083504</t>
  </si>
  <si>
    <t>GRMZM2G176352</t>
  </si>
  <si>
    <t>GRMZM2G034471</t>
  </si>
  <si>
    <t>AC233910.1_FG003</t>
  </si>
  <si>
    <t>GRMZM5G834303</t>
  </si>
  <si>
    <t>GRMZM2G180283</t>
  </si>
  <si>
    <t>GRMZM2G121868</t>
  </si>
  <si>
    <t>GRMZM2G007324</t>
  </si>
  <si>
    <t>GRMZM2G365160</t>
  </si>
  <si>
    <t>GRMZM2G322618</t>
  </si>
  <si>
    <t>GRMZM2G003558</t>
  </si>
  <si>
    <t>GRMZM2G176433</t>
  </si>
  <si>
    <t>GRMZM2G173377</t>
  </si>
  <si>
    <t>GRMZM2G372068</t>
  </si>
  <si>
    <t>GRMZM2G176347</t>
  </si>
  <si>
    <t>GRMZM2G386590</t>
  </si>
  <si>
    <t>GRMZM2G068322</t>
  </si>
  <si>
    <t>GRMZM2G380319</t>
  </si>
  <si>
    <t>GRMZM2G475984</t>
  </si>
  <si>
    <t>GRMZM2G305900</t>
  </si>
  <si>
    <t>GRMZM2G048022</t>
  </si>
  <si>
    <t>GRMZM2G177242</t>
  </si>
  <si>
    <t>GRMZM2G065471</t>
  </si>
  <si>
    <t>GRMZM2G140032</t>
  </si>
  <si>
    <t>AC215260.3_FG003</t>
  </si>
  <si>
    <t>GRMZM2G471517</t>
  </si>
  <si>
    <t>GRMZM2G177991</t>
  </si>
  <si>
    <t>IRL</t>
  </si>
  <si>
    <t>GRMZM2G422782</t>
  </si>
  <si>
    <t>GRMZM2G108847</t>
  </si>
  <si>
    <t>GRMZM2G072298</t>
  </si>
  <si>
    <t>GRMZM5G801307</t>
  </si>
  <si>
    <t>GRMZM2G454056</t>
  </si>
  <si>
    <t>GRMZM2G424577</t>
  </si>
  <si>
    <t>GRMZM2G174975</t>
  </si>
  <si>
    <t>GRMZM2G001426</t>
  </si>
  <si>
    <t>GRMZM2G587231</t>
  </si>
  <si>
    <t>GRMZM2G110395</t>
  </si>
  <si>
    <t>GRMZM2G461566</t>
  </si>
  <si>
    <t>GRMZM2G311811</t>
  </si>
  <si>
    <t>GRMZM2G434572</t>
  </si>
  <si>
    <t>GRMZM2G033767</t>
  </si>
  <si>
    <t>GRMZM2G324157</t>
  </si>
  <si>
    <t>GRMZM2G031167</t>
  </si>
  <si>
    <t>GRMZM2G010925</t>
  </si>
  <si>
    <t>GRMZM2G701791</t>
  </si>
  <si>
    <t>GRMZM2G127789</t>
  </si>
  <si>
    <t>GRMZM2G125032</t>
  </si>
  <si>
    <t>GRMZM2G366607</t>
  </si>
  <si>
    <t>GRMZM2G065585</t>
  </si>
  <si>
    <t>GRMZM2G156861</t>
  </si>
  <si>
    <t>GRMZM2G329002</t>
  </si>
  <si>
    <t>GRMZM2G329069</t>
  </si>
  <si>
    <t>GRMZM2G128928</t>
  </si>
  <si>
    <t>GRMZM2G007928</t>
  </si>
  <si>
    <t>GRMZM2G054807</t>
  </si>
  <si>
    <t>GRMZM2G072808</t>
  </si>
  <si>
    <t>GRMZM2G023279</t>
  </si>
  <si>
    <t>GRMZM2G099036</t>
  </si>
  <si>
    <t>GRMZM2G312201</t>
  </si>
  <si>
    <t>GRMZM2G138074</t>
  </si>
  <si>
    <t>GRMZM5G888860</t>
  </si>
  <si>
    <t>GRMZM2G156877</t>
  </si>
  <si>
    <t>GRMZM2G323622</t>
  </si>
  <si>
    <t>GRMZM2G159105</t>
  </si>
  <si>
    <t>GRMZM2G091540</t>
  </si>
  <si>
    <t>GRMZM2G146913</t>
  </si>
  <si>
    <t>GRMZM2G434541</t>
  </si>
  <si>
    <t>GRMZM2G056388</t>
  </si>
  <si>
    <t>GRMZM2G447632</t>
  </si>
  <si>
    <t>GRMZM2G077375</t>
  </si>
  <si>
    <t>GRMZM2G058518</t>
  </si>
  <si>
    <t>GRMZM2G121753</t>
  </si>
  <si>
    <t>GRMZM2G408462</t>
  </si>
  <si>
    <t>GRMZM2G061439</t>
  </si>
  <si>
    <t>GRMZM2G364528</t>
  </si>
  <si>
    <t>GRMZM2G125571</t>
  </si>
  <si>
    <t>GRMZM5G849600</t>
  </si>
  <si>
    <t>GRMZM2G087769</t>
  </si>
  <si>
    <t>GRMZM2G097706</t>
  </si>
  <si>
    <t>CAB48</t>
  </si>
  <si>
    <t>GRMZM2G429955</t>
  </si>
  <si>
    <t>AC208915.3_FG010</t>
  </si>
  <si>
    <t>GRMZM2G104549</t>
  </si>
  <si>
    <t>GRMZM2G458095</t>
  </si>
  <si>
    <t>GRMZM2G034985</t>
  </si>
  <si>
    <t>GRMZM2G005849</t>
  </si>
  <si>
    <t>AC233880.1_FG009</t>
  </si>
  <si>
    <t>GRMZM2G087103</t>
  </si>
  <si>
    <t>GRMZM2G308619</t>
  </si>
  <si>
    <t>GRMZM2G153138</t>
  </si>
  <si>
    <t>GRMZM2G170047</t>
  </si>
  <si>
    <t>GRMZM2G169951</t>
  </si>
  <si>
    <t>GRMZM2G083810</t>
  </si>
  <si>
    <t>GRMZM2G100349</t>
  </si>
  <si>
    <t>GRMZM2G024551</t>
  </si>
  <si>
    <t>GRMZM2G052442</t>
  </si>
  <si>
    <t>GRMZM2G176446</t>
  </si>
  <si>
    <t>GRMZM2G162527</t>
  </si>
  <si>
    <t>GRMZM2G161154</t>
  </si>
  <si>
    <t>GRMZM2G071666</t>
  </si>
  <si>
    <t>GRMZM2G011523</t>
  </si>
  <si>
    <t>GRMZM2G340342</t>
  </si>
  <si>
    <t>GRMZM2G103748</t>
  </si>
  <si>
    <t>GRMZM5G883759</t>
  </si>
  <si>
    <t>GRMZM2G122656</t>
  </si>
  <si>
    <t>GRMZM2G402977</t>
  </si>
  <si>
    <t>GRMZM2G161310</t>
  </si>
  <si>
    <t>TUBB5</t>
  </si>
  <si>
    <t>GRMZM2G341366</t>
  </si>
  <si>
    <t>GRMZM2G170388</t>
  </si>
  <si>
    <t>GRMZM5G864903</t>
  </si>
  <si>
    <t>GRMZM2G028665</t>
  </si>
  <si>
    <t>GRMZM2G139786</t>
  </si>
  <si>
    <t>H3C2</t>
  </si>
  <si>
    <t>GRMZM2G175761</t>
  </si>
  <si>
    <t>GRMZM2G138258</t>
  </si>
  <si>
    <t>GRMZM2G028556</t>
  </si>
  <si>
    <t>GRMZM2G050997</t>
  </si>
  <si>
    <t>GRMZM2G455676</t>
  </si>
  <si>
    <t>GRMZM2G336909</t>
  </si>
  <si>
    <t>GRMZM2G368411</t>
  </si>
  <si>
    <t>GRMZM2G078667</t>
  </si>
  <si>
    <t>GRMZM2G078314</t>
  </si>
  <si>
    <t>GRMZM2G135722</t>
  </si>
  <si>
    <t>GRMZM5G837822</t>
  </si>
  <si>
    <t>GRMZM2G023748</t>
  </si>
  <si>
    <t>GRMZM2G119322</t>
  </si>
  <si>
    <t>GRMZM2G082199</t>
  </si>
  <si>
    <t>GRMZM2G027478</t>
  </si>
  <si>
    <t>GRMZM2G092474</t>
  </si>
  <si>
    <t>GRMZM2G144936</t>
  </si>
  <si>
    <t>GRMZM2G372440</t>
  </si>
  <si>
    <t>GRMZM2G173654</t>
  </si>
  <si>
    <t>GRMZM2G563190</t>
  </si>
  <si>
    <t>GRMZM2G054905</t>
  </si>
  <si>
    <t>GRMZM2G446220</t>
  </si>
  <si>
    <t>GRMZM2G022679</t>
  </si>
  <si>
    <t>GRMZM2G358830</t>
  </si>
  <si>
    <t>GRMZM2G078210</t>
  </si>
  <si>
    <t>GRMZM2G078771</t>
  </si>
  <si>
    <t>GRMZM2G468111</t>
  </si>
  <si>
    <t>GRMZM5G863596</t>
  </si>
  <si>
    <t>AC201767.3_FG003</t>
  </si>
  <si>
    <t>GRMZM2G131099</t>
  </si>
  <si>
    <t>GRMZM2G051683</t>
  </si>
  <si>
    <t>GRMZM5G833207</t>
  </si>
  <si>
    <t>AC233882.1_FG003</t>
  </si>
  <si>
    <t>GRMZM2G055450</t>
  </si>
  <si>
    <t>GRMZM2G423202</t>
  </si>
  <si>
    <t>GRMZM2G062121</t>
  </si>
  <si>
    <t>GRMZM2G055585</t>
  </si>
  <si>
    <t>GRMZM2G453805</t>
  </si>
  <si>
    <t>GRMZM2G330302</t>
  </si>
  <si>
    <t>GRMZM2G121878</t>
  </si>
  <si>
    <t>GRMZM2G177384</t>
  </si>
  <si>
    <t>GRMZM2G105604</t>
  </si>
  <si>
    <t>GRMZM2G147752</t>
  </si>
  <si>
    <t>GRMZM2G014395</t>
  </si>
  <si>
    <t>GRMZM2G089525</t>
  </si>
  <si>
    <t>GRMZM2G111112</t>
  </si>
  <si>
    <t>GRMZM5G874955</t>
  </si>
  <si>
    <t>GRMZM2G066101</t>
  </si>
  <si>
    <t>GRMZM2G005834</t>
  </si>
  <si>
    <t>GRMZM2G175076</t>
  </si>
  <si>
    <t>GRMZM2G162200</t>
  </si>
  <si>
    <t>GRMZM2G131442</t>
  </si>
  <si>
    <t>BX1</t>
  </si>
  <si>
    <t>CYP71C4</t>
  </si>
  <si>
    <t>GRMZM2G006480</t>
  </si>
  <si>
    <t>GRMZM2G048801</t>
  </si>
  <si>
    <t>GRMZM2G039630</t>
  </si>
  <si>
    <t>GRMZM5G836322</t>
  </si>
  <si>
    <t>GRMZM2G133675</t>
  </si>
  <si>
    <t>GRMZM2G133781</t>
  </si>
  <si>
    <t>GRMZM2G358153</t>
  </si>
  <si>
    <t>GRMZM2G545326</t>
  </si>
  <si>
    <t>GRMZM2G070011</t>
  </si>
  <si>
    <t>GRMZM2G007012</t>
  </si>
  <si>
    <t>GRMZM2G014902</t>
  </si>
  <si>
    <t>GRMZM2G036217</t>
  </si>
  <si>
    <t>GRMZM2G570968</t>
  </si>
  <si>
    <t>GRMZM2G568636</t>
  </si>
  <si>
    <t>GRMZM2G076389</t>
  </si>
  <si>
    <t>AC205521.3_FG003</t>
  </si>
  <si>
    <t>GRMZM2G076348</t>
  </si>
  <si>
    <t>AC217947.4_FG002</t>
  </si>
  <si>
    <t>GRMZM2G118104</t>
  </si>
  <si>
    <t>GRMZM2G013214</t>
  </si>
  <si>
    <t>GRMZM2G151700</t>
  </si>
  <si>
    <t>GRMZM2G389625</t>
  </si>
  <si>
    <t>GRMZM2G374302</t>
  </si>
  <si>
    <t>GRMZM2G161696</t>
  </si>
  <si>
    <t>GRMZM2G496770</t>
  </si>
  <si>
    <t>GRMZM2G057262</t>
  </si>
  <si>
    <t>GRMZM2G054522</t>
  </si>
  <si>
    <t>GRMZM2G342515</t>
  </si>
  <si>
    <t>GRMZM2G105522</t>
  </si>
  <si>
    <t>GRMZM2G125991</t>
  </si>
  <si>
    <t>GRMZM2G099297</t>
  </si>
  <si>
    <t>GRMZM2G101125</t>
  </si>
  <si>
    <t>GRMZM2G047414</t>
  </si>
  <si>
    <t>GRMZM2G121151</t>
  </si>
  <si>
    <t>GRMZM2G139293</t>
  </si>
  <si>
    <t>GRMZM2G126765</t>
  </si>
  <si>
    <t>GRMZM2G428027</t>
  </si>
  <si>
    <t>GRMZM2G475683</t>
  </si>
  <si>
    <t>GRMZM2G040548</t>
  </si>
  <si>
    <t>GRMZM2G001953</t>
  </si>
  <si>
    <t>AC190885.4_FG006</t>
  </si>
  <si>
    <t>GRMZM2G055507</t>
  </si>
  <si>
    <t>GRMZM2G166218</t>
  </si>
  <si>
    <t>GRMZM2G097297</t>
  </si>
  <si>
    <t>GRMZM2G100754</t>
  </si>
  <si>
    <t>AC233883.1_FG006</t>
  </si>
  <si>
    <t>GRMZM2G301908</t>
  </si>
  <si>
    <t>GRMZM2G050307</t>
  </si>
  <si>
    <t>GRMZM2G032419</t>
  </si>
  <si>
    <t>GRMZM2G071478</t>
  </si>
  <si>
    <t>GRMZM2G118312</t>
  </si>
  <si>
    <t>GRMZM5G843584</t>
  </si>
  <si>
    <t>GRMZM2G017022</t>
  </si>
  <si>
    <t>GRMZM2G117706</t>
  </si>
  <si>
    <t>GRMZM2G027640</t>
  </si>
  <si>
    <t>GRMZM2G010044</t>
  </si>
  <si>
    <t>BIPE3</t>
  </si>
  <si>
    <t>CYP71C2</t>
  </si>
  <si>
    <t>GRMZM2G371063</t>
  </si>
  <si>
    <t>GRMZM2G006363</t>
  </si>
  <si>
    <t>GRMZM2G122498</t>
  </si>
  <si>
    <t>ZRP4</t>
  </si>
  <si>
    <t>GRMZM2G359581</t>
  </si>
  <si>
    <t>GRMZM2G312061</t>
  </si>
  <si>
    <t>AC204611.4_FG001</t>
  </si>
  <si>
    <t>GRMZM2G149714</t>
  </si>
  <si>
    <t>GRMZM2G070639</t>
  </si>
  <si>
    <t>GRMZM2G104942</t>
  </si>
  <si>
    <t>TSB1</t>
  </si>
  <si>
    <t>GRMZM2G092432</t>
  </si>
  <si>
    <t>GRMZM2G121494</t>
  </si>
  <si>
    <t>GRMZM2G121928</t>
  </si>
  <si>
    <t>GRMZM2G359986</t>
  </si>
  <si>
    <t>GRMZM2G073079</t>
  </si>
  <si>
    <t>AC198937.4_FG003</t>
  </si>
  <si>
    <t>GRMZM2G089698</t>
  </si>
  <si>
    <t>GRMZM5G872279</t>
  </si>
  <si>
    <t>GRMZM2G047167</t>
  </si>
  <si>
    <t>GRMZM2G118766</t>
  </si>
  <si>
    <t>GRMZM2G127857</t>
  </si>
  <si>
    <t>GRMZM5G802941</t>
  </si>
  <si>
    <t>GRMZM2G038243</t>
  </si>
  <si>
    <t>GRMZM2G028438</t>
  </si>
  <si>
    <t>GRMZM2G134023</t>
  </si>
  <si>
    <t>GRMZM2G156472</t>
  </si>
  <si>
    <t>GRMZM2G421513</t>
  </si>
  <si>
    <t>GRMZM2G309847</t>
  </si>
  <si>
    <t>GRMZM2G007729</t>
  </si>
  <si>
    <t>GRMZM2G149422</t>
  </si>
  <si>
    <t>GRMZM2G041699</t>
  </si>
  <si>
    <t>GRMZM2G080079</t>
  </si>
  <si>
    <t>GRMZM2G025989</t>
  </si>
  <si>
    <t>GRMZM2G115481</t>
  </si>
  <si>
    <t>GRMZM2G132880</t>
  </si>
  <si>
    <t>GRMZM2G157481</t>
  </si>
  <si>
    <t>GRMZM2G098696</t>
  </si>
  <si>
    <t>GRMZM2G116629</t>
  </si>
  <si>
    <t>GRMZM2G164781</t>
  </si>
  <si>
    <t>GRMZM2G332522</t>
  </si>
  <si>
    <t>GRMZM2G034024</t>
  </si>
  <si>
    <t>GRMZM2G149739</t>
  </si>
  <si>
    <t>GRMZM2G040452</t>
  </si>
  <si>
    <t>GRMZM2G003411</t>
  </si>
  <si>
    <t>GRMZM2G363474</t>
  </si>
  <si>
    <t>GRMZM2G133988</t>
  </si>
  <si>
    <t>GRMZM2G313656</t>
  </si>
  <si>
    <t>CNR10</t>
  </si>
  <si>
    <t>GRMZM2G003014</t>
  </si>
  <si>
    <t>GRMZM5G862540</t>
  </si>
  <si>
    <t>GRMZM2G158359</t>
  </si>
  <si>
    <t>GRMZM2G129150</t>
  </si>
  <si>
    <t>GRMZM2G100412</t>
  </si>
  <si>
    <t>GRMZM2G087326</t>
  </si>
  <si>
    <t>GRMZM2G001724</t>
  </si>
  <si>
    <t>GRMZM2G436710</t>
  </si>
  <si>
    <t>AC197764.4_FG003</t>
  </si>
  <si>
    <t>GRMZM2G071087</t>
  </si>
  <si>
    <t>GRMZM2G427729</t>
  </si>
  <si>
    <t>GRMZM2G026980</t>
  </si>
  <si>
    <t>GRMZM2G089836</t>
  </si>
  <si>
    <t>GRMZM2G074896</t>
  </si>
  <si>
    <t>GRMZM2G029087</t>
  </si>
  <si>
    <t>GRMZM5G899308</t>
  </si>
  <si>
    <t>GRMZM5G805485</t>
  </si>
  <si>
    <t>GRMZM2G388420</t>
  </si>
  <si>
    <t>GRMZM2G022181</t>
  </si>
  <si>
    <t>GRMZM2G083526</t>
  </si>
  <si>
    <t>GRMZM2G107715</t>
  </si>
  <si>
    <t>GRMZM2G346133</t>
  </si>
  <si>
    <t>AC214771.3_FG003</t>
  </si>
  <si>
    <t>GRMZM2G366910</t>
  </si>
  <si>
    <t>GRMZM2G412604</t>
  </si>
  <si>
    <t>GRMZM2G024561</t>
  </si>
  <si>
    <t>GRMZM2G115504</t>
  </si>
  <si>
    <t>GRMZM2G115480</t>
  </si>
  <si>
    <t>GRMZM2G122276</t>
  </si>
  <si>
    <t>GRMZM2G092780</t>
  </si>
  <si>
    <t>GRMZM2G176307</t>
  </si>
  <si>
    <t>GRMZM2G129189</t>
  </si>
  <si>
    <t>GRMZM2G170692</t>
  </si>
  <si>
    <t>GRMZM2G170017</t>
  </si>
  <si>
    <t>GRMZM2G702129</t>
  </si>
  <si>
    <t>GRMZM2G097884</t>
  </si>
  <si>
    <t>GRMZM5G840002</t>
  </si>
  <si>
    <t>GRMZM2G060837</t>
  </si>
  <si>
    <t>GRMZM2G060919</t>
  </si>
  <si>
    <t>GRMZM2G375113</t>
  </si>
  <si>
    <t>GRMZM2G170602</t>
  </si>
  <si>
    <t>GRMZM2G180920</t>
  </si>
  <si>
    <t>GRMZM2G075562</t>
  </si>
  <si>
    <t>GRMZM2G468299</t>
  </si>
  <si>
    <t>GRMZM2G055150</t>
  </si>
  <si>
    <t>AC220927.3_FG007</t>
  </si>
  <si>
    <t>GRMZM2G023711</t>
  </si>
  <si>
    <t>GRMZM5G847230</t>
  </si>
  <si>
    <t>AC220970.4_FG002</t>
  </si>
  <si>
    <t>AC190636.3_FG005</t>
  </si>
  <si>
    <t>GRMZM2G313481</t>
  </si>
  <si>
    <t>AC210013.4_FG018</t>
  </si>
  <si>
    <t>GRMZM5G839640</t>
  </si>
  <si>
    <t>GRMZM2G312069</t>
  </si>
  <si>
    <t>GRMZM2G317614</t>
  </si>
  <si>
    <t>GRMZM2G157172</t>
  </si>
  <si>
    <t>GRMZM2G102760</t>
  </si>
  <si>
    <t>GRMZM2G018336</t>
  </si>
  <si>
    <t>GRMZM2G133895</t>
  </si>
  <si>
    <t>AC209987.4_FG010</t>
  </si>
  <si>
    <t>GRMZM2G159364</t>
  </si>
  <si>
    <t>GRMZM2G048904</t>
  </si>
  <si>
    <t>GRMZM2G080183</t>
  </si>
  <si>
    <t>GRMZM2G166944</t>
  </si>
  <si>
    <t>GRMZM2G050450</t>
  </si>
  <si>
    <t>GRMZM2G053707</t>
  </si>
  <si>
    <t>GRMZM2G114793</t>
  </si>
  <si>
    <t>GRMZM2G067350</t>
  </si>
  <si>
    <t>GRMZM2G085513</t>
  </si>
  <si>
    <t>GRMZM2G075333</t>
  </si>
  <si>
    <t>GRMZM2G148052</t>
  </si>
  <si>
    <t>GRMZM2G086587</t>
  </si>
  <si>
    <t>GRMZM2G452633</t>
  </si>
  <si>
    <t>GRMZM2G063162</t>
  </si>
  <si>
    <t>GRMZM2G455440</t>
  </si>
  <si>
    <t>GRMZM2G325014</t>
  </si>
  <si>
    <t>GRMZM2G018820</t>
  </si>
  <si>
    <t>GRMZM5G860214</t>
  </si>
  <si>
    <t>GRMZM2G074017</t>
  </si>
  <si>
    <t>GRMZM2G041141</t>
  </si>
  <si>
    <t>GRMZM5G839518</t>
  </si>
  <si>
    <t>GRMZM5G870219</t>
  </si>
  <si>
    <t>GRMZM2G146380</t>
  </si>
  <si>
    <t>GRMZM2G160710</t>
  </si>
  <si>
    <t>GRMZM2G056988</t>
  </si>
  <si>
    <t>GRMZM2G095904</t>
  </si>
  <si>
    <t>GRMZM2G074604</t>
  </si>
  <si>
    <t>GRMZM2G139765</t>
  </si>
  <si>
    <t>GRMZM2G117164</t>
  </si>
  <si>
    <t>YS1</t>
  </si>
  <si>
    <t>GRMZM2G171406</t>
  </si>
  <si>
    <t>GRMZM2G057386</t>
  </si>
  <si>
    <t>GRMZM2G112244</t>
  </si>
  <si>
    <t>GRMZM2G071277</t>
  </si>
  <si>
    <t>GRMZM2G011006</t>
  </si>
  <si>
    <t>GRMZM2G045154</t>
  </si>
  <si>
    <t>GRMZM2G150363</t>
  </si>
  <si>
    <t>GRMZM2G164912</t>
  </si>
  <si>
    <t>GRMZM2G059496</t>
  </si>
  <si>
    <t>GRMZM2G380432</t>
  </si>
  <si>
    <t>GRMZM5G878558</t>
  </si>
  <si>
    <t>GRMZM2G467756</t>
  </si>
  <si>
    <t>GRMZM2G034404</t>
  </si>
  <si>
    <t>AC205362.4_FG002</t>
  </si>
  <si>
    <t>GRMZM2G099619</t>
  </si>
  <si>
    <t>GRMZM2G334181</t>
  </si>
  <si>
    <t>GRMZM2G454424</t>
  </si>
  <si>
    <t>GRMZM2G102737</t>
  </si>
  <si>
    <t>GRMZM2G176354</t>
  </si>
  <si>
    <t>GRMZM2G124815</t>
  </si>
  <si>
    <t>GRMZM2G380377</t>
  </si>
  <si>
    <t>GRMZM2G091490</t>
  </si>
  <si>
    <t>GRMZM2G007489</t>
  </si>
  <si>
    <t>GRMZM2G152777</t>
  </si>
  <si>
    <t>GRMZM2G056116</t>
  </si>
  <si>
    <t>AC205886.3_FG001</t>
  </si>
  <si>
    <t>GRMZM2G349670</t>
  </si>
  <si>
    <t>AC209050.3_FG003</t>
  </si>
  <si>
    <t>AC200122.4_FG004</t>
  </si>
  <si>
    <t>GRMZM2G012263</t>
  </si>
  <si>
    <t>GRMZM2G122577</t>
  </si>
  <si>
    <t>GRMZM2G150187</t>
  </si>
  <si>
    <t>GRMZM2G108714</t>
  </si>
  <si>
    <t>GRMZM2G352618</t>
  </si>
  <si>
    <t>GRMZM2G323888</t>
  </si>
  <si>
    <t>GRMZM2G447795</t>
  </si>
  <si>
    <t>GRMZM2G051806</t>
  </si>
  <si>
    <t>GRMZM2G317426</t>
  </si>
  <si>
    <t>GRMZM5G813363</t>
  </si>
  <si>
    <t>GRMZM2G148064</t>
  </si>
  <si>
    <t>GRMZM2G147245</t>
  </si>
  <si>
    <t>GRMZM2G007195</t>
  </si>
  <si>
    <t>GRMZM2G340444</t>
  </si>
  <si>
    <t>GRMZM2G012021</t>
  </si>
  <si>
    <t>GRMZM2G319109</t>
  </si>
  <si>
    <t>AC209636.2_FG003</t>
  </si>
  <si>
    <t>GRMZM2G121514</t>
  </si>
  <si>
    <t>GRMZM2G000836</t>
  </si>
  <si>
    <t>GRMZM2G171139</t>
  </si>
  <si>
    <t>GRMZM2G160354</t>
  </si>
  <si>
    <t>GRMZM2G140721</t>
  </si>
  <si>
    <t>GRMZM2G140817</t>
  </si>
  <si>
    <t>GRMZM2G313078</t>
  </si>
  <si>
    <t>GRMZM2G371313</t>
  </si>
  <si>
    <t>GRMZM2G126079</t>
  </si>
  <si>
    <t>GRMZM2G175232</t>
  </si>
  <si>
    <t>GRMZM2G320373</t>
  </si>
  <si>
    <t>GRMZM2G113129</t>
  </si>
  <si>
    <t>GRMZM2G318180</t>
  </si>
  <si>
    <t>GRMZM2G059037</t>
  </si>
  <si>
    <t>GRMZM2G458448</t>
  </si>
  <si>
    <t>GRMZM2G122357</t>
  </si>
  <si>
    <t>GRMZM2G313184</t>
  </si>
  <si>
    <t>GRMZM2G134130</t>
  </si>
  <si>
    <t>GRMZM2G130728</t>
  </si>
  <si>
    <t>GRMZM2G057186</t>
  </si>
  <si>
    <t>GRMZM2G050412</t>
  </si>
  <si>
    <t>GRMZM2G163406</t>
  </si>
  <si>
    <t>AC194005.3_FG004</t>
  </si>
  <si>
    <t>GRMZM2G447347</t>
  </si>
  <si>
    <t>GRMZM5G813768</t>
  </si>
  <si>
    <t>GRMZM2G039383</t>
  </si>
  <si>
    <t>GRMZM2G333875</t>
  </si>
  <si>
    <t>GRMZM2G171028</t>
  </si>
  <si>
    <t>GRMZM2G122302</t>
  </si>
  <si>
    <t>GRMZM2G162755</t>
  </si>
  <si>
    <t>GRMZM2G001508</t>
  </si>
  <si>
    <t>GRMZM2G339091</t>
  </si>
  <si>
    <t>GRMZM2G061469</t>
  </si>
  <si>
    <t>DHN1</t>
  </si>
  <si>
    <t>GRMZM2G137535</t>
  </si>
  <si>
    <t>GRMZM2G132461</t>
  </si>
  <si>
    <t>GRMZM2G175860</t>
  </si>
  <si>
    <t>FDX6</t>
  </si>
  <si>
    <t>GRMZM2G135165</t>
  </si>
  <si>
    <t>GRMZM2G067156</t>
  </si>
  <si>
    <t>GRMZM2G146152</t>
  </si>
  <si>
    <t>GRMZM2G460617</t>
  </si>
  <si>
    <t>GRMZM2G140752</t>
  </si>
  <si>
    <t>GRMZM2G166452</t>
  </si>
  <si>
    <t>GRMZM2G427618</t>
  </si>
  <si>
    <t>GRMZM2G141026</t>
  </si>
  <si>
    <t>GRMZM2G124799</t>
  </si>
  <si>
    <t>GRMZM2G168898</t>
  </si>
  <si>
    <t>GRMZM2G174558</t>
  </si>
  <si>
    <t>GRMZM2G159008</t>
  </si>
  <si>
    <t>GRMZM2G090245</t>
  </si>
  <si>
    <t>GRMZM2G090087</t>
  </si>
  <si>
    <t>GRMZM5G846057</t>
  </si>
  <si>
    <t>GRMZM2G077436</t>
  </si>
  <si>
    <t>GRMZM2G045031</t>
  </si>
  <si>
    <t>GRMZM2G117281</t>
  </si>
  <si>
    <t>GRMZM2G465226</t>
  </si>
  <si>
    <t>GRMZM2G417954</t>
  </si>
  <si>
    <t>GRMZM2G425728</t>
  </si>
  <si>
    <t>GRMZM2G162359</t>
  </si>
  <si>
    <t>GRMZM2G340656</t>
  </si>
  <si>
    <t>GRMZM2G107065</t>
  </si>
  <si>
    <t>GRMZM5G855743</t>
  </si>
  <si>
    <t>GRMZM2G038926</t>
  </si>
  <si>
    <t>GRMZM5G817964</t>
  </si>
  <si>
    <t>GRMZM2G154747</t>
  </si>
  <si>
    <t>GRMZM2G054803</t>
  </si>
  <si>
    <t>GRMZM2G131836</t>
  </si>
  <si>
    <t>GRMZM2G050550</t>
  </si>
  <si>
    <t>GRMZM2G427400</t>
  </si>
  <si>
    <t>GRMZM2G032807</t>
  </si>
  <si>
    <t>GRMZM2G109327</t>
  </si>
  <si>
    <t>GRMZM2G086066</t>
  </si>
  <si>
    <t>GRMZM2G315431</t>
  </si>
  <si>
    <t>GRMZM2G171408</t>
  </si>
  <si>
    <t>GRMZM2G142898</t>
  </si>
  <si>
    <t>GRMZM2G141219</t>
  </si>
  <si>
    <t>GRMZM2G147966</t>
  </si>
  <si>
    <t>GRMZM2G431288</t>
  </si>
  <si>
    <t>GRMZM2G388045</t>
  </si>
  <si>
    <t>GRMZM2G009045</t>
  </si>
  <si>
    <t>GRMZM2G076778</t>
  </si>
  <si>
    <t>GRMZM2G416632</t>
  </si>
  <si>
    <t>GRMZM2G176430</t>
  </si>
  <si>
    <t>GRMZM2G109405</t>
  </si>
  <si>
    <t>GRMZM2G013530</t>
  </si>
  <si>
    <t>GRMZM2G050126</t>
  </si>
  <si>
    <t>GRMZM2G084757</t>
  </si>
  <si>
    <t>GRMZM2G406643</t>
  </si>
  <si>
    <t>GRMZM2G108615</t>
  </si>
  <si>
    <t>GRMZM2G075794</t>
  </si>
  <si>
    <t>GRMZM2G431039</t>
  </si>
  <si>
    <t>GRMZM2G019974</t>
  </si>
  <si>
    <t>AC203986.3_FG013</t>
  </si>
  <si>
    <t>GRMZM2G023346</t>
  </si>
  <si>
    <t>GRMZM2G027183</t>
  </si>
  <si>
    <t>GRMZM2G152179</t>
  </si>
  <si>
    <t>GRMZM2G459841</t>
  </si>
  <si>
    <t>GRMZM2G036134</t>
  </si>
  <si>
    <t>AC234159.1_FG002</t>
  </si>
  <si>
    <t>GRMZM2G027851</t>
  </si>
  <si>
    <t>GRMZM2G348863</t>
  </si>
  <si>
    <t>GRMZM2G427815</t>
  </si>
  <si>
    <t>PER42</t>
  </si>
  <si>
    <t>GRMZM2G181605</t>
  </si>
  <si>
    <t>GRMZM2G181607</t>
  </si>
  <si>
    <t>AC155434.2_FG003</t>
  </si>
  <si>
    <t>GRMZM2G177104</t>
  </si>
  <si>
    <t>GRMZM2G071436</t>
  </si>
  <si>
    <t>GRMZM2G015654</t>
  </si>
  <si>
    <t>GRMZM2G044194</t>
  </si>
  <si>
    <t>GRMZM2G148831</t>
  </si>
  <si>
    <t>GRMZM2G102079</t>
  </si>
  <si>
    <t>GRMZM2G003306</t>
  </si>
  <si>
    <t>GRMZM2G122810</t>
  </si>
  <si>
    <t>GRMZM2G076417</t>
  </si>
  <si>
    <t>GRMZM2G002396</t>
  </si>
  <si>
    <t>GRMZM2G132489</t>
  </si>
  <si>
    <t>PIP2-6</t>
  </si>
  <si>
    <t>GRMZM5G838475</t>
  </si>
  <si>
    <t>GRMZM2G123119</t>
  </si>
  <si>
    <t>GRMZM2G032766</t>
  </si>
  <si>
    <t>GRMZM2G308615</t>
  </si>
  <si>
    <t>GRMZM2G176721</t>
  </si>
  <si>
    <t>GRMZM2G155806</t>
  </si>
  <si>
    <t>GRMZM2G353313</t>
  </si>
  <si>
    <t>GRMZM2G169149</t>
  </si>
  <si>
    <t>GRMZM2G339728</t>
  </si>
  <si>
    <t>GRMZM2G121649</t>
  </si>
  <si>
    <t>GRMZM5G831102</t>
  </si>
  <si>
    <t>GRMZM2G174799</t>
  </si>
  <si>
    <t>GRMZM2G054277</t>
  </si>
  <si>
    <t>GRMZM2G097129</t>
  </si>
  <si>
    <t>GRMZM2G078465</t>
  </si>
  <si>
    <t>GRMZM2G065617</t>
  </si>
  <si>
    <t>GRMZM2G109448</t>
  </si>
  <si>
    <t>GRMZM2G125448</t>
  </si>
  <si>
    <t>GRMZM2G162893</t>
  </si>
  <si>
    <t>GRMZM2G468657</t>
  </si>
  <si>
    <t>GRMZM2G374971</t>
  </si>
  <si>
    <t>GRMZM2G179777</t>
  </si>
  <si>
    <t>GRMZM2G010702</t>
  </si>
  <si>
    <t>GRMZM2G049882</t>
  </si>
  <si>
    <t>GRMZM2G050501</t>
  </si>
  <si>
    <t>GRMZM2G167497</t>
  </si>
  <si>
    <t>GRMZM2G459820</t>
  </si>
  <si>
    <t>GRMZM2G056407</t>
  </si>
  <si>
    <t>GRMZM2G066636</t>
  </si>
  <si>
    <t>GRMZM2G326270</t>
  </si>
  <si>
    <t>GRMZM2G042347</t>
  </si>
  <si>
    <t>GRMZM2G304091</t>
  </si>
  <si>
    <t>GRMZM2G050325</t>
  </si>
  <si>
    <t>GRMZM2G015361</t>
  </si>
  <si>
    <t>zma-MIR169b</t>
  </si>
  <si>
    <t>GRMZM2G044128</t>
  </si>
  <si>
    <t>GRMZM2G058681</t>
  </si>
  <si>
    <t>GRMZM2G036290</t>
  </si>
  <si>
    <t>GRMZM5G825193</t>
  </si>
  <si>
    <t>GRMZM2G444567</t>
  </si>
  <si>
    <t>GRMZM2G001721</t>
  </si>
  <si>
    <t>GRMZM2G516301</t>
  </si>
  <si>
    <t>GRMZM2G095280</t>
  </si>
  <si>
    <t>GRMZM2G049695</t>
  </si>
  <si>
    <t>GRMZM2G173124</t>
  </si>
  <si>
    <t>AC195174.2_FG007</t>
  </si>
  <si>
    <t>GRMZM2G527017</t>
  </si>
  <si>
    <t>GRMZM2G467370</t>
  </si>
  <si>
    <t>GRMZM2G359018</t>
  </si>
  <si>
    <t>GRMZM2G148904</t>
  </si>
  <si>
    <t>GRMZM2G010016</t>
  </si>
  <si>
    <t>GRMZM2G477340</t>
  </si>
  <si>
    <t>GRMZM2G031827</t>
  </si>
  <si>
    <t>GRMZM2G157153</t>
  </si>
  <si>
    <t>GRMZM2G062974</t>
  </si>
  <si>
    <t>GRMZM2G060210</t>
  </si>
  <si>
    <t>GRMZM2G147221</t>
  </si>
  <si>
    <t>GRMZM2G026470</t>
  </si>
  <si>
    <t>GRMZM2G033799</t>
  </si>
  <si>
    <t>GRMZM2G167689</t>
  </si>
  <si>
    <t>GRMZM2G066041</t>
  </si>
  <si>
    <t>GRMZM5G802899</t>
  </si>
  <si>
    <t>GRMZM2G071223</t>
  </si>
  <si>
    <t>GRMZM2G420684</t>
  </si>
  <si>
    <t>GRMZM2G124759</t>
  </si>
  <si>
    <t>GRMZM2G013448</t>
  </si>
  <si>
    <t>AC187782.4_FG009</t>
  </si>
  <si>
    <t>GRMZM2G063583</t>
  </si>
  <si>
    <t>GRMZM2G022402</t>
  </si>
  <si>
    <t>GRMZM2G065829</t>
  </si>
  <si>
    <t>GRMZM2G052844</t>
  </si>
  <si>
    <t>GRMZM2G145554</t>
  </si>
  <si>
    <t>GRMZM2G017386</t>
  </si>
  <si>
    <t>GRMZM2G132547</t>
  </si>
  <si>
    <t>GRMZM2G077187</t>
  </si>
  <si>
    <t>GRMZM2G147721</t>
  </si>
  <si>
    <t>GRMZM2G067702</t>
  </si>
  <si>
    <t>GRMZM2G000581</t>
  </si>
  <si>
    <t>GRMZM2G031204</t>
  </si>
  <si>
    <t>GRMZM2G030688</t>
  </si>
  <si>
    <t>GRMZM2G112836</t>
  </si>
  <si>
    <t>GRMZM2G135362</t>
  </si>
  <si>
    <t>GRMZM2G035421</t>
  </si>
  <si>
    <t>GRMZM2G019515</t>
  </si>
  <si>
    <t>GRMZM2G146004</t>
  </si>
  <si>
    <t>GRMZM2G156632</t>
  </si>
  <si>
    <t>GRMZM2G176568</t>
  </si>
  <si>
    <t>GRMZM2G083328</t>
  </si>
  <si>
    <t>GRMZM2G130953</t>
  </si>
  <si>
    <t>GRMZM2G375159</t>
  </si>
  <si>
    <t>GRMZM2G058491</t>
  </si>
  <si>
    <t>GRMZM2G007151</t>
  </si>
  <si>
    <t>GRMZM2G114588</t>
  </si>
  <si>
    <t>GRMZM5G842965</t>
  </si>
  <si>
    <t>GRMZM2G103914</t>
  </si>
  <si>
    <t>GRMZM2G009719</t>
  </si>
  <si>
    <t>GRMZM2G142870</t>
  </si>
  <si>
    <t>GRMZM2G103479</t>
  </si>
  <si>
    <t>GRMZM2G410352</t>
  </si>
  <si>
    <t>FPS</t>
  </si>
  <si>
    <t>GRMZM2G063880</t>
  </si>
  <si>
    <t>GRMZM2G141353</t>
  </si>
  <si>
    <t>GRMZM5G822426</t>
  </si>
  <si>
    <t>GRMZM2G050364</t>
  </si>
  <si>
    <t>GRMZM2G008464</t>
  </si>
  <si>
    <t>GRMZM2G389070</t>
  </si>
  <si>
    <t>GRMZM2G464244</t>
  </si>
  <si>
    <t>GRMZM2G007404</t>
  </si>
  <si>
    <t>GRMZM2G057116</t>
  </si>
  <si>
    <t>GRMZM2G112284</t>
  </si>
  <si>
    <t>GRMZM2G340297</t>
  </si>
  <si>
    <t>GRMZM2G055667</t>
  </si>
  <si>
    <t>GRMZM2G382035</t>
  </si>
  <si>
    <t>GRMZM2G050286</t>
  </si>
  <si>
    <t>AC197705.4_FG003</t>
  </si>
  <si>
    <t>GRMZM2G095807</t>
  </si>
  <si>
    <t>AC205471.4_FG007</t>
  </si>
  <si>
    <t>GRMZM2G351937</t>
  </si>
  <si>
    <t>GRMZM2G092804</t>
  </si>
  <si>
    <t>GRMZM2G088132</t>
  </si>
  <si>
    <t>GRMZM5G842645</t>
  </si>
  <si>
    <t>GRMZM2G074540</t>
  </si>
  <si>
    <t>GRMZM5G830949</t>
  </si>
  <si>
    <t>GRMZM2G321290</t>
  </si>
  <si>
    <t>GRMZM5G812272</t>
  </si>
  <si>
    <t>GRMZM2G126235</t>
  </si>
  <si>
    <t>GRMZM2G080767</t>
  </si>
  <si>
    <t>GRMZM2G014089</t>
  </si>
  <si>
    <t>GRMZM2G173965</t>
  </si>
  <si>
    <t>GRMZM2G003406</t>
  </si>
  <si>
    <t>TIP1-2</t>
  </si>
  <si>
    <t>GRMZM2G168375</t>
  </si>
  <si>
    <t>GRMZM2G371079</t>
  </si>
  <si>
    <t>GRMZM2G371033</t>
  </si>
  <si>
    <t>GRMZM2G024799</t>
  </si>
  <si>
    <t>GRMZM2G049418</t>
  </si>
  <si>
    <t>GRMZM2G405094</t>
  </si>
  <si>
    <t>GRMZM2G143640</t>
  </si>
  <si>
    <t>GRMZM2G115422</t>
  </si>
  <si>
    <t>CISZOG2</t>
  </si>
  <si>
    <t>GRMZM2G169329</t>
  </si>
  <si>
    <t>GRMZM2G064530</t>
  </si>
  <si>
    <t>GRMZM2G447271</t>
  </si>
  <si>
    <t>GRMZM2G138698</t>
  </si>
  <si>
    <t>GRMZM2G132185</t>
  </si>
  <si>
    <t>GRMZM2G106344</t>
  </si>
  <si>
    <t>GRMZM2G446170</t>
  </si>
  <si>
    <t>GRMZM2G341658</t>
  </si>
  <si>
    <t>GRMZM5G812326</t>
  </si>
  <si>
    <t>GRMZM2G451394</t>
  </si>
  <si>
    <t>NIP2-3</t>
  </si>
  <si>
    <t>GRMZM5G862101</t>
  </si>
  <si>
    <t>GRMZM2G000236</t>
  </si>
  <si>
    <t>GRMZM2G140689</t>
  </si>
  <si>
    <t>GRMZM2G052562</t>
  </si>
  <si>
    <t>GRMZM2G144173</t>
  </si>
  <si>
    <t>GRMZM2G408308</t>
  </si>
  <si>
    <t>GRMZM2G008539</t>
  </si>
  <si>
    <t>GRMZM2G089506</t>
  </si>
  <si>
    <t>AC206169.3_FG002</t>
  </si>
  <si>
    <t>GRMZM2G166459</t>
  </si>
  <si>
    <t>GRMZM2G126900</t>
  </si>
  <si>
    <t>GRMZM2G084947</t>
  </si>
  <si>
    <t>GRMZM2G118047</t>
  </si>
  <si>
    <t>GRMZM2G098988</t>
  </si>
  <si>
    <t>GRMZM2G180122</t>
  </si>
  <si>
    <t>GRMZM2G033179</t>
  </si>
  <si>
    <t>GRMZM2G122447</t>
  </si>
  <si>
    <t>GRMZM2G111711</t>
  </si>
  <si>
    <t>GRMZM2G029912</t>
  </si>
  <si>
    <t>GRMZM2G339725</t>
  </si>
  <si>
    <t>GRMZM2G094990</t>
  </si>
  <si>
    <t>GRMZM2G093096</t>
  </si>
  <si>
    <t>GRMZM2G109326</t>
  </si>
  <si>
    <t>GRMZM2G149273</t>
  </si>
  <si>
    <t>GRMZM2G404249</t>
  </si>
  <si>
    <t>GRMZM2G129815</t>
  </si>
  <si>
    <t>GRMZM2G145568</t>
  </si>
  <si>
    <t>GRMZM2G123107</t>
  </si>
  <si>
    <t>GRMZM2G147787</t>
  </si>
  <si>
    <t>GRMZM2G440918</t>
  </si>
  <si>
    <t>GRMZM2G084859</t>
  </si>
  <si>
    <t>GRMZM2G113060</t>
  </si>
  <si>
    <t>GRMZM2G051219</t>
  </si>
  <si>
    <t>GRMZM2G161905</t>
  </si>
  <si>
    <t>GRMZM2G057672</t>
  </si>
  <si>
    <t>GRMZM2G026833</t>
  </si>
  <si>
    <t>GRMZM2G323422</t>
  </si>
  <si>
    <t>GRMZM2G038928</t>
  </si>
  <si>
    <t>GRMZM2G070315</t>
  </si>
  <si>
    <t>GRMZM2G160005</t>
  </si>
  <si>
    <t>GRMZM2G478553</t>
  </si>
  <si>
    <t>GRMZM2G014240</t>
  </si>
  <si>
    <t>GRMZM2G099363</t>
  </si>
  <si>
    <t>GRMZM2G074611</t>
  </si>
  <si>
    <t>GRMZM2G171395</t>
  </si>
  <si>
    <t>GRMZM2G018988</t>
  </si>
  <si>
    <t>GRMZM2G013398</t>
  </si>
  <si>
    <t>GRMZM5G890783</t>
  </si>
  <si>
    <t>GRMZM2G115698</t>
  </si>
  <si>
    <t>GRMZM2G480106</t>
  </si>
  <si>
    <t>GRMZM2G138370</t>
  </si>
  <si>
    <t>GRMZM2G343048</t>
  </si>
  <si>
    <t>GRMZM2G040838</t>
  </si>
  <si>
    <t>GRMZM2G026184</t>
  </si>
  <si>
    <t>GRMZM2G125441</t>
  </si>
  <si>
    <t>GRMZM2G161472</t>
  </si>
  <si>
    <t>GRMZM2G026143</t>
  </si>
  <si>
    <t>GRMZM2G337594</t>
  </si>
  <si>
    <t>AC202930.4_FG008</t>
  </si>
  <si>
    <t>GRMZM2G092146</t>
  </si>
  <si>
    <t>GRMZM2G407631</t>
  </si>
  <si>
    <t>AC219190.3_FG002</t>
  </si>
  <si>
    <t>GRMZM2G070115</t>
  </si>
  <si>
    <t>GRMZM2G454449</t>
  </si>
  <si>
    <t>GRMZM2G082520</t>
  </si>
  <si>
    <t>GRMZM6G735128</t>
  </si>
  <si>
    <t>GRMZM2G132238</t>
  </si>
  <si>
    <t>GRMZM2G012140</t>
  </si>
  <si>
    <t>GRMZM2G112402</t>
  </si>
  <si>
    <t>GRMZM2G033846</t>
  </si>
  <si>
    <t>GRMZM2G031637</t>
  </si>
  <si>
    <t>GRMZM2G118959</t>
  </si>
  <si>
    <t>GRMZM2G161293</t>
  </si>
  <si>
    <t>RPS20</t>
  </si>
  <si>
    <t>AC233893.1_FG006</t>
  </si>
  <si>
    <t>GRMZM2G051689</t>
  </si>
  <si>
    <t>GRMZM2G330945</t>
  </si>
  <si>
    <t>GRMZM2G472696</t>
  </si>
  <si>
    <t>GRMZM2G106263</t>
  </si>
  <si>
    <t>GRMZM2G037327</t>
  </si>
  <si>
    <t>RPOA</t>
  </si>
  <si>
    <t>GRMZM5G838396</t>
  </si>
  <si>
    <t>GRMZM6G423719</t>
  </si>
  <si>
    <t>GRMZM6G724181</t>
  </si>
  <si>
    <t>GRMZM6G880411</t>
  </si>
  <si>
    <t>GRMZM6G449101</t>
  </si>
  <si>
    <t>GRMZM6G577189</t>
  </si>
  <si>
    <t>GRMZM2G164486</t>
  </si>
  <si>
    <t>GRMZM2G024099</t>
  </si>
  <si>
    <t>AC177946.2_FG004</t>
  </si>
  <si>
    <t>GRMZM2G013430</t>
  </si>
  <si>
    <t>GRMZM2G116823</t>
  </si>
  <si>
    <t>GRMZM2G149647</t>
  </si>
  <si>
    <t>GRMZM2G340286</t>
  </si>
  <si>
    <t>GRMZM2G020523</t>
  </si>
  <si>
    <t>GRMZM2G099467</t>
  </si>
  <si>
    <t>GRMZM2G304132</t>
  </si>
  <si>
    <t>GRMZM2G477139</t>
  </si>
  <si>
    <t>AC211467.4_FG002</t>
  </si>
  <si>
    <t>GRMZM2G162158</t>
  </si>
  <si>
    <t>GRMZM2G059064</t>
  </si>
  <si>
    <t>GRMZM2G164062</t>
  </si>
  <si>
    <t>GRMZM2G533147</t>
  </si>
  <si>
    <t>GRMZM2G134205</t>
  </si>
  <si>
    <t>GRMZM2G359559</t>
  </si>
  <si>
    <t>GRMZM2G083538</t>
  </si>
  <si>
    <t>GRMZM2G477872</t>
  </si>
  <si>
    <t>GRMZM2G448151</t>
  </si>
  <si>
    <t>GRMZM2G448389</t>
  </si>
  <si>
    <t>GRMZM2G048522</t>
  </si>
  <si>
    <t>GRMZM2G059397</t>
  </si>
  <si>
    <t>GRMZM2G046700</t>
  </si>
  <si>
    <t>GRMZM5G805732</t>
  </si>
  <si>
    <t>GRMZM2G095798</t>
  </si>
  <si>
    <t>GRMZM2G047456</t>
  </si>
  <si>
    <t>GRMZM2G151249</t>
  </si>
  <si>
    <t>GRMZM2G470422</t>
  </si>
  <si>
    <t>GRMZM2G475059</t>
  </si>
  <si>
    <t>GRMZM2G153920</t>
  </si>
  <si>
    <t>GRMZM2G149636</t>
  </si>
  <si>
    <t>GRMZM2G087186</t>
  </si>
  <si>
    <t>GRMZM2G475971</t>
  </si>
  <si>
    <t>GRMZM2G306919</t>
  </si>
  <si>
    <t>GRMZM2G396212</t>
  </si>
  <si>
    <t>GRMZM2G412430</t>
  </si>
  <si>
    <t>GRMZM2G313104</t>
  </si>
  <si>
    <t>GRMZM2G425430</t>
  </si>
  <si>
    <t>GRMZM5G867121</t>
  </si>
  <si>
    <t>GRMZM2G154565</t>
  </si>
  <si>
    <t>GRMZM2G172450</t>
  </si>
  <si>
    <t>GRMZM2G159587</t>
  </si>
  <si>
    <t>AC190763.3_FG002</t>
  </si>
  <si>
    <t>GRMZM2G130149</t>
  </si>
  <si>
    <t>GRMZM2G137861</t>
  </si>
  <si>
    <t>GRMZM2G362303</t>
  </si>
  <si>
    <t>GRMZM2G020631</t>
  </si>
  <si>
    <t>AC209845.4_FG010</t>
  </si>
  <si>
    <t>NDHK</t>
  </si>
  <si>
    <t>GRMZM5G825090</t>
  </si>
  <si>
    <t>GRMZM2G303157</t>
  </si>
  <si>
    <t>GRMZM2G429940</t>
  </si>
  <si>
    <t>GRMZM2G108949</t>
  </si>
  <si>
    <t>GRMZM2G108514</t>
  </si>
  <si>
    <t>GRMZM2G455817</t>
  </si>
  <si>
    <t>GRMZM2G366373</t>
  </si>
  <si>
    <t>GRMZM2G043191</t>
  </si>
  <si>
    <t>GRMZM2G149024</t>
  </si>
  <si>
    <t>GRMZM2G146108</t>
  </si>
  <si>
    <t>GRMZM2G026780</t>
  </si>
  <si>
    <t>GRMZM2G478779</t>
  </si>
  <si>
    <t>GRMZM2G368886</t>
  </si>
  <si>
    <t>GRMZM2G004060</t>
  </si>
  <si>
    <t>GRMZM2G091891</t>
  </si>
  <si>
    <t>GRMZM2G178817</t>
  </si>
  <si>
    <t>GRMZM2G136508</t>
  </si>
  <si>
    <t>GRMZM2G132875</t>
  </si>
  <si>
    <t>GRMZM2G414503</t>
  </si>
  <si>
    <t>GRMZM5G828581</t>
  </si>
  <si>
    <t>GRMZM2G176472</t>
  </si>
  <si>
    <t>AC205413.4_FG001</t>
  </si>
  <si>
    <t>GRMZM2G140448</t>
  </si>
  <si>
    <t>GRMZM2G330635</t>
  </si>
  <si>
    <t>GRMZM2G439668</t>
  </si>
  <si>
    <t>GRMZM2G478430</t>
  </si>
  <si>
    <t>GRMZM2G052100</t>
  </si>
  <si>
    <t>GRMZM2G070279</t>
  </si>
  <si>
    <t>GRMZM2G449094</t>
  </si>
  <si>
    <t>GRMZM2G010257</t>
  </si>
  <si>
    <t>GRMZM2G168985</t>
  </si>
  <si>
    <t>GRMZM2G443445</t>
  </si>
  <si>
    <t>GRMZM2G071771</t>
  </si>
  <si>
    <t>GRMZM2G050216</t>
  </si>
  <si>
    <t>GRMZM2G351330</t>
  </si>
  <si>
    <t>GRMZM2G111975</t>
  </si>
  <si>
    <t>GRMZM2G119975</t>
  </si>
  <si>
    <t>GRMZM2G022699</t>
  </si>
  <si>
    <t>GRMZM2G408598</t>
  </si>
  <si>
    <t>GRMZM2G091124</t>
  </si>
  <si>
    <t>GRMZM2G019085</t>
  </si>
  <si>
    <t>GRMZM5G807110</t>
  </si>
  <si>
    <t>GRMZM2G450273</t>
  </si>
  <si>
    <t>GRMZM2G044493</t>
  </si>
  <si>
    <t>GRMZM2G155437</t>
  </si>
  <si>
    <t>GRMZM2G703214</t>
  </si>
  <si>
    <t>GRMZM2G069602</t>
  </si>
  <si>
    <t>GRMZM2G044472</t>
  </si>
  <si>
    <t>GRMZM2G340534</t>
  </si>
  <si>
    <t>GRMZM2G105250</t>
  </si>
  <si>
    <t>GRMZM2G113370</t>
  </si>
  <si>
    <t>GRMZM2G340048</t>
  </si>
  <si>
    <t>GRMZM2G043154</t>
  </si>
  <si>
    <t>GRMZM2G125004</t>
  </si>
  <si>
    <t>GRMZM2G166971</t>
  </si>
  <si>
    <t>GRMZM2G068220</t>
  </si>
  <si>
    <t>GRMZM5G843434</t>
  </si>
  <si>
    <t>GRMZM2G154735</t>
  </si>
  <si>
    <t>GRMZM2G180172</t>
  </si>
  <si>
    <t>GRMZM2G310548</t>
  </si>
  <si>
    <t>GRMZM2G444560</t>
  </si>
  <si>
    <t>GRMZM2G379540</t>
  </si>
  <si>
    <t>GRMZM2G070863</t>
  </si>
  <si>
    <t>GRMZM2G032721</t>
  </si>
  <si>
    <t>GRMZM2G009125</t>
  </si>
  <si>
    <t>GRMZM2G126062</t>
  </si>
  <si>
    <t>GRMZM2G157869</t>
  </si>
  <si>
    <t>GRMZM2G032430</t>
  </si>
  <si>
    <t>GRMZM2G079616</t>
  </si>
  <si>
    <t>GRMZM2G071744</t>
  </si>
  <si>
    <t>GRMZM2G085924</t>
  </si>
  <si>
    <t>GRMZM5G863076</t>
  </si>
  <si>
    <t>GRMZM2G055883</t>
  </si>
  <si>
    <t>AC210204.3_FG002</t>
  </si>
  <si>
    <t>GRMZM2G125775</t>
  </si>
  <si>
    <t>GRMZM2G100372</t>
  </si>
  <si>
    <t>GRMZM2G125850</t>
  </si>
  <si>
    <t>GRMZM2G087625</t>
  </si>
  <si>
    <t>GRMZM2G140231</t>
  </si>
  <si>
    <t>GRMZM2G064640</t>
  </si>
  <si>
    <t>GRMZM2G163826</t>
  </si>
  <si>
    <t>GRMZM2G056329</t>
  </si>
  <si>
    <t>GRMZM2G160515</t>
  </si>
  <si>
    <t>GRMZM2G372058</t>
  </si>
  <si>
    <t>GRMZM2G099678</t>
  </si>
  <si>
    <t>AC233853.1_FG003</t>
  </si>
  <si>
    <t>GRMZM2G413857</t>
  </si>
  <si>
    <t>GRMZM5G804783</t>
  </si>
  <si>
    <t>GRMZM2G136106</t>
  </si>
  <si>
    <t>GRMZM2G169382</t>
  </si>
  <si>
    <t>GRMZM2G383699</t>
  </si>
  <si>
    <t>GRMZM2G105368</t>
  </si>
  <si>
    <t>GRMZM2G169562</t>
  </si>
  <si>
    <t>GRMZM2G140107</t>
  </si>
  <si>
    <t>GRMZM2G008726</t>
  </si>
  <si>
    <t>GRMZM2G359076</t>
  </si>
  <si>
    <t>GRMZM2G546097</t>
  </si>
  <si>
    <t>GRMZM2G070797</t>
  </si>
  <si>
    <t>GRMZM2G144668</t>
  </si>
  <si>
    <t>GRMZM2G144648</t>
  </si>
  <si>
    <t>GRMZM2G014797</t>
  </si>
  <si>
    <t>GRMZM2G405385</t>
  </si>
  <si>
    <t>GRMZM2G081090</t>
  </si>
  <si>
    <t>GRMZM2G039365</t>
  </si>
  <si>
    <t>GRMZM2G074229</t>
  </si>
  <si>
    <t>GRMZM2G148087</t>
  </si>
  <si>
    <t>GRMZM2G386113</t>
  </si>
  <si>
    <t>GRMZM2G058394</t>
  </si>
  <si>
    <t>GRMZM2G455321</t>
  </si>
  <si>
    <t>GRMZM2G106377</t>
  </si>
  <si>
    <t>GRMZM2G126541</t>
  </si>
  <si>
    <t>GRMZM2G165461</t>
  </si>
  <si>
    <t>GRMZM2G122503</t>
  </si>
  <si>
    <t>GRMZM2G117942</t>
  </si>
  <si>
    <t>GRMZM2G003970</t>
  </si>
  <si>
    <t>GRMZM2G093622</t>
  </si>
  <si>
    <t>GRMZM2G093606</t>
  </si>
  <si>
    <t>GRMZM2G157298</t>
  </si>
  <si>
    <t>GRMZM2G475702</t>
  </si>
  <si>
    <t>GRMZM2G009019</t>
  </si>
  <si>
    <t>GRMZM2G104741</t>
  </si>
  <si>
    <t>GRMZM2G165387</t>
  </si>
  <si>
    <t>GRMZM2G111415</t>
  </si>
  <si>
    <t>GRMZM2G388587</t>
  </si>
  <si>
    <t>GRMZM2G004699</t>
  </si>
  <si>
    <t>GRMZM2G065652</t>
  </si>
  <si>
    <t>GRMZM5G880632</t>
  </si>
  <si>
    <t>GRMZM2G455909</t>
  </si>
  <si>
    <t>GRMZM2G013170</t>
  </si>
  <si>
    <t>GRMZM2G457287</t>
  </si>
  <si>
    <t>GRMZM2G117971</t>
  </si>
  <si>
    <t>GRMZM2G143373</t>
  </si>
  <si>
    <t>GRMZM2G469499</t>
  </si>
  <si>
    <t>GRMZM2G174449</t>
  </si>
  <si>
    <t>GRMZM2G030772</t>
  </si>
  <si>
    <t>GRMZM2G093076</t>
  </si>
  <si>
    <t>AC193632.2_FG002</t>
  </si>
  <si>
    <t>GRMZM2G167875</t>
  </si>
  <si>
    <t>GRMZM2G041344</t>
  </si>
  <si>
    <t>GRMZM2G021256</t>
  </si>
  <si>
    <t>GRMZM2G160541</t>
  </si>
  <si>
    <t>GRMZM2G011253</t>
  </si>
  <si>
    <t>GRMZM2G016948</t>
  </si>
  <si>
    <t>GRMZM2G090728</t>
  </si>
  <si>
    <t>GRMZM2G001200</t>
  </si>
  <si>
    <t>GRMZM2G418160</t>
  </si>
  <si>
    <t>GRMZM2G062600</t>
  </si>
  <si>
    <t>GRMZM2G143457</t>
  </si>
  <si>
    <t>GRMZM2G124229</t>
  </si>
  <si>
    <t>GRMZM2G010048</t>
  </si>
  <si>
    <t>GRMZM2G161411</t>
  </si>
  <si>
    <t>GRMZM5G851862</t>
  </si>
  <si>
    <t>GRMZM2G030169</t>
  </si>
  <si>
    <t>GRMZM2G326707</t>
  </si>
  <si>
    <t>GRMZM2G347766</t>
  </si>
  <si>
    <t>GRMZM2G425136</t>
  </si>
  <si>
    <t>GRMZM2G397402</t>
  </si>
  <si>
    <t>GRMZM5G815077</t>
  </si>
  <si>
    <t>GRMZM2G300119</t>
  </si>
  <si>
    <t>GRMZM2G133430</t>
  </si>
  <si>
    <t>GRMZM5G836353</t>
  </si>
  <si>
    <t>GRMZM2G113583</t>
  </si>
  <si>
    <t>GRMZM2G381283</t>
  </si>
  <si>
    <t>GRMZM2G153488</t>
  </si>
  <si>
    <t>GRMZM2G375153</t>
  </si>
  <si>
    <t>GRMZM2G315726</t>
  </si>
  <si>
    <t>GRMZM2G427444,RPS11</t>
  </si>
  <si>
    <t>GRMZM2G428379</t>
  </si>
  <si>
    <t>GRMZM5G879872</t>
  </si>
  <si>
    <t>GRMZM2G410865</t>
  </si>
  <si>
    <t>GRMZM2G112149</t>
  </si>
  <si>
    <t>GRMZM2G156748</t>
  </si>
  <si>
    <t>PETB</t>
  </si>
  <si>
    <t>GRMZM2G094543</t>
  </si>
  <si>
    <t>GRMZM2G046615</t>
  </si>
  <si>
    <t>GRMZM2G344205</t>
  </si>
  <si>
    <t>GRMZM2G462118</t>
  </si>
  <si>
    <t>GRMZM2G441417</t>
  </si>
  <si>
    <t>GRMZM2G130055</t>
  </si>
  <si>
    <t>GRMZM2G127984</t>
  </si>
  <si>
    <t>GRMZM2G443180</t>
  </si>
  <si>
    <t>GRMZM5G882364</t>
  </si>
  <si>
    <t>AC233938.1_FG003</t>
  </si>
  <si>
    <t>GRMZM2G334660</t>
  </si>
  <si>
    <t>GRMZM2G170016</t>
  </si>
  <si>
    <t>GRMZM2G135385</t>
  </si>
  <si>
    <t>GRMZM2G466044</t>
  </si>
  <si>
    <t>GRMZM2G468585</t>
  </si>
  <si>
    <t>GRMZM2G401436</t>
  </si>
  <si>
    <t>GRMZM2G111146</t>
  </si>
  <si>
    <t>GRMZM2G059526</t>
  </si>
  <si>
    <t>GRMZM2G480364</t>
  </si>
  <si>
    <t>GRMZM2G045927</t>
  </si>
  <si>
    <t>GRMZM5G857944</t>
  </si>
  <si>
    <t>GRMZM5G886006</t>
  </si>
  <si>
    <t>GRMZM2G127328</t>
  </si>
  <si>
    <t>GRMZM2G429322</t>
  </si>
  <si>
    <t>GRMZM2G039362</t>
  </si>
  <si>
    <t>GRMZM2G021909</t>
  </si>
  <si>
    <t>GRMZM2G136571</t>
  </si>
  <si>
    <t>GRMZM2G074358</t>
  </si>
  <si>
    <t>GRMZM2G141931</t>
  </si>
  <si>
    <t>GRMZM2G378770</t>
  </si>
  <si>
    <t>GRMZM2G170281</t>
  </si>
  <si>
    <t>GRMZM2G403076</t>
  </si>
  <si>
    <t>GRMZM2G062333</t>
  </si>
  <si>
    <t>GRMZM5G898274</t>
  </si>
  <si>
    <t>GRMZM2G132995</t>
  </si>
  <si>
    <t>AC187896.3_FG006</t>
  </si>
  <si>
    <t>GRMZM2G132212</t>
  </si>
  <si>
    <t>GRMZM2G380738</t>
  </si>
  <si>
    <t>GRMZM2G175995</t>
  </si>
  <si>
    <t>GRMZM2G101625</t>
  </si>
  <si>
    <t>GRMZM2G076329</t>
  </si>
  <si>
    <t>GRMZM2G312997</t>
  </si>
  <si>
    <t>GRMZM2G145461</t>
  </si>
  <si>
    <t>GRMZM2G089400</t>
  </si>
  <si>
    <t>GRMZM2G029685</t>
  </si>
  <si>
    <t>GRMZM2G064096</t>
  </si>
  <si>
    <t>GRMZM2G309071</t>
  </si>
  <si>
    <t>GRMZM2G140609</t>
  </si>
  <si>
    <t>GRMZM2G075782</t>
  </si>
  <si>
    <t>GRMZM2G013798</t>
  </si>
  <si>
    <t>GRMZM2G163883</t>
  </si>
  <si>
    <t>GRMZM2G163809</t>
  </si>
  <si>
    <t>GRMZM2G493395</t>
  </si>
  <si>
    <t>AC233933.1_FG001</t>
  </si>
  <si>
    <t>GRMZM2G177539</t>
  </si>
  <si>
    <t>GRMZM5G896560</t>
  </si>
  <si>
    <t>GRMZM2G027198</t>
  </si>
  <si>
    <t>GRMZM2G448924</t>
  </si>
  <si>
    <t>GRMZM2G177229</t>
  </si>
  <si>
    <t>GRMZM5G802881</t>
  </si>
  <si>
    <t>GRMZM2G174855</t>
  </si>
  <si>
    <t>GRMZM2G058310</t>
  </si>
  <si>
    <t>GRMZM2G057535</t>
  </si>
  <si>
    <t>GRMZM2G459663</t>
  </si>
  <si>
    <t>AC189078.3_FG004</t>
  </si>
  <si>
    <t>GRMZM2G125653</t>
  </si>
  <si>
    <t>AC234526.1_FG005</t>
  </si>
  <si>
    <t>GRMZM2G044968</t>
  </si>
  <si>
    <t>GRMZM5G876112</t>
  </si>
  <si>
    <t>GRMZM2G009103</t>
  </si>
  <si>
    <t>GRMZM2G431018</t>
  </si>
  <si>
    <t>GRMZM2G119705</t>
  </si>
  <si>
    <t>GRMZM2G381378</t>
  </si>
  <si>
    <t>GRMZM2G095164</t>
  </si>
  <si>
    <t>GRMZM2G022972</t>
  </si>
  <si>
    <t>GRMZM2G004519</t>
  </si>
  <si>
    <t>GRMZM2G131055</t>
  </si>
  <si>
    <t>GRMZM2G414315</t>
  </si>
  <si>
    <t>GRMZM2G331393</t>
  </si>
  <si>
    <t>GRMZM2G380561</t>
  </si>
  <si>
    <t>GRMZM2G042789</t>
  </si>
  <si>
    <t>GRMZM2G131315</t>
  </si>
  <si>
    <t>GRMZM2G061602</t>
  </si>
  <si>
    <t>GRMZM2G061403</t>
  </si>
  <si>
    <t>GRMZM2G579497</t>
  </si>
  <si>
    <t>GRMZM2G700757</t>
  </si>
  <si>
    <t>GRMZM2G148773</t>
  </si>
  <si>
    <t>GRMZM2G000035</t>
  </si>
  <si>
    <t>GRMZM2G154881</t>
  </si>
  <si>
    <t>GRMZM2G082959</t>
  </si>
  <si>
    <t>GRMZM2G116238</t>
  </si>
  <si>
    <t>GRMZM2G034421</t>
  </si>
  <si>
    <t>GRMZM2G432583</t>
  </si>
  <si>
    <t>GRMZM2G117007</t>
  </si>
  <si>
    <t>GRMZM2G101664</t>
  </si>
  <si>
    <t>GRMZM2G147544</t>
  </si>
  <si>
    <t>GRMZM2G028535</t>
  </si>
  <si>
    <t>GRMZM2G149317</t>
  </si>
  <si>
    <t>HSP70</t>
  </si>
  <si>
    <t>GRMZM2G106303</t>
  </si>
  <si>
    <t>GRMZM2G080839</t>
  </si>
  <si>
    <t>GRMZM2G051135</t>
  </si>
  <si>
    <t>GRMZM5G807957</t>
  </si>
  <si>
    <t>GRMZM2G115660</t>
  </si>
  <si>
    <t>GRMZM2G104626</t>
  </si>
  <si>
    <t>AC233899.1_FG005</t>
  </si>
  <si>
    <t>GRMZM2G428040</t>
  </si>
  <si>
    <t>GRMZM5G891656</t>
  </si>
  <si>
    <t>GRMZM5G841893</t>
  </si>
  <si>
    <t>GRMZM5G855994</t>
  </si>
  <si>
    <t>GRMZM2G426678</t>
  </si>
  <si>
    <t>GRMZM2G420619</t>
  </si>
  <si>
    <t>GRMZM2G159641</t>
  </si>
  <si>
    <t>GRMZM2G085246</t>
  </si>
  <si>
    <t>GRMZM2G095287</t>
  </si>
  <si>
    <t>GRMZM2G125813</t>
  </si>
  <si>
    <t>GRMZM2G178645</t>
  </si>
  <si>
    <t>GRMZM2G024996</t>
  </si>
  <si>
    <t>AC233955.1_FG008</t>
  </si>
  <si>
    <t>GRMZM2G361256</t>
  </si>
  <si>
    <t>ATPI</t>
  </si>
  <si>
    <t>RPL14</t>
  </si>
  <si>
    <t>GRMZM5G853305</t>
  </si>
  <si>
    <t>GRMZM6G186438</t>
  </si>
  <si>
    <t>GRMZM6G441368</t>
  </si>
  <si>
    <t>GRMZM2G417835</t>
  </si>
  <si>
    <t>GRMZM2G055101</t>
  </si>
  <si>
    <t>GRMZM2G341309</t>
  </si>
  <si>
    <t>GRMZM2G110000</t>
  </si>
  <si>
    <t>TS2</t>
  </si>
  <si>
    <t>GRMZM2G313934</t>
  </si>
  <si>
    <t>GRMZM5G815369</t>
  </si>
  <si>
    <t>GRMZM2G703641</t>
  </si>
  <si>
    <t>GRMZM2G572198</t>
  </si>
  <si>
    <t>GRMZM2G154580</t>
  </si>
  <si>
    <t>GRMZM2G368632</t>
  </si>
  <si>
    <t>AC177905.2_FG003</t>
  </si>
  <si>
    <t>GRMZM2G423472</t>
  </si>
  <si>
    <t>GRMZM2G061791</t>
  </si>
  <si>
    <t>GRMZM2G141607</t>
  </si>
  <si>
    <t>GRMZM2G324999</t>
  </si>
  <si>
    <t>GRMZM5G826174</t>
  </si>
  <si>
    <t>GRMZM2G130904</t>
  </si>
  <si>
    <t>GRMZM2G021055</t>
  </si>
  <si>
    <t>GRMZM2G177947</t>
  </si>
  <si>
    <t>GRMZM2G059964</t>
  </si>
  <si>
    <t>GRMZM2G159353</t>
  </si>
  <si>
    <t>GRMZM2G100020</t>
  </si>
  <si>
    <t>GRMZM2G325462</t>
  </si>
  <si>
    <t>GRMZM2G062946</t>
  </si>
  <si>
    <t>GRMZM5G849919</t>
  </si>
  <si>
    <t>GRMZM2G139852</t>
  </si>
  <si>
    <t>GRMZM5G818431</t>
  </si>
  <si>
    <t>AC177947.2_FG003</t>
  </si>
  <si>
    <t>GRMZM2G102483</t>
  </si>
  <si>
    <t>GRMZM2G089720</t>
  </si>
  <si>
    <t>GRMZM2G473036</t>
  </si>
  <si>
    <t>GRMZM2G058149</t>
  </si>
  <si>
    <t>GRMZM2G383631</t>
  </si>
  <si>
    <t>GRMZM2G401848</t>
  </si>
  <si>
    <t>GRMZM2G703772</t>
  </si>
  <si>
    <t>GRMZM2G093736</t>
  </si>
  <si>
    <t>GRMZM2G024668</t>
  </si>
  <si>
    <t>GRMZM2G400156</t>
  </si>
  <si>
    <t>GRMZM5G894432</t>
  </si>
  <si>
    <t>GRMZM2G101116</t>
  </si>
  <si>
    <t>GRMZM2G320269</t>
  </si>
  <si>
    <t>GRMZM2G004106</t>
  </si>
  <si>
    <t>GRMZM2G093776</t>
  </si>
  <si>
    <t>GRMZM5G883969</t>
  </si>
  <si>
    <t>GRMZM5G839644</t>
  </si>
  <si>
    <t>GRMZM2G565911</t>
  </si>
  <si>
    <t>GRMZM5G816432</t>
  </si>
  <si>
    <t>GRMZM2G146981</t>
  </si>
  <si>
    <t>GRMZM2G419166</t>
  </si>
  <si>
    <t>GRMZM2G079925</t>
  </si>
  <si>
    <t>GRMZM2G110567</t>
  </si>
  <si>
    <t>GRMZM5G885862</t>
  </si>
  <si>
    <t>GRMZM5G802115</t>
  </si>
  <si>
    <t>GRMZM2G438202</t>
  </si>
  <si>
    <t>GRMZM2G331770</t>
  </si>
  <si>
    <t>GRMZM2G101958</t>
  </si>
  <si>
    <t>GRMZM5G856142</t>
  </si>
  <si>
    <t>GRMZM2G034727</t>
  </si>
  <si>
    <t>GRMZM2G176998</t>
  </si>
  <si>
    <t>GRMZM2G046952</t>
  </si>
  <si>
    <t>GRMZM5G894619</t>
  </si>
  <si>
    <t>GRMZM2G429000</t>
  </si>
  <si>
    <t>AC208110.2_FG007</t>
  </si>
  <si>
    <t>GRMZM2G136895</t>
  </si>
  <si>
    <t>GRMZM2G426242</t>
  </si>
  <si>
    <t>GRMZM2G340065</t>
  </si>
  <si>
    <t>GRMZM2G142802</t>
  </si>
  <si>
    <t>GRMZM2G154437</t>
  </si>
  <si>
    <t>GRMZM2G046733</t>
  </si>
  <si>
    <t>GRMZM2G010962</t>
  </si>
  <si>
    <t>GRMZM2G089282</t>
  </si>
  <si>
    <t>GRMZM2G455978</t>
  </si>
  <si>
    <t>GRMZM2G044884</t>
  </si>
  <si>
    <t>GRMZM2G003775</t>
  </si>
  <si>
    <t>GRMZM2G018756</t>
  </si>
  <si>
    <t>LIP</t>
  </si>
  <si>
    <t>GRMZM2G071704</t>
  </si>
  <si>
    <t>GRMZM2G157822</t>
  </si>
  <si>
    <t>GRMZM2G455122</t>
  </si>
  <si>
    <t>GRMZM2G455290</t>
  </si>
  <si>
    <t>GRMZM2G414563</t>
  </si>
  <si>
    <t>GRMZM2G152516</t>
  </si>
  <si>
    <t>GRMZM2G039969</t>
  </si>
  <si>
    <t>GRMZM2G041369</t>
  </si>
  <si>
    <t>GRMZM2G357112</t>
  </si>
  <si>
    <t>GRMZM2G373554</t>
  </si>
  <si>
    <t>GRMZM2G416216</t>
  </si>
  <si>
    <t>GRMZM2G341499</t>
  </si>
  <si>
    <t>AC204539.4_FG003</t>
  </si>
  <si>
    <t>GRMZM2G087870</t>
  </si>
  <si>
    <t>GRMZM2G053833</t>
  </si>
  <si>
    <t>GRMZM2G099765</t>
  </si>
  <si>
    <t>GRMZM2G139813</t>
  </si>
  <si>
    <t>GRMZM2G084327</t>
  </si>
  <si>
    <t>GRMZM2G531230</t>
  </si>
  <si>
    <t>GRMZM2G000093</t>
  </si>
  <si>
    <t>GRMZM5G846550</t>
  </si>
  <si>
    <t>GRMZM2G081053</t>
  </si>
  <si>
    <t>GRMZM2G021560</t>
  </si>
  <si>
    <t>GRMZM2G347488</t>
  </si>
  <si>
    <t>GRMZM2G013357</t>
  </si>
  <si>
    <t>GRMZM2G438243</t>
  </si>
  <si>
    <t>GRMZM2G108686</t>
  </si>
  <si>
    <t>GRMZM2G071758</t>
  </si>
  <si>
    <t>GRMZM2G122038</t>
  </si>
  <si>
    <t>GRMZM2G153675</t>
  </si>
  <si>
    <t>GRMZM2G178182</t>
  </si>
  <si>
    <t>GRMZM2G164945</t>
  </si>
  <si>
    <t>GRMZM2G139284</t>
  </si>
  <si>
    <t>GRMZM2G123212</t>
  </si>
  <si>
    <t>GRMZM2G410567</t>
  </si>
  <si>
    <t>AC190841.2_FG007</t>
  </si>
  <si>
    <t>AC148152.3_FG005</t>
  </si>
  <si>
    <t>GRMZM2G479717</t>
  </si>
  <si>
    <t>GRMZM2G055313</t>
  </si>
  <si>
    <t>GRMZM2G081521</t>
  </si>
  <si>
    <t>GRMZM2G085504</t>
  </si>
  <si>
    <t>GRMZM2G001451</t>
  </si>
  <si>
    <t>GRMZM2G020423</t>
  </si>
  <si>
    <t>GRMZM2G111189</t>
  </si>
  <si>
    <t>AC204515.4_FG006</t>
  </si>
  <si>
    <t>GRMZM2G321839</t>
  </si>
  <si>
    <t>GRMZM2G016640</t>
  </si>
  <si>
    <t>AC207628.4_FG011</t>
  </si>
  <si>
    <t>AC233945.1_FG003</t>
  </si>
  <si>
    <t>GRMZM2G176489</t>
  </si>
  <si>
    <t>GRMZM2G126749</t>
  </si>
  <si>
    <t>GRMZM2G378452</t>
  </si>
  <si>
    <t>GRMZM2G038003</t>
  </si>
  <si>
    <t>GRMZM2G061527</t>
  </si>
  <si>
    <t>GRMZM2G018793</t>
  </si>
  <si>
    <t>GRMZM2G368126</t>
  </si>
  <si>
    <t>AC206425.3_FG002</t>
  </si>
  <si>
    <t>GRMZM2G076946</t>
  </si>
  <si>
    <t>GRMZM2G065088</t>
  </si>
  <si>
    <t>GRMZM2G406951</t>
  </si>
  <si>
    <t>GRMZM2G096458</t>
  </si>
  <si>
    <t>GRMZM2G128923</t>
  </si>
  <si>
    <t>GRMZM2G141392</t>
  </si>
  <si>
    <t>GRMZM2G014770</t>
  </si>
  <si>
    <t>GRMZM5G837754</t>
  </si>
  <si>
    <t>GRMZM2G023436</t>
  </si>
  <si>
    <t>GRMZM2G067583</t>
  </si>
  <si>
    <t>GRMZM2G066428</t>
  </si>
  <si>
    <t>GRMZM2G353076</t>
  </si>
  <si>
    <t>GRMZM2G081173</t>
  </si>
  <si>
    <t>GRMZM2G061230</t>
  </si>
  <si>
    <t>GRMZM2G025109</t>
  </si>
  <si>
    <t>GRMZM2G320705</t>
  </si>
  <si>
    <t>GRMZM2G047791</t>
  </si>
  <si>
    <t>GRMZM2G161521</t>
  </si>
  <si>
    <t>GRMZM2G081577</t>
  </si>
  <si>
    <t>AC203909.3_FG003</t>
  </si>
  <si>
    <t>GRMZM5G814904</t>
  </si>
  <si>
    <t>GRMZM2G000481</t>
  </si>
  <si>
    <t>GRMZM2G353734</t>
  </si>
  <si>
    <t>GRMZM2G064250</t>
  </si>
  <si>
    <t>GRMZM5G898259</t>
  </si>
  <si>
    <t>GRMZM2G128219</t>
  </si>
  <si>
    <t>GRMZM2G122848</t>
  </si>
  <si>
    <t>AC186156.3_FG005</t>
  </si>
  <si>
    <t>GRMZM2G084445</t>
  </si>
  <si>
    <t>GRMZM2G022799</t>
  </si>
  <si>
    <t>GRMZM2G117064</t>
  </si>
  <si>
    <t>GRMZM2G402167</t>
  </si>
  <si>
    <t>GRMZM2G177668</t>
  </si>
  <si>
    <t>GRMZM2G176173</t>
  </si>
  <si>
    <t>GRMZM2G174860</t>
  </si>
  <si>
    <t>GRMZM2G446189</t>
  </si>
  <si>
    <t>GRMZM2G007953</t>
  </si>
  <si>
    <t>AC187879.3_FG001</t>
  </si>
  <si>
    <t>AC214635.3_FG006</t>
  </si>
  <si>
    <t>GRMZM2G399112</t>
  </si>
  <si>
    <t>GRMZM2G162007</t>
  </si>
  <si>
    <t>GRMZM2G471594</t>
  </si>
  <si>
    <t>GRMZM2G033952</t>
  </si>
  <si>
    <t>GRMZM2G033236</t>
  </si>
  <si>
    <t>GRMZM2G130389</t>
  </si>
  <si>
    <t>GRMZM2G045057</t>
  </si>
  <si>
    <t>GRMZM2G481440</t>
  </si>
  <si>
    <t>GRMZM2G018673</t>
  </si>
  <si>
    <t>GRMZM2G374074</t>
  </si>
  <si>
    <t>CNR9</t>
  </si>
  <si>
    <t>AC212728.3_FG001</t>
  </si>
  <si>
    <t>AC210013.4_FG003</t>
  </si>
  <si>
    <t>GRMZM2G115612</t>
  </si>
  <si>
    <t>GRMZM2G166719</t>
  </si>
  <si>
    <t>GRMZM2G173596</t>
  </si>
  <si>
    <t>GRMZM5G821668</t>
  </si>
  <si>
    <t>GRMZM2G374475</t>
  </si>
  <si>
    <t>GRMZM2G064406</t>
  </si>
  <si>
    <t>GRMZM2G029879</t>
  </si>
  <si>
    <t>GRMZM2G010321</t>
  </si>
  <si>
    <t>GRMZM2G701781</t>
  </si>
  <si>
    <t>NIP1-1</t>
  </si>
  <si>
    <t>GRMZM2G173668</t>
  </si>
  <si>
    <t>GRMZM2G177356</t>
  </si>
  <si>
    <t>GRMZM2G434203</t>
  </si>
  <si>
    <t>GRMZM5G877956</t>
  </si>
  <si>
    <t>GRMZM2G076634</t>
  </si>
  <si>
    <t>GRMZM2G073114</t>
  </si>
  <si>
    <t>GRMZM5G865298</t>
  </si>
  <si>
    <t>GRMZM2G412373</t>
  </si>
  <si>
    <t>GRMZM2G025833</t>
  </si>
  <si>
    <t>GRMZM2G104484</t>
  </si>
  <si>
    <t>GRMZM2G042758</t>
  </si>
  <si>
    <t>GRMZM2G330012</t>
  </si>
  <si>
    <t>GRMZM2G133262</t>
  </si>
  <si>
    <t>GRMZM2G116140</t>
  </si>
  <si>
    <t>GRMZM5G848733</t>
  </si>
  <si>
    <t>GRMZM2G405459</t>
  </si>
  <si>
    <t>GRMZM2G476049</t>
  </si>
  <si>
    <t>GRMZM2G079682</t>
  </si>
  <si>
    <t>GRMZM2G179294</t>
  </si>
  <si>
    <t>GRMZM2G026943</t>
  </si>
  <si>
    <t>GRMZM2G068763</t>
  </si>
  <si>
    <t>GRMZM2G341957</t>
  </si>
  <si>
    <t>GRMZM2G399921</t>
  </si>
  <si>
    <t>GRMZM2G163776</t>
  </si>
  <si>
    <t>GRMZM2G084116</t>
  </si>
  <si>
    <t>GRMZM5G847462</t>
  </si>
  <si>
    <t>GRMZM2G146298</t>
  </si>
  <si>
    <t>GRMZM2G177726</t>
  </si>
  <si>
    <t>AC186592.3_FG003</t>
  </si>
  <si>
    <t>GRMZM5G835276</t>
  </si>
  <si>
    <t>GRMZM2G419542</t>
  </si>
  <si>
    <t>GRMZM2G145518</t>
  </si>
  <si>
    <t>GRMZM2G048194</t>
  </si>
  <si>
    <t>GRMZM2G085378</t>
  </si>
  <si>
    <t>GRMZM2G114801</t>
  </si>
  <si>
    <t>GRMZM2G117057</t>
  </si>
  <si>
    <t>AC188296.3_FG004</t>
  </si>
  <si>
    <t>GRMZM2G051619</t>
  </si>
  <si>
    <t>GRMZM2G363116</t>
  </si>
  <si>
    <t>GRMZM2G322220</t>
  </si>
  <si>
    <t>AC188838.3_FG005</t>
  </si>
  <si>
    <t>GRMZM2G059637</t>
  </si>
  <si>
    <t>GRMZM2G389301</t>
  </si>
  <si>
    <t>GRMZM2G017157</t>
  </si>
  <si>
    <t>GRMZM2G454514</t>
  </si>
  <si>
    <t>GRMZM2G002630</t>
  </si>
  <si>
    <t>GRMZM2G069335</t>
  </si>
  <si>
    <t>GRMZM2G533031</t>
  </si>
  <si>
    <t>GRMZM2G399495</t>
  </si>
  <si>
    <t>GRMZM2G145655</t>
  </si>
  <si>
    <t>GRMZM2G157536</t>
  </si>
  <si>
    <t>GRMZM2G001332</t>
  </si>
  <si>
    <t>GRMZM2G141756</t>
  </si>
  <si>
    <t>GRMZM2G381739</t>
  </si>
  <si>
    <t>GRMZM2G170397</t>
  </si>
  <si>
    <t>GRMZM2G114255</t>
  </si>
  <si>
    <t>GRMZM2G029249</t>
  </si>
  <si>
    <t>GRMZM2G011526</t>
  </si>
  <si>
    <t>GRMZM2G049990</t>
  </si>
  <si>
    <t>GRMZM2G128212</t>
  </si>
  <si>
    <t>GRMZM2G088964</t>
  </si>
  <si>
    <t>GRMZM2G018108</t>
  </si>
  <si>
    <t>GRMZM2G038931</t>
  </si>
  <si>
    <t>GRMZM2G144034</t>
  </si>
  <si>
    <t>AC196726.2_FG001</t>
  </si>
  <si>
    <t>GRMZM2G148272</t>
  </si>
  <si>
    <t>GRMZM2G136580</t>
  </si>
  <si>
    <t>GRMZM2G032878</t>
  </si>
  <si>
    <t>GRMZM2G032562</t>
  </si>
  <si>
    <t>GRMZM2G013920</t>
  </si>
  <si>
    <t>GRMZM2G170542</t>
  </si>
  <si>
    <t>GRMZM2G056875</t>
  </si>
  <si>
    <t>GRMZM2G128233</t>
  </si>
  <si>
    <t>GRMZM2G154752</t>
  </si>
  <si>
    <t>GRMZM2G358768</t>
  </si>
  <si>
    <t>GRMZM2G104339</t>
  </si>
  <si>
    <t>GRMZM2G131281</t>
  </si>
  <si>
    <t>GRMZM2G056743</t>
  </si>
  <si>
    <t>GRMZM2G180080</t>
  </si>
  <si>
    <t>GRMZM2G443843</t>
  </si>
  <si>
    <t>GRMZM2G181219</t>
  </si>
  <si>
    <t>GRMZM2G147716</t>
  </si>
  <si>
    <t>GRMZM2G114575</t>
  </si>
  <si>
    <t>GRMZM2G000451</t>
  </si>
  <si>
    <t>GRMZM2G304121</t>
  </si>
  <si>
    <t>GRMZM2G174343</t>
  </si>
  <si>
    <t>GRMZM2G022782</t>
  </si>
  <si>
    <t>GRMZM5G887068</t>
  </si>
  <si>
    <t>GRMZM2G136765</t>
  </si>
  <si>
    <t>GRMZM2G353236</t>
  </si>
  <si>
    <t>GRMZM2G134162</t>
  </si>
  <si>
    <t>GRMZM2G147226</t>
  </si>
  <si>
    <t>GRMZM2G034360</t>
  </si>
  <si>
    <t>GRMZM2G031607</t>
  </si>
  <si>
    <t>GRMZM2G012728</t>
  </si>
  <si>
    <t>GRMZM5G858471</t>
  </si>
  <si>
    <t>GRMZM2G147840</t>
  </si>
  <si>
    <t>GRMZM2G107479</t>
  </si>
  <si>
    <t>GRMZM2G441906</t>
  </si>
  <si>
    <t>GRMZM2G044077</t>
  </si>
  <si>
    <t>AC203862.4_FG001</t>
  </si>
  <si>
    <t>GRMZM2G096115</t>
  </si>
  <si>
    <t>GRMZM2G351941</t>
  </si>
  <si>
    <t>GRMZM2G076410</t>
  </si>
  <si>
    <t>GRMZM2G036409</t>
  </si>
  <si>
    <t>GRMZM2G100965</t>
  </si>
  <si>
    <t>GRMZM2G135044</t>
  </si>
  <si>
    <t>GRMZM2G049693</t>
  </si>
  <si>
    <t>GRMZM2G163178</t>
  </si>
  <si>
    <t>GRMZM5G812126</t>
  </si>
  <si>
    <t>GRMZM2G104092</t>
  </si>
  <si>
    <t>GRMZM2G004128</t>
  </si>
  <si>
    <t>GRMZM5G863602</t>
  </si>
  <si>
    <t>GRMZM2G472087</t>
  </si>
  <si>
    <t>GRMZM2G465383</t>
  </si>
  <si>
    <t>GRMZM2G704345</t>
  </si>
  <si>
    <t>GRMZM2G128577</t>
  </si>
  <si>
    <t>GRMZM2G080409</t>
  </si>
  <si>
    <t>GRMZM2G145085</t>
  </si>
  <si>
    <t>GRMZM2G462243</t>
  </si>
  <si>
    <t>GRMZM2G120475</t>
  </si>
  <si>
    <t>GRMZM2G024993</t>
  </si>
  <si>
    <t>GRMZM2G465169</t>
  </si>
  <si>
    <t>GRMZM2G098875</t>
  </si>
  <si>
    <t>GRMZM2G091233</t>
  </si>
  <si>
    <t>GRMZM2G036351</t>
  </si>
  <si>
    <t>AC149829.2_FG002</t>
  </si>
  <si>
    <t>AC199487.4_FG002</t>
  </si>
  <si>
    <t>GRMZM2G013206</t>
  </si>
  <si>
    <t>GRMZM2G008064</t>
  </si>
  <si>
    <t>GRMZM2G099522</t>
  </si>
  <si>
    <t>GRMZM2G179462</t>
  </si>
  <si>
    <t>AC185593.3_FG003</t>
  </si>
  <si>
    <t>GRMZM2G132273</t>
  </si>
  <si>
    <t>GRMZM2G127336</t>
  </si>
  <si>
    <t>GRMZM2G401883</t>
  </si>
  <si>
    <t>GRMZM2G119823</t>
  </si>
  <si>
    <t>GRMZM2G084576</t>
  </si>
  <si>
    <t>GRMZM5G800014</t>
  </si>
  <si>
    <t>GRMZM5G871600</t>
  </si>
  <si>
    <t>AC235540.1_FG002</t>
  </si>
  <si>
    <t>GRMZM2G701596</t>
  </si>
  <si>
    <t>GRMZM2G145374</t>
  </si>
  <si>
    <t>GRMZM2G071307</t>
  </si>
  <si>
    <t>GRMZM2G178875</t>
  </si>
  <si>
    <t>GRMZM2G154523</t>
  </si>
  <si>
    <t>GRMZM2G155873</t>
  </si>
  <si>
    <t>GRMZM2G132531</t>
  </si>
  <si>
    <t>GRMZM2G048584</t>
  </si>
  <si>
    <t>TIP3-1</t>
  </si>
  <si>
    <t>GRMZM2G325683</t>
  </si>
  <si>
    <t>GRMZM2G364373</t>
  </si>
  <si>
    <t>AC203048.3_FG001</t>
  </si>
  <si>
    <t>GRMZM2G143782</t>
  </si>
  <si>
    <t>GRMZM2G025491</t>
  </si>
  <si>
    <t>GRMZM2G351469</t>
  </si>
  <si>
    <t>GRMZM2G014729</t>
  </si>
  <si>
    <t>GRMZM5G813809</t>
  </si>
  <si>
    <t>GRMZM2G166176</t>
  </si>
  <si>
    <t>GRMZM2G132686</t>
  </si>
  <si>
    <t>GRMZM2G097141</t>
  </si>
  <si>
    <t>GRMZM2G148800</t>
  </si>
  <si>
    <t>GRMZM2G076613</t>
  </si>
  <si>
    <t>GRMZM2G157749</t>
  </si>
  <si>
    <t>PSBH</t>
  </si>
  <si>
    <t>B73 0 h</t>
  </si>
  <si>
    <t>B73 6 h</t>
  </si>
  <si>
    <t>B73 24 h</t>
  </si>
  <si>
    <t>Mo17 0 h</t>
  </si>
  <si>
    <t>Mo17 24 h</t>
  </si>
  <si>
    <t>Mo17 6 h</t>
  </si>
  <si>
    <t>Mo17 0 h</t>
    <phoneticPr fontId="1" type="noConversion"/>
  </si>
  <si>
    <t>Description</t>
  </si>
  <si>
    <t>membrane protein</t>
  </si>
  <si>
    <t>hypothetical protein SORBIDRAFT_01g049390</t>
  </si>
  <si>
    <t>acyl:coa ligase acetate-coa synthetase-like protein</t>
  </si>
  <si>
    <t>protein</t>
  </si>
  <si>
    <t>homeodomain-leucine zipper transcription factor ipi-1</t>
  </si>
  <si>
    <t>uncharacterized protein LOC100303821</t>
  </si>
  <si>
    <t>dopamine beta-monooxygenase</t>
  </si>
  <si>
    <t>helix-loop-helix dna-binding domain containing expressed</t>
  </si>
  <si>
    <t>glycosyl transferase</t>
  </si>
  <si>
    <t>pathogenesis-related protein 1</t>
  </si>
  <si>
    <t>sigma factor binding protein</t>
  </si>
  <si>
    <t>bidirectional sugar transporter sweet16-like</t>
  </si>
  <si>
    <t>terpene synthase 7</t>
  </si>
  <si>
    <t>binding protein</t>
  </si>
  <si>
    <t>o-methyltransferase zrp4</t>
  </si>
  <si>
    <t>auxin-induced protein 5ng4</t>
  </si>
  <si>
    <t>probable glutathione s-transferase gstu6-like</t>
  </si>
  <si>
    <t>proline dehydrogenase</t>
  </si>
  <si>
    <t>unknown</t>
  </si>
  <si>
    <t>uncharacterized protein LOC100276732</t>
  </si>
  <si>
    <t>uncharacterized protein LOC100383747</t>
  </si>
  <si>
    <t>alkaline alpha-galactosidase seed imbibition protein</t>
  </si>
  <si>
    <t>ethylene-responsive transcription factor</t>
  </si>
  <si>
    <t>avr9 cf-9 rapidly elicited protein</t>
  </si>
  <si>
    <t>histone</t>
  </si>
  <si>
    <t>o-succinylhomoserine sulfhydrylase</t>
  </si>
  <si>
    <t>phosphate transporter 4</t>
  </si>
  <si>
    <t>-dihydroxy-3-keto-5-methylthiopentene dioxygenase 4</t>
  </si>
  <si>
    <t>chitinase 2-like</t>
  </si>
  <si>
    <t>ent-copalyl diphosphate synthase</t>
  </si>
  <si>
    <t>dof-type zinc finger protein</t>
  </si>
  <si>
    <t>cytochrome p450 family expressed</t>
  </si>
  <si>
    <t>beta-expansin 4 precursor</t>
  </si>
  <si>
    <t>f-box domain containing expressed</t>
  </si>
  <si>
    <t>leucine-rich repeat extensin-like protein 6-like</t>
  </si>
  <si>
    <t>dna-binding protein</t>
  </si>
  <si>
    <t>hypothetical protein</t>
  </si>
  <si>
    <t>isoflavone reductase homolog a622-like</t>
  </si>
  <si>
    <t>protein binding protein</t>
  </si>
  <si>
    <t>heptahelical protein 4</t>
  </si>
  <si>
    <t>peroxidase n-like</t>
  </si>
  <si>
    <t>uncharacterized protein LOC100276586</t>
  </si>
  <si>
    <t>lac10_orysj ame: full=laccase-10 ame: full=benzenediol:oxygen oxidoreductase 10 ame: full=diphenol oxidase 10 ame: full=urishiol oxidase 10 flags: precursor</t>
  </si>
  <si>
    <t>33-kda secretory protein</t>
  </si>
  <si>
    <t>asparagine synthetase</t>
  </si>
  <si>
    <t>hypothetical protein SORBIDRAFT_01g035830</t>
  </si>
  <si>
    <t>mps one binder kinase activator-like 1a</t>
  </si>
  <si>
    <t>glucan endo- -beta-glucosidase 3 precursor</t>
  </si>
  <si>
    <t>glutathione s-transferase</t>
  </si>
  <si>
    <t>serine carboxypeptidase-like 34-like</t>
  </si>
  <si>
    <t>beta-expansin 1a precursor</t>
  </si>
  <si>
    <t>60s ribosomal protein l7-1</t>
  </si>
  <si>
    <t>serine carboxypeptidase family expressed</t>
  </si>
  <si>
    <t>Os10g0364900</t>
  </si>
  <si>
    <t>cold regulated protein 27</t>
  </si>
  <si>
    <t>strubbelig-receptor family 6</t>
  </si>
  <si>
    <t>pathogenesis-related protein 5</t>
  </si>
  <si>
    <t>epoxide hydrolase 2</t>
  </si>
  <si>
    <t>cell division protein aaa atpase family</t>
  </si>
  <si>
    <t>ribonuclease p protein subunit p25</t>
  </si>
  <si>
    <t>saur33 - auxin-responsive saur family member</t>
  </si>
  <si>
    <t>nad-malate dehydrogenase</t>
  </si>
  <si>
    <t>Os08g0432000</t>
  </si>
  <si>
    <t>calmodulin-binding protein</t>
  </si>
  <si>
    <t>10-deacetylbaccatin iii 10-o-acetyltransferase</t>
  </si>
  <si>
    <t>cbs domain-containing protein cbsx5-like</t>
  </si>
  <si>
    <t>subtilase family protein</t>
  </si>
  <si>
    <t>transmembrane expressed</t>
  </si>
  <si>
    <t>cellulose synthase-like protein slf1</t>
  </si>
  <si>
    <t>kinase-interacting protein 1</t>
  </si>
  <si>
    <t>zim motif family protein</t>
  </si>
  <si>
    <t>zinc finger</t>
  </si>
  <si>
    <t>transposon protein</t>
  </si>
  <si>
    <t>vq motif family protein</t>
  </si>
  <si>
    <t>sulfotransferase 17-like</t>
  </si>
  <si>
    <t>nodule-specific protein</t>
  </si>
  <si>
    <t>gmp synthase</t>
  </si>
  <si>
    <t>seed maturation protein pm41</t>
  </si>
  <si>
    <t>sterol regulatory element-binding protein site 2</t>
  </si>
  <si>
    <t>cytochrome p450</t>
  </si>
  <si>
    <t>subtilisin-like protease</t>
  </si>
  <si>
    <t>indole synthase</t>
  </si>
  <si>
    <t>anthranilate synthase alpha subunit</t>
  </si>
  <si>
    <t>(1-4)-beta-mannan endohydrolase</t>
  </si>
  <si>
    <t>wrky dna binding domain containing expressed</t>
  </si>
  <si>
    <t>dna primase large subunit</t>
  </si>
  <si>
    <t>e3 ubiquitin-protein ligase pub23-like</t>
  </si>
  <si>
    <t>transposon en spm sub- expressed</t>
  </si>
  <si>
    <t>cytochrome p450 93a1-like</t>
  </si>
  <si>
    <t>rust resistance kinase lr10</t>
  </si>
  <si>
    <t>protein phosphatase 2c</t>
  </si>
  <si>
    <t>lgc1 precursor</t>
  </si>
  <si>
    <t>nicotinate phosphoribosyltransferase</t>
  </si>
  <si>
    <t>nac domain ipr003441</t>
  </si>
  <si>
    <t>ring zinc finger</t>
  </si>
  <si>
    <t>transferring glycosyl groups</t>
  </si>
  <si>
    <t>probable methyltransferase pmt15-like</t>
  </si>
  <si>
    <t>probable ccr4-associated factor 1 homolog 11-like</t>
  </si>
  <si>
    <t>uncharacterized protein LOC100382355</t>
  </si>
  <si>
    <t>retrotransposon expressed</t>
  </si>
  <si>
    <t>stem-specific protein expressed</t>
  </si>
  <si>
    <t>uncharacterized protein LOC100275796</t>
  </si>
  <si>
    <t>uncharacterized protein LOC100272757</t>
  </si>
  <si>
    <t>germin-like protein subfamily 1 member 8 expressed</t>
  </si>
  <si>
    <t>cytokinin-o-glucosyltransferase 2</t>
  </si>
  <si>
    <t>abc transporter g family member 14-like</t>
  </si>
  <si>
    <t>acc oxidase</t>
  </si>
  <si>
    <t>universal stress protein</t>
  </si>
  <si>
    <t>basic helix-loop-helix domain-containing protein</t>
  </si>
  <si>
    <t>chitinase</t>
  </si>
  <si>
    <t>beta-glucosidase precursor</t>
  </si>
  <si>
    <t>late elongated hypocoty</t>
  </si>
  <si>
    <t>multidrug resistance</t>
  </si>
  <si>
    <t>hypothetical protein SORBIDRAFT_06g030720</t>
  </si>
  <si>
    <t>anthocyanin 5-aromatic acyltransferase-like</t>
  </si>
  <si>
    <t>zinc transporter zip1</t>
  </si>
  <si>
    <t>ent-kaurene synthase b</t>
  </si>
  <si>
    <t>alternative oxidase</t>
  </si>
  <si>
    <t>myb-related protein zm1</t>
  </si>
  <si>
    <t>uncharacterized protein LOC100277698</t>
  </si>
  <si>
    <t>glutamate-gated kainate-type ion channel receptor subunit 5</t>
  </si>
  <si>
    <t>ring-h2 finger protein atl2l</t>
  </si>
  <si>
    <t>cis-zeatin o-glucosyltransferase</t>
  </si>
  <si>
    <t>meiosis 5 precursor</t>
  </si>
  <si>
    <t>mitotic spindle checkpoint protein mad2</t>
  </si>
  <si>
    <t>hsp40 cysteine-rich domain-containing protein</t>
  </si>
  <si>
    <t>enzyme of the cupin superfamily</t>
  </si>
  <si>
    <t>o-methyltransferase family expressed</t>
  </si>
  <si>
    <t>amino acid transporter</t>
  </si>
  <si>
    <t>ankyrin repeat family expressed</t>
  </si>
  <si>
    <t>neutral alkaline expressed</t>
  </si>
  <si>
    <t>ribulose- -bisphosphate carboxylase oxygenase small subunit</t>
  </si>
  <si>
    <t>acyltransferase ( kd)</t>
  </si>
  <si>
    <t>heat shock transcription factor hsf4</t>
  </si>
  <si>
    <t>alpha-amylase isozyme 3e precursor</t>
  </si>
  <si>
    <t>transcription factor jumonji domain-containing protein</t>
  </si>
  <si>
    <t>chloroplastic quinone-oxidoreductase</t>
  </si>
  <si>
    <t>beta-amylase</t>
  </si>
  <si>
    <t>lob domain-containing protein 38-like</t>
  </si>
  <si>
    <t>nadp-dependent oxidoreductase expressed</t>
  </si>
  <si>
    <t>gda1 cd39 family expressed</t>
  </si>
  <si>
    <t>glutaredoxin family protein</t>
  </si>
  <si>
    <t>elicitor-inducible cytochrome p450</t>
  </si>
  <si>
    <t>probable amino acid permease 7-like</t>
  </si>
  <si>
    <t>receptor-like serine threonine-protein kinase sd1-8-like</t>
  </si>
  <si>
    <t>uncharacterized protein LOC100277187 precursor</t>
  </si>
  <si>
    <t>pentatricopeptide repeat-containing protein chloroplastic-like</t>
  </si>
  <si>
    <t>uncharacterized protein LOC100274721</t>
  </si>
  <si>
    <t>histone h1</t>
  </si>
  <si>
    <t>cbf protein 1</t>
  </si>
  <si>
    <t>prolyl endopeptidase-like</t>
  </si>
  <si>
    <t>uncharacterized protein LOC100277206 precursor</t>
  </si>
  <si>
    <t>non-yellowing protein 1</t>
  </si>
  <si>
    <t>l-allo-threonine aldolase</t>
  </si>
  <si>
    <t>at4g28740 f16a16_150</t>
  </si>
  <si>
    <t>ferric reductase-like transmembrane component</t>
  </si>
  <si>
    <t>arogenate dehydratase prephenate dehydratase chloroplastic-like</t>
  </si>
  <si>
    <t>nodulin-like protein</t>
  </si>
  <si>
    <t>hypothetical protein SORBIDRAFT_06g012300</t>
  </si>
  <si>
    <t>amino acid permease</t>
  </si>
  <si>
    <t>pvr3-like protein</t>
  </si>
  <si>
    <t>uncharacterized protein LOC100277591</t>
  </si>
  <si>
    <t>peroxidase 73</t>
  </si>
  <si>
    <t>enolase chloroplastic-like</t>
  </si>
  <si>
    <t>serine threonine-protein kinase pbs1-like</t>
  </si>
  <si>
    <t>udp-glycosyltransferase 91c1-like</t>
  </si>
  <si>
    <t>at3g19540 t31j18_4</t>
  </si>
  <si>
    <t>3-deoxy-d-arabino heptulosonate-7-phosphate synthase</t>
  </si>
  <si>
    <t>glycoprotein membrane precursor gpi-anchored protein</t>
  </si>
  <si>
    <t>ethylene-insensitive3-like 1 expressed</t>
  </si>
  <si>
    <t>uncharacterized protein LOC100275307 precursor</t>
  </si>
  <si>
    <t>hydroquinone glucosyltransferase</t>
  </si>
  <si>
    <t>lipid binding protein precursor</t>
  </si>
  <si>
    <t>harpin-induced protein</t>
  </si>
  <si>
    <t>3 -n-debenzoyl-2 -deoxytaxol n-benzoyltransferase-like</t>
  </si>
  <si>
    <t>probable carboxylesterase 15-like</t>
  </si>
  <si>
    <t>uncharacterized protein LOC100272680</t>
  </si>
  <si>
    <t>serine-type endopeptidase inhibitor</t>
  </si>
  <si>
    <t>er glycerol-phosphate acyltransferase</t>
  </si>
  <si>
    <t>uncharacterized protein LOC100275640 precursor</t>
  </si>
  <si>
    <t>uncharacterized protein LOC100274968</t>
  </si>
  <si>
    <t>gdsl-motif lipase hydrolase family protein</t>
  </si>
  <si>
    <t>probable glycerol-3-phosphate acyltransferase 3-like</t>
  </si>
  <si>
    <t>cell division cycle 2-like protein</t>
  </si>
  <si>
    <t>amino acid expressed</t>
  </si>
  <si>
    <t>beta- -glucanase</t>
  </si>
  <si>
    <t>probable inactive purple acid phosphatase 16-like</t>
  </si>
  <si>
    <t>lipoxygenase</t>
  </si>
  <si>
    <t>bowman-birk trypsin inhibitor-like protein</t>
  </si>
  <si>
    <t>l-ascorbate oxidase precursor</t>
  </si>
  <si>
    <t>atp binding</t>
  </si>
  <si>
    <t>chloroplast lumen common protein family</t>
  </si>
  <si>
    <t>pentatricopeptide repeat-containing protein mitochondrial-like</t>
  </si>
  <si>
    <t>glutathione transferase f4</t>
  </si>
  <si>
    <t>kinesin calponin homology and calcium binding and coiled-coil domain-containing protein</t>
  </si>
  <si>
    <t>iaa-amino acid hydrolase ilr1-like 4 precursor</t>
  </si>
  <si>
    <t>glutathione s-transferase gstu6</t>
  </si>
  <si>
    <t>nac domain-containing protein 8-like</t>
  </si>
  <si>
    <t>sant myb protein</t>
  </si>
  <si>
    <t>transcription factor wrky08-like</t>
  </si>
  <si>
    <t>phy rapidly regulated 2 protein</t>
  </si>
  <si>
    <t>l-type lectin-domain containing receptor kinase -like</t>
  </si>
  <si>
    <t>s-adenosyl-l-methionine-dependent methyltransferase domain-containing protein</t>
  </si>
  <si>
    <t>chlorophyll a-b binding protein 2</t>
  </si>
  <si>
    <t>glucosamine-fructose-6-phosphate aminotransferase</t>
  </si>
  <si>
    <t>branched-chain-amino-acid aminotransferase-like protein chloroplastic-like</t>
  </si>
  <si>
    <t>protein kinase g11a-like</t>
  </si>
  <si>
    <t>thioesterase family protein</t>
  </si>
  <si>
    <t>cytochrome p450 71a1</t>
  </si>
  <si>
    <t>s-type anion channel slah3-like</t>
  </si>
  <si>
    <t>heat-shock protein</t>
  </si>
  <si>
    <t>60s ribosomal protein</t>
  </si>
  <si>
    <t>hypothetical protein SORBIDRAFT_03g032060</t>
  </si>
  <si>
    <t>anthranilate n-benzoyltransferase protein 1</t>
  </si>
  <si>
    <t>metallothionein-like protein type 2</t>
  </si>
  <si>
    <t>bowman-birk type wound-induced proteinase inhibitor wip1 precursor</t>
  </si>
  <si>
    <t>uncharacterized protein LOC100275537 precursor</t>
  </si>
  <si>
    <t>pollen-specific protein like</t>
  </si>
  <si>
    <t>probable peptide nitrate transporter at3g43790-like</t>
  </si>
  <si>
    <t>plant if-like protein</t>
  </si>
  <si>
    <t>polygalacturonase at1g48100-like</t>
  </si>
  <si>
    <t>pollen-specific protein sf3</t>
  </si>
  <si>
    <t>photosystem ii reaction center w protein</t>
  </si>
  <si>
    <t>disease resistance response protein</t>
  </si>
  <si>
    <t>histone h3</t>
  </si>
  <si>
    <t>hevamine-a precursor</t>
  </si>
  <si>
    <t>uncharacterized protein LOC100275056</t>
  </si>
  <si>
    <t>p21 expressed</t>
  </si>
  <si>
    <t>serine protease kazal-type family protein</t>
  </si>
  <si>
    <t>nuclear transport factor 2</t>
  </si>
  <si>
    <t>nadph dehydrogenase</t>
  </si>
  <si>
    <t>insulin degrading enzyme</t>
  </si>
  <si>
    <t>delay of germination 1</t>
  </si>
  <si>
    <t>gibberellin 2-oxidase</t>
  </si>
  <si>
    <t>uncharacterized protein LOC100277849</t>
  </si>
  <si>
    <t>plastid alpha-amylase</t>
  </si>
  <si>
    <t>anthocyanidin -o-glucosyltransferase-like</t>
  </si>
  <si>
    <t>clathrin assembly protein at2g01600-like isoform 1</t>
  </si>
  <si>
    <t>hypothetical protein SORBIDRAFT_03g030900</t>
  </si>
  <si>
    <t>mannan endo- -beta-mannosidase 7</t>
  </si>
  <si>
    <t>carbonic anhydrase</t>
  </si>
  <si>
    <t>obtusifoliol 14-alpha demethylase-like</t>
  </si>
  <si>
    <t>uncharacterized protein LOC100274720</t>
  </si>
  <si>
    <t>pdr-like abc transporter</t>
  </si>
  <si>
    <t>palmitoyltransferase akr1</t>
  </si>
  <si>
    <t>chalcone--flavonone isomerase</t>
  </si>
  <si>
    <t>isco activase small isoform precursor</t>
  </si>
  <si>
    <t>myb-like dna-binding domain containing expressed</t>
  </si>
  <si>
    <t>leucine rich repeat family protein</t>
  </si>
  <si>
    <t>uncharacterized protein LOC100274842</t>
  </si>
  <si>
    <t>xylanase inhibitor protein 2 expressed</t>
  </si>
  <si>
    <t>chitinase 1</t>
  </si>
  <si>
    <t>sentrin sumo-specific</t>
  </si>
  <si>
    <t>vignain precursor</t>
  </si>
  <si>
    <t>nitrate reductase</t>
  </si>
  <si>
    <t>leucine zipper-containing protein</t>
  </si>
  <si>
    <t>endo- -beta-d-glucanase precursor</t>
  </si>
  <si>
    <t>betaine aldehyde dehydrogenase</t>
  </si>
  <si>
    <t>arginine decarboxylase</t>
  </si>
  <si>
    <t>carboxypeptidase d</t>
  </si>
  <si>
    <t>transcription factor laf1-like</t>
  </si>
  <si>
    <t>histone -like isoform 1</t>
  </si>
  <si>
    <t>endoglucanase 1 precursor</t>
  </si>
  <si>
    <t>tyrosine specific protein phosphatase family protein</t>
  </si>
  <si>
    <t>saur12 - auxin-responsive saur family member</t>
  </si>
  <si>
    <t>small gtp-binding protein ac3</t>
  </si>
  <si>
    <t>2-isopropylmalate synthase b</t>
  </si>
  <si>
    <t>pollen ole e 1 allergen and extensin family protein</t>
  </si>
  <si>
    <t>salicylate o-methyltransferase-like</t>
  </si>
  <si>
    <t>probable receptor-like protein kinase at1g49730-like</t>
  </si>
  <si>
    <t>galactoside 2-alpha-l-fucosyltransferase</t>
  </si>
  <si>
    <t>uncharacterized protein LOC100384657</t>
  </si>
  <si>
    <t>lil3 protein</t>
  </si>
  <si>
    <t>3-isopropylmalate dehydratase</t>
  </si>
  <si>
    <t>glutaredoxin-like family protein</t>
  </si>
  <si>
    <t>cytochrome p450 99a2-like</t>
  </si>
  <si>
    <t>tpa: cystatin</t>
  </si>
  <si>
    <t>cysteine proteinase inhibitor</t>
  </si>
  <si>
    <t>kinesin-like protein</t>
  </si>
  <si>
    <t>act domain-containing protein</t>
  </si>
  <si>
    <t>protein proton gradient regulation</t>
  </si>
  <si>
    <t>embryo sac development arrest 6 protein</t>
  </si>
  <si>
    <t>myb-related protein myb4-like</t>
  </si>
  <si>
    <t>transferase family protein</t>
  </si>
  <si>
    <t>gras family transcription factor</t>
  </si>
  <si>
    <t>pentatricopeptide repeat-containing protein</t>
  </si>
  <si>
    <t>ring-h2 finger protein atl1q</t>
  </si>
  <si>
    <t>lob domain-containing protein 12-like</t>
  </si>
  <si>
    <t>terminal flower 1</t>
  </si>
  <si>
    <t>heat shock factor protein 7</t>
  </si>
  <si>
    <t>uncharacterized protein LOC100384287</t>
  </si>
  <si>
    <t>hypothetical protein SORBIDRAFT_05g021670</t>
  </si>
  <si>
    <t>protein cypro4-like</t>
  </si>
  <si>
    <t>3-isopropylmalate dehydratase-like</t>
  </si>
  <si>
    <t>sam domain family protein</t>
  </si>
  <si>
    <t>nucleotide-diphospho-sugar transferases superfamily protein</t>
  </si>
  <si>
    <t>ring finger protein 5</t>
  </si>
  <si>
    <t>cytochrome p450 87a3-like</t>
  </si>
  <si>
    <t>peroxisomal membrane</t>
  </si>
  <si>
    <t>soluble acid invertase</t>
  </si>
  <si>
    <t>glycosyltransferase</t>
  </si>
  <si>
    <t>uncharacterized protein LOC100384155</t>
  </si>
  <si>
    <t>leucine-rich repeat extensin-like protein 1-like</t>
  </si>
  <si>
    <t>hypothetical protein SORBIDRAFT_04g005000</t>
  </si>
  <si>
    <t>protein wax2-like isoform 1</t>
  </si>
  <si>
    <t>dynein light chain flagellar outer arm</t>
  </si>
  <si>
    <t>nicotianamine aminotransferase</t>
  </si>
  <si>
    <t>glucan endo- -beta-glucosidase 4 precursor</t>
  </si>
  <si>
    <t>af446877_1 at3g52740 f3c22_140</t>
  </si>
  <si>
    <t>glyceraldehyde-3-phosphate dehydrogenase</t>
  </si>
  <si>
    <t>3-isopropylmalate small subunit</t>
  </si>
  <si>
    <t>jumonji domain protein</t>
  </si>
  <si>
    <t>formate mitochondrial precursor</t>
  </si>
  <si>
    <t>zinc finger protein constans-like 9-like</t>
  </si>
  <si>
    <t>protein kinase g11a</t>
  </si>
  <si>
    <t>trehalose-phosphate phosphatase-like</t>
  </si>
  <si>
    <t>regulatory protein</t>
  </si>
  <si>
    <t>verprolin precursor</t>
  </si>
  <si>
    <t>osbp(oxysterol binding protein)-related protein 1c</t>
  </si>
  <si>
    <t>dna-binding protein rav1</t>
  </si>
  <si>
    <t>f-box protein</t>
  </si>
  <si>
    <t>peroxidase 16-like</t>
  </si>
  <si>
    <t>xyloglucan endotransglycosylase</t>
  </si>
  <si>
    <t>benzyl alcohol o-benzoyltransferase-like</t>
  </si>
  <si>
    <t>4 1 protein</t>
  </si>
  <si>
    <t>cdc2 protein kinases-like</t>
  </si>
  <si>
    <t>tpx2 (targeting protein for xklp2) protein family</t>
  </si>
  <si>
    <t>uncharacterized protein LOC100276136</t>
  </si>
  <si>
    <t>glycerophosphodiester phosphodiesterase 2</t>
  </si>
  <si>
    <t>atpase inhibitor</t>
  </si>
  <si>
    <t>u-box domain-containing protein 26</t>
  </si>
  <si>
    <t>bhlh transcription factor ptf1</t>
  </si>
  <si>
    <t>nac domain protein nac5</t>
  </si>
  <si>
    <t>dnaj protein</t>
  </si>
  <si>
    <t>transcription factor myb39</t>
  </si>
  <si>
    <t>phenylalanine ammonia-lyase</t>
  </si>
  <si>
    <t>ethylene responsive element binding factor 5</t>
  </si>
  <si>
    <t>uncharacterized protein LOC100381739 precursor</t>
  </si>
  <si>
    <t>carotenoid cleavage dioxygenase 4</t>
  </si>
  <si>
    <t>uncharacterized protein LOC100382284</t>
  </si>
  <si>
    <t>white-brown-complex abc transporter family</t>
  </si>
  <si>
    <t>uncharacterized acetyltransferase at3g50280-like</t>
  </si>
  <si>
    <t>transcription factor cbf1</t>
  </si>
  <si>
    <t>peroxidase 5-like</t>
  </si>
  <si>
    <t>alpha-l-fucosidase 2 precursor</t>
  </si>
  <si>
    <t>class iii chitinase homologue ( hib3h-a)</t>
  </si>
  <si>
    <t>hexokinase 2</t>
  </si>
  <si>
    <t>pollen-specific protein sf21-like</t>
  </si>
  <si>
    <t>pollen allergen phl p 11</t>
  </si>
  <si>
    <t>cinnamic acid 4-hydroxylase</t>
  </si>
  <si>
    <t>udp-glucuronic acid decarboxylase</t>
  </si>
  <si>
    <t>leaf senescence related</t>
  </si>
  <si>
    <t>beta-hexosaminidase subunit b2-like</t>
  </si>
  <si>
    <t>nonspecific lipid-transfer protein precursor</t>
  </si>
  <si>
    <t>grx_i1 - glutaredoxin subgroup iii</t>
  </si>
  <si>
    <t>sister chromatid cohesion 1 protein 1</t>
  </si>
  <si>
    <t>seed maturation protein</t>
  </si>
  <si>
    <t>peroxidase 47-like</t>
  </si>
  <si>
    <t>jasmonate-induced protein</t>
  </si>
  <si>
    <t>receptor protein kinase-like</t>
  </si>
  <si>
    <t>plant viral-response family expressed</t>
  </si>
  <si>
    <t>blue copper protein</t>
  </si>
  <si>
    <t>anthocyanidin 3-o-glucosyltransferase</t>
  </si>
  <si>
    <t>stem 28 kda glycoprotein precursor</t>
  </si>
  <si>
    <t>serine carboxypeptidase ii</t>
  </si>
  <si>
    <t>lichenase-2 precursor</t>
  </si>
  <si>
    <t>annexin d4-like</t>
  </si>
  <si>
    <t>uncharacterized protein LOC100384836</t>
  </si>
  <si>
    <t>hemoglobin 2</t>
  </si>
  <si>
    <t>type i inositol- -trisphosphate 5-phosphatase 1-like</t>
  </si>
  <si>
    <t>adenosine diphosphate glucose pyrophosphatase</t>
  </si>
  <si>
    <t>delta-1-pyrroline-5-carboxylate dehydrogenase mitochondrial-like</t>
  </si>
  <si>
    <t>ap2 erf domain-containing transcription factor</t>
  </si>
  <si>
    <t>rna polymerase sigma factor rpod-like</t>
  </si>
  <si>
    <t>uncharacterized protein LOC100278663</t>
  </si>
  <si>
    <t>9-cis-epoxycarotenoid dioxygenase</t>
  </si>
  <si>
    <t>early light-induced protein</t>
  </si>
  <si>
    <t>xylanase inhibitor protein 1-like</t>
  </si>
  <si>
    <t>stachyose synthase precursor</t>
  </si>
  <si>
    <t>abc transporter g family member 11-like</t>
  </si>
  <si>
    <t>plasma membrane associated protein</t>
  </si>
  <si>
    <t>undecaprenyl pyrophosphate synthetase</t>
  </si>
  <si>
    <t>cinnamoyl- reductase</t>
  </si>
  <si>
    <t>transcription factor myb44-like</t>
  </si>
  <si>
    <t>uncharacterized protein LOC100279830</t>
  </si>
  <si>
    <t>metal ion binding protein</t>
  </si>
  <si>
    <t>armadillo beta-catenin-like repeat-containing protein</t>
  </si>
  <si>
    <t>cellulose synthase</t>
  </si>
  <si>
    <t>ap2-like ethylene-responsive transcription factor at1g16060-like</t>
  </si>
  <si>
    <t>respiratory burst oxidase homolog protein e-like</t>
  </si>
  <si>
    <t>uncharacterized protein LOC100382002</t>
  </si>
  <si>
    <t>mitochondrial phosphate transporter</t>
  </si>
  <si>
    <t>tonoplast dicarboxylate transporter</t>
  </si>
  <si>
    <t>agmatine coumaroyltransferase-2-like</t>
  </si>
  <si>
    <t>spindle and kinetochore-associated protein 1 homolog</t>
  </si>
  <si>
    <t>ubiquitin fusion protein</t>
  </si>
  <si>
    <t>hypothetical protein SORBIDRAFT_02g034435</t>
  </si>
  <si>
    <t>hypothetical protein SORBIDRAFT_02g034730</t>
  </si>
  <si>
    <t>organic cation transporter</t>
  </si>
  <si>
    <t>circadian clock coupling factor zgt</t>
  </si>
  <si>
    <t>uncharacterized protein LOC100501320</t>
  </si>
  <si>
    <t>na+ h+ antiporter</t>
  </si>
  <si>
    <t>peroxidase</t>
  </si>
  <si>
    <t>nac transcription factor</t>
  </si>
  <si>
    <t>gibberellin 2-beta-dioxygenase 8-like</t>
  </si>
  <si>
    <t>xyloglucan fucosyltransferase</t>
  </si>
  <si>
    <t>phytosulfokines 4 precursor</t>
  </si>
  <si>
    <t>hypothetical protein SORBIDRAFT_02g002380</t>
  </si>
  <si>
    <t>histone h2a</t>
  </si>
  <si>
    <t>24-sterol c-methyltransferase</t>
  </si>
  <si>
    <t>subtilisin-like protease-like</t>
  </si>
  <si>
    <t>ethylene responsive element binding protein</t>
  </si>
  <si>
    <t>protein spinster-like</t>
  </si>
  <si>
    <t>pumilio homolog chloroplastic-like</t>
  </si>
  <si>
    <t>wrky62 - superfamily of tfs having wrky and zinc finger domains</t>
  </si>
  <si>
    <t>65-kda microtubule-associated protein 7-like</t>
  </si>
  <si>
    <t>fasciclin-like arabinogalactan protein 7 precursor</t>
  </si>
  <si>
    <t>nac domain protein</t>
  </si>
  <si>
    <t>udp-glucose:salicylic acid glucosyltransferase</t>
  </si>
  <si>
    <t>bhlh transcription factor-like protein</t>
  </si>
  <si>
    <t>aspartic proteinase nepenthesin-1</t>
  </si>
  <si>
    <t>gdsl esterase lipase at4g10955-like</t>
  </si>
  <si>
    <t>uncharacterized protein LOC100382154</t>
  </si>
  <si>
    <t>cobra-like protein 4</t>
  </si>
  <si>
    <t>hypothetical protein SORBIDRAFT_02g040030</t>
  </si>
  <si>
    <t>catalytic hydrolase</t>
  </si>
  <si>
    <t>haloacid dehalogenase-like hydrolase domain-containing protein 3-like</t>
  </si>
  <si>
    <t>uncharacterized isomerase bh0283-like</t>
  </si>
  <si>
    <t>adp-ribosylation factor</t>
  </si>
  <si>
    <t>1-deoxy-d-xylulose 5-phosphate reductoisomerase</t>
  </si>
  <si>
    <t>receptor serine threonine kinase pr5k</t>
  </si>
  <si>
    <t>uncharacterized protein LOC100275454</t>
  </si>
  <si>
    <t>uncharacterized plant-specific domain tigr01568 family expressed</t>
  </si>
  <si>
    <t>wrky transcription factor</t>
  </si>
  <si>
    <t>indole-3-acetate beta-glucosyltransferase</t>
  </si>
  <si>
    <t>mcb2 protein</t>
  </si>
  <si>
    <t>methyltransferase ddb_g0268948-like</t>
  </si>
  <si>
    <t>uncharacterized protein LOC100279169</t>
  </si>
  <si>
    <t>splicing factor u2af 38 kda subunit</t>
  </si>
  <si>
    <t>uncharacterized protein LOC100275692</t>
  </si>
  <si>
    <t>soluble inorganic pyrophosphatase</t>
  </si>
  <si>
    <t>aspartate aminotransferase</t>
  </si>
  <si>
    <t>latex-abundant protein</t>
  </si>
  <si>
    <t>af385698_1 at2g43780</t>
  </si>
  <si>
    <t>1-aminocyclopropane-1-carboxylic acid oxidase</t>
  </si>
  <si>
    <t>hypothetical protein SORBIDRAFT_03g026630</t>
  </si>
  <si>
    <t>gdsl esterase lipase at4g16230-like</t>
  </si>
  <si>
    <t>uncharacterized protein LOC100194332</t>
  </si>
  <si>
    <t>wrky11 - superfamily of tfs having wrky and zinc finger domains</t>
  </si>
  <si>
    <t>probable receptor-like protein kinase at2g42960-like</t>
  </si>
  <si>
    <t>ctp synthase</t>
  </si>
  <si>
    <t>farnesyl pyrophosphate synthetase</t>
  </si>
  <si>
    <t>two-component response regulator arr1</t>
  </si>
  <si>
    <t>secondary cell wall-related glycosyltransferase family 47</t>
  </si>
  <si>
    <t>fk506 binding-like protein</t>
  </si>
  <si>
    <t>auxin-regulated protein</t>
  </si>
  <si>
    <t>protein kinase-like</t>
  </si>
  <si>
    <t>triacylglycerol lipase sdp1-like</t>
  </si>
  <si>
    <t>disulfide oxidoreductase monooxygenase oxidoreductase</t>
  </si>
  <si>
    <t>wound-induced serine protease inhibitor</t>
  </si>
  <si>
    <t>myb transcription factor</t>
  </si>
  <si>
    <t>uncharacterized protein LOC100192776</t>
  </si>
  <si>
    <t>plasma-membrane associated cation-binding protein 1</t>
  </si>
  <si>
    <t>abc transporter c family member 4-like</t>
  </si>
  <si>
    <t>uncharacterized protein LOC100277086</t>
  </si>
  <si>
    <t>tpr repeat-containing thioredoxin ttl1-like</t>
  </si>
  <si>
    <t>pepsin a precursor</t>
  </si>
  <si>
    <t>nadh-ubiquinone oxidoreductase kda subunit</t>
  </si>
  <si>
    <t>agp16 precursor</t>
  </si>
  <si>
    <t>concanavalin a-like lectin kinase-like protein</t>
  </si>
  <si>
    <t>voltage-dependent anion channel</t>
  </si>
  <si>
    <t>cytokinin riboside 5 -monophosphate phosphoribohydrolase log7-like</t>
  </si>
  <si>
    <t>triacylglycerol lipase</t>
  </si>
  <si>
    <t>wrky transcription</t>
  </si>
  <si>
    <t>two-pore calcium channel</t>
  </si>
  <si>
    <t>abc transporter b family member 11-like</t>
  </si>
  <si>
    <t>mitogen-activated protein kinase kinase kinase a-like</t>
  </si>
  <si>
    <t>myb-related protein hv33</t>
  </si>
  <si>
    <t>uncharacterized protein LOC100277040</t>
  </si>
  <si>
    <t>squamosa promoter-binding</t>
  </si>
  <si>
    <t>r2r3-myb protein</t>
  </si>
  <si>
    <t>myb-like transcription factor</t>
  </si>
  <si>
    <t>heme-binding-like protein</t>
  </si>
  <si>
    <t>laccase lac5-6</t>
  </si>
  <si>
    <t>probable inactive purple acid phosphatase 27-like</t>
  </si>
  <si>
    <t>probable nucleoredoxin 2-like</t>
  </si>
  <si>
    <t>PREDICTED: uncharacterized protein LOC100840153</t>
  </si>
  <si>
    <t>rrna-processing protein fcf1-like protein</t>
  </si>
  <si>
    <t>kinesin like protein</t>
  </si>
  <si>
    <t>udp-glycosyltransferase-like protein</t>
  </si>
  <si>
    <t>aspartic proteinase nepenthesin-2 precursor</t>
  </si>
  <si>
    <t>myo-inositol oxygenase</t>
  </si>
  <si>
    <t>transcription factor bhlh144</t>
  </si>
  <si>
    <t>uncharacterized protein LOC100502256</t>
  </si>
  <si>
    <t>uncharacterized protein LOC100276005</t>
  </si>
  <si>
    <t>kda class ii heat shock protein</t>
  </si>
  <si>
    <t>lob domain-containing protein 1-like</t>
  </si>
  <si>
    <t>probable ubiquitin-conjugating enzyme e2 25-like</t>
  </si>
  <si>
    <t>phytosulfokine precursor protein containing protein</t>
  </si>
  <si>
    <t>dre binding factor</t>
  </si>
  <si>
    <t>anthranilate phosphoribosyltransferase</t>
  </si>
  <si>
    <t>golden2-like transcription factor</t>
  </si>
  <si>
    <t>hypothetical protein SORBIDRAFT_10g007730</t>
  </si>
  <si>
    <t>eukaryotic aspartyl protease family expressed</t>
  </si>
  <si>
    <t>auxin response factor 7</t>
  </si>
  <si>
    <t>dirigent-like protein</t>
  </si>
  <si>
    <t>7 protein</t>
  </si>
  <si>
    <t>uncharacterized protein LOC100279463</t>
  </si>
  <si>
    <t>uncharacterized protein LOC100216778</t>
  </si>
  <si>
    <t>zinc c3hc4 type family protein</t>
  </si>
  <si>
    <t>uncharacterized protein LOC100303855</t>
  </si>
  <si>
    <t>meiosis 5</t>
  </si>
  <si>
    <t>uncharacterized protein LOC100275352</t>
  </si>
  <si>
    <t>protein cdc2 kinase</t>
  </si>
  <si>
    <t>having alternative splicing products</t>
  </si>
  <si>
    <t>mip tip subfamily</t>
  </si>
  <si>
    <t>lysm domain containing protein</t>
  </si>
  <si>
    <t>flower-specific gamma-thionin precursor</t>
  </si>
  <si>
    <t>protein tify 10a-like</t>
  </si>
  <si>
    <t>aspartyl protease</t>
  </si>
  <si>
    <t>serine acetyltransferase mitochondrial</t>
  </si>
  <si>
    <t>peroxidase 53 expressed</t>
  </si>
  <si>
    <t>serine threonine-protein kinase at5g01020-like</t>
  </si>
  <si>
    <t>phospholipase d</t>
  </si>
  <si>
    <t>uncharacterized protein LOC100275916</t>
  </si>
  <si>
    <t>class iii peroxidase</t>
  </si>
  <si>
    <t>at5g52420 k24m7_17</t>
  </si>
  <si>
    <t>thaumatin-like protein 1 precursor</t>
  </si>
  <si>
    <t>leucoanthocyanidin dioxygenase</t>
  </si>
  <si>
    <t>dna-3-methyladenine glycosylase i</t>
  </si>
  <si>
    <t>wall-associated kinase 4</t>
  </si>
  <si>
    <t>alanine glyoxylate aminotransferase</t>
  </si>
  <si>
    <t>amino acid binding</t>
  </si>
  <si>
    <t>carbonic anhydrase precursor</t>
  </si>
  <si>
    <t>ribosomal protein s3</t>
  </si>
  <si>
    <t>atp synthase cf1 beta subunit</t>
  </si>
  <si>
    <t>cinnamyl alcohol dehydrogenase</t>
  </si>
  <si>
    <t>senescence-associated protein</t>
  </si>
  <si>
    <t>hexose carrier</t>
  </si>
  <si>
    <t>pathogenesis-related thaumatin-like protein</t>
  </si>
  <si>
    <t>calmodulin</t>
  </si>
  <si>
    <t>udp-glucose 6- expressed</t>
  </si>
  <si>
    <t>mitochondrial import inner membrane translocase subunit tim14</t>
  </si>
  <si>
    <t>gcn5-related n-acetyltransferase-like protein</t>
  </si>
  <si>
    <t>gnat family expressed</t>
  </si>
  <si>
    <t>c2-h2 zinc finger protein</t>
  </si>
  <si>
    <t>glutathione s- n-terminal domain containing expressed</t>
  </si>
  <si>
    <t>sorbitol transporter</t>
  </si>
  <si>
    <t>pyruvate decarboxylase</t>
  </si>
  <si>
    <t>wound-induced protein 1-like</t>
  </si>
  <si>
    <t>multidrug resistance protein abc transporter family protein</t>
  </si>
  <si>
    <t>neutral amino acid transport protein</t>
  </si>
  <si>
    <t>transcription factor bhlh145-like</t>
  </si>
  <si>
    <t>hypothetical protein SORBIDRAFT_01g032640</t>
  </si>
  <si>
    <t>hypothetical protein SORBIDRAFT_01g029090</t>
  </si>
  <si>
    <t>glyoxylate reductase</t>
  </si>
  <si>
    <t>thaumatin-like protein</t>
  </si>
  <si>
    <t>blue copper protein precursor</t>
  </si>
  <si>
    <t>wall-associated receptor kinase 4-like</t>
  </si>
  <si>
    <t>auxin-induced protein pcnt115-like</t>
  </si>
  <si>
    <t>rhamnogalacturonate lyase-like</t>
  </si>
  <si>
    <t>kinetochore protein ndc80 homolog</t>
  </si>
  <si>
    <t>6-phosphogluconolactonase</t>
  </si>
  <si>
    <t>pr17c precursor</t>
  </si>
  <si>
    <t>predicted protein</t>
  </si>
  <si>
    <t>potassium transporter</t>
  </si>
  <si>
    <t>iaa12 - auxin-responsive aux iaa family member</t>
  </si>
  <si>
    <t>cazy family gt8</t>
  </si>
  <si>
    <t>auxin responsive protein</t>
  </si>
  <si>
    <t>uncharacterized protein LOC100274767</t>
  </si>
  <si>
    <t>leucine carboxyl methyltransferase</t>
  </si>
  <si>
    <t>glutathione transferase</t>
  </si>
  <si>
    <t>actin</t>
  </si>
  <si>
    <t>ww domain-binding protein 11</t>
  </si>
  <si>
    <t>wrky-type transcription factor 45-2</t>
  </si>
  <si>
    <t>ureide permease expressed</t>
  </si>
  <si>
    <t>nad h-dependent oxidoreductase</t>
  </si>
  <si>
    <t>uncharacterized membrane protein at1g06890-like</t>
  </si>
  <si>
    <t>chlorophyll a-b binding protein cp24</t>
  </si>
  <si>
    <t>c99a1_sorbi ame: full=cytochrome p450 cyp99a1</t>
  </si>
  <si>
    <t>glutathione s-transferase expressed</t>
  </si>
  <si>
    <t>drought-induced protein 1</t>
  </si>
  <si>
    <t>(+)-neomenthol dehydrogenase-like</t>
  </si>
  <si>
    <t>amp dependent</t>
  </si>
  <si>
    <t>glycosy1 hydrolase</t>
  </si>
  <si>
    <t>homeodomain leucine zipper protein</t>
  </si>
  <si>
    <t>sialyltransferase-like protein</t>
  </si>
  <si>
    <t>heavy-metal-associated domain-containing protein</t>
  </si>
  <si>
    <t>hypothetical protein SORBIDRAFT_06g019470</t>
  </si>
  <si>
    <t>high-affinity potassium transporter</t>
  </si>
  <si>
    <t>uncharacterized protein LOC100382421</t>
  </si>
  <si>
    <t>uncharacterized protein LOC100383091</t>
  </si>
  <si>
    <t>photosystem i reaction center subunit v</t>
  </si>
  <si>
    <t>leaf development protein argonaute</t>
  </si>
  <si>
    <t>receptor-like protein kinase 4</t>
  </si>
  <si>
    <t>uncharacterized protein LOC100194378</t>
  </si>
  <si>
    <t>cysteine-rich receptor-like protein kinase 10-like</t>
  </si>
  <si>
    <t>f-box only protein 13-like</t>
  </si>
  <si>
    <t>omega-3 fatty acid desaturase</t>
  </si>
  <si>
    <t>adenine guanine permease azg2-like</t>
  </si>
  <si>
    <t>chloroplast lumen common protein family-like protein</t>
  </si>
  <si>
    <t>aaa-type atpase-like</t>
  </si>
  <si>
    <t>protochlorophyllide reductase a</t>
  </si>
  <si>
    <t>kinesin 5</t>
  </si>
  <si>
    <t>plastid-specific 30s ribosomal protein 3</t>
  </si>
  <si>
    <t>udp-glycosyltransferase 85a2-like</t>
  </si>
  <si>
    <t>aldose reductase</t>
  </si>
  <si>
    <t>hypersensitive-induced response protein</t>
  </si>
  <si>
    <t>pi21 protein</t>
  </si>
  <si>
    <t>probable pectate lyase 15-like</t>
  </si>
  <si>
    <t>uncharacterized protein LOC100192613</t>
  </si>
  <si>
    <t>integral membrane family protein</t>
  </si>
  <si>
    <t>dynamin-related protein 1e</t>
  </si>
  <si>
    <t>chloroplast orf137</t>
  </si>
  <si>
    <t>zinc finger an1 domain-containing stress-associated protein 12</t>
  </si>
  <si>
    <t>uncharacterized protein LOC100191911</t>
  </si>
  <si>
    <t>bhlh transcription factor</t>
  </si>
  <si>
    <t>glucose-6-phosphate translocator</t>
  </si>
  <si>
    <t>csplb_sorbi ame: full=casp-like protein sb05g019440</t>
  </si>
  <si>
    <t>leucine rich repeat family expressed</t>
  </si>
  <si>
    <t>bark storage protein a-like</t>
  </si>
  <si>
    <t>14-3-3-like protein a</t>
  </si>
  <si>
    <t>uncharacterized protein LOC100278356</t>
  </si>
  <si>
    <t>uncharacterized protein LOC100500994</t>
  </si>
  <si>
    <t>probable pectinesterase pectinesterase inhibitor 40-like</t>
  </si>
  <si>
    <t>ethylene-responsive factor-like protein 1</t>
  </si>
  <si>
    <t>asr2</t>
  </si>
  <si>
    <t>uncharacterized protein LOC100501050</t>
  </si>
  <si>
    <t>lipase family expressed</t>
  </si>
  <si>
    <t>beta glucanase</t>
  </si>
  <si>
    <t>sucrose phosphate synthase</t>
  </si>
  <si>
    <t>proline-rich receptor-like protein kinase perk10-like</t>
  </si>
  <si>
    <t>lysine decarboxylase-like protein</t>
  </si>
  <si>
    <t>o-acyltransferase wsd1-like isoform 1</t>
  </si>
  <si>
    <t>transcription factor bhlh041-like</t>
  </si>
  <si>
    <t>aaa-type atpase</t>
  </si>
  <si>
    <t>desacetoxyvindoline 4-</t>
  </si>
  <si>
    <t>retinol dehydrogenase</t>
  </si>
  <si>
    <t>uncharacterized protein LOC100278114</t>
  </si>
  <si>
    <t>abscisic stress ripening protein 1</t>
  </si>
  <si>
    <t>cytokinin oxidase</t>
  </si>
  <si>
    <t>hypothetical protein SORBIDRAFT_03g040780</t>
  </si>
  <si>
    <t>probable f-box protein at5g04010-like</t>
  </si>
  <si>
    <t>receptor protein kinase perk1</t>
  </si>
  <si>
    <t>uncharacterized protein LOC100275282</t>
  </si>
  <si>
    <t>ring u-box domain-containing protein</t>
  </si>
  <si>
    <t>abc transporter b family member 4-like</t>
  </si>
  <si>
    <t>secologanin synthase-like</t>
  </si>
  <si>
    <t>cytochrome p450-like</t>
  </si>
  <si>
    <t>disease resistance rpp13-like protein 3-like</t>
  </si>
  <si>
    <t>probable e3 ubiquitin-protein ligase ari7-like</t>
  </si>
  <si>
    <t>serine carboxypeptidase</t>
  </si>
  <si>
    <t>nitrilase-associated expressed</t>
  </si>
  <si>
    <t>amelogenin precursor like protein</t>
  </si>
  <si>
    <t>pathogenesis-related protein 4</t>
  </si>
  <si>
    <t>uncharacterized protein LOC100193759</t>
  </si>
  <si>
    <t>germin-like protein subfamily 1 member 11 precursor</t>
  </si>
  <si>
    <t>germin a</t>
  </si>
  <si>
    <t>u-box domain-containing protein 19-like</t>
  </si>
  <si>
    <t>s-ribonuclease binding protein sbp1</t>
  </si>
  <si>
    <t>vacuolar amino acid transporter 1-like</t>
  </si>
  <si>
    <t>glycoside hydrolase family 28 protein</t>
  </si>
  <si>
    <t>uncharacterized protein LOC100272674</t>
  </si>
  <si>
    <t>endonuclease or glycosyl hydrolase</t>
  </si>
  <si>
    <t>probable lrr receptor-like serine threonine-protein kinase at2g24230-like</t>
  </si>
  <si>
    <t>bacterial-induced peroxidase precursor</t>
  </si>
  <si>
    <t>nbs-lrr type protein</t>
  </si>
  <si>
    <t>disease resistance protein rpp13-like</t>
  </si>
  <si>
    <t>cis- -dihydrobiphenyl- -diol dehydrogenase</t>
  </si>
  <si>
    <t>germin-like protein 8-9-like</t>
  </si>
  <si>
    <t>wall-associated receptor kinase-like 20</t>
  </si>
  <si>
    <t>ring-h2 finger protein atl5f</t>
  </si>
  <si>
    <t>photosystem ii oxygen-evolving enhancer protein</t>
  </si>
  <si>
    <t>unknown protein</t>
  </si>
  <si>
    <t>trichome birefringence-like 34 protein</t>
  </si>
  <si>
    <t>uncharacterized protein LOC100382872</t>
  </si>
  <si>
    <t>caffeoyl- 3-o-methyltransferase 1</t>
  </si>
  <si>
    <t>root hair defective 3 gtp-binding protein</t>
  </si>
  <si>
    <t>at5g43400 mwf20_9</t>
  </si>
  <si>
    <t>reversibly glycosylated polypeptide</t>
  </si>
  <si>
    <t>actin- expressed</t>
  </si>
  <si>
    <t>thylakoid lumenal kda chloroplast</t>
  </si>
  <si>
    <t>n-acetylglucosaminyltransferase-like protein</t>
  </si>
  <si>
    <t>psbp domain-containing protein chloroplastic-like</t>
  </si>
  <si>
    <t>bax inhibitor 1</t>
  </si>
  <si>
    <t>leucine zipper</t>
  </si>
  <si>
    <t>uncharacterized protein LOC100275108</t>
  </si>
  <si>
    <t>monooxygenase 1</t>
  </si>
  <si>
    <t>auxin regulated gene involved in organ size 7</t>
  </si>
  <si>
    <t>inorganic phosphate transporter 2-1</t>
  </si>
  <si>
    <t>hypothetical protein SORBIDRAFT_04g024800</t>
  </si>
  <si>
    <t>low-molecular-weight cysteine-rich protein lcr69 precursor</t>
  </si>
  <si>
    <t>salutaridine reductase-like</t>
  </si>
  <si>
    <t>ring-h2 finger protein atl3j</t>
  </si>
  <si>
    <t>glutamate receptor -like</t>
  </si>
  <si>
    <t>metal ion binding</t>
  </si>
  <si>
    <t>uncharacterized protein LOC100274993 precursor</t>
  </si>
  <si>
    <t>luminal binding protein</t>
  </si>
  <si>
    <t>membrane related protein</t>
  </si>
  <si>
    <t>cyclin family expressed</t>
  </si>
  <si>
    <t>protein kinase</t>
  </si>
  <si>
    <t>uncharacterized protein LOC100191881</t>
  </si>
  <si>
    <t>nbs-lrr class disease resistance protein</t>
  </si>
  <si>
    <t>membrane steroid-binding protein 2</t>
  </si>
  <si>
    <t>cytochrome b5</t>
  </si>
  <si>
    <t>hypothetical protein SORBIDRAFT_04g026630</t>
  </si>
  <si>
    <t>transcription factor bhlh96-like</t>
  </si>
  <si>
    <t>ccaat-binding transcription factor</t>
  </si>
  <si>
    <t>lysine histidine transporter 1-like</t>
  </si>
  <si>
    <t>epsin n-terminal homology domain-containing protein</t>
  </si>
  <si>
    <t>alpha beta fold family protein</t>
  </si>
  <si>
    <t>endoplasmin-like protein</t>
  </si>
  <si>
    <t>endosomal p24a protein</t>
  </si>
  <si>
    <t>reticuline oxidase-like</t>
  </si>
  <si>
    <t>minichromosome maintenance protein</t>
  </si>
  <si>
    <t>hypothetical protein SORBIDRAFT_09g018300</t>
  </si>
  <si>
    <t>transparent testa 12 protein</t>
  </si>
  <si>
    <t>fzo-like protein</t>
  </si>
  <si>
    <t>receptor-like protein kinase hsl1-like</t>
  </si>
  <si>
    <t>arf-gap domain and fg repeats-containing protein</t>
  </si>
  <si>
    <t>hypothetical protein SORBIDRAFT_09g027920</t>
  </si>
  <si>
    <t>auxin regulated gene involved in organ size 5</t>
  </si>
  <si>
    <t>photosystem ii core complex proteins psby</t>
  </si>
  <si>
    <t>vtc2-like protein</t>
  </si>
  <si>
    <t>c21orf59 homolog ( sapiens) like</t>
  </si>
  <si>
    <t>replication factor a</t>
  </si>
  <si>
    <t>alpha- expressed</t>
  </si>
  <si>
    <t>bifunctional inhibitor lipid-transfer protein seed storage 2s albumin-like protein</t>
  </si>
  <si>
    <t>germin-like protein</t>
  </si>
  <si>
    <t>laccase precursor</t>
  </si>
  <si>
    <t>ring-h2 finger protein atl66-like</t>
  </si>
  <si>
    <t>dna-binding wrky</t>
  </si>
  <si>
    <t>ribosomal protein s2</t>
  </si>
  <si>
    <t>glucan endo- -beta-glucosidase-like protein</t>
  </si>
  <si>
    <t>solanesyl diphosphate synthase 2</t>
  </si>
  <si>
    <t>pathogenesis-related protein class i</t>
  </si>
  <si>
    <t>blue copper binding protein</t>
  </si>
  <si>
    <t>probable inactive purple acid phosphatase 29-like</t>
  </si>
  <si>
    <t>elongation factor 1-</t>
  </si>
  <si>
    <t>flavonol sulfotransferase-like</t>
  </si>
  <si>
    <t>c2 domain-containing protein</t>
  </si>
  <si>
    <t>wrky dna-binding protein</t>
  </si>
  <si>
    <t>rapid alkalinization factor 1 precursor</t>
  </si>
  <si>
    <t>glycosyltransferase family 61 protein</t>
  </si>
  <si>
    <t>phosphatidylserine synthase 2-like</t>
  </si>
  <si>
    <t>glucan endo- -beta-glucosidase gvi precursor</t>
  </si>
  <si>
    <t>lipid phosphate phosphatase 3</t>
  </si>
  <si>
    <t>protein spa1-related 3-like</t>
  </si>
  <si>
    <t>endo- -beta-glucanase</t>
  </si>
  <si>
    <t>dna repair protein reca homolog mitochondrial-like</t>
  </si>
  <si>
    <t>uncharacterized protein LOC100277691</t>
  </si>
  <si>
    <t>cxe carboxylesterase</t>
  </si>
  <si>
    <t>wrky55 - superfamily of tfs having wrky and zinc finger domains</t>
  </si>
  <si>
    <t>wrky transcription factor 48-like protein</t>
  </si>
  <si>
    <t>delta-1-pyrroline-5-carboxylate synthetase</t>
  </si>
  <si>
    <t>phytoene synthase 2</t>
  </si>
  <si>
    <t>12-oxophytodienoic acid reductase</t>
  </si>
  <si>
    <t>hypothetical protein SORBIDRAFT_10g021910</t>
  </si>
  <si>
    <t>ethylene-responsive transciptional coactivator-like protein</t>
  </si>
  <si>
    <t>transcription activator-related protein</t>
  </si>
  <si>
    <t>3-hydroxybenzoate 6-hydroxylase 1-like</t>
  </si>
  <si>
    <t>u-box domain-containing protein 21-like</t>
  </si>
  <si>
    <t>vacuolar proton-inorganic pyrophosphatase</t>
  </si>
  <si>
    <t>caffeoyl 3-o-methyltransferase</t>
  </si>
  <si>
    <t>uncharacterized protein LOC100277853</t>
  </si>
  <si>
    <t>ent-kaurene oxidase</t>
  </si>
  <si>
    <t>protein strubbelig-receptor family 3-like</t>
  </si>
  <si>
    <t>abc transporter c family member 3-like</t>
  </si>
  <si>
    <t>ribosomal protein l16</t>
  </si>
  <si>
    <t>basic endochitinase c precursor</t>
  </si>
  <si>
    <t>uncharacterized protein LOC100274071</t>
  </si>
  <si>
    <t>endo- -beta-xylanase c</t>
  </si>
  <si>
    <t>inositol-3-phosphate synthase</t>
  </si>
  <si>
    <t>glucan endo- -beta-glucosidase 7-like</t>
  </si>
  <si>
    <t>embryogenesis transmembrane</t>
  </si>
  <si>
    <t>uncharacterized protein LOC100502280 precursor</t>
  </si>
  <si>
    <t>uncharacterized protein LOC100501916</t>
  </si>
  <si>
    <t>gpi-anchored wall transfer protein</t>
  </si>
  <si>
    <t>2og-fe oxygenase family expressed</t>
  </si>
  <si>
    <t>expansin-like 3 precursor</t>
  </si>
  <si>
    <t>hypothetical protein rf1-C2-g14</t>
  </si>
  <si>
    <t>co-like protein</t>
  </si>
  <si>
    <t>cysteine-rich receptor-like protein kinase 20-like</t>
  </si>
  <si>
    <t>synaptic vesicle 2-related protein</t>
  </si>
  <si>
    <t>vesicle-associated membrane</t>
  </si>
  <si>
    <t>uncharacterized protein LOC100384145</t>
  </si>
  <si>
    <t>probable glycerophosphoryl diester phosphodiesterase 2-like</t>
  </si>
  <si>
    <t>70 kda peptidyl-prolyl isomerase-like</t>
  </si>
  <si>
    <t>pleiotropic drug resistance protein 2-like</t>
  </si>
  <si>
    <t>3-ketoacyl- reductase</t>
  </si>
  <si>
    <t>wrky69 - superfamily of tfs having wrky and zinc finger domains</t>
  </si>
  <si>
    <t>ring finger and chy zinc finger domain-containing protein 1</t>
  </si>
  <si>
    <t>cationic amino acid transporter</t>
  </si>
  <si>
    <t>protein transparent testa 12-like</t>
  </si>
  <si>
    <t>hipl1 protein</t>
  </si>
  <si>
    <t>cortical cell-delineating protein precursor</t>
  </si>
  <si>
    <t>transcription factor bhlh92</t>
  </si>
  <si>
    <t>probable n-acetyltransferase hookless 1</t>
  </si>
  <si>
    <t>lipid binding protein</t>
  </si>
  <si>
    <t>germin-like protein subfamily t member 1</t>
  </si>
  <si>
    <t>uncharacterized protein LOC100384854</t>
  </si>
  <si>
    <t>protein brevis radix-like</t>
  </si>
  <si>
    <t>uncharacterized protein LOC100304120</t>
  </si>
  <si>
    <t>uncharacterized protein LOC100501809</t>
  </si>
  <si>
    <t>uncharacterized protein LOC100277616</t>
  </si>
  <si>
    <t>actin-depolymerizing factor 5</t>
  </si>
  <si>
    <t>3-ketoacyl- synthase 1</t>
  </si>
  <si>
    <t>ru large subunit-binding protein subunit chloroplastic-like</t>
  </si>
  <si>
    <t>39 kda ef-hand containing expressed</t>
  </si>
  <si>
    <t>nb-arc domain containing expressed</t>
  </si>
  <si>
    <t>protein faf- chloroplastic-like</t>
  </si>
  <si>
    <t>upf0481 protein at3g47200-like</t>
  </si>
  <si>
    <t>copper chaperone</t>
  </si>
  <si>
    <t>beta-ketoacyl-coa synthase family protein</t>
  </si>
  <si>
    <t>dentin sialophospho protein</t>
  </si>
  <si>
    <t>hypothetical protein SORBIDRAFT_01g030610</t>
  </si>
  <si>
    <t>nep1-interacting protein 2</t>
  </si>
  <si>
    <t>triacylglycerol lipase like protein</t>
  </si>
  <si>
    <t>peptidyl-prolyl cis-trans isomerase</t>
  </si>
  <si>
    <t>uncharacterized protein LOC100193017</t>
  </si>
  <si>
    <t>heat shock protein 90</t>
  </si>
  <si>
    <t>uncharacterized protein LOC100501054</t>
  </si>
  <si>
    <t>tpa: class iii peroxidase 119 precursor</t>
  </si>
  <si>
    <t>pirin-like protein</t>
  </si>
  <si>
    <t>tyrosine decarboxylase</t>
  </si>
  <si>
    <t>type i inositol- -trisphosphate 5-phosphatase 11-like</t>
  </si>
  <si>
    <t>chemocyanin precursor</t>
  </si>
  <si>
    <t>hydroxycinnamoyl-coenzyme a shikimate quinate hydroxycinnamoyltransferase-like</t>
  </si>
  <si>
    <t>protein phosphatase 2c 23</t>
  </si>
  <si>
    <t>protein kinase xa21</t>
  </si>
  <si>
    <t>protein binding</t>
  </si>
  <si>
    <t>uracil phosphoribosyltransferase</t>
  </si>
  <si>
    <t>transposon pong sub-class</t>
  </si>
  <si>
    <t>ethylene-responsive transcription factor 4</t>
  </si>
  <si>
    <t>bowman-birk type trypsin inhibitor</t>
  </si>
  <si>
    <t>serine threonine-protein kinase oxi1-like</t>
  </si>
  <si>
    <t>hypothetical protein SORBIDRAFT_06g030440</t>
  </si>
  <si>
    <t>zinc finger homeodomain protein 1</t>
  </si>
  <si>
    <t>phospholipid transfer protein 1</t>
  </si>
  <si>
    <t>uncharacterized protein LOC100272609</t>
  </si>
  <si>
    <t>constans-like protein</t>
  </si>
  <si>
    <t>wd40-like beta propeller repeat family expressed</t>
  </si>
  <si>
    <t>gem-like protein 4-like</t>
  </si>
  <si>
    <t>hypothetical protein SORBIDRAFT_06g026470</t>
  </si>
  <si>
    <t>beta-carotene hydroxylase 1</t>
  </si>
  <si>
    <t>beta-xylosidase alpha-l-arabinofuranosidase 2-like</t>
  </si>
  <si>
    <t>udp-glycosyltransferase 89b1-like</t>
  </si>
  <si>
    <t>cysteine protease 1 precursor</t>
  </si>
  <si>
    <t>stem-specific protein tsjt1-like</t>
  </si>
  <si>
    <t>speckle-type poz protein</t>
  </si>
  <si>
    <t>60s acidic ribosomal protein p2a</t>
  </si>
  <si>
    <t>g-type lectin s-receptor-like serine threonine-protein kinase b120-like</t>
  </si>
  <si>
    <t>uncharacterized protein LOC100278091</t>
  </si>
  <si>
    <t>1-aminocyclopropane-1-carboxylate synthase</t>
  </si>
  <si>
    <t>cytokinin-n-glucosyltransferase 1</t>
  </si>
  <si>
    <t>homeobox-leucine zipper protein hat3</t>
  </si>
  <si>
    <t>adenosine kinase 2</t>
  </si>
  <si>
    <t>probable serine incorporator-like</t>
  </si>
  <si>
    <t>leucine-rich repeat receptor-like protein kinase</t>
  </si>
  <si>
    <t>atp-dependent rna helicase mitochondrial-like</t>
  </si>
  <si>
    <t>hypothetical protein SORBIDRAFT_06g018650</t>
  </si>
  <si>
    <t>myosin-j heavy chain-like</t>
  </si>
  <si>
    <t>uncharacterized protein LOC100275426</t>
  </si>
  <si>
    <t>uncharacterized protein LOC100279539</t>
  </si>
  <si>
    <t>flowering promoting factor-like 1</t>
  </si>
  <si>
    <t>uncharacterized protein LOC100501198</t>
  </si>
  <si>
    <t>late embryogenesis abundant hydroxyproline-rich glycoprotein</t>
  </si>
  <si>
    <t>root phototropism protein 2</t>
  </si>
  <si>
    <t>mrna turnover protein 4</t>
  </si>
  <si>
    <t>harpin inducing protein</t>
  </si>
  <si>
    <t>uncharacterized protein LOC100304211</t>
  </si>
  <si>
    <t>uncharacterized protein LOC100275817</t>
  </si>
  <si>
    <t>ring finger 1</t>
  </si>
  <si>
    <t>cipk-like protein 1</t>
  </si>
  <si>
    <t>calcium-binding protein cml42</t>
  </si>
  <si>
    <t>ubiquitin</t>
  </si>
  <si>
    <t>ef hand family protein</t>
  </si>
  <si>
    <t>phospholipase a2 family protein</t>
  </si>
  <si>
    <t>hva22e</t>
  </si>
  <si>
    <t>cysteine proteinase</t>
  </si>
  <si>
    <t>aminotransferase family protein</t>
  </si>
  <si>
    <t>fiber protein fb34</t>
  </si>
  <si>
    <t>l-asparaginase</t>
  </si>
  <si>
    <t>probable isoaspartyl peptidase l-asparaginase 2-like</t>
  </si>
  <si>
    <t>essential meiotic endonuclease 1a</t>
  </si>
  <si>
    <t>f-box protein pp2-a13-like</t>
  </si>
  <si>
    <t>heat shock protein sti-like</t>
  </si>
  <si>
    <t>flowering locus t</t>
  </si>
  <si>
    <t>uncharacterized protein LOC100275505</t>
  </si>
  <si>
    <t>probable long-chain-alcohol o-fatty-acyltransferase 4-like</t>
  </si>
  <si>
    <t>cinnamyl alcohol dehydrogenase-like protein</t>
  </si>
  <si>
    <t>uncharacterized protein LOC100381514</t>
  </si>
  <si>
    <t>coatomer subunit beta -3</t>
  </si>
  <si>
    <t>protein phosphatase expressed</t>
  </si>
  <si>
    <t>calreticulin precursor</t>
  </si>
  <si>
    <t>transcription factor hec1-like</t>
  </si>
  <si>
    <t>bhlh transcription factor gbof-1</t>
  </si>
  <si>
    <t>alpha-l-fucosidase 1-like</t>
  </si>
  <si>
    <t>serine threonine-specific protein kinase</t>
  </si>
  <si>
    <t>40s ribosomal protein s9</t>
  </si>
  <si>
    <t>ubiquitin-protein ligase cip8</t>
  </si>
  <si>
    <t>indole-3-acetic acid-amido synthetase</t>
  </si>
  <si>
    <t>hypothetical protein SORBIDRAFT_02g001930</t>
  </si>
  <si>
    <t>core-2 i-branching beta- -n-acetylglucosaminyltransferase family protein</t>
  </si>
  <si>
    <t>mini-chromosome maintenance complex-binding</t>
  </si>
  <si>
    <t>arabinogalactan protein</t>
  </si>
  <si>
    <t>uncharacterized protein LOC100383606</t>
  </si>
  <si>
    <t>early nodulin-like protein 1 precursor</t>
  </si>
  <si>
    <t>uncharacterized protein LOC100274211</t>
  </si>
  <si>
    <t>esterase lipase thioesterase family protein</t>
  </si>
  <si>
    <t>uncharacterized protein LOC100383178</t>
  </si>
  <si>
    <t>pectinacetylesterase precursor</t>
  </si>
  <si>
    <t>uncharacterized protein LOC100279141</t>
  </si>
  <si>
    <t>uncharacterized protein LOC100383286</t>
  </si>
  <si>
    <t>avr9 cf-9 rapidly elicited protein 137</t>
  </si>
  <si>
    <t>peroxidase 56 precursor</t>
  </si>
  <si>
    <t>aldehyde dehydrogenase family 2 member c4-like</t>
  </si>
  <si>
    <t>zinc finger protein</t>
  </si>
  <si>
    <t>probable wrky transcription factor 72-like</t>
  </si>
  <si>
    <t>uncharacterized protein LOC100277712</t>
  </si>
  <si>
    <t>hypothetical protein SORBIDRAFT_03g007000</t>
  </si>
  <si>
    <t>cyclin-like protein</t>
  </si>
  <si>
    <t>cationic peroxidase isozyme 40k precursor</t>
  </si>
  <si>
    <t>probable lrr receptor-like serine threonine-protein kinase at1g74360-like</t>
  </si>
  <si>
    <t>wound inducive gene</t>
  </si>
  <si>
    <t>hypothetical protein SORBIDRAFT_08g018350</t>
  </si>
  <si>
    <t>non-cyanogenic beta-glucosidase precursor</t>
  </si>
  <si>
    <t>rhicadhesin receptor precursor</t>
  </si>
  <si>
    <t>histone-lysine n- h3 lysine-9 specific suvh4-like</t>
  </si>
  <si>
    <t>galactolipase chloroplastic-like</t>
  </si>
  <si>
    <t>chromatin assembly factor-1</t>
  </si>
  <si>
    <t>sd1</t>
  </si>
  <si>
    <t>bidirectional sugar transporter sweet1-like</t>
  </si>
  <si>
    <t>60s ribosomal protein l10a-1</t>
  </si>
  <si>
    <t>probable galacturonosyltransferase 15-like</t>
  </si>
  <si>
    <t>hypothetical protein SORBIDRAFT_03g031090</t>
  </si>
  <si>
    <t>ras-related protein raba1f-like</t>
  </si>
  <si>
    <t>class iii chitinase</t>
  </si>
  <si>
    <t>tat pathway signal sequence family protein</t>
  </si>
  <si>
    <t>urophorphyrin methylase 1</t>
  </si>
  <si>
    <t>dna replication licensing factor mcm4</t>
  </si>
  <si>
    <t>zf-hd homeobox protein at4g24660-like</t>
  </si>
  <si>
    <t>tyrosine nicotianamine aminotransferases family expressed</t>
  </si>
  <si>
    <t>sugar transporter family expressed</t>
  </si>
  <si>
    <t>expressed protein</t>
  </si>
  <si>
    <t>hypothetical protein SORBIDRAFT_05g019070</t>
  </si>
  <si>
    <t>uncharacterized protein LOC100275439 precursor</t>
  </si>
  <si>
    <t>col domain class transcription factor</t>
  </si>
  <si>
    <t>coc1</t>
  </si>
  <si>
    <t>fatty acyl coa reductase</t>
  </si>
  <si>
    <t>pre-mrna cleavage factor 25kd</t>
  </si>
  <si>
    <t>zf-hd homeobox protein</t>
  </si>
  <si>
    <t>actin associated protein</t>
  </si>
  <si>
    <t>gibberellin receptor gid1l2</t>
  </si>
  <si>
    <t>uncharacterized protein LOC100279483</t>
  </si>
  <si>
    <t>protein kinase receptor type precursor</t>
  </si>
  <si>
    <t>uncharacterized protein LOC100278739</t>
  </si>
  <si>
    <t>uncharacterized protein LOC100277269</t>
  </si>
  <si>
    <t>metacaspase 2</t>
  </si>
  <si>
    <t>xyloglucan endotransglucosylase hydrolase protein a</t>
  </si>
  <si>
    <t>fasciclin-like arabinogalactan protein 1-like</t>
  </si>
  <si>
    <t>long chain acyl- synthetase 9</t>
  </si>
  <si>
    <t>carboxyl-terminal peptidase</t>
  </si>
  <si>
    <t>cytochrome p450 94a2-like</t>
  </si>
  <si>
    <t>uncharacterized protein LOC100273307</t>
  </si>
  <si>
    <t>constans-like 1</t>
  </si>
  <si>
    <t>glycerol 3-phosphate permease</t>
  </si>
  <si>
    <t>phospholipase a1- chloroplastic-like</t>
  </si>
  <si>
    <t>auxin-induced protein 5ng4-like</t>
  </si>
  <si>
    <t>60s ribosomal protein l18a</t>
  </si>
  <si>
    <t>60s ribosomal protein l31a</t>
  </si>
  <si>
    <t>quinone oxidoreductase</t>
  </si>
  <si>
    <t>phi-1-like phosphate-induced protein</t>
  </si>
  <si>
    <t>gtp binding protein</t>
  </si>
  <si>
    <t>o-glucosyltransferase rumi homolog</t>
  </si>
  <si>
    <t>caffeoyl- o-methyltransferase</t>
  </si>
  <si>
    <t>serine threonine protein kinase</t>
  </si>
  <si>
    <t>auxin influx carrier protein</t>
  </si>
  <si>
    <t>mate efflux domain-containing protein</t>
  </si>
  <si>
    <t>uncharacterized protein LOC100277448</t>
  </si>
  <si>
    <t>protein phosphatase-</t>
  </si>
  <si>
    <t>uncharacterized protein LOC100274621</t>
  </si>
  <si>
    <t>phosphatidic acid phosphatase family protein</t>
  </si>
  <si>
    <t>receptor protein</t>
  </si>
  <si>
    <t>protein kinase domain containing protein</t>
  </si>
  <si>
    <t>protein phosphatase 2c containing expressed</t>
  </si>
  <si>
    <t>uncharacterized protein LOC100384072 precursor</t>
  </si>
  <si>
    <t>terpene synthase 2</t>
  </si>
  <si>
    <t>cyclin-dependent protein</t>
  </si>
  <si>
    <t>phosphoglucosamine mutase family protein</t>
  </si>
  <si>
    <t>glycine-rich cell wall structural protein precursor</t>
  </si>
  <si>
    <t>class iv chitinase</t>
  </si>
  <si>
    <t>xyloglucan endo- -beta-d-glucanase</t>
  </si>
  <si>
    <t>peptide transporter ptr2-like</t>
  </si>
  <si>
    <t>asc1-like protein 1</t>
  </si>
  <si>
    <t>thioredoxin-like 5</t>
  </si>
  <si>
    <t>calcium-dependent protein kinase 30-like</t>
  </si>
  <si>
    <t>5-methyltetrahydropteroyltriglutamate-homocysteine expressed</t>
  </si>
  <si>
    <t>beta-amyrin synthase</t>
  </si>
  <si>
    <t>ripening-related protein 5-like</t>
  </si>
  <si>
    <t>peptide transporter ptr3-a-like</t>
  </si>
  <si>
    <t>serine carboxypeptidase 1 precursor</t>
  </si>
  <si>
    <t>uncharacterized protein LOC100304187</t>
  </si>
  <si>
    <t>gdsl-motif lipase hydrolase-like</t>
  </si>
  <si>
    <t>saur family protein</t>
  </si>
  <si>
    <t>two-component response regulator arr2-like</t>
  </si>
  <si>
    <t>ripening-related protein</t>
  </si>
  <si>
    <t>ring-h2 finger protein atl72</t>
  </si>
  <si>
    <t>4-coumarate coenzyme a ligase</t>
  </si>
  <si>
    <t>Os02g0189400</t>
  </si>
  <si>
    <t>agc kinase</t>
  </si>
  <si>
    <t>peroxidase 52-like</t>
  </si>
  <si>
    <t>udp-glucose: flavonoid 7-o-glucosyltransferase</t>
  </si>
  <si>
    <t>n-acetylglucosaminyltransferase iii</t>
  </si>
  <si>
    <t>high-affinity nitrate transporter -like</t>
  </si>
  <si>
    <t>vesicle-associated protein 2-1-like</t>
  </si>
  <si>
    <t>ap2-related transcription factor</t>
  </si>
  <si>
    <t>uncharacterized protein LOC100277003</t>
  </si>
  <si>
    <t>uncharacterized protein LOC100276020</t>
  </si>
  <si>
    <t>uncharacterized protein LOC100216699</t>
  </si>
  <si>
    <t>myristoyl-acyl carrier protein thioesterase</t>
  </si>
  <si>
    <t>gdsl esterase lipase apg-like</t>
  </si>
  <si>
    <t>nac domain-containing</t>
  </si>
  <si>
    <t>60s acidic ribosomal protein p3</t>
  </si>
  <si>
    <t>erwinia induced protein 1</t>
  </si>
  <si>
    <t>rossmann-fold nad -binding domain-containing protein</t>
  </si>
  <si>
    <t>protein mother of ft and tf 1-like</t>
  </si>
  <si>
    <t>uncharacterized protein LOC100280099</t>
  </si>
  <si>
    <t>uncharacterized protein LOC100277700</t>
  </si>
  <si>
    <t>probable nitrite transporter at1g68570-like</t>
  </si>
  <si>
    <t>glycerol-3-phosphate acyltransferase 5</t>
  </si>
  <si>
    <t>eid1-like f-box protein 3-like</t>
  </si>
  <si>
    <t>uncharacterized protein LOC100191662</t>
  </si>
  <si>
    <t>wall-associated kinase 4-like</t>
  </si>
  <si>
    <t>f-box protein at2g16365-like</t>
  </si>
  <si>
    <t>hypothetical protein SORBIDRAFT_09g029320</t>
  </si>
  <si>
    <t>bon1-associated protein 2-like</t>
  </si>
  <si>
    <t>protein tas-like</t>
  </si>
  <si>
    <t>hypothetical protein SORBIDRAFT_10g002800</t>
  </si>
  <si>
    <t>40s ribosomal protein s24</t>
  </si>
  <si>
    <t>probable membrane-associated kinase regulator 4-like</t>
  </si>
  <si>
    <t>40s ribosomal protein s23</t>
  </si>
  <si>
    <t>cysteine-rich receptor-like protein kinase 25-like</t>
  </si>
  <si>
    <t>flower locus t3</t>
  </si>
  <si>
    <t>aspartic proteinase nepenthesin-2-like</t>
  </si>
  <si>
    <t>peptidyl-prolyl cis-trans isomerase cyp19-3</t>
  </si>
  <si>
    <t>potassium channel</t>
  </si>
  <si>
    <t>1-deoxy-d-xylulose 5-phosphate synthase</t>
  </si>
  <si>
    <t>uncharacterized protein LOC100383921</t>
  </si>
  <si>
    <t>folate biopterin transporter family protein</t>
  </si>
  <si>
    <t>desiccation-associated protein</t>
  </si>
  <si>
    <t>lrr receptor-like serine threonine-protein kinase</t>
  </si>
  <si>
    <t>uncharacterized protein LOC100278276</t>
  </si>
  <si>
    <t>nucleic acid binding</t>
  </si>
  <si>
    <t>probable potassium transporter 17-like</t>
  </si>
  <si>
    <t>uncharacterized protein LOC100276620</t>
  </si>
  <si>
    <t>uncharacterized protein LOC100276373</t>
  </si>
  <si>
    <t>60s ribosomal protein l15</t>
  </si>
  <si>
    <t>nucleobase-ascorbate transporter 11-like</t>
  </si>
  <si>
    <t>uncharacterized protein LOC100274659</t>
  </si>
  <si>
    <t>probable xyloglucan endotransglucosylase hydrolase protein 8-like</t>
  </si>
  <si>
    <t>symbiosis-related protein</t>
  </si>
  <si>
    <t>nucleoid dna-binding-like protein</t>
  </si>
  <si>
    <t>thioredoxin-like 1- chloroplastic-like</t>
  </si>
  <si>
    <t>acyl carrier protein 3</t>
  </si>
  <si>
    <t>s-phase kinase-associated protein 1</t>
  </si>
  <si>
    <t>uncharacterized protein LOC100382838</t>
  </si>
  <si>
    <t>plant viral-response family protein</t>
  </si>
  <si>
    <t>cyt-p450 monooxygenase</t>
  </si>
  <si>
    <t>hypothetical protein SORBIDRAFT_02g028480</t>
  </si>
  <si>
    <t>duf246 domain-containing protein at1g04910-like</t>
  </si>
  <si>
    <t>ap2 domain transcription factor</t>
  </si>
  <si>
    <t>zeamatin-like protein</t>
  </si>
  <si>
    <t>lipase-like protein</t>
  </si>
  <si>
    <t>ribosome-inactivating protein</t>
  </si>
  <si>
    <t>thiol protease sen102 precursor</t>
  </si>
  <si>
    <t>ribosome biogenesis protein wdr12 homolog</t>
  </si>
  <si>
    <t>mads-domain transcription factor</t>
  </si>
  <si>
    <t>r2r3-myb transcription</t>
  </si>
  <si>
    <t>cbl-interacting serine threonine-protein kinase 1</t>
  </si>
  <si>
    <t>eukaryotic translation initiation factor 6</t>
  </si>
  <si>
    <t>h aca ribonucleoprotein complex subunit 4-like</t>
  </si>
  <si>
    <t>uncharacterized protein LOC100383628</t>
  </si>
  <si>
    <t>neutral invertase</t>
  </si>
  <si>
    <t>glucan -beta-glucosidase</t>
  </si>
  <si>
    <t>uncharacterized protein LOC100275157</t>
  </si>
  <si>
    <t>mpi</t>
  </si>
  <si>
    <t>probable polygalacturonase-like</t>
  </si>
  <si>
    <t>probable serine threonine-protein kinase at1g54610-like</t>
  </si>
  <si>
    <t>regulation of nuclear pre-mrna domain-containing protein 2-like</t>
  </si>
  <si>
    <t>hypothetical protein SORBIDRAFT_03g043660</t>
  </si>
  <si>
    <t>hydroxycinnamoyl shikimate quinate hydroxycinnamoyltransferase-like protein</t>
  </si>
  <si>
    <t>calcyclin-binding protein</t>
  </si>
  <si>
    <t>protein phytochrome kinase substrate 4-like</t>
  </si>
  <si>
    <t>leucyl-trna synthetase</t>
  </si>
  <si>
    <t>iaa15 - auxin-responsive aux iaa family member</t>
  </si>
  <si>
    <t>hypothetical protein SORBIDRAFT_03g003180</t>
  </si>
  <si>
    <t>grx_a2 - glutaredoxin subgroup iii</t>
  </si>
  <si>
    <t>negatively light-regulated protein</t>
  </si>
  <si>
    <t>beta-hydroxyacyl-acp dehydratase</t>
  </si>
  <si>
    <t>cbl-interacting serine threonine-protein kinase 11</t>
  </si>
  <si>
    <t>zinc finger transcription factor-like protein</t>
  </si>
  <si>
    <t>receptor serine-threonine protein</t>
  </si>
  <si>
    <t>PREDICTED: uncharacterized protein LOC100843344</t>
  </si>
  <si>
    <t>flavonol glucosyltransferase</t>
  </si>
  <si>
    <t>burp domain-containing protein</t>
  </si>
  <si>
    <t>uncharacterized protein LOC100383220</t>
  </si>
  <si>
    <t>mac perforin domain-containing protein</t>
  </si>
  <si>
    <t>hva22-like protein a</t>
  </si>
  <si>
    <t>mtn21-like protein</t>
  </si>
  <si>
    <t>monocopper oxidase-like protein sku5</t>
  </si>
  <si>
    <t>ripening regulated protein</t>
  </si>
  <si>
    <t>uncharacterized protein LOC100278708</t>
  </si>
  <si>
    <t>fad nad -binding oxidoreductase family protein</t>
  </si>
  <si>
    <t>protein wax2-like isoform 2</t>
  </si>
  <si>
    <t>senescence-associated protein dh</t>
  </si>
  <si>
    <t>vacuolar-sorting receptor 7-like</t>
  </si>
  <si>
    <t>af361857_1 at2g46220</t>
  </si>
  <si>
    <t>saur25 - auxin-responsive saur family member</t>
  </si>
  <si>
    <t>short chain dehydrogenase reductase family expressed</t>
  </si>
  <si>
    <t>uncharacterized protein LOC100193136</t>
  </si>
  <si>
    <t>transcription initiation factor iif subunit alpha-like</t>
  </si>
  <si>
    <t>fatty acid elongase 3-ketoacyl- synthase 1</t>
  </si>
  <si>
    <t>uncharacterized protein LOC100275469</t>
  </si>
  <si>
    <t>ring-h2 zinc finger protein</t>
  </si>
  <si>
    <t>granule bound starch synthase</t>
  </si>
  <si>
    <t>microtubule-associated protein map65-1a</t>
  </si>
  <si>
    <t>fructose- - chloroplastic-like</t>
  </si>
  <si>
    <t>myb-like dna-binding shaqkyf class family protein</t>
  </si>
  <si>
    <t>calmodulin-like protein 6-like</t>
  </si>
  <si>
    <t>random slug protein</t>
  </si>
  <si>
    <t>chp-rich zinc finger</t>
  </si>
  <si>
    <t>hydroxymethylglutaryl- synthase</t>
  </si>
  <si>
    <t>3-ketoacyl- synthase 11-like</t>
  </si>
  <si>
    <t>pentatricopeptide repeat-containing</t>
  </si>
  <si>
    <t>leafy hull sterile 1</t>
  </si>
  <si>
    <t>stress-induced hydrophobic peptide</t>
  </si>
  <si>
    <t>alpha-expansin 6 precursor</t>
  </si>
  <si>
    <t>uncharacterized protein LOC100276969</t>
  </si>
  <si>
    <t>transcription factor bhlh35</t>
  </si>
  <si>
    <t>abc transporter b family member 19-like</t>
  </si>
  <si>
    <t>ili1 binding bhlh 1 protein</t>
  </si>
  <si>
    <t>transcription factor</t>
  </si>
  <si>
    <t>vamp protein sec22</t>
  </si>
  <si>
    <t>ankyrin repeat domain-containing protein</t>
  </si>
  <si>
    <t>della protein</t>
  </si>
  <si>
    <t>uncharacterized protein LOC100383884</t>
  </si>
  <si>
    <t>pathogen-related protein</t>
  </si>
  <si>
    <t>calcium-dependent lipid-binding domain-containing protein</t>
  </si>
  <si>
    <t>patatin t5 precursor</t>
  </si>
  <si>
    <t>nep1-interacting protein</t>
  </si>
  <si>
    <t>hypothetical protein SORBIDRAFT_04g032340</t>
  </si>
  <si>
    <t>protein vip1-like</t>
  </si>
  <si>
    <t>anther-specific proline-rich protein apg precursor</t>
  </si>
  <si>
    <t>glycine decarboxylase complex h-protein</t>
  </si>
  <si>
    <t>uncharacterized protein LOC100275437</t>
  </si>
  <si>
    <t>ygl010w-like protein</t>
  </si>
  <si>
    <t>protease do-like 7-like</t>
  </si>
  <si>
    <t>aspartic proteinase nepenthesin-1 precursor</t>
  </si>
  <si>
    <t>probable mitochondrial chaperone bcs1-b-like</t>
  </si>
  <si>
    <t>uncharacterized protein LOC100275855 precursor</t>
  </si>
  <si>
    <t>ramosa 3</t>
  </si>
  <si>
    <t>endonuclease exonuclease phosphatase domain-containing protein</t>
  </si>
  <si>
    <t>nucleic acid binding protein</t>
  </si>
  <si>
    <t>wrky transcription factor 22-like</t>
  </si>
  <si>
    <t>universal stress protein family protein</t>
  </si>
  <si>
    <t>kinesin-like protein kif2a-like</t>
  </si>
  <si>
    <t>oligopeptide transporter</t>
  </si>
  <si>
    <t>uncharacterized protein LOC100384107 precursor</t>
  </si>
  <si>
    <t>transmembrane protein 115-like</t>
  </si>
  <si>
    <t>glutamate decarboxylase</t>
  </si>
  <si>
    <t>NA</t>
  </si>
  <si>
    <t>NA</t>
    <phoneticPr fontId="1" type="noConversion"/>
  </si>
  <si>
    <t>GRMZM2G160812,GRMZM2G160816</t>
    <phoneticPr fontId="1" type="noConversion"/>
  </si>
  <si>
    <t>BD</t>
    <phoneticPr fontId="1" type="noConversion"/>
  </si>
  <si>
    <t>uncharacterized protein LOC100278663</t>
    <phoneticPr fontId="1" type="noConversion"/>
  </si>
  <si>
    <t>gene</t>
  </si>
  <si>
    <t>BD</t>
  </si>
  <si>
    <t>GRMZM2G160812,GRMZM2G160816</t>
  </si>
  <si>
    <t>GO term</t>
  </si>
  <si>
    <t>GO:0016021</t>
  </si>
  <si>
    <t>GO:0003824GO:0008152</t>
  </si>
  <si>
    <t>GO:0003700GO:0006355GO:0005634GO:0043565</t>
  </si>
  <si>
    <t>GO:0005634GO:0045449GO:0030528</t>
  </si>
  <si>
    <t>GO:0016020GO:0015018GO:0050825GO:0042309GO:0050826</t>
  </si>
  <si>
    <t>GO:0006952GO:0009607</t>
  </si>
  <si>
    <t>GO:0050825GO:0042309GO:0050826</t>
  </si>
  <si>
    <t>GO:0016829GO:0000287GO:0008152</t>
  </si>
  <si>
    <t>GO:0005488</t>
  </si>
  <si>
    <t>GO:0046983GO:0008171</t>
  </si>
  <si>
    <t>GO:0016020GO:0017153GO:0006835</t>
  </si>
  <si>
    <t>GO:0005737GO:0004364GO:0008152</t>
  </si>
  <si>
    <t>GO:0004657GO:0006537GO:0006562</t>
  </si>
  <si>
    <t>GO:0003700GO:0006355</t>
  </si>
  <si>
    <t>GO:0004674GO:0006468GO:0004713GO:0005524</t>
  </si>
  <si>
    <t>GO:0006334GO:0003677GO:0005634GO:0000786</t>
  </si>
  <si>
    <t>GO:0006520GO:0030170</t>
  </si>
  <si>
    <t>GO:0004857GO:0030599</t>
  </si>
  <si>
    <t>GO:0005315GO:0016021GO:0006817</t>
  </si>
  <si>
    <t>GO:0004568GO:0006032</t>
  </si>
  <si>
    <t>GO:0045449GO:0008270GO:0003677</t>
  </si>
  <si>
    <t>GO:0004497GO:0020037GO:0009055</t>
  </si>
  <si>
    <t>GO:0005515</t>
  </si>
  <si>
    <t>GO:0003700GO:0043565GO:0005634GO:0045449</t>
  </si>
  <si>
    <t>GO:0003824GO:0016564GO:0006808GO:0044237GO:0050662</t>
  </si>
  <si>
    <t>GO:0004601GO:0006979GO:0020037GO:0009055</t>
  </si>
  <si>
    <t>GO:0048046GO:0005507GO:0046274GO:0008471GO:0055114</t>
  </si>
  <si>
    <t>GO:0006529GO:0004066</t>
  </si>
  <si>
    <t>GO:0006566GO:0005524GO:0004413</t>
  </si>
  <si>
    <t>GO:0006508GO:0004185</t>
  </si>
  <si>
    <t>GO:0005576GO:0019953</t>
  </si>
  <si>
    <t>GO:0003735GO:0015934GO:0006412GO:0030528</t>
  </si>
  <si>
    <t>GO:0006468GO:0004674GO:0004713GO:0005515GO:0005524GO:0031177</t>
  </si>
  <si>
    <t>GO:0006508GO:0004177</t>
  </si>
  <si>
    <t>GO:0016747</t>
  </si>
  <si>
    <t>GO:0006857GO:0005215GO:0016020</t>
  </si>
  <si>
    <t>GO:0015105GO:0015746GO:0016021GO:0015137</t>
  </si>
  <si>
    <t>GO:0016020GO:0016760GO:0030244</t>
  </si>
  <si>
    <t>GO:0006629GO:0016788</t>
  </si>
  <si>
    <t>GO:0016787</t>
  </si>
  <si>
    <t>GO:0008146</t>
  </si>
  <si>
    <t>GO:0006541GO:0003824GO:0009058GO:0050825GO:0042309GO:0050826</t>
  </si>
  <si>
    <t>GO:0016847GO:0009058GO:0030170GO:0016769</t>
  </si>
  <si>
    <t>GO:0006508GO:0043086GO:0042802GO:0004252</t>
  </si>
  <si>
    <t>GO:0004674GO:0006468GO:0005524GO:0005515GO:0004713</t>
  </si>
  <si>
    <t>GO:0006869GO:0050825GO:0008289GO:0042309GO:0050826</t>
  </si>
  <si>
    <t>GO:0004834GO:0006568</t>
  </si>
  <si>
    <t>GO:0009058</t>
  </si>
  <si>
    <t>GO:0009058GO:0016833</t>
  </si>
  <si>
    <t>GO:0006508GO:0004190</t>
  </si>
  <si>
    <t>GO:0005658GO:0006269GO:0003896</t>
  </si>
  <si>
    <t>GO:0015629GO:0016021GO:0005198GO:0004969GO:0007155GO:0007186</t>
  </si>
  <si>
    <t>GO:0005576</t>
  </si>
  <si>
    <t>GO:0006470GO:0008287GO:0004722</t>
  </si>
  <si>
    <t>GO:0007155</t>
  </si>
  <si>
    <t>GO:0004516GO:0019363</t>
  </si>
  <si>
    <t>GO:0045449GO:0003677</t>
  </si>
  <si>
    <t>GO:0008270GO:0005515</t>
  </si>
  <si>
    <t>GO:0016810</t>
  </si>
  <si>
    <t>GO:0046872GO:0030001</t>
  </si>
  <si>
    <t>GO:0005634GO:0003676</t>
  </si>
  <si>
    <t>GO:0003993</t>
  </si>
  <si>
    <t>GO:0006915GO:0005524</t>
  </si>
  <si>
    <t>GO:0048046GO:0030145GO:0045735</t>
  </si>
  <si>
    <t>GO:0016887GO:0016020GO:0031177GO:0005524</t>
  </si>
  <si>
    <t>GO:0005506GO:0016491</t>
  </si>
  <si>
    <t>GO:0006950</t>
  </si>
  <si>
    <t>GO:0005199GO:0045735</t>
  </si>
  <si>
    <t>GO:0016491GO:0004568GO:0006032GO:0008061GO:0016998</t>
  </si>
  <si>
    <t>GO:0005975GO:0004553</t>
  </si>
  <si>
    <t>GO:0003677</t>
  </si>
  <si>
    <t>GO:0015297GO:0016020GO:0006855GO:0015238</t>
  </si>
  <si>
    <t>GO:0006829GO:0016021GO:0017153GO:0006835GO:0005385</t>
  </si>
  <si>
    <t>GO:0005740GO:0007585</t>
  </si>
  <si>
    <t>GO:0005737GO:0006796GO:0000287GO:0003677GO:0004427</t>
  </si>
  <si>
    <t>GO:0016021GO:0006810GO:0005234GO:0030288GO:0004965GO:0007186GO:0004970</t>
  </si>
  <si>
    <t>GO:0016758GO:0008152</t>
  </si>
  <si>
    <t>GO:0016998GO:0016021GO:0008061GO:0004994GO:0004568GO:0006032GO:0007186</t>
  </si>
  <si>
    <t>GO:0007067</t>
  </si>
  <si>
    <t>GO:0005576GO:0004867</t>
  </si>
  <si>
    <t>GO:0031072GO:0006457GO:0051082</t>
  </si>
  <si>
    <t>GO:0005978GO:0004135</t>
  </si>
  <si>
    <t>GO:0015977GO:0016984</t>
  </si>
  <si>
    <t>GO:0004556GO:0005975GO:0005509</t>
  </si>
  <si>
    <t>GO:0005488GO:0008152GO:0016491</t>
  </si>
  <si>
    <t>GO:0008270GO:0055114GO:0016491</t>
  </si>
  <si>
    <t>GO:0033179GO:0015986GO:0015078</t>
  </si>
  <si>
    <t>GO:0006468GO:0004674GO:0005529GO:0004713GO:0005524GO:0048544</t>
  </si>
  <si>
    <t>GO:0006334GO:0003677GO:0050826GO:0050825GO:0042309GO:0000786GO:0005634</t>
  </si>
  <si>
    <t>GO:0006508GO:0004252</t>
  </si>
  <si>
    <t>GO:0006468GO:0005840GO:0003735GO:0004674GO:0050825GO:0004713GO:0042309GO:0050826GO:0006412GO:0005524</t>
  </si>
  <si>
    <t>GO:0016829GO:0009058GO:0006520GO:0016769GO:0030170</t>
  </si>
  <si>
    <t>GO:0006355GO:0005634GO:0004879GO:0003677</t>
  </si>
  <si>
    <t>GO:0050660GO:0016021GO:0015662GO:0009055GO:0006754GO:0005506GO:0016491</t>
  </si>
  <si>
    <t>GO:0005576GO:0005199</t>
  </si>
  <si>
    <t>GO:0004664GO:0009094</t>
  </si>
  <si>
    <t>GO:0005737GO:0004812GO:0005524GO:0006418</t>
  </si>
  <si>
    <t>GO:0004969GO:0016021GO:0007186</t>
  </si>
  <si>
    <t>GO:0008270GO:0003676</t>
  </si>
  <si>
    <t>GO:0000015GO:0004634GO:0006096</t>
  </si>
  <si>
    <t>GO:0003735GO:0006412GO:0006464GO:0005840</t>
  </si>
  <si>
    <t>GO:0016021GO:0006334GO:0000786GO:0005199GO:0006355GO:0004969GO:0003677GO:0007186GO:0005634GO:0004879</t>
  </si>
  <si>
    <t>GO:0003849GO:0009073</t>
  </si>
  <si>
    <t>GO:0004965GO:0016021GO:0007186</t>
  </si>
  <si>
    <t>GO:0005634GO:0030528</t>
  </si>
  <si>
    <t>GO:0016787GO:0008152</t>
  </si>
  <si>
    <t>GO:0004867</t>
  </si>
  <si>
    <t>GO:0008415GO:0008152</t>
  </si>
  <si>
    <t>GO:0046872GO:0019509GO:0051213</t>
  </si>
  <si>
    <t>GO:0005506GO:0016165GO:0009055</t>
  </si>
  <si>
    <t>GO:0015629GO:0005198GO:0006265GO:0050825GO:0042309GO:0050826GO:0007155GO:0005694GO:0003918GO:0005524</t>
  </si>
  <si>
    <t>GO:0007018GO:0003777GO:0005524GO:0005875</t>
  </si>
  <si>
    <t>GO:0006508GO:0046983GO:0016020GO:0051260GO:0008237</t>
  </si>
  <si>
    <t>GO:0008168GO:0008152</t>
  </si>
  <si>
    <t>GO:0016020GO:0009765</t>
  </si>
  <si>
    <t>GO:0005737GO:0004360GO:0005529GO:0016051</t>
  </si>
  <si>
    <t>GO:0003735GO:0004812GO:0005840GO:0005524GO:0006418</t>
  </si>
  <si>
    <t>GO:0003824GO:0003676GO:0008152</t>
  </si>
  <si>
    <t>GO:0006886GO:0005622</t>
  </si>
  <si>
    <t>GO:0046872</t>
  </si>
  <si>
    <t>GO:0015904GO:0016021GO:0015520GO:0046677</t>
  </si>
  <si>
    <t>GO:0003735GO:0004650GO:0005975GO:0006412GO:0005840</t>
  </si>
  <si>
    <t>GO:0008270</t>
  </si>
  <si>
    <t>GO:0009654GO:0015979</t>
  </si>
  <si>
    <t>GO:0006810GO:0005622</t>
  </si>
  <si>
    <t>GO:0005543</t>
  </si>
  <si>
    <t>GO:0003840</t>
  </si>
  <si>
    <t>GO:0015976GO:0004089GO:0008270</t>
  </si>
  <si>
    <t>GO:0045430GO:0009813</t>
  </si>
  <si>
    <t>GO:0005524</t>
  </si>
  <si>
    <t>GO:0050826GO:0050825GO:0042309GO:0003677</t>
  </si>
  <si>
    <t>GO:0006508GO:0004197</t>
  </si>
  <si>
    <t>GO:0006887GO:0000145</t>
  </si>
  <si>
    <t>GO:0050826GO:0050825GO:0042309GO:0008152GO:0016491</t>
  </si>
  <si>
    <t>GO:0008171</t>
  </si>
  <si>
    <t>GO:0016311GO:0004725</t>
  </si>
  <si>
    <t>GO:0050660GO:0020037GO:0003677GO:0030151GO:0042128GO:0005665GO:0006366GO:0046857GO:0055114GO:0009055</t>
  </si>
  <si>
    <t>GO:0006886GO:0003924GO:0006913GO:0005622GO:0005515GO:0007264GO:0005525</t>
  </si>
  <si>
    <t>GO:0003852GO:0009098</t>
  </si>
  <si>
    <t>GO:0016021GO:0007186GO:0005199</t>
  </si>
  <si>
    <t>GO:0008168</t>
  </si>
  <si>
    <t>GO:0006468GO:0016998GO:0004674GO:0004336GO:0004713GO:0006683GO:0005524</t>
  </si>
  <si>
    <t>GO:0008107GO:0016020GO:0042546</t>
  </si>
  <si>
    <t>GO:0008652GO:0016836GO:0051539</t>
  </si>
  <si>
    <t>GO:0045454GO:0015035GO:0009055</t>
  </si>
  <si>
    <t>GO:0004869</t>
  </si>
  <si>
    <t>GO:0005634GO:0000785GO:0003677</t>
  </si>
  <si>
    <t>GO:0016597GO:0008152</t>
  </si>
  <si>
    <t>GO:0016020GO:0016301GO:0051260GO:0005524GO:0008152</t>
  </si>
  <si>
    <t>GO:0004106GO:0009073</t>
  </si>
  <si>
    <t>GO:0005199</t>
  </si>
  <si>
    <t>GO:0050660GO:0016491</t>
  </si>
  <si>
    <t>GO:0005247GO:0006821GO:0016020GO:0008270GO:0005515</t>
  </si>
  <si>
    <t>GO:0005515GO:0006915GO:0006464GO:0050825GO:0042309GO:0050826</t>
  </si>
  <si>
    <t>GO:0016020GO:0016887GO:0005524</t>
  </si>
  <si>
    <t>GO:0008152</t>
  </si>
  <si>
    <t>GO:0006629</t>
  </si>
  <si>
    <t>GO:0005975GO:0015232GO:0015886GO:0016020GO:0017004GO:0004553</t>
  </si>
  <si>
    <t>GO:0016757</t>
  </si>
  <si>
    <t>GO:0006633GO:0005506GO:0005783GO:0055114GO:0016491</t>
  </si>
  <si>
    <t>GO:0007017GO:0005875GO:0003777</t>
  </si>
  <si>
    <t>GO:0008483GO:0009058GO:0006520GO:0016847GO:0030170</t>
  </si>
  <si>
    <t>GO:0006813GO:0051287GO:0006006GO:0008324GO:0004365</t>
  </si>
  <si>
    <t>GO:0005634</t>
  </si>
  <si>
    <t>GO:0051287GO:0016616GO:0008152</t>
  </si>
  <si>
    <t>GO:0008270GO:0005622</t>
  </si>
  <si>
    <t>GO:0003824GO:0005992</t>
  </si>
  <si>
    <t>GO:0016491</t>
  </si>
  <si>
    <t>GO:0008202</t>
  </si>
  <si>
    <t>GO:0005618GO:0048046GO:0016762GO:0006073GO:0004553</t>
  </si>
  <si>
    <t>GO:0006915GO:0005515</t>
  </si>
  <si>
    <t>GO:0006071GO:0006629GO:0008889</t>
  </si>
  <si>
    <t>GO:0045449GO:0003677GO:0050825GO:0042309GO:0050826</t>
  </si>
  <si>
    <t>GO:0005737GO:0009058GO:0016841GO:0016211GO:0006559</t>
  </si>
  <si>
    <t>GO:0006813GO:0016021GO:0051260GO:0005249</t>
  </si>
  <si>
    <t>GO:0009428GO:0001539GO:0030288GO:0005198</t>
  </si>
  <si>
    <t>GO:0016020</t>
  </si>
  <si>
    <t>GO:0003700GO:0006355GO:0050825GO:0042309GO:0050826</t>
  </si>
  <si>
    <t>GO:0003677GO:0045449GO:0042309GO:0050826GO:0050825GO:0004618GO:0006096</t>
  </si>
  <si>
    <t>GO:0020037GO:0016020GO:0004601GO:0006979GO:0009055</t>
  </si>
  <si>
    <t>GO:0004396GO:0006096GO:0005524</t>
  </si>
  <si>
    <t>GO:0005615</t>
  </si>
  <si>
    <t>GO:0016857GO:0050662GO:0006694GO:0003854GO:0045226GO:0008831</t>
  </si>
  <si>
    <t>GO:0004563GO:0005975</t>
  </si>
  <si>
    <t>GO:0000228</t>
  </si>
  <si>
    <t>GO:0005507GO:0009055</t>
  </si>
  <si>
    <t>GO:0003779GO:0006508GO:0004185</t>
  </si>
  <si>
    <t>GO:0005544GO:0005509</t>
  </si>
  <si>
    <t>GO:0005840GO:0016021GO:0003735GO:0050825GO:0042309GO:0050826GO:0007186GO:0006412</t>
  </si>
  <si>
    <t>GO:0051260GO:0016020GO:0050825GO:0042309GO:0050826</t>
  </si>
  <si>
    <t>GO:0019825GO:0020037GO:0005833GO:0005576GO:0050825GO:0042309GO:0050826GO:0015671</t>
  </si>
  <si>
    <t>GO:0004437</t>
  </si>
  <si>
    <t>GO:0008152GO:0005524GO:0016491</t>
  </si>
  <si>
    <t>GO:0003700GO:0006355GO:0006352GO:0016987</t>
  </si>
  <si>
    <t>GO:0016765</t>
  </si>
  <si>
    <t>GO:0003854GO:0050662GO:0016564GO:0006808GO:0006694</t>
  </si>
  <si>
    <t>GO:0016020GO:0016760GO:0008270GO:0005515GO:0030244</t>
  </si>
  <si>
    <t>GO:0050660GO:0050664GO:0016021GO:0005509GO:0005506GO:0004601GO:0055114GO:0009055</t>
  </si>
  <si>
    <t>GO:0016020GO:0006810GO:0005488</t>
  </si>
  <si>
    <t>GO:0016021GO:0006814GO:0006835GO:0015137GO:0015746GO:0017153</t>
  </si>
  <si>
    <t>GO:0005737GO:0006813GO:0051260GO:0008076GO:0005249GO:0005525</t>
  </si>
  <si>
    <t>GO:0005215GO:0016021GO:0006810</t>
  </si>
  <si>
    <t>GO:0009416GO:0005515GO:0004871</t>
  </si>
  <si>
    <t>GO:0005743GO:0006810GO:0005488GO:0005215</t>
  </si>
  <si>
    <t>GO:0006813GO:0006885GO:0008076GO:0006814GO:0005249GO:0015385</t>
  </si>
  <si>
    <t>GO:0005634GO:0006350GO:0030528GO:0005515GO:0003677</t>
  </si>
  <si>
    <t>GO:0008083GO:0008283GO:0005576GO:0050825GO:0042309GO:0050826</t>
  </si>
  <si>
    <t>GO:0008825GO:0006694</t>
  </si>
  <si>
    <t>GO:0003723</t>
  </si>
  <si>
    <t>GO:0016020GO:0051260</t>
  </si>
  <si>
    <t>GO:0016021GO:0001619GO:0006835GO:0006508GO:0004190GO:0017153GO:0007186</t>
  </si>
  <si>
    <t>GO:0030246</t>
  </si>
  <si>
    <t>GO:0008967GO:0008152</t>
  </si>
  <si>
    <t>GO:0003824GO:0009058</t>
  </si>
  <si>
    <t>GO:0006886GO:0005622GO:0004871GO:0007264GO:0007186GO:0005525</t>
  </si>
  <si>
    <t>GO:0003735GO:0008270GO:0006412GO:0005840</t>
  </si>
  <si>
    <t>GO:0008299GO:0046872GO:0030604</t>
  </si>
  <si>
    <t>GO:0003677GO:0050825GO:0008270GO:0042309GO:0050826</t>
  </si>
  <si>
    <t>GO:0005634GO:0008270GO:0003723</t>
  </si>
  <si>
    <t>GO:0004568GO:0006032GO:0008061GO:0016998</t>
  </si>
  <si>
    <t>GO:0005737GO:0006796GO:0000287GO:0004427</t>
  </si>
  <si>
    <t>GO:0003824GO:0016020</t>
  </si>
  <si>
    <t>GO:0008270GO:0003677</t>
  </si>
  <si>
    <t>GO:0006221GO:0003883</t>
  </si>
  <si>
    <t>GO:0008299</t>
  </si>
  <si>
    <t>GO:0006457</t>
  </si>
  <si>
    <t>GO:0006508GO:0004197GO:0005198</t>
  </si>
  <si>
    <t>GO:0050661GO:0050660GO:0004499GO:0008152GO:0043087GO:0009055</t>
  </si>
  <si>
    <t>GO:0003824GO:0016564GO:0006808GO:0005488</t>
  </si>
  <si>
    <t>GO:0016021GO:0006810GO:0042626GO:0005524</t>
  </si>
  <si>
    <t>GO:0046914GO:0016491</t>
  </si>
  <si>
    <t>GO:0006468GO:0004674GO:0005529GO:0050825GO:0004713GO:0042309GO:0050826GO:0005524</t>
  </si>
  <si>
    <t>GO:0004806GO:0006629</t>
  </si>
  <si>
    <t>GO:0006811GO:0016020GO:0005216</t>
  </si>
  <si>
    <t>GO:0005509</t>
  </si>
  <si>
    <t>GO:0050825GO:0016747GO:0042309GO:0050826</t>
  </si>
  <si>
    <t>GO:0046872GO:0003993</t>
  </si>
  <si>
    <t>GO:0007242</t>
  </si>
  <si>
    <t>GO:0005737GO:0050113GO:0019310GO:0005506</t>
  </si>
  <si>
    <t>GO:0019787GO:0043687GO:0051246</t>
  </si>
  <si>
    <t>GO:0005576GO:0008083GO:0008283</t>
  </si>
  <si>
    <t>GO:0000162GO:0004048</t>
  </si>
  <si>
    <t>GO:0006835GO:0016020GO:0017153GO:0004190GO:0006508</t>
  </si>
  <si>
    <t>GO:0006355GO:0005634GO:0003677GO:0009725</t>
  </si>
  <si>
    <t>GO:0003735GO:0016020GO:0051260GO:0006412GO:0005840</t>
  </si>
  <si>
    <t>GO:0009664GO:0005576</t>
  </si>
  <si>
    <t>GO:0005737GO:0004427GO:0000287GO:0006796GO:0004197GO:0006508</t>
  </si>
  <si>
    <t>GO:0031072</t>
  </si>
  <si>
    <t>GO:0016020GO:0015018</t>
  </si>
  <si>
    <t>GO:0008375GO:0016020</t>
  </si>
  <si>
    <t>GO:0006468GO:0042309GO:0004672GO:0050825GO:0005515GO:0050826GO:0005524</t>
  </si>
  <si>
    <t>GO:0005215GO:0016020GO:0006810</t>
  </si>
  <si>
    <t>GO:0016998</t>
  </si>
  <si>
    <t>GO:0016021</t>
    <phoneticPr fontId="1" type="noConversion"/>
  </si>
  <si>
    <t>GO:0006952</t>
  </si>
  <si>
    <t>GO:0000015GO:0016020GO:0051260GO:0006096GO:0050825GO:0042309GO:0050826GO:0004634</t>
  </si>
  <si>
    <t>GO:0005737GO:0006535GO:0050825GO:0042309GO:0050826GO:0009001</t>
  </si>
  <si>
    <t>GO:0004630GO:0016020GO:0046470GO:0005509</t>
  </si>
  <si>
    <t>GO:0006284GO:0008725</t>
  </si>
  <si>
    <t>GO:0004674GO:0006468GO:0004713GO:0005524GO:0005509</t>
  </si>
  <si>
    <t>GO:0003735GO:0015935GO:0006412GO:0003723</t>
  </si>
  <si>
    <t>GO:0045261GO:0015986GO:0046961GO:0046933</t>
  </si>
  <si>
    <t>GO:0022891GO:0016021GO:0055085</t>
  </si>
  <si>
    <t>GO:0004674GO:0006468GO:0005529GO:0004713GO:0005524</t>
  </si>
  <si>
    <t>GO:0008080GO:0008152</t>
  </si>
  <si>
    <t>GO:0005737GO:0051287GO:0006520GO:0016616GO:0005525</t>
  </si>
  <si>
    <t>GO:0003887GO:0006260GO:0003677</t>
  </si>
  <si>
    <t>GO:0003824GO:0005975GO:0030246</t>
  </si>
  <si>
    <t>GO:0017057GO:0006098</t>
  </si>
  <si>
    <t>GO:0004674GO:0006468GO:0004713GO:0005524GO:0007165</t>
  </si>
  <si>
    <t>GO:0008962GO:0006629GO:0045735</t>
  </si>
  <si>
    <t>GO:0006813GO:0016020GO:0015079</t>
  </si>
  <si>
    <t>GO:0005840GO:0005634GO:0003735GO:0045449GO:0042309GO:0050826GO:0050825GO:0006412</t>
  </si>
  <si>
    <t>GO:0006139GO:0005524GO:0005515GO:0019205</t>
  </si>
  <si>
    <t>GO:0016021GO:0007186</t>
  </si>
  <si>
    <t>GO:0005634GO:0003677GO:0006355GO:0050825GO:0042309GO:0050826GO:0004879</t>
  </si>
  <si>
    <t>GO:0055114GO:0016491</t>
  </si>
  <si>
    <t>GO:0003824</t>
  </si>
  <si>
    <t>GO:0009239GO:0005488GO:0004022GO:0008667</t>
  </si>
  <si>
    <t>GO:0006508GO:0005975GO:0004252GO:0004553</t>
  </si>
  <si>
    <t>GO:0016616GO:0048037GO:0008270GO:0055114</t>
  </si>
  <si>
    <t>GO:0043565GO:0006265GO:0003700GO:0005634GO:0006355GO:0003690</t>
  </si>
  <si>
    <t>GO:0007186GO:0004990GO:0030173GO:0006486GO:0008373</t>
  </si>
  <si>
    <t>GO:0005247GO:0006813GO:0006821GO:0016020GO:0015079</t>
  </si>
  <si>
    <t>GO:0004607GO:0006629</t>
  </si>
  <si>
    <t>GO:0009522GO:0015979</t>
  </si>
  <si>
    <t>GO:0003676</t>
  </si>
  <si>
    <t>GO:0005840GO:0005634GO:0003677GO:0003735GO:0006355GO:0050825GO:0042309GO:0050826GO:0006412GO:0004879</t>
  </si>
  <si>
    <t>GO:0006629GO:0016491</t>
  </si>
  <si>
    <t>GO:0017111GO:0005524</t>
  </si>
  <si>
    <t>GO:0009239GO:0005488GO:0016630GO:0008667</t>
  </si>
  <si>
    <t>GO:0009405GO:0009289</t>
  </si>
  <si>
    <t>GO:0003735GO:0009536GO:0006412GO:0005840</t>
  </si>
  <si>
    <t>GO:0030001GO:0016021GO:0046872GO:0007186</t>
  </si>
  <si>
    <t>GO:0003924GO:0005525</t>
  </si>
  <si>
    <t>GO:0051260GO:0016021GO:0007186</t>
  </si>
  <si>
    <t>GO:0016021GO:0005840GO:0005634GO:0003677GO:0005199GO:0003735GO:0006355GO:0050825GO:0042309GO:0050826GO:0007186GO:0006412GO:0004879</t>
  </si>
  <si>
    <t>GO:0005215GO:0016021GO:0006810GO:0050825GO:0042309GO:0050826</t>
  </si>
  <si>
    <t>GO:0016308GO:0046488GO:0005524</t>
  </si>
  <si>
    <t>GO:0008152GO:0016491</t>
  </si>
  <si>
    <t>GO:0042545GO:0005618GO:0030599GO:0050825GO:0042309GO:0050826GO:0004857</t>
  </si>
  <si>
    <t>GO:0003700GO:0006355GO:0003735GO:0006412GO:0005840</t>
  </si>
  <si>
    <t>GO:0016020GO:0005975GO:0004553</t>
  </si>
  <si>
    <t>GO:0009058GO:0046524GO:0005985</t>
  </si>
  <si>
    <t>GO:0005506GO:0050826GO:0050825GO:0042309GO:0016491</t>
  </si>
  <si>
    <t>GO:0003779GO:0008152GO:0016491</t>
  </si>
  <si>
    <t>GO:0005576GO:0050825GO:0042309GO:0050826</t>
  </si>
  <si>
    <t>GO:0050660GO:0009690GO:0019139GO:0009055</t>
  </si>
  <si>
    <t>GO:0006468GO:0016021GO:0005199GO:0004674GO:0004713GO:0007186GO:0005524</t>
  </si>
  <si>
    <t>GO:0003824GO:0006541</t>
  </si>
  <si>
    <t>GO:0008270GO:0003676GO:0005515</t>
  </si>
  <si>
    <t>GO:0016020GO:0006810GO:0005337GO:0016747</t>
  </si>
  <si>
    <t>GO:0050832GO:0042742</t>
  </si>
  <si>
    <t>GO:0016491GO:0005506GO:0010181GO:0009055</t>
  </si>
  <si>
    <t>GO:0005737GO:0006457GO:0008270GO:0005515GO:0005524</t>
  </si>
  <si>
    <t>GO:0005975GO:0004650</t>
  </si>
  <si>
    <t>GO:0006468GO:0004713GO:0005524</t>
  </si>
  <si>
    <t>GO:0020037GO:0005576GO:0004601GO:0006979GO:0009055</t>
  </si>
  <si>
    <t>GO:0017111GO:0000166</t>
  </si>
  <si>
    <t>GO:0003700GO:0006355GO:0005200GO:0043565</t>
  </si>
  <si>
    <t>GO:0009239GO:0005488GO:0008667</t>
  </si>
  <si>
    <t>GO:0019898GO:0050825GO:0005509GO:0042309GO:0050826GO:0009654GO:0015979</t>
  </si>
  <si>
    <t>GO:0005794GO:0030244GO:0007047GO:0016758GO:0009505GO:0030054</t>
  </si>
  <si>
    <t>GO:0005524GO:0005515</t>
  </si>
  <si>
    <t>GO:0016740GO:0050825GO:0042309GO:0008152GO:0050826</t>
  </si>
  <si>
    <t>GO:0005315GO:0016020GO:0006817</t>
  </si>
  <si>
    <t>GO:0006952GO:0005576GO:0005125GO:0006955</t>
  </si>
  <si>
    <t>GO:0004930GO:0016021GO:0006810GO:0005234GO:0030288GO:0004965GO:0007186GO:0004970</t>
  </si>
  <si>
    <t>GO:0003824GO:0005488GO:0008152</t>
  </si>
  <si>
    <t>GO:0020037</t>
  </si>
  <si>
    <t>GO:0016020GO:0006865</t>
  </si>
  <si>
    <t>GO:0016020GO:0006865GO:0008152GO:0016491</t>
  </si>
  <si>
    <t>GO:0003824GO:0016021GO:0004969GO:0007186</t>
  </si>
  <si>
    <t>GO:0006457GO:0051082GO:0005524</t>
  </si>
  <si>
    <t>GO:0005634GO:0006270GO:0017111GO:0005524GO:0003677</t>
  </si>
  <si>
    <t>GO:0003924GO:0005525GO:0004789GO:0009228GO:0005622</t>
  </si>
  <si>
    <t>GO:0032312GO:0008060GO:0008270</t>
  </si>
  <si>
    <t>GO:0009523GO:0016021GO:0030145GO:0050825GO:0042309GO:0050826GO:0015979</t>
  </si>
  <si>
    <t>GO:0005634GO:0006260GO:0008270GO:0003677</t>
  </si>
  <si>
    <t>GO:0006979GO:0020037GO:0004601</t>
  </si>
  <si>
    <t>GO:0008289GO:0006869</t>
  </si>
  <si>
    <t>GO:0046274GO:0016020GO:0048046GO:0006835GO:0008471GO:0005507GO:0017153GO:0055114</t>
  </si>
  <si>
    <t>GO:0033179GO:0045263GO:0015986GO:0015078</t>
  </si>
  <si>
    <t>GO:0016765GO:0008299GO:0009842GO:0015979</t>
  </si>
  <si>
    <t>GO:0016567GO:0004842GO:0000151GO:0005488</t>
  </si>
  <si>
    <t>GO:0009401GO:0016787GO:0005351</t>
  </si>
  <si>
    <t>GO:0005737GO:0003746GO:0006414GO:0003924GO:0005525</t>
  </si>
  <si>
    <t>GO:0008287GO:0006470GO:0004722GO:0050825GO:0042309GO:0050826</t>
  </si>
  <si>
    <t>GO:0003854GO:0050662GO:0006694</t>
  </si>
  <si>
    <t>GO:0005783</t>
  </si>
  <si>
    <t>GO:0006659</t>
  </si>
  <si>
    <t>GO:0004674GO:0006468GO:0005524</t>
  </si>
  <si>
    <t>GO:0007155GO:0016020GO:0005975GO:0004553</t>
  </si>
  <si>
    <t>GO:0005737GO:0004349GO:0004350GO:0006561</t>
  </si>
  <si>
    <t>GO:0016740GO:0009058</t>
  </si>
  <si>
    <t>GO:0010181GO:0016491</t>
  </si>
  <si>
    <t>GO:0016020GO:0015992GO:0009678GO:0004427</t>
  </si>
  <si>
    <t>GO:0016747GO:0008152GO:0016491</t>
  </si>
  <si>
    <t>GO:0003700GO:0006355GO:0046983GO:0005634GO:0043565</t>
  </si>
  <si>
    <t>GO:0051260GO:0016021GO:0007186GO:0004930</t>
  </si>
  <si>
    <t>MT0</t>
  </si>
  <si>
    <t>GO:0004568GO:0006032GO:0016998</t>
  </si>
  <si>
    <t>GO:0016021GO:0007186GO:0004937</t>
  </si>
  <si>
    <t>GO:0004512GO:0006021GO:0005488GO:0008654</t>
  </si>
  <si>
    <t>GO:0016021GO:0016192</t>
  </si>
  <si>
    <t>GO:0004743GO:0000287GO:0006096GO:0030955</t>
  </si>
  <si>
    <t>GO:0003779GO:0005622</t>
  </si>
  <si>
    <t>GO:0006633GO:0016020GO:0008415</t>
  </si>
  <si>
    <t>GO:0005737GO:0006457GO:0005524GO:0005515</t>
  </si>
  <si>
    <t>GO:0006915GO:0017111GO:0005515GO:0005524</t>
  </si>
  <si>
    <t>GO:0006334GO:0050826GO:0030001GO:0042309GO:0000786GO:0050825GO:0046872GO:0003677</t>
  </si>
  <si>
    <t>GO:0005634GO:0008270GO:0003723GO:0005515GO:0006364</t>
  </si>
  <si>
    <t>GO:0003755</t>
  </si>
  <si>
    <t>GO:0006281GO:0003684GO:0005524GO:0017111</t>
  </si>
  <si>
    <t>GO:0006519GO:0016831GO:0019752GO:0030170</t>
  </si>
  <si>
    <t>GO:0006813GO:0016020GO:0006865GO:0015171GO:0005249</t>
  </si>
  <si>
    <t>GO:0030173GO:0006486GO:0008373</t>
  </si>
  <si>
    <t>GO:0045735</t>
  </si>
  <si>
    <t>GO:0006644GO:0005840GO:0016042GO:0003735GO:0004197GO:0006508GO:0004623GO:0006412</t>
  </si>
  <si>
    <t>GO:0003735GO:0006414GO:0005840</t>
  </si>
  <si>
    <t>GO:0005529GO:0048544</t>
  </si>
  <si>
    <t>GO:0007155GO:0015629GO:0005198</t>
  </si>
  <si>
    <t>GO:0006468GO:0004674GO:0009058GO:0004713GO:0005515GO:0005524GO:0030170</t>
  </si>
  <si>
    <t>GO:0003676GO:0005524GO:0004386</t>
  </si>
  <si>
    <t>---NA---</t>
  </si>
  <si>
    <t>GO:0042254GO:0005622</t>
  </si>
  <si>
    <t>GO:0006468GO:0005840GO:0003735GO:0004674GO:0004713GO:0006412GO:0005524GO:0007165</t>
  </si>
  <si>
    <t>GO:0003779GO:0015629GO:0030036</t>
  </si>
  <si>
    <t>GO:0004497GO:0020037GO:0050825GO:0042309GO:0050826GO:0009055</t>
  </si>
  <si>
    <t>GO:0006464</t>
  </si>
  <si>
    <t>GO:0008483GO:0009058GO:0006519GO:0016847GO:0030170</t>
  </si>
  <si>
    <t>GO:0005975GO:0004518GO:0004553GO:0005515GO:0003677GO:0006259</t>
  </si>
  <si>
    <t>GO:0016163GO:0009416GO:0009399GO:0005515GO:0004871</t>
  </si>
  <si>
    <t>GO:0008137GO:0016021GO:0042773</t>
  </si>
  <si>
    <t>GO:0006468GO:0004674GO:0030001GO:0004713GO:0046872GO:0005524</t>
  </si>
  <si>
    <t>GO:0006457GO:0005509GO:0051082GO:0005783</t>
  </si>
  <si>
    <t>GO:0004560GO:0005975</t>
  </si>
  <si>
    <t>GO:0003735GO:0019843GO:0006412GO:0015935</t>
  </si>
  <si>
    <t>GO:0005634GO:0006355GO:0008270GO:0005515GO:0003677GO:0004879</t>
  </si>
  <si>
    <t>GO:0005507GO:0050825GO:0050826GO:0042309GO:0009055</t>
  </si>
  <si>
    <t>GO:0016021GO:0007186GO:0004930</t>
  </si>
  <si>
    <t>GO:0005759</t>
  </si>
  <si>
    <t>GO:0006468GO:0004674GO:0050825GO:0004713GO:0042309GO:0050826GO:0005524</t>
  </si>
  <si>
    <t>GO:0004518GO:0003677GO:0006289</t>
  </si>
  <si>
    <t>GO:0006508GO:0016020GO:0004806GO:0006629GO:0008236</t>
  </si>
  <si>
    <t>GO:0003723GO:0006396</t>
  </si>
  <si>
    <t>GO:0008134GO:0003924GO:0006913GO:0005622GO:0006355GO:0004871GO:0007264GO:0007186GO:0006886GO:0005524GO:0005525</t>
  </si>
  <si>
    <t>GO:0008168GO:0006779</t>
  </si>
  <si>
    <t>GO:0005975GO:0016868</t>
  </si>
  <si>
    <t>GO:0005634GO:0006270GO:0005524GO:0016887GO:0003677</t>
  </si>
  <si>
    <t>GO:0022891GO:0016021GO:0050825GO:0042309GO:0050826GO:0055085</t>
  </si>
  <si>
    <t>GO:0005179GO:0020037GO:0006979GO:0005576GO:0004601GO:0009055</t>
  </si>
  <si>
    <t>GO:0019882GO:0050660GO:0016020GO:0006955GO:0009055GO:0016491</t>
  </si>
  <si>
    <t>GO:0005737GO:0006437GO:0006436GO:0004831GO:0004830GO:0005524</t>
  </si>
  <si>
    <t>GO:0005840GO:0003735GO:0050825GO:0042309GO:0050826GO:0006412</t>
  </si>
  <si>
    <t>GO:0005732GO:0006364GO:0019843</t>
  </si>
  <si>
    <t>GO:0006468GO:0005524GO:0004672</t>
  </si>
  <si>
    <t>GO:0006468GO:0004674GO:0004713GO:0004568GO:0006032GO:0005524</t>
  </si>
  <si>
    <t>GO:0016020GO:0004349GO:0006561</t>
  </si>
  <si>
    <t>GO:0003735GO:0006412GO:0005840</t>
  </si>
  <si>
    <t>auxin BDlux carrier protein</t>
  </si>
  <si>
    <t>GO:0008168GO:0006694</t>
  </si>
  <si>
    <t>GO:0004721</t>
  </si>
  <si>
    <t>GO:0016762GO:0005618GO:0016021GO:0048046GO:0005000GO:0006073GO:0004553GO:0007186</t>
  </si>
  <si>
    <t>GO:0045454</t>
  </si>
  <si>
    <t>GO:0004674GO:0006468GO:0005509GO:0005524</t>
  </si>
  <si>
    <t>GO:0009086GO:0003871GO:0008270</t>
  </si>
  <si>
    <t>GO:0016866</t>
  </si>
  <si>
    <t>GO:0016161GO:0000272</t>
  </si>
  <si>
    <t>GO:0016887GO:0006629GO:0016788GO:0005524</t>
  </si>
  <si>
    <t>GO:0006355GO:0000156GO:0000160</t>
  </si>
  <si>
    <t>GO:0016758GO:0003840GO:0008152</t>
  </si>
  <si>
    <t>GO:0016020GO:0003830GO:0006487</t>
  </si>
  <si>
    <t>GO:0005198</t>
  </si>
  <si>
    <t>GO:0006633GO:0000036</t>
  </si>
  <si>
    <t>GO:0006355GO:0005634GO:0003677GO:0004879GO:0003824</t>
  </si>
  <si>
    <t>GO:0004982GO:0016021GO:0007186GO:0008152GO:0016787</t>
  </si>
  <si>
    <t>GO:0009113GO:0004044GO:0009116</t>
  </si>
  <si>
    <t>GO:0003735GO:0006412GO:0015935</t>
  </si>
  <si>
    <t>GO:0016301GO:0008152GO:0005524</t>
  </si>
  <si>
    <t>GO:0006468GO:0016021GO:0007214GO:0004674GO:0006821GO:0004713GO:0004890GO:0005524</t>
  </si>
  <si>
    <t>GO:0005840GO:0003735GO:0050825GO:0008270GO:0042309GO:0050826GO:0006412</t>
  </si>
  <si>
    <t>GO:0050825GO:0005509GO:0042309GO:0050826</t>
  </si>
  <si>
    <t>GO:0006633GO:0000036GO:0048037GO:0031177</t>
  </si>
  <si>
    <t>GO:0006511GO:0005515</t>
  </si>
  <si>
    <t>GO:0050661GO:0050660GO:0004499</t>
  </si>
  <si>
    <t>GO:0006468GO:0016020GO:0004674GO:0004713GO:0007155GO:0005524</t>
  </si>
  <si>
    <t>GO:0004983GO:0016021GO:0030598GO:0007186GO:0017148</t>
  </si>
  <si>
    <t>GO:0006508GO:0008234</t>
  </si>
  <si>
    <t>GO:0001522GO:0003723GO:0009982</t>
  </si>
  <si>
    <t>GO:0009611GO:0004867</t>
  </si>
  <si>
    <t>GO:0003872GO:0005945GO:0006096GO:0004650</t>
  </si>
  <si>
    <t>GO:0004707GO:0006468GO:0004713GO:0005524</t>
  </si>
  <si>
    <t>GO:0005634GO:0045449</t>
  </si>
  <si>
    <t>GO:0005737GO:0006633GO:0016836</t>
  </si>
  <si>
    <t>GO:0016020GO:0008152GO:0016491</t>
  </si>
  <si>
    <t>GO:0005507GO:0016491</t>
  </si>
  <si>
    <t>GO:0015297GO:0016020GO:0006855GO:0015238GO:0003824GO:0006835GO:0005488GO:0008152GO:0017153</t>
  </si>
  <si>
    <t>GO:0004497GO:0008152</t>
  </si>
  <si>
    <t>GO:0005515GO:0003824GO:0003702GO:0045941GO:0016563GO:0006367GO:0003677GO:0005634GO:0008270</t>
  </si>
  <si>
    <t>GO:0009250GO:0009011</t>
  </si>
  <si>
    <t>GO:0042578GO:0005975GO:0050825GO:0042309GO:0050826</t>
  </si>
  <si>
    <t>GO:0004421GO:0008299</t>
  </si>
  <si>
    <t>MT24</t>
  </si>
  <si>
    <t>GO:0005840GO:0003735GO:0050825GO:0042309GO:0050826GO:0005507GO:0006412GO:0009055</t>
  </si>
  <si>
    <t>GO:0042626GO:0016021GO:0006810GO:0019001GO:0004871GO:0007186GO:0005524</t>
  </si>
  <si>
    <t>GO:0005960GO:0006546</t>
  </si>
  <si>
    <t>GO:0008270GO:0005515GO:0009055</t>
  </si>
  <si>
    <t>GO:0005215GO:0016020GO:0006810GO:0008415GO:0008152</t>
  </si>
  <si>
    <t>GO:0004932GO:0016020</t>
  </si>
  <si>
    <t>GO:0006536GO:0030170GO:0004351</t>
  </si>
  <si>
    <t>GO term</t>
    <phoneticPr fontId="1" type="noConversion"/>
  </si>
  <si>
    <t>NA</t>
    <phoneticPr fontId="1" type="noConversion"/>
  </si>
  <si>
    <t>BD</t>
    <phoneticPr fontId="1" type="noConversion"/>
  </si>
  <si>
    <t>AC191575.2_FG001</t>
    <phoneticPr fontId="1" type="noConversion"/>
  </si>
  <si>
    <t>GO term</t>
    <phoneticPr fontId="1" type="noConversion"/>
  </si>
  <si>
    <t>Gene ID</t>
    <phoneticPr fontId="5" type="noConversion"/>
  </si>
  <si>
    <t>BD</t>
    <phoneticPr fontId="1" type="noConversion"/>
  </si>
  <si>
    <t>Gene ID</t>
    <phoneticPr fontId="5" type="noConversion"/>
  </si>
  <si>
    <t>BD</t>
    <phoneticPr fontId="1" type="noConversion"/>
  </si>
  <si>
    <t>BD</t>
    <phoneticPr fontId="1" type="noConversion"/>
  </si>
  <si>
    <t>GRMZM2G317426</t>
    <phoneticPr fontId="1" type="noConversion"/>
  </si>
  <si>
    <t>lac10_orysj ame: full=laccase-10 ame: full=benzenediol:oxygen oxidoreductase 10 ame: full=diphenol oxidase 10 ame: full=urishiol oxidase 10 flags: precursor</t>
    <phoneticPr fontId="1" type="noConversion"/>
  </si>
  <si>
    <t>B73 0 h:No aphid treatment on B73,B73 6 h: Aphid treatment B73 for 6 h; NA：no annotation.BD: numerator or denominator  is below of detection</t>
  </si>
  <si>
    <t>BD</t>
    <phoneticPr fontId="1" type="noConversion"/>
  </si>
  <si>
    <t>B73 0 h:No aphid treatment on B73,B73 24 h: Aphid treatment B73 for 24 h; NA：no annotation.BD: numerator or denominator  is below of detection</t>
  </si>
  <si>
    <t>BD</t>
    <phoneticPr fontId="1" type="noConversion"/>
  </si>
  <si>
    <t>GRMZM2G703561</t>
    <phoneticPr fontId="1" type="noConversion"/>
  </si>
  <si>
    <t xml:space="preserve"> Mo17 0 h:No aphid treatment on  Mo17, Mo17 6 h: Aphid treatment  Mo17 for 6 h; NA：no annotation.BD: numerator or denominator  is below of detection</t>
  </si>
  <si>
    <t>BD</t>
    <phoneticPr fontId="1" type="noConversion"/>
  </si>
  <si>
    <t>GO term</t>
    <phoneticPr fontId="1" type="noConversion"/>
  </si>
  <si>
    <t xml:space="preserve"> Mo17 0 h:No aphid treatment on  Mo17,  Mo17 24 h: Aphid treatment  Mo17 for 24 h; NA：no annotation.BD: numerator or denominator  is below of detection</t>
  </si>
  <si>
    <t>B73 0 h: No aphid treatment on B73</t>
  </si>
  <si>
    <t>B73 6 h: Aphid treatment on B73 for 6 h</t>
  </si>
  <si>
    <t>B73 24 h: Aphid treatment on B73 for 24 h</t>
  </si>
  <si>
    <t>Mo17 0 h: No aphid treatment on Mo17</t>
  </si>
  <si>
    <t>Mo17 6 h: Aphid treatment on Mo17 for 6 h</t>
  </si>
  <si>
    <t>Mo17 24 h: Aphid treatment on Mo17 for 24 h</t>
  </si>
  <si>
    <t>BD: numerator or denominator is below of detection</t>
  </si>
  <si>
    <t>NA</t>
    <phoneticPr fontId="1" type="noConversion"/>
  </si>
  <si>
    <t>GRMZM2G108153</t>
    <phoneticPr fontId="1" type="noConversion"/>
  </si>
  <si>
    <t>B73 6 h unique</t>
    <phoneticPr fontId="1" type="noConversion"/>
  </si>
  <si>
    <t>B73</t>
    <phoneticPr fontId="1" type="noConversion"/>
  </si>
  <si>
    <t>Mo17</t>
    <phoneticPr fontId="1" type="noConversion"/>
  </si>
  <si>
    <t>Mo17 6 h unique</t>
    <phoneticPr fontId="1" type="noConversion"/>
  </si>
  <si>
    <t>MO17</t>
    <phoneticPr fontId="1" type="noConversion"/>
  </si>
  <si>
    <r>
      <t xml:space="preserve">Table S3. Differentially expressed genes in response to </t>
    </r>
    <r>
      <rPr>
        <b/>
        <i/>
        <sz val="16"/>
        <color theme="1"/>
        <rFont val="Arial"/>
        <family val="2"/>
      </rPr>
      <t>R. padi</t>
    </r>
    <r>
      <rPr>
        <b/>
        <sz val="16"/>
        <color theme="1"/>
        <rFont val="Arial"/>
        <family val="2"/>
      </rPr>
      <t xml:space="preserve"> feeding in B73 and Mo17</t>
    </r>
    <phoneticPr fontId="1" type="noConversion"/>
  </si>
  <si>
    <t>NA: no annotation.</t>
  </si>
  <si>
    <r>
      <t xml:space="preserve">Table S3. Differentially expressed genes in response to </t>
    </r>
    <r>
      <rPr>
        <b/>
        <i/>
        <sz val="16"/>
        <color theme="1"/>
        <rFont val="Arial"/>
        <family val="2"/>
      </rPr>
      <t>R. padi</t>
    </r>
    <r>
      <rPr>
        <b/>
        <sz val="16"/>
        <color theme="1"/>
        <rFont val="Arial"/>
        <family val="2"/>
      </rPr>
      <t xml:space="preserve"> feeding in B73 and Mo17</t>
    </r>
    <phoneticPr fontId="1" type="noConversion"/>
  </si>
  <si>
    <r>
      <t>B73 0 h:No aphid treatment on B73,B73 6 h: Aphid treatment B73 for 6 h; NA</t>
    </r>
    <r>
      <rPr>
        <sz val="14"/>
        <color theme="1"/>
        <rFont val="宋体"/>
        <family val="3"/>
        <charset val="134"/>
      </rPr>
      <t>：</t>
    </r>
    <r>
      <rPr>
        <sz val="14"/>
        <color theme="1"/>
        <rFont val="Arial"/>
        <family val="2"/>
      </rPr>
      <t>no annotation.BD: numerator or denominator  is below of detection</t>
    </r>
    <phoneticPr fontId="1" type="noConversion"/>
  </si>
  <si>
    <r>
      <t>B73 0 h:No aphid treatment on B73,B73 24 h: Aphid treatment B73 for 24 h; NA</t>
    </r>
    <r>
      <rPr>
        <sz val="14"/>
        <color theme="1"/>
        <rFont val="宋体"/>
        <family val="3"/>
        <charset val="134"/>
      </rPr>
      <t>：</t>
    </r>
    <r>
      <rPr>
        <sz val="14"/>
        <color theme="1"/>
        <rFont val="Arial"/>
        <family val="2"/>
      </rPr>
      <t>no annotation.BD: numerator or denominator  is below of detection</t>
    </r>
  </si>
  <si>
    <r>
      <t xml:space="preserve">Table S3.Differentially expressed genes in response to </t>
    </r>
    <r>
      <rPr>
        <b/>
        <i/>
        <sz val="16"/>
        <color theme="1"/>
        <rFont val="Arial"/>
        <family val="2"/>
      </rPr>
      <t>R. padi</t>
    </r>
    <r>
      <rPr>
        <b/>
        <sz val="16"/>
        <color theme="1"/>
        <rFont val="Arial"/>
        <family val="2"/>
      </rPr>
      <t xml:space="preserve"> feeding in B73 and Mo17</t>
    </r>
    <phoneticPr fontId="1" type="noConversion"/>
  </si>
  <si>
    <r>
      <t>Mo17 0 h:No aphid treatment on Mo17 ,Mo17  6 h: Aphid treatment Mo17  for 6 h; NA</t>
    </r>
    <r>
      <rPr>
        <sz val="14"/>
        <color theme="1"/>
        <rFont val="宋体"/>
        <family val="3"/>
        <charset val="134"/>
      </rPr>
      <t>：</t>
    </r>
    <r>
      <rPr>
        <sz val="14"/>
        <color theme="1"/>
        <rFont val="Arial"/>
        <family val="2"/>
      </rPr>
      <t>no annotation.BD: numerator or denominator  is below of detection</t>
    </r>
    <phoneticPr fontId="1" type="noConversion"/>
  </si>
  <si>
    <r>
      <t>Mo17 0 h:No aphid treatment on Mo17 ,Mo17 24 h: Aphid treatment Mo17  for 24 h; NA</t>
    </r>
    <r>
      <rPr>
        <sz val="14"/>
        <color theme="1"/>
        <rFont val="宋体"/>
        <family val="3"/>
        <charset val="134"/>
      </rPr>
      <t>：</t>
    </r>
    <r>
      <rPr>
        <sz val="14"/>
        <color theme="1"/>
        <rFont val="Arial"/>
        <family val="2"/>
      </rPr>
      <t>no annotation.BD: numerator or denominator  is below of detection</t>
    </r>
    <phoneticPr fontId="1" type="noConversion"/>
  </si>
  <si>
    <r>
      <t xml:space="preserve">Genes up- and down-regulated by </t>
    </r>
    <r>
      <rPr>
        <i/>
        <sz val="14"/>
        <color theme="1"/>
        <rFont val="Arial"/>
        <family val="2"/>
      </rPr>
      <t xml:space="preserve">R. padi </t>
    </r>
    <r>
      <rPr>
        <sz val="14"/>
        <color theme="1"/>
        <rFont val="Arial"/>
        <family val="2"/>
      </rPr>
      <t>treatment in B73 and Mo17.</t>
    </r>
    <phoneticPr fontId="1" type="noConversion"/>
  </si>
  <si>
    <r>
      <t>B73 0 h:No aphid treatment on B73,B73 6 h: Aphid treatment B73 for 6 h; NA</t>
    </r>
    <r>
      <rPr>
        <sz val="14"/>
        <color indexed="64"/>
        <rFont val="宋体"/>
        <family val="3"/>
        <charset val="134"/>
      </rPr>
      <t>：</t>
    </r>
    <r>
      <rPr>
        <sz val="14"/>
        <color indexed="64"/>
        <rFont val="Arial"/>
        <family val="2"/>
      </rPr>
      <t>no annotation.BD: numerator or denominator  is below of detection</t>
    </r>
    <phoneticPr fontId="1" type="noConversion"/>
  </si>
  <si>
    <r>
      <t>B73 0 h:No aphid treatment on B73,B73 24 h: Aphid treatment B73 for 24 h; NA</t>
    </r>
    <r>
      <rPr>
        <sz val="14"/>
        <color theme="1"/>
        <rFont val="宋体"/>
        <family val="3"/>
        <charset val="134"/>
      </rPr>
      <t>：</t>
    </r>
    <r>
      <rPr>
        <sz val="14"/>
        <color theme="1"/>
        <rFont val="Arial"/>
        <family val="2"/>
      </rPr>
      <t>no annotation.BD: numerator or denominator  is below of detection</t>
    </r>
    <phoneticPr fontId="1" type="noConversion"/>
  </si>
  <si>
    <r>
      <t xml:space="preserve"> Mo17 0 h:No aphid treatment on  Mo17, Mo17 6 h: Aphid treatment  Mo17 for 6 h; NA</t>
    </r>
    <r>
      <rPr>
        <sz val="14"/>
        <color theme="1"/>
        <rFont val="宋体"/>
        <family val="3"/>
        <charset val="134"/>
      </rPr>
      <t>：</t>
    </r>
    <r>
      <rPr>
        <sz val="14"/>
        <color theme="1"/>
        <rFont val="Arial"/>
        <family val="2"/>
      </rPr>
      <t>no annotation.BD: numerator or denominator  is below of detection</t>
    </r>
    <phoneticPr fontId="1" type="noConversion"/>
  </si>
  <si>
    <r>
      <t xml:space="preserve"> Mo17 0 h:No aphid treatment on  Mo17,  Mo17 24 h: Aphid treatment  Mo17 for 24 h; NA</t>
    </r>
    <r>
      <rPr>
        <sz val="14"/>
        <color theme="1"/>
        <rFont val="宋体"/>
        <family val="3"/>
        <charset val="134"/>
      </rPr>
      <t>：</t>
    </r>
    <r>
      <rPr>
        <sz val="14"/>
        <color theme="1"/>
        <rFont val="Arial"/>
        <family val="2"/>
      </rPr>
      <t>no annotation.BD: numerator or denominator  is below of detection</t>
    </r>
    <phoneticPr fontId="1" type="noConversion"/>
  </si>
  <si>
    <r>
      <t xml:space="preserve"> Genes up- and down-regulated by </t>
    </r>
    <r>
      <rPr>
        <i/>
        <sz val="14"/>
        <color theme="1"/>
        <rFont val="Arial"/>
        <family val="2"/>
      </rPr>
      <t xml:space="preserve">R. padi </t>
    </r>
    <r>
      <rPr>
        <sz val="14"/>
        <color theme="1"/>
        <rFont val="Arial"/>
        <family val="2"/>
      </rPr>
      <t>treatment in B73 and Mo17.</t>
    </r>
    <phoneticPr fontId="1" type="noConversion"/>
  </si>
  <si>
    <t xml:space="preserve">B73 Mo17 common-shared </t>
    <phoneticPr fontId="1" type="noConversion"/>
  </si>
  <si>
    <t>B73 24 h unique (567)</t>
    <phoneticPr fontId="1" type="noConversion"/>
  </si>
  <si>
    <t xml:space="preserve">B73 Mo17 common-shared (80) </t>
    <phoneticPr fontId="1" type="noConversion"/>
  </si>
  <si>
    <t>Mo17 24 h unique (221)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</si>
</sst>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1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9"/>
      <name val="宋体"/>
      <family val="3"/>
      <charset val="134"/>
    </font>
    <font>
      <sz val="14"/>
      <color indexed="64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  <charset val="134"/>
    </font>
    <font>
      <sz val="11"/>
      <color theme="1"/>
      <name val="Arial"/>
      <family val="2"/>
    </font>
    <font>
      <u/>
      <sz val="11"/>
      <color theme="10"/>
      <name val="Arial"/>
      <family val="2"/>
      <charset val="134"/>
    </font>
    <font>
      <u/>
      <sz val="11"/>
      <color theme="11"/>
      <name val="Arial"/>
      <family val="2"/>
      <charset val="134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theme="1"/>
      <name val="宋体"/>
      <family val="3"/>
      <charset val="134"/>
    </font>
    <font>
      <sz val="14"/>
      <name val="Arial"/>
      <family val="2"/>
    </font>
    <font>
      <i/>
      <sz val="14"/>
      <color theme="1"/>
      <name val="Arial"/>
      <family val="2"/>
    </font>
    <font>
      <sz val="14"/>
      <color indexed="64"/>
      <name val="宋体"/>
      <family val="3"/>
      <charset val="134"/>
    </font>
    <font>
      <sz val="14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NumberFormat="1" applyFont="1" applyAlignment="1"/>
    <xf numFmtId="0" fontId="2" fillId="0" borderId="0" xfId="0" applyFont="1" applyAlignment="1">
      <alignment horizontal="left"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3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3" fillId="0" borderId="0" xfId="0" applyNumberFormat="1" applyFont="1">
      <alignment vertical="center"/>
    </xf>
    <xf numFmtId="0" fontId="9" fillId="0" borderId="0" xfId="0" applyFont="1">
      <alignment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/>
    <xf numFmtId="0" fontId="17" fillId="0" borderId="0" xfId="0" applyFont="1" applyAlignment="1">
      <alignment horizontal="center" vertical="center"/>
    </xf>
    <xf numFmtId="176" fontId="13" fillId="0" borderId="0" xfId="0" applyNumberFormat="1" applyFont="1">
      <alignment vertical="center"/>
    </xf>
    <xf numFmtId="17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0" fillId="0" borderId="0" xfId="0" applyFont="1" applyAlignment="1"/>
    <xf numFmtId="176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horizontal="right" vertical="center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20150822%20&#29577;&#31859;&#36716;&#24405;&#32452;&#25968;&#25454;/20150901%20GO%20te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9064;/&#29577;&#31859;%20&#34460;&#34411;%20&#25991;&#31456;/&#29577;&#31859;&#34460;&#34411;&#25991;&#31456;&#25152;&#38656;/20150822%20&#29577;&#31859;&#36716;&#24405;&#32452;&#25968;&#25454;/B73%206h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9064;/&#29577;&#31859;%20&#34460;&#34411;%20&#25991;&#31456;/&#29577;&#31859;&#34460;&#34411;&#25991;&#31456;&#25152;&#38656;/20150822%20&#29577;&#31859;&#36716;&#24405;&#32452;&#25968;&#25454;/MO17%206%20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9064;/&#29577;&#31859;%20&#34460;&#34411;%20&#25991;&#31456;/&#29577;&#31859;&#34460;&#34411;&#25991;&#31456;&#25152;&#38656;/20150822%20&#29577;&#31859;&#36716;&#24405;&#32452;&#25968;&#25454;/B73%2024%20h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9064;/&#29577;&#31859;%20&#34460;&#34411;%20&#25991;&#31456;/&#29577;&#31859;&#34460;&#34411;&#25991;&#31456;&#25152;&#38656;/20150822%20&#29577;&#31859;&#36716;&#24405;&#32452;&#25968;&#25454;/MO17%2024%20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GRMZM2G032847</v>
          </cell>
          <cell r="B1" t="str">
            <v>GO:0003697</v>
          </cell>
        </row>
        <row r="2">
          <cell r="A2" t="str">
            <v>GRMZM2G088819</v>
          </cell>
          <cell r="B2" t="str">
            <v>GO:0005509</v>
          </cell>
        </row>
        <row r="3">
          <cell r="A3" t="str">
            <v>GRMZM2G061469</v>
          </cell>
          <cell r="B3" t="str">
            <v>GO:0016021</v>
          </cell>
        </row>
        <row r="4">
          <cell r="A4" t="str">
            <v>GRMZM2G152179</v>
          </cell>
          <cell r="B4" t="str">
            <v>GO:0008146</v>
          </cell>
        </row>
        <row r="5">
          <cell r="A5" t="str">
            <v>GRMZM2G318652</v>
          </cell>
          <cell r="B5" t="str">
            <v>GO:0050825GO:0042309GO:0050826</v>
          </cell>
        </row>
        <row r="6">
          <cell r="A6" t="str">
            <v>GRMZM2G139512</v>
          </cell>
          <cell r="B6" t="str">
            <v>GO:0008270GO:0055114GO:0016491</v>
          </cell>
        </row>
        <row r="7">
          <cell r="A7" t="str">
            <v>GRMZM2G344634</v>
          </cell>
          <cell r="B7" t="str">
            <v>GO:0000062</v>
          </cell>
        </row>
        <row r="8">
          <cell r="A8" t="str">
            <v>GRMZM2G311036</v>
          </cell>
          <cell r="B8" t="str">
            <v>GO:0046983GO:0008171</v>
          </cell>
        </row>
        <row r="9">
          <cell r="A9" t="str">
            <v>GRMZM2G407825</v>
          </cell>
          <cell r="B9" t="str">
            <v>GO:0004012GO:0015914GO:0000287GO:0015662GO:0006754GO:0016021GO:0005524</v>
          </cell>
        </row>
        <row r="10">
          <cell r="A10" t="str">
            <v>AC206788.3_FG015</v>
          </cell>
          <cell r="B10" t="str">
            <v>GO:0016758GO:0042773GO:0008137</v>
          </cell>
        </row>
        <row r="11">
          <cell r="A11" t="str">
            <v>GRMZM2G024851</v>
          </cell>
          <cell r="B11" t="str">
            <v>GO:0003700GO:0006355GO:0043565</v>
          </cell>
        </row>
        <row r="12">
          <cell r="A12" t="str">
            <v>GRMZM2G036826</v>
          </cell>
          <cell r="B12" t="str">
            <v>GO:0016887GO:0005524</v>
          </cell>
        </row>
        <row r="13">
          <cell r="A13" t="str">
            <v>GRMZM2G373607</v>
          </cell>
          <cell r="B13" t="str">
            <v>GO:0006508GO:0004185</v>
          </cell>
        </row>
        <row r="14">
          <cell r="A14" t="str">
            <v>GRMZM2G025854</v>
          </cell>
          <cell r="B14" t="str">
            <v>GO:0000287GO:0005975GO:0016868</v>
          </cell>
        </row>
        <row r="15">
          <cell r="A15" t="str">
            <v>GRMZM2G104176</v>
          </cell>
          <cell r="B15" t="str">
            <v>GO:0005634GO:0045449</v>
          </cell>
        </row>
        <row r="16">
          <cell r="A16" t="str">
            <v>GRMZM2G120016</v>
          </cell>
          <cell r="B16" t="str">
            <v>GO:0016758GO:0008152</v>
          </cell>
        </row>
        <row r="17">
          <cell r="A17" t="str">
            <v>GRMZM2G477491</v>
          </cell>
          <cell r="B17" t="str">
            <v>GO:0006468GO:0005524GO:0004672</v>
          </cell>
        </row>
        <row r="18">
          <cell r="A18" t="str">
            <v>GRMZM2G352855</v>
          </cell>
          <cell r="B18" t="str">
            <v>GO:0004607GO:0006629</v>
          </cell>
        </row>
        <row r="19">
          <cell r="A19" t="str">
            <v>GRMZM2G094712</v>
          </cell>
          <cell r="B19" t="str">
            <v>GO:0008483GO:0009058GO:0006520GO:0030170</v>
          </cell>
        </row>
        <row r="20">
          <cell r="A20" t="str">
            <v>GRMZM2G457562</v>
          </cell>
          <cell r="B20" t="str">
            <v>GO:0003700GO:0006355GO:0050825GO:0042309GO:0050826</v>
          </cell>
        </row>
        <row r="21">
          <cell r="A21" t="str">
            <v>GRMZM2G046459</v>
          </cell>
          <cell r="B21" t="str">
            <v>GO:0005975GO:0004553</v>
          </cell>
        </row>
        <row r="22">
          <cell r="A22" t="str">
            <v>AC233880.1_FG009</v>
          </cell>
          <cell r="B22" t="str">
            <v>GO:0003735GO:0004812GO:0005840GO:0005524GO:0006418</v>
          </cell>
        </row>
        <row r="23">
          <cell r="A23" t="str">
            <v>GRMZM2G437912</v>
          </cell>
          <cell r="B23" t="str">
            <v>GO:0004664GO:0009094</v>
          </cell>
        </row>
        <row r="24">
          <cell r="A24" t="str">
            <v>GRMZM2G111954</v>
          </cell>
          <cell r="B24" t="str">
            <v>GO:0055114GO:0016491</v>
          </cell>
        </row>
        <row r="25">
          <cell r="A25" t="str">
            <v>GRMZM2G169149</v>
          </cell>
          <cell r="B25" t="str">
            <v>GO:0003700GO:0043565GO:0005634GO:0045449</v>
          </cell>
        </row>
        <row r="26">
          <cell r="A26" t="str">
            <v>GRMZM2G170602</v>
          </cell>
          <cell r="B26" t="str">
            <v>GO:0051287GO:0016616GO:0008152</v>
          </cell>
        </row>
        <row r="27">
          <cell r="A27" t="str">
            <v>GRMZM2G034061</v>
          </cell>
          <cell r="B27" t="str">
            <v>GO:0022891GO:0016021GO:0055085</v>
          </cell>
        </row>
        <row r="28">
          <cell r="A28" t="str">
            <v>GRMZM2G166658</v>
          </cell>
          <cell r="B28" t="str">
            <v>GO:0004674GO:0006468GO:0004713GO:0005524GO:0007165</v>
          </cell>
        </row>
        <row r="29">
          <cell r="A29" t="str">
            <v>GRMZM2G029559</v>
          </cell>
          <cell r="B29" t="str">
            <v>GO:0003735GO:0003746GO:0006414GO:0005840GO:0005853</v>
          </cell>
        </row>
        <row r="30">
          <cell r="A30" t="str">
            <v>GRMZM2G024293</v>
          </cell>
          <cell r="B30" t="str">
            <v>GO:0005524GO:0007264GO:0017111GO:0004765GO:0005525</v>
          </cell>
        </row>
        <row r="31">
          <cell r="A31" t="str">
            <v>GRMZM2G108615</v>
          </cell>
          <cell r="B31" t="str">
            <v>GO:0005737GO:0006813GO:0051260GO:0008076GO:0005249GO:0005525</v>
          </cell>
        </row>
        <row r="32">
          <cell r="A32" t="str">
            <v>GRMZM2G172826</v>
          </cell>
          <cell r="B32" t="str">
            <v>GO:0004497GO:0020037GO:0050825GO:0042309GO:0050826GO:0009055</v>
          </cell>
        </row>
        <row r="33">
          <cell r="A33" t="str">
            <v>GRMZM2G074604</v>
          </cell>
          <cell r="B33" t="str">
            <v>GO:0005737GO:0009058GO:0016841GO:0016211GO:0006559</v>
          </cell>
        </row>
        <row r="34">
          <cell r="A34" t="str">
            <v>GRMZM2G372068</v>
          </cell>
          <cell r="B34" t="str">
            <v>GO:0016758GO:0008152</v>
          </cell>
        </row>
        <row r="35">
          <cell r="A35" t="str">
            <v>GRMZM2G108123</v>
          </cell>
          <cell r="B35" t="str">
            <v>GO:0004601GO:0006979GO:0020037GO:0009055</v>
          </cell>
        </row>
        <row r="36">
          <cell r="A36" t="str">
            <v>GRMZM2G430807</v>
          </cell>
          <cell r="B36" t="str">
            <v>GO:0046872</v>
          </cell>
        </row>
        <row r="37">
          <cell r="A37" t="str">
            <v>GRMZM2G093276</v>
          </cell>
          <cell r="B37" t="str">
            <v>GO:0016021GO:0006829GO:0005385</v>
          </cell>
        </row>
        <row r="38">
          <cell r="A38" t="str">
            <v>GRMZM2G079127</v>
          </cell>
          <cell r="B38" t="str">
            <v>GO:0015297GO:0016020GO:0006855GO:0015238</v>
          </cell>
        </row>
        <row r="39">
          <cell r="A39" t="str">
            <v>GRMZM2G102760</v>
          </cell>
          <cell r="B39" t="str">
            <v>GO:0005506GO:0016165GO:0009055</v>
          </cell>
        </row>
        <row r="40">
          <cell r="A40" t="str">
            <v>GRMZM2G052875</v>
          </cell>
          <cell r="B40" t="str">
            <v>GO:0005515</v>
          </cell>
        </row>
        <row r="41">
          <cell r="A41" t="str">
            <v>GRMZM2G392125</v>
          </cell>
          <cell r="B41" t="str">
            <v>GO:0006073GO:0020037GO:0005618GO:0048046GO:0031361GO:0016762GO:0004553GO:0015979GO:0009055</v>
          </cell>
        </row>
        <row r="42">
          <cell r="A42" t="str">
            <v>GRMZM2G167872</v>
          </cell>
          <cell r="B42" t="str">
            <v>GO:0003824GO:0044237GO:0050662</v>
          </cell>
        </row>
        <row r="43">
          <cell r="A43" t="str">
            <v>GRMZM2G101413</v>
          </cell>
          <cell r="B43" t="str">
            <v>GO:0046923GO:0016021GO:0006621</v>
          </cell>
        </row>
        <row r="44">
          <cell r="A44" t="str">
            <v>GRMZM2G093072</v>
          </cell>
          <cell r="B44" t="str">
            <v>GO:0004674GO:0006468GO:0004713GO:0005524</v>
          </cell>
        </row>
        <row r="45">
          <cell r="A45" t="str">
            <v>GRMZM2G177077</v>
          </cell>
          <cell r="B45" t="str">
            <v>GO:0004345GO:0006006</v>
          </cell>
        </row>
        <row r="46">
          <cell r="A46" t="str">
            <v>GRMZM2G429955</v>
          </cell>
          <cell r="B46" t="str">
            <v>GO:0016020GO:0009765</v>
          </cell>
        </row>
        <row r="47">
          <cell r="A47" t="str">
            <v>GRMZM2G363229</v>
          </cell>
          <cell r="B47" t="str">
            <v>GO:0015297GO:0016020GO:0006855GO:0015238</v>
          </cell>
        </row>
        <row r="48">
          <cell r="A48" t="str">
            <v>GRMZM2G128938</v>
          </cell>
          <cell r="B48" t="str">
            <v>GO:0016773</v>
          </cell>
        </row>
        <row r="49">
          <cell r="A49" t="str">
            <v>GRMZM2G118047</v>
          </cell>
          <cell r="B49" t="str">
            <v>GO:0003700GO:0006355GO:0005634GO:0043565</v>
          </cell>
        </row>
        <row r="50">
          <cell r="A50" t="str">
            <v>GRMZM2G118286</v>
          </cell>
          <cell r="B50" t="str">
            <v>GO:0003824GO:0006810GO:0005488GO:0008152GO:0005215</v>
          </cell>
        </row>
        <row r="51">
          <cell r="A51" t="str">
            <v>GRMZM2G014395</v>
          </cell>
          <cell r="B51" t="str">
            <v>GO:0004497GO:0020037GO:0009055</v>
          </cell>
        </row>
        <row r="52">
          <cell r="A52" t="str">
            <v>GRMZM2G114503</v>
          </cell>
          <cell r="B52" t="str">
            <v>GO:0003677</v>
          </cell>
        </row>
        <row r="53">
          <cell r="A53" t="str">
            <v>GRMZM2G034848</v>
          </cell>
          <cell r="B53" t="str">
            <v>GO:0000015GO:0004634GO:0006096</v>
          </cell>
        </row>
        <row r="54">
          <cell r="A54" t="str">
            <v>GRMZM2G095280</v>
          </cell>
          <cell r="B54" t="str">
            <v>GO:0016758GO:0008152</v>
          </cell>
        </row>
        <row r="55">
          <cell r="A55" t="str">
            <v>GRMZM2G133407</v>
          </cell>
          <cell r="B55" t="str">
            <v>GO:0003824</v>
          </cell>
        </row>
        <row r="56">
          <cell r="A56" t="str">
            <v>GRMZM2G012724</v>
          </cell>
          <cell r="B56" t="str">
            <v>GO:0003700GO:0043565GO:0005634GO:0045449</v>
          </cell>
        </row>
        <row r="57">
          <cell r="A57" t="str">
            <v>GRMZM2G046583</v>
          </cell>
          <cell r="B57" t="str">
            <v>GO:0004516GO:0019363</v>
          </cell>
        </row>
        <row r="58">
          <cell r="A58" t="str">
            <v>GRMZM2G388585</v>
          </cell>
          <cell r="B58" t="str">
            <v>GO:0016773GO:0005975</v>
          </cell>
        </row>
        <row r="59">
          <cell r="A59" t="str">
            <v>GRMZM2G016435</v>
          </cell>
          <cell r="B59" t="str">
            <v>GO:0007017GO:0005875GO:0003777</v>
          </cell>
        </row>
        <row r="60">
          <cell r="A60" t="str">
            <v>GRMZM2G177384</v>
          </cell>
          <cell r="B60" t="str">
            <v>GO:0004497GO:0020037GO:0009055</v>
          </cell>
        </row>
        <row r="61">
          <cell r="A61" t="str">
            <v>GRMZM2G029242</v>
          </cell>
          <cell r="B61" t="str">
            <v>GO:0004674GO:0006468GO:0004713GO:0005524</v>
          </cell>
        </row>
        <row r="62">
          <cell r="A62" t="str">
            <v>GRMZM2G177386</v>
          </cell>
          <cell r="B62" t="str">
            <v>GO:0008287GO:0005215GO:0016020GO:0004722GO:0006810GO:0006470</v>
          </cell>
        </row>
        <row r="63">
          <cell r="A63" t="str">
            <v>GRMZM2G043336</v>
          </cell>
          <cell r="B63" t="str">
            <v>GO:0015977GO:0016984</v>
          </cell>
        </row>
        <row r="64">
          <cell r="A64" t="str">
            <v>GRMZM2G047616</v>
          </cell>
          <cell r="B64" t="str">
            <v>GO:0006812GO:0008324</v>
          </cell>
        </row>
        <row r="65">
          <cell r="A65" t="str">
            <v>GRMZM2G374812</v>
          </cell>
          <cell r="B65" t="str">
            <v>GO:0022891GO:0016021GO:0055085</v>
          </cell>
        </row>
        <row r="66">
          <cell r="A66" t="str">
            <v>GRMZM2G440125</v>
          </cell>
          <cell r="B66" t="str">
            <v>GO:0008270GO:0005515</v>
          </cell>
        </row>
        <row r="67">
          <cell r="A67" t="str">
            <v>GRMZM2G402564</v>
          </cell>
          <cell r="B67" t="str">
            <v>GO:0008270</v>
          </cell>
        </row>
        <row r="68">
          <cell r="A68" t="str">
            <v>GRMZM2G128935</v>
          </cell>
          <cell r="B68" t="str">
            <v>GO:0008270GO:0055114GO:0016491</v>
          </cell>
        </row>
        <row r="69">
          <cell r="A69" t="str">
            <v>GRMZM2G010491</v>
          </cell>
          <cell r="B69" t="str">
            <v>GO:0045454</v>
          </cell>
        </row>
        <row r="70">
          <cell r="A70" t="str">
            <v>GRMZM2G152777</v>
          </cell>
          <cell r="B70" t="str">
            <v>GO:0006629GO:0016788</v>
          </cell>
        </row>
        <row r="71">
          <cell r="A71" t="str">
            <v>GRMZM2G429714</v>
          </cell>
          <cell r="B71" t="str">
            <v>GO:0004674GO:0006468GO:0004713GO:0005524</v>
          </cell>
        </row>
        <row r="72">
          <cell r="A72" t="str">
            <v>GRMZM2G010991</v>
          </cell>
          <cell r="B72" t="str">
            <v>GO:0003735GO:0006412GO:0005840</v>
          </cell>
        </row>
        <row r="73">
          <cell r="A73" t="str">
            <v>GRMZM2G043980</v>
          </cell>
          <cell r="B73" t="str">
            <v>GO:0008168GO:0032259GO:0003676</v>
          </cell>
        </row>
        <row r="74">
          <cell r="A74" t="str">
            <v>GRMZM2G391794</v>
          </cell>
          <cell r="B74" t="str">
            <v>GO:0004674GO:0006468GO:0005524GO:0005515GO:0004713</v>
          </cell>
        </row>
        <row r="75">
          <cell r="A75" t="str">
            <v>GRMZM2G030436</v>
          </cell>
          <cell r="B75" t="str">
            <v>GO:0016747</v>
          </cell>
        </row>
        <row r="76">
          <cell r="A76" t="str">
            <v>GRMZM2G043198</v>
          </cell>
          <cell r="B76" t="str">
            <v>GO:0003824GO:0008152</v>
          </cell>
        </row>
        <row r="77">
          <cell r="A77" t="str">
            <v>GRMZM2G102382</v>
          </cell>
          <cell r="B77" t="str">
            <v>GO:0045454</v>
          </cell>
        </row>
        <row r="78">
          <cell r="A78" t="str">
            <v>GRMZM2G140674</v>
          </cell>
          <cell r="B78" t="str">
            <v>GO:0050825GO:0042309GO:0050826</v>
          </cell>
        </row>
        <row r="79">
          <cell r="A79" t="str">
            <v>GRMZM2G074401</v>
          </cell>
          <cell r="B79" t="str">
            <v>GO:0006629GO:0016491</v>
          </cell>
        </row>
        <row r="80">
          <cell r="A80" t="str">
            <v>GRMZM2G458659</v>
          </cell>
          <cell r="B80" t="str">
            <v>GO:0005488GO:0008152GO:0016491</v>
          </cell>
        </row>
        <row r="81">
          <cell r="A81" t="str">
            <v>GRMZM2G038598</v>
          </cell>
          <cell r="B81" t="str">
            <v>GO:0050662GO:0003978GO:0006012GO:0006694GO:0003854GO:0045226GO:0008831</v>
          </cell>
        </row>
        <row r="82">
          <cell r="A82" t="str">
            <v>GRMZM2G314652</v>
          </cell>
          <cell r="B82" t="str">
            <v>GO:0003855GO:0005488GO:0008152</v>
          </cell>
        </row>
        <row r="83">
          <cell r="A83" t="str">
            <v>GRMZM2G075104</v>
          </cell>
          <cell r="B83" t="str">
            <v>GO:0016567GO:0004842GO:0000151</v>
          </cell>
        </row>
        <row r="84">
          <cell r="A84" t="str">
            <v>GRMZM2G474546</v>
          </cell>
          <cell r="B84" t="str">
            <v>GO:0004674GO:0006468GO:0004713GO:0005524</v>
          </cell>
        </row>
        <row r="85">
          <cell r="A85" t="str">
            <v>GRMZM2G047384</v>
          </cell>
          <cell r="B85" t="str">
            <v>GO:0006284GO:0016020GO:0005096GO:0008725</v>
          </cell>
        </row>
        <row r="86">
          <cell r="A86" t="str">
            <v>GRMZM2G085945</v>
          </cell>
          <cell r="B86" t="str">
            <v>GO:0008270GO:0005622</v>
          </cell>
        </row>
        <row r="87">
          <cell r="A87" t="str">
            <v>GRMZM2G036991</v>
          </cell>
          <cell r="B87" t="str">
            <v>GO:0000213GO:0006388GO:0000214</v>
          </cell>
        </row>
        <row r="88">
          <cell r="A88" t="str">
            <v>GRMZM2G156516</v>
          </cell>
          <cell r="B88" t="str">
            <v>GO:0003824GO:0008152</v>
          </cell>
        </row>
        <row r="89">
          <cell r="A89" t="str">
            <v>GRMZM2G151521</v>
          </cell>
          <cell r="B89" t="str">
            <v>GO:0016021</v>
          </cell>
        </row>
        <row r="90">
          <cell r="A90" t="str">
            <v>GRMZM2G051219</v>
          </cell>
          <cell r="B90" t="str">
            <v>GO:0000162GO:0004048</v>
          </cell>
        </row>
        <row r="91">
          <cell r="A91" t="str">
            <v>GRMZM2G153233</v>
          </cell>
          <cell r="B91" t="str">
            <v>GO:0006355GO:0005634GO:0003677GO:0009725</v>
          </cell>
        </row>
        <row r="92">
          <cell r="A92" t="str">
            <v>GRMZM2G177928</v>
          </cell>
          <cell r="B92" t="str">
            <v>GO:0016844GO:0009058</v>
          </cell>
        </row>
        <row r="93">
          <cell r="A93" t="str">
            <v>GRMZM2G151529</v>
          </cell>
          <cell r="B93" t="str">
            <v>GO:0009306GO:0016021GO:0015450</v>
          </cell>
        </row>
        <row r="94">
          <cell r="A94" t="str">
            <v>GRMZM2G080045</v>
          </cell>
          <cell r="B94" t="str">
            <v>GO:0016020GO:0008519GO:0006810</v>
          </cell>
        </row>
        <row r="95">
          <cell r="A95" t="str">
            <v>GRMZM2G333811</v>
          </cell>
          <cell r="B95" t="str">
            <v>GO:0015629GO:0016021GO:0005199GO:0005515GO:0007155GO:0007186</v>
          </cell>
        </row>
        <row r="96">
          <cell r="A96" t="str">
            <v>GRMZM2G168893</v>
          </cell>
          <cell r="B96" t="str">
            <v>GO:0003854GO:0050662GO:0006694</v>
          </cell>
        </row>
        <row r="97">
          <cell r="A97" t="str">
            <v>GRMZM2G060918</v>
          </cell>
          <cell r="B97" t="str">
            <v>GO:0003700GO:0043565GO:0005634GO:0045449</v>
          </cell>
        </row>
        <row r="98">
          <cell r="A98" t="str">
            <v>GRMZM2G168898</v>
          </cell>
          <cell r="B98" t="str">
            <v>GO:0019825GO:0020037GO:0005833GO:0005576GO:0050825GO:0042309GO:0050826GO:0015671</v>
          </cell>
        </row>
        <row r="99">
          <cell r="A99" t="str">
            <v>GRMZM2G123407</v>
          </cell>
          <cell r="B99" t="str">
            <v>GO:0005507GO:0009055</v>
          </cell>
        </row>
        <row r="100">
          <cell r="A100" t="str">
            <v>GRMZM2G359018</v>
          </cell>
          <cell r="B100" t="str">
            <v>GO:0005783</v>
          </cell>
        </row>
        <row r="101">
          <cell r="A101" t="str">
            <v>GRMZM2G404249</v>
          </cell>
          <cell r="B101" t="str">
            <v>GO:0006508GO:0004252</v>
          </cell>
        </row>
        <row r="102">
          <cell r="A102" t="str">
            <v>GRMZM2G421033</v>
          </cell>
          <cell r="B102" t="str">
            <v>GO:0003700GO:0006355GO:0050825GO:0042309GO:0050826</v>
          </cell>
        </row>
        <row r="103">
          <cell r="A103" t="str">
            <v>GRMZM2G051697</v>
          </cell>
          <cell r="B103" t="str">
            <v>GO:0003824GO:0008152</v>
          </cell>
        </row>
        <row r="104">
          <cell r="A104" t="str">
            <v>GRMZM2G046498</v>
          </cell>
          <cell r="B104" t="str">
            <v>GO:0003951GO:0008152</v>
          </cell>
        </row>
        <row r="105">
          <cell r="A105" t="str">
            <v>GRMZM2G027375</v>
          </cell>
          <cell r="B105" t="str">
            <v>GO:0016567GO:0004842GO:0000151GO:0005488</v>
          </cell>
        </row>
        <row r="106">
          <cell r="A106" t="str">
            <v>GRMZM2G131836</v>
          </cell>
          <cell r="B106" t="str">
            <v>GO:0003854GO:0050662GO:0016564GO:0006808GO:0006694</v>
          </cell>
        </row>
        <row r="107">
          <cell r="A107" t="str">
            <v>GRMZM2G011523</v>
          </cell>
          <cell r="B107" t="str">
            <v>GO:0005576GO:0004867</v>
          </cell>
        </row>
        <row r="108">
          <cell r="A108" t="str">
            <v>GRMZM2G149935</v>
          </cell>
          <cell r="B108" t="str">
            <v>GO:0016020GO:0005529GO:0008378GO:0006486</v>
          </cell>
        </row>
        <row r="109">
          <cell r="A109" t="str">
            <v>GRMZM2G045596</v>
          </cell>
          <cell r="B109" t="str">
            <v>GO:0016020GO:0051260GO:0006835GO:0042309GO:0050826GO:0050825GO:0017153</v>
          </cell>
        </row>
        <row r="110">
          <cell r="A110" t="str">
            <v>GRMZM2G049613</v>
          </cell>
          <cell r="B110" t="str">
            <v>GO:0016021GO:0004939GO:0007186</v>
          </cell>
        </row>
        <row r="111">
          <cell r="A111" t="str">
            <v>GRMZM2G040511</v>
          </cell>
          <cell r="B111" t="str">
            <v>GO:0004674GO:0006468GO:0005524</v>
          </cell>
        </row>
        <row r="112">
          <cell r="A112" t="str">
            <v>GRMZM2G147819</v>
          </cell>
          <cell r="B112" t="str">
            <v>GO:0005840GO:0017111GO:0000166GO:0003735GO:0003676GO:0006412</v>
          </cell>
        </row>
        <row r="113">
          <cell r="A113" t="str">
            <v>GRMZM2G047167</v>
          </cell>
          <cell r="B113" t="str">
            <v>GO:0008270GO:0005515</v>
          </cell>
        </row>
        <row r="114">
          <cell r="A114" t="str">
            <v>GRMZM2G006763</v>
          </cell>
          <cell r="B114" t="str">
            <v>GO:0008026GO:0003676GO:0005524</v>
          </cell>
        </row>
        <row r="115">
          <cell r="A115" t="str">
            <v>GRMZM2G006765</v>
          </cell>
          <cell r="B115" t="str">
            <v>GO:0005524GO:0005515</v>
          </cell>
        </row>
        <row r="116">
          <cell r="A116" t="str">
            <v>GRMZM2G051103</v>
          </cell>
          <cell r="B116" t="str">
            <v>GO:0004674GO:0006468GO:0004713GO:0005524GO:0007165</v>
          </cell>
        </row>
        <row r="117">
          <cell r="A117" t="str">
            <v>GRMZM2G111697</v>
          </cell>
          <cell r="B117" t="str">
            <v>GO:0016597GO:0008152</v>
          </cell>
        </row>
        <row r="118">
          <cell r="A118" t="str">
            <v>GRMZM2G117198</v>
          </cell>
          <cell r="B118" t="str">
            <v>GO:0006730GO:0004478GO:0005524</v>
          </cell>
        </row>
        <row r="119">
          <cell r="A119" t="str">
            <v>GRMZM2G308595</v>
          </cell>
          <cell r="B119" t="str">
            <v>GO:0016787</v>
          </cell>
        </row>
        <row r="120">
          <cell r="A120" t="str">
            <v>GRMZM2G009323</v>
          </cell>
          <cell r="B120" t="str">
            <v>GO:0006564GO:0006813GO:0051287GO:0008324GO:0004617GO:0004455GO:0016597</v>
          </cell>
        </row>
        <row r="121">
          <cell r="A121" t="str">
            <v>AC210013.4_FG006</v>
          </cell>
          <cell r="B121" t="str">
            <v>GO:0005488GO:0008152GO:0016491</v>
          </cell>
        </row>
        <row r="122">
          <cell r="A122" t="str">
            <v>AC210013.4_FG005</v>
          </cell>
          <cell r="B122" t="str">
            <v>GO:0004811GO:0008033GO:0005524</v>
          </cell>
        </row>
        <row r="123">
          <cell r="A123" t="str">
            <v>GRMZM2G176721</v>
          </cell>
          <cell r="B123" t="str">
            <v>GO:0015904GO:0016021GO:0015520GO:0046677</v>
          </cell>
        </row>
        <row r="124">
          <cell r="A124" t="str">
            <v>GRMZM2G091632</v>
          </cell>
          <cell r="B124" t="str">
            <v>GO:0006468GO:0008800GO:0004674GO:0046677GO:0004713GO:0005515GO:0030655GO:0005524</v>
          </cell>
        </row>
        <row r="125">
          <cell r="A125" t="str">
            <v>GRMZM2G180283</v>
          </cell>
          <cell r="B125" t="str">
            <v>GO:0016758GO:0008152</v>
          </cell>
        </row>
        <row r="126">
          <cell r="A126" t="str">
            <v>AC210013.4_FG008</v>
          </cell>
          <cell r="B126" t="str">
            <v>GO:0005643GO:0016973</v>
          </cell>
        </row>
        <row r="127">
          <cell r="A127" t="str">
            <v>GRMZM2G170388</v>
          </cell>
          <cell r="B127" t="str">
            <v>GO:0003735GO:0004650GO:0005975GO:0006412GO:0005840</v>
          </cell>
        </row>
        <row r="128">
          <cell r="A128" t="str">
            <v>GRMZM2G011592</v>
          </cell>
          <cell r="B128" t="str">
            <v>GO:0006812GO:0016021GO:0008324</v>
          </cell>
        </row>
        <row r="129">
          <cell r="A129" t="str">
            <v>GRMZM2G045287</v>
          </cell>
          <cell r="B129" t="str">
            <v>GO:0005794GO:0030244GO:0007047GO:0016758GO:0009505GO:0030054</v>
          </cell>
        </row>
        <row r="130">
          <cell r="A130" t="str">
            <v>GRMZM2G130544</v>
          </cell>
          <cell r="B130" t="str">
            <v>GO:0003735GO:0005840GO:0006412GO:0003723</v>
          </cell>
        </row>
        <row r="131">
          <cell r="A131" t="str">
            <v>GRMZM2G178398</v>
          </cell>
          <cell r="B131" t="str">
            <v>GO:0016740GO:0005529GO:0008152</v>
          </cell>
        </row>
        <row r="132">
          <cell r="A132" t="str">
            <v>GRMZM2G099382</v>
          </cell>
          <cell r="B132" t="str">
            <v>GO:0016021GO:0006814GO:0006835GO:0015137GO:0015746GO:0017153</v>
          </cell>
        </row>
        <row r="133">
          <cell r="A133" t="str">
            <v>GRMZM2G543629</v>
          </cell>
          <cell r="B133" t="str">
            <v>GO:0003700GO:0006355GO:0006352GO:0016987</v>
          </cell>
        </row>
        <row r="134">
          <cell r="A134" t="str">
            <v>AC233885.1_FG001</v>
          </cell>
          <cell r="B134" t="str">
            <v>GO:0050825GO:0042309GO:0050826</v>
          </cell>
        </row>
        <row r="135">
          <cell r="A135" t="str">
            <v>GRMZM2G129266</v>
          </cell>
          <cell r="B135" t="str">
            <v>GO:0016747</v>
          </cell>
        </row>
        <row r="136">
          <cell r="A136" t="str">
            <v>GRMZM2G174719</v>
          </cell>
          <cell r="B136" t="str">
            <v>GO:0016021GO:0007186</v>
          </cell>
        </row>
        <row r="137">
          <cell r="A137" t="str">
            <v>GRMZM2G098011</v>
          </cell>
          <cell r="B137" t="str">
            <v>GO:0022891GO:0016021GO:0055085</v>
          </cell>
        </row>
        <row r="138">
          <cell r="A138" t="str">
            <v>GRMZM2G028570</v>
          </cell>
          <cell r="B138" t="str">
            <v>GO:0022891GO:0016020GO:0055085</v>
          </cell>
        </row>
        <row r="139">
          <cell r="A139" t="str">
            <v>AC209858.4_FG004</v>
          </cell>
          <cell r="B139" t="str">
            <v>GO:0008080GO:0008152</v>
          </cell>
        </row>
        <row r="140">
          <cell r="A140" t="str">
            <v>GRMZM2G481843</v>
          </cell>
          <cell r="B140" t="str">
            <v>GO:0005737GO:0006629GO:0016627GO:0006355GO:0003677GO:0005634GO:0016021GO:0004879</v>
          </cell>
        </row>
        <row r="141">
          <cell r="A141" t="str">
            <v>GRMZM2G048740</v>
          </cell>
          <cell r="B141" t="str">
            <v>GO:0005737GO:0006535GO:0009001</v>
          </cell>
        </row>
        <row r="142">
          <cell r="A142" t="str">
            <v>GRMZM2G130121</v>
          </cell>
          <cell r="B142" t="str">
            <v>GO:0051085GO:0016887GO:0005524GO:0005783</v>
          </cell>
        </row>
        <row r="143">
          <cell r="A143" t="str">
            <v>GRMZM2G045135</v>
          </cell>
          <cell r="B143" t="str">
            <v>GO:0003824GO:0008152</v>
          </cell>
        </row>
        <row r="144">
          <cell r="A144" t="str">
            <v>GRMZM2G004036</v>
          </cell>
          <cell r="B144" t="str">
            <v>GO:0003824GO:0016564GO:0006808GO:0044237GO:0050662</v>
          </cell>
        </row>
        <row r="145">
          <cell r="A145" t="str">
            <v>AC231745.1_FG003</v>
          </cell>
          <cell r="B145" t="str">
            <v>GO:0006629GO:0016788</v>
          </cell>
        </row>
        <row r="146">
          <cell r="A146" t="str">
            <v>GRMZM2G147721</v>
          </cell>
          <cell r="B146" t="str">
            <v>GO:0008299</v>
          </cell>
        </row>
        <row r="147">
          <cell r="A147" t="str">
            <v>GRMZM2G447795</v>
          </cell>
          <cell r="B147" t="str">
            <v>GO:0005975GO:0004553</v>
          </cell>
        </row>
        <row r="148">
          <cell r="A148" t="str">
            <v>GRMZM2G531738</v>
          </cell>
          <cell r="B148" t="str">
            <v>GO:0003677</v>
          </cell>
        </row>
        <row r="149">
          <cell r="A149" t="str">
            <v>GRMZM2G169321</v>
          </cell>
          <cell r="B149" t="str">
            <v>GO:0016021</v>
          </cell>
        </row>
        <row r="150">
          <cell r="A150" t="str">
            <v>AC234156.1_FG005</v>
          </cell>
          <cell r="B150" t="str">
            <v>GO:0006936GO:0005634GO:0017022GO:0003779GO:0006355GO:0005516GO:0003677GO:0004879</v>
          </cell>
        </row>
        <row r="151">
          <cell r="A151" t="str">
            <v>GRMZM2G179090</v>
          </cell>
          <cell r="B151" t="str">
            <v>GO:0015031GO:0005525GO:0007264GO:0005622</v>
          </cell>
        </row>
        <row r="152">
          <cell r="A152" t="str">
            <v>GRMZM2G124473</v>
          </cell>
          <cell r="B152" t="str">
            <v>GO:0005198</v>
          </cell>
        </row>
        <row r="153">
          <cell r="A153" t="str">
            <v>GRMZM2G121151</v>
          </cell>
          <cell r="B153" t="str">
            <v>GO:0008270GO:0005622</v>
          </cell>
        </row>
        <row r="154">
          <cell r="A154" t="str">
            <v>GRMZM2G040736</v>
          </cell>
          <cell r="B154" t="str">
            <v>GO:0006355GO:0000156GO:0000160</v>
          </cell>
        </row>
        <row r="155">
          <cell r="A155" t="str">
            <v>GRMZM2G400938</v>
          </cell>
          <cell r="B155" t="str">
            <v>GO:0050825GO:0042309GO:0050826</v>
          </cell>
        </row>
        <row r="156">
          <cell r="A156" t="str">
            <v>GRMZM2G059129</v>
          </cell>
          <cell r="B156" t="str">
            <v>GO:0006071GO:0006629GO:0008889</v>
          </cell>
        </row>
        <row r="157">
          <cell r="A157" t="str">
            <v>AC233953.1_FG005</v>
          </cell>
          <cell r="B157" t="str">
            <v>GO:0006813GO:0016020GO:0015079</v>
          </cell>
        </row>
        <row r="158">
          <cell r="A158" t="str">
            <v>GRMZM2G381051</v>
          </cell>
          <cell r="B158" t="str">
            <v>GO:0003995GO:0008152</v>
          </cell>
        </row>
        <row r="159">
          <cell r="A159" t="str">
            <v>GRMZM2G074085</v>
          </cell>
          <cell r="B159" t="str">
            <v>GO:0003735GO:0006412GO:0005840</v>
          </cell>
        </row>
        <row r="160">
          <cell r="A160" t="str">
            <v>GRMZM2G318780</v>
          </cell>
          <cell r="B160" t="str">
            <v>GO:0009058GO:0016157GO:0005985</v>
          </cell>
        </row>
        <row r="161">
          <cell r="A161" t="str">
            <v>GRMZM2G311898</v>
          </cell>
          <cell r="B161" t="str">
            <v>GO:0045454GO:0015035GO:0009055</v>
          </cell>
        </row>
        <row r="162">
          <cell r="A162" t="str">
            <v>GRMZM2G178576</v>
          </cell>
          <cell r="B162" t="str">
            <v>GO:0006228GO:0006241GO:0004550GO:0005524GO:0006183</v>
          </cell>
        </row>
        <row r="163">
          <cell r="A163" t="str">
            <v>GRMZM2G137535</v>
          </cell>
          <cell r="B163" t="str">
            <v>GO:0005975GO:0004553</v>
          </cell>
        </row>
        <row r="164">
          <cell r="A164" t="str">
            <v>GRMZM2G014872</v>
          </cell>
          <cell r="B164" t="str">
            <v>GO:0006904</v>
          </cell>
        </row>
        <row r="165">
          <cell r="A165" t="str">
            <v>GRMZM2G024865</v>
          </cell>
          <cell r="B165" t="str">
            <v>GO:0006508GO:0016020GO:0008236</v>
          </cell>
        </row>
        <row r="166">
          <cell r="A166" t="str">
            <v>GRMZM2G035552</v>
          </cell>
          <cell r="B166" t="str">
            <v>GO:0016597GO:0008152</v>
          </cell>
        </row>
        <row r="167">
          <cell r="A167" t="str">
            <v>GRMZM2G033478</v>
          </cell>
          <cell r="B167" t="str">
            <v>GO:0003723</v>
          </cell>
        </row>
        <row r="168">
          <cell r="A168" t="str">
            <v>GRMZM2G085967</v>
          </cell>
          <cell r="B168" t="str">
            <v>GO:0004601GO:0006979GO:0020037GO:0009055</v>
          </cell>
        </row>
        <row r="169">
          <cell r="A169" t="str">
            <v>GRMZM2G077757</v>
          </cell>
          <cell r="B169" t="str">
            <v>GO:0005529GO:0003676GO:0005622</v>
          </cell>
        </row>
        <row r="170">
          <cell r="A170" t="str">
            <v>GRMZM2G146589</v>
          </cell>
          <cell r="B170" t="str">
            <v>GO:0004824GO:0005737GO:0004815GO:0006430GO:0003676GO:0006422GO:0005524</v>
          </cell>
        </row>
        <row r="171">
          <cell r="A171" t="str">
            <v>GRMZM2G385287</v>
          </cell>
          <cell r="B171" t="str">
            <v>GO:0003735GO:0006412GO:0005840</v>
          </cell>
        </row>
        <row r="172">
          <cell r="A172" t="str">
            <v>GRMZM2G033671</v>
          </cell>
          <cell r="B172" t="str">
            <v>GO:0006508GO:0016020GO:0004222</v>
          </cell>
        </row>
        <row r="173">
          <cell r="A173" t="str">
            <v>GRMZM2G077197</v>
          </cell>
          <cell r="B173" t="str">
            <v>GO:0006265GO:0005524GO:0005515GO:0003918</v>
          </cell>
        </row>
        <row r="174">
          <cell r="A174" t="str">
            <v>GRMZM2G088261</v>
          </cell>
          <cell r="B174" t="str">
            <v>GO:0005509</v>
          </cell>
        </row>
        <row r="175">
          <cell r="A175" t="str">
            <v>AC197246.3_FG001</v>
          </cell>
          <cell r="B175" t="str">
            <v>GO:0006886GO:0003924GO:0006913GO:0005622GO:0005515GO:0007264GO:0005525</v>
          </cell>
        </row>
        <row r="176">
          <cell r="A176" t="str">
            <v>GRMZM2G029029</v>
          </cell>
          <cell r="B176" t="str">
            <v>GO:0003723</v>
          </cell>
        </row>
        <row r="177">
          <cell r="A177" t="str">
            <v>GRMZM2G173124</v>
          </cell>
          <cell r="B177" t="str">
            <v>GO:0008270GO:0003676</v>
          </cell>
        </row>
        <row r="178">
          <cell r="A178" t="str">
            <v>GRMZM2G332107</v>
          </cell>
          <cell r="B178" t="str">
            <v>GO:0004674GO:0006468GO:0004713GO:0005524</v>
          </cell>
        </row>
        <row r="179">
          <cell r="A179" t="str">
            <v>GRMZM2G097297</v>
          </cell>
          <cell r="B179" t="str">
            <v>GO:0046983GO:0008171</v>
          </cell>
        </row>
        <row r="180">
          <cell r="A180" t="str">
            <v>GRMZM2G000261</v>
          </cell>
          <cell r="B180" t="str">
            <v>GO:0006813GO:0008076GO:0005249GO:0005515</v>
          </cell>
        </row>
        <row r="181">
          <cell r="A181" t="str">
            <v>GRMZM2G064853</v>
          </cell>
          <cell r="B181" t="str">
            <v>GO:0008270GO:0005622</v>
          </cell>
        </row>
        <row r="182">
          <cell r="A182" t="str">
            <v>GRMZM2G052266</v>
          </cell>
          <cell r="B182" t="str">
            <v>GO:0016491</v>
          </cell>
        </row>
        <row r="183">
          <cell r="A183" t="str">
            <v>GRMZM2G427097</v>
          </cell>
          <cell r="B183" t="str">
            <v>GO:0006520GO:0005488GO:0055114GO:0016639</v>
          </cell>
        </row>
        <row r="184">
          <cell r="A184" t="str">
            <v>GRMZM2G411766</v>
          </cell>
          <cell r="B184" t="str">
            <v>GO:0003700GO:0043565GO:0005634GO:0045449</v>
          </cell>
        </row>
        <row r="185">
          <cell r="A185" t="str">
            <v>GRMZM2G053303</v>
          </cell>
          <cell r="B185" t="str">
            <v>GO:0008270GO:0005515</v>
          </cell>
        </row>
        <row r="186">
          <cell r="A186" t="str">
            <v>GRMZM2G018241</v>
          </cell>
          <cell r="B186" t="str">
            <v>GO:0016020GO:0016760GO:0008270GO:0005515GO:0030244</v>
          </cell>
        </row>
        <row r="187">
          <cell r="A187" t="str">
            <v>GRMZM2G087326</v>
          </cell>
          <cell r="B187" t="str">
            <v>GO:0005794GO:0030244GO:0007047GO:0016758GO:0009505GO:0030054</v>
          </cell>
        </row>
        <row r="188">
          <cell r="A188" t="str">
            <v>GRMZM2G087323</v>
          </cell>
          <cell r="B188" t="str">
            <v>GO:0009239GO:0005488GO:0004022GO:0008667</v>
          </cell>
        </row>
        <row r="189">
          <cell r="A189" t="str">
            <v>GRMZM2G161680</v>
          </cell>
          <cell r="B189" t="str">
            <v>GO:0043565GO:0005622</v>
          </cell>
        </row>
        <row r="190">
          <cell r="A190" t="str">
            <v>GRMZM2G105415</v>
          </cell>
          <cell r="B190" t="str">
            <v>GO:0004674GO:0006468GO:0004713GO:0005524</v>
          </cell>
        </row>
        <row r="191">
          <cell r="A191" t="str">
            <v>GRMZM2G140082</v>
          </cell>
          <cell r="B191" t="str">
            <v>GO:0004674GO:0006468GO:0004713GO:0005524</v>
          </cell>
        </row>
        <row r="192">
          <cell r="A192" t="str">
            <v>GRMZM2G359986</v>
          </cell>
          <cell r="B192" t="str">
            <v>GO:0004674GO:0006468GO:0004713GO:0005524</v>
          </cell>
        </row>
        <row r="193">
          <cell r="A193" t="str">
            <v>GRMZM2G125527</v>
          </cell>
          <cell r="B193" t="str">
            <v>GO:0003735GO:0006412GO:0005840</v>
          </cell>
        </row>
        <row r="194">
          <cell r="A194" t="str">
            <v>GRMZM2G077401</v>
          </cell>
          <cell r="B194" t="str">
            <v>GO:0004932GO:0016020</v>
          </cell>
        </row>
        <row r="195">
          <cell r="A195" t="str">
            <v>GRMZM2G005849</v>
          </cell>
          <cell r="B195" t="str">
            <v>GO:0005737GO:0004360GO:0005529GO:0016051</v>
          </cell>
        </row>
        <row r="196">
          <cell r="A196" t="str">
            <v>GRMZM2G047513</v>
          </cell>
          <cell r="B196" t="str">
            <v>GO:0003735GO:0015935GO:0006412GO:0003723</v>
          </cell>
        </row>
        <row r="197">
          <cell r="A197" t="str">
            <v>GRMZM2G156673</v>
          </cell>
          <cell r="B197" t="str">
            <v>GO:0003735GO:0006412GO:0015935</v>
          </cell>
        </row>
        <row r="198">
          <cell r="A198" t="str">
            <v>GRMZM2G146475</v>
          </cell>
          <cell r="B198" t="str">
            <v>GO:0005737GO:0004364GO:0008152</v>
          </cell>
        </row>
        <row r="199">
          <cell r="A199" t="str">
            <v>GRMZM2G132303</v>
          </cell>
          <cell r="B199" t="str">
            <v>GO:0003824GO:0006281</v>
          </cell>
        </row>
        <row r="200">
          <cell r="A200" t="str">
            <v>GRMZM2G339091</v>
          </cell>
          <cell r="B200" t="str">
            <v>GO:0003779GO:0006508GO:0004185</v>
          </cell>
        </row>
        <row r="201">
          <cell r="A201" t="str">
            <v>GRMZM2G167431</v>
          </cell>
          <cell r="B201" t="str">
            <v>GO:0009239GO:0005488GO:0008667</v>
          </cell>
        </row>
        <row r="202">
          <cell r="A202" t="str">
            <v>GRMZM2G081652</v>
          </cell>
          <cell r="B202" t="str">
            <v>GO:0005215GO:0006810GO:0005622GO:0050825GO:0042309GO:0050826</v>
          </cell>
        </row>
        <row r="203">
          <cell r="A203" t="str">
            <v>GRMZM2G024647</v>
          </cell>
          <cell r="B203" t="str">
            <v>GO:0003735GO:0006412GO:0005840</v>
          </cell>
        </row>
        <row r="204">
          <cell r="A204" t="str">
            <v>GRMZM2G093441</v>
          </cell>
          <cell r="B204" t="str">
            <v>GO:0006508GO:0004177</v>
          </cell>
        </row>
        <row r="205">
          <cell r="A205" t="str">
            <v>GRMZM2G053206</v>
          </cell>
          <cell r="B205" t="str">
            <v>GO:0006508GO:0004190</v>
          </cell>
        </row>
        <row r="206">
          <cell r="A206" t="str">
            <v>GRMZM2G132121</v>
          </cell>
          <cell r="B206" t="str">
            <v>GO:0003735GO:0006412GO:0005840</v>
          </cell>
        </row>
        <row r="207">
          <cell r="A207" t="str">
            <v>GRMZM2G067225</v>
          </cell>
          <cell r="B207" t="str">
            <v>GO:0004497GO:0020037GO:0009055</v>
          </cell>
        </row>
        <row r="208">
          <cell r="A208" t="str">
            <v>GRMZM2G057186</v>
          </cell>
          <cell r="B208" t="str">
            <v>GO:0003824</v>
          </cell>
        </row>
        <row r="209">
          <cell r="A209" t="str">
            <v>GRMZM2G117989</v>
          </cell>
          <cell r="B209" t="str">
            <v>GO:0050832GO:0050825GO:0042742GO:0042309GO:0050826</v>
          </cell>
        </row>
        <row r="210">
          <cell r="A210" t="str">
            <v>GRMZM2G354610</v>
          </cell>
          <cell r="B210" t="str">
            <v>GO:0016757</v>
          </cell>
        </row>
        <row r="211">
          <cell r="A211" t="str">
            <v>GRMZM2G045849</v>
          </cell>
          <cell r="B211" t="str">
            <v>GO:0006829GO:0016021GO:0017153GO:0006835GO:0005385</v>
          </cell>
        </row>
        <row r="212">
          <cell r="A212" t="str">
            <v>GRMZM2G472671</v>
          </cell>
          <cell r="B212" t="str">
            <v>GO:0005634GO:0045449GO:0030528</v>
          </cell>
        </row>
        <row r="213">
          <cell r="A213" t="str">
            <v>GRMZM2G075624</v>
          </cell>
          <cell r="B213" t="str">
            <v>GO:0005737</v>
          </cell>
        </row>
        <row r="214">
          <cell r="A214" t="str">
            <v>GRMZM2G375159</v>
          </cell>
          <cell r="B214" t="str">
            <v>GO:0016747</v>
          </cell>
        </row>
        <row r="215">
          <cell r="A215" t="str">
            <v>GRMZM2G155525</v>
          </cell>
          <cell r="B215" t="str">
            <v>GO:0046872GO:0015097GO:0015694</v>
          </cell>
        </row>
        <row r="216">
          <cell r="A216" t="str">
            <v>GRMZM2G084806</v>
          </cell>
          <cell r="B216" t="str">
            <v>GO:0004674GO:0006468GO:0004713GO:0005524</v>
          </cell>
        </row>
        <row r="217">
          <cell r="A217" t="str">
            <v>GRMZM2G089525</v>
          </cell>
          <cell r="B217" t="str">
            <v>GO:0003700GO:0006355GO:0005634GO:0043565</v>
          </cell>
        </row>
        <row r="218">
          <cell r="A218" t="str">
            <v>GRMZM2G089836</v>
          </cell>
          <cell r="B218" t="str">
            <v>GO:0005975GO:0015232GO:0015886GO:0016020GO:0017004GO:0004553</v>
          </cell>
        </row>
        <row r="219">
          <cell r="A219" t="str">
            <v>GRMZM2G155253</v>
          </cell>
          <cell r="B219" t="str">
            <v>GO:0006096GO:0004332</v>
          </cell>
        </row>
        <row r="220">
          <cell r="A220" t="str">
            <v>GRMZM2G114793</v>
          </cell>
          <cell r="B220" t="str">
            <v>GO:0005524</v>
          </cell>
        </row>
        <row r="221">
          <cell r="A221" t="str">
            <v>GRMZM2G132547</v>
          </cell>
          <cell r="B221" t="str">
            <v>GO:0006221GO:0003883</v>
          </cell>
        </row>
        <row r="222">
          <cell r="A222" t="str">
            <v>GRMZM2G128922</v>
          </cell>
          <cell r="B222" t="str">
            <v>GO:0006508GO:0004190</v>
          </cell>
        </row>
        <row r="223">
          <cell r="A223" t="str">
            <v>GRMZM2G006894</v>
          </cell>
          <cell r="B223" t="str">
            <v>GO:0006812GO:0016021GO:0006754GO:0015662GO:0005524</v>
          </cell>
        </row>
        <row r="224">
          <cell r="A224" t="str">
            <v>GRMZM2G070199</v>
          </cell>
          <cell r="B224" t="str">
            <v>GO:0020037GO:0009055</v>
          </cell>
        </row>
        <row r="225">
          <cell r="A225" t="str">
            <v>GRMZM2G105400</v>
          </cell>
          <cell r="B225" t="str">
            <v>GO:0009416GO:0005515GO:0004871</v>
          </cell>
        </row>
        <row r="226">
          <cell r="A226" t="str">
            <v>GRMZM2G017386</v>
          </cell>
          <cell r="B226" t="str">
            <v>GO:0004674GO:0006468GO:0004713GO:0005524</v>
          </cell>
        </row>
        <row r="227">
          <cell r="A227" t="str">
            <v>GRMZM2G080274</v>
          </cell>
          <cell r="B227" t="str">
            <v>GO:0006334GO:0003677GO:0050826GO:0050825GO:0042309GO:0000786GO:0005634</v>
          </cell>
        </row>
        <row r="228">
          <cell r="A228" t="str">
            <v>GRMZM2G067315</v>
          </cell>
          <cell r="B228" t="str">
            <v>GO:0004937GO:0006813GO:0016021GO:0051260GO:0005249GO:0007186</v>
          </cell>
        </row>
        <row r="229">
          <cell r="A229" t="str">
            <v>GRMZM2G143403</v>
          </cell>
          <cell r="B229" t="str">
            <v>GO:0008270GO:0003676</v>
          </cell>
        </row>
        <row r="230">
          <cell r="A230" t="str">
            <v>GRMZM2G143402</v>
          </cell>
          <cell r="B230" t="str">
            <v>GO:0050825GO:0042309GO:0050826</v>
          </cell>
        </row>
        <row r="231">
          <cell r="A231" t="str">
            <v>GRMZM2G004959</v>
          </cell>
          <cell r="B231" t="str">
            <v>GO:0008270</v>
          </cell>
        </row>
        <row r="232">
          <cell r="A232" t="str">
            <v>GRMZM2G140669</v>
          </cell>
          <cell r="B232" t="str">
            <v>GO:0003700GO:0006355GO:0005634GO:0008270GO:0043565</v>
          </cell>
        </row>
        <row r="233">
          <cell r="A233" t="str">
            <v>GRMZM2G012397</v>
          </cell>
          <cell r="B233" t="str">
            <v>GO:0009522GO:0015979</v>
          </cell>
        </row>
        <row r="234">
          <cell r="A234" t="str">
            <v>GRMZM2G023711</v>
          </cell>
          <cell r="B234" t="str">
            <v>GO:0045454</v>
          </cell>
        </row>
        <row r="235">
          <cell r="A235" t="str">
            <v>GRMZM2G361847</v>
          </cell>
          <cell r="B235" t="str">
            <v>GO:0003700GO:0006355GO:0046983GO:0005634GO:0043565</v>
          </cell>
        </row>
        <row r="236">
          <cell r="A236" t="str">
            <v>GRMZM2G180452</v>
          </cell>
          <cell r="B236" t="str">
            <v>GO:0005634GO:0045449GO:0030528</v>
          </cell>
        </row>
        <row r="237">
          <cell r="A237" t="str">
            <v>GRMZM2G042107</v>
          </cell>
          <cell r="B237" t="str">
            <v>GO:0006265GO:0005694GO:0003918GO:0005524</v>
          </cell>
        </row>
        <row r="238">
          <cell r="A238" t="str">
            <v>GRMZM2G149580</v>
          </cell>
          <cell r="B238" t="str">
            <v>GO:0006633GO:0000036GO:0048037GO:0031177</v>
          </cell>
        </row>
        <row r="239">
          <cell r="A239" t="str">
            <v>GRMZM2G114861</v>
          </cell>
          <cell r="B239" t="str">
            <v>GO:0007018GO:0003777GO:0005524GO:0005875</v>
          </cell>
        </row>
        <row r="240">
          <cell r="A240" t="str">
            <v>GRMZM2G035092</v>
          </cell>
          <cell r="B240" t="str">
            <v>GO:0003700GO:0006355GO:0005634GO:0043565</v>
          </cell>
        </row>
        <row r="241">
          <cell r="A241" t="str">
            <v>GRMZM2G010731</v>
          </cell>
          <cell r="B241" t="str">
            <v>GO:0008168</v>
          </cell>
        </row>
        <row r="242">
          <cell r="A242" t="str">
            <v>GRMZM2G177242</v>
          </cell>
          <cell r="B242" t="str">
            <v>GO:0050825GO:0042309GO:0050826</v>
          </cell>
        </row>
        <row r="243">
          <cell r="A243" t="str">
            <v>GRMZM2G569855</v>
          </cell>
          <cell r="B243" t="str">
            <v>GO:0009097GO:0004794GO:0030170</v>
          </cell>
        </row>
        <row r="244">
          <cell r="A244" t="str">
            <v>AC204212.4_FG001</v>
          </cell>
          <cell r="B244" t="str">
            <v>GO:0003677</v>
          </cell>
        </row>
        <row r="245">
          <cell r="A245" t="str">
            <v>GRMZM2G144997</v>
          </cell>
          <cell r="B245" t="str">
            <v>GO:0031072GO:0006457GO:0051082</v>
          </cell>
        </row>
        <row r="246">
          <cell r="A246" t="str">
            <v>GRMZM2G043295</v>
          </cell>
          <cell r="B246" t="str">
            <v>GO:0016758GO:0008152</v>
          </cell>
        </row>
        <row r="247">
          <cell r="A247" t="str">
            <v>GRMZM2G478568</v>
          </cell>
          <cell r="B247" t="str">
            <v>GO:0005727GO:0004519GO:0009424GO:0030410GO:0009405GO:0003676GO:0030418GO:0003774GO:0009296</v>
          </cell>
        </row>
        <row r="248">
          <cell r="A248" t="str">
            <v>GRMZM2G035520</v>
          </cell>
          <cell r="B248" t="str">
            <v>GO:0006812GO:0016021GO:0006754GO:0015662GO:0005524</v>
          </cell>
        </row>
        <row r="249">
          <cell r="A249" t="str">
            <v>GRMZM2G387360</v>
          </cell>
          <cell r="B249" t="str">
            <v>GO:0050825GO:0042309GO:0050826</v>
          </cell>
        </row>
        <row r="250">
          <cell r="A250" t="str">
            <v>GRMZM2G043291</v>
          </cell>
          <cell r="B250" t="str">
            <v>GO:0005737GO:0004364GO:0008152</v>
          </cell>
        </row>
        <row r="251">
          <cell r="A251" t="str">
            <v>GRMZM2G129291</v>
          </cell>
          <cell r="B251" t="str">
            <v>GO:0004623GO:0006644GO:0016042</v>
          </cell>
        </row>
        <row r="252">
          <cell r="A252" t="str">
            <v>GRMZM2G449909</v>
          </cell>
          <cell r="B252" t="str">
            <v>GO:0016459GO:0005524GO:0051015GO:0003774</v>
          </cell>
        </row>
        <row r="253">
          <cell r="A253" t="str">
            <v>GRMZM2G467756</v>
          </cell>
          <cell r="B253" t="str">
            <v>GO:0008270GO:0005515</v>
          </cell>
        </row>
        <row r="254">
          <cell r="A254" t="str">
            <v>GRMZM2G031065</v>
          </cell>
          <cell r="B254" t="str">
            <v>GO:0016787GO:0008152</v>
          </cell>
        </row>
        <row r="255">
          <cell r="A255" t="str">
            <v>GRMZM2G089010</v>
          </cell>
          <cell r="B255" t="str">
            <v>GO:0000155GO:0000156GO:0005789GO:0006355GO:0009873GO:0005524</v>
          </cell>
        </row>
        <row r="256">
          <cell r="A256" t="str">
            <v>AC199765.4_FG008</v>
          </cell>
          <cell r="B256" t="str">
            <v>GO:0005975GO:0004553</v>
          </cell>
        </row>
        <row r="257">
          <cell r="A257" t="str">
            <v>GRMZM2G106061</v>
          </cell>
          <cell r="B257" t="str">
            <v>GO:0003924GO:0005622GO:0004871GO:0003746GO:0006414GO:0007186GO:0005525</v>
          </cell>
        </row>
        <row r="258">
          <cell r="A258" t="str">
            <v>GRMZM2G112244</v>
          </cell>
          <cell r="B258" t="str">
            <v>GO:0006813GO:0016021GO:0051260GO:0005249</v>
          </cell>
        </row>
        <row r="259">
          <cell r="A259" t="str">
            <v>GRMZM2G048295</v>
          </cell>
          <cell r="B259" t="str">
            <v>GO:0003677</v>
          </cell>
        </row>
        <row r="260">
          <cell r="A260" t="str">
            <v>GRMZM2G129451</v>
          </cell>
          <cell r="B260" t="str">
            <v>GO:0009250GO:0009011</v>
          </cell>
        </row>
        <row r="261">
          <cell r="A261" t="str">
            <v>GRMZM2G016084</v>
          </cell>
          <cell r="B261" t="str">
            <v>GO:0003723</v>
          </cell>
        </row>
        <row r="262">
          <cell r="A262" t="str">
            <v>GRMZM2G440208</v>
          </cell>
          <cell r="B262" t="str">
            <v>GO:0050661GO:0006098GO:0004616</v>
          </cell>
        </row>
        <row r="263">
          <cell r="A263" t="str">
            <v>GRMZM2G168888</v>
          </cell>
          <cell r="B263" t="str">
            <v>GO:0004792GO:0008272</v>
          </cell>
        </row>
        <row r="264">
          <cell r="A264" t="str">
            <v>GRMZM2G066578</v>
          </cell>
          <cell r="B264" t="str">
            <v>GO:0006633GO:0005506GO:0005783GO:0055114GO:0016491</v>
          </cell>
        </row>
        <row r="265">
          <cell r="A265" t="str">
            <v>GRMZM2G035708</v>
          </cell>
          <cell r="B265" t="str">
            <v>GO:0006457</v>
          </cell>
        </row>
        <row r="266">
          <cell r="A266" t="str">
            <v>GRMZM2G075051</v>
          </cell>
          <cell r="B266" t="str">
            <v>GO:0008134GO:0003924GO:0006913GO:0005622GO:0006355GO:0007264GO:0006886GO:0005524GO:0005525</v>
          </cell>
        </row>
        <row r="267">
          <cell r="A267" t="str">
            <v>AC152495.1_FG017</v>
          </cell>
          <cell r="B267" t="str">
            <v>GO:0006915GO:0005524</v>
          </cell>
        </row>
        <row r="268">
          <cell r="A268" t="str">
            <v>GRMZM2G353024</v>
          </cell>
          <cell r="B268" t="str">
            <v>GO:0009416GO:0005515GO:0004871</v>
          </cell>
        </row>
        <row r="269">
          <cell r="A269" t="str">
            <v>GRMZM2G003306</v>
          </cell>
          <cell r="B269" t="str">
            <v>GO:0006334GO:0003677GO:0005634GO:0000786</v>
          </cell>
        </row>
        <row r="270">
          <cell r="A270" t="str">
            <v>GRMZM2G071023</v>
          </cell>
          <cell r="B270" t="str">
            <v>GO:0003951GO:0008152</v>
          </cell>
        </row>
        <row r="271">
          <cell r="A271" t="str">
            <v>GRMZM2G042074</v>
          </cell>
          <cell r="B271" t="str">
            <v>GO:0016887GO:0005524</v>
          </cell>
        </row>
        <row r="272">
          <cell r="A272" t="str">
            <v>GRMZM2G101142</v>
          </cell>
          <cell r="B272" t="str">
            <v>GO:0016844GO:0009058GO:0050825GO:0042309GO:0050826</v>
          </cell>
        </row>
        <row r="273">
          <cell r="A273" t="str">
            <v>GRMZM2G310947</v>
          </cell>
          <cell r="B273" t="str">
            <v>GO:0006281GO:0003684GO:0005524GO:0017111</v>
          </cell>
        </row>
        <row r="274">
          <cell r="A274" t="str">
            <v>GRMZM2G387076</v>
          </cell>
          <cell r="B274" t="str">
            <v>GO:0006334GO:0016192GO:0005634GO:0003677GO:0000786GO:0016021</v>
          </cell>
        </row>
        <row r="275">
          <cell r="A275" t="str">
            <v>GRMZM2G154124</v>
          </cell>
          <cell r="B275" t="str">
            <v>GO:0003824GO:0005975GO:0030246</v>
          </cell>
        </row>
        <row r="276">
          <cell r="A276" t="str">
            <v>GRMZM2G027344</v>
          </cell>
          <cell r="B276" t="str">
            <v>GO:0015031GO:0005525GO:0007264GO:0005622</v>
          </cell>
        </row>
        <row r="277">
          <cell r="A277" t="str">
            <v>GRMZM2G019807</v>
          </cell>
          <cell r="B277" t="str">
            <v>GO:0016021GO:0007186GO:0005199</v>
          </cell>
        </row>
        <row r="278">
          <cell r="A278" t="str">
            <v>GRMZM2G434572</v>
          </cell>
          <cell r="B278" t="str">
            <v>GO:0046872GO:0019509GO:0051213</v>
          </cell>
        </row>
        <row r="279">
          <cell r="A279" t="str">
            <v>GRMZM2G015709</v>
          </cell>
          <cell r="B279" t="str">
            <v>GO:0005874GO:0005198GO:0007018GO:0005525</v>
          </cell>
        </row>
        <row r="280">
          <cell r="A280" t="str">
            <v>GRMZM2G129189</v>
          </cell>
          <cell r="B280" t="str">
            <v>GO:0004568GO:0006032GO:0008061GO:0016998</v>
          </cell>
        </row>
        <row r="281">
          <cell r="A281" t="str">
            <v>AC208915.3_FG010</v>
          </cell>
          <cell r="B281" t="str">
            <v>GO:0016020GO:0009765</v>
          </cell>
        </row>
        <row r="282">
          <cell r="A282" t="str">
            <v>GRMZM2G106250</v>
          </cell>
          <cell r="B282" t="str">
            <v>GO:0006813GO:0006631GO:0008324GO:0005488GO:0016491</v>
          </cell>
        </row>
        <row r="283">
          <cell r="A283" t="str">
            <v>GRMZM2G055320</v>
          </cell>
          <cell r="B283" t="str">
            <v>GO:0003824GO:0008152</v>
          </cell>
        </row>
        <row r="284">
          <cell r="A284" t="str">
            <v>GRMZM2G047139</v>
          </cell>
          <cell r="B284" t="str">
            <v>GO:0006629GO:0016788</v>
          </cell>
        </row>
        <row r="285">
          <cell r="A285" t="str">
            <v>GRMZM2G170400</v>
          </cell>
          <cell r="B285" t="str">
            <v>GO:0008825GO:0008610</v>
          </cell>
        </row>
        <row r="286">
          <cell r="A286" t="str">
            <v>GRMZM2G171408</v>
          </cell>
          <cell r="B286" t="str">
            <v>GO:0005488</v>
          </cell>
        </row>
        <row r="287">
          <cell r="A287" t="str">
            <v>GRMZM2G127067</v>
          </cell>
          <cell r="B287" t="str">
            <v>GO:0006633GO:0005506GO:0005783GO:0055114GO:0016491</v>
          </cell>
        </row>
        <row r="288">
          <cell r="A288" t="str">
            <v>GRMZM2G103047</v>
          </cell>
          <cell r="B288" t="str">
            <v>GO:0005215GO:0016021GO:0006810</v>
          </cell>
        </row>
        <row r="289">
          <cell r="A289" t="str">
            <v>GRMZM2G049930</v>
          </cell>
          <cell r="B289" t="str">
            <v>GO:0048046GO:0030145GO:0045735</v>
          </cell>
        </row>
        <row r="290">
          <cell r="A290" t="str">
            <v>GRMZM2G174917</v>
          </cell>
          <cell r="B290" t="str">
            <v>GO:0003700GO:0006355GO:0050825GO:0042309GO:0050826</v>
          </cell>
        </row>
        <row r="291">
          <cell r="A291" t="str">
            <v>GRMZM2G042253</v>
          </cell>
          <cell r="B291" t="str">
            <v>GO:0005737GO:0006457GO:0005524GO:0005515</v>
          </cell>
        </row>
        <row r="292">
          <cell r="A292" t="str">
            <v>GRMZM2G171406</v>
          </cell>
          <cell r="B292" t="str">
            <v>GO:0005198</v>
          </cell>
        </row>
        <row r="293">
          <cell r="A293" t="str">
            <v>GRMZM2G155753</v>
          </cell>
          <cell r="B293" t="str">
            <v>GO:0006457</v>
          </cell>
        </row>
        <row r="294">
          <cell r="A294" t="str">
            <v>GRMZM2G171390</v>
          </cell>
          <cell r="B294" t="str">
            <v>GO:0051537GO:0016705GO:0016740GO:0005506GO:0055114GO:0009055</v>
          </cell>
        </row>
        <row r="295">
          <cell r="A295" t="str">
            <v>GRMZM2G163437</v>
          </cell>
          <cell r="B295" t="str">
            <v>GO:0005978GO:0008878</v>
          </cell>
        </row>
        <row r="296">
          <cell r="A296" t="str">
            <v>GRMZM2G165919</v>
          </cell>
          <cell r="B296" t="str">
            <v>GO:0016757</v>
          </cell>
        </row>
        <row r="297">
          <cell r="A297" t="str">
            <v>GRMZM2G171395</v>
          </cell>
          <cell r="B297" t="str">
            <v>GO:0045449GO:0003677</v>
          </cell>
        </row>
        <row r="298">
          <cell r="A298" t="str">
            <v>GRMZM2G107815</v>
          </cell>
          <cell r="B298" t="str">
            <v>GO:0016020GO:0016798</v>
          </cell>
        </row>
        <row r="299">
          <cell r="A299" t="str">
            <v>GRMZM2G152573</v>
          </cell>
          <cell r="B299" t="str">
            <v>GO:0003735GO:0006412GO:0005840</v>
          </cell>
        </row>
        <row r="300">
          <cell r="A300" t="str">
            <v>GRMZM2G066197</v>
          </cell>
          <cell r="B300" t="str">
            <v>GO:0016021GO:0007186</v>
          </cell>
        </row>
        <row r="301">
          <cell r="A301" t="str">
            <v>GRMZM2G106819</v>
          </cell>
          <cell r="B301" t="str">
            <v>GO:0016021GO:0007186</v>
          </cell>
        </row>
        <row r="302">
          <cell r="A302" t="str">
            <v>GRMZM2G116327</v>
          </cell>
          <cell r="B302" t="str">
            <v>GO:0016020</v>
          </cell>
        </row>
        <row r="303">
          <cell r="A303" t="str">
            <v>GRMZM2G164358</v>
          </cell>
          <cell r="B303" t="str">
            <v>GO:0008270GO:0005515</v>
          </cell>
        </row>
        <row r="304">
          <cell r="A304" t="str">
            <v>GRMZM2G383807</v>
          </cell>
          <cell r="B304" t="str">
            <v>GO:0006470GO:0008287GO:0004722</v>
          </cell>
        </row>
        <row r="305">
          <cell r="A305" t="str">
            <v>GRMZM2G083504</v>
          </cell>
          <cell r="B305" t="str">
            <v>GO:0005634GO:0045449GO:0030528</v>
          </cell>
        </row>
        <row r="306">
          <cell r="A306" t="str">
            <v>GRMZM2G145024</v>
          </cell>
          <cell r="B306" t="str">
            <v>GO:0005856GO:0006909</v>
          </cell>
        </row>
        <row r="307">
          <cell r="A307" t="str">
            <v>GRMZM2G145029</v>
          </cell>
          <cell r="B307" t="str">
            <v>GO:0016787GO:0008299GO:0004452</v>
          </cell>
        </row>
        <row r="308">
          <cell r="A308" t="str">
            <v>GRMZM2G316136</v>
          </cell>
          <cell r="B308" t="str">
            <v>GO:0004674GO:0006468GO:0004713GO:0005524GO:0007165</v>
          </cell>
        </row>
        <row r="309">
          <cell r="A309" t="str">
            <v>GRMZM2G106493</v>
          </cell>
          <cell r="B309" t="str">
            <v>GO:0005529</v>
          </cell>
        </row>
        <row r="310">
          <cell r="A310" t="str">
            <v>GRMZM2G031204</v>
          </cell>
          <cell r="B310" t="str">
            <v>GO:0006457</v>
          </cell>
        </row>
        <row r="311">
          <cell r="A311" t="str">
            <v>GRMZM2G107654</v>
          </cell>
          <cell r="B311" t="str">
            <v>GO:0003924GO:0005525</v>
          </cell>
        </row>
        <row r="312">
          <cell r="A312" t="str">
            <v>GRMZM2G157481</v>
          </cell>
          <cell r="B312" t="str">
            <v>GO:0005515GO:0006915GO:0006464GO:0050825GO:0042309GO:0050826</v>
          </cell>
        </row>
        <row r="313">
          <cell r="A313" t="str">
            <v>GRMZM2G028568</v>
          </cell>
          <cell r="B313" t="str">
            <v>GO:0004674GO:0006468GO:0004713GO:0005524</v>
          </cell>
        </row>
        <row r="314">
          <cell r="A314" t="str">
            <v>GRMZM2G048192</v>
          </cell>
          <cell r="B314" t="str">
            <v>GO:0005515</v>
          </cell>
        </row>
        <row r="315">
          <cell r="A315" t="str">
            <v>GRMZM2G330302</v>
          </cell>
          <cell r="B315" t="str">
            <v>GO:0003824GO:0006541</v>
          </cell>
        </row>
        <row r="316">
          <cell r="A316" t="str">
            <v>GRMZM2G005207</v>
          </cell>
          <cell r="B316" t="str">
            <v>GO:0003700GO:0043565GO:0005634GO:0045449</v>
          </cell>
        </row>
        <row r="317">
          <cell r="A317" t="str">
            <v>GRMZM2G165357</v>
          </cell>
          <cell r="B317" t="str">
            <v>GO:0016857GO:0050662GO:0006694GO:0003854GO:0045226GO:0008831</v>
          </cell>
        </row>
        <row r="318">
          <cell r="A318" t="str">
            <v>GRMZM2G008263</v>
          </cell>
          <cell r="B318" t="str">
            <v>GO:0009250GO:0009011</v>
          </cell>
        </row>
        <row r="319">
          <cell r="A319" t="str">
            <v>GRMZM2G055585</v>
          </cell>
          <cell r="B319" t="str">
            <v>GO:0003840</v>
          </cell>
        </row>
        <row r="320">
          <cell r="A320" t="str">
            <v>GRMZM2G152686</v>
          </cell>
          <cell r="B320" t="str">
            <v>GO:0004743GO:0000287GO:0006096GO:0030955</v>
          </cell>
        </row>
        <row r="321">
          <cell r="A321" t="str">
            <v>GRMZM2G106928</v>
          </cell>
          <cell r="B321" t="str">
            <v>GO:0046872GO:0006801</v>
          </cell>
        </row>
        <row r="322">
          <cell r="A322" t="str">
            <v>GRMZM2G165176</v>
          </cell>
          <cell r="B322" t="str">
            <v>GO:0007186GO:0016021GO:0008415GO:0008152GO:0005515</v>
          </cell>
        </row>
        <row r="323">
          <cell r="A323" t="str">
            <v>GRMZM2G027835</v>
          </cell>
          <cell r="B323" t="str">
            <v>GO:0008840GO:0019877</v>
          </cell>
        </row>
        <row r="324">
          <cell r="A324" t="str">
            <v>GRMZM2G106921</v>
          </cell>
          <cell r="B324" t="str">
            <v>GO:0016021</v>
          </cell>
        </row>
        <row r="325">
          <cell r="A325" t="str">
            <v>GRMZM2G039889</v>
          </cell>
          <cell r="B325" t="str">
            <v>GO:0005634GO:0008270GO:0003723</v>
          </cell>
        </row>
        <row r="326">
          <cell r="A326" t="str">
            <v>GRMZM2G087150</v>
          </cell>
          <cell r="B326" t="str">
            <v>GO:0006629GO:0016788</v>
          </cell>
        </row>
        <row r="327">
          <cell r="A327" t="str">
            <v>GRMZM2G013612</v>
          </cell>
          <cell r="B327" t="str">
            <v>GO:0006355GO:0000156GO:0000160</v>
          </cell>
        </row>
        <row r="328">
          <cell r="A328" t="str">
            <v>GRMZM2G010000</v>
          </cell>
          <cell r="B328" t="str">
            <v>GO:0031072</v>
          </cell>
        </row>
        <row r="329">
          <cell r="A329" t="str">
            <v>GRMZM2G135909</v>
          </cell>
          <cell r="B329" t="str">
            <v>GO:0008270GO:0005515</v>
          </cell>
        </row>
        <row r="330">
          <cell r="A330" t="str">
            <v>GRMZM2G414192</v>
          </cell>
          <cell r="B330" t="str">
            <v>GO:0016020GO:0009765</v>
          </cell>
        </row>
        <row r="331">
          <cell r="A331" t="str">
            <v>GRMZM2G055450</v>
          </cell>
          <cell r="B331" t="str">
            <v>GO:0005543</v>
          </cell>
        </row>
        <row r="332">
          <cell r="A332" t="str">
            <v>GRMZM2G012891</v>
          </cell>
          <cell r="B332" t="str">
            <v>GO:0050825GO:0042309GO:0050826</v>
          </cell>
        </row>
        <row r="333">
          <cell r="A333" t="str">
            <v>GRMZM2G055698</v>
          </cell>
          <cell r="B333" t="str">
            <v>GO:0016021</v>
          </cell>
        </row>
        <row r="334">
          <cell r="A334" t="str">
            <v>GRMZM2G055699</v>
          </cell>
          <cell r="B334" t="str">
            <v>GO:0005975GO:0004553</v>
          </cell>
        </row>
        <row r="335">
          <cell r="A335" t="str">
            <v>GRMZM2G023444</v>
          </cell>
          <cell r="B335" t="str">
            <v>GO:0006468GO:0015057GO:0016021GO:0007596GO:0004674GO:0004713GO:0007186GO:0005524</v>
          </cell>
        </row>
        <row r="336">
          <cell r="A336" t="str">
            <v>GRMZM2G076348</v>
          </cell>
          <cell r="B336" t="str">
            <v>GO:0016787</v>
          </cell>
        </row>
        <row r="337">
          <cell r="A337" t="str">
            <v>GRMZM2G414540</v>
          </cell>
          <cell r="B337" t="str">
            <v>GO:0005484GO:0006886GO:0016020GO:0016192</v>
          </cell>
        </row>
        <row r="338">
          <cell r="A338" t="str">
            <v>GRMZM2G016958</v>
          </cell>
          <cell r="B338" t="str">
            <v>GO:0006508GO:0046983GO:0008237</v>
          </cell>
        </row>
        <row r="339">
          <cell r="A339" t="str">
            <v>GRMZM2G078033</v>
          </cell>
          <cell r="B339" t="str">
            <v>GO:0016491GO:0009055</v>
          </cell>
        </row>
        <row r="340">
          <cell r="A340" t="str">
            <v>GRMZM2G009804</v>
          </cell>
          <cell r="B340" t="str">
            <v>GO:0045454GO:0015035GO:0009055</v>
          </cell>
        </row>
        <row r="341">
          <cell r="A341" t="str">
            <v>GRMZM2G428242</v>
          </cell>
          <cell r="B341" t="str">
            <v>GO:0003677GO:0009405GO:0005524GO:0004386</v>
          </cell>
        </row>
        <row r="342">
          <cell r="A342" t="str">
            <v>GRMZM2G005155</v>
          </cell>
          <cell r="B342" t="str">
            <v>GO:0003700GO:0006355GO:0005634GO:0043565</v>
          </cell>
        </row>
        <row r="343">
          <cell r="A343" t="str">
            <v>AC208221.3_FG002</v>
          </cell>
          <cell r="B343" t="str">
            <v>GO:0005576GO:0004867</v>
          </cell>
        </row>
        <row r="344">
          <cell r="A344" t="str">
            <v>GRMZM2G308203</v>
          </cell>
          <cell r="B344" t="str">
            <v>GO:0015057GO:0016021GO:0007596GO:0007186</v>
          </cell>
        </row>
        <row r="345">
          <cell r="A345" t="str">
            <v>GRMZM2G319109</v>
          </cell>
          <cell r="B345" t="str">
            <v>GO:0003924GO:0005525GO:0004789GO:0009228GO:0005622</v>
          </cell>
        </row>
        <row r="346">
          <cell r="A346" t="str">
            <v>GRMZM2G159632</v>
          </cell>
          <cell r="B346" t="str">
            <v>GO:0016021GO:0008271GO:0008272</v>
          </cell>
        </row>
        <row r="347">
          <cell r="A347" t="str">
            <v>GRMZM2G155242</v>
          </cell>
          <cell r="B347" t="str">
            <v>GO:0004512GO:0006021GO:0005488GO:0008654</v>
          </cell>
        </row>
        <row r="348">
          <cell r="A348" t="str">
            <v>AC233910.1_FG003</v>
          </cell>
          <cell r="B348" t="str">
            <v>GO:0003735GO:0006412GO:0006464GO:0005840</v>
          </cell>
        </row>
        <row r="349">
          <cell r="A349" t="str">
            <v>GRMZM2G382413</v>
          </cell>
          <cell r="B349" t="str">
            <v>GO:0032313GO:0005097GO:0005622</v>
          </cell>
        </row>
        <row r="350">
          <cell r="A350" t="str">
            <v>GRMZM2G346133</v>
          </cell>
          <cell r="B350" t="str">
            <v>GO:0007017GO:0005875GO:0003777</v>
          </cell>
        </row>
        <row r="351">
          <cell r="A351" t="str">
            <v>GRMZM2G100412</v>
          </cell>
          <cell r="B351" t="str">
            <v>GO:0004497GO:0020037GO:0009055</v>
          </cell>
        </row>
        <row r="352">
          <cell r="A352" t="str">
            <v>GRMZM2G099352</v>
          </cell>
          <cell r="B352" t="str">
            <v>GO:0003735GO:0015935GO:0006412GO:0003723</v>
          </cell>
        </row>
        <row r="353">
          <cell r="A353" t="str">
            <v>GRMZM2G105644</v>
          </cell>
          <cell r="B353" t="str">
            <v>GO:0004497GO:0045550GO:0015995GO:0015979</v>
          </cell>
        </row>
        <row r="354">
          <cell r="A354" t="str">
            <v>GRMZM2G436199</v>
          </cell>
          <cell r="B354" t="str">
            <v>GO:0006662GO:0015035GO:0045454GO:0009055</v>
          </cell>
        </row>
        <row r="355">
          <cell r="A355" t="str">
            <v>GRMZM2G146913</v>
          </cell>
          <cell r="B355" t="str">
            <v>GO:0005737GO:0004364GO:0008152</v>
          </cell>
        </row>
        <row r="356">
          <cell r="A356" t="str">
            <v>GRMZM2G002131</v>
          </cell>
          <cell r="B356" t="str">
            <v>GO:0003700GO:0006355GO:0005634GO:0043565</v>
          </cell>
        </row>
        <row r="357">
          <cell r="A357" t="str">
            <v>GRMZM2G068151</v>
          </cell>
          <cell r="B357" t="str">
            <v>GO:0004674GO:0006468GO:0004713GO:0005524</v>
          </cell>
        </row>
        <row r="358">
          <cell r="A358" t="str">
            <v>GRMZM2G061537</v>
          </cell>
          <cell r="B358" t="str">
            <v>GO:0004674GO:0006468GO:0004713GO:0005524</v>
          </cell>
        </row>
        <row r="359">
          <cell r="A359" t="str">
            <v>GRMZM2G323622</v>
          </cell>
          <cell r="B359" t="str">
            <v>GO:0007018GO:0003777GO:0005524GO:0005875</v>
          </cell>
        </row>
        <row r="360">
          <cell r="A360" t="str">
            <v>GRMZM2G065829</v>
          </cell>
          <cell r="B360" t="str">
            <v>GO:0008270GO:0003677</v>
          </cell>
        </row>
        <row r="361">
          <cell r="A361" t="str">
            <v>GRMZM2G142345</v>
          </cell>
          <cell r="B361" t="str">
            <v>GO:0008270GO:0005515</v>
          </cell>
        </row>
        <row r="362">
          <cell r="A362" t="str">
            <v>GRMZM2G176253</v>
          </cell>
          <cell r="B362" t="str">
            <v>GO:0006857GO:0005215GO:0016020</v>
          </cell>
        </row>
        <row r="363">
          <cell r="A363" t="str">
            <v>GRMZM2G326270</v>
          </cell>
          <cell r="B363" t="str">
            <v>GO:0008967GO:0008152</v>
          </cell>
        </row>
        <row r="364">
          <cell r="A364" t="str">
            <v>GRMZM2G124644</v>
          </cell>
          <cell r="B364" t="str">
            <v>GO:0031072</v>
          </cell>
        </row>
        <row r="365">
          <cell r="A365" t="str">
            <v>GRMZM2G147268</v>
          </cell>
          <cell r="B365" t="str">
            <v>GO:0016829GO:0009058GO:0006520GO:0016769GO:0030170</v>
          </cell>
        </row>
        <row r="366">
          <cell r="A366" t="str">
            <v>GRMZM2G161696</v>
          </cell>
          <cell r="B366" t="str">
            <v>GO:0006508GO:0004185</v>
          </cell>
        </row>
        <row r="367">
          <cell r="A367" t="str">
            <v>GRMZM2G148064</v>
          </cell>
          <cell r="B367" t="str">
            <v>GO:0005615</v>
          </cell>
        </row>
        <row r="368">
          <cell r="A368" t="str">
            <v>AC191575.2_FG001</v>
          </cell>
          <cell r="B368" t="str">
            <v>GO:0006508GO:0004190</v>
          </cell>
        </row>
        <row r="369">
          <cell r="A369" t="str">
            <v>GRMZM2G109056</v>
          </cell>
          <cell r="B369" t="str">
            <v>GO:0005506GO:0016165GO:0009055</v>
          </cell>
        </row>
        <row r="370">
          <cell r="A370" t="str">
            <v>GRMZM2G105466</v>
          </cell>
          <cell r="B370" t="str">
            <v>GO:0003935GO:0008686GO:0009231</v>
          </cell>
        </row>
        <row r="371">
          <cell r="A371" t="str">
            <v>GRMZM2G392101</v>
          </cell>
          <cell r="B371" t="str">
            <v>GO:0006355GO:0000156GO:0000160</v>
          </cell>
        </row>
        <row r="372">
          <cell r="A372" t="str">
            <v>GRMZM2G346861</v>
          </cell>
          <cell r="B372" t="str">
            <v>GO:0004252GO:0005634GO:0006355GO:0003677GO:0006508GO:0004879</v>
          </cell>
        </row>
        <row r="373">
          <cell r="A373" t="str">
            <v>GRMZM2G086066</v>
          </cell>
          <cell r="B373" t="str">
            <v>GO:0046872GO:0030001</v>
          </cell>
        </row>
        <row r="374">
          <cell r="A374" t="str">
            <v>GRMZM2G058404</v>
          </cell>
          <cell r="B374" t="str">
            <v>GO:0008299</v>
          </cell>
        </row>
        <row r="375">
          <cell r="A375" t="str">
            <v>GRMZM2G079256</v>
          </cell>
          <cell r="B375" t="str">
            <v>GO:0005488GO:0008152GO:0016491</v>
          </cell>
        </row>
        <row r="376">
          <cell r="A376" t="str">
            <v>GRMZM2G086841</v>
          </cell>
          <cell r="B376" t="str">
            <v>GO:0031072GO:0006334GO:0003677GO:0005634GO:0000786</v>
          </cell>
        </row>
        <row r="377">
          <cell r="A377" t="str">
            <v>GRMZM2G005834</v>
          </cell>
          <cell r="B377" t="str">
            <v>GO:0008270</v>
          </cell>
        </row>
        <row r="378">
          <cell r="A378" t="str">
            <v>GRMZM2G072865</v>
          </cell>
          <cell r="B378" t="str">
            <v>GO:0004222GO:0016021GO:0008270GO:0016887GO:0006508GO:0005524</v>
          </cell>
        </row>
        <row r="379">
          <cell r="A379" t="str">
            <v>GRMZM2G074053</v>
          </cell>
          <cell r="B379" t="str">
            <v>GO:0016020GO:0006865GO:0031177</v>
          </cell>
        </row>
        <row r="380">
          <cell r="A380" t="str">
            <v>GRMZM2G015285</v>
          </cell>
          <cell r="B380" t="str">
            <v>GO:0005215GO:0006810GO:0005488GO:0005198</v>
          </cell>
        </row>
        <row r="381">
          <cell r="A381" t="str">
            <v>GRMZM2G099036</v>
          </cell>
          <cell r="B381" t="str">
            <v>GO:0015629GO:0005198GO:0006265GO:0050825GO:0042309GO:0050826GO:0007155GO:0005694GO:0003918GO:0005524</v>
          </cell>
        </row>
        <row r="382">
          <cell r="A382" t="str">
            <v>GRMZM2G136042</v>
          </cell>
          <cell r="B382" t="str">
            <v>GO:0004601GO:0006979GO:0020037GO:0009055</v>
          </cell>
        </row>
        <row r="383">
          <cell r="A383" t="str">
            <v>GRMZM2G027120</v>
          </cell>
          <cell r="B383" t="str">
            <v>GO:0008270GO:0005515</v>
          </cell>
        </row>
        <row r="384">
          <cell r="A384" t="str">
            <v>GRMZM2G044092</v>
          </cell>
          <cell r="B384" t="str">
            <v>GO:0005975GO:0004553</v>
          </cell>
        </row>
        <row r="385">
          <cell r="A385" t="str">
            <v>GRMZM2G323024</v>
          </cell>
          <cell r="B385" t="str">
            <v>GO:0015995GO:0016851</v>
          </cell>
        </row>
        <row r="386">
          <cell r="A386" t="str">
            <v>GRMZM2G062531</v>
          </cell>
          <cell r="B386" t="str">
            <v>GO:0006633GO:0005506GO:0005783GO:0055114GO:0016491</v>
          </cell>
        </row>
        <row r="387">
          <cell r="A387" t="str">
            <v>GRMZM2G029243</v>
          </cell>
          <cell r="B387" t="str">
            <v>GO:0005975GO:0004553</v>
          </cell>
        </row>
        <row r="388">
          <cell r="A388" t="str">
            <v>GRMZM2G093900</v>
          </cell>
          <cell r="B388" t="str">
            <v>GO:0008483GO:0030170</v>
          </cell>
        </row>
        <row r="389">
          <cell r="A389" t="str">
            <v>GRMZM2G102915</v>
          </cell>
          <cell r="B389" t="str">
            <v>GO:0004811GO:0008033GO:0005524</v>
          </cell>
        </row>
        <row r="390">
          <cell r="A390" t="str">
            <v>GRMZM2G328500</v>
          </cell>
          <cell r="B390" t="str">
            <v>GO:0051287GO:0016616GO:0008152</v>
          </cell>
        </row>
        <row r="391">
          <cell r="A391" t="str">
            <v>GRMZM2G148200</v>
          </cell>
          <cell r="B391" t="str">
            <v>GO:0016020GO:0015992GO:0009678GO:0004427</v>
          </cell>
        </row>
        <row r="392">
          <cell r="A392" t="str">
            <v>GRMZM2G102838</v>
          </cell>
          <cell r="B392" t="str">
            <v>GO:0015629GO:0016021GO:0005199GO:0004969GO:0007155GO:0007186</v>
          </cell>
        </row>
        <row r="393">
          <cell r="A393" t="str">
            <v>GRMZM2G113033</v>
          </cell>
          <cell r="B393" t="str">
            <v>GO:0015977GO:0016984</v>
          </cell>
        </row>
        <row r="394">
          <cell r="A394" t="str">
            <v>GRMZM2G147882</v>
          </cell>
          <cell r="B394" t="str">
            <v>GO:0005506GO:0016491</v>
          </cell>
        </row>
        <row r="395">
          <cell r="A395" t="str">
            <v>GRMZM2G105266</v>
          </cell>
          <cell r="B395" t="str">
            <v>GO:0003700GO:0006355</v>
          </cell>
        </row>
        <row r="396">
          <cell r="A396" t="str">
            <v>GRMZM2G103546</v>
          </cell>
          <cell r="B396" t="str">
            <v>GO:0004030GO:0006081</v>
          </cell>
        </row>
        <row r="397">
          <cell r="A397" t="str">
            <v>GRMZM2G058531</v>
          </cell>
          <cell r="B397" t="str">
            <v>GO:0009416GO:0005515GO:0004871</v>
          </cell>
        </row>
        <row r="398">
          <cell r="A398" t="str">
            <v>GRMZM2G475948</v>
          </cell>
          <cell r="B398" t="str">
            <v>GO:0004674GO:0006468GO:0005529GO:0004713GO:0005524</v>
          </cell>
        </row>
        <row r="399">
          <cell r="A399" t="str">
            <v>GRMZM2G047365</v>
          </cell>
          <cell r="B399" t="str">
            <v>GO:0003824GO:0016020</v>
          </cell>
        </row>
        <row r="400">
          <cell r="A400" t="str">
            <v>GRMZM2G023847</v>
          </cell>
          <cell r="B400" t="str">
            <v>GO:0005507GO:0009055</v>
          </cell>
        </row>
        <row r="401">
          <cell r="A401" t="str">
            <v>GRMZM2G337706</v>
          </cell>
          <cell r="B401" t="str">
            <v>GO:0045454GO:0015035GO:0009055</v>
          </cell>
        </row>
        <row r="402">
          <cell r="A402" t="str">
            <v>GRMZM2G156227</v>
          </cell>
          <cell r="B402" t="str">
            <v>GO:0006979GO:0020037GO:0004601</v>
          </cell>
        </row>
        <row r="403">
          <cell r="A403" t="str">
            <v>GRMZM2G164020</v>
          </cell>
          <cell r="B403" t="str">
            <v>GO:0005840GO:0006334GO:0003677GO:0005199GO:0006412GO:0003735GO:0000786GO:0005634</v>
          </cell>
        </row>
        <row r="404">
          <cell r="A404" t="str">
            <v>GRMZM2G166459</v>
          </cell>
          <cell r="B404" t="str">
            <v>GO:0015297GO:0016020GO:0006855GO:0015238GO:0003824GO:0006835GO:0005488GO:0008152GO:0017153</v>
          </cell>
        </row>
        <row r="405">
          <cell r="A405" t="str">
            <v>GRMZM2G180724</v>
          </cell>
          <cell r="B405" t="str">
            <v>GO:0003735GO:0006412GO:0005840</v>
          </cell>
        </row>
        <row r="406">
          <cell r="A406" t="str">
            <v>GRMZM2G166452</v>
          </cell>
          <cell r="B406" t="str">
            <v>GO:0051260GO:0016020GO:0050825GO:0042309GO:0050826</v>
          </cell>
        </row>
        <row r="407">
          <cell r="A407" t="str">
            <v>GRMZM2G040397</v>
          </cell>
          <cell r="B407" t="str">
            <v>GO:0050662GO:0003978GO:0006012GO:0006694GO:0003854GO:0045226GO:0008831</v>
          </cell>
        </row>
        <row r="408">
          <cell r="A408" t="str">
            <v>GRMZM2G056598</v>
          </cell>
          <cell r="B408" t="str">
            <v>GO:0003677</v>
          </cell>
        </row>
        <row r="409">
          <cell r="A409" t="str">
            <v>GRMZM2G153582</v>
          </cell>
          <cell r="B409" t="str">
            <v>GO:0004518GO:0003677GO:0006289</v>
          </cell>
        </row>
        <row r="410">
          <cell r="A410" t="str">
            <v>GRMZM2G057247</v>
          </cell>
          <cell r="B410" t="str">
            <v>GO:0003735GO:0005840GO:0007160GO:0016021GO:0030036GO:0003779GO:0050825GO:0042309GO:0050826GO:0004969GO:0007186GO:0006412GO:0015629</v>
          </cell>
        </row>
        <row r="411">
          <cell r="A411" t="str">
            <v>GRMZM2G148441</v>
          </cell>
          <cell r="B411" t="str">
            <v>GO:0004497GO:0020037GO:0009055</v>
          </cell>
        </row>
        <row r="412">
          <cell r="A412" t="str">
            <v>GRMZM2G060349</v>
          </cell>
          <cell r="B412" t="str">
            <v>GO:0045005GO:0016192GO:0006886GO:0006298GO:0030983GO:0005515GO:0030131GO:0003684GO:0005524</v>
          </cell>
        </row>
        <row r="413">
          <cell r="A413" t="str">
            <v>GRMZM2G132847</v>
          </cell>
          <cell r="B413" t="str">
            <v>GO:0016787GO:0008270</v>
          </cell>
        </row>
        <row r="414">
          <cell r="A414" t="str">
            <v>GRMZM2G020081</v>
          </cell>
          <cell r="B414" t="str">
            <v>GO:0006355GO:0000156GO:0000160</v>
          </cell>
        </row>
        <row r="415">
          <cell r="A415" t="str">
            <v>GRMZM2G401147</v>
          </cell>
          <cell r="B415" t="str">
            <v>GO:0006334GO:0003677GO:0005634GO:0000786</v>
          </cell>
        </row>
        <row r="416">
          <cell r="A416" t="str">
            <v>GRMZM2G053722</v>
          </cell>
          <cell r="B416" t="str">
            <v>GO:0008287GO:0006470GO:0004722GO:0005952GO:0001932GO:0008603</v>
          </cell>
        </row>
        <row r="417">
          <cell r="A417" t="str">
            <v>GRMZM2G053720</v>
          </cell>
          <cell r="B417" t="str">
            <v>GO:0004657GO:0006537GO:0006562</v>
          </cell>
        </row>
        <row r="418">
          <cell r="A418" t="str">
            <v>GRMZM2G371063</v>
          </cell>
          <cell r="B418" t="str">
            <v>GO:0045454GO:0015035GO:0009055</v>
          </cell>
        </row>
        <row r="419">
          <cell r="A419" t="str">
            <v>GRMZM2G431288</v>
          </cell>
          <cell r="B419" t="str">
            <v>GO:0004497GO:0020037GO:0009055</v>
          </cell>
        </row>
        <row r="420">
          <cell r="A420" t="str">
            <v>GRMZM2G162359</v>
          </cell>
          <cell r="B420" t="str">
            <v>GO:0005975GO:0004553</v>
          </cell>
        </row>
        <row r="421">
          <cell r="A421" t="str">
            <v>GRMZM2G046163</v>
          </cell>
          <cell r="B421" t="str">
            <v>GO:0004834GO:0006568</v>
          </cell>
        </row>
        <row r="422">
          <cell r="A422" t="str">
            <v>GRMZM2G109431</v>
          </cell>
          <cell r="B422" t="str">
            <v>GO:0016757</v>
          </cell>
        </row>
        <row r="423">
          <cell r="A423" t="str">
            <v>GRMZM2G177720</v>
          </cell>
          <cell r="B423" t="str">
            <v>GO:0003735GO:0006412GO:0005840</v>
          </cell>
        </row>
        <row r="424">
          <cell r="A424" t="str">
            <v>GRMZM2G118316</v>
          </cell>
          <cell r="B424" t="str">
            <v>GO:0006457GO:0031072GO:0051082GO:0050825GO:0042309GO:0050826</v>
          </cell>
        </row>
        <row r="425">
          <cell r="A425" t="str">
            <v>GRMZM2G320549</v>
          </cell>
          <cell r="B425" t="str">
            <v>GO:0003700GO:0006355GO:0005634GO:0043565</v>
          </cell>
        </row>
        <row r="426">
          <cell r="A426" t="str">
            <v>GRMZM2G118312</v>
          </cell>
          <cell r="B426" t="str">
            <v>GO:0008107GO:0016020GO:0042546</v>
          </cell>
        </row>
        <row r="427">
          <cell r="A427" t="str">
            <v>GRMZM2G158013</v>
          </cell>
          <cell r="B427" t="str">
            <v>GO:0016021GO:0008271GO:0008272</v>
          </cell>
        </row>
        <row r="428">
          <cell r="A428" t="str">
            <v>GRMZM2G406643</v>
          </cell>
          <cell r="B428" t="str">
            <v>GO:0003735GO:0006412GO:0006464GO:0005840</v>
          </cell>
        </row>
        <row r="429">
          <cell r="A429" t="str">
            <v>GRMZM2G116135</v>
          </cell>
          <cell r="B429" t="str">
            <v>GO:0005840GO:0006334GO:0003677GO:0003735GO:0000786GO:0006412</v>
          </cell>
        </row>
        <row r="430">
          <cell r="A430" t="str">
            <v>GRMZM2G308687</v>
          </cell>
          <cell r="B430" t="str">
            <v>GO:0005737GO:0004364GO:0008152</v>
          </cell>
        </row>
        <row r="431">
          <cell r="A431" t="str">
            <v>GRMZM2G014558</v>
          </cell>
          <cell r="B431" t="str">
            <v>GO:0030244GO:0016020GO:0016760GO:0016491</v>
          </cell>
        </row>
        <row r="432">
          <cell r="A432" t="str">
            <v>GRMZM2G050364</v>
          </cell>
          <cell r="B432" t="str">
            <v>GO:0006508GO:0004190</v>
          </cell>
        </row>
        <row r="433">
          <cell r="A433" t="str">
            <v>GRMZM2G135108</v>
          </cell>
          <cell r="B433" t="str">
            <v>GO:0004601GO:0006979GO:0020037GO:0009055</v>
          </cell>
        </row>
        <row r="434">
          <cell r="A434" t="str">
            <v>GRMZM2G080516</v>
          </cell>
          <cell r="B434" t="str">
            <v>GO:0003700GO:0006355</v>
          </cell>
        </row>
        <row r="435">
          <cell r="A435" t="str">
            <v>GRMZM2G422750</v>
          </cell>
          <cell r="B435" t="str">
            <v>GO:0003824GO:0008152</v>
          </cell>
        </row>
        <row r="436">
          <cell r="A436" t="str">
            <v>AC152495.1_FG002</v>
          </cell>
          <cell r="B436" t="str">
            <v>GO:0006915GO:0005515GO:0005524</v>
          </cell>
        </row>
        <row r="437">
          <cell r="A437" t="str">
            <v>GRMZM2G080519</v>
          </cell>
          <cell r="B437" t="str">
            <v>GO:0050825GO:0042309GO:0050826</v>
          </cell>
        </row>
        <row r="438">
          <cell r="A438" t="str">
            <v>GRMZM2G074517</v>
          </cell>
          <cell r="B438" t="str">
            <v>GO:0006629GO:0016788</v>
          </cell>
        </row>
        <row r="439">
          <cell r="A439" t="str">
            <v>GRMZM2G473533</v>
          </cell>
          <cell r="B439" t="str">
            <v>GO:0016020</v>
          </cell>
        </row>
        <row r="440">
          <cell r="A440" t="str">
            <v>GRMZM2G102230</v>
          </cell>
          <cell r="B440" t="str">
            <v>GO:0003735GO:0006412GO:0005840</v>
          </cell>
        </row>
        <row r="441">
          <cell r="A441" t="str">
            <v>GRMZM2G122302</v>
          </cell>
          <cell r="B441" t="str">
            <v>GO:0005507GO:0009055</v>
          </cell>
        </row>
        <row r="442">
          <cell r="A442" t="str">
            <v>GRMZM2G149480</v>
          </cell>
          <cell r="B442" t="str">
            <v>GO:0005743GO:0006810GO:0005488GO:0005215</v>
          </cell>
        </row>
        <row r="443">
          <cell r="A443" t="str">
            <v>GRMZM2G178829</v>
          </cell>
          <cell r="B443" t="str">
            <v>GO:0005488</v>
          </cell>
        </row>
        <row r="444">
          <cell r="A444" t="str">
            <v>GRMZM2G109720</v>
          </cell>
          <cell r="B444" t="str">
            <v>GO:0016787</v>
          </cell>
        </row>
        <row r="445">
          <cell r="A445" t="str">
            <v>GRMZM2G046011</v>
          </cell>
          <cell r="B445" t="str">
            <v>GO:0003735GO:0006412GO:0005840</v>
          </cell>
        </row>
        <row r="446">
          <cell r="A446" t="str">
            <v>GRMZM2G177340</v>
          </cell>
          <cell r="B446" t="str">
            <v>GO:0005634GO:0003676</v>
          </cell>
        </row>
        <row r="447">
          <cell r="A447" t="str">
            <v>GRMZM2G329047</v>
          </cell>
          <cell r="B447" t="str">
            <v>GO:0009522GO:0015979</v>
          </cell>
        </row>
        <row r="448">
          <cell r="A448" t="str">
            <v>GRMZM2G164562</v>
          </cell>
          <cell r="B448" t="str">
            <v>GO:0004107GO:0009073</v>
          </cell>
        </row>
        <row r="449">
          <cell r="A449" t="str">
            <v>GRMZM2G069765</v>
          </cell>
          <cell r="B449" t="str">
            <v>GO:0006457GO:0051082GO:0005524</v>
          </cell>
        </row>
        <row r="450">
          <cell r="A450" t="str">
            <v>GRMZM2G351977</v>
          </cell>
          <cell r="B450" t="str">
            <v>GO:0016020GO:0009765</v>
          </cell>
        </row>
        <row r="451">
          <cell r="A451" t="str">
            <v>GRMZM2G116554</v>
          </cell>
          <cell r="B451" t="str">
            <v>GO:0006865GO:0016020GO:0015171</v>
          </cell>
        </row>
        <row r="452">
          <cell r="A452" t="str">
            <v>GRMZM2G083427</v>
          </cell>
          <cell r="B452" t="str">
            <v>GO:0016021</v>
          </cell>
        </row>
        <row r="453">
          <cell r="A453" t="str">
            <v>GRMZM2G112072</v>
          </cell>
          <cell r="B453" t="str">
            <v>GO:0007067</v>
          </cell>
        </row>
        <row r="454">
          <cell r="A454" t="str">
            <v>GRMZM2G177812</v>
          </cell>
          <cell r="B454" t="str">
            <v>GO:0016887GO:0005328GO:0005524GO:0005887GO:0006836</v>
          </cell>
        </row>
        <row r="455">
          <cell r="A455" t="str">
            <v>GRMZM2G038922</v>
          </cell>
          <cell r="B455" t="str">
            <v>GO:0003824GO:0009107GO:0006464</v>
          </cell>
        </row>
        <row r="456">
          <cell r="A456" t="str">
            <v>GRMZM2G456997</v>
          </cell>
          <cell r="B456" t="str">
            <v>GO:0005576</v>
          </cell>
        </row>
        <row r="457">
          <cell r="A457" t="str">
            <v>GRMZM2G145107</v>
          </cell>
          <cell r="B457" t="str">
            <v>GO:0008515GO:0015770GO:0005887</v>
          </cell>
        </row>
        <row r="458">
          <cell r="A458" t="str">
            <v>GRMZM2G038928</v>
          </cell>
          <cell r="B458" t="str">
            <v>GO:0006835GO:0016020GO:0017153GO:0004190GO:0006508</v>
          </cell>
        </row>
        <row r="459">
          <cell r="A459" t="str">
            <v>GRMZM2G392863</v>
          </cell>
          <cell r="B459" t="str">
            <v>GO:0006952</v>
          </cell>
        </row>
        <row r="460">
          <cell r="A460" t="str">
            <v>GRMZM2G052422</v>
          </cell>
          <cell r="B460" t="str">
            <v>GO:0016491</v>
          </cell>
        </row>
        <row r="461">
          <cell r="A461" t="str">
            <v>GRMZM2G128206</v>
          </cell>
          <cell r="B461" t="str">
            <v>GO:0008270</v>
          </cell>
        </row>
        <row r="462">
          <cell r="A462" t="str">
            <v>GRMZM2G026807</v>
          </cell>
          <cell r="B462" t="str">
            <v>GO:0004750GO:0005975</v>
          </cell>
        </row>
        <row r="463">
          <cell r="A463" t="str">
            <v>GRMZM2G346455</v>
          </cell>
          <cell r="B463" t="str">
            <v>GO:0005975GO:0004553</v>
          </cell>
        </row>
        <row r="464">
          <cell r="A464" t="str">
            <v>GRMZM2G081915</v>
          </cell>
          <cell r="B464" t="str">
            <v>GO:0004674GO:0006468GO:0004713GO:0005524</v>
          </cell>
        </row>
        <row r="465">
          <cell r="A465" t="str">
            <v>GRMZM2G081910</v>
          </cell>
          <cell r="B465" t="str">
            <v>GO:0031072GO:0006457GO:0051082</v>
          </cell>
        </row>
        <row r="466">
          <cell r="A466" t="str">
            <v>GRMZM2G031278</v>
          </cell>
          <cell r="B466" t="str">
            <v>GO:0050825GO:0042309GO:0050826</v>
          </cell>
        </row>
        <row r="467">
          <cell r="A467" t="str">
            <v>GRMZM2G063617</v>
          </cell>
          <cell r="B467" t="str">
            <v>GO:0003735GO:0006412GO:0005840</v>
          </cell>
        </row>
        <row r="468">
          <cell r="A468" t="str">
            <v>GRMZM2G349709</v>
          </cell>
          <cell r="B468" t="str">
            <v>GO:0004497GO:0008152</v>
          </cell>
        </row>
        <row r="469">
          <cell r="A469" t="str">
            <v>GRMZM2G438438</v>
          </cell>
          <cell r="B469" t="str">
            <v>GO:0005634GO:0003677GO:0006355GO:0050825GO:0042309GO:0050826GO:0004879</v>
          </cell>
        </row>
        <row r="470">
          <cell r="A470" t="str">
            <v>GRMZM2G131961</v>
          </cell>
          <cell r="B470" t="str">
            <v>GO:0003700GO:0006355GO:0046983GO:0005634GO:0043565</v>
          </cell>
        </row>
        <row r="471">
          <cell r="A471" t="str">
            <v>GRMZM2G069687</v>
          </cell>
          <cell r="B471" t="str">
            <v>GO:0031177</v>
          </cell>
        </row>
        <row r="472">
          <cell r="A472" t="str">
            <v>GRMZM2G090213</v>
          </cell>
          <cell r="B472" t="str">
            <v>GO:0006334GO:0003677GO:0003713GO:0006355GO:0000786GO:0005634</v>
          </cell>
        </row>
        <row r="473">
          <cell r="A473" t="str">
            <v>GRMZM2G110412</v>
          </cell>
          <cell r="B473" t="str">
            <v>GO:0004674GO:0006468GO:0004713GO:0005524</v>
          </cell>
        </row>
        <row r="474">
          <cell r="A474" t="str">
            <v>GRMZM2G069762</v>
          </cell>
          <cell r="B474" t="str">
            <v>GO:0003735GO:0006412GO:0005840</v>
          </cell>
        </row>
        <row r="475">
          <cell r="A475" t="str">
            <v>GRMZM2G015605</v>
          </cell>
          <cell r="B475" t="str">
            <v>GO:0016021</v>
          </cell>
        </row>
        <row r="476">
          <cell r="A476" t="str">
            <v>GRMZM2G088060</v>
          </cell>
          <cell r="B476" t="str">
            <v>GO:0003735GO:0006412GO:0005840</v>
          </cell>
        </row>
        <row r="477">
          <cell r="A477" t="str">
            <v>GRMZM2G088064</v>
          </cell>
          <cell r="B477" t="str">
            <v>GO:0016847GO:0009058GO:0030170GO:0016769</v>
          </cell>
        </row>
        <row r="478">
          <cell r="A478" t="str">
            <v>GRMZM2G141026</v>
          </cell>
          <cell r="B478" t="str">
            <v>GO:0046983GO:0008171</v>
          </cell>
        </row>
        <row r="479">
          <cell r="A479" t="str">
            <v>GRMZM2G023239</v>
          </cell>
          <cell r="B479" t="str">
            <v>GO:0004221GO:0006511GO:0008270GO:0004867</v>
          </cell>
        </row>
        <row r="480">
          <cell r="A480" t="str">
            <v>GRMZM2G333833</v>
          </cell>
          <cell r="B480" t="str">
            <v>GO:0005247GO:0006821GO:0016020</v>
          </cell>
        </row>
        <row r="481">
          <cell r="A481" t="str">
            <v>GRMZM2G023237</v>
          </cell>
          <cell r="B481" t="str">
            <v>GO:0045454GO:0015035GO:0009055</v>
          </cell>
        </row>
        <row r="482">
          <cell r="A482" t="str">
            <v>GRMZM2G004696</v>
          </cell>
          <cell r="B482" t="str">
            <v>GO:0005634GO:0045449</v>
          </cell>
        </row>
        <row r="483">
          <cell r="A483" t="str">
            <v>GRMZM2G005233</v>
          </cell>
          <cell r="B483" t="str">
            <v>GO:0016787</v>
          </cell>
        </row>
        <row r="484">
          <cell r="A484" t="str">
            <v>GRMZM2G175082</v>
          </cell>
          <cell r="B484" t="str">
            <v>GO:0016747</v>
          </cell>
        </row>
        <row r="485">
          <cell r="A485" t="str">
            <v>GRMZM2G127857</v>
          </cell>
          <cell r="B485" t="str">
            <v>GO:0003677</v>
          </cell>
        </row>
        <row r="486">
          <cell r="A486" t="str">
            <v>GRMZM2G069542</v>
          </cell>
          <cell r="B486" t="str">
            <v>GO:0006099GO:0008964</v>
          </cell>
        </row>
        <row r="487">
          <cell r="A487" t="str">
            <v>GRMZM2G004548</v>
          </cell>
          <cell r="B487" t="str">
            <v>GO:0008270GO:0005622</v>
          </cell>
        </row>
        <row r="488">
          <cell r="A488" t="str">
            <v>GRMZM2G049418</v>
          </cell>
          <cell r="B488" t="str">
            <v>GO:0005506GO:0016491</v>
          </cell>
        </row>
        <row r="489">
          <cell r="A489" t="str">
            <v>GRMZM2G108847</v>
          </cell>
          <cell r="B489" t="str">
            <v>GO:0004867</v>
          </cell>
        </row>
        <row r="490">
          <cell r="A490" t="str">
            <v>GRMZM2G099295</v>
          </cell>
          <cell r="B490" t="str">
            <v>GO:0005515</v>
          </cell>
        </row>
        <row r="491">
          <cell r="A491" t="str">
            <v>GRMZM2G099297</v>
          </cell>
          <cell r="B491" t="str">
            <v>GO:0008171</v>
          </cell>
        </row>
        <row r="492">
          <cell r="A492" t="str">
            <v>GRMZM2G106931</v>
          </cell>
          <cell r="B492" t="str">
            <v>GO:0003824GO:0015969</v>
          </cell>
        </row>
        <row r="493">
          <cell r="A493" t="str">
            <v>GRMZM2G055467</v>
          </cell>
          <cell r="B493" t="str">
            <v>GO:0016844GO:0009058</v>
          </cell>
        </row>
        <row r="494">
          <cell r="A494" t="str">
            <v>GRMZM2G049229</v>
          </cell>
          <cell r="B494" t="str">
            <v>GO:0005634GO:0045449GO:0030528</v>
          </cell>
        </row>
        <row r="495">
          <cell r="A495" t="str">
            <v>GRMZM2G073079</v>
          </cell>
          <cell r="B495" t="str">
            <v>GO:0016787</v>
          </cell>
        </row>
        <row r="496">
          <cell r="A496" t="str">
            <v>GRMZM2G138770</v>
          </cell>
          <cell r="B496" t="str">
            <v>GO:0017111GO:0005524</v>
          </cell>
        </row>
        <row r="497">
          <cell r="A497" t="str">
            <v>GRMZM2G088669</v>
          </cell>
          <cell r="B497" t="str">
            <v>GO:0046872GO:0030001</v>
          </cell>
        </row>
        <row r="498">
          <cell r="A498" t="str">
            <v>GRMZM2G045714</v>
          </cell>
          <cell r="B498" t="str">
            <v>GO:0006629</v>
          </cell>
        </row>
        <row r="499">
          <cell r="A499" t="str">
            <v>GRMZM2G055667</v>
          </cell>
          <cell r="B499" t="str">
            <v>GO:0005737GO:0006633GO:0016836</v>
          </cell>
        </row>
        <row r="500">
          <cell r="A500" t="str">
            <v>GRMZM2G009479</v>
          </cell>
          <cell r="B500" t="str">
            <v>GO:0005506GO:0016165GO:0009055</v>
          </cell>
        </row>
        <row r="501">
          <cell r="A501" t="str">
            <v>GRMZM2G148744</v>
          </cell>
          <cell r="B501" t="str">
            <v>GO:0003735GO:0015934GO:0006412</v>
          </cell>
        </row>
        <row r="502">
          <cell r="A502" t="str">
            <v>GRMZM2G176225</v>
          </cell>
          <cell r="B502" t="str">
            <v>GO:0004674GO:0006468GO:0004713GO:0005524GO:0005509</v>
          </cell>
        </row>
        <row r="503">
          <cell r="A503" t="str">
            <v>GRMZM2G088689</v>
          </cell>
          <cell r="B503" t="str">
            <v>GO:0016624GO:0008152</v>
          </cell>
        </row>
        <row r="504">
          <cell r="A504" t="str">
            <v>GRMZM2G097342</v>
          </cell>
          <cell r="B504" t="str">
            <v>GO:0006520GO:0016491</v>
          </cell>
        </row>
        <row r="505">
          <cell r="A505" t="str">
            <v>GRMZM2G048277</v>
          </cell>
          <cell r="B505" t="str">
            <v>GO:0016853</v>
          </cell>
        </row>
        <row r="506">
          <cell r="A506" t="str">
            <v>GRMZM2G066358</v>
          </cell>
          <cell r="B506" t="str">
            <v>GO:0005506GO:0016491</v>
          </cell>
        </row>
        <row r="507">
          <cell r="A507" t="str">
            <v>GRMZM2G125032</v>
          </cell>
          <cell r="B507" t="str">
            <v>GO:0005975GO:0004553</v>
          </cell>
        </row>
        <row r="508">
          <cell r="A508" t="str">
            <v>GRMZM2G068496</v>
          </cell>
          <cell r="B508" t="str">
            <v>GO:0003735GO:0006412GO:0005840</v>
          </cell>
        </row>
        <row r="509">
          <cell r="A509" t="str">
            <v>GRMZM2G121514</v>
          </cell>
          <cell r="B509" t="str">
            <v>GO:0004563GO:0005975</v>
          </cell>
        </row>
        <row r="510">
          <cell r="A510" t="str">
            <v>GRMZM2G036134</v>
          </cell>
          <cell r="B510" t="str">
            <v>GO:0006508GO:0004190</v>
          </cell>
        </row>
        <row r="511">
          <cell r="A511" t="str">
            <v>GRMZM2G099619</v>
          </cell>
          <cell r="B511" t="str">
            <v>GO:0016020GO:0016887GO:0005524</v>
          </cell>
        </row>
        <row r="512">
          <cell r="A512" t="str">
            <v>GRMZM2G100158</v>
          </cell>
          <cell r="B512" t="str">
            <v>GO:0004497GO:0020037GO:0009055</v>
          </cell>
        </row>
        <row r="513">
          <cell r="A513" t="str">
            <v>GRMZM2G304575</v>
          </cell>
          <cell r="B513" t="str">
            <v>GO:0006334GO:0003677GO:0005634GO:0000786</v>
          </cell>
        </row>
        <row r="514">
          <cell r="A514" t="str">
            <v>GRMZM2G145258</v>
          </cell>
          <cell r="B514" t="str">
            <v>GO:0003735GO:0006412GO:0005840</v>
          </cell>
        </row>
        <row r="515">
          <cell r="A515" t="str">
            <v>GRMZM2G032253</v>
          </cell>
          <cell r="B515" t="str">
            <v>GO:0051537GO:0009055</v>
          </cell>
        </row>
        <row r="516">
          <cell r="A516" t="str">
            <v>GRMZM2G022547</v>
          </cell>
          <cell r="B516" t="str">
            <v>GO:0050660GO:0050664GO:0016021GO:0005509GO:0005506GO:0004601GO:0055114GO:0009055</v>
          </cell>
        </row>
        <row r="517">
          <cell r="A517" t="str">
            <v>GRMZM2G100403</v>
          </cell>
          <cell r="B517" t="str">
            <v>GO:0003735GO:0006412GO:0005840</v>
          </cell>
        </row>
        <row r="518">
          <cell r="A518" t="str">
            <v>GRMZM2G094224</v>
          </cell>
          <cell r="B518" t="str">
            <v>GO:0015979GO:0009538</v>
          </cell>
        </row>
        <row r="519">
          <cell r="A519" t="str">
            <v>GRMZM2G029912</v>
          </cell>
          <cell r="B519" t="str">
            <v>GO:0006633GO:0005506GO:0005783GO:0055114GO:0016491</v>
          </cell>
        </row>
        <row r="520">
          <cell r="A520" t="str">
            <v>GRMZM2G322817</v>
          </cell>
          <cell r="B520" t="str">
            <v>GO:0008270</v>
          </cell>
        </row>
        <row r="521">
          <cell r="A521" t="str">
            <v>GRMZM2G004160</v>
          </cell>
          <cell r="B521" t="str">
            <v>GO:0005507GO:0009055</v>
          </cell>
        </row>
        <row r="522">
          <cell r="A522" t="str">
            <v>GRMZM2G004161</v>
          </cell>
          <cell r="B522" t="str">
            <v>GO:0006355GO:0005634GO:0004402GO:0008270GO:0003712</v>
          </cell>
        </row>
        <row r="523">
          <cell r="A523" t="str">
            <v>GRMZM2G322819</v>
          </cell>
          <cell r="B523" t="str">
            <v>GO:0006508GO:0004252</v>
          </cell>
        </row>
        <row r="524">
          <cell r="A524" t="str">
            <v>GRMZM2G479110</v>
          </cell>
          <cell r="B524" t="str">
            <v>GO:0006355GO:0000156GO:0000160</v>
          </cell>
        </row>
        <row r="525">
          <cell r="A525" t="str">
            <v>GRMZM2G066222</v>
          </cell>
          <cell r="B525" t="str">
            <v>GO:0003735GO:0006412GO:0005840</v>
          </cell>
        </row>
        <row r="526">
          <cell r="A526" t="str">
            <v>GRMZM2G358830</v>
          </cell>
          <cell r="B526" t="str">
            <v>GO:0006468GO:0016021GO:0005199GO:0004674GO:0004713GO:0007186GO:0005524</v>
          </cell>
        </row>
        <row r="527">
          <cell r="A527" t="str">
            <v>GRMZM2G322728</v>
          </cell>
          <cell r="B527" t="str">
            <v>GO:0005529GO:0048544</v>
          </cell>
        </row>
        <row r="528">
          <cell r="A528" t="str">
            <v>GRMZM2G025231</v>
          </cell>
          <cell r="B528" t="str">
            <v>GO:0016020GO:0016760GO:0008270GO:0005515GO:0030244</v>
          </cell>
        </row>
        <row r="529">
          <cell r="A529" t="str">
            <v>GRMZM2G019358</v>
          </cell>
          <cell r="B529" t="str">
            <v>GO:0003824GO:0005488GO:0008152</v>
          </cell>
        </row>
        <row r="530">
          <cell r="A530" t="str">
            <v>GRMZM2G104384</v>
          </cell>
          <cell r="B530" t="str">
            <v>GO:0004674GO:0006468GO:0005524GO:0005515GO:0004713</v>
          </cell>
        </row>
        <row r="531">
          <cell r="A531" t="str">
            <v>GRMZM2G001079</v>
          </cell>
          <cell r="B531" t="str">
            <v>GO:0016020GO:0015018GO:0050825GO:0042309GO:0050826</v>
          </cell>
        </row>
        <row r="532">
          <cell r="A532" t="str">
            <v>GRMZM2G093603</v>
          </cell>
          <cell r="B532" t="str">
            <v>GO:0016829GO:0000287GO:0008152</v>
          </cell>
        </row>
        <row r="533">
          <cell r="A533" t="str">
            <v>GRMZM2G146673</v>
          </cell>
          <cell r="B533" t="str">
            <v>GO:0031072GO:0006457GO:0051082</v>
          </cell>
        </row>
        <row r="534">
          <cell r="A534" t="str">
            <v>GRMZM2G148052</v>
          </cell>
          <cell r="B534" t="str">
            <v>GO:0004497GO:0020037GO:0009055</v>
          </cell>
        </row>
        <row r="535">
          <cell r="A535" t="str">
            <v>GRMZM2G121868</v>
          </cell>
          <cell r="B535" t="str">
            <v>GO:0016021GO:0006334GO:0000786GO:0005199GO:0006355GO:0004969GO:0003677GO:0007186GO:0005634GO:0004879</v>
          </cell>
        </row>
        <row r="536">
          <cell r="A536" t="str">
            <v>GRMZM2G094051</v>
          </cell>
          <cell r="B536" t="str">
            <v>GO:0015934GO:0006813GO:0008076GO:0030528GO:0003735GO:0005249GO:0006412</v>
          </cell>
        </row>
        <row r="537">
          <cell r="A537" t="str">
            <v>GRMZM2G038722</v>
          </cell>
          <cell r="B537" t="str">
            <v>GO:0005737GO:0006796GO:0000287GO:0003677GO:0004427</v>
          </cell>
        </row>
        <row r="538">
          <cell r="A538" t="str">
            <v>GRMZM2G052844</v>
          </cell>
          <cell r="B538" t="str">
            <v>GO:0003872GO:0005945GO:0006096GO:0004650</v>
          </cell>
        </row>
        <row r="539">
          <cell r="A539" t="str">
            <v>GRMZM2G100583</v>
          </cell>
          <cell r="B539" t="str">
            <v>GO:0045449GO:0003677</v>
          </cell>
        </row>
        <row r="540">
          <cell r="A540" t="str">
            <v>GRMZM2G074687</v>
          </cell>
          <cell r="B540" t="str">
            <v>GO:0006457GO:0005509GO:0051082GO:0005783</v>
          </cell>
        </row>
        <row r="541">
          <cell r="A541" t="str">
            <v>GRMZM2G099363</v>
          </cell>
          <cell r="B541" t="str">
            <v>GO:0008171</v>
          </cell>
        </row>
        <row r="542">
          <cell r="A542" t="str">
            <v>GRMZM2G085236</v>
          </cell>
          <cell r="B542" t="str">
            <v>GO:0042626GO:0016021GO:0006810GO:0019001GO:0004871GO:0007186GO:0005524</v>
          </cell>
        </row>
        <row r="543">
          <cell r="A543" t="str">
            <v>GRMZM2G337532</v>
          </cell>
          <cell r="B543" t="str">
            <v>GO:0004674GO:0006468GO:0004713GO:0005524</v>
          </cell>
        </row>
        <row r="544">
          <cell r="A544" t="str">
            <v>GRMZM2G060210</v>
          </cell>
          <cell r="B544" t="str">
            <v>GO:0016747</v>
          </cell>
        </row>
        <row r="545">
          <cell r="A545" t="str">
            <v>GRMZM2G060742</v>
          </cell>
          <cell r="B545" t="str">
            <v>GO:0015105GO:0015746GO:0016021GO:0015137</v>
          </cell>
        </row>
        <row r="546">
          <cell r="A546" t="str">
            <v>GRMZM2G035948</v>
          </cell>
          <cell r="B546" t="str">
            <v>GO:0006457GO:0051087GO:0000774GO:0042803</v>
          </cell>
        </row>
        <row r="547">
          <cell r="A547" t="str">
            <v>GRMZM2G108714</v>
          </cell>
          <cell r="B547" t="str">
            <v>GO:0016747</v>
          </cell>
        </row>
        <row r="548">
          <cell r="A548" t="str">
            <v>GRMZM2G014832</v>
          </cell>
          <cell r="B548" t="str">
            <v>GO:0015629GO:0005198GO:0007155GO:0045454GO:0015035GO:0009055</v>
          </cell>
        </row>
        <row r="549">
          <cell r="A549" t="str">
            <v>GRMZM2G026969</v>
          </cell>
          <cell r="B549" t="str">
            <v>GO:0004747GO:0006014</v>
          </cell>
        </row>
        <row r="550">
          <cell r="A550" t="str">
            <v>GRMZM2G102959</v>
          </cell>
          <cell r="B550" t="str">
            <v>GO:0051536GO:0016491GO:0020037GO:0009055</v>
          </cell>
        </row>
        <row r="551">
          <cell r="A551" t="str">
            <v>GRMZM2G019515</v>
          </cell>
          <cell r="B551" t="str">
            <v>GO:0050661GO:0050660GO:0004499GO:0008152GO:0043087GO:0009055</v>
          </cell>
        </row>
        <row r="552">
          <cell r="A552" t="str">
            <v>GRMZM2G056612</v>
          </cell>
          <cell r="B552" t="str">
            <v>GO:0004674GO:0006468GO:0004713GO:0005524</v>
          </cell>
        </row>
        <row r="553">
          <cell r="A553" t="str">
            <v>GRMZM2G018820</v>
          </cell>
          <cell r="B553" t="str">
            <v>GO:0006071GO:0006629GO:0008889</v>
          </cell>
        </row>
        <row r="554">
          <cell r="A554" t="str">
            <v>GRMZM2G130314</v>
          </cell>
          <cell r="B554" t="str">
            <v>GO:0003735GO:0006412GO:0005840</v>
          </cell>
        </row>
        <row r="555">
          <cell r="A555" t="str">
            <v>AC215260.3_FG003</v>
          </cell>
          <cell r="B555" t="str">
            <v>GO:0016747</v>
          </cell>
        </row>
        <row r="556">
          <cell r="A556" t="str">
            <v>GRMZM2G132929</v>
          </cell>
          <cell r="B556" t="str">
            <v>GO:0003735GO:0006412GO:0005840</v>
          </cell>
        </row>
        <row r="557">
          <cell r="A557" t="str">
            <v>GRMZM2G081102</v>
          </cell>
          <cell r="B557" t="str">
            <v>GO:0003735GO:0006412GO:0005840</v>
          </cell>
        </row>
        <row r="558">
          <cell r="A558" t="str">
            <v>GRMZM2G133988</v>
          </cell>
          <cell r="B558" t="str">
            <v>GO:0008152</v>
          </cell>
        </row>
        <row r="559">
          <cell r="A559" t="str">
            <v>GRMZM2G124815</v>
          </cell>
          <cell r="B559" t="str">
            <v>GO:0016747</v>
          </cell>
        </row>
        <row r="560">
          <cell r="A560" t="str">
            <v>GRMZM2G065194</v>
          </cell>
          <cell r="B560" t="str">
            <v>GO:0009239GO:0005488GO:0008667</v>
          </cell>
        </row>
        <row r="561">
          <cell r="A561" t="str">
            <v>GRMZM2G029219</v>
          </cell>
          <cell r="B561" t="str">
            <v>GO:0015904GO:0016021GO:0015520GO:0046677</v>
          </cell>
        </row>
        <row r="562">
          <cell r="A562" t="str">
            <v>GRMZM2G080851</v>
          </cell>
          <cell r="B562" t="str">
            <v>GO:0004674GO:0006468GO:0005524GO:0005515GO:0004713</v>
          </cell>
        </row>
        <row r="563">
          <cell r="A563" t="str">
            <v>GRMZM2G126079</v>
          </cell>
          <cell r="B563" t="str">
            <v>GO:0032312GO:0008060GO:0008270</v>
          </cell>
        </row>
        <row r="564">
          <cell r="A564" t="str">
            <v>GRMZM2G159285</v>
          </cell>
          <cell r="B564" t="str">
            <v>GO:0005634GO:0045449</v>
          </cell>
        </row>
        <row r="565">
          <cell r="A565" t="str">
            <v>GRMZM2G081582</v>
          </cell>
          <cell r="B565" t="str">
            <v>GO:0005737GO:0009058GO:0016841GO:0016211GO:0006559</v>
          </cell>
        </row>
        <row r="566">
          <cell r="A566" t="str">
            <v>GRMZM2G328171</v>
          </cell>
          <cell r="B566" t="str">
            <v>GO:0005975GO:0004553</v>
          </cell>
        </row>
        <row r="567">
          <cell r="A567" t="str">
            <v>GRMZM2G095873</v>
          </cell>
          <cell r="B567" t="str">
            <v>GO:0008270GO:0005515</v>
          </cell>
        </row>
        <row r="568">
          <cell r="A568" t="str">
            <v>GRMZM2G019177</v>
          </cell>
          <cell r="B568" t="str">
            <v>GO:0005506GO:0009055</v>
          </cell>
        </row>
        <row r="569">
          <cell r="A569" t="str">
            <v>GRMZM2G305046</v>
          </cell>
          <cell r="B569" t="str">
            <v>GO:0006334GO:0003677GO:0005634GO:0000786</v>
          </cell>
        </row>
        <row r="570">
          <cell r="A570" t="str">
            <v>GRMZM2G014902</v>
          </cell>
          <cell r="B570" t="str">
            <v>GO:0003677</v>
          </cell>
        </row>
        <row r="571">
          <cell r="A571" t="str">
            <v>GRMZM2G050997</v>
          </cell>
          <cell r="B571" t="str">
            <v>GO:0050660GO:0009690GO:0019139GO:0009055</v>
          </cell>
        </row>
        <row r="572">
          <cell r="A572" t="str">
            <v>GRMZM2G059580</v>
          </cell>
          <cell r="B572" t="str">
            <v>GO:0003746GO:0006414GO:0005853</v>
          </cell>
        </row>
        <row r="573">
          <cell r="A573" t="str">
            <v>GRMZM2G050570</v>
          </cell>
          <cell r="B573" t="str">
            <v>GO:0004795GO:0009088GO:0030170</v>
          </cell>
        </row>
        <row r="574">
          <cell r="A574" t="str">
            <v>GRMZM2G454424</v>
          </cell>
          <cell r="B574" t="str">
            <v>GO:0016020</v>
          </cell>
        </row>
        <row r="575">
          <cell r="A575" t="str">
            <v>GRMZM2G113245</v>
          </cell>
          <cell r="B575" t="str">
            <v>GO:0016020</v>
          </cell>
        </row>
        <row r="576">
          <cell r="A576" t="str">
            <v>GRMZM2G436448</v>
          </cell>
          <cell r="B576" t="str">
            <v>GO:0004674GO:0006468GO:0004713GO:0005524</v>
          </cell>
        </row>
        <row r="577">
          <cell r="A577" t="str">
            <v>GRMZM2G003252</v>
          </cell>
          <cell r="B577" t="str">
            <v>GO:0005199</v>
          </cell>
        </row>
        <row r="578">
          <cell r="A578" t="str">
            <v>GRMZM2G095898</v>
          </cell>
          <cell r="B578" t="str">
            <v>GO:0005576</v>
          </cell>
        </row>
        <row r="579">
          <cell r="A579" t="str">
            <v>GRMZM2G020096</v>
          </cell>
          <cell r="B579" t="str">
            <v>GO:0006750GO:0004357</v>
          </cell>
        </row>
        <row r="580">
          <cell r="A580" t="str">
            <v>GRMZM2G340444</v>
          </cell>
          <cell r="B580" t="str">
            <v>GO:0008270GO:0005515</v>
          </cell>
        </row>
        <row r="581">
          <cell r="A581" t="str">
            <v>GRMZM2G312910</v>
          </cell>
          <cell r="B581" t="str">
            <v>GO:0005515</v>
          </cell>
        </row>
        <row r="582">
          <cell r="A582" t="str">
            <v>GRMZM2G154747</v>
          </cell>
          <cell r="B582" t="str">
            <v>GO:0016020GO:0017153GO:0006835</v>
          </cell>
        </row>
        <row r="583">
          <cell r="A583" t="str">
            <v>GRMZM2G075153</v>
          </cell>
          <cell r="B583" t="str">
            <v>GO:0006520GO:0030170</v>
          </cell>
        </row>
        <row r="584">
          <cell r="A584" t="str">
            <v>GRMZM2G324390</v>
          </cell>
          <cell r="B584" t="str">
            <v>GO:0003700GO:0006355GO:0005634GO:0043565</v>
          </cell>
        </row>
        <row r="585">
          <cell r="A585" t="str">
            <v>GRMZM2G154743</v>
          </cell>
          <cell r="B585" t="str">
            <v>GO:0003735GO:0006412GO:0005840</v>
          </cell>
        </row>
        <row r="586">
          <cell r="A586" t="str">
            <v>GRMZM2G379005</v>
          </cell>
          <cell r="B586" t="str">
            <v>GO:0043565GO:0003700GO:0005634GO:0006355GO:0050825GO:0008270GO:0042309GO:0050826</v>
          </cell>
        </row>
        <row r="587">
          <cell r="A587" t="str">
            <v>GRMZM2G154218</v>
          </cell>
          <cell r="B587" t="str">
            <v>GO:0005737GO:0003746GO:0006414GO:0003924GO:0005525</v>
          </cell>
        </row>
        <row r="588">
          <cell r="A588" t="str">
            <v>GRMZM2G060919</v>
          </cell>
          <cell r="B588" t="str">
            <v>GO:0005634</v>
          </cell>
        </row>
        <row r="589">
          <cell r="A589" t="str">
            <v>GRMZM2G175860</v>
          </cell>
          <cell r="B589" t="str">
            <v>GO:0031072GO:0006457GO:0051082</v>
          </cell>
        </row>
        <row r="590">
          <cell r="A590" t="str">
            <v>GRMZM2G043275</v>
          </cell>
          <cell r="B590" t="str">
            <v>GO:0016787</v>
          </cell>
        </row>
        <row r="591">
          <cell r="A591" t="str">
            <v>GRMZM2G043277</v>
          </cell>
          <cell r="B591" t="str">
            <v>GO:0004392GO:0006788</v>
          </cell>
        </row>
        <row r="592">
          <cell r="A592" t="str">
            <v>GRMZM2G031660</v>
          </cell>
          <cell r="B592" t="str">
            <v>GO:0005975GO:0004553</v>
          </cell>
        </row>
        <row r="593">
          <cell r="A593" t="str">
            <v>GRMZM2G167220</v>
          </cell>
          <cell r="B593" t="str">
            <v>GO:0050660GO:0009690GO:0019139GO:0009055</v>
          </cell>
        </row>
        <row r="594">
          <cell r="A594" t="str">
            <v>GRMZM2G103843</v>
          </cell>
          <cell r="B594" t="str">
            <v>GO:0004747GO:0006014</v>
          </cell>
        </row>
        <row r="595">
          <cell r="A595" t="str">
            <v>GRMZM2G055507</v>
          </cell>
          <cell r="B595" t="str">
            <v>GO:0003852GO:0009098</v>
          </cell>
        </row>
        <row r="596">
          <cell r="A596" t="str">
            <v>GRMZM2G113364</v>
          </cell>
          <cell r="B596" t="str">
            <v>GO:0005737GO:0008270</v>
          </cell>
        </row>
        <row r="597">
          <cell r="A597" t="str">
            <v>GRMZM2G469371</v>
          </cell>
          <cell r="B597" t="str">
            <v>GO:0008270GO:0005515</v>
          </cell>
        </row>
        <row r="598">
          <cell r="A598" t="str">
            <v>GRMZM2G043493</v>
          </cell>
          <cell r="B598" t="str">
            <v>GO:0005634GO:0045449GO:0030528</v>
          </cell>
        </row>
        <row r="599">
          <cell r="A599" t="str">
            <v>GRMZM2G085577</v>
          </cell>
          <cell r="B599" t="str">
            <v>GO:0005975GO:0004645</v>
          </cell>
        </row>
        <row r="600">
          <cell r="A600" t="str">
            <v>GRMZM2G103197</v>
          </cell>
          <cell r="B600" t="str">
            <v>GO:0015996GO:0047746GO:0016491GO:0009055</v>
          </cell>
        </row>
        <row r="601">
          <cell r="A601" t="str">
            <v>GRMZM2G072071</v>
          </cell>
          <cell r="B601" t="str">
            <v>GO:0016021GO:0006810GO:0042626GO:0005524</v>
          </cell>
        </row>
        <row r="602">
          <cell r="A602" t="str">
            <v>GRMZM2G020898</v>
          </cell>
          <cell r="B602" t="str">
            <v>GO:0005975GO:0004553</v>
          </cell>
        </row>
        <row r="603">
          <cell r="A603" t="str">
            <v>GRMZM2G151193</v>
          </cell>
          <cell r="B603" t="str">
            <v>GO:0005737GO:0003746GO:0006414GO:0003924GO:0005525</v>
          </cell>
        </row>
        <row r="604">
          <cell r="A604" t="str">
            <v>GRMZM2G112538</v>
          </cell>
          <cell r="B604" t="str">
            <v>GO:0006952GO:0009607</v>
          </cell>
        </row>
        <row r="605">
          <cell r="A605" t="str">
            <v>GRMZM2G006212</v>
          </cell>
          <cell r="B605" t="str">
            <v>GO:0015297GO:0016020GO:0006855GO:0015238</v>
          </cell>
        </row>
        <row r="606">
          <cell r="A606" t="str">
            <v>GRMZM2G031447</v>
          </cell>
          <cell r="B606" t="str">
            <v>GO:0016787GO:0008152</v>
          </cell>
        </row>
        <row r="607">
          <cell r="A607" t="str">
            <v>GRMZM2G051806</v>
          </cell>
          <cell r="B607" t="str">
            <v>GO:0004396GO:0006096GO:0005524</v>
          </cell>
        </row>
        <row r="608">
          <cell r="A608" t="str">
            <v>GRMZM2G080183</v>
          </cell>
          <cell r="B608" t="str">
            <v>GO:0004601GO:0006979GO:0020037GO:0009055</v>
          </cell>
        </row>
        <row r="609">
          <cell r="A609" t="str">
            <v>GRMZM2G307368</v>
          </cell>
          <cell r="B609" t="str">
            <v>GO:0031072GO:0006457GO:0051082</v>
          </cell>
        </row>
        <row r="610">
          <cell r="A610" t="str">
            <v>GRMZM2G158734</v>
          </cell>
          <cell r="B610" t="str">
            <v>GO:0006470GO:0008287GO:0004722</v>
          </cell>
        </row>
        <row r="611">
          <cell r="A611" t="str">
            <v>GRMZM2G111666</v>
          </cell>
          <cell r="B611" t="str">
            <v>GO:0005634GO:0045449GO:0030528</v>
          </cell>
        </row>
        <row r="612">
          <cell r="A612" t="str">
            <v>GRMZM2G324705</v>
          </cell>
          <cell r="B612" t="str">
            <v>GO:0051287GO:0006006GO:0004365</v>
          </cell>
        </row>
        <row r="613">
          <cell r="A613" t="str">
            <v>GRMZM2G353103</v>
          </cell>
          <cell r="B613" t="str">
            <v>GO:0003735GO:0006412GO:0005840</v>
          </cell>
        </row>
        <row r="614">
          <cell r="A614" t="str">
            <v>GRMZM2G471904</v>
          </cell>
          <cell r="B614" t="str">
            <v>GO:0007018GO:0005875GO:0003777GO:0019898GO:0009654GO:0015979GO:0005524GO:0005509</v>
          </cell>
        </row>
        <row r="615">
          <cell r="A615" t="str">
            <v>GRMZM2G171170</v>
          </cell>
          <cell r="B615" t="str">
            <v>GO:0006139GO:0008408GO:0003676GO:0005622</v>
          </cell>
        </row>
        <row r="616">
          <cell r="A616" t="str">
            <v>GRMZM2G416632</v>
          </cell>
          <cell r="B616" t="str">
            <v>GO:0005737GO:0004364GO:0008152</v>
          </cell>
        </row>
        <row r="617">
          <cell r="A617" t="str">
            <v>GRMZM2G007404</v>
          </cell>
          <cell r="B617" t="str">
            <v>GO:0016857GO:0050662GO:0006694GO:0003854GO:0045226GO:0008831</v>
          </cell>
        </row>
        <row r="618">
          <cell r="A618" t="str">
            <v>GRMZM2G023049</v>
          </cell>
          <cell r="B618" t="str">
            <v>GO:0004806GO:0006629</v>
          </cell>
        </row>
        <row r="619">
          <cell r="A619" t="str">
            <v>GRMZM2G045431</v>
          </cell>
          <cell r="B619" t="str">
            <v>GO:0005634GO:0045449GO:0030528</v>
          </cell>
        </row>
        <row r="620">
          <cell r="A620" t="str">
            <v>GRMZM2G165972</v>
          </cell>
          <cell r="B620" t="str">
            <v>GO:0003700GO:0006355GO:0005634GO:0043565</v>
          </cell>
        </row>
        <row r="621">
          <cell r="A621" t="str">
            <v>GRMZM2G001676</v>
          </cell>
          <cell r="B621" t="str">
            <v>GO:0006857GO:0005215GO:0016020</v>
          </cell>
        </row>
        <row r="622">
          <cell r="A622" t="str">
            <v>GRMZM2G029546</v>
          </cell>
          <cell r="B622" t="str">
            <v>GO:0006457GO:0031072GO:0051536GO:0051082GO:0005506GO:0009055</v>
          </cell>
        </row>
        <row r="623">
          <cell r="A623" t="str">
            <v>GRMZM2G151516</v>
          </cell>
          <cell r="B623" t="str">
            <v>GO:0050825GO:0042309GO:0050826</v>
          </cell>
        </row>
        <row r="624">
          <cell r="A624" t="str">
            <v>GRMZM2G096682</v>
          </cell>
          <cell r="B624" t="str">
            <v>GO:0016597GO:0008152</v>
          </cell>
        </row>
        <row r="625">
          <cell r="A625" t="str">
            <v>GRMZM2G096683</v>
          </cell>
          <cell r="B625" t="str">
            <v>GO:0015904GO:0016021GO:0015520GO:0046677GO:0055085</v>
          </cell>
        </row>
        <row r="626">
          <cell r="A626" t="str">
            <v>GRMZM2G123901</v>
          </cell>
          <cell r="B626" t="str">
            <v>GO:0006886GO:0016021GO:0005783</v>
          </cell>
        </row>
        <row r="627">
          <cell r="A627" t="str">
            <v>GRMZM2G478417</v>
          </cell>
          <cell r="B627" t="str">
            <v>GO:0003700GO:0006355GO:0046983GO:0005634GO:0043565</v>
          </cell>
        </row>
        <row r="628">
          <cell r="A628" t="str">
            <v>GRMZM2G106344</v>
          </cell>
          <cell r="B628" t="str">
            <v>GO:0007242</v>
          </cell>
        </row>
        <row r="629">
          <cell r="A629" t="str">
            <v>GRMZM2G131575</v>
          </cell>
          <cell r="B629" t="str">
            <v>GO:0045261GO:0015986GO:0046961GO:0046933</v>
          </cell>
        </row>
        <row r="630">
          <cell r="A630" t="str">
            <v>GRMZM2G046841</v>
          </cell>
          <cell r="B630" t="str">
            <v>GO:0006334GO:0003677GO:0005634GO:0000786</v>
          </cell>
        </row>
        <row r="631">
          <cell r="A631" t="str">
            <v>GRMZM2G082580</v>
          </cell>
          <cell r="B631" t="str">
            <v>GO:0016020GO:0016760GO:0008270GO:0005515GO:0030244</v>
          </cell>
        </row>
        <row r="632">
          <cell r="A632" t="str">
            <v>GRMZM2G385989</v>
          </cell>
          <cell r="B632" t="str">
            <v>GO:0005198</v>
          </cell>
        </row>
        <row r="633">
          <cell r="A633" t="str">
            <v>GRMZM2G006047</v>
          </cell>
          <cell r="B633" t="str">
            <v>GO:0006869GO:0050825GO:0008289GO:0042309GO:0050826</v>
          </cell>
        </row>
        <row r="634">
          <cell r="A634" t="str">
            <v>GRMZM2G154211</v>
          </cell>
          <cell r="B634" t="str">
            <v>GO:0016021GO:0008272GO:0008271GO:0005164GO:0006955</v>
          </cell>
        </row>
        <row r="635">
          <cell r="A635" t="str">
            <v>GRMZM2G076212</v>
          </cell>
          <cell r="B635" t="str">
            <v>GO:0004674GO:0006468GO:0004713GO:0005524</v>
          </cell>
        </row>
        <row r="636">
          <cell r="A636" t="str">
            <v>GRMZM2G313184</v>
          </cell>
          <cell r="B636" t="str">
            <v>GO:0004601GO:0006979GO:0020037GO:0009055</v>
          </cell>
        </row>
        <row r="637">
          <cell r="A637" t="str">
            <v>GRMZM2G157269</v>
          </cell>
          <cell r="B637" t="str">
            <v>GO:0003987GO:0016208GO:0008152</v>
          </cell>
        </row>
        <row r="638">
          <cell r="A638" t="str">
            <v>GRMZM2G041381</v>
          </cell>
          <cell r="B638" t="str">
            <v>GO:0043565GO:0006334GO:0005634GO:0000786</v>
          </cell>
        </row>
        <row r="639">
          <cell r="A639" t="str">
            <v>GRMZM2G139160</v>
          </cell>
          <cell r="B639" t="str">
            <v>GO:0008270GO:0005622</v>
          </cell>
        </row>
        <row r="640">
          <cell r="A640" t="str">
            <v>GRMZM2G067601</v>
          </cell>
          <cell r="B640" t="str">
            <v>GO:0020037</v>
          </cell>
        </row>
        <row r="641">
          <cell r="A641" t="str">
            <v>GRMZM2G091578</v>
          </cell>
          <cell r="B641" t="str">
            <v>GO:0006508GO:0043086GO:0042802GO:0004252</v>
          </cell>
        </row>
        <row r="642">
          <cell r="A642" t="str">
            <v>GRMZM2G175076</v>
          </cell>
          <cell r="B642" t="str">
            <v>GO:0045430GO:0009813</v>
          </cell>
        </row>
        <row r="643">
          <cell r="A643" t="str">
            <v>GRMZM2G130173</v>
          </cell>
          <cell r="B643" t="str">
            <v>GO:0046872</v>
          </cell>
        </row>
        <row r="644">
          <cell r="A644" t="str">
            <v>GRMZM2G301932</v>
          </cell>
          <cell r="B644" t="str">
            <v>GO:0016787GO:0008152</v>
          </cell>
        </row>
        <row r="645">
          <cell r="A645" t="str">
            <v>GRMZM2G109627</v>
          </cell>
          <cell r="B645" t="str">
            <v>GO:0045449GO:0003677</v>
          </cell>
        </row>
        <row r="646">
          <cell r="A646" t="str">
            <v>GRMZM2G131482</v>
          </cell>
          <cell r="B646" t="str">
            <v>GO:0003723GO:0006396</v>
          </cell>
        </row>
        <row r="647">
          <cell r="A647" t="str">
            <v>GRMZM2G438551</v>
          </cell>
          <cell r="B647" t="str">
            <v>GO:0004869</v>
          </cell>
        </row>
        <row r="648">
          <cell r="A648" t="str">
            <v>GRMZM2G004572</v>
          </cell>
          <cell r="B648" t="str">
            <v>GO:0006468GO:0004674GO:0004713GO:0005515GO:0005524GO:0031177</v>
          </cell>
        </row>
        <row r="649">
          <cell r="A649" t="str">
            <v>GRMZM2G079290</v>
          </cell>
          <cell r="B649" t="str">
            <v>GO:0005576GO:0008083GO:0008283</v>
          </cell>
        </row>
        <row r="650">
          <cell r="A650" t="str">
            <v>GRMZM2G139250</v>
          </cell>
          <cell r="B650" t="str">
            <v>GO:0005634GO:0003677GO:0006355GO:0050825GO:0042309GO:0050826GO:0004879</v>
          </cell>
        </row>
        <row r="651">
          <cell r="A651" t="str">
            <v>GRMZM2G068557</v>
          </cell>
          <cell r="B651" t="str">
            <v>GO:0050660GO:0016021GO:0015662GO:0009055GO:0006754GO:0005506GO:0016491</v>
          </cell>
        </row>
        <row r="652">
          <cell r="A652" t="str">
            <v>AC217975.3_FG001</v>
          </cell>
          <cell r="B652" t="str">
            <v>GO:0016310GO:0005524GO:0016772</v>
          </cell>
        </row>
        <row r="653">
          <cell r="A653" t="str">
            <v>GRMZM2G001243</v>
          </cell>
          <cell r="B653" t="str">
            <v>GO:0008287GO:0005215GO:0016020GO:0004722GO:0006810GO:0006470</v>
          </cell>
        </row>
        <row r="654">
          <cell r="A654" t="str">
            <v>GRMZM2G121612</v>
          </cell>
          <cell r="B654" t="str">
            <v>GO:0009250GO:0009011</v>
          </cell>
        </row>
        <row r="655">
          <cell r="A655" t="str">
            <v>GRMZM2G022159</v>
          </cell>
          <cell r="B655" t="str">
            <v>GO:0006887GO:0000145</v>
          </cell>
        </row>
        <row r="656">
          <cell r="A656" t="str">
            <v>GRMZM2G012874</v>
          </cell>
          <cell r="B656" t="str">
            <v>GO:0016020GO:0015018</v>
          </cell>
        </row>
        <row r="657">
          <cell r="A657" t="str">
            <v>GRMZM2G146115</v>
          </cell>
          <cell r="B657" t="str">
            <v>GO:0005622GO:0005525</v>
          </cell>
        </row>
        <row r="658">
          <cell r="A658" t="str">
            <v>GRMZM2G099754</v>
          </cell>
          <cell r="B658" t="str">
            <v>GO:0004674GO:0006468GO:0004713GO:0005524</v>
          </cell>
        </row>
        <row r="659">
          <cell r="A659" t="str">
            <v>GRMZM2G377168</v>
          </cell>
          <cell r="B659" t="str">
            <v>GO:0050825GO:0042309GO:0050826</v>
          </cell>
        </row>
        <row r="660">
          <cell r="A660" t="str">
            <v>GRMZM2G096358</v>
          </cell>
          <cell r="B660" t="str">
            <v>GO:0003677</v>
          </cell>
        </row>
        <row r="661">
          <cell r="A661" t="str">
            <v>GRMZM2G068952</v>
          </cell>
          <cell r="B661" t="str">
            <v>GO:0003735GO:0006412GO:0005840</v>
          </cell>
        </row>
        <row r="662">
          <cell r="A662" t="str">
            <v>GRMZM2G370745</v>
          </cell>
          <cell r="B662" t="str">
            <v>GO:0004497GO:0020037GO:0009055</v>
          </cell>
        </row>
        <row r="663">
          <cell r="A663" t="str">
            <v>GRMZM2G054277</v>
          </cell>
          <cell r="B663" t="str">
            <v>GO:0045449GO:0003677</v>
          </cell>
        </row>
        <row r="664">
          <cell r="A664" t="str">
            <v>GRMZM2G120587</v>
          </cell>
          <cell r="B664" t="str">
            <v>GO:0006508GO:0004185</v>
          </cell>
        </row>
        <row r="665">
          <cell r="A665" t="str">
            <v>GRMZM2G048281</v>
          </cell>
          <cell r="B665" t="str">
            <v>GO:0009416GO:0005515GO:0004871</v>
          </cell>
        </row>
        <row r="666">
          <cell r="A666" t="str">
            <v>GRMZM2G310569</v>
          </cell>
          <cell r="B666" t="str">
            <v>GO:0006813GO:0016020GO:0005249</v>
          </cell>
        </row>
        <row r="667">
          <cell r="A667" t="str">
            <v>GRMZM2G441903</v>
          </cell>
          <cell r="B667" t="str">
            <v>GO:0008270GO:0003677</v>
          </cell>
        </row>
        <row r="668">
          <cell r="A668" t="str">
            <v>GRMZM2G003411</v>
          </cell>
          <cell r="B668" t="str">
            <v>GO:0016020GO:0016887GO:0005524</v>
          </cell>
        </row>
        <row r="669">
          <cell r="A669" t="str">
            <v>GRMZM2G412601</v>
          </cell>
          <cell r="B669" t="str">
            <v>GO:0004674GO:0006468GO:0004713GO:0005524GO:0007165</v>
          </cell>
        </row>
        <row r="670">
          <cell r="A670" t="str">
            <v>GRMZM2G412604</v>
          </cell>
          <cell r="B670" t="str">
            <v>GO:0008483GO:0009058GO:0006520GO:0016847GO:0030170</v>
          </cell>
        </row>
        <row r="671">
          <cell r="A671" t="str">
            <v>GRMZM2G003750</v>
          </cell>
          <cell r="B671" t="str">
            <v>GO:0016020</v>
          </cell>
        </row>
        <row r="672">
          <cell r="A672" t="str">
            <v>GRMZM2G365160</v>
          </cell>
          <cell r="B672" t="str">
            <v>GO:0003849GO:0009073</v>
          </cell>
        </row>
        <row r="673">
          <cell r="A673" t="str">
            <v>GRMZM2G026470</v>
          </cell>
          <cell r="B673" t="str">
            <v>GO:0005737GO:0006796GO:0000287GO:0004427</v>
          </cell>
        </row>
        <row r="674">
          <cell r="A674" t="str">
            <v>GRMZM2G067908</v>
          </cell>
          <cell r="B674" t="str">
            <v>GO:0005529GO:0005975GO:0016868</v>
          </cell>
        </row>
        <row r="675">
          <cell r="A675" t="str">
            <v>GRMZM2G178341</v>
          </cell>
          <cell r="B675" t="str">
            <v>GO:0003735GO:0005840GO:0006412GO:0003723</v>
          </cell>
        </row>
        <row r="676">
          <cell r="A676" t="str">
            <v>GRMZM2G073427</v>
          </cell>
          <cell r="B676" t="str">
            <v>GO:0003700GO:0006355GO:0046983GO:0005634GO:0043565</v>
          </cell>
        </row>
        <row r="677">
          <cell r="A677" t="str">
            <v>GRMZM2G146206</v>
          </cell>
          <cell r="B677" t="str">
            <v>GO:0004807GO:0008152</v>
          </cell>
        </row>
        <row r="678">
          <cell r="A678" t="str">
            <v>GRMZM2G097802</v>
          </cell>
          <cell r="B678" t="str">
            <v>GO:0005737GO:0004812GO:0005524GO:0006418</v>
          </cell>
        </row>
        <row r="679">
          <cell r="A679" t="str">
            <v>GRMZM2G170581</v>
          </cell>
          <cell r="B679" t="str">
            <v>GO:0005245GO:0016021GO:0006816</v>
          </cell>
        </row>
        <row r="680">
          <cell r="A680" t="str">
            <v>GRMZM2G427468</v>
          </cell>
          <cell r="B680" t="str">
            <v>GO:0003735GO:0006412GO:0005840</v>
          </cell>
        </row>
        <row r="681">
          <cell r="A681" t="str">
            <v>GRMZM2G024303</v>
          </cell>
          <cell r="B681" t="str">
            <v>GO:0008270GO:0055114GO:0016491</v>
          </cell>
        </row>
        <row r="682">
          <cell r="A682" t="str">
            <v>GRMZM2G124759</v>
          </cell>
          <cell r="B682" t="str">
            <v>GO:0004806GO:0006629</v>
          </cell>
        </row>
        <row r="683">
          <cell r="A683" t="str">
            <v>AC155434.2_FG003</v>
          </cell>
          <cell r="B683" t="str">
            <v>GO:0005634GO:0006350GO:0030528GO:0005515GO:0003677</v>
          </cell>
        </row>
        <row r="684">
          <cell r="A684" t="str">
            <v>GRMZM2G078472</v>
          </cell>
          <cell r="B684" t="str">
            <v>GO:0006529GO:0004066</v>
          </cell>
        </row>
        <row r="685">
          <cell r="A685" t="str">
            <v>GRMZM2G044382</v>
          </cell>
          <cell r="B685" t="str">
            <v>GO:0003824</v>
          </cell>
        </row>
        <row r="686">
          <cell r="A686" t="str">
            <v>GRMZM2G003526</v>
          </cell>
          <cell r="B686" t="str">
            <v>GO:0006633GO:0005506GO:0005783GO:0055114GO:0016491</v>
          </cell>
        </row>
        <row r="687">
          <cell r="A687" t="str">
            <v>GRMZM2G062458</v>
          </cell>
          <cell r="B687" t="str">
            <v>GO:0005634GO:0045449GO:0030528</v>
          </cell>
        </row>
        <row r="688">
          <cell r="A688" t="str">
            <v>GRMZM2G161472</v>
          </cell>
          <cell r="B688" t="str">
            <v>GO:0004497GO:0020037GO:0009055</v>
          </cell>
        </row>
        <row r="689">
          <cell r="A689" t="str">
            <v>GRMZM2G151993</v>
          </cell>
          <cell r="B689" t="str">
            <v>GO:0016021GO:0006355GO:0004956GO:0003677GO:0007186GO:0005634GO:0004879</v>
          </cell>
        </row>
        <row r="690">
          <cell r="A690" t="str">
            <v>GRMZM2G104396</v>
          </cell>
          <cell r="B690" t="str">
            <v>GO:0003700GO:0006355GO:0016602</v>
          </cell>
        </row>
        <row r="691">
          <cell r="A691" t="str">
            <v>GRMZM2G304897</v>
          </cell>
          <cell r="B691" t="str">
            <v>GO:0006468GO:0004674GO:0005529GO:0004713GO:0005524GO:0005509</v>
          </cell>
        </row>
        <row r="692">
          <cell r="A692" t="str">
            <v>GRMZM2G070315</v>
          </cell>
          <cell r="B692" t="str">
            <v>GO:0016311GO:0004725</v>
          </cell>
        </row>
        <row r="693">
          <cell r="A693" t="str">
            <v>GRMZM2G105712</v>
          </cell>
          <cell r="B693" t="str">
            <v>GO:0006566GO:0005840GO:0004413GO:0003735GO:0006414GO:0005524</v>
          </cell>
        </row>
        <row r="694">
          <cell r="A694" t="str">
            <v>GRMZM2G147245</v>
          </cell>
          <cell r="B694" t="str">
            <v>GO:0004497GO:0020037GO:0009055</v>
          </cell>
        </row>
        <row r="695">
          <cell r="A695" t="str">
            <v>GRMZM2G125196</v>
          </cell>
          <cell r="B695" t="str">
            <v>GO:0008270GO:0055114GO:0016491</v>
          </cell>
        </row>
        <row r="696">
          <cell r="A696" t="str">
            <v>GRMZM2G156729</v>
          </cell>
          <cell r="B696" t="str">
            <v>GO:0008415GO:0016021GO:0007186GO:0008152</v>
          </cell>
        </row>
        <row r="697">
          <cell r="A697" t="str">
            <v>GRMZM2G146847</v>
          </cell>
          <cell r="B697" t="str">
            <v>GO:0008270GO:0005515</v>
          </cell>
        </row>
        <row r="698">
          <cell r="A698" t="str">
            <v>GRMZM2G033829</v>
          </cell>
          <cell r="B698" t="str">
            <v>GO:0045454GO:0016853GO:0005783</v>
          </cell>
        </row>
        <row r="699">
          <cell r="A699" t="str">
            <v>GRMZM2G065214</v>
          </cell>
          <cell r="B699" t="str">
            <v>GO:0004674GO:0006468GO:0004713GO:0005524</v>
          </cell>
        </row>
        <row r="700">
          <cell r="A700" t="str">
            <v>GRMZM2G121878</v>
          </cell>
          <cell r="B700" t="str">
            <v>GO:0015976GO:0004089GO:0008270</v>
          </cell>
        </row>
        <row r="701">
          <cell r="A701" t="str">
            <v>GRMZM2G077436</v>
          </cell>
          <cell r="B701" t="str">
            <v>GO:0003700GO:0006355GO:0006352GO:0016987</v>
          </cell>
        </row>
        <row r="702">
          <cell r="A702" t="str">
            <v>GRMZM2G148492</v>
          </cell>
          <cell r="B702" t="str">
            <v>GO:0005215GO:0017004GO:0016887GO:0005524GO:0030288</v>
          </cell>
        </row>
        <row r="703">
          <cell r="A703" t="str">
            <v>GRMZM2G108364</v>
          </cell>
          <cell r="B703" t="str">
            <v>GO:0004437GO:0006790GO:0008441</v>
          </cell>
        </row>
        <row r="704">
          <cell r="A704" t="str">
            <v>GRMZM2G315121</v>
          </cell>
          <cell r="B704" t="str">
            <v>GO:0009428GO:0001539GO:0030288GO:0005198</v>
          </cell>
        </row>
        <row r="705">
          <cell r="A705" t="str">
            <v>GRMZM2G401308</v>
          </cell>
          <cell r="B705" t="str">
            <v>GO:0006334GO:0000786GO:0050826GO:0005199GO:0050825GO:0042309GO:0003677GO:0005634</v>
          </cell>
        </row>
        <row r="706">
          <cell r="A706" t="str">
            <v>GRMZM2G059825</v>
          </cell>
          <cell r="B706" t="str">
            <v>GO:0016020</v>
          </cell>
        </row>
        <row r="707">
          <cell r="A707" t="str">
            <v>GRMZM2G457929</v>
          </cell>
          <cell r="B707" t="str">
            <v>GO:0016758GO:0008152</v>
          </cell>
        </row>
        <row r="708">
          <cell r="A708" t="str">
            <v>GRMZM2G086869</v>
          </cell>
          <cell r="B708" t="str">
            <v>GO:0016787GO:0045263GO:0015986GO:0015078</v>
          </cell>
        </row>
        <row r="709">
          <cell r="A709" t="str">
            <v>GRMZM2G345544</v>
          </cell>
          <cell r="B709" t="str">
            <v>GO:0008270GO:0005515</v>
          </cell>
        </row>
        <row r="710">
          <cell r="A710" t="str">
            <v>GRMZM2G034152</v>
          </cell>
          <cell r="B710" t="str">
            <v>GO:0006813GO:0016491GO:0008324GO:0006520GO:0009055</v>
          </cell>
        </row>
        <row r="711">
          <cell r="A711" t="str">
            <v>GRMZM2G010349</v>
          </cell>
          <cell r="B711" t="str">
            <v>GO:0004674GO:0006468GO:0004713GO:0005524</v>
          </cell>
        </row>
        <row r="712">
          <cell r="A712" t="str">
            <v>GRMZM2G010348</v>
          </cell>
          <cell r="B712" t="str">
            <v>GO:0020037GO:0009055</v>
          </cell>
        </row>
        <row r="713">
          <cell r="A713" t="str">
            <v>GRMZM2G118241</v>
          </cell>
          <cell r="B713" t="str">
            <v>GO:0006508GO:0004185</v>
          </cell>
        </row>
        <row r="714">
          <cell r="A714" t="str">
            <v>GRMZM2G173724</v>
          </cell>
          <cell r="B714" t="str">
            <v>GO:0003993</v>
          </cell>
        </row>
        <row r="715">
          <cell r="A715" t="str">
            <v>GRMZM2G070239</v>
          </cell>
          <cell r="B715" t="str">
            <v>GO:0008270GO:0003676</v>
          </cell>
        </row>
        <row r="716">
          <cell r="A716" t="str">
            <v>GRMZM2G058518</v>
          </cell>
          <cell r="B716" t="str">
            <v>GO:0045449GO:0003677</v>
          </cell>
        </row>
        <row r="717">
          <cell r="A717" t="str">
            <v>GRMZM2G179976</v>
          </cell>
          <cell r="B717" t="str">
            <v>GO:0003735GO:0006414GO:0005840GO:0042254</v>
          </cell>
        </row>
        <row r="718">
          <cell r="A718" t="str">
            <v>GRMZM2G070011</v>
          </cell>
          <cell r="B718" t="str">
            <v>GO:0006508GO:0004197</v>
          </cell>
        </row>
        <row r="719">
          <cell r="A719" t="str">
            <v>GRMZM2G070015</v>
          </cell>
          <cell r="B719" t="str">
            <v>GO:0003676</v>
          </cell>
        </row>
        <row r="720">
          <cell r="A720" t="str">
            <v>GRMZM2G162282</v>
          </cell>
          <cell r="B720" t="str">
            <v>GO:0017111GO:0005524</v>
          </cell>
        </row>
        <row r="721">
          <cell r="A721" t="str">
            <v>GRMZM2G453805</v>
          </cell>
          <cell r="B721" t="str">
            <v>GO:0004568GO:0006032</v>
          </cell>
        </row>
        <row r="722">
          <cell r="A722" t="str">
            <v>GRMZM2G140328</v>
          </cell>
          <cell r="B722" t="str">
            <v>GO:0005388GO:0016020GO:0006754GO:0006816GO:0005524</v>
          </cell>
        </row>
        <row r="723">
          <cell r="A723" t="str">
            <v>GRMZM2G080767</v>
          </cell>
          <cell r="B723" t="str">
            <v>GO:0005509</v>
          </cell>
        </row>
        <row r="724">
          <cell r="A724" t="str">
            <v>GRMZM2G010693</v>
          </cell>
          <cell r="B724" t="str">
            <v>GO:0004674GO:0006468GO:0005524GO:0005515GO:0004713</v>
          </cell>
        </row>
        <row r="725">
          <cell r="A725" t="str">
            <v>GRMZM2G099598</v>
          </cell>
          <cell r="B725" t="str">
            <v>GO:0004674GO:0006468GO:0004713GO:0005524</v>
          </cell>
        </row>
        <row r="726">
          <cell r="A726" t="str">
            <v>GRMZM2G078876</v>
          </cell>
          <cell r="B726" t="str">
            <v>GO:0006869GO:0050825GO:0008289GO:0042309GO:0050826</v>
          </cell>
        </row>
        <row r="727">
          <cell r="A727" t="str">
            <v>GRMZM2G120740</v>
          </cell>
          <cell r="B727" t="str">
            <v>GO:0008270GO:0003676</v>
          </cell>
        </row>
        <row r="728">
          <cell r="A728" t="str">
            <v>GRMZM2G113655</v>
          </cell>
          <cell r="B728" t="str">
            <v>GO:0016020GO:0015018</v>
          </cell>
        </row>
        <row r="729">
          <cell r="A729" t="str">
            <v>GRMZM2G070659</v>
          </cell>
          <cell r="B729" t="str">
            <v>GO:0016020</v>
          </cell>
        </row>
        <row r="730">
          <cell r="A730" t="str">
            <v>GRMZM2G168674</v>
          </cell>
          <cell r="B730" t="str">
            <v>GO:0003735GO:0006412GO:0005840</v>
          </cell>
        </row>
        <row r="731">
          <cell r="A731" t="str">
            <v>GRMZM2G172647</v>
          </cell>
          <cell r="B731" t="str">
            <v>GO:0005351GO:0020037GO:0016021GO:0008643GO:0009060GO:0000139GO:0009055</v>
          </cell>
        </row>
        <row r="732">
          <cell r="A732" t="str">
            <v>GRMZM2G455676</v>
          </cell>
          <cell r="B732" t="str">
            <v>GO:0009654GO:0015979</v>
          </cell>
        </row>
        <row r="733">
          <cell r="A733" t="str">
            <v>GRMZM2G449274</v>
          </cell>
          <cell r="B733" t="str">
            <v>GO:0005856GO:0006885GO:0016021GO:0015054GO:0006814GO:0007160GO:0050825GO:0042309GO:0050826GO:0015385GO:0007186</v>
          </cell>
        </row>
        <row r="734">
          <cell r="A734" t="str">
            <v>GRMZM2G047813</v>
          </cell>
          <cell r="B734" t="str">
            <v>GO:0043565GO:0006334GO:0005634GO:0000786</v>
          </cell>
        </row>
        <row r="735">
          <cell r="A735" t="str">
            <v>GRMZM2G177693</v>
          </cell>
          <cell r="B735" t="str">
            <v>GO:0050826GO:0050825GO:0008270GO:0042309GO:0005622</v>
          </cell>
        </row>
        <row r="736">
          <cell r="A736" t="str">
            <v>GRMZM2G017110</v>
          </cell>
          <cell r="B736" t="str">
            <v>GO:0006536GO:0030170GO:0004351</v>
          </cell>
        </row>
        <row r="737">
          <cell r="A737" t="str">
            <v>GRMZM2G467907</v>
          </cell>
          <cell r="B737" t="str">
            <v>GO:0003676</v>
          </cell>
        </row>
        <row r="738">
          <cell r="A738" t="str">
            <v>GRMZM2G159250</v>
          </cell>
          <cell r="B738" t="str">
            <v>GO:0006412</v>
          </cell>
        </row>
        <row r="739">
          <cell r="A739" t="str">
            <v>GRMZM2G409771</v>
          </cell>
          <cell r="B739" t="str">
            <v>GO:0006813GO:0016020GO:0015079</v>
          </cell>
        </row>
        <row r="740">
          <cell r="A740" t="str">
            <v>GRMZM2G128688</v>
          </cell>
          <cell r="B740" t="str">
            <v>GO:0005622GO:0003924GO:0005525</v>
          </cell>
        </row>
        <row r="741">
          <cell r="A741" t="str">
            <v>GRMZM2G053707</v>
          </cell>
          <cell r="B741" t="str">
            <v>GO:0008270GO:0005515</v>
          </cell>
        </row>
        <row r="742">
          <cell r="A742" t="str">
            <v>GRMZM2G003246</v>
          </cell>
          <cell r="B742" t="str">
            <v>GO:0016787GO:0008152</v>
          </cell>
        </row>
        <row r="743">
          <cell r="A743" t="str">
            <v>GRMZM2G426156</v>
          </cell>
          <cell r="B743" t="str">
            <v>GO:0003735GO:0006412GO:0005840</v>
          </cell>
        </row>
        <row r="744">
          <cell r="A744" t="str">
            <v>GRMZM2G180422</v>
          </cell>
          <cell r="B744" t="str">
            <v>GO:0005146GO:0005576</v>
          </cell>
        </row>
        <row r="745">
          <cell r="A745" t="str">
            <v>GRMZM2G011068</v>
          </cell>
          <cell r="B745" t="str">
            <v>GO:0003735GO:0004176GO:0006510GO:0006412GO:0005840</v>
          </cell>
        </row>
        <row r="746">
          <cell r="A746" t="str">
            <v>GRMZM2G105221</v>
          </cell>
          <cell r="B746" t="str">
            <v>GO:0016757</v>
          </cell>
        </row>
        <row r="747">
          <cell r="A747" t="str">
            <v>GRMZM2G176347</v>
          </cell>
          <cell r="B747" t="str">
            <v>GO:0050825GO:0042309GO:0050826</v>
          </cell>
        </row>
        <row r="748">
          <cell r="A748" t="str">
            <v>GRMZM2G140032</v>
          </cell>
          <cell r="B748" t="str">
            <v>GO:0004969GO:0016021GO:0007186</v>
          </cell>
        </row>
        <row r="749">
          <cell r="A749" t="str">
            <v>GRMZM2G047727</v>
          </cell>
          <cell r="B749" t="str">
            <v>GO:0003735GO:0006412GO:0006464GO:0005840</v>
          </cell>
        </row>
        <row r="750">
          <cell r="A750" t="str">
            <v>GRMZM2G463574</v>
          </cell>
          <cell r="B750" t="str">
            <v>GO:0004674GO:0006468GO:0005524GO:0005515GO:0004713</v>
          </cell>
        </row>
        <row r="751">
          <cell r="A751" t="str">
            <v>GRMZM2G075502</v>
          </cell>
          <cell r="B751" t="str">
            <v>GO:0006334GO:0050826GO:0030001GO:0042309GO:0000786GO:0050825GO:0046872GO:0003677</v>
          </cell>
        </row>
        <row r="752">
          <cell r="A752" t="str">
            <v>GRMZM2G162605</v>
          </cell>
          <cell r="B752" t="str">
            <v>GO:0016787</v>
          </cell>
        </row>
        <row r="753">
          <cell r="A753" t="str">
            <v>GRMZM2G166548</v>
          </cell>
          <cell r="B753" t="str">
            <v>GO:0050825GO:0042309GO:0050826</v>
          </cell>
        </row>
        <row r="754">
          <cell r="A754" t="str">
            <v>GRMZM2G132461</v>
          </cell>
          <cell r="B754" t="str">
            <v>GO:0005544GO:0005509</v>
          </cell>
        </row>
        <row r="755">
          <cell r="A755" t="str">
            <v>GRMZM2G057394</v>
          </cell>
          <cell r="B755" t="str">
            <v>GO:0008026GO:0003676GO:0005524</v>
          </cell>
        </row>
        <row r="756">
          <cell r="A756" t="str">
            <v>GRMZM2G030272</v>
          </cell>
          <cell r="B756" t="str">
            <v>GO:0043565GO:0003700GO:0005634GO:0045449GO:0042309GO:0050826GO:0050825</v>
          </cell>
        </row>
        <row r="757">
          <cell r="A757" t="str">
            <v>GRMZM2G039463</v>
          </cell>
          <cell r="B757" t="str">
            <v>GO:0016811GO:0008152</v>
          </cell>
        </row>
        <row r="758">
          <cell r="A758" t="str">
            <v>GRMZM2G143235</v>
          </cell>
          <cell r="B758" t="str">
            <v>GO:0004497GO:0020037GO:0016020GO:0015833GO:0015197GO:0005524GO:0009055</v>
          </cell>
        </row>
        <row r="759">
          <cell r="A759" t="str">
            <v>GRMZM2G164761</v>
          </cell>
          <cell r="B759" t="str">
            <v>GO:0016020GO:0016760GO:0030244</v>
          </cell>
        </row>
        <row r="760">
          <cell r="A760" t="str">
            <v>GRMZM2G012690</v>
          </cell>
          <cell r="B760" t="str">
            <v>GO:0008270GO:0005622</v>
          </cell>
        </row>
        <row r="761">
          <cell r="A761" t="str">
            <v>GRMZM2G125991</v>
          </cell>
          <cell r="B761" t="str">
            <v>GO:0005975GO:0004553</v>
          </cell>
        </row>
        <row r="762">
          <cell r="A762" t="str">
            <v>GRMZM2G168858</v>
          </cell>
          <cell r="B762" t="str">
            <v>GO:0016491GO:0005506GO:0010181GO:0009055</v>
          </cell>
        </row>
        <row r="763">
          <cell r="A763" t="str">
            <v>GRMZM2G123119</v>
          </cell>
          <cell r="B763" t="str">
            <v>GO:0003700GO:0006355</v>
          </cell>
        </row>
        <row r="764">
          <cell r="A764" t="str">
            <v>GRMZM2G171387</v>
          </cell>
          <cell r="B764" t="str">
            <v>GO:0006334GO:0003677GO:0005634GO:0000786</v>
          </cell>
        </row>
        <row r="765">
          <cell r="A765" t="str">
            <v>GRMZM2G132489</v>
          </cell>
          <cell r="B765" t="str">
            <v>GO:0050661GO:0050660GO:0004499</v>
          </cell>
        </row>
        <row r="766">
          <cell r="A766" t="str">
            <v>GRMZM2G166944</v>
          </cell>
          <cell r="B766" t="str">
            <v>GO:0005618GO:0048046GO:0016762GO:0006073GO:0004553</v>
          </cell>
        </row>
        <row r="767">
          <cell r="A767" t="str">
            <v>GRMZM2G017022</v>
          </cell>
          <cell r="B767" t="str">
            <v>GO:0006468GO:0004713GO:0005524</v>
          </cell>
        </row>
        <row r="768">
          <cell r="A768" t="str">
            <v>GRMZM2G180399</v>
          </cell>
          <cell r="B768" t="str">
            <v>GO:0006631GO:0045300GO:0046914</v>
          </cell>
        </row>
        <row r="769">
          <cell r="A769" t="str">
            <v>GRMZM2G075505</v>
          </cell>
          <cell r="B769" t="str">
            <v>GO:0003676</v>
          </cell>
        </row>
        <row r="770">
          <cell r="A770" t="str">
            <v>GRMZM2G003331</v>
          </cell>
          <cell r="B770" t="str">
            <v>GO:0016787</v>
          </cell>
        </row>
        <row r="771">
          <cell r="A771" t="str">
            <v>GRMZM2G084859</v>
          </cell>
          <cell r="B771" t="str">
            <v>GO:0005576GO:0008083GO:0008283</v>
          </cell>
        </row>
        <row r="772">
          <cell r="A772" t="str">
            <v>GRMZM2G127139</v>
          </cell>
          <cell r="B772" t="str">
            <v>GO:0016020GO:0009688GO:0009540GO:0055114GO:0009507</v>
          </cell>
        </row>
        <row r="773">
          <cell r="A773" t="str">
            <v>GRMZM2G163081</v>
          </cell>
          <cell r="B773" t="str">
            <v>GO:0003735GO:0008097GO:0006412GO:0005840</v>
          </cell>
        </row>
        <row r="774">
          <cell r="A774" t="str">
            <v>GRMZM2G164965</v>
          </cell>
          <cell r="B774" t="str">
            <v>GO:0003735GO:0015934GO:0006412</v>
          </cell>
        </row>
        <row r="775">
          <cell r="A775" t="str">
            <v>GRMZM2G012183</v>
          </cell>
          <cell r="B775" t="str">
            <v>GO:0005199</v>
          </cell>
        </row>
        <row r="776">
          <cell r="A776" t="str">
            <v>GRMZM2G178807</v>
          </cell>
          <cell r="B776" t="str">
            <v>GO:0003735GO:0015934GO:0006412GO:0030528</v>
          </cell>
        </row>
        <row r="777">
          <cell r="A777" t="str">
            <v>GRMZM2G057262</v>
          </cell>
          <cell r="B777" t="str">
            <v>GO:0005737GO:0006457GO:0008270GO:0005515GO:0005524</v>
          </cell>
        </row>
        <row r="778">
          <cell r="A778" t="str">
            <v>GRMZM2G432390</v>
          </cell>
          <cell r="B778" t="str">
            <v>GO:0016773GO:0016021GO:0006810GO:0042626GO:0005524</v>
          </cell>
        </row>
        <row r="779">
          <cell r="A779" t="str">
            <v>GRMZM2G037998</v>
          </cell>
          <cell r="B779" t="str">
            <v>GO:0016020GO:0008378GO:0005164GO:0006486GO:0006955</v>
          </cell>
        </row>
        <row r="780">
          <cell r="A780" t="str">
            <v>GRMZM2G138572</v>
          </cell>
          <cell r="B780" t="str">
            <v>GO:0003676</v>
          </cell>
        </row>
        <row r="781">
          <cell r="A781" t="str">
            <v>GRMZM2G068322</v>
          </cell>
          <cell r="B781" t="str">
            <v>GO:0050825GO:0042309GO:0050826</v>
          </cell>
        </row>
        <row r="782">
          <cell r="A782" t="str">
            <v>GRMZM2G127050</v>
          </cell>
          <cell r="B782" t="str">
            <v>GO:0004674GO:0006468GO:0004713GO:0005524</v>
          </cell>
        </row>
        <row r="783">
          <cell r="A783" t="str">
            <v>GRMZM2G067122</v>
          </cell>
          <cell r="B783" t="str">
            <v>GO:0006396GO:0005622</v>
          </cell>
        </row>
        <row r="784">
          <cell r="A784" t="str">
            <v>GRMZM2G083759</v>
          </cell>
          <cell r="B784" t="str">
            <v>GO:0009416GO:0005515GO:0004871</v>
          </cell>
        </row>
        <row r="785">
          <cell r="A785" t="str">
            <v>GRMZM2G165969</v>
          </cell>
          <cell r="B785" t="str">
            <v>GO:0006508GO:0005515GO:0004252</v>
          </cell>
        </row>
        <row r="786">
          <cell r="A786" t="str">
            <v>GRMZM2G001661</v>
          </cell>
          <cell r="B786" t="str">
            <v>GO:0050825GO:0042309GO:0050826</v>
          </cell>
        </row>
        <row r="787">
          <cell r="A787" t="str">
            <v>GRMZM2G077942</v>
          </cell>
          <cell r="B787" t="str">
            <v>GO:0003779GO:0005622</v>
          </cell>
        </row>
        <row r="788">
          <cell r="A788" t="str">
            <v>GRMZM2G352415</v>
          </cell>
          <cell r="B788" t="str">
            <v>GO:0009269</v>
          </cell>
        </row>
        <row r="789">
          <cell r="A789" t="str">
            <v>GRMZM2G016323</v>
          </cell>
          <cell r="B789" t="str">
            <v>GO:0006511GO:0004221</v>
          </cell>
        </row>
        <row r="790">
          <cell r="A790" t="str">
            <v>GRMZM2G106133</v>
          </cell>
          <cell r="B790" t="str">
            <v>GO:0006936GO:0006334GO:0000786GO:0017022GO:0003779GO:0006355GO:0005516GO:0003677GO:0005634</v>
          </cell>
        </row>
        <row r="791">
          <cell r="A791" t="str">
            <v>GRMZM2G075828</v>
          </cell>
          <cell r="B791" t="str">
            <v>GO:0015297GO:0016020GO:0006855GO:0015238</v>
          </cell>
        </row>
        <row r="792">
          <cell r="A792" t="str">
            <v>GRMZM2G116151</v>
          </cell>
          <cell r="B792" t="str">
            <v>GO:0004674GO:0006468GO:0004713GO:0005524</v>
          </cell>
        </row>
        <row r="793">
          <cell r="A793" t="str">
            <v>GRMZM2G158034</v>
          </cell>
          <cell r="B793" t="str">
            <v>GO:0003735GO:0006412GO:0005840</v>
          </cell>
        </row>
        <row r="794">
          <cell r="A794" t="str">
            <v>GRMZM2G037627</v>
          </cell>
          <cell r="B794" t="str">
            <v>GO:0008270GO:0005515</v>
          </cell>
        </row>
        <row r="795">
          <cell r="A795" t="str">
            <v>GRMZM2G438895</v>
          </cell>
          <cell r="B795" t="str">
            <v>GO:0031072</v>
          </cell>
        </row>
        <row r="796">
          <cell r="A796" t="str">
            <v>GRMZM2G468855</v>
          </cell>
          <cell r="B796" t="str">
            <v>GO:0005488GO:0008152GO:0016491</v>
          </cell>
        </row>
        <row r="797">
          <cell r="A797" t="str">
            <v>AC200099.4_FG006</v>
          </cell>
          <cell r="B797" t="str">
            <v>GO:0004497GO:0020037GO:0009055</v>
          </cell>
        </row>
        <row r="798">
          <cell r="A798" t="str">
            <v>GRMZM2G179504</v>
          </cell>
          <cell r="B798" t="str">
            <v>GO:0016020GO:0015018</v>
          </cell>
        </row>
        <row r="799">
          <cell r="A799" t="str">
            <v>GRMZM2G342856</v>
          </cell>
          <cell r="B799" t="str">
            <v>GO:0008080GO:0008152</v>
          </cell>
        </row>
        <row r="800">
          <cell r="A800" t="str">
            <v>GRMZM2G380789</v>
          </cell>
          <cell r="B800" t="str">
            <v>GO:0016021</v>
          </cell>
        </row>
        <row r="801">
          <cell r="A801" t="str">
            <v>GRMZM2G469523</v>
          </cell>
          <cell r="B801" t="str">
            <v>GO:0016857GO:0005975GO:0005488</v>
          </cell>
        </row>
        <row r="802">
          <cell r="A802" t="str">
            <v>GRMZM2G045398</v>
          </cell>
          <cell r="B802" t="str">
            <v>GO:0008270GO:0005515</v>
          </cell>
        </row>
        <row r="803">
          <cell r="A803" t="str">
            <v>GRMZM2G181362</v>
          </cell>
          <cell r="B803" t="str">
            <v>GO:0009055GO:0005488GO:0008152GO:0016491</v>
          </cell>
        </row>
        <row r="804">
          <cell r="A804" t="str">
            <v>GRMZM2G075956</v>
          </cell>
          <cell r="B804" t="str">
            <v>GO:0008270GO:0005622</v>
          </cell>
        </row>
        <row r="805">
          <cell r="A805" t="str">
            <v>GRMZM2G071277</v>
          </cell>
          <cell r="B805" t="str">
            <v>GO:0008270GO:0005515GO:0009055</v>
          </cell>
        </row>
        <row r="806">
          <cell r="A806" t="str">
            <v>GRMZM2G110328</v>
          </cell>
          <cell r="B806" t="str">
            <v>GO:0003735GO:0006412GO:0005840</v>
          </cell>
        </row>
        <row r="807">
          <cell r="A807" t="str">
            <v>GRMZM2G336789</v>
          </cell>
          <cell r="B807" t="str">
            <v>GO:0006886GO:0030117GO:0016192GO:0005515</v>
          </cell>
        </row>
        <row r="808">
          <cell r="A808" t="str">
            <v>GRMZM2G013342</v>
          </cell>
          <cell r="B808" t="str">
            <v>GO:0015979GO:0009538</v>
          </cell>
        </row>
        <row r="809">
          <cell r="A809" t="str">
            <v>GRMZM2G043862</v>
          </cell>
          <cell r="B809" t="str">
            <v>GO:0005515</v>
          </cell>
        </row>
        <row r="810">
          <cell r="A810" t="str">
            <v>GRMZM2G321290</v>
          </cell>
          <cell r="B810" t="str">
            <v>GO:0004806GO:0006629</v>
          </cell>
        </row>
        <row r="811">
          <cell r="A811" t="str">
            <v>GRMZM2G306732</v>
          </cell>
          <cell r="B811" t="str">
            <v>GO:0042578GO:0005975</v>
          </cell>
        </row>
        <row r="812">
          <cell r="A812" t="str">
            <v>GRMZM2G012865</v>
          </cell>
          <cell r="B812" t="str">
            <v>GO:0004497GO:0020037GO:0009055</v>
          </cell>
        </row>
        <row r="813">
          <cell r="A813" t="str">
            <v>GRMZM2G082487</v>
          </cell>
          <cell r="B813" t="str">
            <v>GO:0006470GO:0008287GO:0004722</v>
          </cell>
        </row>
        <row r="814">
          <cell r="A814" t="str">
            <v>GRMZM2G129135</v>
          </cell>
          <cell r="B814" t="str">
            <v>GO:0016021</v>
          </cell>
        </row>
        <row r="815">
          <cell r="A815" t="str">
            <v>GRMZM2G138750</v>
          </cell>
          <cell r="B815" t="str">
            <v>GO:0004497GO:0020037GO:0009055</v>
          </cell>
        </row>
        <row r="816">
          <cell r="A816" t="str">
            <v>GRMZM2G312061</v>
          </cell>
          <cell r="B816" t="str">
            <v>GO:0004869</v>
          </cell>
        </row>
        <row r="817">
          <cell r="A817" t="str">
            <v>GRMZM2G068943</v>
          </cell>
          <cell r="B817" t="str">
            <v>GO:0003825GO:0005992</v>
          </cell>
        </row>
        <row r="818">
          <cell r="A818" t="str">
            <v>GRMZM2G098696</v>
          </cell>
          <cell r="B818" t="str">
            <v>GO:0003700GO:0006355GO:0005634GO:0043565</v>
          </cell>
        </row>
        <row r="819">
          <cell r="A819" t="str">
            <v>GRMZM2G068947</v>
          </cell>
          <cell r="B819" t="str">
            <v>GO:0010181GO:0016491</v>
          </cell>
        </row>
        <row r="820">
          <cell r="A820" t="str">
            <v>GRMZM2G312069</v>
          </cell>
          <cell r="B820" t="str">
            <v>GO:0004497GO:0020037GO:0009055</v>
          </cell>
        </row>
        <row r="821">
          <cell r="A821" t="str">
            <v>GRMZM2G168397</v>
          </cell>
          <cell r="B821" t="str">
            <v>GO:0031072GO:0006457GO:0051082</v>
          </cell>
        </row>
        <row r="822">
          <cell r="A822" t="str">
            <v>AC217811.3_FG003</v>
          </cell>
          <cell r="B822" t="str">
            <v>GO:0030170GO:0019752GO:0016831</v>
          </cell>
        </row>
        <row r="823">
          <cell r="A823" t="str">
            <v>GRMZM2G008507</v>
          </cell>
          <cell r="B823" t="str">
            <v>GO:0009058GO:0046524GO:0005985</v>
          </cell>
        </row>
        <row r="824">
          <cell r="A824" t="str">
            <v>GRMZM2G170017</v>
          </cell>
          <cell r="B824" t="str">
            <v>GO:0009239GO:0005488GO:0008667</v>
          </cell>
        </row>
        <row r="825">
          <cell r="A825" t="str">
            <v>GRMZM2G003406</v>
          </cell>
          <cell r="B825" t="str">
            <v>GO:0003677</v>
          </cell>
        </row>
        <row r="826">
          <cell r="A826" t="str">
            <v>GRMZM2G018228</v>
          </cell>
          <cell r="B826" t="str">
            <v>GO:0003735GO:0006412GO:0005840</v>
          </cell>
        </row>
        <row r="827">
          <cell r="A827" t="str">
            <v>GRMZM2G139765</v>
          </cell>
          <cell r="B827" t="str">
            <v>GO:0003700GO:0006355</v>
          </cell>
        </row>
        <row r="828">
          <cell r="A828" t="str">
            <v>GRMZM2G035421</v>
          </cell>
          <cell r="B828" t="str">
            <v>GO:0006629</v>
          </cell>
        </row>
        <row r="829">
          <cell r="A829" t="str">
            <v>GRMZM2G015409</v>
          </cell>
          <cell r="B829" t="str">
            <v>GO:0008270GO:0005515</v>
          </cell>
        </row>
        <row r="830">
          <cell r="A830" t="str">
            <v>GRMZM2G414252</v>
          </cell>
          <cell r="B830" t="str">
            <v>GO:0005634GO:0045449GO:0030528</v>
          </cell>
        </row>
        <row r="831">
          <cell r="A831" t="str">
            <v>GRMZM2G312244</v>
          </cell>
          <cell r="B831" t="str">
            <v>GO:0008270GO:0005622</v>
          </cell>
        </row>
        <row r="832">
          <cell r="A832" t="str">
            <v>GRMZM2G082390</v>
          </cell>
          <cell r="B832" t="str">
            <v>GO:0005737GO:0006796GO:0000287GO:0006464GO:0004427</v>
          </cell>
        </row>
        <row r="833">
          <cell r="A833" t="str">
            <v>GRMZM2G093826</v>
          </cell>
          <cell r="B833" t="str">
            <v>GO:0005247GO:0006813GO:0006821GO:0016020GO:0015079</v>
          </cell>
        </row>
        <row r="834">
          <cell r="A834" t="str">
            <v>GRMZM2G087507</v>
          </cell>
          <cell r="B834" t="str">
            <v>GO:0055114GO:0016491</v>
          </cell>
        </row>
        <row r="835">
          <cell r="A835" t="str">
            <v>GRMZM2G121264</v>
          </cell>
          <cell r="B835" t="str">
            <v>GO:0004497GO:0020037GO:0009055</v>
          </cell>
        </row>
        <row r="836">
          <cell r="A836" t="str">
            <v>GRMZM2G078314</v>
          </cell>
          <cell r="B836" t="str">
            <v>GO:0006334GO:0003677GO:0005634GO:0000786</v>
          </cell>
        </row>
        <row r="837">
          <cell r="A837" t="str">
            <v>GRMZM2G121262</v>
          </cell>
          <cell r="B837" t="str">
            <v>GO:0008409GO:0003677GO:0006281</v>
          </cell>
        </row>
        <row r="838">
          <cell r="A838" t="str">
            <v>GRMZM2G048904</v>
          </cell>
          <cell r="B838" t="str">
            <v>GO:0006629GO:0016788</v>
          </cell>
        </row>
        <row r="839">
          <cell r="A839" t="str">
            <v>GRMZM2G055802</v>
          </cell>
          <cell r="B839" t="str">
            <v>GO:0005576GO:0004867</v>
          </cell>
        </row>
        <row r="840">
          <cell r="A840" t="str">
            <v>GRMZM2G430362</v>
          </cell>
          <cell r="B840" t="str">
            <v>GO:0003676GO:0005524GO:0004386</v>
          </cell>
        </row>
        <row r="841">
          <cell r="A841" t="str">
            <v>GRMZM2G086906</v>
          </cell>
          <cell r="B841" t="str">
            <v>GO:0003735GO:0006412GO:0005840</v>
          </cell>
        </row>
        <row r="842">
          <cell r="A842" t="str">
            <v>GRMZM2G108153</v>
          </cell>
          <cell r="B842" t="str">
            <v>GO:0004601GO:0006979GO:0020037GO:0009055</v>
          </cell>
        </row>
        <row r="843">
          <cell r="A843" t="str">
            <v>AC190636.3_FG005</v>
          </cell>
          <cell r="B843" t="str">
            <v>GO:0016491</v>
          </cell>
        </row>
        <row r="844">
          <cell r="A844" t="str">
            <v>GRMZM2G025243</v>
          </cell>
          <cell r="B844" t="str">
            <v>GO:0009239GO:0005488GO:0004022GO:0008667</v>
          </cell>
        </row>
        <row r="845">
          <cell r="A845" t="str">
            <v>GRMZM2G174315</v>
          </cell>
          <cell r="B845" t="str">
            <v>GO:0004806GO:0016042</v>
          </cell>
        </row>
        <row r="846">
          <cell r="A846" t="str">
            <v>GRMZM2G136712</v>
          </cell>
          <cell r="B846" t="str">
            <v>GO:0005737GO:0008652GO:0050661GO:0004812GO:0006418GO:0004412GO:0005576GO:0005125GO:0006955GO:0016597GO:0005524</v>
          </cell>
        </row>
        <row r="847">
          <cell r="A847" t="str">
            <v>GRMZM2G119783</v>
          </cell>
          <cell r="B847" t="str">
            <v>GO:0005618GO:0048046GO:0016762GO:0006073GO:0004553</v>
          </cell>
        </row>
        <row r="848">
          <cell r="A848" t="str">
            <v>GRMZM2G467007</v>
          </cell>
          <cell r="B848" t="str">
            <v>GO:0015057GO:0016021GO:0007596GO:0007186</v>
          </cell>
        </row>
        <row r="849">
          <cell r="A849" t="str">
            <v>GRMZM2G362298</v>
          </cell>
          <cell r="B849" t="str">
            <v>GO:0016747</v>
          </cell>
        </row>
        <row r="850">
          <cell r="A850" t="str">
            <v>GRMZM2G181605</v>
          </cell>
          <cell r="B850" t="str">
            <v>GO:0045449GO:0003677</v>
          </cell>
        </row>
        <row r="851">
          <cell r="A851" t="str">
            <v>GRMZM2G181607</v>
          </cell>
          <cell r="B851" t="str">
            <v>GO:0045454</v>
          </cell>
        </row>
        <row r="852">
          <cell r="A852" t="str">
            <v>GRMZM2G147256</v>
          </cell>
          <cell r="B852" t="str">
            <v>GO:0016829GO:0009058GO:0006520GO:0016769GO:0030170</v>
          </cell>
        </row>
        <row r="853">
          <cell r="A853" t="str">
            <v>GRMZM2G161643</v>
          </cell>
          <cell r="B853" t="str">
            <v>GO:0016787</v>
          </cell>
        </row>
        <row r="854">
          <cell r="A854" t="str">
            <v>GRMZM2G147787</v>
          </cell>
          <cell r="B854" t="str">
            <v>GO:0050825GO:0042309GO:0050826</v>
          </cell>
        </row>
        <row r="855">
          <cell r="A855" t="str">
            <v>GRMZM2G104655</v>
          </cell>
          <cell r="B855" t="str">
            <v>GO:0004674GO:0006468GO:0005529GO:0004713GO:0005524</v>
          </cell>
        </row>
        <row r="856">
          <cell r="A856" t="str">
            <v>GRMZM2G004694</v>
          </cell>
          <cell r="B856" t="str">
            <v>GO:0022891GO:0016021GO:0055085</v>
          </cell>
        </row>
        <row r="857">
          <cell r="A857" t="str">
            <v>GRMZM2G146878</v>
          </cell>
          <cell r="B857" t="str">
            <v>GO:0005096GO:0008083</v>
          </cell>
        </row>
        <row r="858">
          <cell r="A858" t="str">
            <v>GRMZM2G133613</v>
          </cell>
          <cell r="B858" t="str">
            <v>GO:0016020GO:0008378GO:0006486</v>
          </cell>
        </row>
        <row r="859">
          <cell r="A859" t="str">
            <v>GRMZM2G019974</v>
          </cell>
          <cell r="B859" t="str">
            <v>GO:0005215GO:0016021GO:0006810</v>
          </cell>
        </row>
        <row r="860">
          <cell r="A860" t="str">
            <v>GRMZM2G059836</v>
          </cell>
          <cell r="B860" t="str">
            <v>GO:0046872GO:0030001</v>
          </cell>
        </row>
        <row r="861">
          <cell r="A861" t="str">
            <v>GRMZM2G094072</v>
          </cell>
          <cell r="B861" t="str">
            <v>GO:0003723</v>
          </cell>
        </row>
        <row r="862">
          <cell r="A862" t="str">
            <v>GRMZM2G115422</v>
          </cell>
          <cell r="B862" t="str">
            <v>GO:0050825GO:0016747GO:0042309GO:0050826</v>
          </cell>
        </row>
        <row r="863">
          <cell r="A863" t="str">
            <v>GRMZM2G102737</v>
          </cell>
          <cell r="B863" t="str">
            <v>GO:0016020</v>
          </cell>
        </row>
        <row r="864">
          <cell r="A864" t="str">
            <v>GRMZM2G373522</v>
          </cell>
          <cell r="B864" t="str">
            <v>GO:0006950GO:0009415</v>
          </cell>
        </row>
        <row r="865">
          <cell r="A865" t="str">
            <v>GRMZM2G474777</v>
          </cell>
          <cell r="B865" t="str">
            <v>GO:0004674GO:0006468GO:0005524GO:0005515GO:0004713</v>
          </cell>
        </row>
        <row r="866">
          <cell r="A866" t="str">
            <v>GRMZM2G339563</v>
          </cell>
          <cell r="B866" t="str">
            <v>GO:0051537GO:0016491GO:0055114GO:0009055</v>
          </cell>
        </row>
        <row r="867">
          <cell r="A867" t="str">
            <v>GRMZM2G002756</v>
          </cell>
          <cell r="B867" t="str">
            <v>GO:0030163</v>
          </cell>
        </row>
        <row r="868">
          <cell r="A868" t="str">
            <v>GRMZM2G169005</v>
          </cell>
          <cell r="B868" t="str">
            <v>GO:0009239GO:0005488GO:0008667</v>
          </cell>
        </row>
        <row r="869">
          <cell r="A869" t="str">
            <v>GRMZM2G396553</v>
          </cell>
          <cell r="B869" t="str">
            <v>GO:0008792GO:0006527GO:0008295</v>
          </cell>
        </row>
        <row r="870">
          <cell r="A870" t="str">
            <v>GRMZM2G066885</v>
          </cell>
          <cell r="B870" t="str">
            <v>GO:0016021GO:0007186GO:0004930</v>
          </cell>
        </row>
        <row r="871">
          <cell r="A871" t="str">
            <v>GRMZM2G003625</v>
          </cell>
          <cell r="B871" t="str">
            <v>GO:0006915GO:0005515GO:0005524</v>
          </cell>
        </row>
        <row r="872">
          <cell r="A872" t="str">
            <v>GRMZM2G166738</v>
          </cell>
          <cell r="B872" t="str">
            <v>GO:0006813GO:0016020GO:0015079</v>
          </cell>
        </row>
        <row r="873">
          <cell r="A873" t="str">
            <v>GRMZM2G072238</v>
          </cell>
          <cell r="B873" t="str">
            <v>GO:0005634GO:0045449GO:0030528</v>
          </cell>
        </row>
        <row r="874">
          <cell r="A874" t="str">
            <v>GRMZM2G161809</v>
          </cell>
          <cell r="B874" t="str">
            <v>GO:0015297GO:0016020GO:0006855GO:0015238</v>
          </cell>
        </row>
        <row r="875">
          <cell r="A875" t="str">
            <v>GRMZM2G090584</v>
          </cell>
          <cell r="B875" t="str">
            <v>GO:0008168GO:0032259GO:0016757GO:0003676</v>
          </cell>
        </row>
        <row r="876">
          <cell r="A876" t="str">
            <v>GRMZM2G104505</v>
          </cell>
          <cell r="B876" t="str">
            <v>GO:0016021GO:0016192</v>
          </cell>
        </row>
        <row r="877">
          <cell r="A877" t="str">
            <v>GRMZM2G350312</v>
          </cell>
          <cell r="B877" t="str">
            <v>GO:0005634GO:0045449GO:0030528</v>
          </cell>
        </row>
        <row r="878">
          <cell r="A878" t="str">
            <v>GRMZM2G057093</v>
          </cell>
          <cell r="B878" t="str">
            <v>GO:0004568GO:0006032</v>
          </cell>
        </row>
        <row r="879">
          <cell r="A879" t="str">
            <v>GRMZM2G164974</v>
          </cell>
          <cell r="B879" t="str">
            <v>GO:0006633GO:0016020GO:0008415GO:0016068</v>
          </cell>
        </row>
        <row r="880">
          <cell r="A880" t="str">
            <v>GRMZM2G047152</v>
          </cell>
          <cell r="B880" t="str">
            <v>GO:0006915GO:0005515GO:0005524</v>
          </cell>
        </row>
        <row r="881">
          <cell r="A881" t="str">
            <v>GRMZM2G085000</v>
          </cell>
          <cell r="B881" t="str">
            <v>GO:0045454GO:0009055</v>
          </cell>
        </row>
        <row r="882">
          <cell r="A882" t="str">
            <v>GRMZM2G318180</v>
          </cell>
          <cell r="B882" t="str">
            <v>GO:0045454GO:0015035GO:0009055</v>
          </cell>
        </row>
        <row r="883">
          <cell r="A883" t="str">
            <v>GRMZM2G056702</v>
          </cell>
          <cell r="B883" t="str">
            <v>GO:0016020</v>
          </cell>
        </row>
        <row r="884">
          <cell r="A884" t="str">
            <v>GRMZM2G105901</v>
          </cell>
          <cell r="B884" t="str">
            <v>GO:0050825GO:0042309GO:0050826</v>
          </cell>
        </row>
        <row r="885">
          <cell r="A885" t="str">
            <v>GRMZM2G035103</v>
          </cell>
          <cell r="B885" t="str">
            <v>GO:0008270GO:0005622</v>
          </cell>
        </row>
        <row r="886">
          <cell r="A886" t="str">
            <v>GRMZM2G084757</v>
          </cell>
          <cell r="B886" t="str">
            <v>GO:0003735GO:0006412GO:0005840</v>
          </cell>
        </row>
        <row r="887">
          <cell r="A887" t="str">
            <v>GRMZM2G039278</v>
          </cell>
          <cell r="B887" t="str">
            <v>GO:0004497GO:0020037GO:0009055</v>
          </cell>
        </row>
        <row r="888">
          <cell r="A888" t="str">
            <v>GRMZM2G175761</v>
          </cell>
          <cell r="B888" t="str">
            <v>GO:0008270</v>
          </cell>
        </row>
        <row r="889">
          <cell r="A889" t="str">
            <v>GRMZM2G065669</v>
          </cell>
          <cell r="B889" t="str">
            <v>GO:0003676</v>
          </cell>
        </row>
        <row r="890">
          <cell r="A890" t="str">
            <v>GRMZM2G128078</v>
          </cell>
          <cell r="B890" t="str">
            <v>GO:0005247GO:0006821GO:0016020</v>
          </cell>
        </row>
        <row r="891">
          <cell r="A891" t="str">
            <v>GRMZM2G409133</v>
          </cell>
          <cell r="B891" t="str">
            <v>GO:0009055GO:0005488GO:0008152GO:0016491</v>
          </cell>
        </row>
        <row r="892">
          <cell r="A892" t="str">
            <v>GRMZM2G094255</v>
          </cell>
          <cell r="B892" t="str">
            <v>GO:0000105GO:0004424</v>
          </cell>
        </row>
        <row r="893">
          <cell r="A893" t="str">
            <v>GRMZM2G331253</v>
          </cell>
          <cell r="B893" t="str">
            <v>GO:0008270</v>
          </cell>
        </row>
        <row r="894">
          <cell r="A894" t="str">
            <v>GRMZM2G051952</v>
          </cell>
          <cell r="B894" t="str">
            <v>GO:0006355GO:0005634GO:0004879GO:0003677</v>
          </cell>
        </row>
        <row r="895">
          <cell r="A895" t="str">
            <v>GRMZM2G057386</v>
          </cell>
          <cell r="B895" t="str">
            <v>GO:0003700GO:0006355</v>
          </cell>
        </row>
        <row r="896">
          <cell r="A896" t="str">
            <v>GRMZM2G408768</v>
          </cell>
          <cell r="B896" t="str">
            <v>GO:0019904</v>
          </cell>
        </row>
        <row r="897">
          <cell r="A897" t="str">
            <v>GRMZM2G012263</v>
          </cell>
          <cell r="B897" t="str">
            <v>GO:0020037GO:0016020GO:0004601GO:0006979GO:0009055</v>
          </cell>
        </row>
        <row r="898">
          <cell r="A898" t="str">
            <v>GRMZM2G083964</v>
          </cell>
          <cell r="B898" t="str">
            <v>GO:0006334GO:0003677GO:0000786</v>
          </cell>
        </row>
        <row r="899">
          <cell r="A899" t="str">
            <v>GRMZM2G057067</v>
          </cell>
          <cell r="B899" t="str">
            <v>GO:0005634GO:0045449</v>
          </cell>
        </row>
        <row r="900">
          <cell r="A900" t="str">
            <v>GRMZM2G103647</v>
          </cell>
          <cell r="B900" t="str">
            <v>GO:0003700GO:0006355GO:0046983GO:0005634GO:0043565</v>
          </cell>
        </row>
        <row r="901">
          <cell r="A901" t="str">
            <v>GRMZM2G144008</v>
          </cell>
          <cell r="B901" t="str">
            <v>GO:0008134GO:0003924GO:0006913GO:0005622GO:0006355GO:0007264GO:0006886GO:0005524GO:0005525</v>
          </cell>
        </row>
        <row r="902">
          <cell r="A902" t="str">
            <v>GRMZM2G116785</v>
          </cell>
          <cell r="B902" t="str">
            <v>GO:0005634GO:0045449GO:0030528</v>
          </cell>
        </row>
        <row r="903">
          <cell r="A903" t="str">
            <v>GRMZM2G148561</v>
          </cell>
          <cell r="B903" t="str">
            <v>GO:0003700GO:0043565GO:0005634GO:0045449</v>
          </cell>
        </row>
        <row r="904">
          <cell r="A904" t="str">
            <v>GRMZM2G049882</v>
          </cell>
          <cell r="B904" t="str">
            <v>GO:0006508GO:0008234</v>
          </cell>
        </row>
        <row r="905">
          <cell r="A905" t="str">
            <v>GRMZM2G074540</v>
          </cell>
          <cell r="B905" t="str">
            <v>GO:0016021</v>
          </cell>
        </row>
        <row r="906">
          <cell r="A906" t="str">
            <v>GRMZM2G035584</v>
          </cell>
          <cell r="B906" t="str">
            <v>GO:0016747</v>
          </cell>
        </row>
        <row r="907">
          <cell r="A907" t="str">
            <v>GRMZM2G176085</v>
          </cell>
          <cell r="B907" t="str">
            <v>GO:0004601GO:0006979GO:0020037GO:0009055</v>
          </cell>
        </row>
        <row r="908">
          <cell r="A908" t="str">
            <v>GRMZM2G123107</v>
          </cell>
          <cell r="B908" t="str">
            <v>GO:0005975GO:0004553</v>
          </cell>
        </row>
        <row r="909">
          <cell r="A909" t="str">
            <v>GRMZM2G127123</v>
          </cell>
          <cell r="B909" t="str">
            <v>GO:0004565GO:0009341GO:0005975GO:0005529</v>
          </cell>
        </row>
        <row r="910">
          <cell r="A910" t="str">
            <v>GRMZM2G095239</v>
          </cell>
          <cell r="B910" t="str">
            <v>GO:0006334GO:0003677GO:0005634GO:0000786</v>
          </cell>
        </row>
        <row r="911">
          <cell r="A911" t="str">
            <v>GRMZM2G176576</v>
          </cell>
          <cell r="B911" t="str">
            <v>GO:0050825GO:0042309GO:0016757GO:0050826</v>
          </cell>
        </row>
        <row r="912">
          <cell r="A912" t="str">
            <v>GRMZM2G135727</v>
          </cell>
          <cell r="B912" t="str">
            <v>GO:0003735GO:0006412GO:0005840</v>
          </cell>
        </row>
        <row r="913">
          <cell r="A913" t="str">
            <v>GRMZM2G117968</v>
          </cell>
          <cell r="B913" t="str">
            <v>GO:0003755</v>
          </cell>
        </row>
        <row r="914">
          <cell r="A914" t="str">
            <v>GRMZM2G015892</v>
          </cell>
          <cell r="B914" t="str">
            <v>GO:0004834GO:0006568</v>
          </cell>
        </row>
        <row r="915">
          <cell r="A915" t="str">
            <v>GRMZM2G135722</v>
          </cell>
          <cell r="B915" t="str">
            <v>GO:0016758GO:0008152</v>
          </cell>
        </row>
        <row r="916">
          <cell r="A916" t="str">
            <v>GRMZM2G050550</v>
          </cell>
          <cell r="B916" t="str">
            <v>GO:0003677</v>
          </cell>
        </row>
        <row r="917">
          <cell r="A917" t="str">
            <v>GRMZM2G046284</v>
          </cell>
          <cell r="B917" t="str">
            <v>GO:0006096GO:0004332</v>
          </cell>
        </row>
        <row r="918">
          <cell r="A918" t="str">
            <v>GRMZM2G472696</v>
          </cell>
          <cell r="B918" t="str">
            <v>GO:0006334GO:0003677GO:0005634GO:0000786</v>
          </cell>
        </row>
        <row r="919">
          <cell r="A919" t="str">
            <v>GRMZM2G114552</v>
          </cell>
          <cell r="B919" t="str">
            <v>GO:0005576GO:0004867</v>
          </cell>
        </row>
        <row r="920">
          <cell r="A920" t="str">
            <v>GRMZM2G134235</v>
          </cell>
          <cell r="B920" t="str">
            <v>GO:0050825GO:0042309GO:0050826</v>
          </cell>
        </row>
        <row r="921">
          <cell r="A921" t="str">
            <v>GRMZM2G468132</v>
          </cell>
          <cell r="B921" t="str">
            <v>GO:0008026GO:0003676GO:0005524</v>
          </cell>
        </row>
        <row r="922">
          <cell r="A922" t="str">
            <v>GRMZM2G111642</v>
          </cell>
          <cell r="B922" t="str">
            <v>GO:0016020GO:0016760GO:0008270GO:0005515GO:0030244</v>
          </cell>
        </row>
        <row r="923">
          <cell r="A923" t="str">
            <v>GRMZM2G060837</v>
          </cell>
          <cell r="B923" t="str">
            <v>GO:0016762GO:0005618GO:0016021GO:0048046GO:0005000GO:0006073GO:0004553GO:0007186</v>
          </cell>
        </row>
        <row r="924">
          <cell r="A924" t="str">
            <v>GRMZM2G159937</v>
          </cell>
          <cell r="B924" t="str">
            <v>GO:0005634GO:0045449GO:0030528</v>
          </cell>
        </row>
        <row r="925">
          <cell r="A925" t="str">
            <v>AC214640.3_FG003</v>
          </cell>
          <cell r="B925" t="str">
            <v>GO:0003735GO:0006412GO:0005840</v>
          </cell>
        </row>
        <row r="926">
          <cell r="A926" t="str">
            <v>GRMZM2G407631</v>
          </cell>
          <cell r="B926" t="str">
            <v>GO:0003700GO:0006355GO:0046983GO:0005634GO:0043565</v>
          </cell>
        </row>
        <row r="927">
          <cell r="A927" t="str">
            <v>GRMZM2G341732</v>
          </cell>
          <cell r="B927" t="str">
            <v>GO:0032312GO:0008060GO:0008270</v>
          </cell>
        </row>
        <row r="928">
          <cell r="A928" t="str">
            <v>GRMZM2G078756</v>
          </cell>
          <cell r="B928" t="str">
            <v>GO:0005737GO:0004826GO:0000049GO:0008033GO:0006432GO:0000287GO:0005524</v>
          </cell>
        </row>
        <row r="929">
          <cell r="A929" t="str">
            <v>GRMZM2G095126</v>
          </cell>
          <cell r="B929" t="str">
            <v>GO:0005975GO:0016020GO:0006835GO:0005515GO:0004553GO:0017153</v>
          </cell>
        </row>
        <row r="930">
          <cell r="A930" t="str">
            <v>GRMZM2G078757</v>
          </cell>
          <cell r="B930" t="str">
            <v>GO:0003735GO:0006412GO:0005840</v>
          </cell>
        </row>
        <row r="931">
          <cell r="A931" t="str">
            <v>GRMZM2G128092</v>
          </cell>
          <cell r="B931" t="str">
            <v>GO:0032040GO:0006364</v>
          </cell>
        </row>
        <row r="932">
          <cell r="A932" t="str">
            <v>GRMZM2G092817</v>
          </cell>
          <cell r="B932" t="str">
            <v>GO:0008198GO:0016491GO:0006725GO:0009055</v>
          </cell>
        </row>
        <row r="933">
          <cell r="A933" t="str">
            <v>GRMZM2G126865</v>
          </cell>
          <cell r="B933" t="str">
            <v>GO:0016021</v>
          </cell>
        </row>
        <row r="934">
          <cell r="A934" t="str">
            <v>GRMZM2G020054</v>
          </cell>
          <cell r="B934" t="str">
            <v>GO:0003700GO:0006355</v>
          </cell>
        </row>
        <row r="935">
          <cell r="A935" t="str">
            <v>GRMZM2G138698</v>
          </cell>
          <cell r="B935" t="str">
            <v>GO:0046872GO:0003993</v>
          </cell>
        </row>
        <row r="936">
          <cell r="A936" t="str">
            <v>GRMZM2G440259</v>
          </cell>
          <cell r="B936" t="str">
            <v>GO:0008270GO:0005515</v>
          </cell>
        </row>
        <row r="937">
          <cell r="A937" t="str">
            <v>GRMZM2G083810</v>
          </cell>
          <cell r="B937" t="str">
            <v>GO:0006508GO:0004252</v>
          </cell>
        </row>
        <row r="938">
          <cell r="A938" t="str">
            <v>GRMZM2G051043</v>
          </cell>
          <cell r="B938" t="str">
            <v>GO:0003723</v>
          </cell>
        </row>
        <row r="939">
          <cell r="A939" t="str">
            <v>GRMZM2G149219</v>
          </cell>
          <cell r="B939" t="str">
            <v>GO:0003700GO:0043565GO:0005634GO:0045449</v>
          </cell>
        </row>
        <row r="940">
          <cell r="A940" t="str">
            <v>GRMZM2G352129</v>
          </cell>
          <cell r="B940" t="str">
            <v>GO:0003723</v>
          </cell>
        </row>
        <row r="941">
          <cell r="A941" t="str">
            <v>GRMZM2G036217</v>
          </cell>
          <cell r="B941" t="str">
            <v>GO:0003824GO:0005488GO:0008152</v>
          </cell>
        </row>
        <row r="942">
          <cell r="A942" t="str">
            <v>GRMZM2G149211</v>
          </cell>
          <cell r="B942" t="str">
            <v>GO:0005743GO:0006810GO:0005488GO:0005215</v>
          </cell>
        </row>
        <row r="943">
          <cell r="A943" t="str">
            <v>GRMZM2G001724</v>
          </cell>
          <cell r="B943" t="str">
            <v>GO:0016021</v>
          </cell>
        </row>
        <row r="944">
          <cell r="A944" t="str">
            <v>GRMZM2G127338</v>
          </cell>
          <cell r="B944" t="str">
            <v>GO:0016020GO:0006865</v>
          </cell>
        </row>
        <row r="945">
          <cell r="A945" t="str">
            <v>GRMZM2G009661</v>
          </cell>
          <cell r="B945" t="str">
            <v>GO:0008601GO:0007165GO:0000159</v>
          </cell>
        </row>
        <row r="946">
          <cell r="A946" t="str">
            <v>GRMZM2G164558</v>
          </cell>
          <cell r="B946" t="str">
            <v>GO:0009512</v>
          </cell>
        </row>
        <row r="947">
          <cell r="A947" t="str">
            <v>GRMZM2G071206</v>
          </cell>
          <cell r="B947" t="str">
            <v>GO:0016491GO:0009055</v>
          </cell>
        </row>
        <row r="948">
          <cell r="A948" t="str">
            <v>GRMZM2G042347</v>
          </cell>
          <cell r="B948" t="str">
            <v>GO:0004601GO:0006979GO:0020037GO:0009055</v>
          </cell>
        </row>
        <row r="949">
          <cell r="A949" t="str">
            <v>GRMZM2G106213</v>
          </cell>
          <cell r="B949" t="str">
            <v>GO:0005978GO:0008878</v>
          </cell>
        </row>
        <row r="950">
          <cell r="A950" t="str">
            <v>GRMZM2G028733</v>
          </cell>
          <cell r="B950" t="str">
            <v>GO:0006511GO:0004221</v>
          </cell>
        </row>
        <row r="951">
          <cell r="A951" t="str">
            <v>GRMZM2G096020</v>
          </cell>
          <cell r="B951" t="str">
            <v>GO:0003824GO:0008152</v>
          </cell>
        </row>
        <row r="952">
          <cell r="A952" t="str">
            <v>GRMZM2G025659</v>
          </cell>
          <cell r="B952" t="str">
            <v>GO:0003824</v>
          </cell>
        </row>
        <row r="953">
          <cell r="A953" t="str">
            <v>GRMZM2G153138</v>
          </cell>
          <cell r="B953" t="str">
            <v>GO:0006886GO:0005622</v>
          </cell>
        </row>
        <row r="954">
          <cell r="A954" t="str">
            <v>GRMZM2G313656</v>
          </cell>
          <cell r="B954" t="str">
            <v>GO:0050825GO:0042309GO:0050826</v>
          </cell>
        </row>
        <row r="955">
          <cell r="A955" t="str">
            <v>GRMZM2G175232</v>
          </cell>
          <cell r="B955" t="str">
            <v>GO:0003677</v>
          </cell>
        </row>
        <row r="956">
          <cell r="A956" t="str">
            <v>GRMZM2G334592</v>
          </cell>
          <cell r="B956" t="str">
            <v>GO:0004674GO:0006468GO:0005529GO:0004713GO:0005524</v>
          </cell>
        </row>
        <row r="957">
          <cell r="A957" t="str">
            <v>GRMZM2G413113</v>
          </cell>
          <cell r="B957" t="str">
            <v>GO:0009416GO:0004871</v>
          </cell>
        </row>
        <row r="958">
          <cell r="A958" t="str">
            <v>GRMZM2G072315</v>
          </cell>
          <cell r="B958" t="str">
            <v>GO:0003735GO:0015934GO:0006412</v>
          </cell>
        </row>
        <row r="959">
          <cell r="A959" t="str">
            <v>GRMZM2G481904</v>
          </cell>
          <cell r="B959" t="str">
            <v>GO:0006071GO:0006629GO:0008889</v>
          </cell>
        </row>
        <row r="960">
          <cell r="A960" t="str">
            <v>GRMZM2G301355</v>
          </cell>
          <cell r="B960" t="str">
            <v>GO:0004674GO:0006468GO:0004713GO:0005524</v>
          </cell>
        </row>
        <row r="961">
          <cell r="A961" t="str">
            <v>GRMZM2G157156</v>
          </cell>
          <cell r="B961" t="str">
            <v>GO:0006508GO:0005515GO:0004252</v>
          </cell>
        </row>
        <row r="962">
          <cell r="A962" t="str">
            <v>GRMZM2G008539</v>
          </cell>
          <cell r="B962" t="str">
            <v>GO:0016758GO:0008152</v>
          </cell>
        </row>
        <row r="963">
          <cell r="A963" t="str">
            <v>GRMZM2G305321</v>
          </cell>
          <cell r="B963" t="str">
            <v>GO:0004674GO:0006468GO:0004713GO:0005524</v>
          </cell>
        </row>
        <row r="964">
          <cell r="A964" t="str">
            <v>GRMZM2G165044</v>
          </cell>
          <cell r="B964" t="str">
            <v>GO:0008270GO:0005515</v>
          </cell>
        </row>
        <row r="965">
          <cell r="A965" t="str">
            <v>GRMZM2G093666</v>
          </cell>
          <cell r="B965" t="str">
            <v>GO:0008168GO:0008152</v>
          </cell>
        </row>
        <row r="966">
          <cell r="A966" t="str">
            <v>GRMZM2G442387</v>
          </cell>
          <cell r="B966" t="str">
            <v>GO:0005488</v>
          </cell>
        </row>
        <row r="967">
          <cell r="A967" t="str">
            <v>GRMZM2G402262</v>
          </cell>
          <cell r="B967" t="str">
            <v>GO:0008270GO:0005515</v>
          </cell>
        </row>
        <row r="968">
          <cell r="A968" t="str">
            <v>GRMZM2G006480</v>
          </cell>
          <cell r="B968" t="str">
            <v>GO:0008483GO:0009058GO:0006520GO:0016847GO:0030170</v>
          </cell>
        </row>
        <row r="969">
          <cell r="A969" t="str">
            <v>GRMZM2G134703</v>
          </cell>
          <cell r="B969" t="str">
            <v>GO:0004497GO:0020037GO:0009055</v>
          </cell>
        </row>
        <row r="970">
          <cell r="A970" t="str">
            <v>GRMZM2G359333</v>
          </cell>
          <cell r="B970" t="str">
            <v>GO:0008270GO:0005515GO:0003677</v>
          </cell>
        </row>
        <row r="971">
          <cell r="A971" t="str">
            <v>GRMZM2G101900</v>
          </cell>
          <cell r="B971" t="str">
            <v>GO:0006207GO:0006520GO:0009348GO:0016597GO:0004585GO:0004070</v>
          </cell>
        </row>
        <row r="972">
          <cell r="A972" t="str">
            <v>GRMZM2G134708</v>
          </cell>
          <cell r="B972" t="str">
            <v>GO:0006813GO:0016491GO:0008324GO:0050660GO:0009055</v>
          </cell>
        </row>
        <row r="973">
          <cell r="A973" t="str">
            <v>GRMZM2G076417</v>
          </cell>
          <cell r="B973" t="str">
            <v>GO:0006508GO:0043086GO:0042802GO:0004252</v>
          </cell>
        </row>
        <row r="974">
          <cell r="A974" t="str">
            <v>GRMZM2G124353</v>
          </cell>
          <cell r="B974" t="str">
            <v>GO:0008483GO:0030170</v>
          </cell>
        </row>
        <row r="975">
          <cell r="A975" t="str">
            <v>AC212219.3_FG005</v>
          </cell>
          <cell r="B975" t="str">
            <v>GO:0005506GO:0016491</v>
          </cell>
        </row>
        <row r="976">
          <cell r="A976" t="str">
            <v>GRMZM2G169951</v>
          </cell>
          <cell r="B976" t="str">
            <v>GO:0016021</v>
          </cell>
        </row>
        <row r="977">
          <cell r="A977" t="str">
            <v>GRMZM2G032910</v>
          </cell>
          <cell r="B977" t="str">
            <v>GO:0006508GO:0004177</v>
          </cell>
        </row>
        <row r="978">
          <cell r="A978" t="str">
            <v>GRMZM2G086648</v>
          </cell>
          <cell r="B978" t="str">
            <v>GO:0005488</v>
          </cell>
        </row>
        <row r="979">
          <cell r="A979" t="str">
            <v>GRMZM2G479906</v>
          </cell>
          <cell r="B979" t="str">
            <v>GO:0016020GO:0016887GO:0005524</v>
          </cell>
        </row>
        <row r="980">
          <cell r="A980" t="str">
            <v>GRMZM2G068192</v>
          </cell>
          <cell r="B980" t="str">
            <v>GO:0004674GO:0006468GO:0004713GO:0005524</v>
          </cell>
        </row>
        <row r="981">
          <cell r="A981" t="str">
            <v>GRMZM2G138355</v>
          </cell>
          <cell r="B981" t="str">
            <v>GO:0016787</v>
          </cell>
        </row>
        <row r="982">
          <cell r="A982" t="str">
            <v>GRMZM2G074300</v>
          </cell>
          <cell r="B982" t="str">
            <v>GO:0003735GO:0015935GO:0006412GO:0003723</v>
          </cell>
        </row>
        <row r="983">
          <cell r="A983" t="str">
            <v>GRMZM2G432722</v>
          </cell>
          <cell r="B983" t="str">
            <v>GO:0004674GO:0006468GO:0004713GO:0005524</v>
          </cell>
        </row>
        <row r="984">
          <cell r="A984" t="str">
            <v>GRMZM2G000236</v>
          </cell>
          <cell r="B984" t="str">
            <v>GO:0010181GO:0016491</v>
          </cell>
        </row>
        <row r="985">
          <cell r="A985" t="str">
            <v>GRMZM2G086242</v>
          </cell>
          <cell r="B985" t="str">
            <v>GO:0016021</v>
          </cell>
        </row>
        <row r="986">
          <cell r="A986" t="str">
            <v>GRMZM2G405662</v>
          </cell>
          <cell r="B986" t="str">
            <v>GO:0046872GO:0030001</v>
          </cell>
        </row>
        <row r="987">
          <cell r="A987" t="str">
            <v>GRMZM2G136495</v>
          </cell>
          <cell r="B987" t="str">
            <v>GO:0006508GO:0004185GO:0004177</v>
          </cell>
        </row>
        <row r="988">
          <cell r="A988" t="str">
            <v>GRMZM2G147221</v>
          </cell>
          <cell r="B988" t="str">
            <v>GO:0005975GO:0004553</v>
          </cell>
        </row>
        <row r="989">
          <cell r="A989" t="str">
            <v>GRMZM2G476699</v>
          </cell>
          <cell r="B989" t="str">
            <v>GO:0016757</v>
          </cell>
        </row>
        <row r="990">
          <cell r="A990" t="str">
            <v>GRMZM2G124175</v>
          </cell>
          <cell r="B990" t="str">
            <v>GO:0016491GO:0009055</v>
          </cell>
        </row>
        <row r="991">
          <cell r="A991" t="str">
            <v>GRMZM2G032821</v>
          </cell>
          <cell r="B991" t="str">
            <v>GO:0004176GO:0000151GO:0016567GO:0006510GO:0008270GO:0005515GO:0004842</v>
          </cell>
        </row>
        <row r="992">
          <cell r="A992" t="str">
            <v>GRMZM2G179024</v>
          </cell>
          <cell r="B992" t="str">
            <v>GO:0006355GO:0000156GO:0000160</v>
          </cell>
        </row>
        <row r="993">
          <cell r="A993" t="str">
            <v>GRMZM2G032351</v>
          </cell>
          <cell r="B993" t="str">
            <v>GO:0006468GO:0004674GO:0006355GO:0007165GO:0004871GO:0005524GO:0004713</v>
          </cell>
        </row>
        <row r="994">
          <cell r="A994" t="str">
            <v>GRMZM2G115451</v>
          </cell>
          <cell r="B994" t="str">
            <v>GO:0005978GO:0004135</v>
          </cell>
        </row>
        <row r="995">
          <cell r="A995" t="str">
            <v>GRMZM2G108348</v>
          </cell>
          <cell r="B995" t="str">
            <v>GO:0003735GO:0019843GO:0006412GO:0015935</v>
          </cell>
        </row>
        <row r="996">
          <cell r="A996" t="str">
            <v>GRMZM2G059845</v>
          </cell>
          <cell r="B996" t="str">
            <v>GO:0016020</v>
          </cell>
        </row>
        <row r="997">
          <cell r="A997" t="str">
            <v>GRMZM2G038243</v>
          </cell>
          <cell r="B997" t="str">
            <v>GO:0050660GO:0016491</v>
          </cell>
        </row>
        <row r="998">
          <cell r="A998" t="str">
            <v>GRMZM2G420926</v>
          </cell>
          <cell r="B998" t="str">
            <v>GO:0016787</v>
          </cell>
        </row>
        <row r="999">
          <cell r="A999" t="str">
            <v>GRMZM2G126190</v>
          </cell>
          <cell r="B999" t="str">
            <v>GO:0005524GO:0005515</v>
          </cell>
        </row>
        <row r="1000">
          <cell r="A1000" t="str">
            <v>GRMZM2G018786</v>
          </cell>
          <cell r="B1000" t="str">
            <v>GO:0016773GO:0005634GO:0006355GO:0005524GO:0003677GO:0004879</v>
          </cell>
        </row>
        <row r="1001">
          <cell r="A1001" t="str">
            <v>GRMZM2G062974</v>
          </cell>
          <cell r="B1001" t="str">
            <v>GO:0004568GO:0006032GO:0008061GO:0016998</v>
          </cell>
        </row>
        <row r="1002">
          <cell r="A1002" t="str">
            <v>GRMZM2G061751</v>
          </cell>
          <cell r="B1002" t="str">
            <v>GO:0006259GO:0008094GO:0005524GO:0003677</v>
          </cell>
        </row>
        <row r="1003">
          <cell r="A1003" t="str">
            <v>AC209636.2_FG003</v>
          </cell>
          <cell r="B1003" t="str">
            <v>GO:0004982GO:0016021GO:0007186GO:0008152GO:0016787</v>
          </cell>
        </row>
        <row r="1004">
          <cell r="A1004" t="str">
            <v>GRMZM2G142779</v>
          </cell>
          <cell r="B1004" t="str">
            <v>GO:0005179GO:0016021GO:0005199GO:0003779GO:0005576GO:0050825GO:0030036GO:0042309GO:0050826GO:0007186</v>
          </cell>
        </row>
        <row r="1005">
          <cell r="A1005" t="str">
            <v>GRMZM2G013814</v>
          </cell>
          <cell r="B1005" t="str">
            <v>GO:0031072</v>
          </cell>
        </row>
        <row r="1006">
          <cell r="A1006" t="str">
            <v>GRMZM2G077214</v>
          </cell>
          <cell r="B1006" t="str">
            <v>GO:0055114GO:0016491</v>
          </cell>
        </row>
        <row r="1007">
          <cell r="A1007" t="str">
            <v>GRMZM2G125314</v>
          </cell>
          <cell r="B1007" t="str">
            <v>GO:0006508GO:0004197</v>
          </cell>
        </row>
        <row r="1008">
          <cell r="A1008" t="str">
            <v>GRMZM2G052562</v>
          </cell>
          <cell r="B1008" t="str">
            <v>GO:0006629GO:0016788</v>
          </cell>
        </row>
        <row r="1009">
          <cell r="A1009" t="str">
            <v>GRMZM2G105604</v>
          </cell>
          <cell r="B1009" t="str">
            <v>GO:0008168GO:0006779</v>
          </cell>
        </row>
        <row r="1010">
          <cell r="A1010" t="str">
            <v>GRMZM2G056407</v>
          </cell>
          <cell r="B1010" t="str">
            <v>GO:0050826GO:0050825GO:0042309GO:0003677</v>
          </cell>
        </row>
        <row r="1011">
          <cell r="A1011" t="str">
            <v>GRMZM2G076943</v>
          </cell>
          <cell r="B1011" t="str">
            <v>GO:0004674GO:0006468GO:0004713GO:0005524</v>
          </cell>
        </row>
        <row r="1012">
          <cell r="A1012" t="str">
            <v>GRMZM2G122337</v>
          </cell>
          <cell r="B1012" t="str">
            <v>GO:0022900GO:0051537GO:0009055</v>
          </cell>
        </row>
        <row r="1013">
          <cell r="A1013" t="str">
            <v>GRMZM2G066876</v>
          </cell>
          <cell r="B1013" t="str">
            <v>GO:0044267GO:0046488GO:0016307GO:0005515GO:0005524</v>
          </cell>
        </row>
        <row r="1014">
          <cell r="A1014" t="str">
            <v>GRMZM2G007195</v>
          </cell>
          <cell r="B1014" t="str">
            <v>GO:0016857GO:0050662GO:0006694GO:0003854GO:0045226GO:0008831</v>
          </cell>
        </row>
        <row r="1015">
          <cell r="A1015" t="str">
            <v>AC206951.3_FG017</v>
          </cell>
          <cell r="B1015" t="str">
            <v>GO:0003700GO:0006355</v>
          </cell>
        </row>
        <row r="1016">
          <cell r="A1016" t="str">
            <v>GRMZM2G328785</v>
          </cell>
          <cell r="B1016" t="str">
            <v>GO:0006468GO:0004674GO:0005529GO:0004713GO:0005524GO:0048544</v>
          </cell>
        </row>
        <row r="1017">
          <cell r="A1017" t="str">
            <v>GRMZM2G005909</v>
          </cell>
          <cell r="B1017" t="str">
            <v>GO:0008299</v>
          </cell>
        </row>
        <row r="1018">
          <cell r="A1018" t="str">
            <v>GRMZM2G152258</v>
          </cell>
          <cell r="B1018" t="str">
            <v>GO:0009239GO:0005488GO:0004022GO:0008667</v>
          </cell>
        </row>
        <row r="1019">
          <cell r="A1019" t="str">
            <v>GRMZM2G126682</v>
          </cell>
          <cell r="B1019" t="str">
            <v>GO:0008825GO:0006694</v>
          </cell>
        </row>
        <row r="1020">
          <cell r="A1020" t="str">
            <v>GRMZM2G031859</v>
          </cell>
          <cell r="B1020" t="str">
            <v>GO:0004540GO:0003723</v>
          </cell>
        </row>
        <row r="1021">
          <cell r="A1021" t="str">
            <v>GRMZM2G114850</v>
          </cell>
          <cell r="B1021" t="str">
            <v>GO:0045449GO:0003677GO:0050825GO:0042309GO:0050826</v>
          </cell>
        </row>
        <row r="1022">
          <cell r="A1022" t="str">
            <v>GRMZM2G046729</v>
          </cell>
          <cell r="B1022" t="str">
            <v>GO:0004674GO:0006468GO:0005524GO:0005515GO:0004713</v>
          </cell>
        </row>
        <row r="1023">
          <cell r="A1023" t="str">
            <v>GRMZM2G173315</v>
          </cell>
          <cell r="B1023" t="str">
            <v>GO:0016758GO:0008152</v>
          </cell>
        </row>
        <row r="1024">
          <cell r="A1024" t="str">
            <v>GRMZM2G114588</v>
          </cell>
          <cell r="B1024" t="str">
            <v>GO:0003824GO:0016564GO:0006808GO:0005488</v>
          </cell>
        </row>
        <row r="1025">
          <cell r="A1025" t="str">
            <v>GRMZM2G030673</v>
          </cell>
          <cell r="B1025" t="str">
            <v>GO:0006468GO:0005964GO:0005978GO:0004689GO:0004713GO:0005516GO:0005524GO:0005509</v>
          </cell>
        </row>
        <row r="1026">
          <cell r="A1026" t="str">
            <v>GRMZM2G011160</v>
          </cell>
          <cell r="B1026" t="str">
            <v>GO:0016887GO:0005524</v>
          </cell>
        </row>
        <row r="1027">
          <cell r="A1027" t="str">
            <v>GRMZM2G178486</v>
          </cell>
          <cell r="B1027" t="str">
            <v>GO:0008270GO:0005515</v>
          </cell>
        </row>
        <row r="1028">
          <cell r="A1028" t="str">
            <v>GRMZM2G302074</v>
          </cell>
          <cell r="B1028" t="str">
            <v>GO:0004497GO:0020037GO:0009055</v>
          </cell>
        </row>
        <row r="1029">
          <cell r="A1029" t="str">
            <v>GRMZM2G168651</v>
          </cell>
          <cell r="B1029" t="str">
            <v>GO:0005576GO:0005199</v>
          </cell>
        </row>
        <row r="1030">
          <cell r="A1030" t="str">
            <v>GRMZM2G148807</v>
          </cell>
          <cell r="B1030" t="str">
            <v>GO:0016021GO:0006298GO:0005234GO:0030983GO:0005524GO:0030288GO:0004965GO:0007186GO:0006811GO:0004970</v>
          </cell>
        </row>
        <row r="1031">
          <cell r="A1031" t="str">
            <v>GRMZM2G156713</v>
          </cell>
          <cell r="B1031" t="str">
            <v>GO:0005515GO:0016226</v>
          </cell>
        </row>
        <row r="1032">
          <cell r="A1032" t="str">
            <v>GRMZM2G018416</v>
          </cell>
          <cell r="B1032" t="str">
            <v>GO:0006071GO:0006629GO:0008889</v>
          </cell>
        </row>
        <row r="1033">
          <cell r="A1033" t="str">
            <v>AC230013.2_FG007</v>
          </cell>
          <cell r="B1033" t="str">
            <v>GO:0003735GO:0006412GO:0005840</v>
          </cell>
        </row>
        <row r="1034">
          <cell r="A1034" t="str">
            <v>GRMZM2G121221</v>
          </cell>
          <cell r="B1034" t="str">
            <v>GO:0005840GO:0006334GO:0003677GO:0006412GO:0003735GO:0000786GO:0005634</v>
          </cell>
        </row>
        <row r="1035">
          <cell r="A1035" t="str">
            <v>GRMZM2G089596</v>
          </cell>
          <cell r="B1035" t="str">
            <v>GO:0005634GO:0045449GO:0030528</v>
          </cell>
        </row>
        <row r="1036">
          <cell r="A1036" t="str">
            <v>GRMZM2G159237</v>
          </cell>
          <cell r="B1036" t="str">
            <v>GO:0003735GO:0006412GO:0015935</v>
          </cell>
        </row>
        <row r="1037">
          <cell r="A1037" t="str">
            <v>GRMZM2G328258</v>
          </cell>
          <cell r="B1037" t="str">
            <v>GO:0004674GO:0006468GO:0005529GO:0004713GO:0005524</v>
          </cell>
        </row>
        <row r="1038">
          <cell r="A1038" t="str">
            <v>GRMZM2G081554</v>
          </cell>
          <cell r="B1038" t="str">
            <v>GO:0016829GO:0000287GO:0008152</v>
          </cell>
        </row>
        <row r="1039">
          <cell r="A1039" t="str">
            <v>AC215690.3_FG002</v>
          </cell>
          <cell r="B1039" t="str">
            <v>GO:0006633GO:0045300GO:0046914</v>
          </cell>
        </row>
        <row r="1040">
          <cell r="A1040" t="str">
            <v>GRMZM2G124911</v>
          </cell>
          <cell r="B1040" t="str">
            <v>GO:0006839GO:0005743GO:0005488GO:0005215</v>
          </cell>
        </row>
        <row r="1041">
          <cell r="A1041" t="str">
            <v>GRMZM2G061950</v>
          </cell>
          <cell r="B1041" t="str">
            <v>GO:0005544GO:0005509</v>
          </cell>
        </row>
        <row r="1042">
          <cell r="A1042" t="str">
            <v>GRMZM2G180406</v>
          </cell>
          <cell r="B1042" t="str">
            <v>GO:0005634GO:0045449GO:0030528</v>
          </cell>
        </row>
        <row r="1043">
          <cell r="A1043" t="str">
            <v>GRMZM2G094532</v>
          </cell>
          <cell r="B1043" t="str">
            <v>GO:0006813GO:0016021GO:0005267</v>
          </cell>
        </row>
        <row r="1044">
          <cell r="A1044" t="str">
            <v>GRMZM2G165747</v>
          </cell>
          <cell r="B1044" t="str">
            <v>GO:0009086GO:0003871GO:0008270</v>
          </cell>
        </row>
        <row r="1045">
          <cell r="A1045" t="str">
            <v>GRMZM2G311919</v>
          </cell>
          <cell r="B1045" t="str">
            <v>GO:0045430GO:0009813</v>
          </cell>
        </row>
        <row r="1046">
          <cell r="A1046" t="str">
            <v>GRMZM2G468299</v>
          </cell>
          <cell r="B1046" t="str">
            <v>GO:0004674GO:0006468GO:0004713GO:0005524</v>
          </cell>
        </row>
        <row r="1047">
          <cell r="A1047" t="str">
            <v>GRMZM2G000739</v>
          </cell>
          <cell r="B1047" t="str">
            <v>GO:0006779GO:0008168GO:0016020GO:0005164GO:0006955</v>
          </cell>
        </row>
        <row r="1048">
          <cell r="A1048" t="str">
            <v>GRMZM2G320506</v>
          </cell>
          <cell r="B1048" t="str">
            <v>GO:0004674GO:0006468GO:0004713GO:0005524GO:0005509</v>
          </cell>
        </row>
        <row r="1049">
          <cell r="A1049" t="str">
            <v>GRMZM2G405581</v>
          </cell>
          <cell r="B1049" t="str">
            <v>GO:0004601GO:0006979GO:0020037GO:0009055</v>
          </cell>
        </row>
        <row r="1050">
          <cell r="A1050" t="str">
            <v>GRMZM2G118355</v>
          </cell>
          <cell r="B1050" t="str">
            <v>GO:0006334GO:0003677GO:0005634GO:0000786</v>
          </cell>
        </row>
        <row r="1051">
          <cell r="A1051" t="str">
            <v>GRMZM2G102878</v>
          </cell>
          <cell r="B1051" t="str">
            <v>GO:0006633GO:0000036</v>
          </cell>
        </row>
        <row r="1052">
          <cell r="A1052" t="str">
            <v>GRMZM2G034206</v>
          </cell>
          <cell r="B1052" t="str">
            <v>GO:0007155</v>
          </cell>
        </row>
        <row r="1053">
          <cell r="A1053" t="str">
            <v>GRMZM2G090542</v>
          </cell>
          <cell r="B1053" t="str">
            <v>GO:0008270GO:0008237</v>
          </cell>
        </row>
        <row r="1054">
          <cell r="A1054" t="str">
            <v>GRMZM2G046186</v>
          </cell>
          <cell r="B1054" t="str">
            <v>GO:0051537</v>
          </cell>
        </row>
        <row r="1055">
          <cell r="A1055" t="str">
            <v>GRMZM2G092780</v>
          </cell>
          <cell r="B1055" t="str">
            <v>GO:0005315GO:0016020GO:0006817</v>
          </cell>
        </row>
        <row r="1056">
          <cell r="A1056" t="str">
            <v>GRMZM2G166963</v>
          </cell>
          <cell r="B1056" t="str">
            <v>GO:0003735GO:0006412GO:0005840</v>
          </cell>
        </row>
        <row r="1057">
          <cell r="A1057" t="str">
            <v>GRMZM2G063949</v>
          </cell>
          <cell r="B1057" t="str">
            <v>GO:0003824GO:0044237GO:0050662</v>
          </cell>
        </row>
        <row r="1058">
          <cell r="A1058" t="str">
            <v>GRMZM2G022997</v>
          </cell>
          <cell r="B1058" t="str">
            <v>GO:0003993</v>
          </cell>
        </row>
        <row r="1059">
          <cell r="A1059" t="str">
            <v>GRMZM2G103897</v>
          </cell>
          <cell r="B1059" t="str">
            <v>GO:0003913GO:0006281</v>
          </cell>
        </row>
        <row r="1060">
          <cell r="A1060" t="str">
            <v>GRMZM2G030762</v>
          </cell>
          <cell r="B1060" t="str">
            <v>GO:0005634GO:0030528GO:0045449GO:0008270GO:0006508GO:0004181</v>
          </cell>
        </row>
        <row r="1061">
          <cell r="A1061" t="str">
            <v>GRMZM2G148772</v>
          </cell>
          <cell r="B1061" t="str">
            <v>GO:0007186GO:0016021GO:0004969GO:0008270GO:0005622</v>
          </cell>
        </row>
        <row r="1062">
          <cell r="A1062" t="str">
            <v>GRMZM2G312201</v>
          </cell>
          <cell r="B1062" t="str">
            <v>GO:0045449GO:0003677</v>
          </cell>
        </row>
        <row r="1063">
          <cell r="A1063" t="str">
            <v>GRMZM2G176568</v>
          </cell>
          <cell r="B1063" t="str">
            <v>GO:0003677</v>
          </cell>
        </row>
        <row r="1064">
          <cell r="A1064" t="str">
            <v>GRMZM2G547542</v>
          </cell>
          <cell r="B1064" t="str">
            <v>GO:0008168GO:0008152</v>
          </cell>
        </row>
        <row r="1065">
          <cell r="A1065" t="str">
            <v>GRMZM2G057281</v>
          </cell>
          <cell r="B1065" t="str">
            <v>GO:0016020GO:0009765</v>
          </cell>
        </row>
        <row r="1066">
          <cell r="A1066" t="str">
            <v>GRMZM2G017257</v>
          </cell>
          <cell r="B1066" t="str">
            <v>GO:0004807GO:0007018GO:0003777GO:0008152GO:0005875GO:0005524</v>
          </cell>
        </row>
        <row r="1067">
          <cell r="A1067" t="str">
            <v>GRMZM2G046297</v>
          </cell>
          <cell r="B1067" t="str">
            <v>GO:0004674GO:0006468GO:0004713GO:0005524</v>
          </cell>
        </row>
        <row r="1068">
          <cell r="A1068" t="str">
            <v>GRMZM2G089136</v>
          </cell>
          <cell r="B1068" t="str">
            <v>GO:0004618GO:0050825GO:0006096GO:0042309GO:0050826</v>
          </cell>
        </row>
        <row r="1069">
          <cell r="A1069" t="str">
            <v>GRMZM2G049076</v>
          </cell>
          <cell r="B1069" t="str">
            <v>GO:0009058GO:0046524GO:0005985</v>
          </cell>
        </row>
        <row r="1070">
          <cell r="A1070" t="str">
            <v>GRMZM2G131611</v>
          </cell>
          <cell r="B1070" t="str">
            <v>GO:0008270</v>
          </cell>
        </row>
        <row r="1071">
          <cell r="A1071" t="str">
            <v>GRMZM2G149428</v>
          </cell>
          <cell r="B1071" t="str">
            <v>GO:0016020GO:0009765</v>
          </cell>
        </row>
        <row r="1072">
          <cell r="A1072" t="str">
            <v>GRMZM2G002178</v>
          </cell>
          <cell r="B1072" t="str">
            <v>GO:0004497GO:0020037GO:0009055</v>
          </cell>
        </row>
        <row r="1073">
          <cell r="A1073" t="str">
            <v>GRMZM2G013324</v>
          </cell>
          <cell r="B1073" t="str">
            <v>GO:0006071GO:0006629GO:0008889</v>
          </cell>
        </row>
        <row r="1074">
          <cell r="A1074" t="str">
            <v>GRMZM2G080178</v>
          </cell>
          <cell r="B1074" t="str">
            <v>GO:0016021GO:0008271GO:0008272</v>
          </cell>
        </row>
        <row r="1075">
          <cell r="A1075" t="str">
            <v>GRMZM2G050234</v>
          </cell>
          <cell r="B1075" t="str">
            <v>GO:0005506GO:0016491</v>
          </cell>
        </row>
        <row r="1076">
          <cell r="A1076" t="str">
            <v>GRMZM2G012140</v>
          </cell>
          <cell r="B1076" t="str">
            <v>GO:0005975GO:0004553</v>
          </cell>
        </row>
        <row r="1077">
          <cell r="A1077" t="str">
            <v>GRMZM2G314898</v>
          </cell>
          <cell r="B1077" t="str">
            <v>GO:0016747</v>
          </cell>
        </row>
        <row r="1078">
          <cell r="A1078" t="str">
            <v>GRMZM2G106119</v>
          </cell>
          <cell r="B1078" t="str">
            <v>GO:0003951GO:0008152</v>
          </cell>
        </row>
        <row r="1079">
          <cell r="A1079" t="str">
            <v>GRMZM2G176780</v>
          </cell>
          <cell r="B1079" t="str">
            <v>GO:0005215GO:0016020GO:0006810</v>
          </cell>
        </row>
        <row r="1080">
          <cell r="A1080" t="str">
            <v>GRMZM2G142898</v>
          </cell>
          <cell r="B1080" t="str">
            <v>GO:0016020GO:0016760GO:0008270GO:0005515GO:0030244</v>
          </cell>
        </row>
        <row r="1081">
          <cell r="A1081" t="str">
            <v>GRMZM2G087192</v>
          </cell>
          <cell r="B1081" t="str">
            <v>GO:0010181GO:0016491</v>
          </cell>
        </row>
        <row r="1082">
          <cell r="A1082" t="str">
            <v>GRMZM2G042756</v>
          </cell>
          <cell r="B1082" t="str">
            <v>GO:0003700GO:0006355</v>
          </cell>
        </row>
        <row r="1083">
          <cell r="A1083" t="str">
            <v>GRMZM2G063897</v>
          </cell>
          <cell r="B1083" t="str">
            <v>GO:0004674GO:0006468GO:0004713GO:0005524</v>
          </cell>
        </row>
        <row r="1084">
          <cell r="A1084" t="str">
            <v>GRMZM2G071478</v>
          </cell>
          <cell r="B1084" t="str">
            <v>GO:0006468GO:0016998GO:0004674GO:0004336GO:0004713GO:0006683GO:0005524</v>
          </cell>
        </row>
        <row r="1085">
          <cell r="A1085" t="str">
            <v>GRMZM2G069722</v>
          </cell>
          <cell r="B1085" t="str">
            <v>GO:0004497GO:0020037GO:0009055</v>
          </cell>
        </row>
        <row r="1086">
          <cell r="A1086" t="str">
            <v>GRMZM2G155348</v>
          </cell>
          <cell r="B1086" t="str">
            <v>GO:0004367GO:0009331GO:0046168GO:0006813GO:0051287GO:0008324</v>
          </cell>
        </row>
        <row r="1087">
          <cell r="A1087" t="str">
            <v>GRMZM2G090432</v>
          </cell>
          <cell r="B1087" t="str">
            <v>GO:0004497GO:0020037GO:0009055</v>
          </cell>
        </row>
        <row r="1088">
          <cell r="A1088" t="str">
            <v>GRMZM2G109405</v>
          </cell>
          <cell r="B1088" t="str">
            <v>GO:0009401GO:0016787GO:0005351</v>
          </cell>
        </row>
        <row r="1089">
          <cell r="A1089" t="str">
            <v>GRMZM2G174807</v>
          </cell>
          <cell r="B1089" t="str">
            <v>GO:0045263GO:0016021GO:0015986GO:0015078</v>
          </cell>
        </row>
        <row r="1090">
          <cell r="A1090" t="str">
            <v>GRMZM2G129209</v>
          </cell>
          <cell r="B1090" t="str">
            <v>GO:0006629GO:0016491</v>
          </cell>
        </row>
        <row r="1091">
          <cell r="A1091" t="str">
            <v>GRMZM2G051059</v>
          </cell>
          <cell r="B1091" t="str">
            <v>GO:0006508GO:0004197</v>
          </cell>
        </row>
        <row r="1092">
          <cell r="A1092" t="str">
            <v>GRMZM2G167613</v>
          </cell>
          <cell r="B1092" t="str">
            <v>GO:0008270GO:0055114GO:0016491</v>
          </cell>
        </row>
        <row r="1093">
          <cell r="A1093" t="str">
            <v>GRMZM2G170812</v>
          </cell>
          <cell r="B1093" t="str">
            <v>GO:0003824GO:0044237GO:0050662</v>
          </cell>
        </row>
        <row r="1094">
          <cell r="A1094" t="str">
            <v>GRMZM2G179528</v>
          </cell>
          <cell r="B1094" t="str">
            <v>GO:0006508GO:0004185</v>
          </cell>
        </row>
        <row r="1095">
          <cell r="A1095" t="str">
            <v>GRMZM2G009724</v>
          </cell>
          <cell r="B1095" t="str">
            <v>GO:0005515</v>
          </cell>
        </row>
        <row r="1096">
          <cell r="A1096" t="str">
            <v>GRMZM2G075974</v>
          </cell>
          <cell r="B1096" t="str">
            <v>GO:0006541GO:0003824GO:0009058GO:0050825GO:0042309GO:0050826</v>
          </cell>
        </row>
        <row r="1097">
          <cell r="A1097" t="str">
            <v>GRMZM2G301908</v>
          </cell>
          <cell r="B1097" t="str">
            <v>GO:0005634GO:0003677GO:0006355GO:0050825GO:0042309GO:0050826GO:0004879</v>
          </cell>
        </row>
        <row r="1098">
          <cell r="A1098" t="str">
            <v>GRMZM2G093809</v>
          </cell>
          <cell r="B1098" t="str">
            <v>GO:0004674GO:0006468GO:0005524GO:0005515GO:0004713</v>
          </cell>
        </row>
        <row r="1099">
          <cell r="A1099" t="str">
            <v>GRMZM2G072529</v>
          </cell>
          <cell r="B1099" t="str">
            <v>GO:0005506GO:0016491</v>
          </cell>
        </row>
        <row r="1100">
          <cell r="A1100" t="str">
            <v>GRMZM2G077851</v>
          </cell>
          <cell r="B1100" t="str">
            <v>GO:0004415GO:0006952GO:0003735GO:0006412GO:0005840</v>
          </cell>
        </row>
        <row r="1101">
          <cell r="A1101" t="str">
            <v>GRMZM2G091540</v>
          </cell>
          <cell r="B1101" t="str">
            <v>GO:0006508GO:0046983GO:0016020GO:0051260GO:0008237</v>
          </cell>
        </row>
        <row r="1102">
          <cell r="A1102" t="str">
            <v>GRMZM2G091235</v>
          </cell>
          <cell r="B1102" t="str">
            <v>GO:0050825GO:0042309GO:0050826</v>
          </cell>
        </row>
        <row r="1103">
          <cell r="A1103" t="str">
            <v>GRMZM2G366607</v>
          </cell>
          <cell r="B1103" t="str">
            <v>GO:0016787</v>
          </cell>
        </row>
        <row r="1104">
          <cell r="A1104" t="str">
            <v>GRMZM2G099092</v>
          </cell>
          <cell r="B1104" t="str">
            <v>GO:0005576</v>
          </cell>
        </row>
        <row r="1105">
          <cell r="A1105" t="str">
            <v>GRMZM2G054803</v>
          </cell>
          <cell r="B1105" t="str">
            <v>GO:0016765</v>
          </cell>
        </row>
        <row r="1106">
          <cell r="A1106" t="str">
            <v>GRMZM2G023748</v>
          </cell>
          <cell r="B1106" t="str">
            <v>GO:0003723GO:0006396</v>
          </cell>
        </row>
        <row r="1107">
          <cell r="A1107" t="str">
            <v>GRMZM2G123815</v>
          </cell>
          <cell r="B1107" t="str">
            <v>GO:0006508GO:0004185</v>
          </cell>
        </row>
        <row r="1108">
          <cell r="A1108" t="str">
            <v>GRMZM2G347280</v>
          </cell>
          <cell r="B1108" t="str">
            <v>GO:0003824GO:0005992</v>
          </cell>
        </row>
        <row r="1109">
          <cell r="A1109" t="str">
            <v>GRMZM2G141379</v>
          </cell>
          <cell r="B1109" t="str">
            <v>GO:0008270GO:0005515</v>
          </cell>
        </row>
        <row r="1110">
          <cell r="A1110" t="str">
            <v>GRMZM2G463913</v>
          </cell>
          <cell r="B1110" t="str">
            <v>GO:0003735GO:0006412GO:0005840</v>
          </cell>
        </row>
        <row r="1111">
          <cell r="A1111" t="str">
            <v>GRMZM2G049695</v>
          </cell>
          <cell r="B1111" t="str">
            <v>GO:0003677GO:0050825GO:0008270GO:0042309GO:0050826</v>
          </cell>
        </row>
        <row r="1112">
          <cell r="A1112" t="str">
            <v>GRMZM2G076087</v>
          </cell>
          <cell r="B1112" t="str">
            <v>GO:0003735GO:0006412GO:0005840</v>
          </cell>
        </row>
        <row r="1113">
          <cell r="A1113" t="str">
            <v>GRMZM2G481261</v>
          </cell>
          <cell r="B1113" t="str">
            <v>GO:0051537GO:0009055</v>
          </cell>
        </row>
        <row r="1114">
          <cell r="A1114" t="str">
            <v>GRMZM2G100754</v>
          </cell>
          <cell r="B1114" t="str">
            <v>GO:0046983GO:0008171</v>
          </cell>
        </row>
        <row r="1115">
          <cell r="A1115" t="str">
            <v>GRMZM2G321033</v>
          </cell>
          <cell r="B1115" t="str">
            <v>GO:0004497GO:0020037GO:0009055</v>
          </cell>
        </row>
        <row r="1116">
          <cell r="A1116" t="str">
            <v>GRMZM2G112728</v>
          </cell>
          <cell r="B1116" t="str">
            <v>GO:0016765GO:0008299GO:0009842GO:0015979</v>
          </cell>
        </row>
        <row r="1117">
          <cell r="A1117" t="str">
            <v>GRMZM2G023346</v>
          </cell>
          <cell r="B1117" t="str">
            <v>GO:0009416GO:0005515GO:0004871</v>
          </cell>
        </row>
        <row r="1118">
          <cell r="A1118" t="str">
            <v>GRMZM2G098676</v>
          </cell>
          <cell r="B1118" t="str">
            <v>GO:0016810</v>
          </cell>
        </row>
        <row r="1119">
          <cell r="A1119" t="str">
            <v>GRMZM2G005347</v>
          </cell>
          <cell r="B1119" t="str">
            <v>GO:0007017GO:0006915GO:0017111GO:0005874GO:0005524GO:0005525</v>
          </cell>
        </row>
        <row r="1120">
          <cell r="A1120" t="str">
            <v>GRMZM2G412986</v>
          </cell>
          <cell r="B1120" t="str">
            <v>GO:0016757</v>
          </cell>
        </row>
        <row r="1121">
          <cell r="A1121" t="str">
            <v>GRMZM2G028665</v>
          </cell>
          <cell r="B1121" t="str">
            <v>GO:0004518GO:0003677GO:0006289</v>
          </cell>
        </row>
        <row r="1122">
          <cell r="A1122" t="str">
            <v>GRMZM2G063162</v>
          </cell>
          <cell r="B1122" t="str">
            <v>GO:0006915GO:0005515</v>
          </cell>
        </row>
        <row r="1123">
          <cell r="A1123" t="str">
            <v>GRMZM2G137558</v>
          </cell>
          <cell r="B1123" t="str">
            <v>GO:0016773</v>
          </cell>
        </row>
        <row r="1124">
          <cell r="A1124" t="str">
            <v>GRMZM2G157369</v>
          </cell>
          <cell r="B1124" t="str">
            <v>GO:0004674GO:0006468GO:0005524</v>
          </cell>
        </row>
        <row r="1125">
          <cell r="A1125" t="str">
            <v>GRMZM2G054936</v>
          </cell>
          <cell r="B1125" t="str">
            <v>GO:0004437</v>
          </cell>
        </row>
        <row r="1126">
          <cell r="A1126" t="str">
            <v>GRMZM2G004349</v>
          </cell>
          <cell r="B1126" t="str">
            <v>GO:0005783</v>
          </cell>
        </row>
        <row r="1127">
          <cell r="A1127" t="str">
            <v>GRMZM2G137802</v>
          </cell>
          <cell r="B1127" t="str">
            <v>GO:0003700GO:0043565GO:0005634GO:0045449</v>
          </cell>
        </row>
        <row r="1128">
          <cell r="A1128" t="str">
            <v>GRMZM2G022180</v>
          </cell>
          <cell r="B1128" t="str">
            <v>GO:0006457GO:0005509GO:0051082GO:0005783</v>
          </cell>
        </row>
        <row r="1129">
          <cell r="A1129" t="str">
            <v>GRMZM2G032694</v>
          </cell>
          <cell r="B1129" t="str">
            <v>GO:0004674GO:0006468GO:0004713GO:0005524</v>
          </cell>
        </row>
        <row r="1130">
          <cell r="A1130" t="str">
            <v>GRMZM2G043932</v>
          </cell>
          <cell r="B1130" t="str">
            <v>GO:0046872GO:0030001</v>
          </cell>
        </row>
        <row r="1131">
          <cell r="A1131" t="str">
            <v>GRMZM2G439589</v>
          </cell>
          <cell r="B1131" t="str">
            <v>GO:0003824GO:0005488GO:0008152</v>
          </cell>
        </row>
        <row r="1132">
          <cell r="A1132" t="str">
            <v>GRMZM2G059037</v>
          </cell>
          <cell r="B1132" t="str">
            <v>GO:0000228</v>
          </cell>
        </row>
        <row r="1133">
          <cell r="A1133" t="str">
            <v>GRMZM2G034052</v>
          </cell>
          <cell r="B1133" t="str">
            <v>GO:0006468GO:0016021GO:0015054GO:0004707GO:0004713GO:0007186GO:0005524</v>
          </cell>
        </row>
        <row r="1134">
          <cell r="A1134" t="str">
            <v>GRMZM2G107886</v>
          </cell>
          <cell r="B1134" t="str">
            <v>GO:0008270GO:0005622</v>
          </cell>
        </row>
        <row r="1135">
          <cell r="A1135" t="str">
            <v>GRMZM2G399136</v>
          </cell>
          <cell r="B1135" t="str">
            <v>GO:0031072GO:0006457GO:0051082</v>
          </cell>
        </row>
        <row r="1136">
          <cell r="A1136" t="str">
            <v>GRMZM2G174799</v>
          </cell>
          <cell r="B1136" t="str">
            <v>GO:0006355GO:0005634GO:0004879GO:0003677</v>
          </cell>
        </row>
        <row r="1137">
          <cell r="A1137" t="str">
            <v>GRMZM2G099305</v>
          </cell>
          <cell r="B1137" t="str">
            <v>GO:0008080GO:0008152</v>
          </cell>
        </row>
        <row r="1138">
          <cell r="A1138" t="str">
            <v>GRMZM2G072744</v>
          </cell>
          <cell r="B1138" t="str">
            <v>GO:0005488GO:0030060GO:0006108GO:0006096</v>
          </cell>
        </row>
        <row r="1139">
          <cell r="A1139" t="str">
            <v>GRMZM2G100225</v>
          </cell>
          <cell r="B1139" t="str">
            <v>GO:0003735GO:0015934GO:0006412GO:0030528</v>
          </cell>
        </row>
        <row r="1140">
          <cell r="A1140" t="str">
            <v>GRMZM2G003518</v>
          </cell>
          <cell r="B1140" t="str">
            <v>GO:0006887GO:0000145</v>
          </cell>
        </row>
        <row r="1141">
          <cell r="A1141" t="str">
            <v>GRMZM2G092311</v>
          </cell>
          <cell r="B1141" t="str">
            <v>GO:0016020GO:0009765</v>
          </cell>
        </row>
        <row r="1142">
          <cell r="A1142" t="str">
            <v>GRMZM2G152111</v>
          </cell>
          <cell r="B1142" t="str">
            <v>GO:0003723</v>
          </cell>
        </row>
        <row r="1143">
          <cell r="A1143" t="str">
            <v>GRMZM2G009940</v>
          </cell>
          <cell r="B1143" t="str">
            <v>GO:0009239GO:0005488GO:0008667</v>
          </cell>
        </row>
        <row r="1144">
          <cell r="A1144" t="str">
            <v>GRMZM2G406108</v>
          </cell>
          <cell r="B1144" t="str">
            <v>GO:0005576</v>
          </cell>
        </row>
        <row r="1145">
          <cell r="A1145" t="str">
            <v>GRMZM2G005633</v>
          </cell>
          <cell r="B1145" t="str">
            <v>GO:0016491GO:0004568GO:0006032GO:0008061GO:0016998</v>
          </cell>
        </row>
        <row r="1146">
          <cell r="A1146" t="str">
            <v>GRMZM2G305264</v>
          </cell>
          <cell r="B1146" t="str">
            <v>GO:0008270GO:0005515</v>
          </cell>
        </row>
        <row r="1147">
          <cell r="A1147" t="str">
            <v>GRMZM2G019317</v>
          </cell>
          <cell r="B1147" t="str">
            <v>GO:0004674GO:0006468GO:0005524GO:0005515GO:0004713</v>
          </cell>
        </row>
        <row r="1148">
          <cell r="A1148" t="str">
            <v>GRMZM2G018770</v>
          </cell>
          <cell r="B1148" t="str">
            <v>GO:0003735GO:0006412GO:0005840</v>
          </cell>
        </row>
        <row r="1149">
          <cell r="A1149" t="str">
            <v>GRMZM2G018716</v>
          </cell>
          <cell r="B1149" t="str">
            <v>GO:0006508GO:0005975GO:0004252GO:0004553</v>
          </cell>
        </row>
        <row r="1150">
          <cell r="A1150" t="str">
            <v>GRMZM2G066067</v>
          </cell>
          <cell r="B1150" t="str">
            <v>GO:0016758GO:0008152</v>
          </cell>
        </row>
        <row r="1151">
          <cell r="A1151" t="str">
            <v>GRMZM2G119521</v>
          </cell>
          <cell r="B1151" t="str">
            <v>GO:0004674GO:0006468GO:0004713GO:0005524</v>
          </cell>
        </row>
        <row r="1152">
          <cell r="A1152" t="str">
            <v>GRMZM2G071071</v>
          </cell>
          <cell r="B1152" t="str">
            <v>GO:0015031GO:0005525GO:0005509GO:0007264GO:0005622</v>
          </cell>
        </row>
        <row r="1153">
          <cell r="A1153" t="str">
            <v>GRMZM2G086258</v>
          </cell>
          <cell r="B1153" t="str">
            <v>GO:0005215GO:0016020GO:0006814</v>
          </cell>
        </row>
        <row r="1154">
          <cell r="A1154" t="str">
            <v>GRMZM2G087678</v>
          </cell>
          <cell r="B1154" t="str">
            <v>GO:0005089</v>
          </cell>
        </row>
        <row r="1155">
          <cell r="A1155" t="str">
            <v>GRMZM2G382534</v>
          </cell>
          <cell r="B1155" t="str">
            <v>GO:0006633GO:0005783GO:0050825GO:0042309GO:0050826GO:0005506GO:0055114GO:0016491</v>
          </cell>
        </row>
        <row r="1156">
          <cell r="A1156" t="str">
            <v>GRMZM2G160710</v>
          </cell>
          <cell r="B1156" t="str">
            <v>GO:0046872GO:0030001</v>
          </cell>
        </row>
        <row r="1157">
          <cell r="A1157" t="str">
            <v>GRMZM2G452016</v>
          </cell>
          <cell r="B1157" t="str">
            <v>GO:0016567GO:0004842GO:0000151GO:0005488</v>
          </cell>
        </row>
        <row r="1158">
          <cell r="A1158" t="str">
            <v>GRMZM2G179120</v>
          </cell>
          <cell r="B1158" t="str">
            <v>GO:0006633GO:0016717GO:0020037</v>
          </cell>
        </row>
        <row r="1159">
          <cell r="A1159" t="str">
            <v>GRMZM2G077669</v>
          </cell>
          <cell r="B1159" t="str">
            <v>GO:0005247GO:0006821GO:0016020</v>
          </cell>
        </row>
        <row r="1160">
          <cell r="A1160" t="str">
            <v>GRMZM2G161293</v>
          </cell>
          <cell r="B1160" t="str">
            <v>GO:0008375GO:0016020</v>
          </cell>
        </row>
        <row r="1161">
          <cell r="A1161" t="str">
            <v>GRMZM2G320373</v>
          </cell>
          <cell r="B1161" t="str">
            <v>GO:0050825GO:0042309GO:0050826</v>
          </cell>
        </row>
        <row r="1162">
          <cell r="A1162" t="str">
            <v>GRMZM2G101245</v>
          </cell>
          <cell r="B1162" t="str">
            <v>GO:0004674GO:0006468GO:0004713GO:0005524</v>
          </cell>
        </row>
        <row r="1163">
          <cell r="A1163" t="str">
            <v>GRMZM2G169020</v>
          </cell>
          <cell r="B1163" t="str">
            <v>GO:0004674GO:0006468GO:0004713GO:0005524</v>
          </cell>
        </row>
        <row r="1164">
          <cell r="A1164" t="str">
            <v>GRMZM2G146754</v>
          </cell>
          <cell r="B1164" t="str">
            <v>GO:0008152GO:0016491</v>
          </cell>
        </row>
        <row r="1165">
          <cell r="A1165" t="str">
            <v>AC190623.3_FG001</v>
          </cell>
          <cell r="B1165" t="str">
            <v>GO:0009523GO:0009507</v>
          </cell>
        </row>
        <row r="1166">
          <cell r="A1166" t="str">
            <v>GRMZM2G044027</v>
          </cell>
          <cell r="B1166" t="str">
            <v>GO:0016857GO:0050662GO:0006694GO:0003854GO:0045226GO:0008831</v>
          </cell>
        </row>
        <row r="1167">
          <cell r="A1167" t="str">
            <v>GRMZM2G458095</v>
          </cell>
          <cell r="B1167" t="str">
            <v>GO:0017111GO:0005524</v>
          </cell>
        </row>
        <row r="1168">
          <cell r="A1168" t="str">
            <v>GRMZM2G044752</v>
          </cell>
          <cell r="B1168" t="str">
            <v>GO:0003700GO:0006355GO:0005634GO:0043565</v>
          </cell>
        </row>
        <row r="1169">
          <cell r="A1169" t="str">
            <v>GRMZM2G161534</v>
          </cell>
          <cell r="B1169" t="str">
            <v>GO:0003824GO:0005975GO:0030246</v>
          </cell>
        </row>
        <row r="1170">
          <cell r="A1170" t="str">
            <v>GRMZM2G052571</v>
          </cell>
          <cell r="B1170" t="str">
            <v>GO:0005737GO:0004364GO:0008152</v>
          </cell>
        </row>
        <row r="1171">
          <cell r="A1171" t="str">
            <v>GRMZM2G181151</v>
          </cell>
          <cell r="B1171" t="str">
            <v>GO:0033180GO:0015986GO:0046961GO:0046933</v>
          </cell>
        </row>
        <row r="1172">
          <cell r="A1172" t="str">
            <v>GRMZM2G125308</v>
          </cell>
          <cell r="B1172" t="str">
            <v>GO:0004674GO:0006468GO:0004713GO:0005524</v>
          </cell>
        </row>
        <row r="1173">
          <cell r="A1173" t="str">
            <v>GRMZM2G322661</v>
          </cell>
          <cell r="B1173" t="str">
            <v>GO:0003899GO:0008408GO:0003677GO:0006350GO:0005622</v>
          </cell>
        </row>
        <row r="1174">
          <cell r="A1174" t="str">
            <v>GRMZM2G024354</v>
          </cell>
          <cell r="B1174" t="str">
            <v>GO:0003735GO:0006412GO:0005840</v>
          </cell>
        </row>
        <row r="1175">
          <cell r="A1175" t="str">
            <v>GRMZM2G142409</v>
          </cell>
          <cell r="B1175" t="str">
            <v>GO:0005783</v>
          </cell>
        </row>
        <row r="1176">
          <cell r="A1176" t="str">
            <v>GRMZM2G125441</v>
          </cell>
          <cell r="B1176" t="str">
            <v>GO:0003735GO:0016020GO:0051260GO:0006412GO:0005840</v>
          </cell>
        </row>
        <row r="1177">
          <cell r="A1177" t="str">
            <v>GRMZM2G172230</v>
          </cell>
          <cell r="B1177" t="str">
            <v>GO:0019538GO:0016887GO:0005524GO:0005515</v>
          </cell>
        </row>
        <row r="1178">
          <cell r="A1178" t="str">
            <v>GRMZM2G053284</v>
          </cell>
          <cell r="B1178" t="str">
            <v>GO:0005524GO:0005515</v>
          </cell>
        </row>
        <row r="1179">
          <cell r="A1179" t="str">
            <v>GRMZM2G031827</v>
          </cell>
          <cell r="B1179" t="str">
            <v>GO:0005634GO:0008270GO:0003723</v>
          </cell>
        </row>
        <row r="1180">
          <cell r="A1180" t="str">
            <v>GRMZM2G115841</v>
          </cell>
          <cell r="B1180" t="str">
            <v>GO:0004664GO:0009094</v>
          </cell>
        </row>
        <row r="1181">
          <cell r="A1181" t="str">
            <v>GRMZM2G159008</v>
          </cell>
          <cell r="B1181" t="str">
            <v>GO:0004437</v>
          </cell>
        </row>
        <row r="1182">
          <cell r="A1182" t="str">
            <v>GRMZM2G097457</v>
          </cell>
          <cell r="B1182" t="str">
            <v>GO:0016310GO:0016301GO:0005524GO:0050242</v>
          </cell>
        </row>
        <row r="1183">
          <cell r="A1183" t="str">
            <v>GRMZM2G170338</v>
          </cell>
          <cell r="B1183" t="str">
            <v>GO:0006541GO:0003824GO:0009058GO:0050825GO:0042309GO:0050826</v>
          </cell>
        </row>
        <row r="1184">
          <cell r="A1184" t="str">
            <v>GRMZM2G122231</v>
          </cell>
          <cell r="B1184" t="str">
            <v>GO:0005737GO:0004812GO:0005992GO:0005524GO:0006418</v>
          </cell>
        </row>
        <row r="1185">
          <cell r="A1185" t="str">
            <v>GRMZM2G053574</v>
          </cell>
          <cell r="B1185" t="str">
            <v>GO:0006511GO:0008270GO:0005622</v>
          </cell>
        </row>
        <row r="1186">
          <cell r="A1186" t="str">
            <v>GRMZM2G305007</v>
          </cell>
          <cell r="B1186" t="str">
            <v>GO:0004674GO:0006468GO:0005524</v>
          </cell>
        </row>
        <row r="1187">
          <cell r="A1187" t="str">
            <v>GRMZM2G133675</v>
          </cell>
          <cell r="B1187" t="str">
            <v>GO:0005634GO:0045449GO:0030528</v>
          </cell>
        </row>
        <row r="1188">
          <cell r="A1188" t="str">
            <v>GRMZM2G018403</v>
          </cell>
          <cell r="B1188" t="str">
            <v>GO:0003735GO:0005840GO:0006412GO:0003723</v>
          </cell>
        </row>
        <row r="1189">
          <cell r="A1189" t="str">
            <v>GRMZM2G076263</v>
          </cell>
          <cell r="B1189" t="str">
            <v>GO:0003735GO:0006412GO:0005840</v>
          </cell>
        </row>
        <row r="1190">
          <cell r="A1190" t="str">
            <v>GRMZM2G030688</v>
          </cell>
          <cell r="B1190" t="str">
            <v>GO:0050825GO:0042309GO:0050826</v>
          </cell>
        </row>
        <row r="1191">
          <cell r="A1191" t="str">
            <v>GRMZM2G117164</v>
          </cell>
          <cell r="B1191" t="str">
            <v>GO:0043565GO:0006265GO:0003700GO:0005634GO:0006355GO:0003690</v>
          </cell>
        </row>
        <row r="1192">
          <cell r="A1192" t="str">
            <v>GRMZM2G059703</v>
          </cell>
          <cell r="B1192" t="str">
            <v>GO:0015904GO:0016021GO:0015520GO:0046677</v>
          </cell>
        </row>
        <row r="1193">
          <cell r="A1193" t="str">
            <v>GRMZM2G053023</v>
          </cell>
          <cell r="B1193" t="str">
            <v>GO:0045454</v>
          </cell>
        </row>
        <row r="1194">
          <cell r="A1194" t="str">
            <v>GRMZM2G465999</v>
          </cell>
          <cell r="B1194" t="str">
            <v>GO:0006468GO:0004674GO:0005529GO:0004713GO:0005524GO:0048544</v>
          </cell>
        </row>
        <row r="1195">
          <cell r="A1195" t="str">
            <v>GRMZM2G422205</v>
          </cell>
          <cell r="B1195" t="str">
            <v>GO:0005634GO:0008270GO:0003723</v>
          </cell>
        </row>
        <row r="1196">
          <cell r="A1196" t="str">
            <v>GRMZM2G085932</v>
          </cell>
          <cell r="B1196" t="str">
            <v>GO:0005759</v>
          </cell>
        </row>
        <row r="1197">
          <cell r="A1197" t="str">
            <v>GRMZM2G148904</v>
          </cell>
          <cell r="B1197" t="str">
            <v>GO:0008168GO:0008152</v>
          </cell>
        </row>
        <row r="1198">
          <cell r="A1198" t="str">
            <v>GRMZM2G047592</v>
          </cell>
          <cell r="B1198" t="str">
            <v>GO:0005975GO:0030246GO:0016853</v>
          </cell>
        </row>
        <row r="1199">
          <cell r="A1199" t="str">
            <v>GRMZM2G118345</v>
          </cell>
          <cell r="B1199" t="str">
            <v>GO:0005737GO:0009058GO:0016841GO:0016211GO:0006559</v>
          </cell>
        </row>
        <row r="1200">
          <cell r="A1200" t="str">
            <v>GRMZM2G363813</v>
          </cell>
          <cell r="B1200" t="str">
            <v>GO:0003824</v>
          </cell>
        </row>
        <row r="1201">
          <cell r="A1201" t="str">
            <v>GRMZM2G113060</v>
          </cell>
          <cell r="B1201" t="str">
            <v>GO:0003700GO:0006355</v>
          </cell>
        </row>
        <row r="1202">
          <cell r="A1202" t="str">
            <v>GRMZM2G085117</v>
          </cell>
          <cell r="B1202" t="str">
            <v>GO:0006571GO:0004665GO:0005488</v>
          </cell>
        </row>
        <row r="1203">
          <cell r="A1203" t="str">
            <v>GRMZM2G035017</v>
          </cell>
          <cell r="B1203" t="str">
            <v>GO:0003735GO:0005840GO:0006412GO:0003723</v>
          </cell>
        </row>
        <row r="1204">
          <cell r="A1204" t="str">
            <v>GRMZM2G090087</v>
          </cell>
          <cell r="B1204" t="str">
            <v>GO:0008152GO:0005524GO:0016491</v>
          </cell>
        </row>
        <row r="1205">
          <cell r="A1205" t="str">
            <v>GRMZM2G135387</v>
          </cell>
          <cell r="B1205" t="str">
            <v>GO:0004497GO:0020037GO:0009055</v>
          </cell>
        </row>
        <row r="1206">
          <cell r="A1206" t="str">
            <v>GRMZM2G128434</v>
          </cell>
          <cell r="B1206" t="str">
            <v>GO:0017111GO:0000166</v>
          </cell>
        </row>
        <row r="1207">
          <cell r="A1207" t="str">
            <v>GRMZM2G167280</v>
          </cell>
          <cell r="B1207" t="str">
            <v>GO:0004674GO:0006468GO:0005524GO:0005515GO:0004713</v>
          </cell>
        </row>
        <row r="1208">
          <cell r="A1208" t="str">
            <v>GRMZM2G028129</v>
          </cell>
          <cell r="B1208" t="str">
            <v>GO:0017111GO:0005524</v>
          </cell>
        </row>
        <row r="1209">
          <cell r="A1209" t="str">
            <v>GRMZM2G071042</v>
          </cell>
          <cell r="B1209" t="str">
            <v>GO:0008270GO:0003677</v>
          </cell>
        </row>
        <row r="1210">
          <cell r="A1210" t="str">
            <v>GRMZM2G004880</v>
          </cell>
          <cell r="B1210" t="str">
            <v>GO:0004674GO:0016776GO:0005524GO:0009507</v>
          </cell>
        </row>
        <row r="1211">
          <cell r="A1211" t="str">
            <v>GRMZM2G136364</v>
          </cell>
          <cell r="B1211" t="str">
            <v>GO:0008289GO:0006869</v>
          </cell>
        </row>
        <row r="1212">
          <cell r="A1212" t="str">
            <v>GRMZM2G080387</v>
          </cell>
          <cell r="B1212" t="str">
            <v>GO:0005215GO:0016020GO:0006810</v>
          </cell>
        </row>
        <row r="1213">
          <cell r="A1213" t="str">
            <v>GRMZM2G349988</v>
          </cell>
          <cell r="B1213" t="str">
            <v>GO:0006355GO:0005634</v>
          </cell>
        </row>
        <row r="1214">
          <cell r="A1214" t="str">
            <v>GRMZM2G140170</v>
          </cell>
          <cell r="B1214" t="str">
            <v>GO:0015450GO:0004937GO:0009306GO:0016021GO:0051260GO:0007186</v>
          </cell>
        </row>
        <row r="1215">
          <cell r="A1215" t="str">
            <v>GRMZM2G084739</v>
          </cell>
          <cell r="B1215" t="str">
            <v>GO:0003735GO:0006412GO:0005840</v>
          </cell>
        </row>
        <row r="1216">
          <cell r="A1216" t="str">
            <v>GRMZM2G414915</v>
          </cell>
          <cell r="B1216" t="str">
            <v>GO:0006508GO:0043086GO:0042802GO:0004252</v>
          </cell>
        </row>
        <row r="1217">
          <cell r="A1217" t="str">
            <v>GRMZM2G074850</v>
          </cell>
          <cell r="B1217" t="str">
            <v>GO:0003824GO:0044237GO:0050662</v>
          </cell>
        </row>
        <row r="1218">
          <cell r="A1218" t="str">
            <v>GRMZM2G332522</v>
          </cell>
          <cell r="B1218" t="str">
            <v>GO:0008171</v>
          </cell>
        </row>
        <row r="1219">
          <cell r="A1219" t="str">
            <v>GRMZM2G158359</v>
          </cell>
          <cell r="B1219" t="str">
            <v>GO:0004674GO:0006468GO:0005524GO:0005515GO:0004713</v>
          </cell>
        </row>
        <row r="1220">
          <cell r="A1220" t="str">
            <v>GRMZM2G163054</v>
          </cell>
          <cell r="B1220" t="str">
            <v>GO:0003700GO:0043565GO:0005634GO:0045449</v>
          </cell>
        </row>
        <row r="1221">
          <cell r="A1221" t="str">
            <v>GRMZM2G162505</v>
          </cell>
          <cell r="B1221" t="str">
            <v>GO:0004568GO:0006032</v>
          </cell>
        </row>
        <row r="1222">
          <cell r="A1222" t="str">
            <v>GRMZM2G163059</v>
          </cell>
          <cell r="B1222" t="str">
            <v>GO:0016020</v>
          </cell>
        </row>
        <row r="1223">
          <cell r="A1223" t="str">
            <v>GRMZM2G175423</v>
          </cell>
          <cell r="B1223" t="str">
            <v>GO:0008270GO:0055114GO:0016491</v>
          </cell>
        </row>
        <row r="1224">
          <cell r="A1224" t="str">
            <v>GRMZM2G112530</v>
          </cell>
          <cell r="B1224" t="str">
            <v>GO:0006548GO:0004500</v>
          </cell>
        </row>
        <row r="1225">
          <cell r="A1225" t="str">
            <v>GRMZM2G026855</v>
          </cell>
          <cell r="B1225" t="str">
            <v>GO:0004650GO:0005975GO:0008270GO:0055114GO:0016491</v>
          </cell>
        </row>
        <row r="1226">
          <cell r="A1226" t="str">
            <v>GRMZM2G085427</v>
          </cell>
          <cell r="B1226" t="str">
            <v>GO:0003677</v>
          </cell>
        </row>
        <row r="1227">
          <cell r="A1227" t="str">
            <v>GRMZM2G174975</v>
          </cell>
          <cell r="B1227" t="str">
            <v>GO:0006629GO:0016788</v>
          </cell>
        </row>
        <row r="1228">
          <cell r="A1228" t="str">
            <v>GRMZM2G054012</v>
          </cell>
          <cell r="B1228" t="str">
            <v>GO:0003735GO:0006412GO:0005840</v>
          </cell>
        </row>
        <row r="1229">
          <cell r="A1229" t="str">
            <v>GRMZM2G181028</v>
          </cell>
          <cell r="B1229" t="str">
            <v>GO:0008020GO:0009585GO:0000155GO:0016020GO:0017006GO:0018298GO:0006355GO:0007165GO:0005524GO:0042803</v>
          </cell>
        </row>
        <row r="1230">
          <cell r="A1230" t="str">
            <v>GRMZM2G474326</v>
          </cell>
          <cell r="B1230" t="str">
            <v>GO:0003700GO:0006355GO:0050825GO:0042309GO:0050826</v>
          </cell>
        </row>
        <row r="1231">
          <cell r="A1231" t="str">
            <v>GRMZM2G091331</v>
          </cell>
          <cell r="B1231" t="str">
            <v>GO:0003700GO:0043565GO:0005634GO:0045449</v>
          </cell>
        </row>
        <row r="1232">
          <cell r="A1232" t="str">
            <v>GRMZM2G473411</v>
          </cell>
          <cell r="B1232" t="str">
            <v>GO:0004674GO:0006468GO:0004713GO:0005524GO:0016491</v>
          </cell>
        </row>
        <row r="1233">
          <cell r="A1233" t="str">
            <v>GRMZM2G058032</v>
          </cell>
          <cell r="B1233" t="str">
            <v>GO:0015629GO:0016021GO:0005199GO:0007160GO:0030001GO:0046872GO:0007186</v>
          </cell>
        </row>
        <row r="1234">
          <cell r="A1234" t="str">
            <v>GRMZM2G420684</v>
          </cell>
          <cell r="B1234" t="str">
            <v>GO:0003824GO:0016020</v>
          </cell>
        </row>
        <row r="1235">
          <cell r="A1235" t="str">
            <v>GRMZM2G063880</v>
          </cell>
          <cell r="B1235" t="str">
            <v>GO:0003700GO:0043565GO:0005634GO:0045449</v>
          </cell>
        </row>
        <row r="1236">
          <cell r="A1236" t="str">
            <v>GRMZM2G061732</v>
          </cell>
          <cell r="B1236" t="str">
            <v>GO:0008987GO:0009435</v>
          </cell>
        </row>
        <row r="1237">
          <cell r="A1237" t="str">
            <v>GRMZM2G135913</v>
          </cell>
          <cell r="B1237" t="str">
            <v>GO:0016020GO:0017153GO:0006835</v>
          </cell>
        </row>
        <row r="1238">
          <cell r="A1238" t="str">
            <v>GRMZM2G040452</v>
          </cell>
          <cell r="B1238" t="str">
            <v>GO:0003824</v>
          </cell>
        </row>
        <row r="1239">
          <cell r="A1239" t="str">
            <v>GRMZM2G065868</v>
          </cell>
          <cell r="B1239" t="str">
            <v>GO:0003735GO:0006412GO:0005840</v>
          </cell>
        </row>
        <row r="1240">
          <cell r="A1240" t="str">
            <v>GRMZM2G090422</v>
          </cell>
          <cell r="B1240" t="str">
            <v>GO:0003735GO:0015934GO:0006412</v>
          </cell>
        </row>
        <row r="1241">
          <cell r="A1241" t="str">
            <v>AC206201.3_FG004</v>
          </cell>
          <cell r="B1241" t="str">
            <v>GO:0009058</v>
          </cell>
        </row>
        <row r="1242">
          <cell r="A1242" t="str">
            <v>GRMZM2G151738</v>
          </cell>
          <cell r="B1242" t="str">
            <v>GO:0005515</v>
          </cell>
        </row>
        <row r="1243">
          <cell r="A1243" t="str">
            <v>GRMZM2G083836</v>
          </cell>
          <cell r="B1243" t="str">
            <v>GO:0005737GO:0006422GO:0003676GO:0004816GO:0006421GO:0050825GO:0042309GO:0050826GO:0004815GO:0005524</v>
          </cell>
        </row>
        <row r="1244">
          <cell r="A1244" t="str">
            <v>GRMZM2G464393</v>
          </cell>
          <cell r="B1244" t="str">
            <v>GO:0005515</v>
          </cell>
        </row>
        <row r="1245">
          <cell r="A1245" t="str">
            <v>GRMZM2G421256</v>
          </cell>
          <cell r="B1245" t="str">
            <v>GO:0003677</v>
          </cell>
        </row>
        <row r="1246">
          <cell r="A1246" t="str">
            <v>GRMZM2G083016</v>
          </cell>
          <cell r="B1246" t="str">
            <v>GO:0004197GO:0006508GO:0004618GO:0006096</v>
          </cell>
        </row>
        <row r="1247">
          <cell r="A1247" t="str">
            <v>GRMZM2G447271</v>
          </cell>
          <cell r="B1247" t="str">
            <v>GO:0048046GO:0005507GO:0046274GO:0008471GO:0055114</v>
          </cell>
        </row>
        <row r="1248">
          <cell r="A1248" t="str">
            <v>GRMZM2G308619</v>
          </cell>
          <cell r="B1248" t="str">
            <v>GO:0004674GO:0006468GO:0004713GO:0005524</v>
          </cell>
        </row>
        <row r="1249">
          <cell r="A1249" t="str">
            <v>GRMZM2G308615</v>
          </cell>
          <cell r="B1249" t="str">
            <v>GO:0008287GO:0006470GO:0004722GO:0050825GO:0042309GO:0050826</v>
          </cell>
        </row>
        <row r="1250">
          <cell r="A1250" t="str">
            <v>GRMZM2G140817</v>
          </cell>
          <cell r="B1250" t="str">
            <v>GO:0004497GO:0020037GO:0009055</v>
          </cell>
        </row>
        <row r="1251">
          <cell r="A1251" t="str">
            <v>GRMZM2G009045</v>
          </cell>
          <cell r="B1251" t="str">
            <v>GO:0016020GO:0006810GO:0005488</v>
          </cell>
        </row>
        <row r="1252">
          <cell r="A1252" t="str">
            <v>GRMZM2G054123</v>
          </cell>
          <cell r="B1252" t="str">
            <v>GO:0006730GO:0004478GO:0005524</v>
          </cell>
        </row>
        <row r="1253">
          <cell r="A1253" t="str">
            <v>GRMZM2G009048</v>
          </cell>
          <cell r="B1253" t="str">
            <v>GO:0009522GO:0042309GO:0050825GO:0005515GO:0050826GO:0042651GO:0015979</v>
          </cell>
        </row>
        <row r="1254">
          <cell r="A1254" t="str">
            <v>GRMZM2G478212</v>
          </cell>
          <cell r="B1254" t="str">
            <v>GO:0016020</v>
          </cell>
        </row>
        <row r="1255">
          <cell r="A1255" t="str">
            <v>GRMZM2G071996</v>
          </cell>
          <cell r="B1255" t="str">
            <v>GO:0031072GO:0006457GO:0051082</v>
          </cell>
        </row>
        <row r="1256">
          <cell r="A1256" t="str">
            <v>GRMZM2G026980</v>
          </cell>
          <cell r="B1256" t="str">
            <v>GO:0005618GO:0048046GO:0016762GO:0006073GO:0004553</v>
          </cell>
        </row>
        <row r="1257">
          <cell r="A1257" t="str">
            <v>GRMZM2G335046</v>
          </cell>
          <cell r="B1257" t="str">
            <v>GO:0004674GO:0006468GO:0004713GO:0005524</v>
          </cell>
        </row>
        <row r="1258">
          <cell r="A1258" t="str">
            <v>GRMZM2G003384</v>
          </cell>
          <cell r="B1258" t="str">
            <v>GO:0003735GO:0006412GO:0005840</v>
          </cell>
        </row>
        <row r="1259">
          <cell r="A1259" t="str">
            <v>GRMZM2G027451</v>
          </cell>
          <cell r="B1259" t="str">
            <v>GO:0003735GO:0006412GO:0005840</v>
          </cell>
        </row>
        <row r="1260">
          <cell r="A1260" t="str">
            <v>GRMZM2G083497</v>
          </cell>
          <cell r="B1260" t="str">
            <v>GO:0003735GO:0006412GO:0005840</v>
          </cell>
        </row>
        <row r="1261">
          <cell r="A1261" t="str">
            <v>GRMZM2G162893</v>
          </cell>
          <cell r="B1261" t="str">
            <v>GO:0005634GO:0045449GO:0030528</v>
          </cell>
        </row>
        <row r="1262">
          <cell r="A1262" t="str">
            <v>GRMZM2G178014</v>
          </cell>
          <cell r="B1262" t="str">
            <v>GO:0006952GO:0005737GO:0004812GO:0005524GO:0006418</v>
          </cell>
        </row>
        <row r="1263">
          <cell r="A1263" t="str">
            <v>GRMZM2G027851</v>
          </cell>
          <cell r="B1263" t="str">
            <v>GO:0006813GO:0006885GO:0008076GO:0006814GO:0005249GO:0015385</v>
          </cell>
        </row>
        <row r="1264">
          <cell r="A1264" t="str">
            <v>GRMZM2G139803</v>
          </cell>
          <cell r="B1264" t="str">
            <v>GO:0008937GO:0009536GO:0015979</v>
          </cell>
        </row>
        <row r="1265">
          <cell r="A1265" t="str">
            <v>GRMZM2G398527</v>
          </cell>
          <cell r="B1265" t="str">
            <v>GO:0003723</v>
          </cell>
        </row>
        <row r="1266">
          <cell r="A1266" t="str">
            <v>GRMZM2G041699</v>
          </cell>
          <cell r="B1266" t="str">
            <v>GO:0016758GO:0008152</v>
          </cell>
        </row>
        <row r="1267">
          <cell r="A1267" t="str">
            <v>GRMZM2G417107</v>
          </cell>
          <cell r="B1267" t="str">
            <v>GO:0005634GO:0045449GO:0030528</v>
          </cell>
        </row>
        <row r="1268">
          <cell r="A1268" t="str">
            <v>GRMZM2G175782</v>
          </cell>
          <cell r="B1268" t="str">
            <v>GO:0005634GO:0003677GO:0006355GO:0004190GO:0006508GO:0005496GO:0004883</v>
          </cell>
        </row>
        <row r="1269">
          <cell r="A1269" t="str">
            <v>GRMZM2G394027</v>
          </cell>
          <cell r="B1269" t="str">
            <v>GO:0007155</v>
          </cell>
        </row>
        <row r="1270">
          <cell r="A1270" t="str">
            <v>GRMZM2G013214</v>
          </cell>
          <cell r="B1270" t="str">
            <v>GO:0050826GO:0050825GO:0042309GO:0008152GO:0016491</v>
          </cell>
        </row>
        <row r="1271">
          <cell r="A1271" t="str">
            <v>GRMZM2G123277</v>
          </cell>
          <cell r="B1271" t="str">
            <v>GO:0003824GO:0005992</v>
          </cell>
        </row>
        <row r="1272">
          <cell r="A1272" t="str">
            <v>GRMZM2G107562</v>
          </cell>
          <cell r="B1272" t="str">
            <v>GO:0005507GO:0050825GO:0050826GO:0042309GO:0009055</v>
          </cell>
        </row>
        <row r="1273">
          <cell r="A1273" t="str">
            <v>GRMZM2G305154</v>
          </cell>
          <cell r="B1273" t="str">
            <v>GO:0003735GO:0006412GO:0005840</v>
          </cell>
        </row>
        <row r="1274">
          <cell r="A1274" t="str">
            <v>GRMZM2G026216</v>
          </cell>
          <cell r="B1274" t="str">
            <v>GO:0003735GO:0006412GO:0005840</v>
          </cell>
        </row>
        <row r="1275">
          <cell r="A1275" t="str">
            <v>GRMZM2G137839</v>
          </cell>
          <cell r="B1275" t="str">
            <v>GO:0004096GO:0006979GO:0020037GO:0009055</v>
          </cell>
        </row>
        <row r="1276">
          <cell r="A1276" t="str">
            <v>GRMZM2G413647</v>
          </cell>
          <cell r="B1276" t="str">
            <v>GO:0015904GO:0016021GO:0015520GO:0006098GO:0046677GO:0004616GO:0005488</v>
          </cell>
        </row>
        <row r="1277">
          <cell r="A1277" t="str">
            <v>GRMZM2G005134</v>
          </cell>
          <cell r="B1277" t="str">
            <v>GO:0006915GO:0005515GO:0005524</v>
          </cell>
        </row>
        <row r="1278">
          <cell r="A1278" t="str">
            <v>GRMZM2G472167</v>
          </cell>
          <cell r="B1278" t="str">
            <v>GO:0006857GO:0005215GO:0016020</v>
          </cell>
        </row>
        <row r="1279">
          <cell r="A1279" t="str">
            <v>GRMZM2G050305</v>
          </cell>
          <cell r="B1279" t="str">
            <v>GO:0003677</v>
          </cell>
        </row>
        <row r="1280">
          <cell r="A1280" t="str">
            <v>GRMZM2G011932</v>
          </cell>
          <cell r="B1280" t="str">
            <v>GO:0003700GO:0006355GO:0046983GO:0005634GO:0043565</v>
          </cell>
        </row>
        <row r="1281">
          <cell r="A1281" t="str">
            <v>GRMZM2G012306</v>
          </cell>
          <cell r="B1281" t="str">
            <v>GO:0006857GO:0005215GO:0016020</v>
          </cell>
        </row>
        <row r="1282">
          <cell r="A1282" t="str">
            <v>GRMZM2G097841</v>
          </cell>
          <cell r="B1282" t="str">
            <v>GO:0003854GO:0050662GO:0006694</v>
          </cell>
        </row>
        <row r="1283">
          <cell r="A1283" t="str">
            <v>GRMZM2G315431</v>
          </cell>
          <cell r="B1283" t="str">
            <v>GO:0016567GO:0004842GO:0000151GO:0005488</v>
          </cell>
        </row>
        <row r="1284">
          <cell r="A1284" t="str">
            <v>GRMZM2G092813</v>
          </cell>
          <cell r="B1284" t="str">
            <v>GO:0003824GO:0008152</v>
          </cell>
        </row>
        <row r="1285">
          <cell r="A1285" t="str">
            <v>GRMZM2G077124</v>
          </cell>
          <cell r="B1285" t="str">
            <v>GO:0003700GO:0006355GO:0046983GO:0005634GO:0043565</v>
          </cell>
        </row>
        <row r="1286">
          <cell r="A1286" t="str">
            <v>GRMZM2G174145</v>
          </cell>
          <cell r="B1286" t="str">
            <v>GO:0016847GO:0009058GO:0030170GO:0016769</v>
          </cell>
        </row>
        <row r="1287">
          <cell r="A1287" t="str">
            <v>GRMZM2G377115</v>
          </cell>
          <cell r="B1287" t="str">
            <v>GO:0004674GO:0006468GO:0005524</v>
          </cell>
        </row>
        <row r="1288">
          <cell r="A1288" t="str">
            <v>GRMZM2G068862</v>
          </cell>
          <cell r="B1288" t="str">
            <v>GO:0005737GO:0000287GO:0000105GO:0003879</v>
          </cell>
        </row>
        <row r="1289">
          <cell r="A1289" t="str">
            <v>GRMZM2G120652</v>
          </cell>
          <cell r="B1289" t="str">
            <v>GO:0003824GO:0009228</v>
          </cell>
        </row>
        <row r="1290">
          <cell r="A1290" t="str">
            <v>GRMZM2G174784</v>
          </cell>
          <cell r="B1290" t="str">
            <v>GO:0003700GO:0006355GO:0050825GO:0042309GO:0050826</v>
          </cell>
        </row>
        <row r="1291">
          <cell r="A1291" t="str">
            <v>GRMZM2G022514</v>
          </cell>
          <cell r="B1291" t="str">
            <v>GO:0004674GO:0006468GO:0005529GO:0004713GO:0005524</v>
          </cell>
        </row>
        <row r="1292">
          <cell r="A1292" t="str">
            <v>GRMZM2G092363</v>
          </cell>
          <cell r="B1292" t="str">
            <v>GO:0008270GO:0005622</v>
          </cell>
        </row>
        <row r="1293">
          <cell r="A1293" t="str">
            <v>GRMZM2G048313</v>
          </cell>
          <cell r="B1293" t="str">
            <v>GO:0022900GO:0051537GO:0009055</v>
          </cell>
        </row>
        <row r="1294">
          <cell r="A1294" t="str">
            <v>GRMZM2G054050</v>
          </cell>
          <cell r="B1294" t="str">
            <v>GO:0005507GO:0016491</v>
          </cell>
        </row>
        <row r="1295">
          <cell r="A1295" t="str">
            <v>GRMZM2G147752</v>
          </cell>
          <cell r="B1295" t="str">
            <v>GO:0004497GO:0020037GO:0009055</v>
          </cell>
        </row>
        <row r="1296">
          <cell r="A1296" t="str">
            <v>GRMZM2G073376</v>
          </cell>
          <cell r="B1296" t="str">
            <v>GO:0016758GO:0008152</v>
          </cell>
        </row>
        <row r="1297">
          <cell r="A1297" t="str">
            <v>GRMZM2G115504</v>
          </cell>
          <cell r="B1297" t="str">
            <v>GO:0003824</v>
          </cell>
        </row>
        <row r="1298">
          <cell r="A1298" t="str">
            <v>GRMZM2G078052</v>
          </cell>
          <cell r="B1298" t="str">
            <v>GO:0008270</v>
          </cell>
        </row>
        <row r="1299">
          <cell r="A1299" t="str">
            <v>GRMZM2G173067</v>
          </cell>
          <cell r="B1299" t="str">
            <v>GO:0016020GO:0017153GO:0006835</v>
          </cell>
        </row>
        <row r="1300">
          <cell r="A1300" t="str">
            <v>GRMZM2G170047</v>
          </cell>
          <cell r="B1300" t="str">
            <v>GO:0004497GO:0020037GO:0009055</v>
          </cell>
        </row>
        <row r="1301">
          <cell r="A1301" t="str">
            <v>GRMZM2G022402</v>
          </cell>
          <cell r="B1301" t="str">
            <v>GO:0006629GO:0016788</v>
          </cell>
        </row>
        <row r="1302">
          <cell r="A1302" t="str">
            <v>GRMZM2G157172</v>
          </cell>
          <cell r="B1302" t="str">
            <v>GO:0008202</v>
          </cell>
        </row>
        <row r="1303">
          <cell r="A1303" t="str">
            <v>GRMZM2G114672</v>
          </cell>
          <cell r="B1303" t="str">
            <v>GO:0000062</v>
          </cell>
        </row>
        <row r="1304">
          <cell r="A1304" t="str">
            <v>GRMZM2G075562</v>
          </cell>
          <cell r="B1304" t="str">
            <v>GO:0008270GO:0005622</v>
          </cell>
        </row>
        <row r="1305">
          <cell r="A1305" t="str">
            <v>GRMZM2G149923</v>
          </cell>
          <cell r="B1305" t="str">
            <v>GO:0005509</v>
          </cell>
        </row>
        <row r="1306">
          <cell r="A1306" t="str">
            <v>GRMZM2G106263</v>
          </cell>
          <cell r="B1306" t="str">
            <v>GO:0004421GO:0008299</v>
          </cell>
        </row>
        <row r="1307">
          <cell r="A1307" t="str">
            <v>GRMZM2G087809</v>
          </cell>
          <cell r="B1307" t="str">
            <v>GO:0005199GO:0045735</v>
          </cell>
        </row>
        <row r="1308">
          <cell r="A1308" t="str">
            <v>GRMZM2G166767</v>
          </cell>
          <cell r="B1308" t="str">
            <v>GO:0003854GO:0050662GO:0045226GO:0006694GO:0008831</v>
          </cell>
        </row>
        <row r="1309">
          <cell r="A1309" t="str">
            <v>GRMZM2G443814</v>
          </cell>
          <cell r="B1309" t="str">
            <v>GO:0005634GO:0016570GO:0006352GO:0003677</v>
          </cell>
        </row>
        <row r="1310">
          <cell r="A1310" t="str">
            <v>GRMZM2G057841</v>
          </cell>
          <cell r="B1310" t="str">
            <v>GO:0006950</v>
          </cell>
        </row>
        <row r="1311">
          <cell r="A1311" t="str">
            <v>GRMZM2G093962</v>
          </cell>
          <cell r="B1311" t="str">
            <v>GO:0016021</v>
          </cell>
        </row>
        <row r="1312">
          <cell r="A1312" t="str">
            <v>GRMZM2G033799</v>
          </cell>
          <cell r="B1312" t="str">
            <v>GO:0016847GO:0009058GO:0030170GO:0016769</v>
          </cell>
        </row>
        <row r="1313">
          <cell r="A1313" t="str">
            <v>GRMZM2G305900</v>
          </cell>
          <cell r="B1313" t="str">
            <v>GO:0016747</v>
          </cell>
        </row>
        <row r="1314">
          <cell r="A1314" t="str">
            <v>GRMZM2G061487</v>
          </cell>
          <cell r="B1314" t="str">
            <v>GO:0005856GO:0003700GO:0005634GO:0007160GO:0006355GO:0004879</v>
          </cell>
        </row>
        <row r="1315">
          <cell r="A1315" t="str">
            <v>GRMZM2G172932</v>
          </cell>
          <cell r="B1315" t="str">
            <v>GO:0005737GO:0051258GO:0007018GO:0016020GO:0003924GO:0005198GO:0006508GO:0008236GO:0005874GO:0005525</v>
          </cell>
        </row>
        <row r="1316">
          <cell r="A1316" t="str">
            <v>GRMZM2G077278</v>
          </cell>
          <cell r="B1316" t="str">
            <v>GO:0004674GO:0006468GO:0004713GO:0005524</v>
          </cell>
        </row>
        <row r="1317">
          <cell r="A1317" t="str">
            <v>GRMZM2G038519</v>
          </cell>
          <cell r="B1317" t="str">
            <v>GO:0016020GO:0009765</v>
          </cell>
        </row>
        <row r="1318">
          <cell r="A1318" t="str">
            <v>GRMZM2G062357</v>
          </cell>
          <cell r="B1318" t="str">
            <v>GO:0003824GO:0050825GO:0042309GO:0008152GO:0050826</v>
          </cell>
        </row>
        <row r="1319">
          <cell r="A1319" t="str">
            <v>GRMZM2G161299</v>
          </cell>
          <cell r="B1319" t="str">
            <v>GO:0005743GO:0006810GO:0005488GO:0005215</v>
          </cell>
        </row>
        <row r="1320">
          <cell r="A1320" t="str">
            <v>GRMZM2G124799</v>
          </cell>
          <cell r="B1320" t="str">
            <v>GO:0046983GO:0008171</v>
          </cell>
        </row>
        <row r="1321">
          <cell r="A1321" t="str">
            <v>GRMZM2G094428</v>
          </cell>
          <cell r="B1321" t="str">
            <v>GO:0016747</v>
          </cell>
        </row>
        <row r="1322">
          <cell r="A1322" t="str">
            <v>GRMZM2G125448</v>
          </cell>
          <cell r="B1322" t="str">
            <v>GO:0016747</v>
          </cell>
        </row>
        <row r="1323">
          <cell r="A1323" t="str">
            <v>GRMZM2G152975</v>
          </cell>
          <cell r="B1323" t="str">
            <v>GO:0008270GO:0055114GO:0016491</v>
          </cell>
        </row>
        <row r="1324">
          <cell r="A1324" t="str">
            <v>GRMZM2G102079</v>
          </cell>
          <cell r="B1324" t="str">
            <v>GO:0004497GO:0020037GO:0009055</v>
          </cell>
        </row>
        <row r="1325">
          <cell r="A1325" t="str">
            <v>GRMZM2G127798</v>
          </cell>
          <cell r="B1325" t="str">
            <v>GO:0050661GO:0006098GO:0004616GO:0005524</v>
          </cell>
        </row>
        <row r="1326">
          <cell r="A1326" t="str">
            <v>GRMZM2G393349</v>
          </cell>
          <cell r="B1326" t="str">
            <v>GO:0008270GO:0005515</v>
          </cell>
        </row>
        <row r="1327">
          <cell r="A1327" t="str">
            <v>GRMZM2G121928</v>
          </cell>
          <cell r="B1327" t="str">
            <v>GO:0016020GO:0016301GO:0051260GO:0005524GO:0008152</v>
          </cell>
        </row>
        <row r="1328">
          <cell r="A1328" t="str">
            <v>GRMZM2G413829</v>
          </cell>
          <cell r="B1328" t="str">
            <v>GO:0050825GO:0042309GO:0050826</v>
          </cell>
        </row>
        <row r="1329">
          <cell r="A1329" t="str">
            <v>GRMZM2G057608</v>
          </cell>
          <cell r="B1329" t="str">
            <v>GO:0005634GO:0000785GO:0003677</v>
          </cell>
        </row>
        <row r="1330">
          <cell r="A1330" t="str">
            <v>GRMZM2G178460</v>
          </cell>
          <cell r="B1330" t="str">
            <v>GO:0006566GO:0005215GO:0004413GO:0005743GO:0006839GO:0005524</v>
          </cell>
        </row>
        <row r="1331">
          <cell r="A1331" t="str">
            <v>GRMZM2G457699</v>
          </cell>
          <cell r="B1331" t="str">
            <v>GO:0006412</v>
          </cell>
        </row>
        <row r="1332">
          <cell r="A1332" t="str">
            <v>GRMZM2G332423</v>
          </cell>
          <cell r="B1332" t="str">
            <v>GO:0005506GO:0016491</v>
          </cell>
        </row>
        <row r="1333">
          <cell r="A1333" t="str">
            <v>GRMZM2G031637</v>
          </cell>
          <cell r="B1333" t="str">
            <v>GO:0031072</v>
          </cell>
        </row>
        <row r="1334">
          <cell r="A1334" t="str">
            <v>GRMZM2G122223</v>
          </cell>
          <cell r="B1334" t="str">
            <v>GO:0008270GO:0005515</v>
          </cell>
        </row>
        <row r="1335">
          <cell r="A1335" t="str">
            <v>GRMZM2G144581</v>
          </cell>
          <cell r="B1335" t="str">
            <v>GO:0016021GO:0007186</v>
          </cell>
        </row>
        <row r="1336">
          <cell r="A1336" t="str">
            <v>GRMZM2G149751</v>
          </cell>
          <cell r="B1336" t="str">
            <v>GO:0009086GO:0003871GO:0008270</v>
          </cell>
        </row>
        <row r="1337">
          <cell r="A1337" t="str">
            <v>GRMZM2G149756</v>
          </cell>
          <cell r="B1337" t="str">
            <v>GO:0003700GO:0006355</v>
          </cell>
        </row>
        <row r="1338">
          <cell r="A1338" t="str">
            <v>GRMZM2G128641</v>
          </cell>
          <cell r="B1338" t="str">
            <v>GO:0016020</v>
          </cell>
        </row>
        <row r="1339">
          <cell r="A1339" t="str">
            <v>AC215201.3_FG003</v>
          </cell>
          <cell r="B1339" t="str">
            <v>GO:0004707GO:0006468GO:0004713GO:0005524</v>
          </cell>
        </row>
        <row r="1340">
          <cell r="A1340" t="str">
            <v>GRMZM2G150648</v>
          </cell>
          <cell r="B1340" t="str">
            <v>GO:0005634GO:0016020GO:0051260GO:0003723GO:0006364</v>
          </cell>
        </row>
        <row r="1341">
          <cell r="A1341" t="str">
            <v>GRMZM2G426200</v>
          </cell>
          <cell r="B1341" t="str">
            <v>GO:0016021GO:0051205</v>
          </cell>
        </row>
        <row r="1342">
          <cell r="A1342" t="str">
            <v>GRMZM2G095598</v>
          </cell>
          <cell r="B1342" t="str">
            <v>GO:0008270GO:0005622</v>
          </cell>
        </row>
        <row r="1343">
          <cell r="A1343" t="str">
            <v>GRMZM2G382106</v>
          </cell>
          <cell r="B1343" t="str">
            <v>GO:0031072</v>
          </cell>
        </row>
        <row r="1344">
          <cell r="A1344" t="str">
            <v>GRMZM2G176307</v>
          </cell>
          <cell r="B1344" t="str">
            <v>GO:0006813GO:0051287GO:0006006GO:0008324GO:0004365</v>
          </cell>
        </row>
        <row r="1345">
          <cell r="A1345" t="str">
            <v>GRMZM2G093210</v>
          </cell>
          <cell r="B1345" t="str">
            <v>GO:0004674GO:0006468GO:0005529GO:0004713GO:0005524</v>
          </cell>
        </row>
        <row r="1346">
          <cell r="A1346" t="str">
            <v>GRMZM2G459110</v>
          </cell>
          <cell r="B1346" t="str">
            <v>GO:0005515</v>
          </cell>
        </row>
        <row r="1347">
          <cell r="A1347" t="str">
            <v>GRMZM2G064031</v>
          </cell>
          <cell r="B1347" t="str">
            <v>GO:0005179GO:0031072GO:0005576GO:0006457GO:0051082</v>
          </cell>
        </row>
        <row r="1348">
          <cell r="A1348" t="str">
            <v>GRMZM2G089448</v>
          </cell>
          <cell r="B1348" t="str">
            <v>GO:0008270GO:0005622</v>
          </cell>
        </row>
        <row r="1349">
          <cell r="A1349" t="str">
            <v>AC230011.2_FG002</v>
          </cell>
          <cell r="B1349" t="str">
            <v>GO:0006915GO:0005515GO:0005524</v>
          </cell>
        </row>
        <row r="1350">
          <cell r="A1350" t="str">
            <v>GRMZM2G019361</v>
          </cell>
          <cell r="B1350" t="str">
            <v>GO:0003924GO:0005525</v>
          </cell>
        </row>
        <row r="1351">
          <cell r="A1351" t="str">
            <v>GRMZM2G057116</v>
          </cell>
          <cell r="B1351" t="str">
            <v>GO:0003700GO:0043565GO:0005634GO:0045449</v>
          </cell>
        </row>
        <row r="1352">
          <cell r="A1352" t="str">
            <v>GRMZM2G113720</v>
          </cell>
          <cell r="B1352" t="str">
            <v>GO:0003735GO:0006412GO:0005840</v>
          </cell>
        </row>
        <row r="1353">
          <cell r="A1353" t="str">
            <v>GRMZM2G159105</v>
          </cell>
          <cell r="B1353" t="str">
            <v>GO:0004674GO:0006468GO:0004713GO:0005524</v>
          </cell>
        </row>
        <row r="1354">
          <cell r="A1354" t="str">
            <v>GRMZM2G155806</v>
          </cell>
          <cell r="B1354" t="str">
            <v>GO:0003723</v>
          </cell>
        </row>
        <row r="1355">
          <cell r="A1355" t="str">
            <v>GRMZM2G167103</v>
          </cell>
          <cell r="B1355" t="str">
            <v>GO:0003735GO:0016020GO:0006412GO:0005840</v>
          </cell>
        </row>
        <row r="1356">
          <cell r="A1356" t="str">
            <v>GRMZM2G050108</v>
          </cell>
          <cell r="B1356" t="str">
            <v>GO:0030410GO:0030418</v>
          </cell>
        </row>
        <row r="1357">
          <cell r="A1357" t="str">
            <v>GRMZM2G021846</v>
          </cell>
          <cell r="B1357" t="str">
            <v>GO:0003873GO:0030246GO:0005524GO:0006003</v>
          </cell>
        </row>
        <row r="1358">
          <cell r="A1358" t="str">
            <v>GRMZM2G060999</v>
          </cell>
          <cell r="B1358" t="str">
            <v>GO:0008270GO:0005515</v>
          </cell>
        </row>
        <row r="1359">
          <cell r="A1359" t="str">
            <v>GRMZM2G168629</v>
          </cell>
          <cell r="B1359" t="str">
            <v>GO:0004674GO:0005488</v>
          </cell>
        </row>
        <row r="1360">
          <cell r="A1360" t="str">
            <v>GRMZM2G050450</v>
          </cell>
          <cell r="B1360" t="str">
            <v>GO:0016747</v>
          </cell>
        </row>
        <row r="1361">
          <cell r="A1361" t="str">
            <v>GRMZM2G179792</v>
          </cell>
          <cell r="B1361" t="str">
            <v>GO:0004630GO:0016020GO:0046470GO:0005509</v>
          </cell>
        </row>
        <row r="1362">
          <cell r="A1362" t="str">
            <v>GRMZM2G012546</v>
          </cell>
          <cell r="B1362" t="str">
            <v>GO:0016787GO:0008152</v>
          </cell>
        </row>
        <row r="1363">
          <cell r="A1363" t="str">
            <v>GRMZM2G080375</v>
          </cell>
          <cell r="B1363" t="str">
            <v>GO:0003872GO:0005945GO:0006096GO:0005524</v>
          </cell>
        </row>
        <row r="1364">
          <cell r="A1364" t="str">
            <v>GRMZM2G427815</v>
          </cell>
          <cell r="B1364" t="str">
            <v>GO:0004601GO:0006979GO:0020037GO:0009055</v>
          </cell>
        </row>
        <row r="1365">
          <cell r="A1365" t="str">
            <v>GRMZM2G095778</v>
          </cell>
          <cell r="B1365" t="str">
            <v>GO:0045430GO:0009813</v>
          </cell>
        </row>
        <row r="1366">
          <cell r="A1366" t="str">
            <v>GRMZM2G063961</v>
          </cell>
          <cell r="B1366" t="str">
            <v>GO:0004674GO:0006468GO:0004713GO:0005524</v>
          </cell>
        </row>
        <row r="1367">
          <cell r="A1367" t="str">
            <v>GRMZM2G094353</v>
          </cell>
          <cell r="B1367" t="str">
            <v>GO:0008270GO:0005622</v>
          </cell>
        </row>
        <row r="1368">
          <cell r="A1368" t="str">
            <v>GRMZM2G082032</v>
          </cell>
          <cell r="B1368" t="str">
            <v>GO:0016787</v>
          </cell>
        </row>
        <row r="1369">
          <cell r="A1369" t="str">
            <v>GRMZM2G127072</v>
          </cell>
          <cell r="B1369" t="str">
            <v>GO:0005576</v>
          </cell>
        </row>
        <row r="1370">
          <cell r="A1370" t="str">
            <v>GRMZM2G077320</v>
          </cell>
          <cell r="B1370" t="str">
            <v>GO:0016855</v>
          </cell>
        </row>
        <row r="1371">
          <cell r="A1371" t="str">
            <v>GRMZM2G020661</v>
          </cell>
          <cell r="B1371" t="str">
            <v>GO:0008134GO:0003924GO:0006913GO:0005622GO:0006355GO:0007264GO:0006886GO:0005524GO:0005525</v>
          </cell>
        </row>
        <row r="1372">
          <cell r="A1372" t="str">
            <v>GRMZM2G166218</v>
          </cell>
          <cell r="B1372" t="str">
            <v>GO:0016021GO:0007186GO:0005199</v>
          </cell>
        </row>
        <row r="1373">
          <cell r="A1373" t="str">
            <v>GRMZM2G040803</v>
          </cell>
          <cell r="B1373" t="str">
            <v>GO:0016567GO:0004842GO:0008270GO:0005515GO:0000151</v>
          </cell>
        </row>
        <row r="1374">
          <cell r="A1374" t="str">
            <v>GRMZM2G030305</v>
          </cell>
          <cell r="B1374" t="str">
            <v>GO:0004707GO:0006468GO:0004713GO:0005524</v>
          </cell>
        </row>
        <row r="1375">
          <cell r="A1375" t="str">
            <v>GRMZM2G036464</v>
          </cell>
          <cell r="B1375" t="str">
            <v>GO:0004356GO:0006542</v>
          </cell>
        </row>
        <row r="1376">
          <cell r="A1376" t="str">
            <v>GRMZM2G042080</v>
          </cell>
          <cell r="B1376" t="str">
            <v>GO:0004784GO:0046872GO:0006801</v>
          </cell>
        </row>
        <row r="1377">
          <cell r="A1377" t="str">
            <v>GRMZM2G112524</v>
          </cell>
          <cell r="B1377" t="str">
            <v>GO:0006952GO:0009607</v>
          </cell>
        </row>
        <row r="1378">
          <cell r="A1378" t="str">
            <v>GRMZM2G020484</v>
          </cell>
          <cell r="B1378" t="str">
            <v>GO:0006857GO:0005215GO:0016020</v>
          </cell>
        </row>
        <row r="1379">
          <cell r="A1379" t="str">
            <v>GRMZM2G181030</v>
          </cell>
          <cell r="B1379" t="str">
            <v>GO:0003677</v>
          </cell>
        </row>
        <row r="1380">
          <cell r="A1380" t="str">
            <v>GRMZM2G035465</v>
          </cell>
          <cell r="B1380" t="str">
            <v>GO:0005634GO:0045449</v>
          </cell>
        </row>
        <row r="1381">
          <cell r="A1381" t="str">
            <v>GRMZM2G118800</v>
          </cell>
          <cell r="B1381" t="str">
            <v>GO:0004030GO:0006081</v>
          </cell>
        </row>
        <row r="1382">
          <cell r="A1382" t="str">
            <v>AC208897.3_FG004</v>
          </cell>
          <cell r="B1382" t="str">
            <v>GO:0022891GO:0016021GO:0055085</v>
          </cell>
        </row>
        <row r="1383">
          <cell r="A1383" t="str">
            <v>GRMZM2G071450</v>
          </cell>
          <cell r="B1383" t="str">
            <v>GO:0005507GO:0050825GO:0050826GO:0042309GO:0009055</v>
          </cell>
        </row>
        <row r="1384">
          <cell r="A1384" t="str">
            <v>GRMZM2G013781</v>
          </cell>
          <cell r="B1384" t="str">
            <v>GO:0005488GO:0008152GO:0016491</v>
          </cell>
        </row>
        <row r="1385">
          <cell r="A1385" t="str">
            <v>GRMZM2G109326</v>
          </cell>
          <cell r="B1385" t="str">
            <v>GO:0030246</v>
          </cell>
        </row>
        <row r="1386">
          <cell r="A1386" t="str">
            <v>GRMZM2G443728</v>
          </cell>
          <cell r="B1386" t="str">
            <v>GO:0006813GO:0016020GO:0015079</v>
          </cell>
        </row>
        <row r="1387">
          <cell r="A1387" t="str">
            <v>GRMZM2G322593</v>
          </cell>
          <cell r="B1387" t="str">
            <v>GO:0016021</v>
          </cell>
        </row>
        <row r="1388">
          <cell r="A1388" t="str">
            <v>GRMZM2G127308</v>
          </cell>
          <cell r="B1388" t="str">
            <v>GO:0016846</v>
          </cell>
        </row>
        <row r="1389">
          <cell r="A1389" t="str">
            <v>GRMZM2G028438</v>
          </cell>
          <cell r="B1389" t="str">
            <v>GO:0050825GO:0042309GO:0050826</v>
          </cell>
        </row>
        <row r="1390">
          <cell r="A1390" t="str">
            <v>GRMZM2G051276</v>
          </cell>
          <cell r="B1390" t="str">
            <v>GO:0004437GO:0005975</v>
          </cell>
        </row>
        <row r="1391">
          <cell r="A1391" t="str">
            <v>GRMZM2G170870</v>
          </cell>
          <cell r="B1391" t="str">
            <v>GO:0003735GO:0006412GO:0005840</v>
          </cell>
        </row>
        <row r="1392">
          <cell r="A1392" t="str">
            <v>GRMZM2G129777</v>
          </cell>
          <cell r="B1392" t="str">
            <v>GO:0003700GO:0006355</v>
          </cell>
        </row>
        <row r="1393">
          <cell r="A1393" t="str">
            <v>GRMZM2G051270</v>
          </cell>
          <cell r="B1393" t="str">
            <v>GO:0000103GO:0004781</v>
          </cell>
        </row>
        <row r="1394">
          <cell r="A1394" t="str">
            <v>GRMZM2G054136</v>
          </cell>
          <cell r="B1394" t="str">
            <v>GO:0003735GO:0006412GO:0005840</v>
          </cell>
        </row>
        <row r="1395">
          <cell r="A1395" t="str">
            <v>GRMZM2G098301</v>
          </cell>
          <cell r="B1395" t="str">
            <v>GO:0016021GO:0006810GO:0005234GO:0030288GO:0004965GO:0007186GO:0004970</v>
          </cell>
        </row>
        <row r="1396">
          <cell r="A1396" t="str">
            <v>AC199541.4_FG007</v>
          </cell>
          <cell r="B1396" t="str">
            <v>GO:0016758GO:0008152</v>
          </cell>
        </row>
        <row r="1397">
          <cell r="A1397" t="str">
            <v>GRMZM2G023105</v>
          </cell>
          <cell r="B1397" t="str">
            <v>GO:0006886GO:0005622</v>
          </cell>
        </row>
        <row r="1398">
          <cell r="A1398" t="str">
            <v>GRMZM2G130728</v>
          </cell>
          <cell r="B1398" t="str">
            <v>GO:0016747</v>
          </cell>
        </row>
        <row r="1399">
          <cell r="A1399" t="str">
            <v>GRMZM2G010944</v>
          </cell>
          <cell r="B1399" t="str">
            <v>GO:0005737GO:0051087GO:0001671</v>
          </cell>
        </row>
        <row r="1400">
          <cell r="A1400" t="str">
            <v>GRMZM2G087769</v>
          </cell>
          <cell r="B1400" t="str">
            <v>GO:0008168GO:0008152</v>
          </cell>
        </row>
        <row r="1401">
          <cell r="A1401" t="str">
            <v>GRMZM2G004878</v>
          </cell>
          <cell r="B1401" t="str">
            <v>GO:0006355GO:0006334GO:0000786GO:0005634GO:0003677</v>
          </cell>
        </row>
        <row r="1402">
          <cell r="A1402" t="str">
            <v>GRMZM2G059314</v>
          </cell>
          <cell r="B1402" t="str">
            <v>GO:0055114GO:0016491</v>
          </cell>
        </row>
        <row r="1403">
          <cell r="A1403" t="str">
            <v>AC212835.3_FG008</v>
          </cell>
          <cell r="B1403" t="str">
            <v>GO:0006468GO:0005840GO:0003735GO:0004674GO:0050825GO:0004713GO:0042309GO:0050826GO:0006412GO:0005524</v>
          </cell>
        </row>
        <row r="1404">
          <cell r="A1404" t="str">
            <v>GRMZM2G045330</v>
          </cell>
          <cell r="B1404" t="str">
            <v>GO:0004674GO:0006468GO:0004713GO:0005524</v>
          </cell>
        </row>
        <row r="1405">
          <cell r="A1405" t="str">
            <v>GRMZM2G072298</v>
          </cell>
          <cell r="B1405" t="str">
            <v>GO:0008415GO:0008152</v>
          </cell>
        </row>
        <row r="1406">
          <cell r="A1406" t="str">
            <v>GRMZM2G106950</v>
          </cell>
          <cell r="B1406" t="str">
            <v>GO:0004425GO:0006568</v>
          </cell>
        </row>
        <row r="1407">
          <cell r="A1407" t="str">
            <v>GRMZM2G152477</v>
          </cell>
          <cell r="B1407" t="str">
            <v>GO:0016787</v>
          </cell>
        </row>
        <row r="1408">
          <cell r="A1408" t="str">
            <v>GRMZM2G313481</v>
          </cell>
          <cell r="B1408" t="str">
            <v>GO:0045449GO:0003677</v>
          </cell>
        </row>
        <row r="1409">
          <cell r="A1409" t="str">
            <v>GRMZM2G146437</v>
          </cell>
          <cell r="B1409" t="str">
            <v>GO:0016765</v>
          </cell>
        </row>
        <row r="1410">
          <cell r="A1410" t="str">
            <v>GRMZM2G088396</v>
          </cell>
          <cell r="B1410" t="str">
            <v>GO:0003868GO:0009072</v>
          </cell>
        </row>
        <row r="1411">
          <cell r="A1411" t="str">
            <v>GRMZM2G043813</v>
          </cell>
          <cell r="B1411" t="str">
            <v>GO:0045449GO:0003677</v>
          </cell>
        </row>
        <row r="1412">
          <cell r="A1412" t="str">
            <v>GRMZM2G160005</v>
          </cell>
          <cell r="B1412" t="str">
            <v>GO:0006355GO:0005634GO:0003677GO:0009725</v>
          </cell>
        </row>
        <row r="1413">
          <cell r="A1413" t="str">
            <v>GRMZM2G127948</v>
          </cell>
          <cell r="B1413" t="str">
            <v>GO:0008171</v>
          </cell>
        </row>
        <row r="1414">
          <cell r="A1414" t="str">
            <v>GRMZM2G171279</v>
          </cell>
          <cell r="B1414" t="str">
            <v>GO:0006813GO:0016020GO:0005249</v>
          </cell>
        </row>
        <row r="1415">
          <cell r="A1415" t="str">
            <v>GRMZM2G009412</v>
          </cell>
          <cell r="B1415" t="str">
            <v>GO:0003735GO:0006412GO:0005840</v>
          </cell>
        </row>
        <row r="1416">
          <cell r="A1416" t="str">
            <v>GRMZM2G107639</v>
          </cell>
          <cell r="B1416" t="str">
            <v>GO:0016847GO:0009058GO:0030170GO:0016769</v>
          </cell>
        </row>
        <row r="1417">
          <cell r="A1417" t="str">
            <v>GRMZM2G157564</v>
          </cell>
          <cell r="B1417" t="str">
            <v>GO:0016020GO:0016887GO:0005524</v>
          </cell>
        </row>
        <row r="1418">
          <cell r="A1418" t="str">
            <v>GRMZM2G175071</v>
          </cell>
          <cell r="B1418" t="str">
            <v>GO:0004419</v>
          </cell>
        </row>
        <row r="1419">
          <cell r="A1419" t="str">
            <v>GRMZM2G091456</v>
          </cell>
          <cell r="B1419" t="str">
            <v>GO:0004506GO:0016021GO:0050660GO:0043087GO:0055114</v>
          </cell>
        </row>
        <row r="1420">
          <cell r="A1420" t="str">
            <v>GRMZM2G301148</v>
          </cell>
          <cell r="B1420" t="str">
            <v>GO:0016758GO:0008152</v>
          </cell>
        </row>
        <row r="1421">
          <cell r="A1421" t="str">
            <v>GRMZM2G048549</v>
          </cell>
          <cell r="B1421" t="str">
            <v>GO:0005509</v>
          </cell>
        </row>
        <row r="1422">
          <cell r="A1422" t="str">
            <v>GRMZM2G026151</v>
          </cell>
          <cell r="B1422" t="str">
            <v>GO:0004674GO:0006468GO:0004713GO:0005524GO:0016998</v>
          </cell>
        </row>
        <row r="1423">
          <cell r="A1423" t="str">
            <v>GRMZM2G136534</v>
          </cell>
          <cell r="B1423" t="str">
            <v>GO:0004601GO:0006979GO:0020037GO:0009055</v>
          </cell>
        </row>
        <row r="1424">
          <cell r="A1424" t="str">
            <v>GRMZM2G082191</v>
          </cell>
          <cell r="B1424" t="str">
            <v>GO:0006468GO:0004674GO:0009058GO:0004713GO:0005515GO:0005524GO:0030170</v>
          </cell>
        </row>
        <row r="1425">
          <cell r="A1425" t="str">
            <v>GRMZM2G134023</v>
          </cell>
          <cell r="B1425" t="str">
            <v>GO:0008270GO:0005515</v>
          </cell>
        </row>
        <row r="1426">
          <cell r="A1426" t="str">
            <v>GRMZM2G099328</v>
          </cell>
          <cell r="B1426" t="str">
            <v>GO:0008270</v>
          </cell>
        </row>
        <row r="1427">
          <cell r="A1427" t="str">
            <v>GRMZM2G032766</v>
          </cell>
          <cell r="B1427" t="str">
            <v>GO:0016020GO:0051260</v>
          </cell>
        </row>
        <row r="1428">
          <cell r="A1428" t="str">
            <v>GRMZM2G468657</v>
          </cell>
          <cell r="B1428" t="str">
            <v>GO:0016021GO:0001619GO:0006835GO:0006508GO:0004190GO:0017153GO:0007186</v>
          </cell>
        </row>
        <row r="1429">
          <cell r="A1429" t="str">
            <v>GRMZM2G032763</v>
          </cell>
          <cell r="B1429" t="str">
            <v>GO:0006413GO:0045454GO:0009055GO:0015035GO:0003743</v>
          </cell>
        </row>
        <row r="1430">
          <cell r="A1430" t="str">
            <v>GRMZM2G017470</v>
          </cell>
          <cell r="B1430" t="str">
            <v>GO:0045449GO:0008270GO:0003677</v>
          </cell>
        </row>
        <row r="1431">
          <cell r="A1431" t="str">
            <v>GRMZM2G124301</v>
          </cell>
          <cell r="B1431" t="str">
            <v>GO:0004523GO:0003676</v>
          </cell>
        </row>
        <row r="1432">
          <cell r="A1432" t="str">
            <v>GRMZM2G096585</v>
          </cell>
          <cell r="B1432" t="str">
            <v>GO:0006457</v>
          </cell>
        </row>
        <row r="1433">
          <cell r="A1433" t="str">
            <v>GRMZM2G076423</v>
          </cell>
          <cell r="B1433" t="str">
            <v>GO:0004674GO:0006468GO:0004713GO:0005524</v>
          </cell>
        </row>
        <row r="1434">
          <cell r="A1434" t="str">
            <v>GRMZM2G475263</v>
          </cell>
          <cell r="B1434" t="str">
            <v>GO:0006355GO:0005634GO:0003677GO:0009725</v>
          </cell>
        </row>
        <row r="1435">
          <cell r="A1435" t="str">
            <v>GRMZM2G004523</v>
          </cell>
          <cell r="B1435" t="str">
            <v>GO:0009416GO:0005515GO:0004871</v>
          </cell>
        </row>
        <row r="1436">
          <cell r="A1436" t="str">
            <v>GRMZM2G123843</v>
          </cell>
          <cell r="B1436" t="str">
            <v>GO:0015031GO:0007030GO:0016020</v>
          </cell>
        </row>
        <row r="1437">
          <cell r="A1437" t="str">
            <v>GRMZM2G043453</v>
          </cell>
          <cell r="B1437" t="str">
            <v>GO:0015995GO:0016851GO:0017111GO:0006260GO:0003677GO:0015979GO:0005524</v>
          </cell>
        </row>
        <row r="1438">
          <cell r="A1438" t="str">
            <v>GRMZM2G341410</v>
          </cell>
          <cell r="B1438" t="str">
            <v>GO:0005515</v>
          </cell>
        </row>
        <row r="1439">
          <cell r="A1439" t="str">
            <v>GRMZM2G126235</v>
          </cell>
          <cell r="B1439" t="str">
            <v>GO:0006811GO:0016020GO:0005216</v>
          </cell>
        </row>
        <row r="1440">
          <cell r="A1440" t="str">
            <v>GRMZM2G024576</v>
          </cell>
          <cell r="B1440" t="str">
            <v>GO:0007018GO:0003777GO:0005524GO:0005875</v>
          </cell>
        </row>
        <row r="1441">
          <cell r="A1441" t="str">
            <v>GRMZM2G170692</v>
          </cell>
          <cell r="B1441" t="str">
            <v>GO:0005737GO:0009058GO:0016841GO:0016211GO:0006559</v>
          </cell>
        </row>
        <row r="1442">
          <cell r="A1442" t="str">
            <v>GRMZM2G099454</v>
          </cell>
          <cell r="B1442" t="str">
            <v>GO:0004568GO:0006032GO:0016998</v>
          </cell>
        </row>
        <row r="1443">
          <cell r="A1443" t="str">
            <v>GRMZM2G044137</v>
          </cell>
          <cell r="B1443" t="str">
            <v>GO:0003735GO:0006412GO:0005840</v>
          </cell>
        </row>
        <row r="1444">
          <cell r="A1444" t="str">
            <v>GRMZM2G005652</v>
          </cell>
          <cell r="B1444" t="str">
            <v>GO:0032313GO:0003735GO:0006412GO:0005097GO:0005840</v>
          </cell>
        </row>
        <row r="1445">
          <cell r="A1445" t="str">
            <v>GRMZM2G441888</v>
          </cell>
          <cell r="B1445" t="str">
            <v>GO:0050825GO:0042309GO:0050826</v>
          </cell>
        </row>
        <row r="1446">
          <cell r="A1446" t="str">
            <v>GRMZM2G053916</v>
          </cell>
          <cell r="B1446" t="str">
            <v>GO:0050660GO:0009055</v>
          </cell>
        </row>
        <row r="1447">
          <cell r="A1447" t="str">
            <v>GRMZM2G066041</v>
          </cell>
          <cell r="B1447" t="str">
            <v>GO:0006508GO:0004197</v>
          </cell>
        </row>
        <row r="1448">
          <cell r="A1448" t="str">
            <v>GRMZM2G151252</v>
          </cell>
          <cell r="B1448" t="str">
            <v>GO:0003735GO:0006412GO:0005840</v>
          </cell>
        </row>
        <row r="1449">
          <cell r="A1449" t="str">
            <v>GRMZM2G359070</v>
          </cell>
          <cell r="B1449" t="str">
            <v>GO:0004018GO:0050825GO:0006188GO:0042309GO:0050826</v>
          </cell>
        </row>
        <row r="1450">
          <cell r="A1450" t="str">
            <v>GRMZM2G062761</v>
          </cell>
          <cell r="B1450" t="str">
            <v>GO:0004707GO:0006468GO:0004713GO:0005524</v>
          </cell>
        </row>
        <row r="1451">
          <cell r="A1451" t="str">
            <v>GRMZM2G105834</v>
          </cell>
          <cell r="B1451" t="str">
            <v>GO:0003700GO:0006355GO:0005634GO:0043565</v>
          </cell>
        </row>
        <row r="1452">
          <cell r="A1452" t="str">
            <v>GRMZM2G174511</v>
          </cell>
          <cell r="B1452" t="str">
            <v>GO:0003824GO:0016020</v>
          </cell>
        </row>
        <row r="1453">
          <cell r="A1453" t="str">
            <v>GRMZM2G410479</v>
          </cell>
          <cell r="B1453" t="str">
            <v>GO:0017111GO:0000166</v>
          </cell>
        </row>
        <row r="1454">
          <cell r="A1454" t="str">
            <v>GRMZM2G022413</v>
          </cell>
          <cell r="B1454" t="str">
            <v>GO:0019538GO:0016671</v>
          </cell>
        </row>
        <row r="1455">
          <cell r="A1455" t="str">
            <v>GRMZM2G073567</v>
          </cell>
          <cell r="B1455" t="str">
            <v>GO:0003676</v>
          </cell>
        </row>
        <row r="1456">
          <cell r="A1456" t="str">
            <v>GRMZM2G114642</v>
          </cell>
          <cell r="B1456" t="str">
            <v>GO:0006633GO:0005506GO:0005783GO:0055114GO:0016491</v>
          </cell>
        </row>
        <row r="1457">
          <cell r="A1457" t="str">
            <v>GRMZM2G075513</v>
          </cell>
          <cell r="B1457" t="str">
            <v>GO:0016747</v>
          </cell>
        </row>
        <row r="1458">
          <cell r="A1458" t="str">
            <v>GRMZM2G033894</v>
          </cell>
          <cell r="B1458" t="str">
            <v>GO:0004739GO:0043231GO:0055114GO:0006096</v>
          </cell>
        </row>
        <row r="1459">
          <cell r="A1459" t="str">
            <v>GRMZM2G452580</v>
          </cell>
          <cell r="B1459" t="str">
            <v>GO:0005215GO:0006810GO:0005622</v>
          </cell>
        </row>
        <row r="1460">
          <cell r="A1460" t="str">
            <v>GRMZM2G302604</v>
          </cell>
          <cell r="B1460" t="str">
            <v>GO:0022891GO:0016021GO:0055085</v>
          </cell>
        </row>
        <row r="1461">
          <cell r="A1461" t="str">
            <v>GRMZM2G138255</v>
          </cell>
          <cell r="B1461" t="str">
            <v>GO:0005488</v>
          </cell>
        </row>
        <row r="1462">
          <cell r="A1462" t="str">
            <v>GRMZM2G122811</v>
          </cell>
          <cell r="B1462" t="str">
            <v>GO:0003735GO:0006412GO:0005840</v>
          </cell>
        </row>
        <row r="1463">
          <cell r="A1463" t="str">
            <v>GRMZM2G122810</v>
          </cell>
          <cell r="B1463" t="str">
            <v>GO:0008825GO:0006694</v>
          </cell>
        </row>
        <row r="1464">
          <cell r="A1464" t="str">
            <v>GRMZM2G011213</v>
          </cell>
          <cell r="B1464" t="str">
            <v>GO:0005759</v>
          </cell>
        </row>
        <row r="1465">
          <cell r="A1465" t="str">
            <v>GRMZM2G178968</v>
          </cell>
          <cell r="B1465" t="str">
            <v>GO:0003735GO:0042254GO:0006412GO:0005840</v>
          </cell>
        </row>
        <row r="1466">
          <cell r="A1466" t="str">
            <v>GRMZM2G152105</v>
          </cell>
          <cell r="B1466" t="str">
            <v>GO:0006633GO:0016747</v>
          </cell>
        </row>
        <row r="1467">
          <cell r="A1467" t="str">
            <v>GRMZM2G018336</v>
          </cell>
          <cell r="B1467" t="str">
            <v>GO:0006355GO:0005634GO:0004879GO:0003677</v>
          </cell>
        </row>
        <row r="1468">
          <cell r="A1468" t="str">
            <v>GRMZM2G079956</v>
          </cell>
          <cell r="B1468" t="str">
            <v>GO:0042309GO:0005840GO:0006915GO:0006464GO:0003735GO:0050825GO:0005515GO:0050826GO:0006412</v>
          </cell>
        </row>
        <row r="1469">
          <cell r="A1469" t="str">
            <v>GRMZM2G032419</v>
          </cell>
          <cell r="B1469" t="str">
            <v>GO:0005732GO:0006364GO:0019843</v>
          </cell>
        </row>
        <row r="1470">
          <cell r="A1470" t="str">
            <v>GRMZM2G359102</v>
          </cell>
          <cell r="B1470" t="str">
            <v>GO:0016021GO:0007186</v>
          </cell>
        </row>
        <row r="1471">
          <cell r="A1471" t="str">
            <v>AC193786.3_FG005</v>
          </cell>
          <cell r="B1471" t="str">
            <v>GO:0005634GO:0045449GO:0030528</v>
          </cell>
        </row>
        <row r="1472">
          <cell r="A1472" t="str">
            <v>GRMZM2G160351</v>
          </cell>
          <cell r="B1472" t="str">
            <v>GO:0003735GO:0006412GO:0005840</v>
          </cell>
        </row>
        <row r="1473">
          <cell r="A1473" t="str">
            <v>GRMZM2G066820</v>
          </cell>
          <cell r="B1473" t="str">
            <v>GO:0015904GO:0016021GO:0015520GO:0046677GO:0055085</v>
          </cell>
        </row>
        <row r="1474">
          <cell r="A1474" t="str">
            <v>GRMZM2G127789</v>
          </cell>
          <cell r="B1474" t="str">
            <v>GO:0005737GO:0004364GO:0008152</v>
          </cell>
        </row>
        <row r="1475">
          <cell r="A1475" t="str">
            <v>GRMZM2G024150</v>
          </cell>
          <cell r="B1475" t="str">
            <v>GO:0015979GO:0009538</v>
          </cell>
        </row>
        <row r="1476">
          <cell r="A1476" t="str">
            <v>GRMZM2G173341</v>
          </cell>
          <cell r="B1476" t="str">
            <v>GO:0005794GO:0030244GO:0007047GO:0016758GO:0009505GO:0030054</v>
          </cell>
        </row>
        <row r="1477">
          <cell r="A1477" t="str">
            <v>GRMZM2G449160</v>
          </cell>
          <cell r="B1477" t="str">
            <v>GO:0005634GO:0000785GO:0008152GO:0003677GO:0045454GO:0015035GO:0009055</v>
          </cell>
        </row>
        <row r="1478">
          <cell r="A1478" t="str">
            <v>GRMZM2G104549</v>
          </cell>
          <cell r="B1478" t="str">
            <v>GO:0016020GO:0009765</v>
          </cell>
        </row>
        <row r="1479">
          <cell r="A1479" t="str">
            <v>GRMZM2G005939</v>
          </cell>
          <cell r="B1479" t="str">
            <v>GO:0005634GO:0045449GO:0030528</v>
          </cell>
        </row>
        <row r="1480">
          <cell r="A1480" t="str">
            <v>GRMZM2G087901</v>
          </cell>
          <cell r="B1480" t="str">
            <v>GO:0008515GO:0015770GO:0005887</v>
          </cell>
        </row>
        <row r="1481">
          <cell r="A1481" t="str">
            <v>GRMZM2G010406</v>
          </cell>
          <cell r="B1481" t="str">
            <v>GO:0004055GO:0006526GO:0005524</v>
          </cell>
        </row>
        <row r="1482">
          <cell r="A1482" t="str">
            <v>GRMZM2G119316</v>
          </cell>
          <cell r="B1482" t="str">
            <v>GO:0031072GO:0006457GO:0051082</v>
          </cell>
        </row>
        <row r="1483">
          <cell r="A1483" t="str">
            <v>GRMZM2G152040</v>
          </cell>
          <cell r="B1483" t="str">
            <v>GO:0015969GO:0005509</v>
          </cell>
        </row>
        <row r="1484">
          <cell r="A1484" t="str">
            <v>GRMZM2G029048</v>
          </cell>
          <cell r="B1484" t="str">
            <v>GO:0005737GO:0009058GO:0016841GO:0016211GO:0006559</v>
          </cell>
        </row>
        <row r="1485">
          <cell r="A1485" t="str">
            <v>GRMZM2G003715</v>
          </cell>
          <cell r="B1485" t="str">
            <v>GO:0045449GO:0003677</v>
          </cell>
        </row>
        <row r="1486">
          <cell r="A1486" t="str">
            <v>GRMZM2G118104</v>
          </cell>
          <cell r="B1486" t="str">
            <v>GO:0016787</v>
          </cell>
        </row>
        <row r="1487">
          <cell r="A1487" t="str">
            <v>GRMZM2G016677</v>
          </cell>
          <cell r="B1487" t="str">
            <v>GO:0019898GO:0009654GO:0005509GO:0015979</v>
          </cell>
        </row>
        <row r="1488">
          <cell r="A1488" t="str">
            <v>GRMZM2G100809</v>
          </cell>
          <cell r="B1488" t="str">
            <v>GO:0015031GO:0016021</v>
          </cell>
        </row>
        <row r="1489">
          <cell r="A1489" t="str">
            <v>GRMZM2G119769</v>
          </cell>
          <cell r="B1489" t="str">
            <v>GO:0050825GO:0042309GO:0050826</v>
          </cell>
        </row>
        <row r="1490">
          <cell r="A1490" t="str">
            <v>GRMZM2G133121</v>
          </cell>
          <cell r="B1490" t="str">
            <v>GO:0009320GO:0006810GO:0005215GO:0016020GO:0004638GO:0006189GO:0005524</v>
          </cell>
        </row>
        <row r="1491">
          <cell r="A1491" t="str">
            <v>GRMZM2G138382</v>
          </cell>
          <cell r="B1491" t="str">
            <v>GO:0009058GO:0016833</v>
          </cell>
        </row>
        <row r="1492">
          <cell r="A1492" t="str">
            <v>GRMZM2G122498</v>
          </cell>
          <cell r="B1492" t="str">
            <v>GO:0004497GO:0020037GO:0009055</v>
          </cell>
        </row>
        <row r="1493">
          <cell r="A1493" t="str">
            <v>GRMZM2G122072</v>
          </cell>
          <cell r="B1493" t="str">
            <v>GO:0016758GO:0008152</v>
          </cell>
        </row>
        <row r="1494">
          <cell r="A1494" t="str">
            <v>GRMZM2G156905</v>
          </cell>
          <cell r="B1494" t="str">
            <v>GO:0004674GO:0006468GO:0005524GO:0005515GO:0004713</v>
          </cell>
        </row>
        <row r="1495">
          <cell r="A1495" t="str">
            <v>GRMZM2G143640</v>
          </cell>
          <cell r="B1495" t="str">
            <v>GO:0003677</v>
          </cell>
        </row>
        <row r="1496">
          <cell r="A1496" t="str">
            <v>GRMZM2G147966</v>
          </cell>
          <cell r="B1496" t="str">
            <v>GO:0050660GO:0050664GO:0016021GO:0005509GO:0005506GO:0004601GO:0055114GO:0009055</v>
          </cell>
        </row>
        <row r="1497">
          <cell r="A1497" t="str">
            <v>GRMZM2G427618</v>
          </cell>
          <cell r="B1497" t="str">
            <v>GO:0005506GO:0016491</v>
          </cell>
        </row>
        <row r="1498">
          <cell r="A1498" t="str">
            <v>GRMZM2G109130</v>
          </cell>
          <cell r="B1498" t="str">
            <v>GO:0005506GO:0016165GO:0009055</v>
          </cell>
        </row>
        <row r="1499">
          <cell r="A1499" t="str">
            <v>GRMZM2G031062</v>
          </cell>
          <cell r="B1499" t="str">
            <v>GO:0008080GO:0008152</v>
          </cell>
        </row>
        <row r="1500">
          <cell r="A1500" t="str">
            <v>GRMZM2G007012</v>
          </cell>
          <cell r="B1500" t="str">
            <v>GO:0016758GO:0008152</v>
          </cell>
        </row>
        <row r="1501">
          <cell r="A1501" t="str">
            <v>GRMZM2G310115</v>
          </cell>
          <cell r="B1501" t="str">
            <v>GO:0005634</v>
          </cell>
        </row>
        <row r="1502">
          <cell r="A1502" t="str">
            <v>GRMZM2G148925</v>
          </cell>
          <cell r="B1502" t="str">
            <v>GO:0004869</v>
          </cell>
        </row>
        <row r="1503">
          <cell r="A1503" t="str">
            <v>GRMZM2G030223</v>
          </cell>
          <cell r="B1503" t="str">
            <v>GO:0006629</v>
          </cell>
        </row>
        <row r="1504">
          <cell r="A1504" t="str">
            <v>GRMZM2G003002</v>
          </cell>
          <cell r="B1504" t="str">
            <v>GO:0005840GO:0006334GO:0030288GO:0006412GO:0003735GO:0005381GO:0006826GO:0003677GO:0000786GO:0005634</v>
          </cell>
        </row>
        <row r="1505">
          <cell r="A1505" t="str">
            <v>GRMZM2G395778</v>
          </cell>
          <cell r="B1505" t="str">
            <v>GO:0004674GO:0006468GO:0004713GO:0005524</v>
          </cell>
        </row>
        <row r="1506">
          <cell r="A1506" t="str">
            <v>GRMZM2G095904</v>
          </cell>
          <cell r="B1506" t="str">
            <v>GO:0003677</v>
          </cell>
        </row>
        <row r="1507">
          <cell r="A1507" t="str">
            <v>GRMZM2G394827</v>
          </cell>
          <cell r="B1507" t="str">
            <v>GO:0003735GO:0006412GO:0005840</v>
          </cell>
        </row>
        <row r="1508">
          <cell r="A1508" t="str">
            <v>GRMZM2G135362</v>
          </cell>
          <cell r="B1508" t="str">
            <v>GO:0006508GO:0004197GO:0005198</v>
          </cell>
        </row>
        <row r="1509">
          <cell r="A1509" t="str">
            <v>GRMZM2G138589</v>
          </cell>
          <cell r="B1509" t="str">
            <v>GO:0022891GO:0016021GO:0055085</v>
          </cell>
        </row>
        <row r="1510">
          <cell r="A1510" t="str">
            <v>GRMZM2G081970</v>
          </cell>
          <cell r="B1510" t="str">
            <v>GO:0016787</v>
          </cell>
        </row>
        <row r="1511">
          <cell r="A1511" t="str">
            <v>GRMZM2G028104</v>
          </cell>
          <cell r="B1511" t="str">
            <v>GO:0016747GO:0008152GO:0016491</v>
          </cell>
        </row>
        <row r="1512">
          <cell r="A1512" t="str">
            <v>GRMZM2G095763</v>
          </cell>
          <cell r="B1512" t="str">
            <v>GO:0004607GO:0006629</v>
          </cell>
        </row>
        <row r="1513">
          <cell r="A1513" t="str">
            <v>GRMZM2G425986</v>
          </cell>
          <cell r="B1513" t="str">
            <v>GO:0004519GO:0006284GO:0005622GO:0051539GO:0019104</v>
          </cell>
        </row>
        <row r="1514">
          <cell r="A1514" t="str">
            <v>GRMZM2G074743</v>
          </cell>
          <cell r="B1514" t="str">
            <v>GO:0005740GO:0007585</v>
          </cell>
        </row>
        <row r="1515">
          <cell r="A1515" t="str">
            <v>GRMZM2G002993</v>
          </cell>
          <cell r="B1515" t="str">
            <v>GO:0006629</v>
          </cell>
        </row>
        <row r="1516">
          <cell r="A1516" t="str">
            <v>GRMZM2G094168</v>
          </cell>
          <cell r="B1516" t="str">
            <v>GO:0008270GO:0005622</v>
          </cell>
        </row>
        <row r="1517">
          <cell r="A1517" t="str">
            <v>GRMZM2G094165</v>
          </cell>
          <cell r="B1517" t="str">
            <v>GO:0015976GO:0004089GO:0008270</v>
          </cell>
        </row>
        <row r="1518">
          <cell r="A1518" t="str">
            <v>GRMZM2G177883</v>
          </cell>
          <cell r="B1518" t="str">
            <v>GO:0004674GO:0006468GO:0005524GO:0005515GO:0004713</v>
          </cell>
        </row>
        <row r="1519">
          <cell r="A1519" t="str">
            <v>GRMZM2G178852</v>
          </cell>
          <cell r="B1519" t="str">
            <v>GO:0050825GO:0042309GO:0050826</v>
          </cell>
        </row>
        <row r="1520">
          <cell r="A1520" t="str">
            <v>GRMZM2G159759</v>
          </cell>
          <cell r="B1520" t="str">
            <v>GO:0006629GO:0016788</v>
          </cell>
        </row>
        <row r="1521">
          <cell r="A1521" t="str">
            <v>GRMZM2G143480</v>
          </cell>
          <cell r="B1521" t="str">
            <v>GO:0009349GO:0009231</v>
          </cell>
        </row>
        <row r="1522">
          <cell r="A1522" t="str">
            <v>GRMZM2G155232</v>
          </cell>
          <cell r="B1522" t="str">
            <v>GO:0006508GO:0050825GO:0042309GO:0004185GO:0050826</v>
          </cell>
        </row>
        <row r="1523">
          <cell r="A1523" t="str">
            <v>GRMZM2G448368</v>
          </cell>
          <cell r="B1523" t="str">
            <v>GO:0031072GO:0006457GO:0051082</v>
          </cell>
        </row>
        <row r="1524">
          <cell r="A1524" t="str">
            <v>GRMZM2G031790</v>
          </cell>
          <cell r="B1524" t="str">
            <v>GO:0006633GO:0016020GO:0008415</v>
          </cell>
        </row>
        <row r="1525">
          <cell r="A1525" t="str">
            <v>GRMZM2G162529</v>
          </cell>
          <cell r="B1525" t="str">
            <v>GO:0005975GO:0017111GO:0008974GO:0005524</v>
          </cell>
        </row>
        <row r="1526">
          <cell r="A1526" t="str">
            <v>GRMZM2G383088</v>
          </cell>
          <cell r="B1526" t="str">
            <v>GO:0005215GO:0016020GO:0006814</v>
          </cell>
        </row>
        <row r="1527">
          <cell r="A1527" t="str">
            <v>GRMZM2G176840</v>
          </cell>
          <cell r="B1527" t="str">
            <v>GO:0019898GO:0009654GO:0005509GO:0015979</v>
          </cell>
        </row>
        <row r="1528">
          <cell r="A1528" t="str">
            <v>GRMZM2G060872</v>
          </cell>
          <cell r="B1528" t="str">
            <v>GO:0004674GO:0006468GO:0004713GO:0005524</v>
          </cell>
        </row>
        <row r="1529">
          <cell r="A1529" t="str">
            <v>GRMZM2G162527</v>
          </cell>
          <cell r="B1529" t="str">
            <v>GO:0003779GO:0008152GO:0016491</v>
          </cell>
        </row>
        <row r="1530">
          <cell r="A1530" t="str">
            <v>GRMZM2G176595</v>
          </cell>
          <cell r="B1530" t="str">
            <v>GO:0005576GO:0019953</v>
          </cell>
        </row>
        <row r="1531">
          <cell r="A1531" t="str">
            <v>GRMZM2G368411</v>
          </cell>
          <cell r="B1531" t="str">
            <v>GO:0005506GO:0016491</v>
          </cell>
        </row>
        <row r="1532">
          <cell r="A1532" t="str">
            <v>GRMZM2G174990</v>
          </cell>
          <cell r="B1532" t="str">
            <v>GO:0005215GO:0006810GO:0005622</v>
          </cell>
        </row>
        <row r="1533">
          <cell r="A1533" t="str">
            <v>GRMZM2G478553</v>
          </cell>
          <cell r="B1533" t="str">
            <v>GO:0008270GO:0005515</v>
          </cell>
        </row>
        <row r="1534">
          <cell r="A1534" t="str">
            <v>GRMZM2G009188</v>
          </cell>
          <cell r="B1534" t="str">
            <v>GO:0009239GO:0005488GO:0008667</v>
          </cell>
        </row>
        <row r="1535">
          <cell r="A1535" t="str">
            <v>GRMZM2G349791</v>
          </cell>
          <cell r="B1535" t="str">
            <v>GO:0046983GO:0008171</v>
          </cell>
        </row>
        <row r="1536">
          <cell r="A1536" t="str">
            <v>GRMZM2G027723</v>
          </cell>
          <cell r="B1536" t="str">
            <v>GO:0016020GO:0016760GO:0008270GO:0005515GO:0030244</v>
          </cell>
        </row>
        <row r="1537">
          <cell r="A1537" t="str">
            <v>AC205008.4_FG002</v>
          </cell>
          <cell r="B1537" t="str">
            <v>GO:0004008GO:0016021GO:0006825GO:0046872GO:0006754GO:0005524</v>
          </cell>
        </row>
        <row r="1538">
          <cell r="A1538" t="str">
            <v>GRMZM2G324157</v>
          </cell>
          <cell r="B1538" t="str">
            <v>GO:0004674GO:0006468GO:0004713GO:0005524</v>
          </cell>
        </row>
        <row r="1539">
          <cell r="A1539" t="str">
            <v>GRMZM2G158083</v>
          </cell>
          <cell r="B1539" t="str">
            <v>GO:0016747</v>
          </cell>
        </row>
        <row r="1540">
          <cell r="A1540" t="str">
            <v>GRMZM2G176446</v>
          </cell>
          <cell r="B1540" t="str">
            <v>GO:0016747</v>
          </cell>
        </row>
        <row r="1541">
          <cell r="A1541" t="str">
            <v>GRMZM2G177424</v>
          </cell>
          <cell r="B1541" t="str">
            <v>GO:0046983GO:0008171</v>
          </cell>
        </row>
        <row r="1542">
          <cell r="A1542" t="str">
            <v>GRMZM2G135165</v>
          </cell>
          <cell r="B1542" t="str">
            <v>GO:0005840GO:0016021GO:0003735GO:0050825GO:0042309GO:0050826GO:0007186GO:0006412</v>
          </cell>
        </row>
        <row r="1543">
          <cell r="A1543" t="str">
            <v>GRMZM2G155058</v>
          </cell>
          <cell r="B1543" t="str">
            <v>GO:0016787</v>
          </cell>
        </row>
        <row r="1544">
          <cell r="A1544" t="str">
            <v>GRMZM2G162451</v>
          </cell>
          <cell r="B1544" t="str">
            <v>GO:0006355GO:0005634GO:0004879GO:0003677</v>
          </cell>
        </row>
        <row r="1545">
          <cell r="A1545" t="str">
            <v>GRMZM2G056988</v>
          </cell>
          <cell r="B1545" t="str">
            <v>GO:0031072GO:0006457GO:0051082</v>
          </cell>
        </row>
        <row r="1546">
          <cell r="A1546" t="str">
            <v>GRMZM2G176430</v>
          </cell>
          <cell r="B1546" t="str">
            <v>GO:0016021GO:0006814GO:0006835GO:0015137GO:0015746GO:0017153</v>
          </cell>
        </row>
        <row r="1547">
          <cell r="A1547" t="str">
            <v>GRMZM2G082520</v>
          </cell>
          <cell r="B1547" t="str">
            <v>GO:0005576GO:0019953</v>
          </cell>
        </row>
        <row r="1548">
          <cell r="A1548" t="str">
            <v>GRMZM2G131243</v>
          </cell>
          <cell r="B1548" t="str">
            <v>GO:0003854GO:0050662GO:0006694</v>
          </cell>
        </row>
        <row r="1549">
          <cell r="A1549" t="str">
            <v>GRMZM2G164440</v>
          </cell>
          <cell r="B1549" t="str">
            <v>GO:0050825GO:0042309GO:0050826</v>
          </cell>
        </row>
        <row r="1550">
          <cell r="A1550" t="str">
            <v>GRMZM2G127379</v>
          </cell>
          <cell r="B1550" t="str">
            <v>GO:0045449GO:0003677</v>
          </cell>
        </row>
        <row r="1551">
          <cell r="A1551" t="str">
            <v>GRMZM2G009719</v>
          </cell>
          <cell r="B1551" t="str">
            <v>GO:0006950</v>
          </cell>
        </row>
        <row r="1552">
          <cell r="A1552" t="str">
            <v>GRMZM2G009715</v>
          </cell>
          <cell r="B1552" t="str">
            <v>GO:0042309GO:0006813GO:0016021GO:0015299GO:0003824GO:0050825GO:0008152GO:0050826</v>
          </cell>
        </row>
        <row r="1553">
          <cell r="A1553" t="str">
            <v>GRMZM2G080034</v>
          </cell>
          <cell r="B1553" t="str">
            <v>GO:0050825GO:0042309GO:0050826</v>
          </cell>
        </row>
        <row r="1554">
          <cell r="A1554" t="str">
            <v>GRMZM2G001764</v>
          </cell>
          <cell r="B1554" t="str">
            <v>GO:0006857GO:0005215GO:0016020</v>
          </cell>
        </row>
        <row r="1555">
          <cell r="A1555" t="str">
            <v>GRMZM2G048801</v>
          </cell>
          <cell r="B1555" t="str">
            <v>GO:0004674GO:0006468GO:0005524GO:0005515GO:0004713</v>
          </cell>
        </row>
        <row r="1556">
          <cell r="A1556" t="str">
            <v>GRMZM2G440918</v>
          </cell>
          <cell r="B1556" t="str">
            <v>GO:0019787GO:0043687GO:0051246</v>
          </cell>
        </row>
        <row r="1557">
          <cell r="A1557" t="str">
            <v>GRMZM2G149257</v>
          </cell>
          <cell r="B1557" t="str">
            <v>GO:0003735GO:0006412GO:0005840</v>
          </cell>
        </row>
        <row r="1558">
          <cell r="A1558" t="str">
            <v>GRMZM2G069911</v>
          </cell>
          <cell r="B1558" t="str">
            <v>GO:0006334GO:0003677GO:0005634GO:0000786</v>
          </cell>
        </row>
        <row r="1559">
          <cell r="A1559" t="str">
            <v>GRMZM2G071089</v>
          </cell>
          <cell r="B1559" t="str">
            <v>GO:0003735GO:0016020GO:0006412GO:0005840</v>
          </cell>
        </row>
        <row r="1560">
          <cell r="A1560" t="str">
            <v>GRMZM2G010953</v>
          </cell>
          <cell r="B1560" t="str">
            <v>GO:0004674GO:0006468GO:0004713GO:0005524</v>
          </cell>
        </row>
        <row r="1561">
          <cell r="A1561" t="str">
            <v>GRMZM2G016066</v>
          </cell>
          <cell r="B1561" t="str">
            <v>GO:0003824GO:0009536GO:0015979GO:0009538</v>
          </cell>
        </row>
        <row r="1562">
          <cell r="A1562" t="str">
            <v>GRMZM2G116520</v>
          </cell>
          <cell r="B1562" t="str">
            <v>GO:0005576GO:0004867</v>
          </cell>
        </row>
        <row r="1563">
          <cell r="A1563" t="str">
            <v>GRMZM2G042171</v>
          </cell>
          <cell r="B1563" t="str">
            <v>GO:0016021GO:0008271GO:0008272</v>
          </cell>
        </row>
        <row r="1564">
          <cell r="A1564" t="str">
            <v>GRMZM2G071087</v>
          </cell>
          <cell r="B1564" t="str">
            <v>GO:0004721</v>
          </cell>
        </row>
        <row r="1565">
          <cell r="A1565" t="str">
            <v>GRMZM2G072280</v>
          </cell>
          <cell r="B1565" t="str">
            <v>GO:0016020GO:0009765</v>
          </cell>
        </row>
        <row r="1566">
          <cell r="A1566" t="str">
            <v>GRMZM2G091006</v>
          </cell>
          <cell r="B1566" t="str">
            <v>GO:0004519GO:0005622GO:0003677GO:0006281</v>
          </cell>
        </row>
        <row r="1567">
          <cell r="A1567" t="str">
            <v>GRMZM2G384439</v>
          </cell>
          <cell r="B1567" t="str">
            <v>GO:0004674GO:0006468GO:0005524GO:0005515GO:0004713</v>
          </cell>
        </row>
        <row r="1568">
          <cell r="A1568" t="str">
            <v>GRMZM2G365035</v>
          </cell>
          <cell r="B1568" t="str">
            <v>GO:0004674GO:0006468GO:0004713GO:0005524GO:0005509</v>
          </cell>
        </row>
        <row r="1569">
          <cell r="A1569" t="str">
            <v>GRMZM2G343024</v>
          </cell>
          <cell r="B1569" t="str">
            <v>GO:0004674GO:0006468GO:0004713GO:0005524</v>
          </cell>
        </row>
        <row r="1570">
          <cell r="A1570" t="str">
            <v>GRMZM2G055180</v>
          </cell>
          <cell r="B1570" t="str">
            <v>GO:0003700GO:0006355</v>
          </cell>
        </row>
        <row r="1571">
          <cell r="A1571" t="str">
            <v>GRMZM2G342515</v>
          </cell>
          <cell r="B1571" t="str">
            <v>GO:0006334GO:0003677GO:0005634GO:0000786</v>
          </cell>
        </row>
        <row r="1572">
          <cell r="A1572" t="str">
            <v>GRMZM2G317938</v>
          </cell>
          <cell r="B1572" t="str">
            <v>GO:0004674GO:0006468GO:0004713GO:0005524</v>
          </cell>
        </row>
        <row r="1573">
          <cell r="A1573" t="str">
            <v>GRMZM2G090842</v>
          </cell>
          <cell r="B1573" t="str">
            <v>GO:0016597GO:0008152</v>
          </cell>
        </row>
        <row r="1574">
          <cell r="A1574" t="str">
            <v>GRMZM2G431039</v>
          </cell>
          <cell r="B1574" t="str">
            <v>GO:0005975GO:0004553</v>
          </cell>
        </row>
        <row r="1575">
          <cell r="A1575" t="str">
            <v>GRMZM2G065471</v>
          </cell>
          <cell r="B1575" t="str">
            <v>GO:0016787GO:0008152</v>
          </cell>
        </row>
        <row r="1576">
          <cell r="A1576" t="str">
            <v>GRMZM2G065374</v>
          </cell>
          <cell r="B1576" t="str">
            <v>GO:0005634GO:0045449GO:0030528</v>
          </cell>
        </row>
        <row r="1577">
          <cell r="A1577" t="str">
            <v>GRMZM2G062552</v>
          </cell>
          <cell r="B1577" t="str">
            <v>GO:0016757</v>
          </cell>
        </row>
        <row r="1578">
          <cell r="A1578" t="str">
            <v>GRMZM2G007489</v>
          </cell>
          <cell r="B1578" t="str">
            <v>GO:0006633GO:0000036</v>
          </cell>
        </row>
        <row r="1579">
          <cell r="A1579" t="str">
            <v>GRMZM2G154987</v>
          </cell>
          <cell r="B1579" t="str">
            <v>GO:0006952GO:0009607</v>
          </cell>
        </row>
        <row r="1580">
          <cell r="A1580" t="str">
            <v>GRMZM2G064993</v>
          </cell>
          <cell r="B1580" t="str">
            <v>GO:0005544GO:0006265GO:0005509GO:0005694GO:0003918GO:0005524</v>
          </cell>
        </row>
        <row r="1581">
          <cell r="A1581" t="str">
            <v>GRMZM2G151332</v>
          </cell>
          <cell r="B1581" t="str">
            <v>GO:0016758GO:0008152</v>
          </cell>
        </row>
        <row r="1582">
          <cell r="A1582" t="str">
            <v>GRMZM2G026147</v>
          </cell>
          <cell r="B1582" t="str">
            <v>GO:0005576GO:0019953</v>
          </cell>
        </row>
        <row r="1583">
          <cell r="A1583" t="str">
            <v>GRMZM2G055982</v>
          </cell>
          <cell r="B1583" t="str">
            <v>GO:0006468GO:0005840GO:0003735GO:0004674GO:0004713GO:0006412GO:0005524</v>
          </cell>
        </row>
        <row r="1584">
          <cell r="A1584" t="str">
            <v>GRMZM2G150406</v>
          </cell>
          <cell r="B1584" t="str">
            <v>GO:0016020GO:0006865</v>
          </cell>
        </row>
        <row r="1585">
          <cell r="A1585" t="str">
            <v>GRMZM2G146514</v>
          </cell>
          <cell r="B1585" t="str">
            <v>GO:0005634GO:0008270GO:0003723</v>
          </cell>
        </row>
        <row r="1586">
          <cell r="A1586" t="str">
            <v>GRMZM2G098397</v>
          </cell>
          <cell r="B1586" t="str">
            <v>GO:0006508GO:0016020GO:0016798GO:0004252</v>
          </cell>
        </row>
        <row r="1587">
          <cell r="A1587" t="str">
            <v>GRMZM2G168115</v>
          </cell>
          <cell r="B1587" t="str">
            <v>GO:0006508GO:0004190</v>
          </cell>
        </row>
        <row r="1588">
          <cell r="A1588" t="str">
            <v>GRMZM2G129018</v>
          </cell>
          <cell r="B1588" t="str">
            <v>GO:0004674GO:0006468GO:0004713GO:0005524GO:0007165</v>
          </cell>
        </row>
        <row r="1589">
          <cell r="A1589" t="str">
            <v>GRMZM2G096591</v>
          </cell>
          <cell r="B1589" t="str">
            <v>GO:0005975GO:0004553</v>
          </cell>
        </row>
        <row r="1590">
          <cell r="A1590" t="str">
            <v>AC209206.3_FG011</v>
          </cell>
          <cell r="B1590" t="str">
            <v>GO:0003676</v>
          </cell>
        </row>
        <row r="1591">
          <cell r="A1591" t="str">
            <v>GRMZM2G022645</v>
          </cell>
          <cell r="B1591" t="str">
            <v>GO:0004674GO:0006468GO:0004713GO:0005524GO:0016998</v>
          </cell>
        </row>
        <row r="1592">
          <cell r="A1592" t="str">
            <v>GRMZM2G413069</v>
          </cell>
          <cell r="B1592" t="str">
            <v>GO:0006468GO:0016020GO:0005215GO:0006810GO:0004674GO:0004713GO:0005524</v>
          </cell>
        </row>
        <row r="1593">
          <cell r="A1593" t="str">
            <v>GRMZM2G054361</v>
          </cell>
          <cell r="B1593" t="str">
            <v>GO:0016847GO:0009058GO:0030170GO:0016769</v>
          </cell>
        </row>
        <row r="1594">
          <cell r="A1594" t="str">
            <v>GRMZM2G371795</v>
          </cell>
          <cell r="B1594" t="str">
            <v>GO:0006355GO:0005634GO:0004879GO:0003677</v>
          </cell>
        </row>
        <row r="1595">
          <cell r="A1595" t="str">
            <v>GRMZM2G099666</v>
          </cell>
          <cell r="B1595" t="str">
            <v>GO:0003995GO:0003997GO:0050660GO:0005777GO:0006635</v>
          </cell>
        </row>
        <row r="1596">
          <cell r="A1596" t="str">
            <v>GRMZM2G062156</v>
          </cell>
          <cell r="B1596" t="str">
            <v>GO:0022891GO:0005945GO:0016021GO:0006096GO:0003872GO:0055085</v>
          </cell>
        </row>
        <row r="1597">
          <cell r="A1597" t="str">
            <v>GRMZM2G014240</v>
          </cell>
          <cell r="B1597" t="str">
            <v>GO:0016020GO:0015992GO:0009678GO:0004427</v>
          </cell>
        </row>
        <row r="1598">
          <cell r="A1598" t="str">
            <v>GRMZM2G068316</v>
          </cell>
          <cell r="B1598" t="str">
            <v>GO:0031072GO:0006457GO:0051082</v>
          </cell>
        </row>
        <row r="1599">
          <cell r="A1599" t="str">
            <v>GRMZM2G044128</v>
          </cell>
          <cell r="B1599" t="str">
            <v>GO:0001522GO:0003723GO:0009982</v>
          </cell>
        </row>
        <row r="1600">
          <cell r="A1600" t="str">
            <v>GRMZM2G119516</v>
          </cell>
          <cell r="B1600" t="str">
            <v>GO:0016021</v>
          </cell>
        </row>
        <row r="1601">
          <cell r="A1601" t="str">
            <v>GRMZM2G033555</v>
          </cell>
          <cell r="B1601" t="str">
            <v>GO:0003854GO:0050662GO:0006694</v>
          </cell>
        </row>
        <row r="1602">
          <cell r="A1602" t="str">
            <v>GRMZM2G033226</v>
          </cell>
          <cell r="B1602" t="str">
            <v>GO:0003824GO:0005488GO:0008152</v>
          </cell>
        </row>
        <row r="1603">
          <cell r="A1603" t="str">
            <v>GRMZM2G145554</v>
          </cell>
          <cell r="B1603" t="str">
            <v>GO:0003700GO:0043565GO:0005634GO:0045449</v>
          </cell>
        </row>
        <row r="1604">
          <cell r="A1604" t="str">
            <v>GRMZM2G052344</v>
          </cell>
          <cell r="B1604" t="str">
            <v>GO:0005634GO:0008270GO:0003723GO:0005515GO:0006364</v>
          </cell>
        </row>
        <row r="1605">
          <cell r="A1605" t="str">
            <v>GRMZM2G022398</v>
          </cell>
          <cell r="B1605" t="str">
            <v>GO:0016020</v>
          </cell>
        </row>
        <row r="1606">
          <cell r="A1606" t="str">
            <v>GRMZM2G136857</v>
          </cell>
          <cell r="B1606" t="str">
            <v>GO:0008168</v>
          </cell>
        </row>
        <row r="1607">
          <cell r="A1607" t="str">
            <v>GRMZM2G121128</v>
          </cell>
          <cell r="B1607" t="str">
            <v>GO:0004747GO:0006014</v>
          </cell>
        </row>
        <row r="1608">
          <cell r="A1608" t="str">
            <v>GRMZM2G115705</v>
          </cell>
          <cell r="B1608" t="str">
            <v>GO:0006468GO:0004674GO:0005529GO:0004713GO:0005524GO:0048544</v>
          </cell>
        </row>
        <row r="1609">
          <cell r="A1609" t="str">
            <v>GRMZM2G104310</v>
          </cell>
          <cell r="B1609" t="str">
            <v>GO:0006544GO:0004375</v>
          </cell>
        </row>
        <row r="1610">
          <cell r="A1610" t="str">
            <v>GRMZM2G094990</v>
          </cell>
          <cell r="B1610" t="str">
            <v>GO:0005576GO:0019953</v>
          </cell>
        </row>
        <row r="1611">
          <cell r="A1611" t="str">
            <v>GRMZM2G092588</v>
          </cell>
          <cell r="B1611" t="str">
            <v>GO:0009058</v>
          </cell>
        </row>
        <row r="1612">
          <cell r="A1612" t="str">
            <v>GRMZM2G042895</v>
          </cell>
          <cell r="B1612" t="str">
            <v>GO:0005634GO:0045449GO:0030528</v>
          </cell>
        </row>
        <row r="1613">
          <cell r="A1613" t="str">
            <v>GRMZM2G342246</v>
          </cell>
          <cell r="B1613" t="str">
            <v>GO:0005576GO:0019953</v>
          </cell>
        </row>
        <row r="1614">
          <cell r="A1614" t="str">
            <v>GRMZM2G415793</v>
          </cell>
          <cell r="B1614" t="str">
            <v>GO:0016853GO:0009507</v>
          </cell>
        </row>
        <row r="1615">
          <cell r="A1615" t="str">
            <v>GRMZM2G048205</v>
          </cell>
          <cell r="B1615" t="str">
            <v>GO:0051287GO:0006006GO:0004365GO:0005509</v>
          </cell>
        </row>
        <row r="1616">
          <cell r="A1616" t="str">
            <v>GRMZM2G122805</v>
          </cell>
          <cell r="B1616" t="str">
            <v>GO:0004871GO:0006886GO:0003924GO:0006913GO:0005622GO:0005515GO:0007264GO:0007186GO:0005525</v>
          </cell>
        </row>
        <row r="1617">
          <cell r="A1617" t="str">
            <v>GRMZM2G057823</v>
          </cell>
          <cell r="B1617" t="str">
            <v>GO:0006096GO:0004332</v>
          </cell>
        </row>
        <row r="1618">
          <cell r="A1618" t="str">
            <v>GRMZM2G048200</v>
          </cell>
          <cell r="B1618" t="str">
            <v>GO:0006629GO:0016788</v>
          </cell>
        </row>
        <row r="1619">
          <cell r="A1619" t="str">
            <v>GRMZM2G153476</v>
          </cell>
          <cell r="B1619" t="str">
            <v>GO:0003735GO:0005840GO:0006412GO:0003723</v>
          </cell>
        </row>
        <row r="1620">
          <cell r="A1620" t="str">
            <v>GRMZM2G093987</v>
          </cell>
          <cell r="B1620" t="str">
            <v>GO:0005525</v>
          </cell>
        </row>
        <row r="1621">
          <cell r="A1621" t="str">
            <v>GRMZM2G327564</v>
          </cell>
          <cell r="B1621" t="str">
            <v>GO:0003735GO:0015934GO:0006412</v>
          </cell>
        </row>
        <row r="1622">
          <cell r="A1622" t="str">
            <v>GRMZM2G011269</v>
          </cell>
          <cell r="B1622" t="str">
            <v>GO:0016021</v>
          </cell>
        </row>
        <row r="1623">
          <cell r="A1623" t="str">
            <v>GRMZM2G018631</v>
          </cell>
          <cell r="B1623" t="str">
            <v>GO:0008270GO:0005515</v>
          </cell>
        </row>
        <row r="1624">
          <cell r="A1624" t="str">
            <v>GRMZM2G457003</v>
          </cell>
          <cell r="B1624" t="str">
            <v>GO:0016020GO:0016192GO:0005515</v>
          </cell>
        </row>
        <row r="1625">
          <cell r="A1625" t="str">
            <v>GRMZM2G104226</v>
          </cell>
          <cell r="B1625" t="str">
            <v>GO:0006629GO:0016788</v>
          </cell>
        </row>
        <row r="1626">
          <cell r="A1626" t="str">
            <v>GRMZM2G098460</v>
          </cell>
          <cell r="B1626" t="str">
            <v>GO:0031072GO:0006457GO:0051082</v>
          </cell>
        </row>
        <row r="1627">
          <cell r="A1627" t="str">
            <v>GRMZM2G401664</v>
          </cell>
          <cell r="B1627" t="str">
            <v>GO:0004629GO:0006629GO:0007242</v>
          </cell>
        </row>
        <row r="1628">
          <cell r="A1628" t="str">
            <v>GRMZM2G125266</v>
          </cell>
          <cell r="B1628" t="str">
            <v>GO:0005737GO:0005488GO:0008152GO:0004764</v>
          </cell>
        </row>
        <row r="1629">
          <cell r="A1629" t="str">
            <v>GRMZM2G105570</v>
          </cell>
          <cell r="B1629" t="str">
            <v>GO:0016887GO:0005524</v>
          </cell>
        </row>
        <row r="1630">
          <cell r="A1630" t="str">
            <v>GRMZM2G341959</v>
          </cell>
          <cell r="B1630" t="str">
            <v>GO:0008146</v>
          </cell>
        </row>
        <row r="1631">
          <cell r="A1631" t="str">
            <v>GRMZM2G474651</v>
          </cell>
          <cell r="B1631" t="str">
            <v>GO:0005488</v>
          </cell>
        </row>
        <row r="1632">
          <cell r="A1632" t="str">
            <v>GRMZM2G093186</v>
          </cell>
          <cell r="B1632" t="str">
            <v>GO:0008134GO:0003924GO:0006913GO:0005622GO:0006355GO:0007264GO:0006886GO:0005524GO:0005525</v>
          </cell>
        </row>
        <row r="1633">
          <cell r="A1633" t="str">
            <v>GRMZM2G396477</v>
          </cell>
          <cell r="B1633" t="str">
            <v>GO:0005488</v>
          </cell>
        </row>
        <row r="1634">
          <cell r="A1634" t="str">
            <v>GRMZM2G075438</v>
          </cell>
          <cell r="B1634" t="str">
            <v>GO:0006468GO:0005667GO:0006355GO:0030528GO:0004674GO:0004713GO:0006352GO:0005524GO:0008270</v>
          </cell>
        </row>
        <row r="1635">
          <cell r="A1635" t="str">
            <v>GRMZM2G156754</v>
          </cell>
          <cell r="B1635" t="str">
            <v>GO:0045454GO:0015035GO:0009055</v>
          </cell>
        </row>
        <row r="1636">
          <cell r="A1636" t="str">
            <v>GRMZM2G070639</v>
          </cell>
          <cell r="B1636" t="str">
            <v>GO:0005634GO:0000785GO:0003677</v>
          </cell>
        </row>
        <row r="1637">
          <cell r="A1637" t="str">
            <v>GRMZM2G465806</v>
          </cell>
          <cell r="B1637" t="str">
            <v>GO:0003824GO:0006614GO:0008152GO:0005525</v>
          </cell>
        </row>
        <row r="1638">
          <cell r="A1638" t="str">
            <v>GRMZM2G118172</v>
          </cell>
          <cell r="B1638" t="str">
            <v>GO:0050825GO:0042309GO:0050826</v>
          </cell>
        </row>
        <row r="1639">
          <cell r="A1639" t="str">
            <v>GRMZM2G441347</v>
          </cell>
          <cell r="B1639" t="str">
            <v>GO:0005737GO:0009058GO:0016841GO:0016211GO:0006559</v>
          </cell>
        </row>
        <row r="1640">
          <cell r="A1640" t="str">
            <v>GRMZM2G034794</v>
          </cell>
          <cell r="B1640" t="str">
            <v>GO:0003735GO:0006412GO:0005840</v>
          </cell>
        </row>
        <row r="1641">
          <cell r="A1641" t="str">
            <v>EF517601.1_FG012</v>
          </cell>
          <cell r="B1641" t="str">
            <v>GO:0006457GO:0051082GO:0005524</v>
          </cell>
        </row>
        <row r="1642">
          <cell r="A1642" t="str">
            <v>GRMZM2G166345</v>
          </cell>
          <cell r="B1642" t="str">
            <v>GO:0000049</v>
          </cell>
        </row>
        <row r="1643">
          <cell r="A1643" t="str">
            <v>GRMZM2G119773</v>
          </cell>
          <cell r="B1643" t="str">
            <v>GO:0005737GO:0051258GO:0007017GO:0003924GO:0005874GO:0005525</v>
          </cell>
        </row>
        <row r="1644">
          <cell r="A1644" t="str">
            <v>GRMZM2G013986</v>
          </cell>
          <cell r="B1644" t="str">
            <v>GO:0006508GO:0043086GO:0042802GO:0004252</v>
          </cell>
        </row>
        <row r="1645">
          <cell r="A1645" t="str">
            <v>GRMZM2G119778</v>
          </cell>
          <cell r="B1645" t="str">
            <v>GO:0009058</v>
          </cell>
        </row>
        <row r="1646">
          <cell r="A1646" t="str">
            <v>GRMZM2G368491</v>
          </cell>
          <cell r="B1646" t="str">
            <v>GO:0003700GO:0006355GO:0046983GO:0005634GO:0043565</v>
          </cell>
        </row>
        <row r="1647">
          <cell r="A1647" t="str">
            <v>GRMZM2G142709</v>
          </cell>
          <cell r="B1647" t="str">
            <v>GO:0005576GO:0016757</v>
          </cell>
        </row>
        <row r="1648">
          <cell r="A1648" t="str">
            <v>GRMZM2G362848</v>
          </cell>
          <cell r="B1648" t="str">
            <v>GO:0015931GO:0016020GO:0015205</v>
          </cell>
        </row>
        <row r="1649">
          <cell r="A1649" t="str">
            <v>GRMZM2G440968</v>
          </cell>
          <cell r="B1649" t="str">
            <v>GO:0004869</v>
          </cell>
        </row>
        <row r="1650">
          <cell r="A1650" t="str">
            <v>GRMZM2G061912</v>
          </cell>
          <cell r="B1650" t="str">
            <v>GO:0016491GO:0008134GO:0003924GO:0006913GO:0005622GO:0006355GO:0007264GO:0006886GO:0005524GO:0005525</v>
          </cell>
        </row>
        <row r="1651">
          <cell r="A1651" t="str">
            <v>GRMZM2G053019</v>
          </cell>
          <cell r="B1651" t="str">
            <v>GO:0016021GO:0007186GO:0004949</v>
          </cell>
        </row>
        <row r="1652">
          <cell r="A1652" t="str">
            <v>GRMZM2G358153</v>
          </cell>
          <cell r="B1652" t="str">
            <v>GO:0004568GO:0006032</v>
          </cell>
        </row>
        <row r="1653">
          <cell r="A1653" t="str">
            <v>GRMZM2G109121</v>
          </cell>
          <cell r="B1653" t="str">
            <v>GO:0051536GO:0016887GO:0005524GO:0009055</v>
          </cell>
        </row>
        <row r="1654">
          <cell r="A1654" t="str">
            <v>GRMZM2G065585</v>
          </cell>
          <cell r="B1654" t="str">
            <v>GO:0016020GO:0005975GO:0004553</v>
          </cell>
        </row>
        <row r="1655">
          <cell r="A1655" t="str">
            <v>GRMZM2G060061</v>
          </cell>
          <cell r="B1655" t="str">
            <v>GO:0008601GO:0016020GO:0007165GO:0000159GO:0008375</v>
          </cell>
        </row>
        <row r="1656">
          <cell r="A1656" t="str">
            <v>GRMZM2G159161</v>
          </cell>
          <cell r="B1656" t="str">
            <v>GO:0016163GO:0009416GO:0009399GO:0005515GO:0004871</v>
          </cell>
        </row>
        <row r="1657">
          <cell r="A1657" t="str">
            <v>GRMZM2G128564</v>
          </cell>
          <cell r="B1657" t="str">
            <v>GO:0016747</v>
          </cell>
        </row>
        <row r="1658">
          <cell r="A1658" t="str">
            <v>GRMZM2G089421</v>
          </cell>
          <cell r="B1658" t="str">
            <v>GO:0003735GO:0006412GO:0005840</v>
          </cell>
        </row>
        <row r="1659">
          <cell r="A1659" t="str">
            <v>GRMZM2G148937</v>
          </cell>
          <cell r="B1659" t="str">
            <v>GO:0015297GO:0016791GO:0016020GO:0006855GO:0015238GO:0008152</v>
          </cell>
        </row>
        <row r="1660">
          <cell r="A1660" t="str">
            <v>GRMZM2G118005</v>
          </cell>
          <cell r="B1660" t="str">
            <v>GO:0003735GO:0006412GO:0005840</v>
          </cell>
        </row>
        <row r="1661">
          <cell r="A1661" t="str">
            <v>GRMZM2G132968</v>
          </cell>
          <cell r="B1661" t="str">
            <v>GO:0003735GO:0006412GO:0005840</v>
          </cell>
        </row>
        <row r="1662">
          <cell r="A1662" t="str">
            <v>GRMZM2G409407</v>
          </cell>
          <cell r="B1662" t="str">
            <v>GO:0003735GO:0006412GO:0005840</v>
          </cell>
        </row>
        <row r="1663">
          <cell r="A1663" t="str">
            <v>GRMZM2G118959</v>
          </cell>
          <cell r="B1663" t="str">
            <v>GO:0016020GO:0015018</v>
          </cell>
        </row>
        <row r="1664">
          <cell r="A1664" t="str">
            <v>GRMZM2G001953</v>
          </cell>
          <cell r="B1664" t="str">
            <v>GO:0006886GO:0003924GO:0006913GO:0005622GO:0005515GO:0007264GO:0005525</v>
          </cell>
        </row>
        <row r="1665">
          <cell r="A1665" t="str">
            <v>GRMZM2G149649</v>
          </cell>
          <cell r="B1665" t="str">
            <v>GO:0003735GO:0006412GO:0005840</v>
          </cell>
        </row>
        <row r="1666">
          <cell r="A1666" t="str">
            <v>GRMZM2G007928</v>
          </cell>
          <cell r="B1666" t="str">
            <v>GO:0005576GO:0004867</v>
          </cell>
        </row>
        <row r="1667">
          <cell r="A1667" t="str">
            <v>GRMZM2G034804</v>
          </cell>
          <cell r="B1667" t="str">
            <v>GO:0006355GO:0005634GO:0000785GO:0003677</v>
          </cell>
        </row>
        <row r="1668">
          <cell r="A1668" t="str">
            <v>GRMZM2G051943</v>
          </cell>
          <cell r="B1668" t="str">
            <v>GO:0016998GO:0016021GO:0008061GO:0004994GO:0004568GO:0006032GO:0007186</v>
          </cell>
        </row>
        <row r="1669">
          <cell r="A1669" t="str">
            <v>GRMZM2G074759</v>
          </cell>
          <cell r="B1669" t="str">
            <v>GO:0003824GO:0008152</v>
          </cell>
        </row>
        <row r="1670">
          <cell r="A1670" t="str">
            <v>GRMZM2G038153</v>
          </cell>
          <cell r="B1670" t="str">
            <v>GO:0016829GO:0000287GO:0008152</v>
          </cell>
        </row>
        <row r="1671">
          <cell r="A1671" t="str">
            <v>AC199526.5_FG002</v>
          </cell>
          <cell r="B1671" t="str">
            <v>GO:0006730GO:0004478GO:0005524</v>
          </cell>
        </row>
        <row r="1672">
          <cell r="A1672" t="str">
            <v>GRMZM2G058595</v>
          </cell>
          <cell r="B1672" t="str">
            <v>GO:0005515</v>
          </cell>
        </row>
        <row r="1673">
          <cell r="A1673" t="str">
            <v>GRMZM2G416308</v>
          </cell>
          <cell r="B1673" t="str">
            <v>GO:0004674GO:0006468GO:0004713GO:0005524GO:0005199</v>
          </cell>
        </row>
        <row r="1674">
          <cell r="A1674" t="str">
            <v>GRMZM2G405094</v>
          </cell>
          <cell r="B1674" t="str">
            <v>GO:0003677</v>
          </cell>
        </row>
        <row r="1675">
          <cell r="A1675" t="str">
            <v>GRMZM2G149739</v>
          </cell>
          <cell r="B1675" t="str">
            <v>GO:0050825GO:0042309GO:0050826</v>
          </cell>
        </row>
        <row r="1676">
          <cell r="A1676" t="str">
            <v>GRMZM2G162200</v>
          </cell>
          <cell r="B1676" t="str">
            <v>GO:0005524</v>
          </cell>
        </row>
        <row r="1677">
          <cell r="A1677" t="str">
            <v>GRMZM2G044383</v>
          </cell>
          <cell r="B1677" t="str">
            <v>GO:0005737GO:0004364GO:0008152</v>
          </cell>
        </row>
        <row r="1678">
          <cell r="A1678" t="str">
            <v>GRMZM2G177631</v>
          </cell>
          <cell r="B1678" t="str">
            <v>GO:0016020GO:0016760GO:0008270GO:0005515GO:0030244</v>
          </cell>
        </row>
        <row r="1679">
          <cell r="A1679" t="str">
            <v>GRMZM2G030494</v>
          </cell>
          <cell r="B1679" t="str">
            <v>GO:0006457</v>
          </cell>
        </row>
        <row r="1680">
          <cell r="A1680" t="str">
            <v>GRMZM2G162486</v>
          </cell>
          <cell r="B1680" t="str">
            <v>GO:0005737GO:0004364GO:0008152</v>
          </cell>
        </row>
        <row r="1681">
          <cell r="A1681" t="str">
            <v>AC233922.1_FG005</v>
          </cell>
          <cell r="B1681" t="str">
            <v>GO:0003824GO:0009396GO:0005488</v>
          </cell>
        </row>
        <row r="1682">
          <cell r="A1682" t="str">
            <v>GRMZM2G060886</v>
          </cell>
          <cell r="B1682" t="str">
            <v>GO:0008825GO:0008610</v>
          </cell>
        </row>
        <row r="1683">
          <cell r="A1683" t="str">
            <v>GRMZM2G085474</v>
          </cell>
          <cell r="B1683" t="str">
            <v>GO:0003824GO:0008152</v>
          </cell>
        </row>
        <row r="1684">
          <cell r="A1684" t="str">
            <v>GRMZM2G126765</v>
          </cell>
          <cell r="B1684" t="str">
            <v>GO:0016311GO:0004725</v>
          </cell>
        </row>
        <row r="1685">
          <cell r="A1685" t="str">
            <v>GRMZM2G007256</v>
          </cell>
          <cell r="B1685" t="str">
            <v>GO:0016021GO:0007186</v>
          </cell>
        </row>
        <row r="1686">
          <cell r="A1686" t="str">
            <v>GRMZM2G036880</v>
          </cell>
          <cell r="B1686" t="str">
            <v>GO:0016020GO:0009765</v>
          </cell>
        </row>
        <row r="1687">
          <cell r="A1687" t="str">
            <v>GRMZM2G134917</v>
          </cell>
          <cell r="B1687" t="str">
            <v>GO:0031072GO:0006457GO:0051082</v>
          </cell>
        </row>
        <row r="1688">
          <cell r="A1688" t="str">
            <v>GRMZM2G168833</v>
          </cell>
          <cell r="B1688" t="str">
            <v>GO:0008289GO:0006869</v>
          </cell>
        </row>
        <row r="1689">
          <cell r="A1689" t="str">
            <v>GRMZM2G176922</v>
          </cell>
          <cell r="B1689" t="str">
            <v>GO:0004674GO:0006468GO:0004713GO:0005524</v>
          </cell>
        </row>
        <row r="1690">
          <cell r="A1690" t="str">
            <v>GRMZM2G144705</v>
          </cell>
          <cell r="B1690" t="str">
            <v>GO:0004519GO:0003676</v>
          </cell>
        </row>
        <row r="1691">
          <cell r="A1691" t="str">
            <v>GRMZM2G083935</v>
          </cell>
          <cell r="B1691" t="str">
            <v>GO:0016758GO:0008152</v>
          </cell>
        </row>
        <row r="1692">
          <cell r="A1692" t="str">
            <v>GRMZM2G138468</v>
          </cell>
          <cell r="B1692" t="str">
            <v>GO:0004556GO:0005975GO:0005509</v>
          </cell>
        </row>
        <row r="1693">
          <cell r="A1693" t="str">
            <v>GRMZM2G049141</v>
          </cell>
          <cell r="B1693" t="str">
            <v>GO:0016881GO:0005488GO:0006464GO:0005622</v>
          </cell>
        </row>
        <row r="1694">
          <cell r="A1694" t="str">
            <v>GRMZM2G003937</v>
          </cell>
          <cell r="B1694" t="str">
            <v>GO:0016021GO:0007186</v>
          </cell>
        </row>
        <row r="1695">
          <cell r="A1695" t="str">
            <v>GRMZM2G090271</v>
          </cell>
          <cell r="B1695" t="str">
            <v>GO:0005737GO:0005634GO:0003723GO:0006396</v>
          </cell>
        </row>
        <row r="1696">
          <cell r="A1696" t="str">
            <v>GRMZM2G051256</v>
          </cell>
          <cell r="B1696" t="str">
            <v>GO:0003677</v>
          </cell>
        </row>
        <row r="1697">
          <cell r="A1697" t="str">
            <v>GRMZM2G401934</v>
          </cell>
          <cell r="B1697" t="str">
            <v>GO:0004789GO:0009228</v>
          </cell>
        </row>
        <row r="1698">
          <cell r="A1698" t="str">
            <v>GRMZM2G113967</v>
          </cell>
          <cell r="B1698" t="str">
            <v>GO:0004674GO:0006468GO:0004713GO:0005524GO:0007165</v>
          </cell>
        </row>
        <row r="1699">
          <cell r="A1699" t="str">
            <v>GRMZM2G050307</v>
          </cell>
          <cell r="B1699" t="str">
            <v>GO:0008168</v>
          </cell>
        </row>
        <row r="1700">
          <cell r="A1700" t="str">
            <v>GRMZM2G156026</v>
          </cell>
          <cell r="B1700" t="str">
            <v>GO:0016758GO:0008152</v>
          </cell>
        </row>
        <row r="1701">
          <cell r="A1701" t="str">
            <v>GRMZM2G140752</v>
          </cell>
          <cell r="B1701" t="str">
            <v>GO:0006468GO:0016021GO:0007214GO:0004674GO:0006821GO:0004713GO:0004890GO:0005524</v>
          </cell>
        </row>
        <row r="1702">
          <cell r="A1702" t="str">
            <v>GRMZM2G103101</v>
          </cell>
          <cell r="B1702" t="str">
            <v>GO:0016020GO:0009765</v>
          </cell>
        </row>
        <row r="1703">
          <cell r="A1703" t="str">
            <v>GRMZM2G471517</v>
          </cell>
          <cell r="B1703" t="str">
            <v>GO:0050825GO:0042309GO:0050826</v>
          </cell>
        </row>
        <row r="1704">
          <cell r="A1704" t="str">
            <v>GRMZM2G027131</v>
          </cell>
          <cell r="B1704" t="str">
            <v>GO:0008270GO:0005515</v>
          </cell>
        </row>
        <row r="1705">
          <cell r="A1705" t="str">
            <v>GRMZM2G000353</v>
          </cell>
          <cell r="B1705" t="str">
            <v>GO:0008270GO:0005515</v>
          </cell>
        </row>
        <row r="1706">
          <cell r="A1706" t="str">
            <v>GRMZM2G049031</v>
          </cell>
          <cell r="B1706" t="str">
            <v>GO:0016020</v>
          </cell>
        </row>
        <row r="1707">
          <cell r="A1707" t="str">
            <v>GRMZM2G150187</v>
          </cell>
          <cell r="B1707" t="str">
            <v>GO:0006629GO:0016788</v>
          </cell>
        </row>
        <row r="1708">
          <cell r="A1708" t="str">
            <v>GRMZM2G153184</v>
          </cell>
          <cell r="B1708" t="str">
            <v>GO:0016020GO:0009765</v>
          </cell>
        </row>
        <row r="1709">
          <cell r="A1709" t="str">
            <v>GRMZM2G134130</v>
          </cell>
          <cell r="B1709" t="str">
            <v>GO:0009523GO:0016021GO:0030145GO:0050825GO:0042309GO:0050826GO:0015979</v>
          </cell>
        </row>
        <row r="1710">
          <cell r="A1710" t="str">
            <v>GRMZM2G111014</v>
          </cell>
          <cell r="B1710" t="str">
            <v>GO:0016772GO:0006265GO:0016310GO:0005694GO:0003918GO:0005524</v>
          </cell>
        </row>
        <row r="1711">
          <cell r="A1711" t="str">
            <v>GRMZM2G015753</v>
          </cell>
          <cell r="B1711" t="str">
            <v>GO:0008270GO:0005515</v>
          </cell>
        </row>
        <row r="1712">
          <cell r="A1712" t="str">
            <v>GRMZM2G428027</v>
          </cell>
          <cell r="B1712" t="str">
            <v>GO:0050660GO:0020037GO:0003677GO:0030151GO:0042128GO:0005665GO:0006366GO:0046857GO:0055114GO:0009055</v>
          </cell>
        </row>
        <row r="1713">
          <cell r="A1713" t="str">
            <v>GRMZM2G121700</v>
          </cell>
          <cell r="B1713" t="str">
            <v>GO:0016491</v>
          </cell>
        </row>
        <row r="1714">
          <cell r="A1714" t="str">
            <v>GRMZM2G066636</v>
          </cell>
          <cell r="B1714" t="str">
            <v>GO:0003824GO:0008152</v>
          </cell>
        </row>
        <row r="1715">
          <cell r="A1715" t="str">
            <v>GRMZM2G129150</v>
          </cell>
          <cell r="B1715" t="str">
            <v>GO:0008270GO:0005515</v>
          </cell>
        </row>
        <row r="1716">
          <cell r="A1716" t="str">
            <v>GRMZM2G023387</v>
          </cell>
          <cell r="B1716" t="str">
            <v>GO:0045454</v>
          </cell>
        </row>
        <row r="1717">
          <cell r="A1717" t="str">
            <v>GRMZM2G018627</v>
          </cell>
          <cell r="B1717" t="str">
            <v>GO:0016020GO:0009765</v>
          </cell>
        </row>
        <row r="1718">
          <cell r="A1718" t="str">
            <v>GRMZM2G054201</v>
          </cell>
          <cell r="B1718" t="str">
            <v>GO:0003735GO:0006412GO:0005840</v>
          </cell>
        </row>
        <row r="1719">
          <cell r="A1719" t="str">
            <v>GRMZM2G130678</v>
          </cell>
          <cell r="B1719" t="str">
            <v>GO:0003779GO:0005622</v>
          </cell>
        </row>
        <row r="1720">
          <cell r="A1720" t="str">
            <v>GRMZM2G150363</v>
          </cell>
          <cell r="B1720" t="str">
            <v>GO:0009428GO:0001539GO:0030288GO:0005198</v>
          </cell>
        </row>
        <row r="1721">
          <cell r="A1721" t="str">
            <v>GRMZM2G304712</v>
          </cell>
          <cell r="B1721" t="str">
            <v>GO:0016758GO:0008152</v>
          </cell>
        </row>
        <row r="1722">
          <cell r="A1722" t="str">
            <v>GRMZM2G014089</v>
          </cell>
          <cell r="B1722" t="str">
            <v>GO:0016021GO:0006810GO:0042626GO:0005524</v>
          </cell>
        </row>
        <row r="1723">
          <cell r="A1723" t="str">
            <v>GRMZM2G136513</v>
          </cell>
          <cell r="B1723" t="str">
            <v>GO:0006915GO:0017111GO:0005515GO:0005524</v>
          </cell>
        </row>
        <row r="1724">
          <cell r="A1724" t="str">
            <v>GRMZM2G072388</v>
          </cell>
          <cell r="B1724" t="str">
            <v>GO:0006813GO:0051287GO:0008324GO:0008152GO:0016616</v>
          </cell>
        </row>
        <row r="1725">
          <cell r="A1725" t="str">
            <v>GRMZM2G073498</v>
          </cell>
          <cell r="B1725" t="str">
            <v>GO:0015031GO:0016020GO:0015450</v>
          </cell>
        </row>
        <row r="1726">
          <cell r="A1726" t="str">
            <v>GRMZM2G091490</v>
          </cell>
          <cell r="B1726" t="str">
            <v>GO:0003677GO:0045449GO:0042309GO:0050826GO:0050825GO:0004618GO:0006096</v>
          </cell>
        </row>
        <row r="1727">
          <cell r="A1727" t="str">
            <v>GRMZM2G178192</v>
          </cell>
          <cell r="B1727" t="str">
            <v>GO:0006139GO:0005524GO:0019205</v>
          </cell>
        </row>
        <row r="1728">
          <cell r="A1728" t="str">
            <v>GRMZM2G407146</v>
          </cell>
          <cell r="B1728" t="str">
            <v>GO:0050825GO:0042309GO:0050826</v>
          </cell>
        </row>
        <row r="1729">
          <cell r="A1729" t="str">
            <v>GRMZM2G121753</v>
          </cell>
          <cell r="B1729" t="str">
            <v>GO:0003677</v>
          </cell>
        </row>
        <row r="1730">
          <cell r="A1730" t="str">
            <v>GRMZM2G041159</v>
          </cell>
          <cell r="B1730" t="str">
            <v>GO:0033014GO:0004418</v>
          </cell>
        </row>
        <row r="1731">
          <cell r="A1731" t="str">
            <v>GRMZM2G062738</v>
          </cell>
          <cell r="B1731" t="str">
            <v>GO:0007155GO:0005179GO:0005576GO:0015629GO:0005198</v>
          </cell>
        </row>
        <row r="1732">
          <cell r="A1732" t="str">
            <v>GRMZM2G324956</v>
          </cell>
          <cell r="B1732" t="str">
            <v>GO:0006355GO:0005634GO:0004879GO:0003677</v>
          </cell>
        </row>
        <row r="1733">
          <cell r="A1733" t="str">
            <v>GRMZM2G025977</v>
          </cell>
          <cell r="B1733" t="str">
            <v>GO:0006813GO:0008324GO:0008152GO:0016491</v>
          </cell>
        </row>
        <row r="1734">
          <cell r="A1734" t="str">
            <v>GRMZM2G120621</v>
          </cell>
          <cell r="B1734" t="str">
            <v>GO:0004497GO:0020037GO:0009055</v>
          </cell>
        </row>
        <row r="1735">
          <cell r="A1735" t="str">
            <v>GRMZM2G098058</v>
          </cell>
          <cell r="B1735" t="str">
            <v>GO:0031072</v>
          </cell>
        </row>
        <row r="1736">
          <cell r="A1736" t="str">
            <v>GRMZM2G100641</v>
          </cell>
          <cell r="B1736" t="str">
            <v>GO:0015232GO:0015886GO:0016020GO:0017004GO:0004872GO:0007275GO:0008270</v>
          </cell>
        </row>
        <row r="1737">
          <cell r="A1737" t="str">
            <v>GRMZM2G107116</v>
          </cell>
          <cell r="B1737" t="str">
            <v>GO:0005488</v>
          </cell>
        </row>
        <row r="1738">
          <cell r="A1738" t="str">
            <v>GRMZM2G157219</v>
          </cell>
          <cell r="B1738" t="str">
            <v>GO:0006355GO:0005634GO:0004879GO:0003677</v>
          </cell>
        </row>
        <row r="1739">
          <cell r="A1739" t="str">
            <v>GRMZM2G022659</v>
          </cell>
          <cell r="B1739" t="str">
            <v>GO:0006508GO:0004185</v>
          </cell>
        </row>
        <row r="1740">
          <cell r="A1740" t="str">
            <v>GRMZM2G003558</v>
          </cell>
          <cell r="B1740" t="str">
            <v>GO:0005634GO:0030528</v>
          </cell>
        </row>
        <row r="1741">
          <cell r="A1741" t="str">
            <v>GRMZM2G145944</v>
          </cell>
          <cell r="B1741" t="str">
            <v>GO:0004630GO:0016020GO:0046470GO:0005509</v>
          </cell>
        </row>
        <row r="1742">
          <cell r="A1742" t="str">
            <v>GRMZM2G100462</v>
          </cell>
          <cell r="B1742" t="str">
            <v>GO:0003735GO:0006412GO:0005840</v>
          </cell>
        </row>
        <row r="1743">
          <cell r="A1743" t="str">
            <v>GRMZM2G078396</v>
          </cell>
          <cell r="B1743" t="str">
            <v>GO:0003735GO:0006412GO:0005840</v>
          </cell>
        </row>
        <row r="1744">
          <cell r="A1744" t="str">
            <v>GRMZM2G339728</v>
          </cell>
          <cell r="B1744" t="str">
            <v>GO:0016020GO:0051260</v>
          </cell>
        </row>
        <row r="1745">
          <cell r="A1745" t="str">
            <v>GRMZM2G008290</v>
          </cell>
          <cell r="B1745" t="str">
            <v>GO:0046872GO:0030001</v>
          </cell>
        </row>
        <row r="1746">
          <cell r="A1746" t="str">
            <v>GRMZM2G343149</v>
          </cell>
          <cell r="B1746" t="str">
            <v>GO:0031072GO:0005506GO:0006457GO:0051082GO:0009055</v>
          </cell>
        </row>
        <row r="1747">
          <cell r="A1747" t="str">
            <v>AC233895.1_FG001</v>
          </cell>
          <cell r="B1747" t="str">
            <v>GO:0006508GO:0009987GO:0008235GO:0004177</v>
          </cell>
        </row>
        <row r="1748">
          <cell r="A1748" t="str">
            <v>AC219190.3_FG002</v>
          </cell>
          <cell r="B1748" t="str">
            <v>GO:0009664GO:0005576</v>
          </cell>
        </row>
        <row r="1749">
          <cell r="A1749" t="str">
            <v>GRMZM2G069095</v>
          </cell>
          <cell r="B1749" t="str">
            <v>GO:0016020GO:0015992GO:0009678GO:0004427</v>
          </cell>
        </row>
        <row r="1750">
          <cell r="A1750" t="str">
            <v>GRMZM2G145895</v>
          </cell>
          <cell r="B1750" t="str">
            <v>GO:0016209GO:0016491</v>
          </cell>
        </row>
        <row r="1751">
          <cell r="A1751" t="str">
            <v>GRMZM2G087103</v>
          </cell>
          <cell r="B1751" t="str">
            <v>GO:0003824GO:0003676GO:0008152</v>
          </cell>
        </row>
        <row r="1752">
          <cell r="A1752" t="str">
            <v>AC194974.3_FG005</v>
          </cell>
          <cell r="B1752" t="str">
            <v>GO:0005529</v>
          </cell>
        </row>
        <row r="1753">
          <cell r="A1753" t="str">
            <v>GRMZM2G092174</v>
          </cell>
          <cell r="B1753" t="str">
            <v>GO:0008020GO:0009585GO:0000155GO:0016020GO:0017006GO:0018298GO:0006355GO:0007165GO:0005524GO:0042803</v>
          </cell>
        </row>
        <row r="1754">
          <cell r="A1754" t="str">
            <v>GRMZM2G173630</v>
          </cell>
          <cell r="B1754" t="str">
            <v>GO:0016787GO:0008152</v>
          </cell>
        </row>
        <row r="1755">
          <cell r="A1755" t="str">
            <v>GRMZM2G052688</v>
          </cell>
          <cell r="B1755" t="str">
            <v>GO:0005622GO:0008270GO:0005515GO:0003912</v>
          </cell>
        </row>
        <row r="1756">
          <cell r="A1756" t="str">
            <v>GRMZM2G055150</v>
          </cell>
          <cell r="B1756" t="str">
            <v>GO:0003824GO:0005992</v>
          </cell>
        </row>
        <row r="1757">
          <cell r="A1757" t="str">
            <v>GRMZM2G088356</v>
          </cell>
          <cell r="B1757" t="str">
            <v>GO:0016020</v>
          </cell>
        </row>
        <row r="1758">
          <cell r="A1758" t="str">
            <v>GRMZM2G008748</v>
          </cell>
          <cell r="B1758" t="str">
            <v>GO:0003735GO:0006412GO:0005840</v>
          </cell>
        </row>
        <row r="1759">
          <cell r="A1759" t="str">
            <v>GRMZM2G092595</v>
          </cell>
          <cell r="B1759" t="str">
            <v>GO:0046488GO:0016307</v>
          </cell>
        </row>
        <row r="1760">
          <cell r="A1760" t="str">
            <v>GRMZM2G170307</v>
          </cell>
          <cell r="B1760" t="str">
            <v>GO:0031072</v>
          </cell>
        </row>
        <row r="1761">
          <cell r="A1761" t="str">
            <v>GRMZM2G146380</v>
          </cell>
          <cell r="B1761" t="str">
            <v>GO:0045449GO:0003677GO:0050825GO:0042309GO:0050826</v>
          </cell>
        </row>
        <row r="1762">
          <cell r="A1762" t="str">
            <v>AC206223.3_FG006</v>
          </cell>
          <cell r="B1762" t="str">
            <v>GO:0004674GO:0006468GO:0004713GO:0005524</v>
          </cell>
        </row>
        <row r="1763">
          <cell r="A1763" t="str">
            <v>GRMZM2G136889</v>
          </cell>
          <cell r="B1763" t="str">
            <v>GO:0006450</v>
          </cell>
        </row>
        <row r="1764">
          <cell r="A1764" t="str">
            <v>GRMZM2G315125</v>
          </cell>
          <cell r="B1764" t="str">
            <v>GO:0004674GO:0006468GO:0005524</v>
          </cell>
        </row>
        <row r="1765">
          <cell r="A1765" t="str">
            <v>GRMZM2G092752</v>
          </cell>
          <cell r="B1765" t="str">
            <v>GO:0015629GO:0005634GO:0003677GO:0005199GO:0006355GO:0000785GO:0042309GO:0050826GO:0007155GO:0050825GO:0007186GO:0016021GO:0004879</v>
          </cell>
        </row>
        <row r="1766">
          <cell r="A1766" t="str">
            <v>GRMZM2G019260</v>
          </cell>
          <cell r="B1766" t="str">
            <v>GO:0016310GO:0016301GO:0005524</v>
          </cell>
        </row>
        <row r="1767">
          <cell r="A1767" t="str">
            <v>GRMZM2G118766</v>
          </cell>
          <cell r="B1767" t="str">
            <v>GO:0005199</v>
          </cell>
        </row>
        <row r="1768">
          <cell r="A1768" t="str">
            <v>GRMZM2G147491</v>
          </cell>
          <cell r="B1768" t="str">
            <v>GO:0046983GO:0008171</v>
          </cell>
        </row>
        <row r="1769">
          <cell r="A1769" t="str">
            <v>GRMZM2G138074</v>
          </cell>
          <cell r="B1769" t="str">
            <v>GO:0004497GO:0020037GO:0009055</v>
          </cell>
        </row>
        <row r="1770">
          <cell r="A1770" t="str">
            <v>GRMZM2G423456</v>
          </cell>
          <cell r="B1770" t="str">
            <v>GO:0016310GO:0000156GO:0016020GO:0006355GO:0006821GO:0000160GO:0000155GO:0005247GO:0005524</v>
          </cell>
        </row>
        <row r="1771">
          <cell r="A1771" t="str">
            <v>GRMZM2G178533</v>
          </cell>
          <cell r="B1771" t="str">
            <v>GO:0055114GO:0016491</v>
          </cell>
        </row>
        <row r="1772">
          <cell r="A1772" t="str">
            <v>GRMZM2G397684</v>
          </cell>
          <cell r="B1772" t="str">
            <v>GO:0008270GO:0005515</v>
          </cell>
        </row>
        <row r="1773">
          <cell r="A1773" t="str">
            <v>GRMZM2G022279</v>
          </cell>
          <cell r="B1773" t="str">
            <v>GO:0006629GO:0016788</v>
          </cell>
        </row>
        <row r="1774">
          <cell r="A1774" t="str">
            <v>GRMZM2G018197</v>
          </cell>
          <cell r="B1774" t="str">
            <v>GO:0003735GO:0006412GO:0005840</v>
          </cell>
        </row>
        <row r="1775">
          <cell r="A1775" t="str">
            <v>GRMZM2G104783</v>
          </cell>
          <cell r="B1775" t="str">
            <v>GO:0004497GO:0020037GO:0009055</v>
          </cell>
        </row>
        <row r="1776">
          <cell r="A1776" t="str">
            <v>GRMZM2G412846</v>
          </cell>
          <cell r="B1776" t="str">
            <v>GO:0042302</v>
          </cell>
        </row>
        <row r="1777">
          <cell r="A1777" t="str">
            <v>GRMZM2G124509</v>
          </cell>
          <cell r="B1777" t="str">
            <v>GO:0004523GO:0003676</v>
          </cell>
        </row>
        <row r="1778">
          <cell r="A1778" t="str">
            <v>GRMZM2G166639</v>
          </cell>
          <cell r="B1778" t="str">
            <v>GO:0005506GO:0016491</v>
          </cell>
        </row>
        <row r="1779">
          <cell r="A1779" t="str">
            <v>GRMZM2G007810</v>
          </cell>
          <cell r="B1779" t="str">
            <v>GO:0006865GO:0005840GO:0016020GO:0006412GO:0003735GO:0015171</v>
          </cell>
        </row>
        <row r="1780">
          <cell r="A1780" t="str">
            <v>GRMZM2G322328</v>
          </cell>
          <cell r="B1780" t="str">
            <v>GO:0016491GO:0050660GO:0005509GO:0009055</v>
          </cell>
        </row>
        <row r="1781">
          <cell r="A1781" t="str">
            <v>GRMZM2G119169</v>
          </cell>
          <cell r="B1781" t="str">
            <v>GO:0003735GO:0015934GO:0006412</v>
          </cell>
        </row>
        <row r="1782">
          <cell r="A1782" t="str">
            <v>GRMZM2G100794</v>
          </cell>
          <cell r="B1782" t="str">
            <v>GO:0005634GO:0008270GO:0003723</v>
          </cell>
        </row>
        <row r="1783">
          <cell r="A1783" t="str">
            <v>GRMZM2G142661</v>
          </cell>
          <cell r="B1783" t="str">
            <v>GO:0006813GO:0055114GO:0016491</v>
          </cell>
        </row>
        <row r="1784">
          <cell r="A1784" t="str">
            <v>GRMZM2G132238</v>
          </cell>
          <cell r="B1784" t="str">
            <v>GO:0005737GO:0004427GO:0000287GO:0006796GO:0004197GO:0006508</v>
          </cell>
        </row>
        <row r="1785">
          <cell r="A1785" t="str">
            <v>GRMZM2G028393</v>
          </cell>
          <cell r="B1785" t="str">
            <v>GO:0009611GO:0004867</v>
          </cell>
        </row>
        <row r="1786">
          <cell r="A1786" t="str">
            <v>GRMZM2G078887</v>
          </cell>
          <cell r="B1786" t="str">
            <v>GO:0003735GO:0006412GO:0005840</v>
          </cell>
        </row>
        <row r="1787">
          <cell r="A1787" t="str">
            <v>GRMZM2G028821</v>
          </cell>
          <cell r="B1787" t="str">
            <v>GO:0005737GO:0004364GO:0008152</v>
          </cell>
        </row>
        <row r="1788">
          <cell r="A1788" t="str">
            <v>GRMZM2G040309</v>
          </cell>
          <cell r="B1788" t="str">
            <v>GO:0016020GO:0006810GO:0005337</v>
          </cell>
        </row>
        <row r="1789">
          <cell r="A1789" t="str">
            <v>GRMZM2G118497</v>
          </cell>
          <cell r="B1789" t="str">
            <v>GO:0006812GO:0016020GO:0008324</v>
          </cell>
        </row>
        <row r="1790">
          <cell r="A1790" t="str">
            <v>GRMZM2G122277</v>
          </cell>
          <cell r="B1790" t="str">
            <v>GO:0016020GO:0016760GO:0030244</v>
          </cell>
        </row>
        <row r="1791">
          <cell r="A1791" t="str">
            <v>GRMZM2G029065</v>
          </cell>
          <cell r="B1791" t="str">
            <v>GO:0016021GO:0007186GO:0004937</v>
          </cell>
        </row>
        <row r="1792">
          <cell r="A1792" t="str">
            <v>GRMZM2G042933</v>
          </cell>
          <cell r="B1792" t="str">
            <v>GO:0033179GO:0015986GO:0015078</v>
          </cell>
        </row>
        <row r="1793">
          <cell r="A1793" t="str">
            <v>GRMZM2G070620</v>
          </cell>
          <cell r="B1793" t="str">
            <v>GO:0004497GO:0020037GO:0009055</v>
          </cell>
        </row>
        <row r="1794">
          <cell r="A1794" t="str">
            <v>GRMZM2G173654</v>
          </cell>
          <cell r="B1794" t="str">
            <v>GO:0006810GO:0005622</v>
          </cell>
        </row>
        <row r="1795">
          <cell r="A1795" t="str">
            <v>GRMZM2G147014</v>
          </cell>
          <cell r="B1795" t="str">
            <v>GO:0006950GO:0009415</v>
          </cell>
        </row>
        <row r="1796">
          <cell r="A1796" t="str">
            <v>GRMZM2G018441</v>
          </cell>
          <cell r="B1796" t="str">
            <v>GO:0016791GO:0008152</v>
          </cell>
        </row>
        <row r="1797">
          <cell r="A1797" t="str">
            <v>GRMZM2G305822</v>
          </cell>
          <cell r="B1797" t="str">
            <v>GO:0006468GO:0004674GO:0000151GO:0016567GO:0004713GO:0004842GO:0005524</v>
          </cell>
        </row>
        <row r="1798">
          <cell r="A1798" t="str">
            <v>GRMZM2G024738</v>
          </cell>
          <cell r="B1798" t="str">
            <v>GO:0004853GO:0006779</v>
          </cell>
        </row>
        <row r="1799">
          <cell r="A1799" t="str">
            <v>GRMZM2G041493</v>
          </cell>
          <cell r="B1799" t="str">
            <v>GO:0004969GO:0016021GO:0007186</v>
          </cell>
        </row>
        <row r="1800">
          <cell r="A1800" t="str">
            <v>GRMZM2G305280</v>
          </cell>
          <cell r="B1800" t="str">
            <v>GO:0005840GO:0003735GO:0050825GO:0042309GO:0050826GO:0006412</v>
          </cell>
        </row>
        <row r="1801">
          <cell r="A1801" t="str">
            <v>GRMZM2G108643</v>
          </cell>
          <cell r="B1801" t="str">
            <v>GO:0005840GO:0003735GO:0050825GO:0042309GO:0050826GO:0006412</v>
          </cell>
        </row>
        <row r="1802">
          <cell r="A1802" t="str">
            <v>GRMZM2G161154</v>
          </cell>
          <cell r="B1802" t="str">
            <v>GO:0046872</v>
          </cell>
        </row>
        <row r="1803">
          <cell r="A1803" t="str">
            <v>GRMZM2G143625</v>
          </cell>
          <cell r="B1803" t="str">
            <v>GO:0016887GO:0006631GO:0045300GO:0005524GO:0046914</v>
          </cell>
        </row>
        <row r="1804">
          <cell r="A1804" t="str">
            <v>GRMZM2G324314</v>
          </cell>
          <cell r="B1804" t="str">
            <v>GO:0003735GO:0006412GO:0005840</v>
          </cell>
        </row>
        <row r="1805">
          <cell r="A1805" t="str">
            <v>GRMZM2G344279</v>
          </cell>
          <cell r="B1805" t="str">
            <v>GO:0003735GO:0015934GO:0006412GO:0030528</v>
          </cell>
        </row>
        <row r="1806">
          <cell r="A1806" t="str">
            <v>GRMZM2G133698</v>
          </cell>
          <cell r="B1806" t="str">
            <v>GO:0044267GO:0005524GO:0005515</v>
          </cell>
        </row>
        <row r="1807">
          <cell r="A1807" t="str">
            <v>GRMZM2G052825</v>
          </cell>
          <cell r="B1807" t="str">
            <v>GO:0016712GO:0020037GO:0009055</v>
          </cell>
        </row>
        <row r="1808">
          <cell r="A1808" t="str">
            <v>GRMZM2G174596</v>
          </cell>
          <cell r="B1808" t="str">
            <v>GO:0004674GO:0006468GO:0004713GO:0005524</v>
          </cell>
        </row>
        <row r="1809">
          <cell r="A1809" t="str">
            <v>GRMZM2G364748</v>
          </cell>
          <cell r="B1809" t="str">
            <v>GO:0005618GO:0048046GO:0016762GO:0006073GO:0004553</v>
          </cell>
        </row>
        <row r="1810">
          <cell r="A1810" t="str">
            <v>GRMZM2G097706</v>
          </cell>
          <cell r="B1810" t="str">
            <v>GO:0008152GO:0016491</v>
          </cell>
        </row>
        <row r="1811">
          <cell r="A1811" t="str">
            <v>GRMZM2G098988</v>
          </cell>
          <cell r="B1811" t="str">
            <v>GO:0005634GO:0045449GO:0030528</v>
          </cell>
        </row>
        <row r="1812">
          <cell r="A1812" t="str">
            <v>GRMZM2G132184</v>
          </cell>
          <cell r="B1812" t="str">
            <v>GO:0004674GO:0006468GO:0004713GO:0005524</v>
          </cell>
        </row>
        <row r="1813">
          <cell r="A1813" t="str">
            <v>GRMZM2G057129</v>
          </cell>
          <cell r="B1813" t="str">
            <v>GO:0005975GO:0004553</v>
          </cell>
        </row>
        <row r="1814">
          <cell r="A1814" t="str">
            <v>GRMZM2G159171</v>
          </cell>
          <cell r="B1814" t="str">
            <v>GO:0006508GO:0008233</v>
          </cell>
        </row>
        <row r="1815">
          <cell r="A1815" t="str">
            <v>GRMZM2G098986</v>
          </cell>
          <cell r="B1815" t="str">
            <v>GO:0003700GO:0006355GO:0005634GO:0043565</v>
          </cell>
        </row>
        <row r="1816">
          <cell r="A1816" t="str">
            <v>GRMZM2G156632</v>
          </cell>
          <cell r="B1816" t="str">
            <v>GO:0005576GO:0004867</v>
          </cell>
        </row>
        <row r="1817">
          <cell r="A1817" t="str">
            <v>GRMZM2G122618</v>
          </cell>
          <cell r="B1817" t="str">
            <v>GO:0009405GO:0009289</v>
          </cell>
        </row>
        <row r="1818">
          <cell r="A1818" t="str">
            <v>GRMZM2G034471</v>
          </cell>
          <cell r="B1818" t="str">
            <v>GO:0004497GO:0020037GO:0009055</v>
          </cell>
        </row>
        <row r="1819">
          <cell r="A1819" t="str">
            <v>GRMZM2G143718</v>
          </cell>
          <cell r="B1819" t="str">
            <v>GO:0008270GO:0005622</v>
          </cell>
        </row>
        <row r="1820">
          <cell r="A1820" t="str">
            <v>GRMZM2G348578</v>
          </cell>
          <cell r="B1820" t="str">
            <v>GO:0016706GO:0019538GO:0005506</v>
          </cell>
        </row>
        <row r="1821">
          <cell r="A1821" t="str">
            <v>GRMZM2G015967</v>
          </cell>
          <cell r="B1821" t="str">
            <v>GO:0003755</v>
          </cell>
        </row>
        <row r="1822">
          <cell r="A1822" t="str">
            <v>GRMZM2G053669</v>
          </cell>
          <cell r="B1822" t="str">
            <v>GO:0006529GO:0004066</v>
          </cell>
        </row>
        <row r="1823">
          <cell r="A1823" t="str">
            <v>GRMZM2G034404</v>
          </cell>
          <cell r="B1823" t="str">
            <v>GO:0016597GO:0008152</v>
          </cell>
        </row>
        <row r="1824">
          <cell r="A1824" t="str">
            <v>GRMZM2G122126</v>
          </cell>
          <cell r="B1824" t="str">
            <v>GO:0017057GO:0006098</v>
          </cell>
        </row>
        <row r="1825">
          <cell r="A1825" t="str">
            <v>GRMZM2G006293</v>
          </cell>
          <cell r="B1825" t="str">
            <v>GO:0003735GO:0006412GO:0006464GO:0005840</v>
          </cell>
        </row>
        <row r="1826">
          <cell r="A1826" t="str">
            <v>AC233893.1_FG006</v>
          </cell>
          <cell r="B1826" t="str">
            <v>GO:0006468GO:0042309GO:0004672GO:0050825GO:0005515GO:0050826GO:0005524</v>
          </cell>
        </row>
        <row r="1827">
          <cell r="A1827" t="str">
            <v>GRMZM2G079759</v>
          </cell>
          <cell r="B1827" t="str">
            <v>GO:0016491GO:0046872GO:0005515GO:0008152GO:0009055</v>
          </cell>
        </row>
        <row r="1828">
          <cell r="A1828" t="str">
            <v>GRMZM2G141219</v>
          </cell>
          <cell r="B1828" t="str">
            <v>GO:0003700GO:0006355</v>
          </cell>
        </row>
        <row r="1829">
          <cell r="A1829" t="str">
            <v>GRMZM2G172011</v>
          </cell>
          <cell r="B1829" t="str">
            <v>GO:0003676</v>
          </cell>
        </row>
        <row r="1830">
          <cell r="A1830" t="str">
            <v>GRMZM2G095492</v>
          </cell>
          <cell r="B1830" t="str">
            <v>GO:0016020</v>
          </cell>
        </row>
        <row r="1831">
          <cell r="A1831" t="str">
            <v>GRMZM2G164912</v>
          </cell>
          <cell r="B1831" t="str">
            <v>GO:0050825GO:0042309GO:0050826</v>
          </cell>
        </row>
        <row r="1832">
          <cell r="A1832" t="str">
            <v>GRMZM2G169558</v>
          </cell>
          <cell r="B1832" t="str">
            <v>GO:0004674GO:0006468GO:0004713GO:0005524</v>
          </cell>
        </row>
        <row r="1833">
          <cell r="A1833" t="str">
            <v>GRMZM2G131205</v>
          </cell>
          <cell r="B1833" t="str">
            <v>GO:0003854GO:0050662GO:0006694</v>
          </cell>
        </row>
        <row r="1834">
          <cell r="A1834" t="str">
            <v>GRMZM2G021704</v>
          </cell>
          <cell r="B1834" t="str">
            <v>GO:0004151GO:0019856</v>
          </cell>
        </row>
        <row r="1835">
          <cell r="A1835" t="str">
            <v>GRMZM2G125271</v>
          </cell>
          <cell r="B1835" t="str">
            <v>GO:0003723</v>
          </cell>
        </row>
        <row r="1836">
          <cell r="A1836" t="str">
            <v>GRMZM2G081529</v>
          </cell>
          <cell r="B1836" t="str">
            <v>GO:0016021GO:0005840GO:0005634GO:0003677GO:0005199GO:0003735GO:0006355GO:0050825GO:0042309GO:0050826GO:0007186GO:0006412GO:0004879</v>
          </cell>
        </row>
        <row r="1837">
          <cell r="A1837" t="str">
            <v>GRMZM2G132506</v>
          </cell>
          <cell r="B1837" t="str">
            <v>GO:0009654GO:0015979</v>
          </cell>
        </row>
        <row r="1838">
          <cell r="A1838" t="str">
            <v>GRMZM2G085646</v>
          </cell>
          <cell r="B1838" t="str">
            <v>GO:0015979GO:0009538</v>
          </cell>
        </row>
        <row r="1839">
          <cell r="A1839" t="str">
            <v>GRMZM2G158131</v>
          </cell>
          <cell r="B1839" t="str">
            <v>GO:0045261GO:0015986GO:0046961GO:0046933</v>
          </cell>
        </row>
        <row r="1840">
          <cell r="A1840" t="str">
            <v>GRMZM2G117707</v>
          </cell>
          <cell r="B1840" t="str">
            <v>GO:0003849GO:0009073</v>
          </cell>
        </row>
        <row r="1841">
          <cell r="A1841" t="str">
            <v>GRMZM2G117706</v>
          </cell>
          <cell r="B1841" t="str">
            <v>GO:0020037GO:0005576GO:0004601GO:0006979GO:0009055</v>
          </cell>
        </row>
        <row r="1842">
          <cell r="A1842" t="str">
            <v>GRMZM2G142063</v>
          </cell>
          <cell r="B1842" t="str">
            <v>GO:0016021GO:0017153GO:0006835GO:0055085</v>
          </cell>
        </row>
        <row r="1843">
          <cell r="A1843" t="str">
            <v>GRMZM2G041238</v>
          </cell>
          <cell r="B1843" t="str">
            <v>GO:0003735GO:0015934GO:0006412</v>
          </cell>
        </row>
        <row r="1844">
          <cell r="A1844" t="str">
            <v>GRMZM2G007249</v>
          </cell>
          <cell r="B1844" t="str">
            <v>GO:0005506GO:0016491</v>
          </cell>
        </row>
        <row r="1845">
          <cell r="A1845" t="str">
            <v>AC233882.1_FG003</v>
          </cell>
          <cell r="B1845" t="str">
            <v>GO:0016021GO:0006810GO:0042626GO:0005524</v>
          </cell>
        </row>
        <row r="1846">
          <cell r="A1846" t="str">
            <v>GRMZM2G180254</v>
          </cell>
          <cell r="B1846" t="str">
            <v>GO:0006915GO:0017111GO:0005524</v>
          </cell>
        </row>
        <row r="1847">
          <cell r="A1847" t="str">
            <v>GRMZM2G126808</v>
          </cell>
          <cell r="B1847" t="str">
            <v>GO:0003700GO:0006355GO:0005634GO:0043565</v>
          </cell>
        </row>
        <row r="1848">
          <cell r="A1848" t="str">
            <v>GRMZM2G089743</v>
          </cell>
          <cell r="B1848" t="str">
            <v>GO:0003676</v>
          </cell>
        </row>
        <row r="1849">
          <cell r="A1849" t="str">
            <v>GRMZM2G014444</v>
          </cell>
          <cell r="B1849" t="str">
            <v>GO:0003735GO:0006412GO:0005840</v>
          </cell>
        </row>
        <row r="1850">
          <cell r="A1850" t="str">
            <v>GRMZM2G331720</v>
          </cell>
          <cell r="B1850" t="str">
            <v>GO:0004806GO:0006629</v>
          </cell>
        </row>
        <row r="1851">
          <cell r="A1851" t="str">
            <v>GRMZM2G111143</v>
          </cell>
          <cell r="B1851" t="str">
            <v>GO:0005975GO:0004553</v>
          </cell>
        </row>
        <row r="1852">
          <cell r="A1852" t="str">
            <v>GRMZM2G029385</v>
          </cell>
          <cell r="B1852" t="str">
            <v>GO:0031072</v>
          </cell>
        </row>
        <row r="1853">
          <cell r="A1853" t="str">
            <v>GRMZM2G146012</v>
          </cell>
          <cell r="B1853" t="str">
            <v>GO:0007017GO:0005875GO:0003777</v>
          </cell>
        </row>
        <row r="1854">
          <cell r="A1854" t="str">
            <v>GRMZM2G383408</v>
          </cell>
          <cell r="B1854" t="str">
            <v>GO:0016597GO:0008152</v>
          </cell>
        </row>
        <row r="1855">
          <cell r="A1855" t="str">
            <v>GRMZM2G083058</v>
          </cell>
          <cell r="B1855" t="str">
            <v>GO:0016021</v>
          </cell>
        </row>
        <row r="1856">
          <cell r="A1856" t="str">
            <v>GRMZM2G131266</v>
          </cell>
          <cell r="B1856" t="str">
            <v>GO:0003700GO:0006355</v>
          </cell>
        </row>
        <row r="1857">
          <cell r="A1857" t="str">
            <v>GRMZM2G092804</v>
          </cell>
          <cell r="B1857" t="str">
            <v>GO:0051260GO:0016021GO:0007186</v>
          </cell>
        </row>
        <row r="1858">
          <cell r="A1858" t="str">
            <v>GRMZM2G149273</v>
          </cell>
          <cell r="B1858" t="str">
            <v>GO:0004601GO:0006979GO:0020037GO:0009055</v>
          </cell>
        </row>
        <row r="1859">
          <cell r="A1859" t="str">
            <v>GRMZM2G154093</v>
          </cell>
          <cell r="B1859" t="str">
            <v>GO:0006570GO:0004411GO:0006559</v>
          </cell>
        </row>
        <row r="1860">
          <cell r="A1860" t="str">
            <v>GRMZM2G154090</v>
          </cell>
          <cell r="B1860" t="str">
            <v>GO:0005315GO:0016021GO:0006817</v>
          </cell>
        </row>
        <row r="1861">
          <cell r="A1861" t="str">
            <v>GRMZM2G120432</v>
          </cell>
          <cell r="B1861" t="str">
            <v>GO:0003735GO:0006412GO:0005840</v>
          </cell>
        </row>
        <row r="1862">
          <cell r="A1862" t="str">
            <v>GRMZM2G127350</v>
          </cell>
          <cell r="B1862" t="str">
            <v>GO:0008483GO:0030170</v>
          </cell>
        </row>
        <row r="1863">
          <cell r="A1863" t="str">
            <v>GRMZM2G140721</v>
          </cell>
          <cell r="B1863" t="str">
            <v>GO:0004674GO:0006468GO:0004713GO:0005524</v>
          </cell>
        </row>
        <row r="1864">
          <cell r="A1864" t="str">
            <v>GRMZM2G392791</v>
          </cell>
          <cell r="B1864" t="str">
            <v>GO:0006508GO:0004177</v>
          </cell>
        </row>
        <row r="1865">
          <cell r="A1865" t="str">
            <v>GRMZM2G066101</v>
          </cell>
          <cell r="B1865" t="str">
            <v>GO:0005634GO:0006270GO:0005524GO:0016887GO:0003677</v>
          </cell>
        </row>
        <row r="1866">
          <cell r="A1866" t="str">
            <v>GRMZM2G077823</v>
          </cell>
          <cell r="B1866" t="str">
            <v>GO:0003676</v>
          </cell>
        </row>
        <row r="1867">
          <cell r="A1867" t="str">
            <v>GRMZM2G112284</v>
          </cell>
          <cell r="B1867" t="str">
            <v>GO:0046914GO:0016491</v>
          </cell>
        </row>
        <row r="1868">
          <cell r="A1868" t="str">
            <v>GRMZM2G180951</v>
          </cell>
          <cell r="B1868" t="str">
            <v>GO:0003843GO:0006075GO:0000148</v>
          </cell>
        </row>
        <row r="1869">
          <cell r="A1869" t="str">
            <v>GRMZM2G141665</v>
          </cell>
          <cell r="B1869" t="str">
            <v>GO:0016491GO:0009055</v>
          </cell>
        </row>
        <row r="1870">
          <cell r="A1870" t="str">
            <v>GRMZM2G028709</v>
          </cell>
          <cell r="B1870" t="str">
            <v>GO:0004674GO:0006468GO:0016597GO:0004713GO:0005524</v>
          </cell>
        </row>
        <row r="1871">
          <cell r="A1871" t="str">
            <v>GRMZM2G000836</v>
          </cell>
          <cell r="B1871" t="str">
            <v>GO:0008270GO:0005622</v>
          </cell>
        </row>
        <row r="1872">
          <cell r="A1872" t="str">
            <v>GRMZM2G084935</v>
          </cell>
          <cell r="B1872" t="str">
            <v>GO:0005509</v>
          </cell>
        </row>
        <row r="1873">
          <cell r="A1873" t="str">
            <v>GRMZM2G472852</v>
          </cell>
          <cell r="B1873" t="str">
            <v>GO:0015979GO:0009523</v>
          </cell>
        </row>
        <row r="1874">
          <cell r="A1874" t="str">
            <v>GRMZM2G015588</v>
          </cell>
          <cell r="B1874" t="str">
            <v>GO:0004150GO:0006760</v>
          </cell>
        </row>
        <row r="1875">
          <cell r="A1875" t="str">
            <v>GRMZM2G071970</v>
          </cell>
          <cell r="B1875" t="str">
            <v>GO:0030246</v>
          </cell>
        </row>
        <row r="1876">
          <cell r="A1876" t="str">
            <v>GRMZM2G130119</v>
          </cell>
          <cell r="B1876" t="str">
            <v>GO:0016758GO:0008152</v>
          </cell>
        </row>
        <row r="1877">
          <cell r="A1877" t="str">
            <v>AC209877.3_FG002</v>
          </cell>
          <cell r="B1877" t="str">
            <v>GO:0016021GO:0007186GO:0001619</v>
          </cell>
        </row>
        <row r="1878">
          <cell r="A1878" t="str">
            <v>GRMZM2G116079</v>
          </cell>
          <cell r="B1878" t="str">
            <v>GO:0008270GO:0005622</v>
          </cell>
        </row>
        <row r="1879">
          <cell r="A1879" t="str">
            <v>GRMZM2G046911</v>
          </cell>
          <cell r="B1879" t="str">
            <v>GO:0000015GO:0004634GO:0006096</v>
          </cell>
        </row>
        <row r="1880">
          <cell r="A1880" t="str">
            <v>GRMZM2G081957</v>
          </cell>
          <cell r="B1880" t="str">
            <v>GO:0006468GO:0004674GO:0030001GO:0004713GO:0046872GO:0005524</v>
          </cell>
        </row>
        <row r="1881">
          <cell r="A1881" t="str">
            <v>GRMZM2G066489</v>
          </cell>
          <cell r="B1881" t="str">
            <v>GO:0016021GO:0006810GO:0005234GO:0030288GO:0004965GO:0007186GO:0004970</v>
          </cell>
        </row>
        <row r="1882">
          <cell r="A1882" t="str">
            <v>GRMZM2G140924</v>
          </cell>
          <cell r="B1882" t="str">
            <v>GO:0006614GO:0008312GO:0008270GO:0005515GO:0048500GO:0005525</v>
          </cell>
        </row>
        <row r="1883">
          <cell r="A1883" t="str">
            <v>GRMZM2G072820</v>
          </cell>
          <cell r="B1883" t="str">
            <v>GO:0005634GO:0045449GO:0030528</v>
          </cell>
        </row>
        <row r="1884">
          <cell r="A1884" t="str">
            <v>GRMZM2G045257</v>
          </cell>
          <cell r="B1884" t="str">
            <v>GO:0006813GO:0008076GO:0005249GO:0005515</v>
          </cell>
        </row>
        <row r="1885">
          <cell r="A1885" t="str">
            <v>GRMZM2G380377</v>
          </cell>
          <cell r="B1885" t="str">
            <v>GO:0003700GO:0006355GO:0050825GO:0042309GO:0050826</v>
          </cell>
        </row>
        <row r="1886">
          <cell r="A1886" t="str">
            <v>GRMZM2G126594</v>
          </cell>
          <cell r="B1886" t="str">
            <v>GO:0003735GO:0015934GO:0006412</v>
          </cell>
        </row>
        <row r="1887">
          <cell r="A1887" t="str">
            <v>GRMZM2G037327</v>
          </cell>
          <cell r="B1887" t="str">
            <v>GO:0005215GO:0016020GO:0006810</v>
          </cell>
        </row>
        <row r="1888">
          <cell r="A1888" t="str">
            <v>GRMZM2G171118</v>
          </cell>
          <cell r="B1888" t="str">
            <v>GO:0004497GO:0020037GO:0009055</v>
          </cell>
        </row>
        <row r="1889">
          <cell r="A1889" t="str">
            <v>GRMZM2G319062</v>
          </cell>
          <cell r="B1889" t="str">
            <v>GO:0005344GO:0006810GO:0008152GO:0016491</v>
          </cell>
        </row>
        <row r="1890">
          <cell r="A1890" t="str">
            <v>GRMZM2G151826</v>
          </cell>
          <cell r="B1890" t="str">
            <v>GO:0043565GO:0006334GO:0005634GO:0000786</v>
          </cell>
        </row>
        <row r="1891">
          <cell r="A1891" t="str">
            <v>GRMZM2G107073</v>
          </cell>
          <cell r="B1891" t="str">
            <v>GO:0005975GO:0004650</v>
          </cell>
        </row>
        <row r="1892">
          <cell r="A1892" t="str">
            <v>GRMZM2G076389</v>
          </cell>
          <cell r="B1892" t="str">
            <v>GO:0006887GO:0000145</v>
          </cell>
        </row>
        <row r="1893">
          <cell r="A1893" t="str">
            <v>GRMZM2G067456</v>
          </cell>
          <cell r="B1893" t="str">
            <v>GO:0004415GO:0006952GO:0003735GO:0006412GO:0005840</v>
          </cell>
        </row>
        <row r="1894">
          <cell r="A1894" t="str">
            <v>GRMZM2G399183</v>
          </cell>
          <cell r="B1894" t="str">
            <v>GO:0005960GO:0006546</v>
          </cell>
        </row>
        <row r="1895">
          <cell r="A1895" t="str">
            <v>GRMZM2G124335</v>
          </cell>
          <cell r="B1895" t="str">
            <v>GO:0006633GO:0016747</v>
          </cell>
        </row>
        <row r="1896">
          <cell r="A1896" t="str">
            <v>AC203966.5_FG005</v>
          </cell>
          <cell r="B1896" t="str">
            <v>GO:0005506GO:0016491</v>
          </cell>
        </row>
        <row r="1897">
          <cell r="A1897" t="str">
            <v>AC233888.1_FG002</v>
          </cell>
          <cell r="B1897" t="str">
            <v>GO:0008270GO:0005622</v>
          </cell>
        </row>
        <row r="1898">
          <cell r="A1898" t="str">
            <v>GRMZM2G054300</v>
          </cell>
          <cell r="B1898" t="str">
            <v>GO:0004096GO:0006979GO:0020037GO:0009055</v>
          </cell>
        </row>
        <row r="1899">
          <cell r="A1899" t="str">
            <v>GRMZM2G048175</v>
          </cell>
          <cell r="B1899" t="str">
            <v>GO:0015629GO:0016021GO:0005198GO:0004969GO:0007155GO:0007186</v>
          </cell>
        </row>
        <row r="1900">
          <cell r="A1900" t="str">
            <v>GRMZM2G145715</v>
          </cell>
          <cell r="B1900" t="str">
            <v>GO:0050661GO:0006098GO:0004616</v>
          </cell>
        </row>
        <row r="1901">
          <cell r="A1901" t="str">
            <v>GRMZM2G121293</v>
          </cell>
          <cell r="B1901" t="str">
            <v>GO:0006508GO:0043086GO:0042802GO:0004252</v>
          </cell>
        </row>
        <row r="1902">
          <cell r="A1902" t="str">
            <v>GRMZM2G098517</v>
          </cell>
          <cell r="B1902" t="str">
            <v>GO:0005525GO:0008312GO:0006614GO:0048500</v>
          </cell>
        </row>
        <row r="1903">
          <cell r="A1903" t="str">
            <v>GRMZM2G145972</v>
          </cell>
          <cell r="B1903" t="str">
            <v>GO:0050660GO:0005509GO:0008152GO:0016491</v>
          </cell>
        </row>
        <row r="1904">
          <cell r="A1904" t="str">
            <v>GRMZM2G311182</v>
          </cell>
          <cell r="B1904" t="str">
            <v>GO:0009058</v>
          </cell>
        </row>
        <row r="1905">
          <cell r="A1905" t="str">
            <v>GRMZM2G381441</v>
          </cell>
          <cell r="B1905" t="str">
            <v>GO:0003700GO:0006355</v>
          </cell>
        </row>
        <row r="1906">
          <cell r="A1906" t="str">
            <v>GRMZM2G145974</v>
          </cell>
          <cell r="B1906" t="str">
            <v>GO:0006950</v>
          </cell>
        </row>
        <row r="1907">
          <cell r="A1907" t="str">
            <v>GRMZM2G053925</v>
          </cell>
          <cell r="B1907" t="str">
            <v>GO:0006886GO:0005622</v>
          </cell>
        </row>
        <row r="1908">
          <cell r="A1908" t="str">
            <v>GRMZM2G084958</v>
          </cell>
          <cell r="B1908" t="str">
            <v>GO:0009239GO:0005488GO:0016630GO:0008667</v>
          </cell>
        </row>
        <row r="1909">
          <cell r="A1909" t="str">
            <v>GRMZM2G015361</v>
          </cell>
          <cell r="B1909" t="str">
            <v>GO:0006886GO:0005622GO:0004871GO:0007264GO:0007186GO:0005525</v>
          </cell>
        </row>
        <row r="1910">
          <cell r="A1910" t="str">
            <v>GRMZM2G132185</v>
          </cell>
          <cell r="B1910" t="str">
            <v>GO:0003700GO:0006355GO:0050825GO:0042309GO:0050826</v>
          </cell>
        </row>
        <row r="1911">
          <cell r="A1911" t="str">
            <v>GRMZM2G414317</v>
          </cell>
          <cell r="B1911" t="str">
            <v>GO:0005507GO:0009055</v>
          </cell>
        </row>
        <row r="1912">
          <cell r="A1912" t="str">
            <v>GRMZM2G146378</v>
          </cell>
          <cell r="B1912" t="str">
            <v>GO:0005743GO:0006810GO:0005509</v>
          </cell>
        </row>
        <row r="1913">
          <cell r="A1913" t="str">
            <v>AC166636.1_FG007</v>
          </cell>
          <cell r="B1913" t="str">
            <v>GO:0005515</v>
          </cell>
        </row>
        <row r="1914">
          <cell r="A1914" t="str">
            <v>GRMZM2G010044</v>
          </cell>
          <cell r="B1914" t="str">
            <v>GO:0008652GO:0016836GO:0051539</v>
          </cell>
        </row>
        <row r="1915">
          <cell r="A1915" t="str">
            <v>GRMZM2G177104</v>
          </cell>
          <cell r="B1915" t="str">
            <v>GO:0016491</v>
          </cell>
        </row>
        <row r="1916">
          <cell r="A1916" t="str">
            <v>GRMZM2G152485</v>
          </cell>
          <cell r="B1916" t="str">
            <v>GO:0016020</v>
          </cell>
        </row>
        <row r="1917">
          <cell r="A1917" t="str">
            <v>GRMZM2G092296</v>
          </cell>
          <cell r="B1917" t="str">
            <v>GO:0003735GO:0006412GO:0015935</v>
          </cell>
        </row>
        <row r="1918">
          <cell r="A1918" t="str">
            <v>GRMZM2G120987</v>
          </cell>
          <cell r="B1918" t="str">
            <v>GO:0003824GO:0044237GO:0050662</v>
          </cell>
        </row>
        <row r="1919">
          <cell r="A1919" t="str">
            <v>GRMZM2G076017</v>
          </cell>
          <cell r="B1919" t="str">
            <v>GO:0005529</v>
          </cell>
        </row>
        <row r="1920">
          <cell r="A1920" t="str">
            <v>GRMZM2G002874</v>
          </cell>
          <cell r="B1920" t="str">
            <v>GO:0016021GO:0007186GO:0003676</v>
          </cell>
        </row>
        <row r="1921">
          <cell r="A1921" t="str">
            <v>GRMZM2G104025</v>
          </cell>
          <cell r="B1921" t="str">
            <v>GO:0003735GO:0006412GO:0005840</v>
          </cell>
        </row>
        <row r="1922">
          <cell r="A1922" t="str">
            <v>GRMZM2G078500</v>
          </cell>
          <cell r="B1922" t="str">
            <v>GO:0006725GO:0016701GO:0008198GO:0008270GO:0055114GO:0009055</v>
          </cell>
        </row>
        <row r="1923">
          <cell r="A1923" t="str">
            <v>GRMZM2G033846</v>
          </cell>
          <cell r="B1923" t="str">
            <v>GO:0005509</v>
          </cell>
        </row>
        <row r="1924">
          <cell r="A1924" t="str">
            <v>GRMZM2G377855</v>
          </cell>
          <cell r="B1924" t="str">
            <v>GO:0009522GO:0015979</v>
          </cell>
        </row>
        <row r="1925">
          <cell r="A1925" t="str">
            <v>GRMZM2G355752</v>
          </cell>
          <cell r="B1925" t="str">
            <v>GO:0016020GO:0009765</v>
          </cell>
        </row>
        <row r="1926">
          <cell r="A1926" t="str">
            <v>GRMZM2G061681</v>
          </cell>
          <cell r="B1926" t="str">
            <v>GO:0004674GO:0006468GO:0004713GO:0005524</v>
          </cell>
        </row>
        <row r="1927">
          <cell r="A1927" t="str">
            <v>GRMZM2G000581</v>
          </cell>
          <cell r="B1927" t="str">
            <v>GO:0016020</v>
          </cell>
        </row>
        <row r="1928">
          <cell r="A1928" t="str">
            <v>GRMZM2G100090</v>
          </cell>
          <cell r="B1928" t="str">
            <v>GO:0000151GO:0016567GO:0006807GO:0004086GO:0005488GO:0004842</v>
          </cell>
        </row>
        <row r="1929">
          <cell r="A1929" t="str">
            <v>GRMZM2G061442</v>
          </cell>
          <cell r="B1929" t="str">
            <v>GO:0004747GO:0006014</v>
          </cell>
        </row>
        <row r="1930">
          <cell r="A1930" t="str">
            <v>GRMZM2G168364</v>
          </cell>
          <cell r="B1930" t="str">
            <v>GO:0004568GO:0006032GO:0016998</v>
          </cell>
        </row>
        <row r="1931">
          <cell r="A1931" t="str">
            <v>GRMZM2G121360</v>
          </cell>
          <cell r="B1931" t="str">
            <v>GO:0046872GO:0030001</v>
          </cell>
        </row>
        <row r="1932">
          <cell r="A1932" t="str">
            <v>GRMZM2G161566</v>
          </cell>
          <cell r="B1932" t="str">
            <v>GO:0004765GO:0005524</v>
          </cell>
        </row>
        <row r="1933">
          <cell r="A1933" t="str">
            <v>GRMZM2G411333</v>
          </cell>
          <cell r="B1933" t="str">
            <v>GO:0006508GO:0004190</v>
          </cell>
        </row>
        <row r="1934">
          <cell r="A1934" t="str">
            <v>GRMZM2G052034</v>
          </cell>
          <cell r="B1934" t="str">
            <v>GO:0008270GO:0005515</v>
          </cell>
        </row>
        <row r="1935">
          <cell r="A1935" t="str">
            <v>GRMZM2G173195</v>
          </cell>
          <cell r="B1935" t="str">
            <v>GO:0004367GO:0051287GO:0009331GO:0046168</v>
          </cell>
        </row>
        <row r="1936">
          <cell r="A1936" t="str">
            <v>GRMZM2G179133</v>
          </cell>
          <cell r="B1936" t="str">
            <v>GO:0016787</v>
          </cell>
        </row>
        <row r="1937">
          <cell r="A1937" t="str">
            <v>GRMZM2G139880</v>
          </cell>
          <cell r="B1937" t="str">
            <v>GO:0050661GO:0006231GO:0006545GO:0006730GO:0004799GO:0004146</v>
          </cell>
        </row>
        <row r="1938">
          <cell r="A1938" t="str">
            <v>GRMZM2G050961</v>
          </cell>
          <cell r="B1938" t="str">
            <v>GO:0006457GO:0005524</v>
          </cell>
        </row>
        <row r="1939">
          <cell r="A1939" t="str">
            <v>GRMZM2G131442</v>
          </cell>
          <cell r="B1939" t="str">
            <v>GO:0050826GO:0050825GO:0042309GO:0003677</v>
          </cell>
        </row>
        <row r="1940">
          <cell r="A1940" t="str">
            <v>GRMZM2G115658</v>
          </cell>
          <cell r="B1940" t="str">
            <v>GO:0015904GO:0016021GO:0015520GO:0046677</v>
          </cell>
        </row>
        <row r="1941">
          <cell r="A1941" t="str">
            <v>GRMZM2G081682</v>
          </cell>
          <cell r="B1941" t="str">
            <v>GO:0005975GO:0009045</v>
          </cell>
        </row>
        <row r="1942">
          <cell r="A1942" t="str">
            <v>GRMZM2G030097</v>
          </cell>
          <cell r="B1942" t="str">
            <v>GO:0016787GO:0008152</v>
          </cell>
        </row>
        <row r="1943">
          <cell r="A1943" t="str">
            <v>GRMZM2G146951</v>
          </cell>
          <cell r="B1943" t="str">
            <v>GO:0016021</v>
          </cell>
        </row>
        <row r="1944">
          <cell r="A1944" t="str">
            <v>AC198937.4_FG003</v>
          </cell>
          <cell r="B1944" t="str">
            <v>GO:0004106GO:0009073</v>
          </cell>
        </row>
        <row r="1945">
          <cell r="A1945" t="str">
            <v>GRMZM2G419328</v>
          </cell>
          <cell r="B1945" t="str">
            <v>GO:0006857GO:0005215GO:0016020</v>
          </cell>
        </row>
        <row r="1946">
          <cell r="A1946" t="str">
            <v>GRMZM2G047414</v>
          </cell>
          <cell r="B1946" t="str">
            <v>GO:0005975GO:0004650</v>
          </cell>
        </row>
        <row r="1947">
          <cell r="A1947" t="str">
            <v>GRMZM2G092433</v>
          </cell>
          <cell r="B1947" t="str">
            <v>GO:0006865GO:0005840GO:0016020GO:0006412GO:0003735GO:0015171</v>
          </cell>
        </row>
        <row r="1948">
          <cell r="A1948" t="str">
            <v>GRMZM2G092432</v>
          </cell>
          <cell r="B1948" t="str">
            <v>GO:0016597GO:0008152</v>
          </cell>
        </row>
        <row r="1949">
          <cell r="A1949" t="str">
            <v>GRMZM2G096952</v>
          </cell>
          <cell r="B1949" t="str">
            <v>GO:0016020GO:0016887GO:0005524</v>
          </cell>
        </row>
        <row r="1950">
          <cell r="A1950" t="str">
            <v>GRMZM2G030016</v>
          </cell>
          <cell r="B1950" t="str">
            <v>GO:0003735GO:0006412GO:0005840</v>
          </cell>
        </row>
        <row r="1951">
          <cell r="A1951" t="str">
            <v>GRMZM2G105996</v>
          </cell>
          <cell r="B1951" t="str">
            <v>GO:0006886GO:0005525GO:0007264GO:0005622</v>
          </cell>
        </row>
        <row r="1952">
          <cell r="A1952" t="str">
            <v>GRMZM2G169160</v>
          </cell>
          <cell r="B1952" t="str">
            <v>GO:0005737GO:0006434GO:0004828GO:0050825GO:0042309GO:0050826GO:0005524</v>
          </cell>
        </row>
        <row r="1953">
          <cell r="A1953" t="str">
            <v>GRMZM2G477340</v>
          </cell>
          <cell r="B1953" t="str">
            <v>GO:0006659</v>
          </cell>
        </row>
        <row r="1954">
          <cell r="A1954" t="str">
            <v>GRMZM2G118628</v>
          </cell>
          <cell r="B1954" t="str">
            <v>GO:0004674GO:0006468GO:0004713GO:0005524</v>
          </cell>
        </row>
        <row r="1955">
          <cell r="A1955" t="str">
            <v>GRMZM2G125241</v>
          </cell>
          <cell r="B1955" t="str">
            <v>GO:0006566GO:0005524GO:0004413</v>
          </cell>
        </row>
        <row r="1956">
          <cell r="A1956" t="str">
            <v>GRMZM2G010290</v>
          </cell>
          <cell r="B1956" t="str">
            <v>GO:0050826GO:0045449GO:0008270GO:0042309GO:0003677GO:0050825</v>
          </cell>
        </row>
        <row r="1957">
          <cell r="A1957" t="str">
            <v>GRMZM2G305526</v>
          </cell>
          <cell r="B1957" t="str">
            <v>GO:0048046GO:0005507GO:0046274GO:0008471GO:0055114</v>
          </cell>
        </row>
        <row r="1958">
          <cell r="A1958" t="str">
            <v>GRMZM2G104489</v>
          </cell>
          <cell r="B1958" t="str">
            <v>GO:0008270GO:0005622</v>
          </cell>
        </row>
        <row r="1959">
          <cell r="A1959" t="str">
            <v>GRMZM2G146004</v>
          </cell>
          <cell r="B1959" t="str">
            <v>GO:0050825GO:0042309GO:0050826</v>
          </cell>
        </row>
        <row r="1960">
          <cell r="A1960" t="str">
            <v>GRMZM2G406196</v>
          </cell>
          <cell r="B1960" t="str">
            <v>GO:0050825GO:0042309GO:0050826</v>
          </cell>
        </row>
        <row r="1961">
          <cell r="A1961" t="str">
            <v>GRMZM2G093526</v>
          </cell>
          <cell r="B1961" t="str">
            <v>GO:0016829GO:0000287GO:0008152</v>
          </cell>
        </row>
        <row r="1962">
          <cell r="A1962" t="str">
            <v>GRMZM2G058681</v>
          </cell>
          <cell r="B1962" t="str">
            <v>GO:0003735GO:0008270GO:0006412GO:0005840</v>
          </cell>
        </row>
        <row r="1963">
          <cell r="A1963" t="str">
            <v>GRMZM2G057930</v>
          </cell>
          <cell r="B1963" t="str">
            <v>GO:0016757</v>
          </cell>
        </row>
        <row r="1964">
          <cell r="A1964" t="str">
            <v>AC209987.4_FG010</v>
          </cell>
          <cell r="B1964" t="str">
            <v>GO:0005507GO:0009055</v>
          </cell>
        </row>
        <row r="1965">
          <cell r="A1965" t="str">
            <v>GRMZM2G015654</v>
          </cell>
          <cell r="B1965" t="str">
            <v>GO:0008107GO:0016020GO:0042546</v>
          </cell>
        </row>
        <row r="1966">
          <cell r="A1966" t="str">
            <v>GRMZM2G108103</v>
          </cell>
          <cell r="B1966" t="str">
            <v>GO:0005622GO:0008270GO:0008152GO:0016491</v>
          </cell>
        </row>
        <row r="1967">
          <cell r="A1967" t="str">
            <v>GRMZM2G078985</v>
          </cell>
          <cell r="B1967" t="str">
            <v>GO:0003735GO:0006412GO:0015935</v>
          </cell>
        </row>
        <row r="1968">
          <cell r="A1968" t="str">
            <v>GRMZM2G007025</v>
          </cell>
          <cell r="B1968" t="str">
            <v>GO:0016998</v>
          </cell>
        </row>
        <row r="1969">
          <cell r="A1969" t="str">
            <v>GRMZM2G459391</v>
          </cell>
          <cell r="B1969" t="str">
            <v>GO:0030163</v>
          </cell>
        </row>
        <row r="1970">
          <cell r="A1970" t="str">
            <v>GRMZM2G025190</v>
          </cell>
          <cell r="B1970" t="str">
            <v>GO:0005737GO:0004364GO:0008152</v>
          </cell>
        </row>
        <row r="1971">
          <cell r="A1971" t="str">
            <v>GRMZM2G047255</v>
          </cell>
          <cell r="B1971" t="str">
            <v>GO:0006813GO:0004969GO:0016021GO:0007186GO:0005249</v>
          </cell>
        </row>
        <row r="1972">
          <cell r="A1972" t="str">
            <v>GRMZM2G113761</v>
          </cell>
          <cell r="B1972" t="str">
            <v>GO:0005618GO:0048046GO:0016762GO:0006073GO:0004553</v>
          </cell>
        </row>
        <row r="1973">
          <cell r="A1973" t="str">
            <v>GRMZM2G101438</v>
          </cell>
          <cell r="B1973" t="str">
            <v>GO:0006508GO:0009987GO:0008235GO:0004177</v>
          </cell>
        </row>
        <row r="1974">
          <cell r="A1974" t="str">
            <v>GRMZM2G035994</v>
          </cell>
          <cell r="B1974" t="str">
            <v>GO:0016491GO:0009055</v>
          </cell>
        </row>
        <row r="1975">
          <cell r="A1975" t="str">
            <v>GRMZM2G469898</v>
          </cell>
          <cell r="B1975" t="str">
            <v>GO:0006629GO:0016788</v>
          </cell>
        </row>
        <row r="1976">
          <cell r="A1976" t="str">
            <v>GRMZM2G467187</v>
          </cell>
          <cell r="B1976" t="str">
            <v>GO:0008270GO:0050825GO:0042309GO:0005515GO:0050826</v>
          </cell>
        </row>
        <row r="1977">
          <cell r="A1977" t="str">
            <v>GRMZM2G061663</v>
          </cell>
          <cell r="B1977" t="str">
            <v>GO:0008270GO:0005515</v>
          </cell>
        </row>
        <row r="1978">
          <cell r="A1978" t="str">
            <v>GRMZM2G156861</v>
          </cell>
          <cell r="B1978" t="str">
            <v>GO:0005506GO:0016165GO:0009055</v>
          </cell>
        </row>
        <row r="1979">
          <cell r="A1979" t="str">
            <v>GRMZM2G113476</v>
          </cell>
          <cell r="B1979" t="str">
            <v>GO:0016021GO:0004659</v>
          </cell>
        </row>
        <row r="1980">
          <cell r="A1980" t="str">
            <v>GRMZM2G140799</v>
          </cell>
          <cell r="B1980" t="str">
            <v>GO:0003735GO:0042254GO:0006412GO:0005840</v>
          </cell>
        </row>
        <row r="1981">
          <cell r="A1981" t="str">
            <v>GRMZM2G103342</v>
          </cell>
          <cell r="B1981" t="str">
            <v>GO:0004601GO:0006979GO:0020037GO:0009055</v>
          </cell>
        </row>
        <row r="1982">
          <cell r="A1982" t="str">
            <v>GRMZM2G451007</v>
          </cell>
          <cell r="B1982" t="str">
            <v>GO:0004674GO:0006468GO:0005524GO:0005515GO:0004713</v>
          </cell>
        </row>
        <row r="1983">
          <cell r="A1983" t="str">
            <v>GRMZM2G003138</v>
          </cell>
          <cell r="B1983" t="str">
            <v>GO:0006633GO:0016020GO:0008415</v>
          </cell>
        </row>
        <row r="1984">
          <cell r="A1984" t="str">
            <v>GRMZM2G147849</v>
          </cell>
          <cell r="B1984" t="str">
            <v>GO:0005975GO:0004553</v>
          </cell>
        </row>
        <row r="1985">
          <cell r="A1985" t="str">
            <v>GRMZM2G006977</v>
          </cell>
          <cell r="B1985" t="str">
            <v>GO:0005388GO:0016020GO:0006754GO:0006816GO:0005524</v>
          </cell>
        </row>
        <row r="1986">
          <cell r="A1986" t="str">
            <v>GRMZM2G105224</v>
          </cell>
          <cell r="B1986" t="str">
            <v>GO:0006468GO:0004672GO:0008270GO:0005524GO:0005622</v>
          </cell>
        </row>
        <row r="1987">
          <cell r="A1987" t="str">
            <v>GRMZM2G169548</v>
          </cell>
          <cell r="B1987" t="str">
            <v>GO:0016740GO:0050825GO:0042309GO:0050826</v>
          </cell>
        </row>
        <row r="1988">
          <cell r="A1988" t="str">
            <v>GRMZM2G000622</v>
          </cell>
          <cell r="B1988" t="str">
            <v>GO:0004642GO:0006189</v>
          </cell>
        </row>
        <row r="1989">
          <cell r="A1989" t="str">
            <v>GRMZM2G075676</v>
          </cell>
          <cell r="B1989" t="str">
            <v>GO:0006508GO:0004185</v>
          </cell>
        </row>
        <row r="1990">
          <cell r="A1990" t="str">
            <v>GRMZM2G038487</v>
          </cell>
          <cell r="B1990" t="str">
            <v>GO:0051537GO:0016705GO:0016740GO:0005506GO:0055114GO:0009055</v>
          </cell>
        </row>
        <row r="1991">
          <cell r="A1991" t="str">
            <v>GRMZM2G178886</v>
          </cell>
          <cell r="B1991" t="str">
            <v>GO:0045454GO:0015035GO:0009055</v>
          </cell>
        </row>
        <row r="1992">
          <cell r="A1992" t="str">
            <v>GRMZM2G475984</v>
          </cell>
          <cell r="B1992" t="str">
            <v>GO:0003700GO:0043565GO:0005634GO:0045449</v>
          </cell>
        </row>
        <row r="1993">
          <cell r="A1993" t="str">
            <v>GRMZM2G448330</v>
          </cell>
          <cell r="B1993" t="str">
            <v>GO:0005488</v>
          </cell>
        </row>
        <row r="1994">
          <cell r="A1994" t="str">
            <v>GRMZM2G079583</v>
          </cell>
          <cell r="B1994" t="str">
            <v>GO:0004674GO:0006468GO:0004713GO:0005524</v>
          </cell>
        </row>
        <row r="1995">
          <cell r="A1995" t="str">
            <v>GRMZM2G149714</v>
          </cell>
          <cell r="B1995" t="str">
            <v>GO:0048046GO:0030145GO:0045735</v>
          </cell>
        </row>
        <row r="1996">
          <cell r="A1996" t="str">
            <v>GRMZM2G064163</v>
          </cell>
          <cell r="B1996" t="str">
            <v>GO:0003824</v>
          </cell>
        </row>
        <row r="1997">
          <cell r="A1997" t="str">
            <v>GRMZM2G077187</v>
          </cell>
          <cell r="B1997" t="str">
            <v>GO:0003824GO:0016020</v>
          </cell>
        </row>
        <row r="1998">
          <cell r="A1998" t="str">
            <v>GRMZM2G043530</v>
          </cell>
          <cell r="B1998" t="str">
            <v>GO:0003779GO:0030036</v>
          </cell>
        </row>
        <row r="1999">
          <cell r="A1999" t="str">
            <v>GRMZM2G041223</v>
          </cell>
          <cell r="B1999" t="str">
            <v>GO:0016818GO:0045449GO:0005634GO:0005524</v>
          </cell>
        </row>
        <row r="2000">
          <cell r="A2000" t="str">
            <v>GRMZM2G320298</v>
          </cell>
          <cell r="B2000" t="str">
            <v>GO:0016787GO:0008152</v>
          </cell>
        </row>
        <row r="2001">
          <cell r="A2001" t="str">
            <v>AC196489.3_FG002</v>
          </cell>
          <cell r="B2001" t="str">
            <v>GO:0003735GO:0006412GO:0005840</v>
          </cell>
        </row>
        <row r="2002">
          <cell r="A2002" t="str">
            <v>GRMZM2G142873</v>
          </cell>
          <cell r="B2002" t="str">
            <v>GO:0016758GO:0009247GO:0016491</v>
          </cell>
        </row>
        <row r="2003">
          <cell r="A2003" t="str">
            <v>GRMZM2G142870</v>
          </cell>
          <cell r="B2003" t="str">
            <v>GO:0016021GO:0006810GO:0042626GO:0005524</v>
          </cell>
        </row>
        <row r="2004">
          <cell r="A2004" t="str">
            <v>GRMZM2G023163</v>
          </cell>
          <cell r="B2004" t="str">
            <v>GO:0004370GO:0006072</v>
          </cell>
        </row>
        <row r="2005">
          <cell r="A2005" t="str">
            <v>AC234159.1_FG002</v>
          </cell>
          <cell r="B2005" t="str">
            <v>GO:0005743GO:0006810GO:0005488GO:0005215</v>
          </cell>
        </row>
        <row r="2006">
          <cell r="A2006" t="str">
            <v>GRMZM2G109677</v>
          </cell>
          <cell r="B2006" t="str">
            <v>GO:0003735GO:0006412GO:0005840</v>
          </cell>
        </row>
        <row r="2007">
          <cell r="A2007" t="str">
            <v>GRMZM2G059799</v>
          </cell>
          <cell r="B2007" t="str">
            <v>GO:0006950</v>
          </cell>
        </row>
        <row r="2008">
          <cell r="A2008" t="str">
            <v>GRMZM2G000936</v>
          </cell>
          <cell r="B2008" t="str">
            <v>GO:0005515</v>
          </cell>
        </row>
        <row r="2009">
          <cell r="A2009" t="str">
            <v>GRMZM2G042136</v>
          </cell>
          <cell r="B2009" t="str">
            <v>GO:0016491GO:0016481GO:0010181</v>
          </cell>
        </row>
        <row r="2010">
          <cell r="A2010" t="str">
            <v>AC217050.4_FG007</v>
          </cell>
          <cell r="B2010" t="str">
            <v>GO:0016829GO:0000287GO:0008152</v>
          </cell>
        </row>
        <row r="2011">
          <cell r="A2011" t="str">
            <v>GRMZM2G109472</v>
          </cell>
          <cell r="B2011" t="str">
            <v>GO:0006221GO:0032312GO:0006207GO:0006955GO:0005164GO:0008060GO:0009116GO:0004588GO:0004590GO:0007186GO:0016021GO:0008270</v>
          </cell>
        </row>
        <row r="2012">
          <cell r="A2012" t="str">
            <v>GRMZM2G135359</v>
          </cell>
          <cell r="B2012" t="str">
            <v>GO:0004674GO:0006468GO:0004713GO:0005524GO:0005199</v>
          </cell>
        </row>
        <row r="2013">
          <cell r="A2013" t="str">
            <v>GRMZM2G167497</v>
          </cell>
          <cell r="B2013" t="str">
            <v>GO:0030246</v>
          </cell>
        </row>
        <row r="2014">
          <cell r="A2014" t="str">
            <v>GRMZM2G178955</v>
          </cell>
          <cell r="B2014" t="str">
            <v>GO:0005543</v>
          </cell>
        </row>
        <row r="2015">
          <cell r="A2015" t="str">
            <v>GRMZM2G015955</v>
          </cell>
          <cell r="B2015" t="str">
            <v>GO:0016021GO:0006829GO:0005385</v>
          </cell>
        </row>
        <row r="2016">
          <cell r="A2016" t="str">
            <v>GRMZM2G091383</v>
          </cell>
          <cell r="B2016" t="str">
            <v>GO:0003735GO:0006412GO:0005840</v>
          </cell>
        </row>
        <row r="2017">
          <cell r="A2017" t="str">
            <v>GRMZM2G149281</v>
          </cell>
          <cell r="B2017" t="str">
            <v>GO:0006139GO:0019201GO:0016776GO:0005524</v>
          </cell>
        </row>
        <row r="2018">
          <cell r="A2018" t="str">
            <v>GRMZM2G309731</v>
          </cell>
          <cell r="B2018" t="str">
            <v>GO:0003700GO:0006355</v>
          </cell>
        </row>
        <row r="2019">
          <cell r="A2019" t="str">
            <v>GRMZM2G144782</v>
          </cell>
          <cell r="B2019" t="str">
            <v>GO:0008270GO:0005515</v>
          </cell>
        </row>
        <row r="2020">
          <cell r="A2020" t="str">
            <v>GRMZM2G134334</v>
          </cell>
          <cell r="B2020" t="str">
            <v>GO:0003677GO:0050825GO:0008270GO:0042309GO:0050826</v>
          </cell>
        </row>
        <row r="2021">
          <cell r="A2021" t="str">
            <v>GRMZM2G406603</v>
          </cell>
          <cell r="B2021" t="str">
            <v>GO:0006633GO:0000036</v>
          </cell>
        </row>
        <row r="2022">
          <cell r="A2022" t="str">
            <v>GRMZM2G406601</v>
          </cell>
          <cell r="B2022" t="str">
            <v>GO:0006468GO:0016020GO:0005215GO:0006810GO:0004674GO:0004713GO:0005524</v>
          </cell>
        </row>
        <row r="2023">
          <cell r="A2023" t="str">
            <v>GRMZM2G045809</v>
          </cell>
          <cell r="B2023" t="str">
            <v>GO:0048046GO:0030145GO:0045735</v>
          </cell>
        </row>
        <row r="2024">
          <cell r="A2024" t="str">
            <v>GRMZM2G059428</v>
          </cell>
          <cell r="B2024" t="str">
            <v>GO:0045449GO:0003677</v>
          </cell>
        </row>
        <row r="2025">
          <cell r="A2025" t="str">
            <v>GRMZM2G050325</v>
          </cell>
          <cell r="B2025" t="str">
            <v>GO:0003824GO:0009058</v>
          </cell>
        </row>
        <row r="2026">
          <cell r="A2026" t="str">
            <v>GRMZM2G077837</v>
          </cell>
          <cell r="B2026" t="str">
            <v>GO:0005778GO:0016559</v>
          </cell>
        </row>
        <row r="2027">
          <cell r="A2027" t="str">
            <v>GRMZM2G330049</v>
          </cell>
          <cell r="B2027" t="str">
            <v>GO:0006468GO:0005840GO:0003735GO:0004674GO:0004713GO:0006412GO:0005524GO:0007165</v>
          </cell>
        </row>
        <row r="2028">
          <cell r="A2028" t="str">
            <v>GRMZM2G334336</v>
          </cell>
          <cell r="B2028" t="str">
            <v>GO:0016758GO:0008152</v>
          </cell>
        </row>
        <row r="2029">
          <cell r="A2029" t="str">
            <v>GRMZM2G126900</v>
          </cell>
          <cell r="B2029" t="str">
            <v>GO:0005737GO:0050113GO:0019310GO:0005506</v>
          </cell>
        </row>
        <row r="2030">
          <cell r="A2030" t="str">
            <v>GRMZM2G164074</v>
          </cell>
          <cell r="B2030" t="str">
            <v>GO:0004497GO:0020037GO:0009055</v>
          </cell>
        </row>
        <row r="2031">
          <cell r="A2031" t="str">
            <v>AC212023.4_FG004</v>
          </cell>
          <cell r="B2031" t="str">
            <v>GO:0004857GO:0030599</v>
          </cell>
        </row>
        <row r="2032">
          <cell r="A2032" t="str">
            <v>GRMZM2G004835</v>
          </cell>
          <cell r="B2032" t="str">
            <v>GO:0006629GO:0016788</v>
          </cell>
        </row>
        <row r="2033">
          <cell r="A2033" t="str">
            <v>GRMZM2G116282</v>
          </cell>
          <cell r="B2033" t="str">
            <v>GO:0016021GO:0050825GO:0042309GO:0050826GO:0004974GO:0007186</v>
          </cell>
        </row>
        <row r="2034">
          <cell r="A2034" t="str">
            <v>GRMZM2G177213</v>
          </cell>
          <cell r="B2034" t="str">
            <v>GO:0005743GO:0006810GO:0005488GO:0005215</v>
          </cell>
        </row>
        <row r="2035">
          <cell r="A2035" t="str">
            <v>GRMZM2G351937</v>
          </cell>
          <cell r="B2035" t="str">
            <v>GO:0006468GO:0004674GO:0005529GO:0050825GO:0004713GO:0042309GO:0050826GO:0005524</v>
          </cell>
        </row>
        <row r="2036">
          <cell r="A2036" t="str">
            <v>GRMZM2G163200</v>
          </cell>
          <cell r="B2036" t="str">
            <v>GO:0003700GO:0006355GO:0005634GO:0008270GO:0043565</v>
          </cell>
        </row>
        <row r="2037">
          <cell r="A2037" t="str">
            <v>GRMZM2G112039</v>
          </cell>
          <cell r="B2037" t="str">
            <v>GO:0006857GO:0004008GO:0016020GO:0005524GO:0006825</v>
          </cell>
        </row>
        <row r="2038">
          <cell r="A2038" t="str">
            <v>GRMZM2G334574</v>
          </cell>
          <cell r="B2038" t="str">
            <v>GO:0016021GO:0007186GO:0004940</v>
          </cell>
        </row>
        <row r="2039">
          <cell r="A2039" t="str">
            <v>AC209050.3_FG003</v>
          </cell>
          <cell r="B2039" t="str">
            <v>GO:0003700GO:0043565GO:0005634GO:0045449</v>
          </cell>
        </row>
        <row r="2040">
          <cell r="A2040" t="str">
            <v>GRMZM2G007695</v>
          </cell>
          <cell r="B2040" t="str">
            <v>GO:0003735GO:0006412GO:0005840</v>
          </cell>
        </row>
        <row r="2041">
          <cell r="A2041" t="str">
            <v>GRMZM2G038964</v>
          </cell>
          <cell r="B2041" t="str">
            <v>GO:0006633GO:0005506GO:0005783GO:0055114GO:0016491</v>
          </cell>
        </row>
        <row r="2042">
          <cell r="A2042" t="str">
            <v>GRMZM2G334722</v>
          </cell>
          <cell r="B2042" t="str">
            <v>GO:0003677</v>
          </cell>
        </row>
        <row r="2043">
          <cell r="A2043" t="str">
            <v>GRMZM2G150302</v>
          </cell>
          <cell r="B2043" t="str">
            <v>GO:0016020GO:0015018</v>
          </cell>
        </row>
        <row r="2044">
          <cell r="A2044" t="str">
            <v>GRMZM2G025171</v>
          </cell>
          <cell r="B2044" t="str">
            <v>GO:0045261GO:0015986GO:0046961GO:0046933</v>
          </cell>
        </row>
        <row r="2045">
          <cell r="A2045" t="str">
            <v>GRMZM2G167892</v>
          </cell>
          <cell r="B2045" t="str">
            <v>GO:0005783</v>
          </cell>
        </row>
        <row r="2046">
          <cell r="A2046" t="str">
            <v>GRMZM2G066961</v>
          </cell>
          <cell r="B2046" t="str">
            <v>GO:0006950</v>
          </cell>
        </row>
        <row r="2047">
          <cell r="A2047" t="str">
            <v>GRMZM2G098679</v>
          </cell>
          <cell r="B2047" t="str">
            <v>GO:0015904GO:0016021GO:0015520GO:0046677GO:0055085</v>
          </cell>
        </row>
        <row r="2048">
          <cell r="A2048" t="str">
            <v>GRMZM2G438871</v>
          </cell>
          <cell r="B2048" t="str">
            <v>GO:0004674GO:0006468GO:0005529GO:0004713GO:0005524</v>
          </cell>
        </row>
        <row r="2049">
          <cell r="A2049" t="str">
            <v>GRMZM2G001508</v>
          </cell>
          <cell r="B2049" t="str">
            <v>GO:0003993</v>
          </cell>
        </row>
        <row r="2050">
          <cell r="A2050" t="str">
            <v>GRMZM2G014580</v>
          </cell>
          <cell r="B2050" t="str">
            <v>GO:0004497GO:0020037GO:0009055</v>
          </cell>
        </row>
        <row r="2051">
          <cell r="A2051" t="str">
            <v>GRMZM2G168149</v>
          </cell>
          <cell r="B2051" t="str">
            <v>GO:0003735GO:0015935GO:0006412GO:0003723</v>
          </cell>
        </row>
        <row r="2052">
          <cell r="A2052" t="str">
            <v>GRMZM2G062129</v>
          </cell>
          <cell r="B2052" t="str">
            <v>GO:0005488</v>
          </cell>
        </row>
        <row r="2053">
          <cell r="A2053" t="str">
            <v>GRMZM2G168143</v>
          </cell>
          <cell r="B2053" t="str">
            <v>GO:0004324GO:0050661GO:0050660GO:0042651GO:0009055</v>
          </cell>
        </row>
        <row r="2054">
          <cell r="A2054" t="str">
            <v>AC190609.3_FG002</v>
          </cell>
          <cell r="B2054" t="str">
            <v>GO:0003735GO:0006412GO:0005840</v>
          </cell>
        </row>
        <row r="2055">
          <cell r="A2055" t="str">
            <v>GRMZM2G022679</v>
          </cell>
          <cell r="B2055" t="str">
            <v>GO:0005506GO:0016491</v>
          </cell>
        </row>
        <row r="2056">
          <cell r="A2056" t="str">
            <v>GRMZM2G072729</v>
          </cell>
          <cell r="B2056" t="str">
            <v>GO:0004415GO:0006952GO:0003735GO:0006412GO:0005840</v>
          </cell>
        </row>
        <row r="2057">
          <cell r="A2057" t="str">
            <v>GRMZM2G174730</v>
          </cell>
          <cell r="B2057" t="str">
            <v>GO:0015031GO:0016021</v>
          </cell>
        </row>
        <row r="2058">
          <cell r="A2058" t="str">
            <v>AC205703.4_FG002</v>
          </cell>
          <cell r="B2058" t="str">
            <v>GO:0005515</v>
          </cell>
        </row>
        <row r="2059">
          <cell r="A2059" t="str">
            <v>GRMZM2G045664</v>
          </cell>
          <cell r="B2059" t="str">
            <v>GO:0009269</v>
          </cell>
        </row>
        <row r="2060">
          <cell r="A2060" t="str">
            <v>GRMZM2G123886</v>
          </cell>
          <cell r="B2060" t="str">
            <v>GO:0004707GO:0006468GO:0004713GO:0005524</v>
          </cell>
        </row>
        <row r="2061">
          <cell r="A2061" t="str">
            <v>GRMZM2G123558</v>
          </cell>
          <cell r="B2061" t="str">
            <v>GO:0016021GO:0004969GO:0042309GO:0050826GO:0050825GO:0007186</v>
          </cell>
        </row>
        <row r="2062">
          <cell r="A2062" t="str">
            <v>GRMZM2G082792</v>
          </cell>
          <cell r="B2062" t="str">
            <v>GO:0016491GO:0016481GO:0010181</v>
          </cell>
        </row>
        <row r="2063">
          <cell r="A2063" t="str">
            <v>GRMZM2G013318</v>
          </cell>
          <cell r="B2063" t="str">
            <v>GO:0007264GO:0005525GO:0005622</v>
          </cell>
        </row>
        <row r="2064">
          <cell r="A2064" t="str">
            <v>GRMZM2G145962</v>
          </cell>
          <cell r="B2064" t="str">
            <v>GO:0003735GO:0006412GO:0005840</v>
          </cell>
        </row>
        <row r="2065">
          <cell r="A2065" t="str">
            <v>GRMZM2G170413</v>
          </cell>
          <cell r="B2065" t="str">
            <v>GO:0008270GO:0005515</v>
          </cell>
        </row>
        <row r="2066">
          <cell r="A2066" t="str">
            <v>GRMZM2G107711</v>
          </cell>
          <cell r="B2066" t="str">
            <v>GO:0050825GO:0042309GO:0050826</v>
          </cell>
        </row>
        <row r="2067">
          <cell r="A2067" t="str">
            <v>GRMZM2G381453</v>
          </cell>
          <cell r="B2067" t="str">
            <v>GO:0005215GO:0016021GO:0006810</v>
          </cell>
        </row>
        <row r="2068">
          <cell r="A2068" t="str">
            <v>GRMZM2G048430</v>
          </cell>
          <cell r="B2068" t="str">
            <v>GO:0003735GO:0004857GO:0006412GO:0030599GO:0005840</v>
          </cell>
        </row>
        <row r="2069">
          <cell r="A2069" t="str">
            <v>GRMZM2G134668</v>
          </cell>
          <cell r="B2069" t="str">
            <v>GO:0006457GO:0005509GO:0051082GO:0005783</v>
          </cell>
        </row>
        <row r="2070">
          <cell r="A2070" t="str">
            <v>GRMZM2G161310</v>
          </cell>
          <cell r="B2070" t="str">
            <v>GO:0015904GO:0016021GO:0015520GO:0046677</v>
          </cell>
        </row>
        <row r="2071">
          <cell r="A2071" t="str">
            <v>GRMZM2G160770</v>
          </cell>
          <cell r="B2071" t="str">
            <v>GO:0007155GO:0008037GO:0019058GO:0005515</v>
          </cell>
        </row>
        <row r="2072">
          <cell r="A2072" t="str">
            <v>GRMZM2G322506</v>
          </cell>
          <cell r="B2072" t="str">
            <v>GO:0006508GO:0004197GO:0017111GO:0000166</v>
          </cell>
        </row>
        <row r="2073">
          <cell r="A2073" t="str">
            <v>GRMZM2G078771</v>
          </cell>
          <cell r="B2073" t="str">
            <v>GO:0050825GO:0042309GO:0050826</v>
          </cell>
        </row>
        <row r="2074">
          <cell r="A2074" t="str">
            <v>GRMZM2G111216</v>
          </cell>
          <cell r="B2074" t="str">
            <v>GO:0050662GO:0044237GO:0003824GO:0050825GO:0042309GO:0050826</v>
          </cell>
        </row>
        <row r="2075">
          <cell r="A2075" t="str">
            <v>GRMZM2G134176</v>
          </cell>
          <cell r="B2075" t="str">
            <v>GO:0019787GO:0043687GO:0051246</v>
          </cell>
        </row>
        <row r="2076">
          <cell r="A2076" t="str">
            <v>GRMZM2G173965</v>
          </cell>
          <cell r="B2076" t="str">
            <v>GO:0004674GO:0006468GO:0004713GO:0005524</v>
          </cell>
        </row>
        <row r="2077">
          <cell r="A2077" t="str">
            <v>GRMZM2G173967</v>
          </cell>
          <cell r="B2077" t="str">
            <v>GO:0003824GO:0005488GO:0008152</v>
          </cell>
        </row>
        <row r="2078">
          <cell r="A2078" t="str">
            <v>GRMZM2G160452</v>
          </cell>
          <cell r="B2078" t="str">
            <v>GO:0009058</v>
          </cell>
        </row>
        <row r="2079">
          <cell r="A2079" t="str">
            <v>AC217947.4_FG002</v>
          </cell>
          <cell r="B2079" t="str">
            <v>GO:0016491GO:0005506GO:0010181GO:0009055</v>
          </cell>
        </row>
        <row r="2080">
          <cell r="A2080" t="str">
            <v>GRMZM2G137864</v>
          </cell>
          <cell r="B2080" t="str">
            <v>GO:0005840GO:0005634GO:0003677GO:0003735GO:0006355GO:0050825GO:0042309GO:0050826GO:0006412GO:0004879</v>
          </cell>
        </row>
        <row r="2081">
          <cell r="A2081" t="str">
            <v>GRMZM2G072034</v>
          </cell>
          <cell r="B2081" t="str">
            <v>GO:0005215GO:0006810GO:0008289</v>
          </cell>
        </row>
        <row r="2082">
          <cell r="A2082" t="str">
            <v>GRMZM2G427729</v>
          </cell>
          <cell r="B2082" t="str">
            <v>GO:0006629</v>
          </cell>
        </row>
        <row r="2083">
          <cell r="A2083" t="str">
            <v>GRMZM2G311680</v>
          </cell>
          <cell r="B2083" t="str">
            <v>GO:0003735GO:0006508GO:0004190GO:0006412GO:0005840</v>
          </cell>
        </row>
        <row r="2084">
          <cell r="A2084" t="str">
            <v>GRMZM2G168375</v>
          </cell>
          <cell r="B2084" t="str">
            <v>GO:0003824GO:0008152</v>
          </cell>
        </row>
        <row r="2085">
          <cell r="A2085" t="str">
            <v>GRMZM2G068212</v>
          </cell>
          <cell r="B2085" t="str">
            <v>GO:0016021GO:0008271GO:0008272</v>
          </cell>
        </row>
        <row r="2086">
          <cell r="A2086" t="str">
            <v>GRMZM2G016928</v>
          </cell>
          <cell r="B2086" t="str">
            <v>GO:0003735GO:0006412GO:0005840</v>
          </cell>
        </row>
        <row r="2087">
          <cell r="A2087" t="str">
            <v>GRMZM2G120971</v>
          </cell>
          <cell r="B2087" t="str">
            <v>GO:0005634GO:0006350GO:0030528GO:0005515GO:0003677</v>
          </cell>
        </row>
        <row r="2088">
          <cell r="A2088" t="str">
            <v>GRMZM2G159811</v>
          </cell>
          <cell r="B2088" t="str">
            <v>GO:0006470GO:0008287GO:0004722</v>
          </cell>
        </row>
        <row r="2089">
          <cell r="A2089" t="str">
            <v>GRMZM2G322618</v>
          </cell>
          <cell r="B2089" t="str">
            <v>GO:0004965GO:0016021GO:0007186</v>
          </cell>
        </row>
        <row r="2090">
          <cell r="A2090" t="str">
            <v>GRMZM2G125072</v>
          </cell>
          <cell r="B2090" t="str">
            <v>GO:0031072GO:0005506GO:0009055</v>
          </cell>
        </row>
        <row r="2091">
          <cell r="A2091" t="str">
            <v>GRMZM2G073310</v>
          </cell>
          <cell r="B2091" t="str">
            <v>GO:0000151GO:0016567GO:0050825GO:0042309GO:0050826GO:0004842</v>
          </cell>
        </row>
        <row r="2092">
          <cell r="A2092" t="str">
            <v>GRMZM2G139874</v>
          </cell>
          <cell r="B2092" t="str">
            <v>GO:0004497GO:0020037GO:0009055</v>
          </cell>
        </row>
        <row r="2093">
          <cell r="A2093" t="str">
            <v>GRMZM2G141289</v>
          </cell>
          <cell r="B2093" t="str">
            <v>GO:0030060GO:0005975GO:0006108GO:0005488</v>
          </cell>
        </row>
        <row r="2094">
          <cell r="A2094" t="str">
            <v>GRMZM2G174396</v>
          </cell>
          <cell r="B2094" t="str">
            <v>GO:0003824GO:0005992</v>
          </cell>
        </row>
        <row r="2095">
          <cell r="A2095" t="str">
            <v>GRMZM2G179147</v>
          </cell>
          <cell r="B2095" t="str">
            <v>GO:0004497GO:0020037GO:0009055</v>
          </cell>
        </row>
        <row r="2096">
          <cell r="A2096" t="str">
            <v>GRMZM2G099491</v>
          </cell>
          <cell r="B2096" t="str">
            <v>GO:0005515</v>
          </cell>
        </row>
        <row r="2097">
          <cell r="A2097" t="str">
            <v>GRMZM2G100288</v>
          </cell>
          <cell r="B2097" t="str">
            <v>GO:0004674GO:0006468GO:0004713GO:0005524</v>
          </cell>
        </row>
        <row r="2098">
          <cell r="A2098" t="str">
            <v>GRMZM2G451314</v>
          </cell>
          <cell r="B2098" t="str">
            <v>GO:0016831GO:0019752GO:0050825GO:0030170GO:0042309GO:0050826</v>
          </cell>
        </row>
        <row r="2099">
          <cell r="A2099" t="str">
            <v>GRMZM2G173387</v>
          </cell>
          <cell r="B2099" t="str">
            <v>GO:0006813GO:0016020GO:0015079</v>
          </cell>
        </row>
        <row r="2100">
          <cell r="A2100" t="str">
            <v>GRMZM2G150893</v>
          </cell>
          <cell r="B2100" t="str">
            <v>GO:0004601GO:0006979GO:0020037GO:0009055</v>
          </cell>
        </row>
        <row r="2101">
          <cell r="A2101" t="str">
            <v>GRMZM2G167428</v>
          </cell>
          <cell r="B2101" t="str">
            <v>GO:0050825GO:0042309GO:0050826</v>
          </cell>
        </row>
        <row r="2102">
          <cell r="A2102" t="str">
            <v>GRMZM2G172491</v>
          </cell>
          <cell r="B2102" t="str">
            <v>GO:0004497GO:0020037GO:0009055</v>
          </cell>
        </row>
        <row r="2103">
          <cell r="A2103" t="str">
            <v>GRMZM2G092427</v>
          </cell>
          <cell r="B2103" t="str">
            <v>GO:0016020GO:0009765</v>
          </cell>
        </row>
        <row r="2104">
          <cell r="A2104" t="str">
            <v>GRMZM2G047404</v>
          </cell>
          <cell r="B2104" t="str">
            <v>GO:0005215GO:0016021GO:0006810</v>
          </cell>
        </row>
        <row r="2105">
          <cell r="A2105" t="str">
            <v>GRMZM2G119720</v>
          </cell>
          <cell r="B2105" t="str">
            <v>GO:0016787</v>
          </cell>
        </row>
        <row r="2106">
          <cell r="A2106" t="str">
            <v>GRMZM2G054247</v>
          </cell>
          <cell r="B2106" t="str">
            <v>GO:0030071GO:0005515GO:0005680</v>
          </cell>
        </row>
        <row r="2107">
          <cell r="A2107" t="str">
            <v>GRMZM2G044194</v>
          </cell>
          <cell r="B2107" t="str">
            <v>GO:0008083GO:0008283GO:0005576GO:0050825GO:0042309GO:0050826</v>
          </cell>
        </row>
        <row r="2108">
          <cell r="A2108" t="str">
            <v>AC206642.4_FG001</v>
          </cell>
          <cell r="B2108" t="str">
            <v>GO:0003735GO:0006412GO:0005840</v>
          </cell>
        </row>
        <row r="2109">
          <cell r="A2109" t="str">
            <v>GRMZM2G077356</v>
          </cell>
          <cell r="B2109" t="str">
            <v>GO:0005634GO:0045449</v>
          </cell>
        </row>
        <row r="2110">
          <cell r="A2110" t="str">
            <v>GRMZM2G148099</v>
          </cell>
          <cell r="B2110" t="str">
            <v>GO:0050825GO:0042309GO:0050826</v>
          </cell>
        </row>
        <row r="2111">
          <cell r="A2111" t="str">
            <v>GRMZM2G081782</v>
          </cell>
          <cell r="B2111" t="str">
            <v>GO:0008270GO:0005622</v>
          </cell>
        </row>
        <row r="2112">
          <cell r="A2112" t="str">
            <v>GRMZM2G148090</v>
          </cell>
          <cell r="B2112" t="str">
            <v>GO:0008270GO:0003676</v>
          </cell>
        </row>
        <row r="2113">
          <cell r="A2113" t="str">
            <v>GRMZM2G105189</v>
          </cell>
          <cell r="B2113" t="str">
            <v>GO:0006629GO:0016788</v>
          </cell>
        </row>
        <row r="2114">
          <cell r="A2114" t="str">
            <v>GRMZM2G059740</v>
          </cell>
          <cell r="B2114" t="str">
            <v>GO:0004674GO:0006468GO:0004713GO:0005524</v>
          </cell>
        </row>
        <row r="2115">
          <cell r="A2115" t="str">
            <v>GRMZM2G462613</v>
          </cell>
          <cell r="B2115" t="str">
            <v>GO:0009058GO:0046524GO:0005985</v>
          </cell>
        </row>
        <row r="2116">
          <cell r="A2116" t="str">
            <v>GRMZM2G058479</v>
          </cell>
          <cell r="B2116" t="str">
            <v>GO:0003700GO:0006355GO:0005634GO:0008270GO:0043565</v>
          </cell>
        </row>
        <row r="2117">
          <cell r="A2117" t="str">
            <v>GRMZM2G303915</v>
          </cell>
          <cell r="B2117" t="str">
            <v>GO:0003676</v>
          </cell>
        </row>
        <row r="2118">
          <cell r="A2118" t="str">
            <v>GRMZM2G086897</v>
          </cell>
          <cell r="B2118" t="str">
            <v>GO:0050825GO:0042309GO:0050826</v>
          </cell>
        </row>
        <row r="2119">
          <cell r="A2119" t="str">
            <v>GRMZM2G449033</v>
          </cell>
          <cell r="B2119" t="str">
            <v>GO:0005737GO:0016021GO:0003865GO:0008202</v>
          </cell>
        </row>
        <row r="2120">
          <cell r="A2120" t="str">
            <v>GRMZM2G040968</v>
          </cell>
          <cell r="B2120" t="str">
            <v>GO:0016310GO:0016301GO:0005524</v>
          </cell>
        </row>
        <row r="2121">
          <cell r="A2121" t="str">
            <v>GRMZM2G144420</v>
          </cell>
          <cell r="B2121" t="str">
            <v>GO:0004008GO:0016020GO:0006816GO:0006825GO:0005388GO:0006754GO:0005524</v>
          </cell>
        </row>
        <row r="2122">
          <cell r="A2122" t="str">
            <v>GRMZM2G132367</v>
          </cell>
          <cell r="B2122" t="str">
            <v>GO:0003700GO:0006355GO:0005634GO:0043565</v>
          </cell>
        </row>
        <row r="2123">
          <cell r="A2123" t="str">
            <v>GRMZM2G061099</v>
          </cell>
          <cell r="B2123" t="str">
            <v>GO:0008202</v>
          </cell>
        </row>
        <row r="2124">
          <cell r="A2124" t="str">
            <v>GRMZM2G042865</v>
          </cell>
          <cell r="B2124" t="str">
            <v>GO:0016758GO:0008152</v>
          </cell>
        </row>
        <row r="2125">
          <cell r="A2125" t="str">
            <v>GRMZM2G057789</v>
          </cell>
          <cell r="B2125" t="str">
            <v>GO:0008270GO:0005515</v>
          </cell>
        </row>
        <row r="2126">
          <cell r="A2126" t="str">
            <v>GRMZM2G426415</v>
          </cell>
          <cell r="B2126" t="str">
            <v>GO:0016758GO:0008152</v>
          </cell>
        </row>
        <row r="2127">
          <cell r="A2127" t="str">
            <v>AC196475.3_FG004</v>
          </cell>
          <cell r="B2127" t="str">
            <v>GO:0046983GO:0008171</v>
          </cell>
        </row>
        <row r="2128">
          <cell r="A2128" t="str">
            <v>GRMZM2G038365</v>
          </cell>
          <cell r="B2128" t="str">
            <v>GO:0008121GO:0051537GO:0009496GO:0042651GO:0055114GO:0009055</v>
          </cell>
        </row>
        <row r="2129">
          <cell r="A2129" t="str">
            <v>GRMZM2G086788</v>
          </cell>
          <cell r="B2129" t="str">
            <v>GO:0003735GO:0006412GO:0005840</v>
          </cell>
        </row>
        <row r="2130">
          <cell r="A2130" t="str">
            <v>GRMZM2G113512</v>
          </cell>
          <cell r="B2130" t="str">
            <v>GO:0004674GO:0006468GO:0004713GO:0005524</v>
          </cell>
        </row>
        <row r="2131">
          <cell r="A2131" t="str">
            <v>GRMZM2G065557</v>
          </cell>
          <cell r="B2131" t="str">
            <v>GO:0008289GO:0006869</v>
          </cell>
        </row>
        <row r="2132">
          <cell r="A2132" t="str">
            <v>GRMZM2G012758</v>
          </cell>
          <cell r="B2132" t="str">
            <v>GO:0005975GO:0004553</v>
          </cell>
        </row>
        <row r="2133">
          <cell r="A2133" t="str">
            <v>GRMZM2G034855</v>
          </cell>
          <cell r="B2133" t="str">
            <v>GO:0004674GO:0006468GO:0004713GO:0005524</v>
          </cell>
        </row>
        <row r="2134">
          <cell r="A2134" t="str">
            <v>GRMZM2G133943</v>
          </cell>
          <cell r="B2134" t="str">
            <v>GO:0003824GO:0008152</v>
          </cell>
        </row>
        <row r="2135">
          <cell r="A2135" t="str">
            <v>GRMZM2G089698</v>
          </cell>
          <cell r="B2135" t="str">
            <v>GO:0016747</v>
          </cell>
        </row>
        <row r="2136">
          <cell r="A2136" t="str">
            <v>GRMZM2G133781</v>
          </cell>
          <cell r="B2136" t="str">
            <v>GO:0005975GO:0004553</v>
          </cell>
        </row>
        <row r="2137">
          <cell r="A2137" t="str">
            <v>GRMZM2G000632</v>
          </cell>
          <cell r="B2137" t="str">
            <v>GO:0050662GO:0006813GO:0008324GO:0006012GO:0006694GO:0003854GO:0003978</v>
          </cell>
        </row>
        <row r="2138">
          <cell r="A2138" t="str">
            <v>GRMZM2G094123</v>
          </cell>
          <cell r="B2138" t="str">
            <v>GO:0004812GO:0006412GO:0005524</v>
          </cell>
        </row>
        <row r="2139">
          <cell r="A2139" t="str">
            <v>GRMZM2G112912</v>
          </cell>
          <cell r="B2139" t="str">
            <v>GO:0006334GO:0003677GO:0005634GO:0000786</v>
          </cell>
        </row>
        <row r="2140">
          <cell r="A2140" t="str">
            <v>GRMZM2G338259</v>
          </cell>
          <cell r="B2140" t="str">
            <v>GO:0006355GO:0005634GO:0003677GO:0009725</v>
          </cell>
        </row>
        <row r="2141">
          <cell r="A2141" t="str">
            <v>GRMZM2G089506</v>
          </cell>
          <cell r="B2141" t="str">
            <v>GO:0006508GO:0004190</v>
          </cell>
        </row>
        <row r="2142">
          <cell r="A2142" t="str">
            <v>GRMZM2G114775</v>
          </cell>
          <cell r="B2142" t="str">
            <v>GO:0043565GO:0006265GO:0003700GO:0005634GO:0006355GO:0008270GO:0005694GO:0003918GO:0005524</v>
          </cell>
        </row>
        <row r="2143">
          <cell r="A2143" t="str">
            <v>GRMZM2G362413</v>
          </cell>
          <cell r="B2143" t="str">
            <v>GO:0009058GO:0008908</v>
          </cell>
        </row>
        <row r="2144">
          <cell r="A2144" t="str">
            <v>GRMZM2G336824</v>
          </cell>
          <cell r="B2144" t="str">
            <v>GO:0046983GO:0008171</v>
          </cell>
        </row>
        <row r="2145">
          <cell r="A2145" t="str">
            <v>GRMZM2G098890</v>
          </cell>
          <cell r="B2145" t="str">
            <v>GO:0016758GO:0008152</v>
          </cell>
        </row>
        <row r="2146">
          <cell r="A2146" t="str">
            <v>GRMZM2G408038</v>
          </cell>
          <cell r="B2146" t="str">
            <v>GO:0006508GO:0004185GO:0004177</v>
          </cell>
        </row>
        <row r="2147">
          <cell r="A2147" t="str">
            <v>GRMZM2G129540</v>
          </cell>
          <cell r="B2147" t="str">
            <v>GO:0016787</v>
          </cell>
        </row>
        <row r="2148">
          <cell r="A2148" t="str">
            <v>GRMZM2G001696</v>
          </cell>
          <cell r="B2148" t="str">
            <v>GO:0004612GO:0005524GO:0006094</v>
          </cell>
        </row>
        <row r="2149">
          <cell r="A2149" t="str">
            <v>GRMZM2G339122</v>
          </cell>
          <cell r="B2149" t="str">
            <v>GO:0009306GO:0009664GO:0015450GO:0005576GO:0016021</v>
          </cell>
        </row>
        <row r="2150">
          <cell r="A2150" t="str">
            <v>GRMZM2G095611</v>
          </cell>
          <cell r="B2150" t="str">
            <v>GO:0005215GO:0016020GO:0006810</v>
          </cell>
        </row>
        <row r="2151">
          <cell r="A2151" t="str">
            <v>GRMZM2G450125</v>
          </cell>
          <cell r="B2151" t="str">
            <v>GO:0016161GO:0050825GO:0050826GO:0042309GO:0000272</v>
          </cell>
        </row>
        <row r="2152">
          <cell r="A2152" t="str">
            <v>GRMZM2G450498</v>
          </cell>
          <cell r="B2152" t="str">
            <v>GO:0006520GO:0030170</v>
          </cell>
        </row>
        <row r="2153">
          <cell r="A2153" t="str">
            <v>GRMZM2G006363</v>
          </cell>
          <cell r="B2153" t="str">
            <v>GO:0003700GO:0006355GO:0005200GO:0043565</v>
          </cell>
        </row>
        <row r="2154">
          <cell r="A2154" t="str">
            <v>GRMZM2G075117</v>
          </cell>
          <cell r="B2154" t="str">
            <v>GO:0005634GO:0050825GO:0042309GO:0050826GO:0004994GO:0007186GO:0016021</v>
          </cell>
        </row>
        <row r="2155">
          <cell r="A2155" t="str">
            <v>GRMZM2G163141</v>
          </cell>
          <cell r="B2155" t="str">
            <v>GO:0006468GO:0006522GO:0008784GO:0004674GO:0004713GO:0005524</v>
          </cell>
        </row>
        <row r="2156">
          <cell r="A2156" t="str">
            <v>GRMZM2G044317</v>
          </cell>
          <cell r="B2156" t="str">
            <v>GO:0005658GO:0006269GO:0003896</v>
          </cell>
        </row>
        <row r="2157">
          <cell r="A2157" t="str">
            <v>GRMZM2G391936</v>
          </cell>
          <cell r="B2157" t="str">
            <v>GO:0005978GO:0008878</v>
          </cell>
        </row>
        <row r="2158">
          <cell r="A2158" t="str">
            <v>GRMZM2G013530</v>
          </cell>
          <cell r="B2158" t="str">
            <v>GO:0016747</v>
          </cell>
        </row>
        <row r="2159">
          <cell r="A2159" t="str">
            <v>GRMZM2G109448</v>
          </cell>
          <cell r="B2159" t="str">
            <v>GO:0006334GO:0003677GO:0005634GO:0000786</v>
          </cell>
        </row>
        <row r="2160">
          <cell r="A2160" t="str">
            <v>GRMZM2G138450</v>
          </cell>
          <cell r="B2160" t="str">
            <v>GO:0004601GO:0006979GO:0020037GO:0009055</v>
          </cell>
        </row>
        <row r="2161">
          <cell r="A2161" t="str">
            <v>GRMZM2G153208</v>
          </cell>
          <cell r="B2161" t="str">
            <v>GO:0008962GO:0006629GO:0045735</v>
          </cell>
        </row>
        <row r="2162">
          <cell r="A2162" t="str">
            <v>GRMZM2G036290</v>
          </cell>
          <cell r="B2162" t="str">
            <v>GO:0008299GO:0046872GO:0030604</v>
          </cell>
        </row>
        <row r="2163">
          <cell r="A2163" t="str">
            <v>GRMZM2G138455</v>
          </cell>
          <cell r="B2163" t="str">
            <v>GO:0045449GO:0008270GO:0003677</v>
          </cell>
        </row>
        <row r="2164">
          <cell r="A2164" t="str">
            <v>AC233893.1_FG003</v>
          </cell>
          <cell r="B2164" t="str">
            <v>GO:0006633GO:0016020GO:0008415</v>
          </cell>
        </row>
        <row r="2165">
          <cell r="A2165" t="str">
            <v>GRMZM2G164405</v>
          </cell>
          <cell r="B2165" t="str">
            <v>GO:0016847GO:0009058GO:0030170GO:0016769</v>
          </cell>
        </row>
        <row r="2166">
          <cell r="A2166" t="str">
            <v>GRMZM2G014560</v>
          </cell>
          <cell r="B2166" t="str">
            <v>GO:0004674GO:0006468GO:0004713GO:0005524</v>
          </cell>
        </row>
        <row r="2167">
          <cell r="A2167" t="str">
            <v>GRMZM2G424832</v>
          </cell>
          <cell r="B2167" t="str">
            <v>GO:0016020GO:0016760GO:0008270GO:0005515GO:0030244</v>
          </cell>
        </row>
        <row r="2168">
          <cell r="A2168" t="str">
            <v>AC235547.1_FG005</v>
          </cell>
          <cell r="B2168" t="str">
            <v>GO:0004674GO:0006468GO:0005524GO:0005515GO:0004713</v>
          </cell>
        </row>
        <row r="2169">
          <cell r="A2169" t="str">
            <v>GRMZM2G090718</v>
          </cell>
          <cell r="B2169" t="str">
            <v>GO:0005737GO:0006796GO:0000287GO:0004427</v>
          </cell>
        </row>
        <row r="2170">
          <cell r="A2170" t="str">
            <v>GRMZM2G071288</v>
          </cell>
          <cell r="B2170" t="str">
            <v>GO:0016021</v>
          </cell>
        </row>
        <row r="2171">
          <cell r="A2171" t="str">
            <v>GRMZM2G103628</v>
          </cell>
          <cell r="B2171" t="str">
            <v>GO:0016020GO:0015018</v>
          </cell>
        </row>
        <row r="2172">
          <cell r="A2172" t="str">
            <v>GRMZM2G080079</v>
          </cell>
          <cell r="B2172" t="str">
            <v>GO:0005247GO:0006821GO:0016020GO:0008270GO:0005515</v>
          </cell>
        </row>
        <row r="2173">
          <cell r="A2173" t="str">
            <v>GRMZM2G181194</v>
          </cell>
          <cell r="B2173" t="str">
            <v>GO:0003723GO:0006396</v>
          </cell>
        </row>
        <row r="2174">
          <cell r="A2174" t="str">
            <v>GRMZM2G081812</v>
          </cell>
          <cell r="B2174" t="str">
            <v>GO:0008270GO:0005622</v>
          </cell>
        </row>
        <row r="2175">
          <cell r="A2175" t="str">
            <v>GRMZM2G438007</v>
          </cell>
          <cell r="B2175" t="str">
            <v>GO:0004674GO:0006468GO:0005524GO:0005515GO:0004713</v>
          </cell>
        </row>
        <row r="2176">
          <cell r="A2176" t="str">
            <v>GRMZM2G081816</v>
          </cell>
          <cell r="B2176" t="str">
            <v>GO:0005634GO:0045449GO:0030528</v>
          </cell>
        </row>
        <row r="2177">
          <cell r="A2177" t="str">
            <v>GRMZM2G051683</v>
          </cell>
          <cell r="B2177" t="str">
            <v>GO:0016758GO:0008152</v>
          </cell>
        </row>
        <row r="2178">
          <cell r="A2178" t="str">
            <v>GRMZM2G163561</v>
          </cell>
          <cell r="B2178" t="str">
            <v>GO:0003735GO:0006412GO:0015935</v>
          </cell>
        </row>
        <row r="2179">
          <cell r="A2179" t="str">
            <v>GRMZM2G000812</v>
          </cell>
          <cell r="B2179" t="str">
            <v>GO:0015904GO:0016021GO:0015520GO:0046677</v>
          </cell>
        </row>
        <row r="2180">
          <cell r="A2180" t="str">
            <v>GRMZM2G074898</v>
          </cell>
          <cell r="B2180" t="str">
            <v>GO:0003735GO:0006412GO:0005840</v>
          </cell>
        </row>
        <row r="2181">
          <cell r="A2181" t="str">
            <v>AC148152.3_FG008</v>
          </cell>
          <cell r="B2181" t="str">
            <v>GO:0005975GO:0004553</v>
          </cell>
        </row>
        <row r="2182">
          <cell r="A2182" t="str">
            <v>GRMZM2G074896</v>
          </cell>
          <cell r="B2182" t="str">
            <v>GO:0016757</v>
          </cell>
        </row>
        <row r="2183">
          <cell r="A2183" t="str">
            <v>GRMZM2G043056</v>
          </cell>
          <cell r="B2183" t="str">
            <v>GO:0032312GO:0008060GO:0008270</v>
          </cell>
        </row>
        <row r="2184">
          <cell r="A2184" t="str">
            <v>GRMZM2G111711</v>
          </cell>
          <cell r="B2184" t="str">
            <v>GO:0003700GO:0043565GO:0005634GO:0045449</v>
          </cell>
        </row>
        <row r="2185">
          <cell r="A2185" t="str">
            <v>GRMZM2G424577</v>
          </cell>
          <cell r="B2185" t="str">
            <v>GO:0006508GO:0004177</v>
          </cell>
        </row>
        <row r="2186">
          <cell r="A2186" t="str">
            <v>GRMZM2G131334</v>
          </cell>
          <cell r="B2186" t="str">
            <v>GO:0004707GO:0006468GO:0004713GO:0005524</v>
          </cell>
        </row>
        <row r="2187">
          <cell r="A2187" t="str">
            <v>GRMZM2G131443</v>
          </cell>
          <cell r="B2187" t="str">
            <v>GO:0003677GO:0008152GO:0016491</v>
          </cell>
        </row>
        <row r="2188">
          <cell r="A2188" t="str">
            <v>GRMZM2G464244</v>
          </cell>
          <cell r="B2188" t="str">
            <v>GO:0005737GO:0004812GO:0005524GO:0006418</v>
          </cell>
        </row>
        <row r="2189">
          <cell r="A2189" t="str">
            <v>GRMZM2G337242</v>
          </cell>
          <cell r="B2189" t="str">
            <v>GO:0004559GO:0005975GO:0008270GO:0030246</v>
          </cell>
        </row>
        <row r="2190">
          <cell r="A2190" t="str">
            <v>GRMZM2G164088</v>
          </cell>
          <cell r="B2190" t="str">
            <v>GO:0003676</v>
          </cell>
        </row>
        <row r="2191">
          <cell r="A2191" t="str">
            <v>GRMZM2G038973</v>
          </cell>
          <cell r="B2191" t="str">
            <v>GO:0006013GO:0015923GO:0030246</v>
          </cell>
        </row>
        <row r="2192">
          <cell r="A2192" t="str">
            <v>GRMZM2G013398</v>
          </cell>
          <cell r="B2192" t="str">
            <v>GO:0008270GO:0005622</v>
          </cell>
        </row>
        <row r="2193">
          <cell r="A2193" t="str">
            <v>GRMZM2G171139</v>
          </cell>
          <cell r="B2193" t="str">
            <v>GO:0004497GO:0020037GO:0009055</v>
          </cell>
        </row>
        <row r="2194">
          <cell r="A2194" t="str">
            <v>GRMZM2G083788</v>
          </cell>
          <cell r="B2194" t="str">
            <v>GO:0005215GO:0016020GO:0006810</v>
          </cell>
        </row>
        <row r="2195">
          <cell r="A2195" t="str">
            <v>GRMZM2G352132</v>
          </cell>
          <cell r="B2195" t="str">
            <v>GO:0005249GO:0006813GO:0016021GO:0050825GO:0042309GO:0050826GO:0005783</v>
          </cell>
        </row>
        <row r="2196">
          <cell r="A2196" t="str">
            <v>GRMZM2G016150</v>
          </cell>
          <cell r="B2196" t="str">
            <v>GO:0003700GO:0006355GO:0046983GO:0005634GO:0043565</v>
          </cell>
        </row>
        <row r="2197">
          <cell r="A2197" t="str">
            <v>GRMZM2G116902</v>
          </cell>
          <cell r="B2197" t="str">
            <v>GO:0004601GO:0006979GO:0020037GO:0009055</v>
          </cell>
        </row>
        <row r="2198">
          <cell r="A2198" t="str">
            <v>AC210013.4_FG019</v>
          </cell>
          <cell r="B2198" t="str">
            <v>GO:0003735GO:0015935GO:0006412GO:0003723</v>
          </cell>
        </row>
        <row r="2199">
          <cell r="A2199" t="str">
            <v>GRMZM2G390967</v>
          </cell>
          <cell r="B2199" t="str">
            <v>GO:0003824</v>
          </cell>
        </row>
        <row r="2200">
          <cell r="A2200" t="str">
            <v>GRMZM2G448925</v>
          </cell>
          <cell r="B2200" t="str">
            <v>GO:0016021GO:0007186</v>
          </cell>
        </row>
        <row r="2201">
          <cell r="A2201" t="str">
            <v>GRMZM2G165208</v>
          </cell>
          <cell r="B2201" t="str">
            <v>GO:0003735GO:0006412GO:0005840</v>
          </cell>
        </row>
        <row r="2202">
          <cell r="A2202" t="str">
            <v>GRMZM2G150448</v>
          </cell>
          <cell r="B2202" t="str">
            <v>GO:0006468GO:0020037GO:0006979GO:0004674GO:0004713GO:0005515GO:0004601GO:0005524</v>
          </cell>
        </row>
        <row r="2203">
          <cell r="A2203" t="str">
            <v>GRMZM2G165757</v>
          </cell>
          <cell r="B2203" t="str">
            <v>GO:0016887GO:0016020GO:0031177GO:0005524</v>
          </cell>
        </row>
        <row r="2204">
          <cell r="A2204" t="str">
            <v>GRMZM2G358009</v>
          </cell>
          <cell r="B2204" t="str">
            <v>GO:0006662GO:0015035GO:0045454GO:0009055</v>
          </cell>
        </row>
        <row r="2205">
          <cell r="A2205" t="str">
            <v>GRMZM2G072808</v>
          </cell>
          <cell r="B2205" t="str">
            <v>GO:0048046GO:0005507GO:0046274GO:0008471GO:0055114</v>
          </cell>
        </row>
        <row r="2206">
          <cell r="A2206" t="str">
            <v>GRMZM2G012926</v>
          </cell>
          <cell r="B2206" t="str">
            <v>GO:0031177</v>
          </cell>
        </row>
        <row r="2207">
          <cell r="A2207" t="str">
            <v>GRMZM2G179301</v>
          </cell>
          <cell r="B2207" t="str">
            <v>GO:0016787</v>
          </cell>
        </row>
        <row r="2208">
          <cell r="A2208" t="str">
            <v>GRMZM2G152552</v>
          </cell>
          <cell r="B2208" t="str">
            <v>GO:0003735GO:0006412GO:0005840</v>
          </cell>
        </row>
        <row r="2209">
          <cell r="A2209" t="str">
            <v>GRMZM2G471733</v>
          </cell>
          <cell r="B2209" t="str">
            <v>GO:0016567GO:0004842GO:0000151GO:0005488</v>
          </cell>
        </row>
        <row r="2210">
          <cell r="A2210" t="str">
            <v>GRMZM2G083526</v>
          </cell>
          <cell r="B2210" t="str">
            <v>GO:0006633GO:0005506GO:0005783GO:0055114GO:0016491</v>
          </cell>
        </row>
        <row r="2211">
          <cell r="A2211" t="str">
            <v>GRMZM2G001514</v>
          </cell>
          <cell r="B2211" t="str">
            <v>GO:0006355GO:0005634GO:0004879GO:0003677</v>
          </cell>
        </row>
        <row r="2212">
          <cell r="A2212" t="str">
            <v>GRMZM2G399320</v>
          </cell>
          <cell r="B2212" t="str">
            <v>GO:0005634GO:0042254</v>
          </cell>
        </row>
        <row r="2213">
          <cell r="A2213" t="str">
            <v>AC210669.3_FG001</v>
          </cell>
          <cell r="B2213" t="str">
            <v>GO:0005618GO:0048046GO:0016762GO:0006073GO:0004553</v>
          </cell>
        </row>
        <row r="2214">
          <cell r="A2214" t="str">
            <v>GRMZM2G099003</v>
          </cell>
          <cell r="B2214" t="str">
            <v>GO:0006950</v>
          </cell>
        </row>
        <row r="2215">
          <cell r="A2215" t="str">
            <v>GRMZM2G099002</v>
          </cell>
          <cell r="B2215" t="str">
            <v>GO:0006468GO:0005964GO:0005978GO:0004689GO:0004713GO:0005516GO:0005524GO:0007165</v>
          </cell>
        </row>
        <row r="2216">
          <cell r="A2216" t="str">
            <v>GRMZM2G439195</v>
          </cell>
          <cell r="B2216" t="str">
            <v>GO:0005727GO:0004519GO:0030410GO:0009405GO:0003676GO:0030418</v>
          </cell>
        </row>
        <row r="2217">
          <cell r="A2217" t="str">
            <v>GRMZM2G174896</v>
          </cell>
          <cell r="B2217" t="str">
            <v>GO:0004674GO:0006468GO:0004713GO:0005524GO:0007165</v>
          </cell>
        </row>
        <row r="2218">
          <cell r="A2218" t="str">
            <v>GRMZM2G422644</v>
          </cell>
          <cell r="B2218" t="str">
            <v>GO:0008270GO:0005622</v>
          </cell>
        </row>
        <row r="2219">
          <cell r="A2219" t="str">
            <v>GRMZM2G366077</v>
          </cell>
          <cell r="B2219" t="str">
            <v>GO:0003735GO:0006412GO:0005840</v>
          </cell>
        </row>
        <row r="2220">
          <cell r="A2220" t="str">
            <v>GRMZM2G130953</v>
          </cell>
          <cell r="B2220" t="str">
            <v>GO:0005634GO:0045449</v>
          </cell>
        </row>
        <row r="2221">
          <cell r="A2221" t="str">
            <v>GRMZM2G005260</v>
          </cell>
          <cell r="B2221" t="str">
            <v>GO:0008168GO:0008152</v>
          </cell>
        </row>
        <row r="2222">
          <cell r="A2222" t="str">
            <v>GRMZM2G480106</v>
          </cell>
          <cell r="B2222" t="str">
            <v>GO:0008270GO:0005515</v>
          </cell>
        </row>
        <row r="2223">
          <cell r="A2223" t="str">
            <v>GRMZM2G087570</v>
          </cell>
          <cell r="B2223" t="str">
            <v>GO:0003755</v>
          </cell>
        </row>
        <row r="2224">
          <cell r="A2224" t="str">
            <v>GRMZM2G301089</v>
          </cell>
          <cell r="B2224" t="str">
            <v>GO:0005634GO:0045449GO:0030528</v>
          </cell>
        </row>
        <row r="2225">
          <cell r="A2225" t="str">
            <v>GRMZM2G447785</v>
          </cell>
          <cell r="B2225" t="str">
            <v>GO:0005576GO:0004867</v>
          </cell>
        </row>
        <row r="2226">
          <cell r="A2226" t="str">
            <v>GRMZM2G005040</v>
          </cell>
          <cell r="B2226" t="str">
            <v>GO:0006813GO:0016020GO:0015079</v>
          </cell>
        </row>
        <row r="2227">
          <cell r="A2227" t="str">
            <v>GRMZM2G139467</v>
          </cell>
          <cell r="B2227" t="str">
            <v>GO:0004497GO:0020037GO:0009055</v>
          </cell>
        </row>
        <row r="2228">
          <cell r="A2228" t="str">
            <v>GRMZM2G107491</v>
          </cell>
          <cell r="B2228" t="str">
            <v>GO:0005634GO:0001539GO:0008270GO:0009288GO:0003774GO:0003723</v>
          </cell>
        </row>
        <row r="2229">
          <cell r="A2229" t="str">
            <v>GRMZM2G516301</v>
          </cell>
          <cell r="B2229" t="str">
            <v>GO:0003700GO:0043565GO:0005634GO:0045449</v>
          </cell>
        </row>
        <row r="2230">
          <cell r="A2230" t="str">
            <v>GRMZM2G052650</v>
          </cell>
          <cell r="B2230" t="str">
            <v>GO:0004674GO:0006468GO:0004713GO:0005524</v>
          </cell>
        </row>
        <row r="2231">
          <cell r="A2231" t="str">
            <v>GRMZM2G030915</v>
          </cell>
          <cell r="B2231" t="str">
            <v>GO:0003735GO:0006412GO:0005840</v>
          </cell>
        </row>
        <row r="2232">
          <cell r="A2232" t="str">
            <v>GRMZM2G111208</v>
          </cell>
          <cell r="B2232" t="str">
            <v>GO:0046488GO:0008270GO:0016307</v>
          </cell>
        </row>
        <row r="2233">
          <cell r="A2233" t="str">
            <v>GRMZM2G052658</v>
          </cell>
          <cell r="B2233" t="str">
            <v>GO:0004674GO:0006468GO:0004713GO:0005524</v>
          </cell>
        </row>
        <row r="2234">
          <cell r="A2234" t="str">
            <v>GRMZM2G146152</v>
          </cell>
          <cell r="B2234" t="str">
            <v>GO:0046274GO:0016020GO:0048046GO:0006835GO:0008471GO:0005507GO:0017153GO:0055114</v>
          </cell>
        </row>
        <row r="2235">
          <cell r="A2235" t="str">
            <v>GRMZM2G479340</v>
          </cell>
          <cell r="B2235" t="str">
            <v>GO:0050662GO:0015662GO:0016020GO:0006754GO:0005524</v>
          </cell>
        </row>
        <row r="2236">
          <cell r="A2236" t="str">
            <v>GRMZM2G006791</v>
          </cell>
          <cell r="B2236" t="str">
            <v>GO:0004601GO:0006979GO:0020037GO:0009055</v>
          </cell>
        </row>
        <row r="2237">
          <cell r="A2237" t="str">
            <v>GRMZM2G088819</v>
          </cell>
          <cell r="B2237" t="str">
            <v>GO:0005509</v>
          </cell>
        </row>
        <row r="2238">
          <cell r="A2238" t="str">
            <v>GRMZM2G074099</v>
          </cell>
          <cell r="B2238" t="str">
            <v>GO:0016020GO:0008508GO:0006814</v>
          </cell>
        </row>
        <row r="2239">
          <cell r="A2239" t="str">
            <v>GRMZM2G122843</v>
          </cell>
          <cell r="B2239" t="str">
            <v>GO:0006508GO:0016021GO:0008233GO:0006465</v>
          </cell>
        </row>
        <row r="2240">
          <cell r="A2240" t="str">
            <v>GRMZM2G152179</v>
          </cell>
          <cell r="B2240" t="str">
            <v>GO:0008146</v>
          </cell>
        </row>
        <row r="2241">
          <cell r="A2241" t="str">
            <v>GRMZM2G074252</v>
          </cell>
          <cell r="B2241" t="str">
            <v>GO:0031072GO:0006457GO:0051082</v>
          </cell>
        </row>
        <row r="2242">
          <cell r="A2242" t="str">
            <v>GRMZM2G139512</v>
          </cell>
          <cell r="B2242" t="str">
            <v>GO:0008270GO:0055114GO:0016491</v>
          </cell>
        </row>
        <row r="2243">
          <cell r="A2243" t="str">
            <v>GRMZM2G344634</v>
          </cell>
          <cell r="B2243" t="str">
            <v>GO:0000062</v>
          </cell>
        </row>
        <row r="2244">
          <cell r="A2244" t="str">
            <v>GRMZM2G311036</v>
          </cell>
          <cell r="B2244" t="str">
            <v>GO:0046983GO:0008171</v>
          </cell>
        </row>
        <row r="2245">
          <cell r="A2245" t="str">
            <v>AC206788.3_FG015</v>
          </cell>
          <cell r="B2245" t="str">
            <v>GO:0016758GO:0042773GO:0008137</v>
          </cell>
        </row>
        <row r="2246">
          <cell r="A2246" t="str">
            <v>GRMZM2G304212</v>
          </cell>
          <cell r="B2246" t="str">
            <v>GO:0006813GO:0016020GO:0005242</v>
          </cell>
        </row>
        <row r="2247">
          <cell r="A2247" t="str">
            <v>GRMZM2G025855</v>
          </cell>
          <cell r="B2247" t="str">
            <v>GO:0003735GO:0015935GO:0006412GO:0003723</v>
          </cell>
        </row>
        <row r="2248">
          <cell r="A2248" t="str">
            <v>GRMZM2G025854</v>
          </cell>
          <cell r="B2248" t="str">
            <v>GO:0000287GO:0005975GO:0016868</v>
          </cell>
        </row>
        <row r="2249">
          <cell r="A2249" t="str">
            <v>GRMZM2G120016</v>
          </cell>
          <cell r="B2249" t="str">
            <v>GO:0016758GO:0008152</v>
          </cell>
        </row>
        <row r="2250">
          <cell r="A2250" t="str">
            <v>GRMZM2G470422</v>
          </cell>
          <cell r="B2250" t="str">
            <v>GO:0008270GO:0005622</v>
          </cell>
        </row>
        <row r="2251">
          <cell r="A2251" t="str">
            <v>GRMZM2G352855</v>
          </cell>
          <cell r="B2251" t="str">
            <v>GO:0004607GO:0006629</v>
          </cell>
        </row>
        <row r="2252">
          <cell r="A2252" t="str">
            <v>GRMZM2G094712</v>
          </cell>
          <cell r="B2252" t="str">
            <v>GO:0008483GO:0009058GO:0006520GO:0030170</v>
          </cell>
        </row>
        <row r="2253">
          <cell r="A2253" t="str">
            <v>GRMZM2G457562</v>
          </cell>
          <cell r="B2253" t="str">
            <v>GO:0003700GO:0006355GO:0050825GO:0042309GO:0050826</v>
          </cell>
        </row>
        <row r="2254">
          <cell r="A2254" t="str">
            <v>GRMZM2G437912</v>
          </cell>
          <cell r="B2254" t="str">
            <v>GO:0004664GO:0009094</v>
          </cell>
        </row>
        <row r="2255">
          <cell r="A2255" t="str">
            <v>GRMZM2G156069</v>
          </cell>
          <cell r="B2255" t="str">
            <v>GO:0004222GO:0016021GO:0008270GO:0016887GO:0006508GO:0005524</v>
          </cell>
        </row>
        <row r="2256">
          <cell r="A2256" t="str">
            <v>GRMZM2G047434</v>
          </cell>
          <cell r="B2256" t="str">
            <v>GO:0006457GO:0051082</v>
          </cell>
        </row>
        <row r="2257">
          <cell r="A2257" t="str">
            <v>GRMZM2G148884</v>
          </cell>
          <cell r="B2257" t="str">
            <v>GO:0005507GO:0009055</v>
          </cell>
        </row>
        <row r="2258">
          <cell r="A2258" t="str">
            <v>GRMZM2G169149</v>
          </cell>
          <cell r="B2258" t="str">
            <v>GO:0003700GO:0043565GO:0005634GO:0045449</v>
          </cell>
        </row>
        <row r="2259">
          <cell r="A2259" t="str">
            <v>GRMZM2G162672</v>
          </cell>
          <cell r="B2259" t="str">
            <v>GO:0016021GO:0043787GO:0030494GO:0004659</v>
          </cell>
        </row>
        <row r="2260">
          <cell r="A2260" t="str">
            <v>GRMZM2G097283</v>
          </cell>
          <cell r="B2260" t="str">
            <v>GO:0016021GO:0004659</v>
          </cell>
        </row>
        <row r="2261">
          <cell r="A2261" t="str">
            <v>GRMZM2G168412</v>
          </cell>
          <cell r="B2261" t="str">
            <v>GO:0005737GO:0008173GO:0051536GO:0006364</v>
          </cell>
        </row>
        <row r="2262">
          <cell r="A2262" t="str">
            <v>GRMZM2G158034</v>
          </cell>
          <cell r="B2262" t="str">
            <v>GO:0003735GO:0006412GO:0005840</v>
          </cell>
        </row>
        <row r="2263">
          <cell r="A2263" t="str">
            <v>GRMZM2G137321</v>
          </cell>
          <cell r="B2263" t="str">
            <v>GO:0017111GO:0005524</v>
          </cell>
        </row>
        <row r="2264">
          <cell r="A2264" t="str">
            <v>GRMZM2G034061</v>
          </cell>
          <cell r="B2264" t="str">
            <v>GO:0022891GO:0016021GO:0055085</v>
          </cell>
        </row>
        <row r="2265">
          <cell r="A2265" t="str">
            <v>GRMZM2G108615</v>
          </cell>
          <cell r="B2265" t="str">
            <v>GO:0005737GO:0006813GO:0051260GO:0008076GO:0005249GO:0005525</v>
          </cell>
        </row>
        <row r="2266">
          <cell r="A2266" t="str">
            <v>GRMZM2G172826</v>
          </cell>
          <cell r="B2266" t="str">
            <v>GO:0004497GO:0020037GO:0050825GO:0042309GO:0050826GO:0009055</v>
          </cell>
        </row>
        <row r="2267">
          <cell r="A2267" t="str">
            <v>GRMZM2G172829</v>
          </cell>
          <cell r="B2267" t="str">
            <v>GO:0015031GO:0016887GO:0005524GO:0005515</v>
          </cell>
        </row>
        <row r="2268">
          <cell r="A2268" t="str">
            <v>GRMZM2G149383</v>
          </cell>
          <cell r="B2268" t="str">
            <v>GO:0003824GO:0005488GO:0008152</v>
          </cell>
        </row>
        <row r="2269">
          <cell r="A2269" t="str">
            <v>GRMZM2G113340</v>
          </cell>
          <cell r="B2269" t="str">
            <v>GO:0031072GO:0006457GO:0051082</v>
          </cell>
        </row>
        <row r="2270">
          <cell r="A2270" t="str">
            <v>GRMZM2G133314</v>
          </cell>
          <cell r="B2270" t="str">
            <v>GO:0003715GO:0006353</v>
          </cell>
        </row>
        <row r="2271">
          <cell r="A2271" t="str">
            <v>GRMZM2G113349</v>
          </cell>
          <cell r="B2271" t="str">
            <v>GO:0009654GO:0042549GO:0005509GO:0019898</v>
          </cell>
        </row>
        <row r="2272">
          <cell r="A2272" t="str">
            <v>GRMZM2G430807</v>
          </cell>
          <cell r="B2272" t="str">
            <v>GO:0046872</v>
          </cell>
        </row>
        <row r="2273">
          <cell r="A2273" t="str">
            <v>GRMZM2G093276</v>
          </cell>
          <cell r="B2273" t="str">
            <v>GO:0016021GO:0006829GO:0005385</v>
          </cell>
        </row>
        <row r="2274">
          <cell r="A2274" t="str">
            <v>GRMZM2G148087</v>
          </cell>
          <cell r="B2274" t="str">
            <v>GO:0003700GO:0043565GO:0005634GO:0045449</v>
          </cell>
        </row>
        <row r="2275">
          <cell r="A2275" t="str">
            <v>GRMZM2G030299</v>
          </cell>
          <cell r="B2275" t="str">
            <v>GO:0033178GO:0016820GO:0015986</v>
          </cell>
        </row>
        <row r="2276">
          <cell r="A2276" t="str">
            <v>GRMZM2G093076</v>
          </cell>
          <cell r="B2276" t="str">
            <v>GO:0048046GO:0030145GO:0045735</v>
          </cell>
        </row>
        <row r="2277">
          <cell r="A2277" t="str">
            <v>GRMZM2G177070</v>
          </cell>
          <cell r="B2277" t="str">
            <v>GO:0016021GO:0004222GO:0008270GO:0005524GO:0017111</v>
          </cell>
        </row>
        <row r="2278">
          <cell r="A2278" t="str">
            <v>GRMZM2G429955</v>
          </cell>
          <cell r="B2278" t="str">
            <v>GO:0016020GO:0009765</v>
          </cell>
        </row>
        <row r="2279">
          <cell r="A2279" t="str">
            <v>GRMZM2G014395</v>
          </cell>
          <cell r="B2279" t="str">
            <v>GO:0004497GO:0020037GO:0009055</v>
          </cell>
        </row>
        <row r="2280">
          <cell r="A2280" t="str">
            <v>GRMZM2G034848</v>
          </cell>
          <cell r="B2280" t="str">
            <v>GO:0000015GO:0004634GO:0006096</v>
          </cell>
        </row>
        <row r="2281">
          <cell r="A2281" t="str">
            <v>GRMZM2G103812</v>
          </cell>
          <cell r="B2281" t="str">
            <v>GO:0008430GO:0050825GO:0042309GO:0050826</v>
          </cell>
        </row>
        <row r="2282">
          <cell r="A2282" t="str">
            <v>GRMZM2G095280</v>
          </cell>
          <cell r="B2282" t="str">
            <v>GO:0016758GO:0008152</v>
          </cell>
        </row>
        <row r="2283">
          <cell r="A2283" t="str">
            <v>GRMZM2G326707</v>
          </cell>
          <cell r="B2283" t="str">
            <v>GO:0005315GO:0016021GO:0006817</v>
          </cell>
        </row>
        <row r="2284">
          <cell r="A2284" t="str">
            <v>GRMZM2G358059</v>
          </cell>
          <cell r="B2284" t="str">
            <v>GO:0006457GO:0005509GO:0051082GO:0005783</v>
          </cell>
        </row>
        <row r="2285">
          <cell r="A2285" t="str">
            <v>GRMZM2G046583</v>
          </cell>
          <cell r="B2285" t="str">
            <v>GO:0004516GO:0019363</v>
          </cell>
        </row>
        <row r="2286">
          <cell r="A2286" t="str">
            <v>GRMZM2G388587</v>
          </cell>
          <cell r="B2286" t="str">
            <v>GO:0048046GO:0005507GO:0046274GO:0008471GO:0055114</v>
          </cell>
        </row>
        <row r="2287">
          <cell r="A2287" t="str">
            <v>GRMZM2G109056</v>
          </cell>
          <cell r="B2287" t="str">
            <v>GO:0005506GO:0016165GO:0009055</v>
          </cell>
        </row>
        <row r="2288">
          <cell r="A2288" t="str">
            <v>GRMZM2G046587</v>
          </cell>
          <cell r="B2288" t="str">
            <v>GO:0005737GO:0006796GO:0000287GO:0004427</v>
          </cell>
        </row>
        <row r="2289">
          <cell r="A2289" t="str">
            <v>GRMZM2G177384</v>
          </cell>
          <cell r="B2289" t="str">
            <v>GO:0004497GO:0020037GO:0009055</v>
          </cell>
        </row>
        <row r="2290">
          <cell r="A2290" t="str">
            <v>GRMZM2G177386</v>
          </cell>
          <cell r="B2290" t="str">
            <v>GO:0008287GO:0005215GO:0016020GO:0004722GO:0006810GO:0006470</v>
          </cell>
        </row>
        <row r="2291">
          <cell r="A2291" t="str">
            <v>GRMZM2G002416</v>
          </cell>
          <cell r="B2291" t="str">
            <v>GO:0004775GO:0003878GO:0044262</v>
          </cell>
        </row>
        <row r="2292">
          <cell r="A2292" t="str">
            <v>GRMZM2G396212</v>
          </cell>
          <cell r="B2292" t="str">
            <v>GO:0003849GO:0009073</v>
          </cell>
        </row>
        <row r="2293">
          <cell r="A2293" t="str">
            <v>GRMZM2G374812</v>
          </cell>
          <cell r="B2293" t="str">
            <v>GO:0022891GO:0016021GO:0055085</v>
          </cell>
        </row>
        <row r="2294">
          <cell r="A2294" t="str">
            <v>GRMZM2G402564</v>
          </cell>
          <cell r="B2294" t="str">
            <v>GO:0008270</v>
          </cell>
        </row>
        <row r="2295">
          <cell r="A2295" t="str">
            <v>GRMZM2G047187</v>
          </cell>
          <cell r="B2295" t="str">
            <v>GO:0015904GO:0016021GO:0015520GO:0046677</v>
          </cell>
        </row>
        <row r="2296">
          <cell r="A2296" t="str">
            <v>GRMZM2G328168</v>
          </cell>
          <cell r="B2296" t="str">
            <v>GO:0003735GO:0006412GO:0005840</v>
          </cell>
        </row>
        <row r="2297">
          <cell r="A2297" t="str">
            <v>GRMZM2G429714</v>
          </cell>
          <cell r="B2297" t="str">
            <v>GO:0004674GO:0006468GO:0004713GO:0005524</v>
          </cell>
        </row>
        <row r="2298">
          <cell r="A2298" t="str">
            <v>GRMZM2G391794</v>
          </cell>
          <cell r="B2298" t="str">
            <v>GO:0004674GO:0006468GO:0005524GO:0005515GO:0004713</v>
          </cell>
        </row>
        <row r="2299">
          <cell r="A2299" t="str">
            <v>GRMZM2G131055</v>
          </cell>
          <cell r="B2299" t="str">
            <v>GO:0016757</v>
          </cell>
        </row>
        <row r="2300">
          <cell r="A2300" t="str">
            <v>GRMZM2G085301</v>
          </cell>
          <cell r="B2300" t="str">
            <v>GO:0005215GO:0016021GO:0006810</v>
          </cell>
        </row>
        <row r="2301">
          <cell r="A2301" t="str">
            <v>GRMZM2G144346</v>
          </cell>
          <cell r="B2301" t="str">
            <v>GO:0008270GO:0005622</v>
          </cell>
        </row>
        <row r="2302">
          <cell r="A2302" t="str">
            <v>GRMZM2G125004</v>
          </cell>
          <cell r="B2302" t="str">
            <v>GO:0005507GO:0009055</v>
          </cell>
        </row>
        <row r="2303">
          <cell r="A2303" t="str">
            <v>GRMZM2G328893</v>
          </cell>
          <cell r="B2303" t="str">
            <v>GO:0030170GO:0006535GO:0004124GO:0016491</v>
          </cell>
        </row>
        <row r="2304">
          <cell r="A2304" t="str">
            <v>GRMZM2G148460</v>
          </cell>
          <cell r="B2304" t="str">
            <v>GO:0006629GO:0016788</v>
          </cell>
        </row>
        <row r="2305">
          <cell r="A2305" t="str">
            <v>GRMZM2G140674</v>
          </cell>
          <cell r="B2305" t="str">
            <v>GO:0050825GO:0042309GO:0050826</v>
          </cell>
        </row>
        <row r="2306">
          <cell r="A2306" t="str">
            <v>GRMZM2G074401</v>
          </cell>
          <cell r="B2306" t="str">
            <v>GO:0006629GO:0016491</v>
          </cell>
        </row>
        <row r="2307">
          <cell r="A2307" t="str">
            <v>GRMZM2G458659</v>
          </cell>
          <cell r="B2307" t="str">
            <v>GO:0005488GO:0008152GO:0016491</v>
          </cell>
        </row>
        <row r="2308">
          <cell r="A2308" t="str">
            <v>GRMZM2G314652</v>
          </cell>
          <cell r="B2308" t="str">
            <v>GO:0003855GO:0005488GO:0008152</v>
          </cell>
        </row>
        <row r="2309">
          <cell r="A2309" t="str">
            <v>GRMZM2G094224</v>
          </cell>
          <cell r="B2309" t="str">
            <v>GO:0015979GO:0009538</v>
          </cell>
        </row>
        <row r="2310">
          <cell r="A2310" t="str">
            <v>AC207342.3_FG008</v>
          </cell>
          <cell r="B2310" t="str">
            <v>GO:0006520GO:0016491</v>
          </cell>
        </row>
        <row r="2311">
          <cell r="A2311" t="str">
            <v>GRMZM2G156517</v>
          </cell>
          <cell r="B2311" t="str">
            <v>GO:0019787GO:0043687GO:0051246</v>
          </cell>
        </row>
        <row r="2312">
          <cell r="A2312" t="str">
            <v>GRMZM2G336908</v>
          </cell>
          <cell r="B2312" t="str">
            <v>GO:0003935GO:0008686GO:0009231</v>
          </cell>
        </row>
        <row r="2313">
          <cell r="A2313" t="str">
            <v>GRMZM2G151521</v>
          </cell>
          <cell r="B2313" t="str">
            <v>GO:0016021</v>
          </cell>
        </row>
        <row r="2314">
          <cell r="A2314" t="str">
            <v>GRMZM2G051219</v>
          </cell>
          <cell r="B2314" t="str">
            <v>GO:0000162GO:0004048</v>
          </cell>
        </row>
        <row r="2315">
          <cell r="A2315" t="str">
            <v>GRMZM2G039455</v>
          </cell>
          <cell r="B2315" t="str">
            <v>GO:0003676</v>
          </cell>
        </row>
        <row r="2316">
          <cell r="A2316" t="str">
            <v>GRMZM2G177928</v>
          </cell>
          <cell r="B2316" t="str">
            <v>GO:0016844GO:0009058</v>
          </cell>
        </row>
        <row r="2317">
          <cell r="A2317" t="str">
            <v>GRMZM2G107196</v>
          </cell>
          <cell r="B2317" t="str">
            <v>GO:0016310GO:0005524GO:0016772</v>
          </cell>
        </row>
        <row r="2318">
          <cell r="A2318" t="str">
            <v>GRMZM2G080045</v>
          </cell>
          <cell r="B2318" t="str">
            <v>GO:0016020GO:0008519GO:0006810</v>
          </cell>
        </row>
        <row r="2319">
          <cell r="A2319" t="str">
            <v>GRMZM2G080044</v>
          </cell>
          <cell r="B2319" t="str">
            <v>GO:0016787GO:0016491GO:0050660GO:0008152GO:0009055</v>
          </cell>
        </row>
        <row r="2320">
          <cell r="A2320" t="str">
            <v>GRMZM2G060918</v>
          </cell>
          <cell r="B2320" t="str">
            <v>GO:0003700GO:0043565GO:0005634GO:0045449</v>
          </cell>
        </row>
        <row r="2321">
          <cell r="A2321" t="str">
            <v>GRMZM2G149024</v>
          </cell>
          <cell r="B2321" t="str">
            <v>GO:0016757</v>
          </cell>
        </row>
        <row r="2322">
          <cell r="A2322" t="str">
            <v>GRMZM2G123407</v>
          </cell>
          <cell r="B2322" t="str">
            <v>GO:0005507GO:0009055</v>
          </cell>
        </row>
        <row r="2323">
          <cell r="A2323" t="str">
            <v>GRMZM2G063258</v>
          </cell>
          <cell r="B2323" t="str">
            <v>GO:0004367GO:0051287GO:0009331GO:0046168</v>
          </cell>
        </row>
        <row r="2324">
          <cell r="A2324" t="str">
            <v>GRMZM2G095261</v>
          </cell>
          <cell r="B2324" t="str">
            <v>GO:0016758GO:0008152</v>
          </cell>
        </row>
        <row r="2325">
          <cell r="A2325" t="str">
            <v>GRMZM2G027375</v>
          </cell>
          <cell r="B2325" t="str">
            <v>GO:0016567GO:0004842GO:0000151GO:0005488</v>
          </cell>
        </row>
        <row r="2326">
          <cell r="A2326" t="str">
            <v>GRMZM2G131836</v>
          </cell>
          <cell r="B2326" t="str">
            <v>GO:0003854GO:0050662GO:0016564GO:0006808GO:0006694</v>
          </cell>
        </row>
        <row r="2327">
          <cell r="A2327" t="str">
            <v>GRMZM2G149935</v>
          </cell>
          <cell r="B2327" t="str">
            <v>GO:0016020GO:0005529GO:0008378GO:0006486</v>
          </cell>
        </row>
        <row r="2328">
          <cell r="A2328" t="str">
            <v>GRMZM2G039089</v>
          </cell>
          <cell r="B2328" t="str">
            <v>GO:0031072GO:0006457GO:0051082</v>
          </cell>
        </row>
        <row r="2329">
          <cell r="A2329" t="str">
            <v>GRMZM2G049613</v>
          </cell>
          <cell r="B2329" t="str">
            <v>GO:0016021GO:0004939GO:0007186</v>
          </cell>
        </row>
        <row r="2330">
          <cell r="A2330" t="str">
            <v>GRMZM2G040511</v>
          </cell>
          <cell r="B2330" t="str">
            <v>GO:0004674GO:0006468GO:0005524</v>
          </cell>
        </row>
        <row r="2331">
          <cell r="A2331" t="str">
            <v>GRMZM2G106263</v>
          </cell>
          <cell r="B2331" t="str">
            <v>GO:0004421GO:0008299</v>
          </cell>
        </row>
        <row r="2332">
          <cell r="A2332" t="str">
            <v>GRMZM2G037485</v>
          </cell>
          <cell r="B2332" t="str">
            <v>GO:0005283GO:0016020GO:0006814</v>
          </cell>
        </row>
        <row r="2333">
          <cell r="A2333" t="str">
            <v>GRMZM2G139680</v>
          </cell>
          <cell r="B2333" t="str">
            <v>GO:0016209GO:0016491</v>
          </cell>
        </row>
        <row r="2334">
          <cell r="A2334" t="str">
            <v>GRMZM2G111697</v>
          </cell>
          <cell r="B2334" t="str">
            <v>GO:0016597GO:0008152</v>
          </cell>
        </row>
        <row r="2335">
          <cell r="A2335" t="str">
            <v>GRMZM2G377600</v>
          </cell>
          <cell r="B2335" t="str">
            <v>GO:0003735GO:0006412GO:0005840</v>
          </cell>
        </row>
        <row r="2336">
          <cell r="A2336" t="str">
            <v>GRMZM2G401147</v>
          </cell>
          <cell r="B2336" t="str">
            <v>GO:0006334GO:0003677GO:0005634GO:0000786</v>
          </cell>
        </row>
        <row r="2337">
          <cell r="A2337" t="str">
            <v>GRMZM2G181236</v>
          </cell>
          <cell r="B2337" t="str">
            <v>GO:0004497GO:0020037GO:0009055</v>
          </cell>
        </row>
        <row r="2338">
          <cell r="A2338" t="str">
            <v>GRMZM2G425136</v>
          </cell>
          <cell r="B2338" t="str">
            <v>GO:0016740GO:0050825GO:0042309GO:0008152GO:0050826</v>
          </cell>
        </row>
        <row r="2339">
          <cell r="A2339" t="str">
            <v>GRMZM2G109526</v>
          </cell>
          <cell r="B2339" t="str">
            <v>GO:0015031GO:0006457</v>
          </cell>
        </row>
        <row r="2340">
          <cell r="A2340" t="str">
            <v>GRMZM2G442658</v>
          </cell>
          <cell r="B2340" t="str">
            <v>GO:0008270GO:0055114GO:0016491</v>
          </cell>
        </row>
        <row r="2341">
          <cell r="A2341" t="str">
            <v>GRMZM2G063672</v>
          </cell>
          <cell r="B2341" t="str">
            <v>GO:0017111GO:0000166</v>
          </cell>
        </row>
        <row r="2342">
          <cell r="A2342" t="str">
            <v>GRMZM2G163421</v>
          </cell>
          <cell r="B2342" t="str">
            <v>GO:0009306GO:0045454GO:0016853GO:0005788</v>
          </cell>
        </row>
        <row r="2343">
          <cell r="A2343" t="str">
            <v>GRMZM2G180283</v>
          </cell>
          <cell r="B2343" t="str">
            <v>GO:0016758GO:0008152</v>
          </cell>
        </row>
        <row r="2344">
          <cell r="A2344" t="str">
            <v>GRMZM2G036282</v>
          </cell>
          <cell r="B2344" t="str">
            <v>GO:0007155GO:0015629GO:0005198</v>
          </cell>
        </row>
        <row r="2345">
          <cell r="A2345" t="str">
            <v>GRMZM2G464891</v>
          </cell>
          <cell r="B2345" t="str">
            <v>GO:0016020</v>
          </cell>
        </row>
        <row r="2346">
          <cell r="A2346" t="str">
            <v>AC234526.1_FG005</v>
          </cell>
          <cell r="B2346" t="str">
            <v>GO:0003854GO:0050662GO:0006694</v>
          </cell>
        </row>
        <row r="2347">
          <cell r="A2347" t="str">
            <v>GRMZM2G045287</v>
          </cell>
          <cell r="B2347" t="str">
            <v>GO:0005794GO:0030244GO:0007047GO:0016758GO:0009505GO:0030054</v>
          </cell>
        </row>
        <row r="2348">
          <cell r="A2348" t="str">
            <v>GRMZM2G083538</v>
          </cell>
          <cell r="B2348" t="str">
            <v>GO:0016597GO:0008152</v>
          </cell>
        </row>
        <row r="2349">
          <cell r="A2349" t="str">
            <v>GRMZM2G017419</v>
          </cell>
          <cell r="B2349" t="str">
            <v>GO:0045454</v>
          </cell>
        </row>
        <row r="2350">
          <cell r="A2350" t="str">
            <v>GRMZM2G056975</v>
          </cell>
          <cell r="B2350" t="str">
            <v>GO:0008299GO:0046872GO:0030604</v>
          </cell>
        </row>
        <row r="2351">
          <cell r="A2351" t="str">
            <v>GRMZM2G423886</v>
          </cell>
          <cell r="B2351" t="str">
            <v>GO:0050661GO:0050660GO:0006813GO:0008324GO:0004499GO:0009055</v>
          </cell>
        </row>
        <row r="2352">
          <cell r="A2352" t="str">
            <v>GRMZM2G022619</v>
          </cell>
          <cell r="B2352" t="str">
            <v>GO:0003735GO:0006412GO:0005840</v>
          </cell>
        </row>
        <row r="2353">
          <cell r="A2353" t="str">
            <v>GRMZM2G165694</v>
          </cell>
          <cell r="B2353" t="str">
            <v>GO:0043022GO:0005840GO:0006364</v>
          </cell>
        </row>
        <row r="2354">
          <cell r="A2354" t="str">
            <v>GRMZM2G174719</v>
          </cell>
          <cell r="B2354" t="str">
            <v>GO:0016021GO:0007186</v>
          </cell>
        </row>
        <row r="2355">
          <cell r="A2355" t="str">
            <v>GRMZM2G130943</v>
          </cell>
          <cell r="B2355" t="str">
            <v>GO:0006470GO:0008287GO:0004722</v>
          </cell>
        </row>
        <row r="2356">
          <cell r="A2356" t="str">
            <v>GRMZM2G120175</v>
          </cell>
          <cell r="B2356" t="str">
            <v>GO:0033179GO:0015986GO:0051260GO:0015078</v>
          </cell>
        </row>
        <row r="2357">
          <cell r="A2357" t="str">
            <v>GRMZM2G177883</v>
          </cell>
          <cell r="B2357" t="str">
            <v>GO:0004674GO:0006468GO:0005524GO:0005515GO:0004713</v>
          </cell>
        </row>
        <row r="2358">
          <cell r="A2358" t="str">
            <v>GRMZM2G106462</v>
          </cell>
          <cell r="B2358" t="str">
            <v>GO:0003824GO:0008152GO:0005524</v>
          </cell>
        </row>
        <row r="2359">
          <cell r="A2359" t="str">
            <v>GRMZM2G419806</v>
          </cell>
          <cell r="B2359" t="str">
            <v>GO:0015995GO:0016851GO:0017111GO:0006260GO:0003677GO:0015979GO:0005524</v>
          </cell>
        </row>
        <row r="2360">
          <cell r="A2360" t="str">
            <v>GRMZM2G130121</v>
          </cell>
          <cell r="B2360" t="str">
            <v>GO:0051085GO:0016887GO:0005524GO:0005783</v>
          </cell>
        </row>
        <row r="2361">
          <cell r="A2361" t="str">
            <v>GRMZM2G004036</v>
          </cell>
          <cell r="B2361" t="str">
            <v>GO:0003824GO:0016564GO:0006808GO:0044237GO:0050662</v>
          </cell>
        </row>
        <row r="2362">
          <cell r="A2362" t="str">
            <v>AC231745.1_FG003</v>
          </cell>
          <cell r="B2362" t="str">
            <v>GO:0006629GO:0016788</v>
          </cell>
        </row>
        <row r="2363">
          <cell r="A2363" t="str">
            <v>GRMZM2G110657</v>
          </cell>
          <cell r="B2363" t="str">
            <v>GO:0005198</v>
          </cell>
        </row>
        <row r="2364">
          <cell r="A2364" t="str">
            <v>GRMZM2G162800</v>
          </cell>
          <cell r="B2364" t="str">
            <v>GO:0006139GO:0017111GO:0005524GO:0019205</v>
          </cell>
        </row>
        <row r="2365">
          <cell r="A2365" t="str">
            <v>GRMZM2G361256</v>
          </cell>
          <cell r="B2365" t="str">
            <v>GO:0016021GO:0006810GO:0042626GO:0005524</v>
          </cell>
        </row>
        <row r="2366">
          <cell r="A2366" t="str">
            <v>GRMZM2G394203</v>
          </cell>
          <cell r="B2366" t="str">
            <v>GO:0007017GO:0004937GO:0005874GO:0016021GO:0051260GO:0007186GO:0005525</v>
          </cell>
        </row>
        <row r="2367">
          <cell r="A2367" t="str">
            <v>GRMZM2G031656</v>
          </cell>
          <cell r="B2367" t="str">
            <v>GO:0005634GO:0045449GO:0030528</v>
          </cell>
        </row>
        <row r="2368">
          <cell r="A2368" t="str">
            <v>GRMZM2G378717</v>
          </cell>
          <cell r="B2368" t="str">
            <v>GO:0004824GO:0005737GO:0004815GO:0006430GO:0006422GO:0005524</v>
          </cell>
        </row>
        <row r="2369">
          <cell r="A2369" t="str">
            <v>GRMZM2G124473</v>
          </cell>
          <cell r="B2369" t="str">
            <v>GO:0005198</v>
          </cell>
        </row>
        <row r="2370">
          <cell r="A2370" t="str">
            <v>GRMZM2G078756</v>
          </cell>
          <cell r="B2370" t="str">
            <v>GO:0005737GO:0004826GO:0000049GO:0008033GO:0006432GO:0000287GO:0005524</v>
          </cell>
        </row>
        <row r="2371">
          <cell r="A2371" t="str">
            <v>AC159612.1_FG007</v>
          </cell>
          <cell r="B2371" t="str">
            <v>GO:0005975GO:0004553</v>
          </cell>
        </row>
        <row r="2372">
          <cell r="A2372" t="str">
            <v>GRMZM2G059129</v>
          </cell>
          <cell r="B2372" t="str">
            <v>GO:0006071GO:0006629GO:0008889</v>
          </cell>
        </row>
        <row r="2373">
          <cell r="A2373" t="str">
            <v>GRMZM2G098129</v>
          </cell>
          <cell r="B2373" t="str">
            <v>GO:0006955GO:0003924GO:0005525</v>
          </cell>
        </row>
        <row r="2374">
          <cell r="A2374" t="str">
            <v>GRMZM2G032619</v>
          </cell>
          <cell r="B2374" t="str">
            <v>GO:0005737GO:0006468GO:0004427GO:0000287GO:0005198GO:0004674GO:0004713GO:0019028GO:0005524</v>
          </cell>
        </row>
        <row r="2375">
          <cell r="A2375" t="str">
            <v>GRMZM2G381051</v>
          </cell>
          <cell r="B2375" t="str">
            <v>GO:0003995GO:0008152</v>
          </cell>
        </row>
        <row r="2376">
          <cell r="A2376" t="str">
            <v>GRMZM2G092719</v>
          </cell>
          <cell r="B2376" t="str">
            <v>GO:0003735GO:0006412GO:0015935</v>
          </cell>
        </row>
        <row r="2377">
          <cell r="A2377" t="str">
            <v>GRMZM2G093666</v>
          </cell>
          <cell r="B2377" t="str">
            <v>GO:0008168GO:0008152</v>
          </cell>
        </row>
        <row r="2378">
          <cell r="A2378" t="str">
            <v>AC177946.2_FG004</v>
          </cell>
          <cell r="B2378" t="str">
            <v>GO:0000015GO:0016020GO:0051260GO:0006096GO:0050825GO:0042309GO:0050826GO:0004634</v>
          </cell>
        </row>
        <row r="2379">
          <cell r="A2379" t="str">
            <v>AC234203.1_FG004</v>
          </cell>
          <cell r="B2379" t="str">
            <v>GO:0016021GO:0006810GO:0042626GO:0005524</v>
          </cell>
        </row>
        <row r="2380">
          <cell r="A2380" t="str">
            <v>GRMZM2G452896</v>
          </cell>
          <cell r="B2380" t="str">
            <v>GO:0006508GO:0008236</v>
          </cell>
        </row>
        <row r="2381">
          <cell r="A2381" t="str">
            <v>GRMZM2G418752</v>
          </cell>
          <cell r="B2381" t="str">
            <v>GO:0030785GO:0009507</v>
          </cell>
        </row>
        <row r="2382">
          <cell r="A2382" t="str">
            <v>GRMZM2G436986</v>
          </cell>
          <cell r="B2382" t="str">
            <v>GO:0019898GO:0009654GO:0005509GO:0015979</v>
          </cell>
        </row>
        <row r="2383">
          <cell r="A2383" t="str">
            <v>GRMZM2G108912</v>
          </cell>
          <cell r="B2383" t="str">
            <v>GO:0004630GO:0016020GO:0046470GO:0005509</v>
          </cell>
        </row>
        <row r="2384">
          <cell r="A2384" t="str">
            <v>GRMZM2G142249</v>
          </cell>
          <cell r="B2384" t="str">
            <v>GO:0016887GO:0005524</v>
          </cell>
        </row>
        <row r="2385">
          <cell r="A2385" t="str">
            <v>GRMZM2G085967</v>
          </cell>
          <cell r="B2385" t="str">
            <v>GO:0004601GO:0006979GO:0020037GO:0009055</v>
          </cell>
        </row>
        <row r="2386">
          <cell r="A2386" t="str">
            <v>GRMZM2G110258</v>
          </cell>
          <cell r="B2386" t="str">
            <v>GO:0046872GO:0030001</v>
          </cell>
        </row>
        <row r="2387">
          <cell r="A2387" t="str">
            <v>AC233910.1_FG010</v>
          </cell>
          <cell r="B2387" t="str">
            <v>GO:0004674GO:0006468GO:0004713GO:0005524</v>
          </cell>
        </row>
        <row r="2388">
          <cell r="A2388" t="str">
            <v>GRMZM2G062470</v>
          </cell>
          <cell r="B2388" t="str">
            <v>GO:0006508GO:0016021GO:0004222GO:0005515</v>
          </cell>
        </row>
        <row r="2389">
          <cell r="A2389" t="str">
            <v>GRMZM2G077197</v>
          </cell>
          <cell r="B2389" t="str">
            <v>GO:0006265GO:0005524GO:0005515GO:0003918</v>
          </cell>
        </row>
        <row r="2390">
          <cell r="A2390" t="str">
            <v>GRMZM2G312201</v>
          </cell>
          <cell r="B2390" t="str">
            <v>GO:0045449GO:0003677</v>
          </cell>
        </row>
        <row r="2391">
          <cell r="A2391" t="str">
            <v>GRMZM2G030252</v>
          </cell>
          <cell r="B2391" t="str">
            <v>GO:0016020</v>
          </cell>
        </row>
        <row r="2392">
          <cell r="A2392" t="str">
            <v>GRMZM2G413857</v>
          </cell>
          <cell r="B2392" t="str">
            <v>GO:0008152GO:0016491</v>
          </cell>
        </row>
        <row r="2393">
          <cell r="A2393" t="str">
            <v>GRMZM2G383088</v>
          </cell>
          <cell r="B2393" t="str">
            <v>GO:0005215GO:0016020GO:0006814</v>
          </cell>
        </row>
        <row r="2394">
          <cell r="A2394" t="str">
            <v>GRMZM2G300348</v>
          </cell>
          <cell r="B2394" t="str">
            <v>GO:0009058GO:0008219GO:0016021GO:0016740</v>
          </cell>
        </row>
        <row r="2395">
          <cell r="A2395" t="str">
            <v>GRMZM2G040349</v>
          </cell>
          <cell r="B2395" t="str">
            <v>GO:0003700GO:0006355GO:0016602</v>
          </cell>
        </row>
        <row r="2396">
          <cell r="A2396" t="str">
            <v>GRMZM2G118610</v>
          </cell>
          <cell r="B2396" t="str">
            <v>GO:0008270GO:0055114GO:0016491</v>
          </cell>
        </row>
        <row r="2397">
          <cell r="A2397" t="str">
            <v>GRMZM2G321290</v>
          </cell>
          <cell r="B2397" t="str">
            <v>GO:0004806GO:0006629</v>
          </cell>
        </row>
        <row r="2398">
          <cell r="A2398" t="str">
            <v>GRMZM2G034724</v>
          </cell>
          <cell r="B2398" t="str">
            <v>GO:0045735</v>
          </cell>
        </row>
        <row r="2399">
          <cell r="A2399" t="str">
            <v>GRMZM2G018716</v>
          </cell>
          <cell r="B2399" t="str">
            <v>GO:0006508GO:0005975GO:0004252GO:0004553</v>
          </cell>
        </row>
        <row r="2400">
          <cell r="A2400" t="str">
            <v>GRMZM2G411766</v>
          </cell>
          <cell r="B2400" t="str">
            <v>GO:0003700GO:0043565GO:0005634GO:0045449</v>
          </cell>
        </row>
        <row r="2401">
          <cell r="A2401" t="str">
            <v>GRMZM2G087326</v>
          </cell>
          <cell r="B2401" t="str">
            <v>GO:0005794GO:0030244GO:0007047GO:0016758GO:0009505GO:0030054</v>
          </cell>
        </row>
        <row r="2402">
          <cell r="A2402" t="str">
            <v>GRMZM2G359986</v>
          </cell>
          <cell r="B2402" t="str">
            <v>GO:0004674GO:0006468GO:0004713GO:0005524</v>
          </cell>
        </row>
        <row r="2403">
          <cell r="A2403" t="str">
            <v>GRMZM2G125527</v>
          </cell>
          <cell r="B2403" t="str">
            <v>GO:0003735GO:0006412GO:0005840</v>
          </cell>
        </row>
        <row r="2404">
          <cell r="A2404" t="str">
            <v>GRMZM2G108138</v>
          </cell>
          <cell r="B2404" t="str">
            <v>GO:0000062</v>
          </cell>
        </row>
        <row r="2405">
          <cell r="A2405" t="str">
            <v>GRMZM2G005849</v>
          </cell>
          <cell r="B2405" t="str">
            <v>GO:0005737GO:0004360GO:0005529GO:0016051</v>
          </cell>
        </row>
        <row r="2406">
          <cell r="A2406" t="str">
            <v>GRMZM2G052869</v>
          </cell>
          <cell r="B2406" t="str">
            <v>GO:0046872</v>
          </cell>
        </row>
        <row r="2407">
          <cell r="A2407" t="str">
            <v>GRMZM2G047513</v>
          </cell>
          <cell r="B2407" t="str">
            <v>GO:0003735GO:0015935GO:0006412GO:0003723</v>
          </cell>
        </row>
        <row r="2408">
          <cell r="A2408" t="str">
            <v>GRMZM2G156673</v>
          </cell>
          <cell r="B2408" t="str">
            <v>GO:0003735GO:0006412GO:0015935</v>
          </cell>
        </row>
        <row r="2409">
          <cell r="A2409" t="str">
            <v>GRMZM2G132303</v>
          </cell>
          <cell r="B2409" t="str">
            <v>GO:0003824GO:0006281</v>
          </cell>
        </row>
        <row r="2410">
          <cell r="A2410" t="str">
            <v>GRMZM2G339091</v>
          </cell>
          <cell r="B2410" t="str">
            <v>GO:0003779GO:0006508GO:0004185</v>
          </cell>
        </row>
        <row r="2411">
          <cell r="A2411" t="str">
            <v>GRMZM2G326066</v>
          </cell>
          <cell r="B2411" t="str">
            <v>GO:0003735GO:0006412GO:0005840</v>
          </cell>
        </row>
        <row r="2412">
          <cell r="A2412" t="str">
            <v>GRMZM2G034120</v>
          </cell>
          <cell r="B2412" t="str">
            <v>GO:0008121</v>
          </cell>
        </row>
        <row r="2413">
          <cell r="A2413" t="str">
            <v>GRMZM2G081652</v>
          </cell>
          <cell r="B2413" t="str">
            <v>GO:0005215GO:0006810GO:0005622GO:0050825GO:0042309GO:0050826</v>
          </cell>
        </row>
        <row r="2414">
          <cell r="A2414" t="str">
            <v>GRMZM2G024647</v>
          </cell>
          <cell r="B2414" t="str">
            <v>GO:0003735GO:0006412GO:0005840</v>
          </cell>
        </row>
        <row r="2415">
          <cell r="A2415" t="str">
            <v>GRMZM2G105523</v>
          </cell>
          <cell r="B2415" t="str">
            <v>GO:0006508</v>
          </cell>
        </row>
        <row r="2416">
          <cell r="A2416" t="str">
            <v>GRMZM2G153488</v>
          </cell>
          <cell r="B2416" t="str">
            <v>GO:0006952GO:0005576GO:0005125GO:0006955</v>
          </cell>
        </row>
        <row r="2417">
          <cell r="A2417" t="str">
            <v>GRMZM2G093441</v>
          </cell>
          <cell r="B2417" t="str">
            <v>GO:0006508GO:0004177</v>
          </cell>
        </row>
        <row r="2418">
          <cell r="A2418" t="str">
            <v>GRMZM2G053206</v>
          </cell>
          <cell r="B2418" t="str">
            <v>GO:0006508GO:0004190</v>
          </cell>
        </row>
        <row r="2419">
          <cell r="A2419" t="str">
            <v>GRMZM2G132121</v>
          </cell>
          <cell r="B2419" t="str">
            <v>GO:0003735GO:0006412GO:0005840</v>
          </cell>
        </row>
        <row r="2420">
          <cell r="A2420" t="str">
            <v>GRMZM2G067225</v>
          </cell>
          <cell r="B2420" t="str">
            <v>GO:0004497GO:0020037GO:0009055</v>
          </cell>
        </row>
        <row r="2421">
          <cell r="A2421" t="str">
            <v>GRMZM2G057186</v>
          </cell>
          <cell r="B2421" t="str">
            <v>GO:0003824</v>
          </cell>
        </row>
        <row r="2422">
          <cell r="A2422" t="str">
            <v>GRMZM2G354610</v>
          </cell>
          <cell r="B2422" t="str">
            <v>GO:0016757</v>
          </cell>
        </row>
        <row r="2423">
          <cell r="A2423" t="str">
            <v>GRMZM2G375153</v>
          </cell>
          <cell r="B2423" t="str">
            <v>GO:0008270GO:0005515</v>
          </cell>
        </row>
        <row r="2424">
          <cell r="A2424" t="str">
            <v>GRMZM2G375159</v>
          </cell>
          <cell r="B2424" t="str">
            <v>GO:0016747</v>
          </cell>
        </row>
        <row r="2425">
          <cell r="A2425" t="str">
            <v>GRMZM2G155525</v>
          </cell>
          <cell r="B2425" t="str">
            <v>GO:0046872GO:0015097GO:0015694</v>
          </cell>
        </row>
        <row r="2426">
          <cell r="A2426" t="str">
            <v>GRMZM2G152975</v>
          </cell>
          <cell r="B2426" t="str">
            <v>GO:0008270GO:0055114GO:0016491</v>
          </cell>
        </row>
        <row r="2427">
          <cell r="A2427" t="str">
            <v>GRMZM2G089836</v>
          </cell>
          <cell r="B2427" t="str">
            <v>GO:0005975GO:0015232GO:0015886GO:0016020GO:0017004GO:0004553</v>
          </cell>
        </row>
        <row r="2428">
          <cell r="A2428" t="str">
            <v>GRMZM2G155253</v>
          </cell>
          <cell r="B2428" t="str">
            <v>GO:0006096GO:0004332</v>
          </cell>
        </row>
        <row r="2429">
          <cell r="A2429" t="str">
            <v>GRMZM2G068244</v>
          </cell>
          <cell r="B2429" t="str">
            <v>GO:0003824GO:0044237GO:0050662</v>
          </cell>
        </row>
        <row r="2430">
          <cell r="A2430" t="str">
            <v>GRMZM2G078820</v>
          </cell>
          <cell r="B2430" t="str">
            <v>GO:0003677</v>
          </cell>
        </row>
        <row r="2431">
          <cell r="A2431" t="str">
            <v>GRMZM2G374827</v>
          </cell>
          <cell r="B2431" t="str">
            <v>GO:0004348GO:0016021GO:0006680GO:0050825GO:0042309GO:0050826</v>
          </cell>
        </row>
        <row r="2432">
          <cell r="A2432" t="str">
            <v>GRMZM2G114793</v>
          </cell>
          <cell r="B2432" t="str">
            <v>GO:0005524</v>
          </cell>
        </row>
        <row r="2433">
          <cell r="A2433" t="str">
            <v>GRMZM2G132547</v>
          </cell>
          <cell r="B2433" t="str">
            <v>GO:0006221GO:0003883</v>
          </cell>
        </row>
        <row r="2434">
          <cell r="A2434" t="str">
            <v>GRMZM2G143373</v>
          </cell>
          <cell r="B2434" t="str">
            <v>GO:0009239GO:0005488GO:0008667</v>
          </cell>
        </row>
        <row r="2435">
          <cell r="A2435" t="str">
            <v>GRMZM2G095851</v>
          </cell>
          <cell r="B2435" t="str">
            <v>GO:0003924GO:0005525</v>
          </cell>
        </row>
        <row r="2436">
          <cell r="A2436" t="str">
            <v>GRMZM2G006894</v>
          </cell>
          <cell r="B2436" t="str">
            <v>GO:0006812GO:0016021GO:0006754GO:0015662GO:0005524</v>
          </cell>
        </row>
        <row r="2437">
          <cell r="A2437" t="str">
            <v>GRMZM2G070199</v>
          </cell>
          <cell r="B2437" t="str">
            <v>GO:0020037GO:0009055</v>
          </cell>
        </row>
        <row r="2438">
          <cell r="A2438" t="str">
            <v>GRMZM2G077991</v>
          </cell>
          <cell r="B2438" t="str">
            <v>GO:0003735GO:0006412GO:0005840</v>
          </cell>
        </row>
        <row r="2439">
          <cell r="A2439" t="str">
            <v>GRMZM2G348846</v>
          </cell>
          <cell r="B2439" t="str">
            <v>GO:0050660GO:0016491</v>
          </cell>
        </row>
        <row r="2440">
          <cell r="A2440" t="str">
            <v>GRMZM2G067315</v>
          </cell>
          <cell r="B2440" t="str">
            <v>GO:0004937GO:0006813GO:0016021GO:0051260GO:0005249GO:0007186</v>
          </cell>
        </row>
        <row r="2441">
          <cell r="A2441" t="str">
            <v>GRMZM2G143403</v>
          </cell>
          <cell r="B2441" t="str">
            <v>GO:0008270GO:0003676</v>
          </cell>
        </row>
        <row r="2442">
          <cell r="A2442" t="str">
            <v>GRMZM2G004959</v>
          </cell>
          <cell r="B2442" t="str">
            <v>GO:0008270</v>
          </cell>
        </row>
        <row r="2443">
          <cell r="A2443" t="str">
            <v>GRMZM2G012397</v>
          </cell>
          <cell r="B2443" t="str">
            <v>GO:0009522GO:0015979</v>
          </cell>
        </row>
        <row r="2444">
          <cell r="A2444" t="str">
            <v>GRMZM2G012391</v>
          </cell>
          <cell r="B2444" t="str">
            <v>GO:0004497GO:0020037GO:0009055</v>
          </cell>
        </row>
        <row r="2445">
          <cell r="A2445" t="str">
            <v>GRMZM2G079127</v>
          </cell>
          <cell r="B2445" t="str">
            <v>GO:0015297GO:0016020GO:0006855GO:0015238</v>
          </cell>
        </row>
        <row r="2446">
          <cell r="A2446" t="str">
            <v>GRMZM2G114988</v>
          </cell>
          <cell r="B2446" t="str">
            <v>GO:0004497GO:0020037GO:0009055</v>
          </cell>
        </row>
        <row r="2447">
          <cell r="A2447" t="str">
            <v>GRMZM2G149580</v>
          </cell>
          <cell r="B2447" t="str">
            <v>GO:0006633GO:0000036GO:0048037GO:0031177</v>
          </cell>
        </row>
        <row r="2448">
          <cell r="A2448" t="str">
            <v>GRMZM2G360021</v>
          </cell>
          <cell r="B2448" t="str">
            <v>GO:0003735GO:0006412GO:0005840</v>
          </cell>
        </row>
        <row r="2449">
          <cell r="A2449" t="str">
            <v>GRMZM2G114861</v>
          </cell>
          <cell r="B2449" t="str">
            <v>GO:0007018GO:0003777GO:0005524GO:0005875</v>
          </cell>
        </row>
        <row r="2450">
          <cell r="A2450" t="str">
            <v>GRMZM2G177242</v>
          </cell>
          <cell r="B2450" t="str">
            <v>GO:0050825GO:0042309GO:0050826</v>
          </cell>
        </row>
        <row r="2451">
          <cell r="A2451" t="str">
            <v>GRMZM2G363052</v>
          </cell>
          <cell r="B2451" t="str">
            <v>GO:0003700GO:0006355</v>
          </cell>
        </row>
        <row r="2452">
          <cell r="A2452" t="str">
            <v>GRMZM2G387360</v>
          </cell>
          <cell r="B2452" t="str">
            <v>GO:0050825GO:0042309GO:0050826</v>
          </cell>
        </row>
        <row r="2453">
          <cell r="A2453" t="str">
            <v>GRMZM2G043291</v>
          </cell>
          <cell r="B2453" t="str">
            <v>GO:0005737GO:0004364GO:0008152</v>
          </cell>
        </row>
        <row r="2454">
          <cell r="A2454" t="str">
            <v>GRMZM2G117854</v>
          </cell>
          <cell r="B2454" t="str">
            <v>GO:0006508GO:0004222</v>
          </cell>
        </row>
        <row r="2455">
          <cell r="A2455" t="str">
            <v>GRMZM2G457003</v>
          </cell>
          <cell r="B2455" t="str">
            <v>GO:0016020GO:0016192GO:0005515</v>
          </cell>
        </row>
        <row r="2456">
          <cell r="A2456" t="str">
            <v>GRMZM2G041344</v>
          </cell>
          <cell r="B2456" t="str">
            <v>GO:0008270GO:0005515</v>
          </cell>
        </row>
        <row r="2457">
          <cell r="A2457" t="str">
            <v>GRMZM2G467756</v>
          </cell>
          <cell r="B2457" t="str">
            <v>GO:0008270GO:0005515</v>
          </cell>
        </row>
        <row r="2458">
          <cell r="A2458" t="str">
            <v>GRMZM2G064663</v>
          </cell>
          <cell r="B2458" t="str">
            <v>GO:0016020</v>
          </cell>
        </row>
        <row r="2459">
          <cell r="A2459" t="str">
            <v>GRMZM2G112488</v>
          </cell>
          <cell r="B2459" t="str">
            <v>GO:0006952GO:0009607</v>
          </cell>
        </row>
        <row r="2460">
          <cell r="A2460" t="str">
            <v>GRMZM2G112244</v>
          </cell>
          <cell r="B2460" t="str">
            <v>GO:0006813GO:0016021GO:0051260GO:0005249</v>
          </cell>
        </row>
        <row r="2461">
          <cell r="A2461" t="str">
            <v>GRMZM2G016088</v>
          </cell>
          <cell r="B2461" t="str">
            <v>GO:0019028GO:0005198</v>
          </cell>
        </row>
        <row r="2462">
          <cell r="A2462" t="str">
            <v>GRMZM2G129453</v>
          </cell>
          <cell r="B2462" t="str">
            <v>GO:0006633GO:0016717GO:0020037</v>
          </cell>
        </row>
        <row r="2463">
          <cell r="A2463" t="str">
            <v>GRMZM2G016084</v>
          </cell>
          <cell r="B2463" t="str">
            <v>GO:0003723</v>
          </cell>
        </row>
        <row r="2464">
          <cell r="A2464" t="str">
            <v>GRMZM2G128454</v>
          </cell>
          <cell r="B2464" t="str">
            <v>GO:0009306GO:0016021GO:0015450</v>
          </cell>
        </row>
        <row r="2465">
          <cell r="A2465" t="str">
            <v>GRMZM2G035708</v>
          </cell>
          <cell r="B2465" t="str">
            <v>GO:0006457</v>
          </cell>
        </row>
        <row r="2466">
          <cell r="A2466" t="str">
            <v>GRMZM2G075051</v>
          </cell>
          <cell r="B2466" t="str">
            <v>GO:0008134GO:0003924GO:0006913GO:0005622GO:0006355GO:0007264GO:0006886GO:0005524GO:0005525</v>
          </cell>
        </row>
        <row r="2467">
          <cell r="A2467" t="str">
            <v>AC152495.1_FG017</v>
          </cell>
          <cell r="B2467" t="str">
            <v>GO:0006915GO:0005524</v>
          </cell>
        </row>
        <row r="2468">
          <cell r="A2468" t="str">
            <v>GRMZM2G042074</v>
          </cell>
          <cell r="B2468" t="str">
            <v>GO:0016887GO:0005524</v>
          </cell>
        </row>
        <row r="2469">
          <cell r="A2469" t="str">
            <v>GRMZM2G116584</v>
          </cell>
          <cell r="B2469" t="str">
            <v>GO:0007186GO:0016021GO:0004943GO:0006935GO:0005509</v>
          </cell>
        </row>
        <row r="2470">
          <cell r="A2470" t="str">
            <v>GRMZM2G144196</v>
          </cell>
          <cell r="B2470" t="str">
            <v>GO:0003700GO:0006355GO:0006352GO:0016987</v>
          </cell>
        </row>
        <row r="2471">
          <cell r="A2471" t="str">
            <v>GRMZM2G154124</v>
          </cell>
          <cell r="B2471" t="str">
            <v>GO:0003824GO:0005975GO:0030246</v>
          </cell>
        </row>
        <row r="2472">
          <cell r="A2472" t="str">
            <v>GRMZM2G176820</v>
          </cell>
          <cell r="B2472" t="str">
            <v>GO:0003735GO:0006412GO:0005840</v>
          </cell>
        </row>
        <row r="2473">
          <cell r="A2473" t="str">
            <v>GRMZM2G131315</v>
          </cell>
          <cell r="B2473" t="str">
            <v>GO:0006508GO:0004185</v>
          </cell>
        </row>
        <row r="2474">
          <cell r="A2474" t="str">
            <v>GRMZM2G082924</v>
          </cell>
          <cell r="B2474" t="str">
            <v>GO:0016787GO:0008270</v>
          </cell>
        </row>
        <row r="2475">
          <cell r="A2475" t="str">
            <v>GRMZM2G015709</v>
          </cell>
          <cell r="B2475" t="str">
            <v>GO:0005874GO:0005198GO:0007018GO:0005525</v>
          </cell>
        </row>
        <row r="2476">
          <cell r="A2476" t="str">
            <v>GRMZM2G106703</v>
          </cell>
          <cell r="B2476" t="str">
            <v>GO:0005743GO:0006810GO:0005488</v>
          </cell>
        </row>
        <row r="2477">
          <cell r="A2477" t="str">
            <v>AC208915.3_FG010</v>
          </cell>
          <cell r="B2477" t="str">
            <v>GO:0016020GO:0009765</v>
          </cell>
        </row>
        <row r="2478">
          <cell r="A2478" t="str">
            <v>GRMZM2G363554</v>
          </cell>
          <cell r="B2478" t="str">
            <v>GO:0016758GO:0008152</v>
          </cell>
        </row>
        <row r="2479">
          <cell r="A2479" t="str">
            <v>GRMZM2G066449</v>
          </cell>
          <cell r="B2479" t="str">
            <v>GO:0050825GO:0042309GO:0050826</v>
          </cell>
        </row>
        <row r="2480">
          <cell r="A2480" t="str">
            <v>GRMZM2G098460</v>
          </cell>
          <cell r="B2480" t="str">
            <v>GO:0031072GO:0006457GO:0051082</v>
          </cell>
        </row>
        <row r="2481">
          <cell r="A2481" t="str">
            <v>GRMZM2G045927</v>
          </cell>
          <cell r="B2481" t="str">
            <v>GO:0005507GO:0009055</v>
          </cell>
        </row>
        <row r="2482">
          <cell r="A2482" t="str">
            <v>GRMZM2G103047</v>
          </cell>
          <cell r="B2482" t="str">
            <v>GO:0005215GO:0016021GO:0006810</v>
          </cell>
        </row>
        <row r="2483">
          <cell r="A2483" t="str">
            <v>AC193632.2_FG002</v>
          </cell>
          <cell r="B2483" t="str">
            <v>GO:0006468GO:0004674GO:0004713GO:0004568GO:0006032GO:0005524</v>
          </cell>
        </row>
        <row r="2484">
          <cell r="A2484" t="str">
            <v>GRMZM2G042253</v>
          </cell>
          <cell r="B2484" t="str">
            <v>GO:0005737GO:0006457GO:0005524GO:0005515</v>
          </cell>
        </row>
        <row r="2485">
          <cell r="A2485" t="str">
            <v>GRMZM2G171406</v>
          </cell>
          <cell r="B2485" t="str">
            <v>GO:0005198</v>
          </cell>
        </row>
        <row r="2486">
          <cell r="A2486" t="str">
            <v>GRMZM2G155753</v>
          </cell>
          <cell r="B2486" t="str">
            <v>GO:0006457</v>
          </cell>
        </row>
        <row r="2487">
          <cell r="A2487" t="str">
            <v>GRMZM2G090738</v>
          </cell>
          <cell r="B2487" t="str">
            <v>GO:0003735GO:0008097GO:0006412GO:0005840</v>
          </cell>
        </row>
        <row r="2488">
          <cell r="A2488" t="str">
            <v>GRMZM2G163437</v>
          </cell>
          <cell r="B2488" t="str">
            <v>GO:0005978GO:0008878</v>
          </cell>
        </row>
        <row r="2489">
          <cell r="A2489" t="str">
            <v>GRMZM2G090736</v>
          </cell>
          <cell r="B2489" t="str">
            <v>GO:0045454GO:0015035GO:0009055</v>
          </cell>
        </row>
        <row r="2490">
          <cell r="A2490" t="str">
            <v>GRMZM2G011662</v>
          </cell>
          <cell r="B2490" t="str">
            <v>GO:0005975GO:0030246GO:0016853</v>
          </cell>
        </row>
        <row r="2491">
          <cell r="A2491" t="str">
            <v>GRMZM2G171395</v>
          </cell>
          <cell r="B2491" t="str">
            <v>GO:0045449GO:0003677</v>
          </cell>
        </row>
        <row r="2492">
          <cell r="A2492" t="str">
            <v>GRMZM2G164426</v>
          </cell>
          <cell r="B2492" t="str">
            <v>GO:0008270GO:0050825GO:0042309GO:0005515GO:0050826</v>
          </cell>
        </row>
        <row r="2493">
          <cell r="A2493" t="str">
            <v>GRMZM2G449496</v>
          </cell>
          <cell r="B2493" t="str">
            <v>GO:0003824GO:0005488GO:0008152</v>
          </cell>
        </row>
        <row r="2494">
          <cell r="A2494" t="str">
            <v>GRMZM2G032282</v>
          </cell>
          <cell r="B2494" t="str">
            <v>GO:0004109GO:0006779</v>
          </cell>
        </row>
        <row r="2495">
          <cell r="A2495" t="str">
            <v>GRMZM2G116327</v>
          </cell>
          <cell r="B2495" t="str">
            <v>GO:0016020</v>
          </cell>
        </row>
        <row r="2496">
          <cell r="A2496" t="str">
            <v>GRMZM2G121700</v>
          </cell>
          <cell r="B2496" t="str">
            <v>GO:0016491</v>
          </cell>
        </row>
        <row r="2497">
          <cell r="A2497" t="str">
            <v>GRMZM2G383807</v>
          </cell>
          <cell r="B2497" t="str">
            <v>GO:0006470GO:0008287GO:0004722</v>
          </cell>
        </row>
        <row r="2498">
          <cell r="A2498" t="str">
            <v>GRMZM2G083504</v>
          </cell>
          <cell r="B2498" t="str">
            <v>GO:0005634GO:0045449GO:0030528</v>
          </cell>
        </row>
        <row r="2499">
          <cell r="A2499" t="str">
            <v>GRMZM2G145024</v>
          </cell>
          <cell r="B2499" t="str">
            <v>GO:0005856GO:0006909</v>
          </cell>
        </row>
        <row r="2500">
          <cell r="A2500" t="str">
            <v>GRMZM2G007791</v>
          </cell>
          <cell r="B2500" t="str">
            <v>GO:0016020GO:0051260GO:0003676</v>
          </cell>
        </row>
        <row r="2501">
          <cell r="A2501" t="str">
            <v>GRMZM2G410991</v>
          </cell>
          <cell r="B2501" t="str">
            <v>GO:0016998</v>
          </cell>
        </row>
        <row r="2502">
          <cell r="A2502" t="str">
            <v>GRMZM2G042492</v>
          </cell>
          <cell r="B2502" t="str">
            <v>GO:0005840GO:0005634GO:0003677GO:0003735GO:0006355GO:0050825GO:0042309GO:0050826GO:0006412GO:0004879</v>
          </cell>
        </row>
        <row r="2503">
          <cell r="A2503" t="str">
            <v>GRMZM2G157481</v>
          </cell>
          <cell r="B2503" t="str">
            <v>GO:0005515GO:0006915GO:0006464GO:0050825GO:0042309GO:0050826</v>
          </cell>
        </row>
        <row r="2504">
          <cell r="A2504" t="str">
            <v>GRMZM2G330302</v>
          </cell>
          <cell r="B2504" t="str">
            <v>GO:0003824GO:0006541</v>
          </cell>
        </row>
        <row r="2505">
          <cell r="A2505" t="str">
            <v>GRMZM2G005207</v>
          </cell>
          <cell r="B2505" t="str">
            <v>GO:0003700GO:0043565GO:0005634GO:0045449</v>
          </cell>
        </row>
        <row r="2506">
          <cell r="A2506" t="str">
            <v>GRMZM2G412846</v>
          </cell>
          <cell r="B2506" t="str">
            <v>GO:0042302</v>
          </cell>
        </row>
        <row r="2507">
          <cell r="A2507" t="str">
            <v>GRMZM2G008263</v>
          </cell>
          <cell r="B2507" t="str">
            <v>GO:0009250GO:0009011</v>
          </cell>
        </row>
        <row r="2508">
          <cell r="A2508" t="str">
            <v>GRMZM2G026015</v>
          </cell>
          <cell r="B2508" t="str">
            <v>GO:0015979GO:0009538</v>
          </cell>
        </row>
        <row r="2509">
          <cell r="A2509" t="str">
            <v>GRMZM2G381404</v>
          </cell>
          <cell r="B2509" t="str">
            <v>GO:0008270GO:0005622</v>
          </cell>
        </row>
        <row r="2510">
          <cell r="A2510" t="str">
            <v>GRMZM2G170281</v>
          </cell>
          <cell r="B2510" t="str">
            <v>GO:0016021</v>
          </cell>
        </row>
        <row r="2511">
          <cell r="A2511" t="str">
            <v>GRMZM2G106928</v>
          </cell>
          <cell r="B2511" t="str">
            <v>GO:0046872GO:0006801</v>
          </cell>
        </row>
        <row r="2512">
          <cell r="A2512" t="str">
            <v>GRMZM2G130379</v>
          </cell>
          <cell r="B2512" t="str">
            <v>GO:0046872GO:0009055</v>
          </cell>
        </row>
        <row r="2513">
          <cell r="A2513" t="str">
            <v>GRMZM2G055450</v>
          </cell>
          <cell r="B2513" t="str">
            <v>GO:0005543</v>
          </cell>
        </row>
        <row r="2514">
          <cell r="A2514" t="str">
            <v>GRMZM2G032602</v>
          </cell>
          <cell r="B2514" t="str">
            <v>GO:0006915GO:0017111GO:0005515GO:0005524</v>
          </cell>
        </row>
        <row r="2515">
          <cell r="A2515" t="str">
            <v>GRMZM2G475380</v>
          </cell>
          <cell r="B2515" t="str">
            <v>GO:0016491</v>
          </cell>
        </row>
        <row r="2516">
          <cell r="A2516" t="str">
            <v>GRMZM2G098643</v>
          </cell>
          <cell r="B2516" t="str">
            <v>GO:0016021GO:0050825GO:0042309GO:0050826</v>
          </cell>
        </row>
        <row r="2517">
          <cell r="A2517" t="str">
            <v>GRMZM2G010044</v>
          </cell>
          <cell r="B2517" t="str">
            <v>GO:0008652GO:0016836GO:0051539</v>
          </cell>
        </row>
        <row r="2518">
          <cell r="A2518" t="str">
            <v>AC217300.3_FG005</v>
          </cell>
          <cell r="B2518" t="str">
            <v>GO:0042254GO:0005622</v>
          </cell>
        </row>
        <row r="2519">
          <cell r="A2519" t="str">
            <v>GRMZM2G095287</v>
          </cell>
          <cell r="B2519" t="str">
            <v>GO:0042578GO:0005975GO:0050825GO:0042309GO:0050826</v>
          </cell>
        </row>
        <row r="2520">
          <cell r="A2520" t="str">
            <v>GRMZM2G078033</v>
          </cell>
          <cell r="B2520" t="str">
            <v>GO:0016491GO:0009055</v>
          </cell>
        </row>
        <row r="2521">
          <cell r="A2521" t="str">
            <v>GRMZM2G022313</v>
          </cell>
          <cell r="B2521" t="str">
            <v>GO:0003676</v>
          </cell>
        </row>
        <row r="2522">
          <cell r="A2522" t="str">
            <v>GRMZM2G092780</v>
          </cell>
          <cell r="B2522" t="str">
            <v>GO:0005315GO:0016020GO:0006817</v>
          </cell>
        </row>
        <row r="2523">
          <cell r="A2523" t="str">
            <v>GRMZM2G104608</v>
          </cell>
          <cell r="B2523" t="str">
            <v>GO:0003913GO:0006281</v>
          </cell>
        </row>
        <row r="2524">
          <cell r="A2524" t="str">
            <v>GRMZM2G474153</v>
          </cell>
          <cell r="B2524" t="str">
            <v>GO:0004674GO:0006468GO:0005529GO:0004713GO:0005524</v>
          </cell>
        </row>
        <row r="2525">
          <cell r="A2525" t="str">
            <v>GRMZM2G061403</v>
          </cell>
          <cell r="B2525" t="str">
            <v>GO:0007155GO:0016020GO:0005975GO:0004553</v>
          </cell>
        </row>
        <row r="2526">
          <cell r="A2526" t="str">
            <v>GRMZM2G449274</v>
          </cell>
          <cell r="B2526" t="str">
            <v>GO:0005856GO:0006885GO:0016021GO:0015054GO:0006814GO:0007160GO:0050825GO:0042309GO:0050826GO:0015385GO:0007186</v>
          </cell>
        </row>
        <row r="2527">
          <cell r="A2527" t="str">
            <v>GRMZM2G009808</v>
          </cell>
          <cell r="B2527" t="str">
            <v>GO:0051539GO:0008152</v>
          </cell>
        </row>
        <row r="2528">
          <cell r="A2528" t="str">
            <v>AC208221.3_FG002</v>
          </cell>
          <cell r="B2528" t="str">
            <v>GO:0005576GO:0004867</v>
          </cell>
        </row>
        <row r="2529">
          <cell r="A2529" t="str">
            <v>GRMZM2G319109</v>
          </cell>
          <cell r="B2529" t="str">
            <v>GO:0003924GO:0005525GO:0004789GO:0009228GO:0005622</v>
          </cell>
        </row>
        <row r="2530">
          <cell r="A2530" t="str">
            <v>GRMZM2G121034</v>
          </cell>
          <cell r="B2530" t="str">
            <v>GO:0005488GO:0008152GO:0016491</v>
          </cell>
        </row>
        <row r="2531">
          <cell r="A2531" t="str">
            <v>GRMZM2G115162</v>
          </cell>
          <cell r="B2531" t="str">
            <v>GO:0005515</v>
          </cell>
        </row>
        <row r="2532">
          <cell r="A2532" t="str">
            <v>GRMZM2G152757</v>
          </cell>
          <cell r="B2532" t="str">
            <v>GO:0004437GO:0006790GO:0008441</v>
          </cell>
        </row>
        <row r="2533">
          <cell r="A2533" t="str">
            <v>AC233910.1_FG003</v>
          </cell>
          <cell r="B2533" t="str">
            <v>GO:0003735GO:0006412GO:0006464GO:0005840</v>
          </cell>
        </row>
        <row r="2534">
          <cell r="A2534" t="str">
            <v>GRMZM2G108457</v>
          </cell>
          <cell r="B2534" t="str">
            <v>GO:0016117GO:0006950GO:0016491GO:0016853GO:0009055</v>
          </cell>
        </row>
        <row r="2535">
          <cell r="A2535" t="str">
            <v>GRMZM2G022558</v>
          </cell>
          <cell r="B2535" t="str">
            <v>GO:0006633GO:0016020GO:0008415</v>
          </cell>
        </row>
        <row r="2536">
          <cell r="A2536" t="str">
            <v>GRMZM2G077181</v>
          </cell>
          <cell r="B2536" t="str">
            <v>GO:0003700GO:0006355GO:0043565</v>
          </cell>
        </row>
        <row r="2537">
          <cell r="A2537" t="str">
            <v>GRMZM2G173710</v>
          </cell>
          <cell r="B2537" t="str">
            <v>GO:0000160GO:0004871</v>
          </cell>
        </row>
        <row r="2538">
          <cell r="A2538" t="str">
            <v>GRMZM2G100412</v>
          </cell>
          <cell r="B2538" t="str">
            <v>GO:0004497GO:0020037GO:0009055</v>
          </cell>
        </row>
        <row r="2539">
          <cell r="A2539" t="str">
            <v>GRMZM2G099352</v>
          </cell>
          <cell r="B2539" t="str">
            <v>GO:0003735GO:0015935GO:0006412GO:0003723</v>
          </cell>
        </row>
        <row r="2540">
          <cell r="A2540" t="str">
            <v>GRMZM2G105644</v>
          </cell>
          <cell r="B2540" t="str">
            <v>GO:0004497GO:0045550GO:0015995GO:0015979</v>
          </cell>
        </row>
        <row r="2541">
          <cell r="A2541" t="str">
            <v>GRMZM2G002652</v>
          </cell>
          <cell r="B2541" t="str">
            <v>GO:0008483GO:0009058GO:0006519GO:0016847GO:0030170</v>
          </cell>
        </row>
        <row r="2542">
          <cell r="A2542" t="str">
            <v>GRMZM2G146913</v>
          </cell>
          <cell r="B2542" t="str">
            <v>GO:0005737GO:0004364GO:0008152</v>
          </cell>
        </row>
        <row r="2543">
          <cell r="A2543" t="str">
            <v>GRMZM2G414503</v>
          </cell>
          <cell r="B2543" t="str">
            <v>GO:0030173GO:0006486GO:0008373</v>
          </cell>
        </row>
        <row r="2544">
          <cell r="A2544" t="str">
            <v>GRMZM2G163988</v>
          </cell>
          <cell r="B2544" t="str">
            <v>GO:0003735GO:0005840GO:0006412GO:0003723</v>
          </cell>
        </row>
        <row r="2545">
          <cell r="A2545" t="str">
            <v>GRMZM2G066961</v>
          </cell>
          <cell r="B2545" t="str">
            <v>GO:0006950</v>
          </cell>
        </row>
        <row r="2546">
          <cell r="A2546" t="str">
            <v>GRMZM2G153815</v>
          </cell>
          <cell r="B2546" t="str">
            <v>GO:0006457GO:0051082GO:0005524</v>
          </cell>
        </row>
        <row r="2547">
          <cell r="A2547" t="str">
            <v>GRMZM2G010257</v>
          </cell>
          <cell r="B2547" t="str">
            <v>GO:0003735GO:0006414GO:0005840</v>
          </cell>
        </row>
        <row r="2548">
          <cell r="A2548" t="str">
            <v>GRMZM2G459663</v>
          </cell>
          <cell r="B2548" t="str">
            <v>GO:0050825GO:0005509GO:0042309GO:0050826</v>
          </cell>
        </row>
        <row r="2549">
          <cell r="A2549" t="str">
            <v>GRMZM2G070500</v>
          </cell>
          <cell r="B2549" t="str">
            <v>GO:0016020</v>
          </cell>
        </row>
        <row r="2550">
          <cell r="A2550" t="str">
            <v>GRMZM2G326270</v>
          </cell>
          <cell r="B2550" t="str">
            <v>GO:0008967GO:0008152</v>
          </cell>
        </row>
        <row r="2551">
          <cell r="A2551" t="str">
            <v>GRMZM2G028986</v>
          </cell>
          <cell r="B2551" t="str">
            <v>GO:0020037</v>
          </cell>
        </row>
        <row r="2552">
          <cell r="A2552" t="str">
            <v>GRMZM2G018238</v>
          </cell>
          <cell r="B2552" t="str">
            <v>GO:0009113GO:0004044GO:0009116</v>
          </cell>
        </row>
        <row r="2553">
          <cell r="A2553" t="str">
            <v>GRMZM2G147268</v>
          </cell>
          <cell r="B2553" t="str">
            <v>GO:0016829GO:0009058GO:0006520GO:0016769GO:0030170</v>
          </cell>
        </row>
        <row r="2554">
          <cell r="A2554" t="str">
            <v>GRMZM2G161696</v>
          </cell>
          <cell r="B2554" t="str">
            <v>GO:0006508GO:0004185</v>
          </cell>
        </row>
        <row r="2555">
          <cell r="A2555" t="str">
            <v>AC191575.2_FG001</v>
          </cell>
          <cell r="B2555" t="str">
            <v>GO:0006508GO:0004190</v>
          </cell>
        </row>
        <row r="2556">
          <cell r="A2556" t="str">
            <v>GRMZM2G105466</v>
          </cell>
          <cell r="B2556" t="str">
            <v>GO:0003935GO:0008686GO:0009231</v>
          </cell>
        </row>
        <row r="2557">
          <cell r="A2557" t="str">
            <v>GRMZM2G346861</v>
          </cell>
          <cell r="B2557" t="str">
            <v>GO:0004252GO:0005634GO:0006355GO:0003677GO:0006508GO:0004879</v>
          </cell>
        </row>
        <row r="2558">
          <cell r="A2558" t="str">
            <v>GRMZM2G024099</v>
          </cell>
          <cell r="B2558" t="str">
            <v>GO:0006508GO:0004190</v>
          </cell>
        </row>
        <row r="2559">
          <cell r="A2559" t="str">
            <v>GRMZM2G003096</v>
          </cell>
          <cell r="B2559" t="str">
            <v>GO:0003824</v>
          </cell>
        </row>
        <row r="2560">
          <cell r="A2560" t="str">
            <v>GRMZM2G136106</v>
          </cell>
          <cell r="B2560" t="str">
            <v>GO:0042545GO:0005618GO:0030599GO:0050825GO:0042309GO:0050826GO:0004857</v>
          </cell>
        </row>
        <row r="2561">
          <cell r="A2561" t="str">
            <v>GRMZM2G024335</v>
          </cell>
          <cell r="B2561" t="str">
            <v>GO:0008152GO:0003824GO:0008270GO:0003676</v>
          </cell>
        </row>
        <row r="2562">
          <cell r="A2562" t="str">
            <v>GRMZM2G015287</v>
          </cell>
          <cell r="B2562" t="str">
            <v>GO:0019787GO:0043687GO:0051246</v>
          </cell>
        </row>
        <row r="2563">
          <cell r="A2563" t="str">
            <v>GRMZM2G450937</v>
          </cell>
          <cell r="B2563" t="str">
            <v>GO:0005840GO:0006334GO:0003677GO:0003735GO:0005515GO:0000786GO:0006412</v>
          </cell>
        </row>
        <row r="2564">
          <cell r="A2564" t="str">
            <v>GRMZM2G034421</v>
          </cell>
          <cell r="B2564" t="str">
            <v>GO:0003700GO:0043565GO:0005634GO:0045449</v>
          </cell>
        </row>
        <row r="2565">
          <cell r="A2565" t="str">
            <v>GRMZM2G323024</v>
          </cell>
          <cell r="B2565" t="str">
            <v>GO:0015995GO:0016851</v>
          </cell>
        </row>
        <row r="2566">
          <cell r="A2566" t="str">
            <v>GRMZM2G304947</v>
          </cell>
          <cell r="B2566" t="str">
            <v>GO:0008137GO:0051536GO:0009375GO:0008901</v>
          </cell>
        </row>
        <row r="2567">
          <cell r="A2567" t="str">
            <v>GRMZM2G013318</v>
          </cell>
          <cell r="B2567" t="str">
            <v>GO:0007264GO:0005525GO:0005622</v>
          </cell>
        </row>
        <row r="2568">
          <cell r="A2568" t="str">
            <v>GRMZM2G029243</v>
          </cell>
          <cell r="B2568" t="str">
            <v>GO:0005975GO:0004553</v>
          </cell>
        </row>
        <row r="2569">
          <cell r="A2569" t="str">
            <v>GRMZM2G328500</v>
          </cell>
          <cell r="B2569" t="str">
            <v>GO:0051287GO:0016616GO:0008152</v>
          </cell>
        </row>
        <row r="2570">
          <cell r="A2570" t="str">
            <v>GRMZM2G148200</v>
          </cell>
          <cell r="B2570" t="str">
            <v>GO:0016020GO:0015992GO:0009678GO:0004427</v>
          </cell>
        </row>
        <row r="2571">
          <cell r="A2571" t="str">
            <v>GRMZM2G102838</v>
          </cell>
          <cell r="B2571" t="str">
            <v>GO:0015629GO:0016021GO:0005199GO:0004969GO:0007155GO:0007186</v>
          </cell>
        </row>
        <row r="2572">
          <cell r="A2572" t="str">
            <v>GRMZM2G113033</v>
          </cell>
          <cell r="B2572" t="str">
            <v>GO:0015977GO:0016984</v>
          </cell>
        </row>
        <row r="2573">
          <cell r="A2573" t="str">
            <v>GRMZM2G079782</v>
          </cell>
          <cell r="B2573" t="str">
            <v>GO:0020037GO:0009055</v>
          </cell>
        </row>
        <row r="2574">
          <cell r="A2574" t="str">
            <v>GRMZM2G000660</v>
          </cell>
          <cell r="B2574" t="str">
            <v>GO:0006470GO:0008138</v>
          </cell>
        </row>
        <row r="2575">
          <cell r="A2575" t="str">
            <v>GRMZM2G075630</v>
          </cell>
          <cell r="B2575" t="str">
            <v>GO:0003735GO:0006414GO:0005840</v>
          </cell>
        </row>
        <row r="2576">
          <cell r="A2576" t="str">
            <v>GRMZM2G475948</v>
          </cell>
          <cell r="B2576" t="str">
            <v>GO:0004674GO:0006468GO:0005529GO:0004713GO:0005524</v>
          </cell>
        </row>
        <row r="2577">
          <cell r="A2577" t="str">
            <v>GRMZM2G075637</v>
          </cell>
          <cell r="B2577" t="str">
            <v>GO:0006334GO:0005634</v>
          </cell>
        </row>
        <row r="2578">
          <cell r="A2578" t="str">
            <v>GRMZM2G114893</v>
          </cell>
          <cell r="B2578" t="str">
            <v>GO:0050825GO:0042309GO:0050826</v>
          </cell>
        </row>
        <row r="2579">
          <cell r="A2579" t="str">
            <v>GRMZM2G166297</v>
          </cell>
          <cell r="B2579" t="str">
            <v>GO:0008287GO:0006470GO:0005634GO:0003677GO:0004722GO:0006355GO:0050825GO:0042309GO:0050826GO:0004879</v>
          </cell>
        </row>
        <row r="2580">
          <cell r="A2580" t="str">
            <v>GRMZM2G023847</v>
          </cell>
          <cell r="B2580" t="str">
            <v>GO:0005507GO:0009055</v>
          </cell>
        </row>
        <row r="2581">
          <cell r="A2581" t="str">
            <v>GRMZM2G422340</v>
          </cell>
          <cell r="B2581" t="str">
            <v>GO:0006468GO:0004674GO:0005529GO:0004713GO:0005524GO:0048544</v>
          </cell>
        </row>
        <row r="2582">
          <cell r="A2582" t="str">
            <v>GRMZM2G156227</v>
          </cell>
          <cell r="B2582" t="str">
            <v>GO:0006979GO:0020037GO:0004601</v>
          </cell>
        </row>
        <row r="2583">
          <cell r="A2583" t="str">
            <v>GRMZM2G057535</v>
          </cell>
          <cell r="B2583" t="str">
            <v>GO:0005737GO:0003746GO:0006414GO:0003924GO:0005525</v>
          </cell>
        </row>
        <row r="2584">
          <cell r="A2584" t="str">
            <v>GRMZM2G166459</v>
          </cell>
          <cell r="B2584" t="str">
            <v>GO:0015297GO:0016020GO:0006855GO:0015238GO:0003824GO:0006835GO:0005488GO:0008152GO:0017153</v>
          </cell>
        </row>
        <row r="2585">
          <cell r="A2585" t="str">
            <v>GRMZM2G133885</v>
          </cell>
          <cell r="B2585" t="str">
            <v>GO:0004609GO:0008654</v>
          </cell>
        </row>
        <row r="2586">
          <cell r="A2586" t="str">
            <v>GRMZM2G132069</v>
          </cell>
          <cell r="B2586" t="str">
            <v>GO:0003872GO:0005945GO:0006096GO:0005524</v>
          </cell>
        </row>
        <row r="2587">
          <cell r="A2587" t="str">
            <v>GRMZM2G047384</v>
          </cell>
          <cell r="B2587" t="str">
            <v>GO:0006284GO:0016020GO:0005096GO:0008725</v>
          </cell>
        </row>
        <row r="2588">
          <cell r="A2588" t="str">
            <v>GRMZM2G166855</v>
          </cell>
          <cell r="B2588" t="str">
            <v>GO:0004579GO:0018279GO:0008250</v>
          </cell>
        </row>
        <row r="2589">
          <cell r="A2589" t="str">
            <v>GRMZM2G000581</v>
          </cell>
          <cell r="B2589" t="str">
            <v>GO:0016020</v>
          </cell>
        </row>
        <row r="2590">
          <cell r="A2590" t="str">
            <v>GRMZM2G148333</v>
          </cell>
          <cell r="B2590" t="str">
            <v>GO:0003700GO:0006355GO:0050825GO:0042309GO:0050826</v>
          </cell>
        </row>
        <row r="2591">
          <cell r="A2591" t="str">
            <v>GRMZM2G455476</v>
          </cell>
          <cell r="B2591" t="str">
            <v>GO:0008137GO:0051536GO:0009375GO:0008901</v>
          </cell>
        </row>
        <row r="2592">
          <cell r="A2592" t="str">
            <v>GRMZM2G027756</v>
          </cell>
          <cell r="B2592" t="str">
            <v>GO:0004674GO:0006468GO:0004713GO:0005524</v>
          </cell>
        </row>
        <row r="2593">
          <cell r="A2593" t="str">
            <v>GRMZM2G117198</v>
          </cell>
          <cell r="B2593" t="str">
            <v>GO:0006730GO:0004478GO:0005524</v>
          </cell>
        </row>
        <row r="2594">
          <cell r="A2594" t="str">
            <v>GRMZM2G431288</v>
          </cell>
          <cell r="B2594" t="str">
            <v>GO:0004497GO:0020037GO:0009055</v>
          </cell>
        </row>
        <row r="2595">
          <cell r="A2595" t="str">
            <v>GRMZM2G162359</v>
          </cell>
          <cell r="B2595" t="str">
            <v>GO:0005975GO:0004553</v>
          </cell>
        </row>
        <row r="2596">
          <cell r="A2596" t="str">
            <v>GRMZM2G159641</v>
          </cell>
          <cell r="B2596" t="str">
            <v>GO:0016747GO:0008152GO:0016491</v>
          </cell>
        </row>
        <row r="2597">
          <cell r="A2597" t="str">
            <v>GRMZM2G116823</v>
          </cell>
          <cell r="B2597" t="str">
            <v>GO:0004601GO:0006979GO:0020037GO:0009055</v>
          </cell>
        </row>
        <row r="2598">
          <cell r="A2598" t="str">
            <v>GRMZM2G081268</v>
          </cell>
          <cell r="B2598" t="str">
            <v>GO:0046872GO:0004462</v>
          </cell>
        </row>
        <row r="2599">
          <cell r="A2599" t="str">
            <v>GRMZM2G050186</v>
          </cell>
          <cell r="B2599" t="str">
            <v>GO:0015031GO:0016887GO:0005524GO:0005515</v>
          </cell>
        </row>
        <row r="2600">
          <cell r="A2600" t="str">
            <v>GRMZM2G177720</v>
          </cell>
          <cell r="B2600" t="str">
            <v>GO:0003735GO:0006412GO:0005840</v>
          </cell>
        </row>
        <row r="2601">
          <cell r="A2601" t="str">
            <v>GRMZM2G155626</v>
          </cell>
          <cell r="B2601" t="str">
            <v>GO:0006189GO:0004644</v>
          </cell>
        </row>
        <row r="2602">
          <cell r="A2602" t="str">
            <v>GRMZM2G035552</v>
          </cell>
          <cell r="B2602" t="str">
            <v>GO:0016597GO:0008152</v>
          </cell>
        </row>
        <row r="2603">
          <cell r="A2603" t="str">
            <v>GRMZM2G021378</v>
          </cell>
          <cell r="B2603" t="str">
            <v>GO:0005484GO:0006886GO:0016020GO:0016192</v>
          </cell>
        </row>
        <row r="2604">
          <cell r="A2604" t="str">
            <v>GRMZM2G118312</v>
          </cell>
          <cell r="B2604" t="str">
            <v>GO:0008107GO:0016020GO:0042546</v>
          </cell>
        </row>
        <row r="2605">
          <cell r="A2605" t="str">
            <v>GRMZM2G158013</v>
          </cell>
          <cell r="B2605" t="str">
            <v>GO:0016021GO:0008271GO:0008272</v>
          </cell>
        </row>
        <row r="2606">
          <cell r="A2606" t="str">
            <v>GRMZM2G041356</v>
          </cell>
          <cell r="B2606" t="str">
            <v>GO:0005975GO:0030246GO:0016853</v>
          </cell>
        </row>
        <row r="2607">
          <cell r="A2607" t="str">
            <v>GRMZM2G308687</v>
          </cell>
          <cell r="B2607" t="str">
            <v>GO:0005737GO:0004364GO:0008152</v>
          </cell>
        </row>
        <row r="2608">
          <cell r="A2608" t="str">
            <v>GRMZM2G014558</v>
          </cell>
          <cell r="B2608" t="str">
            <v>GO:0030244GO:0016020GO:0016760GO:0016491</v>
          </cell>
        </row>
        <row r="2609">
          <cell r="A2609" t="str">
            <v>GRMZM2G090584</v>
          </cell>
          <cell r="B2609" t="str">
            <v>GO:0008168GO:0032259GO:0016757GO:0003676</v>
          </cell>
        </row>
        <row r="2610">
          <cell r="A2610" t="str">
            <v>AC194970.5_FG001</v>
          </cell>
          <cell r="B2610" t="str">
            <v>GO:0005634GO:0003677GO:0006355GO:0008299GO:0050825GO:0042309GO:0050826GO:0004879</v>
          </cell>
        </row>
        <row r="2611">
          <cell r="A2611" t="str">
            <v>GRMZM2G422750</v>
          </cell>
          <cell r="B2611" t="str">
            <v>GO:0003824GO:0008152</v>
          </cell>
        </row>
        <row r="2612">
          <cell r="A2612" t="str">
            <v>GRMZM2G029685</v>
          </cell>
          <cell r="B2612" t="str">
            <v>GO:0003735GO:0006412GO:0005840</v>
          </cell>
        </row>
        <row r="2613">
          <cell r="A2613" t="str">
            <v>GRMZM2G433002</v>
          </cell>
          <cell r="B2613" t="str">
            <v>GO:0009063GO:0006508GO:0006629GO:0004177</v>
          </cell>
        </row>
        <row r="2614">
          <cell r="A2614" t="str">
            <v>GRMZM2G102230</v>
          </cell>
          <cell r="B2614" t="str">
            <v>GO:0003735GO:0006412GO:0005840</v>
          </cell>
        </row>
        <row r="2615">
          <cell r="A2615" t="str">
            <v>GRMZM2G122302</v>
          </cell>
          <cell r="B2615" t="str">
            <v>GO:0005507GO:0009055</v>
          </cell>
        </row>
        <row r="2616">
          <cell r="A2616" t="str">
            <v>GRMZM2G162158</v>
          </cell>
          <cell r="B2616" t="str">
            <v>GO:0005506GO:0016491</v>
          </cell>
        </row>
        <row r="2617">
          <cell r="A2617" t="str">
            <v>GRMZM2G129860</v>
          </cell>
          <cell r="B2617" t="str">
            <v>GO:0004497GO:0020037GO:0009055</v>
          </cell>
        </row>
        <row r="2618">
          <cell r="A2618" t="str">
            <v>GRMZM2G177340</v>
          </cell>
          <cell r="B2618" t="str">
            <v>GO:0005634GO:0003676</v>
          </cell>
        </row>
        <row r="2619">
          <cell r="A2619" t="str">
            <v>GRMZM2G415491</v>
          </cell>
          <cell r="B2619" t="str">
            <v>GO:0005634GO:0008026GO:0008270GO:0005524GO:0003723</v>
          </cell>
        </row>
        <row r="2620">
          <cell r="A2620" t="str">
            <v>GRMZM2G164562</v>
          </cell>
          <cell r="B2620" t="str">
            <v>GO:0004107GO:0009073</v>
          </cell>
        </row>
        <row r="2621">
          <cell r="A2621" t="str">
            <v>GRMZM2G351977</v>
          </cell>
          <cell r="B2621" t="str">
            <v>GO:0016020GO:0009765</v>
          </cell>
        </row>
        <row r="2622">
          <cell r="A2622" t="str">
            <v>GRMZM2G116554</v>
          </cell>
          <cell r="B2622" t="str">
            <v>GO:0006865GO:0016020GO:0015171</v>
          </cell>
        </row>
        <row r="2623">
          <cell r="A2623" t="str">
            <v>GRMZM2G134205</v>
          </cell>
          <cell r="B2623" t="str">
            <v>GO:0004674GO:0006468GO:0004713GO:0005524GO:0005509</v>
          </cell>
        </row>
        <row r="2624">
          <cell r="A2624" t="str">
            <v>GRMZM2G112072</v>
          </cell>
          <cell r="B2624" t="str">
            <v>GO:0007067</v>
          </cell>
        </row>
        <row r="2625">
          <cell r="A2625" t="str">
            <v>GRMZM2G456997</v>
          </cell>
          <cell r="B2625" t="str">
            <v>GO:0005576</v>
          </cell>
        </row>
        <row r="2626">
          <cell r="A2626" t="str">
            <v>GRMZM2G084369</v>
          </cell>
          <cell r="B2626" t="str">
            <v>GO:0004674GO:0006468GO:0005524</v>
          </cell>
        </row>
        <row r="2627">
          <cell r="A2627" t="str">
            <v>GRMZM2G149317</v>
          </cell>
          <cell r="B2627" t="str">
            <v>GO:0016740GO:0009058</v>
          </cell>
        </row>
        <row r="2628">
          <cell r="A2628" t="str">
            <v>GRMZM2G168985</v>
          </cell>
          <cell r="B2628" t="str">
            <v>GO:0006468GO:0004674GO:0005529GO:0004713GO:0005524GO:0048544</v>
          </cell>
        </row>
        <row r="2629">
          <cell r="A2629" t="str">
            <v>GRMZM2G392863</v>
          </cell>
          <cell r="B2629" t="str">
            <v>GO:0006952</v>
          </cell>
        </row>
        <row r="2630">
          <cell r="A2630" t="str">
            <v>GRMZM2G026807</v>
          </cell>
          <cell r="B2630" t="str">
            <v>GO:0004750GO:0005975</v>
          </cell>
        </row>
        <row r="2631">
          <cell r="A2631" t="str">
            <v>GRMZM2G119175</v>
          </cell>
          <cell r="B2631" t="str">
            <v>GO:0004743GO:0000287GO:0006096GO:0030955</v>
          </cell>
        </row>
        <row r="2632">
          <cell r="A2632" t="str">
            <v>GRMZM2G105250</v>
          </cell>
          <cell r="B2632" t="str">
            <v>GO:0003676</v>
          </cell>
        </row>
        <row r="2633">
          <cell r="A2633" t="str">
            <v>AC187157.4_FG005</v>
          </cell>
          <cell r="B2633" t="str">
            <v>GO:0003700GO:0006355GO:0005634GO:0043565</v>
          </cell>
        </row>
        <row r="2634">
          <cell r="A2634" t="str">
            <v>GRMZM2G110412</v>
          </cell>
          <cell r="B2634" t="str">
            <v>GO:0004674GO:0006468GO:0004713GO:0005524</v>
          </cell>
        </row>
        <row r="2635">
          <cell r="A2635" t="str">
            <v>GRMZM2G005308</v>
          </cell>
          <cell r="B2635" t="str">
            <v>GO:0005634GO:0006364GO:0030529</v>
          </cell>
        </row>
        <row r="2636">
          <cell r="A2636" t="str">
            <v>GRMZM2G367650</v>
          </cell>
          <cell r="B2636" t="str">
            <v>GO:0008270GO:0005515</v>
          </cell>
        </row>
        <row r="2637">
          <cell r="A2637" t="str">
            <v>GRMZM2G111415</v>
          </cell>
          <cell r="B2637" t="str">
            <v>GO:0003700GO:0006355GO:0050825GO:0042309GO:0050826</v>
          </cell>
        </row>
        <row r="2638">
          <cell r="A2638" t="str">
            <v>GRMZM2G015605</v>
          </cell>
          <cell r="B2638" t="str">
            <v>GO:0016021</v>
          </cell>
        </row>
        <row r="2639">
          <cell r="A2639" t="str">
            <v>GRMZM2G333448</v>
          </cell>
          <cell r="B2639" t="str">
            <v>GO:0007242</v>
          </cell>
        </row>
        <row r="2640">
          <cell r="A2640" t="str">
            <v>GRMZM2G121565</v>
          </cell>
          <cell r="B2640" t="str">
            <v>GO:0004674GO:0006468GO:0005524GO:0005515GO:0004713</v>
          </cell>
        </row>
        <row r="2641">
          <cell r="A2641" t="str">
            <v>GRMZM2G099036</v>
          </cell>
          <cell r="B2641" t="str">
            <v>GO:0015629GO:0005198GO:0006265GO:0050825GO:0042309GO:0050826GO:0007155GO:0005694GO:0003918GO:0005524</v>
          </cell>
        </row>
        <row r="2642">
          <cell r="A2642" t="str">
            <v>GRMZM2G333833</v>
          </cell>
          <cell r="B2642" t="str">
            <v>GO:0005247GO:0006821GO:0016020</v>
          </cell>
        </row>
        <row r="2643">
          <cell r="A2643" t="str">
            <v>GRMZM2G023237</v>
          </cell>
          <cell r="B2643" t="str">
            <v>GO:0045454GO:0015035GO:0009055</v>
          </cell>
        </row>
        <row r="2644">
          <cell r="A2644" t="str">
            <v>GRMZM2G129246</v>
          </cell>
          <cell r="B2644" t="str">
            <v>GO:0016491GO:0010181GO:0009055</v>
          </cell>
        </row>
        <row r="2645">
          <cell r="A2645" t="str">
            <v>GRMZM2G354909</v>
          </cell>
          <cell r="B2645" t="str">
            <v>GO:0009239GO:0005488GO:0008667</v>
          </cell>
        </row>
        <row r="2646">
          <cell r="A2646" t="str">
            <v>GRMZM2G130149</v>
          </cell>
          <cell r="B2646" t="str">
            <v>GO:0003677</v>
          </cell>
        </row>
        <row r="2647">
          <cell r="A2647" t="str">
            <v>GRMZM2G175082</v>
          </cell>
          <cell r="B2647" t="str">
            <v>GO:0016747</v>
          </cell>
        </row>
        <row r="2648">
          <cell r="A2648" t="str">
            <v>GRMZM2G360589</v>
          </cell>
          <cell r="B2648" t="str">
            <v>GO:0048037GO:0016616</v>
          </cell>
        </row>
        <row r="2649">
          <cell r="A2649" t="str">
            <v>GRMZM2G419777</v>
          </cell>
          <cell r="B2649" t="str">
            <v>GO:0050825GO:0042309GO:0050826</v>
          </cell>
        </row>
        <row r="2650">
          <cell r="A2650" t="str">
            <v>GRMZM2G157298</v>
          </cell>
          <cell r="B2650" t="str">
            <v>GO:0048046GO:0030145GO:0045735</v>
          </cell>
        </row>
        <row r="2651">
          <cell r="A2651" t="str">
            <v>GRMZM2G069542</v>
          </cell>
          <cell r="B2651" t="str">
            <v>GO:0006099GO:0008964</v>
          </cell>
        </row>
        <row r="2652">
          <cell r="A2652" t="str">
            <v>GRMZM2G002915</v>
          </cell>
          <cell r="B2652" t="str">
            <v>GO:0003700GO:0006355GO:0005634GO:0043565</v>
          </cell>
        </row>
        <row r="2653">
          <cell r="A2653" t="str">
            <v>GRMZM2G099297</v>
          </cell>
          <cell r="B2653" t="str">
            <v>GO:0008171</v>
          </cell>
        </row>
        <row r="2654">
          <cell r="A2654" t="str">
            <v>GRMZM2G049416</v>
          </cell>
          <cell r="B2654" t="str">
            <v>GO:0003735GO:0006412GO:0005840</v>
          </cell>
        </row>
        <row r="2655">
          <cell r="A2655" t="str">
            <v>GRMZM2G055464</v>
          </cell>
          <cell r="B2655" t="str">
            <v>GO:0006259GO:0008094GO:0005524GO:0003677</v>
          </cell>
        </row>
        <row r="2656">
          <cell r="A2656" t="str">
            <v>GRMZM2G099729</v>
          </cell>
          <cell r="B2656" t="str">
            <v>GO:0008168GO:0008152</v>
          </cell>
        </row>
        <row r="2657">
          <cell r="A2657" t="str">
            <v>GRMZM2G073079</v>
          </cell>
          <cell r="B2657" t="str">
            <v>GO:0016787</v>
          </cell>
        </row>
        <row r="2658">
          <cell r="A2658" t="str">
            <v>GRMZM2G100716</v>
          </cell>
          <cell r="B2658" t="str">
            <v>GO:0004091</v>
          </cell>
        </row>
        <row r="2659">
          <cell r="A2659" t="str">
            <v>GRMZM2G138770</v>
          </cell>
          <cell r="B2659" t="str">
            <v>GO:0017111GO:0005524</v>
          </cell>
        </row>
        <row r="2660">
          <cell r="A2660" t="str">
            <v>GRMZM2G088669</v>
          </cell>
          <cell r="B2660" t="str">
            <v>GO:0046872GO:0030001</v>
          </cell>
        </row>
        <row r="2661">
          <cell r="A2661" t="str">
            <v>GRMZM2G043191</v>
          </cell>
          <cell r="B2661" t="str">
            <v>GO:0004437</v>
          </cell>
        </row>
        <row r="2662">
          <cell r="A2662" t="str">
            <v>GRMZM2G055667</v>
          </cell>
          <cell r="B2662" t="str">
            <v>GO:0005737GO:0006633GO:0016836</v>
          </cell>
        </row>
        <row r="2663">
          <cell r="A2663" t="str">
            <v>GRMZM2G009479</v>
          </cell>
          <cell r="B2663" t="str">
            <v>GO:0005506GO:0016165GO:0009055</v>
          </cell>
        </row>
        <row r="2664">
          <cell r="A2664" t="str">
            <v>GRMZM2G373522</v>
          </cell>
          <cell r="B2664" t="str">
            <v>GO:0006950GO:0009415</v>
          </cell>
        </row>
        <row r="2665">
          <cell r="A2665" t="str">
            <v>GRMZM2G148744</v>
          </cell>
          <cell r="B2665" t="str">
            <v>GO:0003735GO:0015934GO:0006412</v>
          </cell>
        </row>
        <row r="2666">
          <cell r="A2666" t="str">
            <v>GRMZM2G068967</v>
          </cell>
          <cell r="B2666" t="str">
            <v>GO:0003700GO:0006355</v>
          </cell>
        </row>
        <row r="2667">
          <cell r="A2667" t="str">
            <v>GRMZM2G136353</v>
          </cell>
          <cell r="B2667" t="str">
            <v>GO:0004674GO:0006468GO:0005524GO:0005515GO:0004713</v>
          </cell>
        </row>
        <row r="2668">
          <cell r="A2668" t="str">
            <v>GRMZM2G312661</v>
          </cell>
          <cell r="B2668" t="str">
            <v>GO:0005509</v>
          </cell>
        </row>
        <row r="2669">
          <cell r="A2669" t="str">
            <v>GRMZM2G097342</v>
          </cell>
          <cell r="B2669" t="str">
            <v>GO:0006520GO:0016491</v>
          </cell>
        </row>
        <row r="2670">
          <cell r="A2670" t="str">
            <v>GRMZM2G168330</v>
          </cell>
          <cell r="B2670" t="str">
            <v>GO:0003735GO:0006412GO:0005840</v>
          </cell>
        </row>
        <row r="2671">
          <cell r="A2671" t="str">
            <v>GRMZM2G066358</v>
          </cell>
          <cell r="B2671" t="str">
            <v>GO:0005506GO:0016491</v>
          </cell>
        </row>
        <row r="2672">
          <cell r="A2672" t="str">
            <v>GRMZM2G110236</v>
          </cell>
          <cell r="B2672" t="str">
            <v>GO:0016021</v>
          </cell>
        </row>
        <row r="2673">
          <cell r="A2673" t="str">
            <v>GRMZM2G121514</v>
          </cell>
          <cell r="B2673" t="str">
            <v>GO:0004563GO:0005975</v>
          </cell>
        </row>
        <row r="2674">
          <cell r="A2674" t="str">
            <v>GRMZM2G141931</v>
          </cell>
          <cell r="B2674" t="str">
            <v>GO:0006457GO:0051082GO:0005524</v>
          </cell>
        </row>
        <row r="2675">
          <cell r="A2675" t="str">
            <v>GRMZM2G145258</v>
          </cell>
          <cell r="B2675" t="str">
            <v>GO:0003735GO:0006412GO:0005840</v>
          </cell>
        </row>
        <row r="2676">
          <cell r="A2676" t="str">
            <v>GRMZM2G032253</v>
          </cell>
          <cell r="B2676" t="str">
            <v>GO:0051537GO:0009055</v>
          </cell>
        </row>
        <row r="2677">
          <cell r="A2677" t="str">
            <v>GRMZM2G100403</v>
          </cell>
          <cell r="B2677" t="str">
            <v>GO:0003735GO:0006412GO:0005840</v>
          </cell>
        </row>
        <row r="2678">
          <cell r="A2678" t="str">
            <v>GRMZM2G162486</v>
          </cell>
          <cell r="B2678" t="str">
            <v>GO:0005737GO:0004364GO:0008152</v>
          </cell>
        </row>
        <row r="2679">
          <cell r="A2679" t="str">
            <v>GRMZM2G029912</v>
          </cell>
          <cell r="B2679" t="str">
            <v>GO:0006633GO:0005506GO:0005783GO:0055114GO:0016491</v>
          </cell>
        </row>
        <row r="2680">
          <cell r="A2680" t="str">
            <v>GRMZM2G322817</v>
          </cell>
          <cell r="B2680" t="str">
            <v>GO:0008270</v>
          </cell>
        </row>
        <row r="2681">
          <cell r="A2681" t="str">
            <v>GRMZM2G004160</v>
          </cell>
          <cell r="B2681" t="str">
            <v>GO:0005507GO:0009055</v>
          </cell>
        </row>
        <row r="2682">
          <cell r="A2682" t="str">
            <v>GRMZM2G322819</v>
          </cell>
          <cell r="B2682" t="str">
            <v>GO:0006508GO:0004252</v>
          </cell>
        </row>
        <row r="2683">
          <cell r="A2683" t="str">
            <v>GRMZM2G026065</v>
          </cell>
          <cell r="B2683" t="str">
            <v>GO:0004674GO:0006468GO:0004713GO:0005524</v>
          </cell>
        </row>
        <row r="2684">
          <cell r="A2684" t="str">
            <v>GRMZM2G358830</v>
          </cell>
          <cell r="B2684" t="str">
            <v>GO:0006468GO:0016021GO:0005199GO:0004674GO:0004713GO:0007186GO:0005524</v>
          </cell>
        </row>
        <row r="2685">
          <cell r="A2685" t="str">
            <v>GRMZM2G160996</v>
          </cell>
          <cell r="B2685" t="str">
            <v>GO:0003700GO:0045449</v>
          </cell>
        </row>
        <row r="2686">
          <cell r="A2686" t="str">
            <v>GRMZM2G322723</v>
          </cell>
          <cell r="B2686" t="str">
            <v>GO:0006468GO:0004674GO:0005529GO:0004713GO:0005524GO:0048544</v>
          </cell>
        </row>
        <row r="2687">
          <cell r="A2687" t="str">
            <v>GRMZM2G019358</v>
          </cell>
          <cell r="B2687" t="str">
            <v>GO:0003824GO:0005488GO:0008152</v>
          </cell>
        </row>
        <row r="2688">
          <cell r="A2688" t="str">
            <v>GRMZM2G118241</v>
          </cell>
          <cell r="B2688" t="str">
            <v>GO:0006508GO:0004185</v>
          </cell>
        </row>
        <row r="2689">
          <cell r="A2689" t="str">
            <v>GRMZM2G077316</v>
          </cell>
          <cell r="B2689" t="str">
            <v>GO:0016853GO:0009507</v>
          </cell>
        </row>
        <row r="2690">
          <cell r="A2690" t="str">
            <v>GRMZM2G088847</v>
          </cell>
          <cell r="B2690" t="str">
            <v>GO:0007155</v>
          </cell>
        </row>
        <row r="2691">
          <cell r="A2691" t="str">
            <v>GRMZM2G161668</v>
          </cell>
          <cell r="B2691" t="str">
            <v>GO:0006355GO:0003723</v>
          </cell>
        </row>
        <row r="2692">
          <cell r="A2692" t="str">
            <v>GRMZM2G093606</v>
          </cell>
          <cell r="B2692" t="str">
            <v>GO:0048046GO:0030145GO:0045735</v>
          </cell>
        </row>
        <row r="2693">
          <cell r="A2693" t="str">
            <v>GRMZM2G108153</v>
          </cell>
          <cell r="B2693" t="str">
            <v>GO:0004601GO:0006979GO:0020037GO:0009055</v>
          </cell>
        </row>
        <row r="2694">
          <cell r="A2694" t="str">
            <v>GRMZM2G058432</v>
          </cell>
          <cell r="B2694" t="str">
            <v>GO:0045039GO:0042719</v>
          </cell>
        </row>
        <row r="2695">
          <cell r="A2695" t="str">
            <v>GRMZM2G121868</v>
          </cell>
          <cell r="B2695" t="str">
            <v>GO:0016021GO:0006334GO:0000786GO:0005199GO:0006355GO:0004969GO:0003677GO:0007186GO:0005634GO:0004879</v>
          </cell>
        </row>
        <row r="2696">
          <cell r="A2696" t="str">
            <v>GRMZM2G038722</v>
          </cell>
          <cell r="B2696" t="str">
            <v>GO:0005737GO:0006796GO:0000287GO:0003677GO:0004427</v>
          </cell>
        </row>
        <row r="2697">
          <cell r="A2697" t="str">
            <v>GRMZM2G372058</v>
          </cell>
          <cell r="B2697" t="str">
            <v>GO:0005515</v>
          </cell>
        </row>
        <row r="2698">
          <cell r="A2698" t="str">
            <v>GRMZM2G079263</v>
          </cell>
          <cell r="B2698" t="str">
            <v>GO:0005975GO:0004650</v>
          </cell>
        </row>
        <row r="2699">
          <cell r="A2699" t="str">
            <v>GRMZM2G074687</v>
          </cell>
          <cell r="B2699" t="str">
            <v>GO:0006457GO:0005509GO:0051082GO:0005783</v>
          </cell>
        </row>
        <row r="2700">
          <cell r="A2700" t="str">
            <v>GRMZM2G099363</v>
          </cell>
          <cell r="B2700" t="str">
            <v>GO:0008171</v>
          </cell>
        </row>
        <row r="2701">
          <cell r="A2701" t="str">
            <v>GRMZM2G060210</v>
          </cell>
          <cell r="B2701" t="str">
            <v>GO:0016747</v>
          </cell>
        </row>
        <row r="2702">
          <cell r="A2702" t="str">
            <v>GRMZM2G403797</v>
          </cell>
          <cell r="B2702" t="str">
            <v>GO:0006511GO:0005622GO:0004221</v>
          </cell>
        </row>
        <row r="2703">
          <cell r="A2703" t="str">
            <v>GRMZM2G348512</v>
          </cell>
          <cell r="B2703" t="str">
            <v>GO:0015976GO:0004089GO:0008270</v>
          </cell>
        </row>
        <row r="2704">
          <cell r="A2704" t="str">
            <v>GRMZM2G034417</v>
          </cell>
          <cell r="B2704" t="str">
            <v>GO:0004437</v>
          </cell>
        </row>
        <row r="2705">
          <cell r="A2705" t="str">
            <v>GRMZM2G030139</v>
          </cell>
          <cell r="B2705" t="str">
            <v>GO:0016310GO:0005524GO:0016772</v>
          </cell>
        </row>
        <row r="2706">
          <cell r="A2706" t="str">
            <v>GRMZM2G015295</v>
          </cell>
          <cell r="B2706" t="str">
            <v>GO:0004013GO:0048037GO:0006730GO:0016616</v>
          </cell>
        </row>
        <row r="2707">
          <cell r="A2707" t="str">
            <v>GRMZM2G013821</v>
          </cell>
          <cell r="B2707" t="str">
            <v>GO:0005634GO:0003677</v>
          </cell>
        </row>
        <row r="2708">
          <cell r="A2708" t="str">
            <v>GRMZM2G420882</v>
          </cell>
          <cell r="B2708" t="str">
            <v>GO:0006468GO:0004674GO:0005529GO:0009405GO:0004713GO:0005524GO:0048544</v>
          </cell>
        </row>
        <row r="2709">
          <cell r="A2709" t="str">
            <v>GRMZM2G018820</v>
          </cell>
          <cell r="B2709" t="str">
            <v>GO:0006071GO:0006629GO:0008889</v>
          </cell>
        </row>
        <row r="2710">
          <cell r="A2710" t="str">
            <v>GRMZM2G132929</v>
          </cell>
          <cell r="B2710" t="str">
            <v>GO:0003735GO:0006412GO:0005840</v>
          </cell>
        </row>
        <row r="2711">
          <cell r="A2711" t="str">
            <v>GRMZM2G085153</v>
          </cell>
          <cell r="B2711" t="str">
            <v>GO:0055114GO:0016491</v>
          </cell>
        </row>
        <row r="2712">
          <cell r="A2712" t="str">
            <v>GRMZM2G132690</v>
          </cell>
          <cell r="B2712" t="str">
            <v>GO:0046872GO:0030001</v>
          </cell>
        </row>
        <row r="2713">
          <cell r="A2713" t="str">
            <v>GRMZM2G133988</v>
          </cell>
          <cell r="B2713" t="str">
            <v>GO:0008152</v>
          </cell>
        </row>
        <row r="2714">
          <cell r="A2714" t="str">
            <v>GRMZM2G124815</v>
          </cell>
          <cell r="B2714" t="str">
            <v>GO:0016747</v>
          </cell>
        </row>
        <row r="2715">
          <cell r="A2715" t="str">
            <v>GRMZM2G065194</v>
          </cell>
          <cell r="B2715" t="str">
            <v>GO:0009239GO:0005488GO:0008667</v>
          </cell>
        </row>
        <row r="2716">
          <cell r="A2716" t="str">
            <v>GRMZM2G089812</v>
          </cell>
          <cell r="B2716" t="str">
            <v>GO:0004519GO:0009405GO:0043565GO:0005727</v>
          </cell>
        </row>
        <row r="2717">
          <cell r="A2717" t="str">
            <v>GRMZM2G126079</v>
          </cell>
          <cell r="B2717" t="str">
            <v>GO:0032312GO:0008060GO:0008270</v>
          </cell>
        </row>
        <row r="2718">
          <cell r="A2718" t="str">
            <v>GRMZM2G159285</v>
          </cell>
          <cell r="B2718" t="str">
            <v>GO:0005634GO:0045449</v>
          </cell>
        </row>
        <row r="2719">
          <cell r="A2719" t="str">
            <v>GRMZM2G081582</v>
          </cell>
          <cell r="B2719" t="str">
            <v>GO:0005737GO:0009058GO:0016841GO:0016211GO:0006559</v>
          </cell>
        </row>
        <row r="2720">
          <cell r="A2720" t="str">
            <v>GRMZM2G132212</v>
          </cell>
          <cell r="B2720" t="str">
            <v>GO:0004674GO:0006468GO:0005524GO:0005515GO:0004713</v>
          </cell>
        </row>
        <row r="2721">
          <cell r="A2721" t="str">
            <v>GRMZM2G328171</v>
          </cell>
          <cell r="B2721" t="str">
            <v>GO:0005975GO:0004553</v>
          </cell>
        </row>
        <row r="2722">
          <cell r="A2722" t="str">
            <v>GRMZM2G095873</v>
          </cell>
          <cell r="B2722" t="str">
            <v>GO:0008270GO:0005515</v>
          </cell>
        </row>
        <row r="2723">
          <cell r="A2723" t="str">
            <v>GRMZM2G019177</v>
          </cell>
          <cell r="B2723" t="str">
            <v>GO:0005506GO:0009055</v>
          </cell>
        </row>
        <row r="2724">
          <cell r="A2724" t="str">
            <v>GRMZM2G050997</v>
          </cell>
          <cell r="B2724" t="str">
            <v>GO:0050660GO:0009690GO:0019139GO:0009055</v>
          </cell>
        </row>
        <row r="2725">
          <cell r="A2725" t="str">
            <v>GRMZM2G103281</v>
          </cell>
          <cell r="B2725" t="str">
            <v>GO:0009058GO:0016779GO:0009055</v>
          </cell>
        </row>
        <row r="2726">
          <cell r="A2726" t="str">
            <v>GRMZM2G012404</v>
          </cell>
          <cell r="B2726" t="str">
            <v>GO:0005737GO:0006437GO:0050825GO:0003723GO:0042309GO:0050826GO:0004831GO:0005524</v>
          </cell>
        </row>
        <row r="2727">
          <cell r="A2727" t="str">
            <v>GRMZM2G021784</v>
          </cell>
          <cell r="B2727" t="str">
            <v>GO:0016485GO:0016021</v>
          </cell>
        </row>
        <row r="2728">
          <cell r="A2728" t="str">
            <v>GRMZM2G359559</v>
          </cell>
          <cell r="B2728" t="str">
            <v>GO:0008152</v>
          </cell>
        </row>
        <row r="2729">
          <cell r="A2729" t="str">
            <v>GRMZM2G001816</v>
          </cell>
          <cell r="B2729" t="str">
            <v>GO:0003735GO:0006412GO:0005840</v>
          </cell>
        </row>
        <row r="2730">
          <cell r="A2730" t="str">
            <v>GRMZM2G059740</v>
          </cell>
          <cell r="B2730" t="str">
            <v>GO:0004674GO:0006468GO:0004713GO:0005524</v>
          </cell>
        </row>
        <row r="2731">
          <cell r="A2731" t="str">
            <v>GRMZM2G020096</v>
          </cell>
          <cell r="B2731" t="str">
            <v>GO:0006750GO:0004357</v>
          </cell>
        </row>
        <row r="2732">
          <cell r="A2732" t="str">
            <v>GRMZM2G017957</v>
          </cell>
          <cell r="B2732" t="str">
            <v>GO:0008094GO:0015935GO:0003735GO:0003723GO:0003677GO:0006259GO:0006412GO:0005524</v>
          </cell>
        </row>
        <row r="2733">
          <cell r="A2733" t="str">
            <v>GRMZM2G448185</v>
          </cell>
          <cell r="B2733" t="str">
            <v>GO:0050660GO:0050664GO:0016021GO:0005509GO:0005506GO:0004601GO:0055114GO:0009055</v>
          </cell>
        </row>
        <row r="2734">
          <cell r="A2734" t="str">
            <v>GRMZM2G154747</v>
          </cell>
          <cell r="B2734" t="str">
            <v>GO:0016020GO:0017153GO:0006835</v>
          </cell>
        </row>
        <row r="2735">
          <cell r="A2735" t="str">
            <v>GRMZM2G109405</v>
          </cell>
          <cell r="B2735" t="str">
            <v>GO:0009401GO:0016787GO:0005351</v>
          </cell>
        </row>
        <row r="2736">
          <cell r="A2736" t="str">
            <v>GRMZM2G129018</v>
          </cell>
          <cell r="B2736" t="str">
            <v>GO:0004674GO:0006468GO:0004713GO:0005524GO:0007165</v>
          </cell>
        </row>
        <row r="2737">
          <cell r="A2737" t="str">
            <v>GRMZM2G379005</v>
          </cell>
          <cell r="B2737" t="str">
            <v>GO:0043565GO:0003700GO:0005634GO:0006355GO:0050825GO:0008270GO:0042309GO:0050826</v>
          </cell>
        </row>
        <row r="2738">
          <cell r="A2738" t="str">
            <v>GRMZM2G466044</v>
          </cell>
          <cell r="B2738" t="str">
            <v>GO:0003700GO:0006355GO:0050825GO:0042309GO:0050826</v>
          </cell>
        </row>
        <row r="2739">
          <cell r="A2739" t="str">
            <v>GRMZM2G444560</v>
          </cell>
          <cell r="B2739" t="str">
            <v>GO:0017111GO:0005524</v>
          </cell>
        </row>
        <row r="2740">
          <cell r="A2740" t="str">
            <v>GRMZM2G101625</v>
          </cell>
          <cell r="B2740" t="str">
            <v>GO:0050825GO:0042309GO:0050826</v>
          </cell>
        </row>
        <row r="2741">
          <cell r="A2741" t="str">
            <v>GRMZM2G043275</v>
          </cell>
          <cell r="B2741" t="str">
            <v>GO:0016787</v>
          </cell>
        </row>
        <row r="2742">
          <cell r="A2742" t="str">
            <v>GRMZM2G149636</v>
          </cell>
          <cell r="B2742" t="str">
            <v>GO:0006633GO:0016020GO:0008415</v>
          </cell>
        </row>
        <row r="2743">
          <cell r="A2743" t="str">
            <v>GRMZM2G167220</v>
          </cell>
          <cell r="B2743" t="str">
            <v>GO:0050660GO:0009690GO:0019139GO:0009055</v>
          </cell>
        </row>
        <row r="2744">
          <cell r="A2744" t="str">
            <v>GRMZM2G030712</v>
          </cell>
          <cell r="B2744" t="str">
            <v>GO:0006355GO:0005634GO:0004879GO:0003677</v>
          </cell>
        </row>
        <row r="2745">
          <cell r="A2745" t="str">
            <v>GRMZM2G177229</v>
          </cell>
          <cell r="B2745" t="str">
            <v>GO:0005634GO:0008270GO:0003723</v>
          </cell>
        </row>
        <row r="2746">
          <cell r="A2746" t="str">
            <v>GRMZM2G047968</v>
          </cell>
          <cell r="B2746" t="str">
            <v>GO:0004096GO:0006979GO:0020037GO:0009055</v>
          </cell>
        </row>
        <row r="2747">
          <cell r="A2747" t="str">
            <v>GRMZM2G063592</v>
          </cell>
          <cell r="B2747" t="str">
            <v>GO:0006508GO:0005515GO:0004252</v>
          </cell>
        </row>
        <row r="2748">
          <cell r="A2748" t="str">
            <v>GRMZM2G055507</v>
          </cell>
          <cell r="B2748" t="str">
            <v>GO:0003852GO:0009098</v>
          </cell>
        </row>
        <row r="2749">
          <cell r="A2749" t="str">
            <v>GRMZM2G159542</v>
          </cell>
          <cell r="B2749" t="str">
            <v>GO:0016884</v>
          </cell>
        </row>
        <row r="2750">
          <cell r="A2750" t="str">
            <v>GRMZM2G017290</v>
          </cell>
          <cell r="B2750" t="str">
            <v>GO:0015979GO:0009538</v>
          </cell>
        </row>
        <row r="2751">
          <cell r="A2751" t="str">
            <v>GRMZM2G064640</v>
          </cell>
          <cell r="B2751" t="str">
            <v>GO:0003735GO:0019843GO:0006412GO:0015935</v>
          </cell>
        </row>
        <row r="2752">
          <cell r="A2752" t="str">
            <v>GRMZM2G469371</v>
          </cell>
          <cell r="B2752" t="str">
            <v>GO:0008270GO:0005515</v>
          </cell>
        </row>
        <row r="2753">
          <cell r="A2753" t="str">
            <v>GRMZM2G043493</v>
          </cell>
          <cell r="B2753" t="str">
            <v>GO:0005634GO:0045449GO:0030528</v>
          </cell>
        </row>
        <row r="2754">
          <cell r="A2754" t="str">
            <v>GRMZM2G047954</v>
          </cell>
          <cell r="B2754" t="str">
            <v>GO:0019898GO:0009654GO:0005509GO:0015979</v>
          </cell>
        </row>
        <row r="2755">
          <cell r="A2755" t="str">
            <v>GRMZM2G103197</v>
          </cell>
          <cell r="B2755" t="str">
            <v>GO:0015996GO:0047746GO:0016491GO:0009055</v>
          </cell>
        </row>
        <row r="2756">
          <cell r="A2756" t="str">
            <v>GRMZM2G020898</v>
          </cell>
          <cell r="B2756" t="str">
            <v>GO:0005975GO:0004553</v>
          </cell>
        </row>
        <row r="2757">
          <cell r="A2757" t="str">
            <v>GRMZM2G007441</v>
          </cell>
          <cell r="B2757" t="str">
            <v>GO:0005634GO:0003682GO:0000785GO:0006333</v>
          </cell>
        </row>
        <row r="2758">
          <cell r="A2758" t="str">
            <v>GRMZM2G095252</v>
          </cell>
          <cell r="B2758" t="str">
            <v>GO:0005737GO:0006457GO:0005524GO:0005515</v>
          </cell>
        </row>
        <row r="2759">
          <cell r="A2759" t="str">
            <v>GRMZM2G455085</v>
          </cell>
          <cell r="B2759" t="str">
            <v>GO:0005737GO:0004815GO:0004816GO:0006421GO:0006422GO:0005524</v>
          </cell>
        </row>
        <row r="2760">
          <cell r="A2760" t="str">
            <v>GRMZM2G058760</v>
          </cell>
          <cell r="B2760" t="str">
            <v>GO:0004324GO:0050661GO:0050660GO:0042651GO:0009055</v>
          </cell>
        </row>
        <row r="2761">
          <cell r="A2761" t="str">
            <v>GRMZM2G006219</v>
          </cell>
          <cell r="B2761" t="str">
            <v>GO:0005198</v>
          </cell>
        </row>
        <row r="2762">
          <cell r="A2762" t="str">
            <v>GRMZM2G051806</v>
          </cell>
          <cell r="B2762" t="str">
            <v>GO:0004396GO:0006096GO:0005524</v>
          </cell>
        </row>
        <row r="2763">
          <cell r="A2763" t="str">
            <v>GRMZM2G344388</v>
          </cell>
          <cell r="B2763" t="str">
            <v>GO:0006468GO:0016021GO:0004674GO:0004713GO:0007186GO:0004938GO:0005524</v>
          </cell>
        </row>
        <row r="2764">
          <cell r="A2764" t="str">
            <v>GRMZM2G080183</v>
          </cell>
          <cell r="B2764" t="str">
            <v>GO:0004601GO:0006979GO:0020037GO:0009055</v>
          </cell>
        </row>
        <row r="2765">
          <cell r="A2765" t="str">
            <v>GRMZM2G117942</v>
          </cell>
          <cell r="B2765" t="str">
            <v>GO:0050832GO:0042742</v>
          </cell>
        </row>
        <row r="2766">
          <cell r="A2766" t="str">
            <v>GRMZM2G468932</v>
          </cell>
          <cell r="B2766" t="str">
            <v>GO:0005634GO:0042255GO:0003723GO:0005515</v>
          </cell>
        </row>
        <row r="2767">
          <cell r="A2767" t="str">
            <v>GRMZM2G042636</v>
          </cell>
          <cell r="B2767" t="str">
            <v>GO:0005737GO:0051258GO:0007018GO:0016020GO:0003924GO:0005198GO:0006508GO:0008236GO:0005874GO:0005525</v>
          </cell>
        </row>
        <row r="2768">
          <cell r="A2768" t="str">
            <v>GRMZM2G111666</v>
          </cell>
          <cell r="B2768" t="str">
            <v>GO:0005634GO:0045449GO:0030528</v>
          </cell>
        </row>
        <row r="2769">
          <cell r="A2769" t="str">
            <v>AC194970.5_FG009</v>
          </cell>
          <cell r="B2769" t="str">
            <v>GO:0003678GO:0005634GO:0005524</v>
          </cell>
        </row>
        <row r="2770">
          <cell r="A2770" t="str">
            <v>GRMZM2G353103</v>
          </cell>
          <cell r="B2770" t="str">
            <v>GO:0003735GO:0006412GO:0005840</v>
          </cell>
        </row>
        <row r="2771">
          <cell r="A2771" t="str">
            <v>GRMZM2G471904</v>
          </cell>
          <cell r="B2771" t="str">
            <v>GO:0007018GO:0005875GO:0003777GO:0019898GO:0009654GO:0015979GO:0005524GO:0005509</v>
          </cell>
        </row>
        <row r="2772">
          <cell r="A2772" t="str">
            <v>GRMZM2G171170</v>
          </cell>
          <cell r="B2772" t="str">
            <v>GO:0006139GO:0008408GO:0003676GO:0005622</v>
          </cell>
        </row>
        <row r="2773">
          <cell r="A2773" t="str">
            <v>GRMZM2G416632</v>
          </cell>
          <cell r="B2773" t="str">
            <v>GO:0005737GO:0004364GO:0008152</v>
          </cell>
        </row>
        <row r="2774">
          <cell r="A2774" t="str">
            <v>GRMZM2G007404</v>
          </cell>
          <cell r="B2774" t="str">
            <v>GO:0016857GO:0050662GO:0006694GO:0003854GO:0045226GO:0008831</v>
          </cell>
        </row>
        <row r="2775">
          <cell r="A2775" t="str">
            <v>GRMZM2G350800</v>
          </cell>
          <cell r="B2775" t="str">
            <v>GO:0016021GO:0007186</v>
          </cell>
        </row>
        <row r="2776">
          <cell r="A2776" t="str">
            <v>GRMZM2G054050</v>
          </cell>
          <cell r="B2776" t="str">
            <v>GO:0005507GO:0016491</v>
          </cell>
        </row>
        <row r="2777">
          <cell r="A2777" t="str">
            <v>GRMZM2G001676</v>
          </cell>
          <cell r="B2777" t="str">
            <v>GO:0006857GO:0005215GO:0016020</v>
          </cell>
        </row>
        <row r="2778">
          <cell r="A2778" t="str">
            <v>AC189750.4_FG004</v>
          </cell>
          <cell r="B2778" t="str">
            <v>GO:0019419GO:0016740GO:0016671GO:0050825GO:0042309GO:0050826GO:0045454</v>
          </cell>
        </row>
        <row r="2779">
          <cell r="A2779" t="str">
            <v>GRMZM2G158024</v>
          </cell>
          <cell r="B2779" t="str">
            <v>GO:0005525GO:0007264GO:0003924GO:0003723GO:0005622</v>
          </cell>
        </row>
        <row r="2780">
          <cell r="A2780" t="str">
            <v>GRMZM2G096683</v>
          </cell>
          <cell r="B2780" t="str">
            <v>GO:0015904GO:0016021GO:0015520GO:0046677GO:0055085</v>
          </cell>
        </row>
        <row r="2781">
          <cell r="A2781" t="str">
            <v>GRMZM2G106344</v>
          </cell>
          <cell r="B2781" t="str">
            <v>GO:0007242</v>
          </cell>
        </row>
        <row r="2782">
          <cell r="A2782" t="str">
            <v>GRMZM2G143883</v>
          </cell>
          <cell r="B2782" t="str">
            <v>GO:0050660GO:0016614</v>
          </cell>
        </row>
        <row r="2783">
          <cell r="A2783" t="str">
            <v>GRMZM2G131575</v>
          </cell>
          <cell r="B2783" t="str">
            <v>GO:0045261GO:0015986GO:0046961GO:0046933</v>
          </cell>
        </row>
        <row r="2784">
          <cell r="A2784" t="str">
            <v>GRMZM2G069772</v>
          </cell>
          <cell r="B2784" t="str">
            <v>GO:0003938</v>
          </cell>
        </row>
        <row r="2785">
          <cell r="A2785" t="str">
            <v>GRMZM2G112681</v>
          </cell>
          <cell r="B2785" t="str">
            <v>GO:0045449GO:0003677</v>
          </cell>
        </row>
        <row r="2786">
          <cell r="A2786" t="str">
            <v>GRMZM2G046849</v>
          </cell>
          <cell r="B2786" t="str">
            <v>GO:0050825GO:0042309GO:0050826</v>
          </cell>
        </row>
        <row r="2787">
          <cell r="A2787" t="str">
            <v>GRMZM2G385989</v>
          </cell>
          <cell r="B2787" t="str">
            <v>GO:0005198</v>
          </cell>
        </row>
        <row r="2788">
          <cell r="A2788" t="str">
            <v>GRMZM2G006047</v>
          </cell>
          <cell r="B2788" t="str">
            <v>GO:0006869GO:0050825GO:0008289GO:0042309GO:0050826</v>
          </cell>
        </row>
        <row r="2789">
          <cell r="A2789" t="str">
            <v>GRMZM2G076212</v>
          </cell>
          <cell r="B2789" t="str">
            <v>GO:0004674GO:0006468GO:0004713GO:0005524</v>
          </cell>
        </row>
        <row r="2790">
          <cell r="A2790" t="str">
            <v>GRMZM2G006042</v>
          </cell>
          <cell r="B2790" t="str">
            <v>GO:0009725GO:0005634GO:0006520GO:0006355GO:0030170GO:0003677</v>
          </cell>
        </row>
        <row r="2791">
          <cell r="A2791" t="str">
            <v>GRMZM2G334336</v>
          </cell>
          <cell r="B2791" t="str">
            <v>GO:0016758GO:0008152</v>
          </cell>
        </row>
        <row r="2792">
          <cell r="A2792" t="str">
            <v>GRMZM2G301934</v>
          </cell>
          <cell r="B2792" t="str">
            <v>GO:0016787GO:0008152</v>
          </cell>
        </row>
        <row r="2793">
          <cell r="A2793" t="str">
            <v>GRMZM2G130173</v>
          </cell>
          <cell r="B2793" t="str">
            <v>GO:0046872</v>
          </cell>
        </row>
        <row r="2794">
          <cell r="A2794" t="str">
            <v>GRMZM2G109627</v>
          </cell>
          <cell r="B2794" t="str">
            <v>GO:0045449GO:0003677</v>
          </cell>
        </row>
        <row r="2795">
          <cell r="A2795" t="str">
            <v>GRMZM2G004572</v>
          </cell>
          <cell r="B2795" t="str">
            <v>GO:0006468GO:0004674GO:0004713GO:0005515GO:0005524GO:0031177</v>
          </cell>
        </row>
        <row r="2796">
          <cell r="A2796" t="str">
            <v>GRMZM2G130358</v>
          </cell>
          <cell r="B2796" t="str">
            <v>GO:0003735GO:0006412GO:0005840</v>
          </cell>
        </row>
        <row r="2797">
          <cell r="A2797" t="str">
            <v>GRMZM2G357595</v>
          </cell>
          <cell r="B2797" t="str">
            <v>GO:0005509</v>
          </cell>
        </row>
        <row r="2798">
          <cell r="A2798" t="str">
            <v>GRMZM2G001243</v>
          </cell>
          <cell r="B2798" t="str">
            <v>GO:0008287GO:0005215GO:0016020GO:0004722GO:0006810GO:0006470</v>
          </cell>
        </row>
        <row r="2799">
          <cell r="A2799" t="str">
            <v>GRMZM2G121612</v>
          </cell>
          <cell r="B2799" t="str">
            <v>GO:0009250GO:0009011</v>
          </cell>
        </row>
        <row r="2800">
          <cell r="A2800" t="str">
            <v>GRMZM2G343080</v>
          </cell>
          <cell r="B2800" t="str">
            <v>GO:0008967GO:0008152</v>
          </cell>
        </row>
        <row r="2801">
          <cell r="A2801" t="str">
            <v>GRMZM2G014055</v>
          </cell>
          <cell r="B2801" t="str">
            <v>GO:0045454</v>
          </cell>
        </row>
        <row r="2802">
          <cell r="A2802" t="str">
            <v>GRMZM2G134439</v>
          </cell>
          <cell r="B2802" t="str">
            <v>GO:0003677</v>
          </cell>
        </row>
        <row r="2803">
          <cell r="A2803" t="str">
            <v>GRMZM2G145313</v>
          </cell>
          <cell r="B2803" t="str">
            <v>GO:0006355GO:0005634GO:0004879GO:0003677</v>
          </cell>
        </row>
        <row r="2804">
          <cell r="A2804" t="str">
            <v>GRMZM2G377168</v>
          </cell>
          <cell r="B2804" t="str">
            <v>GO:0050825GO:0042309GO:0050826</v>
          </cell>
        </row>
        <row r="2805">
          <cell r="A2805" t="str">
            <v>GRMZM2G096358</v>
          </cell>
          <cell r="B2805" t="str">
            <v>GO:0003677</v>
          </cell>
        </row>
        <row r="2806">
          <cell r="A2806" t="str">
            <v>GRMZM2G068952</v>
          </cell>
          <cell r="B2806" t="str">
            <v>GO:0003735GO:0006412GO:0005840</v>
          </cell>
        </row>
        <row r="2807">
          <cell r="A2807" t="str">
            <v>GRMZM2G054277</v>
          </cell>
          <cell r="B2807" t="str">
            <v>GO:0045449GO:0003677</v>
          </cell>
        </row>
        <row r="2808">
          <cell r="A2808" t="str">
            <v>GRMZM2G064600</v>
          </cell>
          <cell r="B2808" t="str">
            <v>GO:0008565GO:0003824GO:0005743GO:0005488GO:0008152GO:0015031</v>
          </cell>
        </row>
        <row r="2809">
          <cell r="A2809" t="str">
            <v>GRMZM2G028438</v>
          </cell>
          <cell r="B2809" t="str">
            <v>GO:0050825GO:0042309GO:0050826</v>
          </cell>
        </row>
        <row r="2810">
          <cell r="A2810" t="str">
            <v>GRMZM2G087625</v>
          </cell>
          <cell r="B2810" t="str">
            <v>GO:0004674GO:0006468GO:0004713GO:0005524</v>
          </cell>
        </row>
        <row r="2811">
          <cell r="A2811" t="str">
            <v>GRMZM2G087192</v>
          </cell>
          <cell r="B2811" t="str">
            <v>GO:0010181GO:0016491</v>
          </cell>
        </row>
        <row r="2812">
          <cell r="A2812" t="str">
            <v>GRMZM2G412604</v>
          </cell>
          <cell r="B2812" t="str">
            <v>GO:0008483GO:0009058GO:0006520GO:0016847GO:0030170</v>
          </cell>
        </row>
        <row r="2813">
          <cell r="A2813" t="str">
            <v>GRMZM2G076544</v>
          </cell>
          <cell r="B2813" t="str">
            <v>GO:0003755</v>
          </cell>
        </row>
        <row r="2814">
          <cell r="A2814" t="str">
            <v>GRMZM2G015654</v>
          </cell>
          <cell r="B2814" t="str">
            <v>GO:0008107GO:0016020GO:0042546</v>
          </cell>
        </row>
        <row r="2815">
          <cell r="A2815" t="str">
            <v>GRMZM2G026470</v>
          </cell>
          <cell r="B2815" t="str">
            <v>GO:0005737GO:0006796GO:0000287GO:0004427</v>
          </cell>
        </row>
        <row r="2816">
          <cell r="A2816" t="str">
            <v>GRMZM2G178341</v>
          </cell>
          <cell r="B2816" t="str">
            <v>GO:0003735GO:0005840GO:0006412GO:0003723</v>
          </cell>
        </row>
        <row r="2817">
          <cell r="A2817" t="str">
            <v>GRMZM2G097802</v>
          </cell>
          <cell r="B2817" t="str">
            <v>GO:0005737GO:0004812GO:0005524GO:0006418</v>
          </cell>
        </row>
        <row r="2818">
          <cell r="A2818" t="str">
            <v>GRMZM2G078650</v>
          </cell>
          <cell r="B2818" t="str">
            <v>GO:0006629GO:0008081</v>
          </cell>
        </row>
        <row r="2819">
          <cell r="A2819" t="str">
            <v>GRMZM2G170137</v>
          </cell>
          <cell r="B2819" t="str">
            <v>GO:0008270GO:0005515</v>
          </cell>
        </row>
        <row r="2820">
          <cell r="A2820" t="str">
            <v>GRMZM2G121293</v>
          </cell>
          <cell r="B2820" t="str">
            <v>GO:0006508GO:0043086GO:0042802GO:0004252</v>
          </cell>
        </row>
        <row r="2821">
          <cell r="A2821" t="str">
            <v>GRMZM2G175453</v>
          </cell>
          <cell r="B2821" t="str">
            <v>GO:0009058</v>
          </cell>
        </row>
        <row r="2822">
          <cell r="A2822" t="str">
            <v>GRMZM2G022206</v>
          </cell>
          <cell r="B2822" t="str">
            <v>GO:0019787GO:0043687GO:0051246</v>
          </cell>
        </row>
        <row r="2823">
          <cell r="A2823" t="str">
            <v>GRMZM2G078472</v>
          </cell>
          <cell r="B2823" t="str">
            <v>GO:0006529GO:0004066</v>
          </cell>
        </row>
        <row r="2824">
          <cell r="A2824" t="str">
            <v>GRMZM2G118646</v>
          </cell>
          <cell r="B2824" t="str">
            <v>GO:0006508GO:0004252</v>
          </cell>
        </row>
        <row r="2825">
          <cell r="A2825" t="str">
            <v>GRMZM2G003526</v>
          </cell>
          <cell r="B2825" t="str">
            <v>GO:0006633GO:0005506GO:0005783GO:0055114GO:0016491</v>
          </cell>
        </row>
        <row r="2826">
          <cell r="A2826" t="str">
            <v>GRMZM2G408963</v>
          </cell>
          <cell r="B2826" t="str">
            <v>GO:0004601GO:0006979GO:0020037GO:0009055</v>
          </cell>
        </row>
        <row r="2827">
          <cell r="A2827" t="str">
            <v>GRMZM2G030169</v>
          </cell>
          <cell r="B2827" t="str">
            <v>GO:0005524GO:0005515</v>
          </cell>
        </row>
        <row r="2828">
          <cell r="A2828" t="str">
            <v>GRMZM2G161472</v>
          </cell>
          <cell r="B2828" t="str">
            <v>GO:0004497GO:0020037GO:0009055</v>
          </cell>
        </row>
        <row r="2829">
          <cell r="A2829" t="str">
            <v>GRMZM2G151993</v>
          </cell>
          <cell r="B2829" t="str">
            <v>GO:0016021GO:0006355GO:0004956GO:0003677GO:0007186GO:0005634GO:0004879</v>
          </cell>
        </row>
        <row r="2830">
          <cell r="A2830" t="str">
            <v>GRMZM2G137161</v>
          </cell>
          <cell r="B2830" t="str">
            <v>GO:0016020</v>
          </cell>
        </row>
        <row r="2831">
          <cell r="A2831" t="str">
            <v>GRMZM2G147243</v>
          </cell>
          <cell r="B2831" t="str">
            <v>GO:0005634GO:0045449</v>
          </cell>
        </row>
        <row r="2832">
          <cell r="A2832" t="str">
            <v>GRMZM2G161673</v>
          </cell>
          <cell r="B2832" t="str">
            <v>GO:0046406GO:0015995GO:0050825GO:0042309GO:0050826GO:0015979</v>
          </cell>
        </row>
        <row r="2833">
          <cell r="A2833" t="str">
            <v>GRMZM2G147245</v>
          </cell>
          <cell r="B2833" t="str">
            <v>GO:0004497GO:0020037GO:0009055</v>
          </cell>
        </row>
        <row r="2834">
          <cell r="A2834" t="str">
            <v>GRMZM2G104626</v>
          </cell>
          <cell r="B2834" t="str">
            <v>GO:0006633GO:0016020GO:0008415</v>
          </cell>
        </row>
        <row r="2835">
          <cell r="A2835" t="str">
            <v>GRMZM2G062738</v>
          </cell>
          <cell r="B2835" t="str">
            <v>GO:0007155GO:0005179GO:0005576GO:0015629GO:0005198</v>
          </cell>
        </row>
        <row r="2836">
          <cell r="A2836" t="str">
            <v>GRMZM2G121878</v>
          </cell>
          <cell r="B2836" t="str">
            <v>GO:0015976GO:0004089GO:0008270</v>
          </cell>
        </row>
        <row r="2837">
          <cell r="A2837" t="str">
            <v>GRMZM2G077436</v>
          </cell>
          <cell r="B2837" t="str">
            <v>GO:0003700GO:0006355GO:0006352GO:0016987</v>
          </cell>
        </row>
        <row r="2838">
          <cell r="A2838" t="str">
            <v>GRMZM2G114126</v>
          </cell>
          <cell r="B2838" t="str">
            <v>GO:0005737GO:0006796GO:0000287GO:0008202GO:0004427</v>
          </cell>
        </row>
        <row r="2839">
          <cell r="A2839" t="str">
            <v>GRMZM2G401308</v>
          </cell>
          <cell r="B2839" t="str">
            <v>GO:0006334GO:0000786GO:0050826GO:0005199GO:0050825GO:0042309GO:0003677GO:0005634</v>
          </cell>
        </row>
        <row r="2840">
          <cell r="A2840" t="str">
            <v>GRMZM2G161493</v>
          </cell>
          <cell r="B2840" t="str">
            <v>GO:0016779GO:0008152</v>
          </cell>
        </row>
        <row r="2841">
          <cell r="A2841" t="str">
            <v>GRMZM2G059825</v>
          </cell>
          <cell r="B2841" t="str">
            <v>GO:0016020</v>
          </cell>
        </row>
        <row r="2842">
          <cell r="A2842" t="str">
            <v>GRMZM2G458208</v>
          </cell>
          <cell r="B2842" t="str">
            <v>GO:0044267GO:0005524GO:0005515</v>
          </cell>
        </row>
        <row r="2843">
          <cell r="A2843" t="str">
            <v>GRMZM2G101105</v>
          </cell>
          <cell r="B2843" t="str">
            <v>GO:0004525GO:0003725GO:0006396GO:0005622</v>
          </cell>
        </row>
        <row r="2844">
          <cell r="A2844" t="str">
            <v>GRMZM2G086869</v>
          </cell>
          <cell r="B2844" t="str">
            <v>GO:0016787GO:0045263GO:0015986GO:0015078</v>
          </cell>
        </row>
        <row r="2845">
          <cell r="A2845" t="str">
            <v>GRMZM2G143767</v>
          </cell>
          <cell r="B2845" t="str">
            <v>GO:0003824</v>
          </cell>
        </row>
        <row r="2846">
          <cell r="A2846" t="str">
            <v>GRMZM2G061602</v>
          </cell>
          <cell r="B2846" t="str">
            <v>GO:0004674GO:0006468GO:0005524</v>
          </cell>
        </row>
        <row r="2847">
          <cell r="A2847" t="str">
            <v>GRMZM2G034404</v>
          </cell>
          <cell r="B2847" t="str">
            <v>GO:0016597GO:0008152</v>
          </cell>
        </row>
        <row r="2848">
          <cell r="A2848" t="str">
            <v>GRMZM2G010348</v>
          </cell>
          <cell r="B2848" t="str">
            <v>GO:0020037GO:0009055</v>
          </cell>
        </row>
        <row r="2849">
          <cell r="A2849" t="str">
            <v>GRMZM2G104384</v>
          </cell>
          <cell r="B2849" t="str">
            <v>GO:0004674GO:0006468GO:0005524GO:0005515GO:0004713</v>
          </cell>
        </row>
        <row r="2850">
          <cell r="A2850" t="str">
            <v>GRMZM2G114234</v>
          </cell>
          <cell r="B2850" t="str">
            <v>GO:0016972GO:0055114</v>
          </cell>
        </row>
        <row r="2851">
          <cell r="A2851" t="str">
            <v>GRMZM2G108767</v>
          </cell>
          <cell r="B2851" t="str">
            <v>GO:0007155GO:0008037GO:0019058GO:0008270</v>
          </cell>
        </row>
        <row r="2852">
          <cell r="A2852" t="str">
            <v>GRMZM2G315726</v>
          </cell>
          <cell r="B2852" t="str">
            <v>GO:0016021</v>
          </cell>
        </row>
        <row r="2853">
          <cell r="A2853" t="str">
            <v>GRMZM2G102583</v>
          </cell>
          <cell r="B2853" t="str">
            <v>GO:0003700GO:0043565GO:0005634GO:0045449</v>
          </cell>
        </row>
        <row r="2854">
          <cell r="A2854" t="str">
            <v>GRMZM2G058518</v>
          </cell>
          <cell r="B2854" t="str">
            <v>GO:0045449GO:0003677</v>
          </cell>
        </row>
        <row r="2855">
          <cell r="A2855" t="str">
            <v>GRMZM2G455075</v>
          </cell>
          <cell r="B2855" t="str">
            <v>GO:0016758GO:0008152</v>
          </cell>
        </row>
        <row r="2856">
          <cell r="A2856" t="str">
            <v>GRMZM2G179976</v>
          </cell>
          <cell r="B2856" t="str">
            <v>GO:0003735GO:0006414GO:0005840GO:0042254</v>
          </cell>
        </row>
        <row r="2857">
          <cell r="A2857" t="str">
            <v>GRMZM2G138997</v>
          </cell>
          <cell r="B2857" t="str">
            <v>GO:0008270GO:0005515</v>
          </cell>
        </row>
        <row r="2858">
          <cell r="A2858" t="str">
            <v>GRMZM2G027198</v>
          </cell>
          <cell r="B2858" t="str">
            <v>GO:0005507GO:0009055</v>
          </cell>
        </row>
        <row r="2859">
          <cell r="A2859" t="str">
            <v>GRMZM2G052699</v>
          </cell>
          <cell r="B2859" t="str">
            <v>GO:0003824</v>
          </cell>
        </row>
        <row r="2860">
          <cell r="A2860" t="str">
            <v>GRMZM2G453805</v>
          </cell>
          <cell r="B2860" t="str">
            <v>GO:0004568GO:0006032</v>
          </cell>
        </row>
        <row r="2861">
          <cell r="A2861" t="str">
            <v>GRMZM2G140328</v>
          </cell>
          <cell r="B2861" t="str">
            <v>GO:0005388GO:0016020GO:0006754GO:0006816GO:0005524</v>
          </cell>
        </row>
        <row r="2862">
          <cell r="A2862" t="str">
            <v>GRMZM2G021777</v>
          </cell>
          <cell r="B2862" t="str">
            <v>GO:0008270GO:0005622</v>
          </cell>
        </row>
        <row r="2863">
          <cell r="A2863" t="str">
            <v>GRMZM2G126062</v>
          </cell>
          <cell r="B2863" t="str">
            <v>GO:0055114GO:0016491</v>
          </cell>
        </row>
        <row r="2864">
          <cell r="A2864" t="str">
            <v>GRMZM2G120740</v>
          </cell>
          <cell r="B2864" t="str">
            <v>GO:0008270GO:0003676</v>
          </cell>
        </row>
        <row r="2865">
          <cell r="A2865" t="str">
            <v>GRMZM2G123652</v>
          </cell>
          <cell r="B2865" t="str">
            <v>GO:0006813GO:0003824GO:0008324GO:0005488GO:0008152</v>
          </cell>
        </row>
        <row r="2866">
          <cell r="A2866" t="str">
            <v>GRMZM2G351330</v>
          </cell>
          <cell r="B2866" t="str">
            <v>GO:0043565GO:0006265GO:0003700GO:0005634GO:0006355GO:0003690</v>
          </cell>
        </row>
        <row r="2867">
          <cell r="A2867" t="str">
            <v>GRMZM2G061996</v>
          </cell>
          <cell r="B2867" t="str">
            <v>GO:0008270GO:0005622</v>
          </cell>
        </row>
        <row r="2868">
          <cell r="A2868" t="str">
            <v>GRMZM2G455676</v>
          </cell>
          <cell r="B2868" t="str">
            <v>GO:0009654GO:0015979</v>
          </cell>
        </row>
        <row r="2869">
          <cell r="A2869" t="str">
            <v>GRMZM2G084767</v>
          </cell>
          <cell r="B2869" t="str">
            <v>GO:0005643GO:0000059GO:0008565GO:0005488GO:0005737</v>
          </cell>
        </row>
        <row r="2870">
          <cell r="A2870" t="str">
            <v>GRMZM2G017110</v>
          </cell>
          <cell r="B2870" t="str">
            <v>GO:0006536GO:0030170GO:0004351</v>
          </cell>
        </row>
        <row r="2871">
          <cell r="A2871" t="str">
            <v>GRMZM2G467907</v>
          </cell>
          <cell r="B2871" t="str">
            <v>GO:0003676</v>
          </cell>
        </row>
        <row r="2872">
          <cell r="A2872" t="str">
            <v>GRMZM2G159250</v>
          </cell>
          <cell r="B2872" t="str">
            <v>GO:0006412</v>
          </cell>
        </row>
        <row r="2873">
          <cell r="A2873" t="str">
            <v>GRMZM2G053707</v>
          </cell>
          <cell r="B2873" t="str">
            <v>GO:0008270GO:0005515</v>
          </cell>
        </row>
        <row r="2874">
          <cell r="A2874" t="str">
            <v>GRMZM2G003246</v>
          </cell>
          <cell r="B2874" t="str">
            <v>GO:0016787GO:0008152</v>
          </cell>
        </row>
        <row r="2875">
          <cell r="A2875" t="str">
            <v>GRMZM2G426156</v>
          </cell>
          <cell r="B2875" t="str">
            <v>GO:0003735GO:0006412GO:0005840</v>
          </cell>
        </row>
        <row r="2876">
          <cell r="A2876" t="str">
            <v>GRMZM2G180422</v>
          </cell>
          <cell r="B2876" t="str">
            <v>GO:0005146GO:0005576</v>
          </cell>
        </row>
        <row r="2877">
          <cell r="A2877" t="str">
            <v>GRMZM2G105221</v>
          </cell>
          <cell r="B2877" t="str">
            <v>GO:0016757</v>
          </cell>
        </row>
        <row r="2878">
          <cell r="A2878" t="str">
            <v>GRMZM2G159388</v>
          </cell>
          <cell r="B2878" t="str">
            <v>GO:0005783</v>
          </cell>
        </row>
        <row r="2879">
          <cell r="A2879" t="str">
            <v>GRMZM2G158252</v>
          </cell>
          <cell r="B2879" t="str">
            <v>GO:0005975GO:0000155GO:0016310GO:0000156GO:0016020GO:0006355GO:0000160GO:0004553GO:0005524</v>
          </cell>
        </row>
        <row r="2880">
          <cell r="A2880" t="str">
            <v>GRMZM2G140032</v>
          </cell>
          <cell r="B2880" t="str">
            <v>GO:0004969GO:0016021GO:0007186</v>
          </cell>
        </row>
        <row r="2881">
          <cell r="A2881" t="str">
            <v>GRMZM2G047727</v>
          </cell>
          <cell r="B2881" t="str">
            <v>GO:0003735GO:0006412GO:0006464GO:0005840</v>
          </cell>
        </row>
        <row r="2882">
          <cell r="A2882" t="str">
            <v>GRMZM2G028234</v>
          </cell>
          <cell r="B2882" t="str">
            <v>GO:0008270GO:0050825GO:0042309GO:0005515GO:0050826</v>
          </cell>
        </row>
        <row r="2883">
          <cell r="A2883" t="str">
            <v>GRMZM2G463574</v>
          </cell>
          <cell r="B2883" t="str">
            <v>GO:0004674GO:0006468GO:0005524GO:0005515GO:0004713</v>
          </cell>
        </row>
        <row r="2884">
          <cell r="A2884" t="str">
            <v>GRMZM2G095798</v>
          </cell>
          <cell r="B2884" t="str">
            <v>GO:0050825GO:0042309GO:0050826</v>
          </cell>
        </row>
        <row r="2885">
          <cell r="A2885" t="str">
            <v>GRMZM2G132461</v>
          </cell>
          <cell r="B2885" t="str">
            <v>GO:0005544GO:0005509</v>
          </cell>
        </row>
        <row r="2886">
          <cell r="A2886" t="str">
            <v>GRMZM2G085909</v>
          </cell>
          <cell r="B2886" t="str">
            <v>GO:0006457GO:0051082GO:0005524</v>
          </cell>
        </row>
        <row r="2887">
          <cell r="A2887" t="str">
            <v>GRMZM2G143235</v>
          </cell>
          <cell r="B2887" t="str">
            <v>GO:0004497GO:0020037GO:0016020GO:0015833GO:0015197GO:0005524GO:0009055</v>
          </cell>
        </row>
        <row r="2888">
          <cell r="A2888" t="str">
            <v>GRMZM2G015080</v>
          </cell>
          <cell r="B2888" t="str">
            <v>GO:0006355GO:0005634GO:0009405GO:0004879GO:0003677</v>
          </cell>
        </row>
        <row r="2889">
          <cell r="A2889" t="str">
            <v>GRMZM2G125991</v>
          </cell>
          <cell r="B2889" t="str">
            <v>GO:0005975GO:0004553</v>
          </cell>
        </row>
        <row r="2890">
          <cell r="A2890" t="str">
            <v>AC210204.3_FG002</v>
          </cell>
          <cell r="B2890" t="str">
            <v>GO:0051260GO:0016021GO:0007186</v>
          </cell>
        </row>
        <row r="2891">
          <cell r="A2891" t="str">
            <v>GRMZM2G149576</v>
          </cell>
          <cell r="B2891" t="str">
            <v>GO:0016021</v>
          </cell>
        </row>
        <row r="2892">
          <cell r="A2892" t="str">
            <v>GRMZM2G123119</v>
          </cell>
          <cell r="B2892" t="str">
            <v>GO:0003700GO:0006355</v>
          </cell>
        </row>
        <row r="2893">
          <cell r="A2893" t="str">
            <v>GRMZM2G132489</v>
          </cell>
          <cell r="B2893" t="str">
            <v>GO:0050661GO:0050660GO:0004499</v>
          </cell>
        </row>
        <row r="2894">
          <cell r="A2894" t="str">
            <v>GRMZM2G084694</v>
          </cell>
          <cell r="B2894" t="str">
            <v>GO:0005978GO:0004135</v>
          </cell>
        </row>
        <row r="2895">
          <cell r="A2895" t="str">
            <v>GRMZM2G017022</v>
          </cell>
          <cell r="B2895" t="str">
            <v>GO:0006468GO:0004713GO:0005524</v>
          </cell>
        </row>
        <row r="2896">
          <cell r="A2896" t="str">
            <v>AC234157.1_FG002</v>
          </cell>
          <cell r="B2896" t="str">
            <v>GO:0003735GO:0006412GO:0005840</v>
          </cell>
        </row>
        <row r="2897">
          <cell r="A2897" t="str">
            <v>GRMZM2G003331</v>
          </cell>
          <cell r="B2897" t="str">
            <v>GO:0016787</v>
          </cell>
        </row>
        <row r="2898">
          <cell r="A2898" t="str">
            <v>GRMZM2G002578</v>
          </cell>
          <cell r="B2898" t="str">
            <v>GO:0031072GO:0006457GO:0051082</v>
          </cell>
        </row>
        <row r="2899">
          <cell r="A2899" t="str">
            <v>GRMZM2G127139</v>
          </cell>
          <cell r="B2899" t="str">
            <v>GO:0016020GO:0009688GO:0009540GO:0055114GO:0009507</v>
          </cell>
        </row>
        <row r="2900">
          <cell r="A2900" t="str">
            <v>GRMZM2G149975</v>
          </cell>
          <cell r="B2900" t="str">
            <v>GO:0003735GO:0006412GO:0005840</v>
          </cell>
        </row>
        <row r="2901">
          <cell r="A2901" t="str">
            <v>GRMZM2G013450</v>
          </cell>
          <cell r="B2901" t="str">
            <v>GO:0005743GO:0006810GO:0005488GO:0005215</v>
          </cell>
        </row>
        <row r="2902">
          <cell r="A2902" t="str">
            <v>GRMZM2G012183</v>
          </cell>
          <cell r="B2902" t="str">
            <v>GO:0005199</v>
          </cell>
        </row>
        <row r="2903">
          <cell r="A2903" t="str">
            <v>GRMZM2G178807</v>
          </cell>
          <cell r="B2903" t="str">
            <v>GO:0003735GO:0015934GO:0006412GO:0030528</v>
          </cell>
        </row>
        <row r="2904">
          <cell r="A2904" t="str">
            <v>GRMZM2G057262</v>
          </cell>
          <cell r="B2904" t="str">
            <v>GO:0005737GO:0006457GO:0008270GO:0005515GO:0005524</v>
          </cell>
        </row>
        <row r="2905">
          <cell r="A2905" t="str">
            <v>GRMZM2G391936</v>
          </cell>
          <cell r="B2905" t="str">
            <v>GO:0005978GO:0008878</v>
          </cell>
        </row>
        <row r="2906">
          <cell r="A2906" t="str">
            <v>GRMZM2G052844</v>
          </cell>
          <cell r="B2906" t="str">
            <v>GO:0003872GO:0005945GO:0006096GO:0004650</v>
          </cell>
        </row>
        <row r="2907">
          <cell r="A2907" t="str">
            <v>GRMZM2G037998</v>
          </cell>
          <cell r="B2907" t="str">
            <v>GO:0016020GO:0008378GO:0005164GO:0006486GO:0006955</v>
          </cell>
        </row>
        <row r="2908">
          <cell r="A2908" t="str">
            <v>GRMZM2G126988</v>
          </cell>
          <cell r="B2908" t="str">
            <v>GO:0009058</v>
          </cell>
        </row>
        <row r="2909">
          <cell r="A2909" t="str">
            <v>AC233899.1_FG005</v>
          </cell>
          <cell r="B2909" t="str">
            <v>GO:0050825GO:0042309GO:0050826</v>
          </cell>
        </row>
        <row r="2910">
          <cell r="A2910" t="str">
            <v>GRMZM2G138572</v>
          </cell>
          <cell r="B2910" t="str">
            <v>GO:0003676</v>
          </cell>
        </row>
        <row r="2911">
          <cell r="A2911" t="str">
            <v>GRMZM2G059397</v>
          </cell>
          <cell r="B2911" t="str">
            <v>GO:0016021</v>
          </cell>
        </row>
        <row r="2912">
          <cell r="A2912" t="str">
            <v>GRMZM2G059392</v>
          </cell>
          <cell r="B2912" t="str">
            <v>GO:0016791GO:0008152</v>
          </cell>
        </row>
        <row r="2913">
          <cell r="A2913" t="str">
            <v>GRMZM2G140448</v>
          </cell>
          <cell r="B2913" t="str">
            <v>GO:0004497GO:0020037GO:0009055</v>
          </cell>
        </row>
        <row r="2914">
          <cell r="A2914" t="str">
            <v>GRMZM2G159926</v>
          </cell>
          <cell r="B2914" t="str">
            <v>GO:0006355GO:0005634GO:0000785GO:0003677</v>
          </cell>
        </row>
        <row r="2915">
          <cell r="A2915" t="str">
            <v>GRMZM2G127050</v>
          </cell>
          <cell r="B2915" t="str">
            <v>GO:0004674GO:0006468GO:0004713GO:0005524</v>
          </cell>
        </row>
        <row r="2916">
          <cell r="A2916" t="str">
            <v>GRMZM2G126505</v>
          </cell>
          <cell r="B2916" t="str">
            <v>GO:0004497GO:0020037GO:0009055</v>
          </cell>
        </row>
        <row r="2917">
          <cell r="A2917" t="str">
            <v>GRMZM2G075315</v>
          </cell>
          <cell r="B2917" t="str">
            <v>GO:0005576GO:0004867</v>
          </cell>
        </row>
        <row r="2918">
          <cell r="A2918" t="str">
            <v>GRMZM2G352415</v>
          </cell>
          <cell r="B2918" t="str">
            <v>GO:0009269</v>
          </cell>
        </row>
        <row r="2919">
          <cell r="A2919" t="str">
            <v>GRMZM2G036826</v>
          </cell>
          <cell r="B2919" t="str">
            <v>GO:0016887GO:0005524</v>
          </cell>
        </row>
        <row r="2920">
          <cell r="A2920" t="str">
            <v>GRMZM2G135283</v>
          </cell>
          <cell r="B2920" t="str">
            <v>GO:0006544GO:0004372GO:0016020GO:0006563</v>
          </cell>
        </row>
        <row r="2921">
          <cell r="A2921" t="str">
            <v>GRMZM2G046459</v>
          </cell>
          <cell r="B2921" t="str">
            <v>GO:0005975GO:0004553</v>
          </cell>
        </row>
        <row r="2922">
          <cell r="A2922" t="str">
            <v>GRMZM2G448151</v>
          </cell>
          <cell r="B2922" t="str">
            <v>GO:0003735GO:0015935GO:0006412GO:0003723</v>
          </cell>
        </row>
        <row r="2923">
          <cell r="A2923" t="str">
            <v>GRMZM2G020040</v>
          </cell>
          <cell r="B2923" t="str">
            <v>GO:0016021GO:0007186GO:0005524</v>
          </cell>
        </row>
        <row r="2924">
          <cell r="A2924" t="str">
            <v>GRMZM2G082376</v>
          </cell>
          <cell r="B2924" t="str">
            <v>GO:0008270GO:0005515</v>
          </cell>
        </row>
        <row r="2925">
          <cell r="A2925" t="str">
            <v>GRMZM2G438895</v>
          </cell>
          <cell r="B2925" t="str">
            <v>GO:0031072</v>
          </cell>
        </row>
        <row r="2926">
          <cell r="A2926" t="str">
            <v>GRMZM2G468855</v>
          </cell>
          <cell r="B2926" t="str">
            <v>GO:0005488GO:0008152GO:0016491</v>
          </cell>
        </row>
        <row r="2927">
          <cell r="A2927" t="str">
            <v>GRMZM2G132478</v>
          </cell>
          <cell r="B2927" t="str">
            <v>GO:0004497GO:0020037GO:0009055</v>
          </cell>
        </row>
        <row r="2928">
          <cell r="A2928" t="str">
            <v>GRMZM2G431156</v>
          </cell>
          <cell r="B2928" t="str">
            <v>GO:0016021GO:0007186GO:0003677</v>
          </cell>
        </row>
        <row r="2929">
          <cell r="A2929" t="str">
            <v>GRMZM2G342856</v>
          </cell>
          <cell r="B2929" t="str">
            <v>GO:0008080GO:0008152</v>
          </cell>
        </row>
        <row r="2930">
          <cell r="A2930" t="str">
            <v>GRMZM2G075958</v>
          </cell>
          <cell r="B2930" t="str">
            <v>GO:0005975GO:0030246GO:0003824GO:0050825GO:0042309GO:0050826</v>
          </cell>
        </row>
        <row r="2931">
          <cell r="A2931" t="str">
            <v>GRMZM2G469523</v>
          </cell>
          <cell r="B2931" t="str">
            <v>GO:0016857GO:0005975GO:0005488</v>
          </cell>
        </row>
        <row r="2932">
          <cell r="A2932" t="str">
            <v>GRMZM2G157458</v>
          </cell>
          <cell r="B2932" t="str">
            <v>GO:0008937GO:0009536GO:0015979</v>
          </cell>
        </row>
        <row r="2933">
          <cell r="A2933" t="str">
            <v>GRMZM2G110328</v>
          </cell>
          <cell r="B2933" t="str">
            <v>GO:0003735GO:0006412GO:0005840</v>
          </cell>
        </row>
        <row r="2934">
          <cell r="A2934" t="str">
            <v>GRMZM2G082335</v>
          </cell>
          <cell r="B2934" t="str">
            <v>GO:0005737GO:0005201GO:0016020GO:0051260GO:0005578GO:0005525</v>
          </cell>
        </row>
        <row r="2935">
          <cell r="A2935" t="str">
            <v>GRMZM2G043862</v>
          </cell>
          <cell r="B2935" t="str">
            <v>GO:0005515</v>
          </cell>
        </row>
        <row r="2936">
          <cell r="A2936" t="str">
            <v>GRMZM2G165631</v>
          </cell>
          <cell r="B2936" t="str">
            <v>GO:0005215GO:0016021GO:0006810</v>
          </cell>
        </row>
        <row r="2937">
          <cell r="A2937" t="str">
            <v>GRMZM2G165387</v>
          </cell>
          <cell r="B2937" t="str">
            <v>GO:0004674GO:0006468GO:0005524GO:0005515GO:0004713</v>
          </cell>
        </row>
        <row r="2938">
          <cell r="A2938" t="str">
            <v>GRMZM2G111501</v>
          </cell>
          <cell r="B2938" t="str">
            <v>GO:0031072GO:0006457GO:0051082</v>
          </cell>
        </row>
        <row r="2939">
          <cell r="A2939" t="str">
            <v>GRMZM2G306732</v>
          </cell>
          <cell r="B2939" t="str">
            <v>GO:0042578GO:0005975</v>
          </cell>
        </row>
        <row r="2940">
          <cell r="A2940" t="str">
            <v>GRMZM2G146472</v>
          </cell>
          <cell r="B2940" t="str">
            <v>GO:0003676</v>
          </cell>
        </row>
        <row r="2941">
          <cell r="A2941" t="str">
            <v>GRMZM2G082484</v>
          </cell>
          <cell r="B2941" t="str">
            <v>GO:0005524GO:0005515</v>
          </cell>
        </row>
        <row r="2942">
          <cell r="A2942" t="str">
            <v>GRMZM2G082487</v>
          </cell>
          <cell r="B2942" t="str">
            <v>GO:0006470GO:0008287GO:0004722</v>
          </cell>
        </row>
        <row r="2943">
          <cell r="A2943" t="str">
            <v>GRMZM2G009719</v>
          </cell>
          <cell r="B2943" t="str">
            <v>GO:0006950</v>
          </cell>
        </row>
        <row r="2944">
          <cell r="A2944" t="str">
            <v>GRMZM2G068943</v>
          </cell>
          <cell r="B2944" t="str">
            <v>GO:0003825GO:0005992</v>
          </cell>
        </row>
        <row r="2945">
          <cell r="A2945" t="str">
            <v>GRMZM2G072300</v>
          </cell>
          <cell r="B2945" t="str">
            <v>GO:0031072</v>
          </cell>
        </row>
        <row r="2946">
          <cell r="A2946" t="str">
            <v>GRMZM2G009103</v>
          </cell>
          <cell r="B2946" t="str">
            <v>GO:0016020</v>
          </cell>
        </row>
        <row r="2947">
          <cell r="A2947" t="str">
            <v>GRMZM2G312069</v>
          </cell>
          <cell r="B2947" t="str">
            <v>GO:0004497GO:0020037GO:0009055</v>
          </cell>
        </row>
        <row r="2948">
          <cell r="A2948" t="str">
            <v>GRMZM2G005365</v>
          </cell>
          <cell r="B2948" t="str">
            <v>GO:0008270GO:0005515</v>
          </cell>
        </row>
        <row r="2949">
          <cell r="A2949" t="str">
            <v>GRMZM2G145496</v>
          </cell>
          <cell r="B2949" t="str">
            <v>GO:0003735GO:0006412GO:0005840</v>
          </cell>
        </row>
        <row r="2950">
          <cell r="A2950" t="str">
            <v>AC217811.3_FG003</v>
          </cell>
          <cell r="B2950" t="str">
            <v>GO:0030170GO:0019752GO:0016831</v>
          </cell>
        </row>
        <row r="2951">
          <cell r="A2951" t="str">
            <v>GRMZM2G170016</v>
          </cell>
          <cell r="B2951" t="str">
            <v>GO:0020037</v>
          </cell>
        </row>
        <row r="2952">
          <cell r="A2952" t="str">
            <v>GRMZM2G170017</v>
          </cell>
          <cell r="B2952" t="str">
            <v>GO:0009239GO:0005488GO:0008667</v>
          </cell>
        </row>
        <row r="2953">
          <cell r="A2953" t="str">
            <v>GRMZM2G136803</v>
          </cell>
          <cell r="B2953" t="str">
            <v>GO:0003824GO:0005975GO:0030246</v>
          </cell>
        </row>
        <row r="2954">
          <cell r="A2954" t="str">
            <v>GRMZM2G366373</v>
          </cell>
          <cell r="B2954" t="str">
            <v>GO:0005840GO:0005634GO:0003735GO:0045449GO:0042309GO:0050826GO:0050825GO:0006412</v>
          </cell>
        </row>
        <row r="2955">
          <cell r="A2955" t="str">
            <v>GRMZM2G003406</v>
          </cell>
          <cell r="B2955" t="str">
            <v>GO:0003677</v>
          </cell>
        </row>
        <row r="2956">
          <cell r="A2956" t="str">
            <v>GRMZM2G136571</v>
          </cell>
          <cell r="B2956" t="str">
            <v>GO:0003824GO:0016021GO:0004969GO:0007186</v>
          </cell>
        </row>
        <row r="2957">
          <cell r="A2957" t="str">
            <v>GRMZM2G322129</v>
          </cell>
          <cell r="B2957" t="str">
            <v>GO:0005488</v>
          </cell>
        </row>
        <row r="2958">
          <cell r="A2958" t="str">
            <v>GRMZM2G139815</v>
          </cell>
          <cell r="B2958" t="str">
            <v>GO:0003700GO:0043565GO:0005634GO:0045449</v>
          </cell>
        </row>
        <row r="2959">
          <cell r="A2959" t="str">
            <v>GRMZM2G115156</v>
          </cell>
          <cell r="B2959" t="str">
            <v>GO:0006364</v>
          </cell>
        </row>
        <row r="2960">
          <cell r="A2960" t="str">
            <v>GRMZM2G142207</v>
          </cell>
          <cell r="B2960" t="str">
            <v>GO:0006468GO:0004674GO:0005529GO:0004713GO:0004866GO:0005524</v>
          </cell>
        </row>
        <row r="2961">
          <cell r="A2961" t="str">
            <v>GRMZM2G414252</v>
          </cell>
          <cell r="B2961" t="str">
            <v>GO:0005634GO:0045449GO:0030528</v>
          </cell>
        </row>
        <row r="2962">
          <cell r="A2962" t="str">
            <v>GRMZM2G093826</v>
          </cell>
          <cell r="B2962" t="str">
            <v>GO:0005247GO:0006813GO:0006821GO:0016020GO:0015079</v>
          </cell>
        </row>
        <row r="2963">
          <cell r="A2963" t="str">
            <v>GRMZM2G087507</v>
          </cell>
          <cell r="B2963" t="str">
            <v>GO:0055114GO:0016491</v>
          </cell>
        </row>
        <row r="2964">
          <cell r="A2964" t="str">
            <v>GRMZM2G032721</v>
          </cell>
          <cell r="B2964" t="str">
            <v>GO:0003735GO:0009536GO:0006412GO:0005840</v>
          </cell>
        </row>
        <row r="2965">
          <cell r="A2965" t="str">
            <v>GRMZM2G078314</v>
          </cell>
          <cell r="B2965" t="str">
            <v>GO:0006334GO:0003677GO:0005634GO:0000786</v>
          </cell>
        </row>
        <row r="2966">
          <cell r="A2966" t="str">
            <v>GRMZM2G121262</v>
          </cell>
          <cell r="B2966" t="str">
            <v>GO:0008409GO:0003677GO:0006281</v>
          </cell>
        </row>
        <row r="2967">
          <cell r="A2967" t="str">
            <v>GRMZM2G170120</v>
          </cell>
          <cell r="B2967" t="str">
            <v>GO:0004674GO:0006468GO:0004713GO:0005524GO:0007165</v>
          </cell>
        </row>
        <row r="2968">
          <cell r="A2968" t="str">
            <v>GRMZM2G430362</v>
          </cell>
          <cell r="B2968" t="str">
            <v>GO:0003676GO:0005524GO:0004386</v>
          </cell>
        </row>
        <row r="2969">
          <cell r="A2969" t="str">
            <v>GRMZM2G086906</v>
          </cell>
          <cell r="B2969" t="str">
            <v>GO:0003735GO:0006412GO:0005840</v>
          </cell>
        </row>
        <row r="2970">
          <cell r="A2970" t="str">
            <v>GRMZM2G087275</v>
          </cell>
          <cell r="B2970" t="str">
            <v>GO:0009058GO:0030170GO:0016769</v>
          </cell>
        </row>
        <row r="2971">
          <cell r="A2971" t="str">
            <v>AC190636.3_FG005</v>
          </cell>
          <cell r="B2971" t="str">
            <v>GO:0016491</v>
          </cell>
        </row>
        <row r="2972">
          <cell r="A2972" t="str">
            <v>GRMZM2G458164</v>
          </cell>
          <cell r="B2972" t="str">
            <v>GO:0005975GO:0004553</v>
          </cell>
        </row>
        <row r="2973">
          <cell r="A2973" t="str">
            <v>GRMZM2G025531</v>
          </cell>
          <cell r="B2973" t="str">
            <v>GO:0009987GO:0005216GO:0016020GO:0004190GO:0006508GO:0006811</v>
          </cell>
        </row>
        <row r="2974">
          <cell r="A2974" t="str">
            <v>GRMZM2G345622</v>
          </cell>
          <cell r="B2974" t="str">
            <v>GO:0006508GO:0043086GO:0042802GO:0004252</v>
          </cell>
        </row>
        <row r="2975">
          <cell r="A2975" t="str">
            <v>GRMZM2G119783</v>
          </cell>
          <cell r="B2975" t="str">
            <v>GO:0005618GO:0048046GO:0016762GO:0006073GO:0004553</v>
          </cell>
        </row>
        <row r="2976">
          <cell r="A2976" t="str">
            <v>GRMZM2G000221</v>
          </cell>
          <cell r="B2976" t="str">
            <v>GO:0008289GO:0006869</v>
          </cell>
        </row>
        <row r="2977">
          <cell r="A2977" t="str">
            <v>GRMZM2G362298</v>
          </cell>
          <cell r="B2977" t="str">
            <v>GO:0016747</v>
          </cell>
        </row>
        <row r="2978">
          <cell r="A2978" t="str">
            <v>GRMZM2G181605</v>
          </cell>
          <cell r="B2978" t="str">
            <v>GO:0045449GO:0003677</v>
          </cell>
        </row>
        <row r="2979">
          <cell r="A2979" t="str">
            <v>GRMZM2G160460</v>
          </cell>
          <cell r="B2979" t="str">
            <v>GO:0015450GO:0015904GO:0016021GO:0015520GO:0006835GO:0015031GO:0046677GO:0017153GO:0055085</v>
          </cell>
        </row>
        <row r="2980">
          <cell r="A2980" t="str">
            <v>GRMZM2G086277</v>
          </cell>
          <cell r="B2980" t="str">
            <v>GO:0008270GO:0005622</v>
          </cell>
        </row>
        <row r="2981">
          <cell r="A2981" t="str">
            <v>GRMZM2G123107</v>
          </cell>
          <cell r="B2981" t="str">
            <v>GO:0005975GO:0004553</v>
          </cell>
        </row>
        <row r="2982">
          <cell r="A2982" t="str">
            <v>GRMZM2G161643</v>
          </cell>
          <cell r="B2982" t="str">
            <v>GO:0016787</v>
          </cell>
        </row>
        <row r="2983">
          <cell r="A2983" t="str">
            <v>GRMZM2G147780</v>
          </cell>
          <cell r="B2983" t="str">
            <v>GO:0005089</v>
          </cell>
        </row>
        <row r="2984">
          <cell r="A2984" t="str">
            <v>GRMZM2G004699</v>
          </cell>
          <cell r="B2984" t="str">
            <v>GO:0005618GO:0048046GO:0016762GO:0006073GO:0004553</v>
          </cell>
        </row>
        <row r="2985">
          <cell r="A2985" t="str">
            <v>GRMZM2G400999</v>
          </cell>
          <cell r="B2985" t="str">
            <v>GO:0005975GO:0004553</v>
          </cell>
        </row>
        <row r="2986">
          <cell r="A2986" t="str">
            <v>GRMZM2G093622</v>
          </cell>
          <cell r="B2986" t="str">
            <v>GO:0048046GO:0030145GO:0045735</v>
          </cell>
        </row>
        <row r="2987">
          <cell r="A2987" t="str">
            <v>GRMZM2G160268</v>
          </cell>
          <cell r="B2987" t="str">
            <v>GO:0016020GO:0009765</v>
          </cell>
        </row>
        <row r="2988">
          <cell r="A2988" t="str">
            <v>GRMZM2G004696</v>
          </cell>
          <cell r="B2988" t="str">
            <v>GO:0005634GO:0045449</v>
          </cell>
        </row>
        <row r="2989">
          <cell r="A2989" t="str">
            <v>GRMZM2G004694</v>
          </cell>
          <cell r="B2989" t="str">
            <v>GO:0022891GO:0016021GO:0055085</v>
          </cell>
        </row>
        <row r="2990">
          <cell r="A2990" t="str">
            <v>GRMZM2G133613</v>
          </cell>
          <cell r="B2990" t="str">
            <v>GO:0016020GO:0008378GO:0006486</v>
          </cell>
        </row>
        <row r="2991">
          <cell r="A2991" t="str">
            <v>GRMZM2G019974</v>
          </cell>
          <cell r="B2991" t="str">
            <v>GO:0005215GO:0016021GO:0006810</v>
          </cell>
        </row>
        <row r="2992">
          <cell r="A2992" t="str">
            <v>GRMZM2G059836</v>
          </cell>
          <cell r="B2992" t="str">
            <v>GO:0046872GO:0030001</v>
          </cell>
        </row>
        <row r="2993">
          <cell r="A2993" t="str">
            <v>GRMZM2G127453</v>
          </cell>
          <cell r="B2993" t="str">
            <v>GO:0050825GO:0042309GO:0050826</v>
          </cell>
        </row>
        <row r="2994">
          <cell r="A2994" t="str">
            <v>GRMZM2G115422</v>
          </cell>
          <cell r="B2994" t="str">
            <v>GO:0050825GO:0016747GO:0042309GO:0050826</v>
          </cell>
        </row>
        <row r="2995">
          <cell r="A2995" t="str">
            <v>GRMZM2G079200</v>
          </cell>
          <cell r="B2995" t="str">
            <v>GO:0007186GO:0016021GO:0045449GO:0004990GO:0005634</v>
          </cell>
        </row>
        <row r="2996">
          <cell r="A2996" t="str">
            <v>GRMZM2G355523</v>
          </cell>
          <cell r="B2996" t="str">
            <v>GO:0016887GO:0005524</v>
          </cell>
        </row>
        <row r="2997">
          <cell r="A2997" t="str">
            <v>GRMZM2G002754</v>
          </cell>
          <cell r="B2997" t="str">
            <v>GO:0051536GO:0009055</v>
          </cell>
        </row>
        <row r="2998">
          <cell r="A2998" t="str">
            <v>GRMZM2G339563</v>
          </cell>
          <cell r="B2998" t="str">
            <v>GO:0051537GO:0016491GO:0055114GO:0009055</v>
          </cell>
        </row>
        <row r="2999">
          <cell r="A2999" t="str">
            <v>GRMZM2G010596</v>
          </cell>
          <cell r="B2999" t="str">
            <v>GO:0015940GO:0003864</v>
          </cell>
        </row>
        <row r="3000">
          <cell r="A3000" t="str">
            <v>GRMZM2G070797</v>
          </cell>
          <cell r="B3000" t="str">
            <v>GO:0008270GO:0005622</v>
          </cell>
        </row>
        <row r="3001">
          <cell r="A3001" t="str">
            <v>GRMZM2G367026</v>
          </cell>
          <cell r="B3001" t="str">
            <v>GO:0004590GO:0006207GO:0009116</v>
          </cell>
        </row>
        <row r="3002">
          <cell r="A3002" t="str">
            <v>GRMZM2G021149</v>
          </cell>
          <cell r="B3002" t="str">
            <v>GO:0016021GO:0005199GO:0006355GO:0003677GO:0007186GO:0005634GO:0005524</v>
          </cell>
        </row>
        <row r="3003">
          <cell r="A3003" t="str">
            <v>GRMZM2G396553</v>
          </cell>
          <cell r="B3003" t="str">
            <v>GO:0008792GO:0006527GO:0008295</v>
          </cell>
        </row>
        <row r="3004">
          <cell r="A3004" t="str">
            <v>GRMZM2G155437</v>
          </cell>
          <cell r="B3004" t="str">
            <v>GO:0042254GO:0005622</v>
          </cell>
        </row>
        <row r="3005">
          <cell r="A3005" t="str">
            <v>GRMZM2G122503</v>
          </cell>
          <cell r="B3005" t="str">
            <v>GO:0016020GO:0006810GO:0005337GO:0016747</v>
          </cell>
        </row>
        <row r="3006">
          <cell r="A3006" t="str">
            <v>GRMZM2G361569</v>
          </cell>
          <cell r="B3006" t="str">
            <v>GO:0003735GO:0009536GO:0006412GO:0005840</v>
          </cell>
        </row>
        <row r="3007">
          <cell r="A3007" t="str">
            <v>GRMZM2G033746</v>
          </cell>
          <cell r="B3007" t="str">
            <v>GO:0005576GO:0009405</v>
          </cell>
        </row>
        <row r="3008">
          <cell r="A3008" t="str">
            <v>GRMZM2G085892</v>
          </cell>
          <cell r="B3008" t="str">
            <v>GO:0008270</v>
          </cell>
        </row>
        <row r="3009">
          <cell r="A3009" t="str">
            <v>GRMZM2G122324</v>
          </cell>
          <cell r="B3009" t="str">
            <v>GO:0006633GO:0000036GO:0048037GO:0031177</v>
          </cell>
        </row>
        <row r="3010">
          <cell r="A3010" t="str">
            <v>GRMZM2G122327</v>
          </cell>
          <cell r="B3010" t="str">
            <v>GO:0022900GO:0051537GO:0009055</v>
          </cell>
        </row>
        <row r="3011">
          <cell r="A3011" t="str">
            <v>GRMZM2G375116</v>
          </cell>
          <cell r="B3011" t="str">
            <v>GO:0006813GO:0016020GO:0015079</v>
          </cell>
        </row>
        <row r="3012">
          <cell r="A3012" t="str">
            <v>GRMZM2G175995</v>
          </cell>
          <cell r="B3012" t="str">
            <v>GO:0050825GO:0042309GO:0050826</v>
          </cell>
        </row>
        <row r="3013">
          <cell r="A3013" t="str">
            <v>GRMZM2G350312</v>
          </cell>
          <cell r="B3013" t="str">
            <v>GO:0005634GO:0045449GO:0030528</v>
          </cell>
        </row>
        <row r="3014">
          <cell r="A3014" t="str">
            <v>GRMZM2G019799</v>
          </cell>
          <cell r="B3014" t="str">
            <v>GO:0016491GO:0046872GO:0050660GO:0009055</v>
          </cell>
        </row>
        <row r="3015">
          <cell r="A3015" t="str">
            <v>GRMZM2G003750</v>
          </cell>
          <cell r="B3015" t="str">
            <v>GO:0016020</v>
          </cell>
        </row>
        <row r="3016">
          <cell r="A3016" t="str">
            <v>GRMZM2G178817</v>
          </cell>
          <cell r="B3016" t="str">
            <v>GO:0048046GO:0030145GO:0045735</v>
          </cell>
        </row>
        <row r="3017">
          <cell r="A3017" t="str">
            <v>GRMZM2G084757</v>
          </cell>
          <cell r="B3017" t="str">
            <v>GO:0003735GO:0006412GO:0005840</v>
          </cell>
        </row>
        <row r="3018">
          <cell r="A3018" t="str">
            <v>GRMZM2G412430</v>
          </cell>
          <cell r="B3018" t="str">
            <v>GO:0005634GO:0045449GO:0030528</v>
          </cell>
        </row>
        <row r="3019">
          <cell r="A3019" t="str">
            <v>GRMZM2G132875</v>
          </cell>
          <cell r="B3019" t="str">
            <v>GO:0055114GO:0016491</v>
          </cell>
        </row>
        <row r="3020">
          <cell r="A3020" t="str">
            <v>GRMZM2G001875</v>
          </cell>
          <cell r="B3020" t="str">
            <v>GO:0050826GO:0050825GO:0042309GO:0003677</v>
          </cell>
        </row>
        <row r="3021">
          <cell r="A3021" t="str">
            <v>GRMZM2G392737</v>
          </cell>
          <cell r="B3021" t="str">
            <v>GO:0004674GO:0006468GO:0004713GO:0005524</v>
          </cell>
        </row>
        <row r="3022">
          <cell r="A3022" t="str">
            <v>GRMZM2G159399</v>
          </cell>
          <cell r="B3022" t="str">
            <v>GO:0006355GO:0005634GO:0003677GO:0009725</v>
          </cell>
        </row>
        <row r="3023">
          <cell r="A3023" t="str">
            <v>GRMZM2G051952</v>
          </cell>
          <cell r="B3023" t="str">
            <v>GO:0006355GO:0005634GO:0004879GO:0003677</v>
          </cell>
        </row>
        <row r="3024">
          <cell r="A3024" t="str">
            <v>GRMZM2G036921</v>
          </cell>
          <cell r="B3024" t="str">
            <v>GO:0016209GO:0016491</v>
          </cell>
        </row>
        <row r="3025">
          <cell r="A3025" t="str">
            <v>GRMZM2G047732</v>
          </cell>
          <cell r="B3025" t="str">
            <v>GO:0003735GO:0006412GO:0006464GO:0005840</v>
          </cell>
        </row>
        <row r="3026">
          <cell r="A3026" t="str">
            <v>GRMZM2G040298</v>
          </cell>
          <cell r="B3026" t="str">
            <v>GO:0003700GO:0043565GO:0005634GO:0045449</v>
          </cell>
        </row>
        <row r="3027">
          <cell r="A3027" t="str">
            <v>GRMZM2G050774</v>
          </cell>
          <cell r="B3027" t="str">
            <v>GO:0008270GO:0005515</v>
          </cell>
        </row>
        <row r="3028">
          <cell r="A3028" t="str">
            <v>GRMZM2G177970</v>
          </cell>
          <cell r="B3028" t="str">
            <v>GO:0005737GO:0004830GO:0006436GO:0005524</v>
          </cell>
        </row>
        <row r="3029">
          <cell r="A3029" t="str">
            <v>GRMZM2G036034</v>
          </cell>
          <cell r="B3029" t="str">
            <v>GO:0016192GO:0006886GO:0005798GO:0005198GO:0030117GO:0005515</v>
          </cell>
        </row>
        <row r="3030">
          <cell r="A3030" t="str">
            <v>GRMZM2G117369</v>
          </cell>
          <cell r="B3030" t="str">
            <v>GO:0050660GO:0016491</v>
          </cell>
        </row>
        <row r="3031">
          <cell r="A3031" t="str">
            <v>GRMZM2G049882</v>
          </cell>
          <cell r="B3031" t="str">
            <v>GO:0006508GO:0008234</v>
          </cell>
        </row>
        <row r="3032">
          <cell r="A3032" t="str">
            <v>GRMZM2G098696</v>
          </cell>
          <cell r="B3032" t="str">
            <v>GO:0003700GO:0006355GO:0005634GO:0043565</v>
          </cell>
        </row>
        <row r="3033">
          <cell r="A3033" t="str">
            <v>GRMZM2G035584</v>
          </cell>
          <cell r="B3033" t="str">
            <v>GO:0016747</v>
          </cell>
        </row>
        <row r="3034">
          <cell r="A3034" t="str">
            <v>GRMZM2G063931</v>
          </cell>
          <cell r="B3034" t="str">
            <v>GO:0019787GO:0043687GO:0051246</v>
          </cell>
        </row>
        <row r="3035">
          <cell r="A3035" t="str">
            <v>GRMZM2G108714</v>
          </cell>
          <cell r="B3035" t="str">
            <v>GO:0016747</v>
          </cell>
        </row>
        <row r="3036">
          <cell r="A3036" t="str">
            <v>GRMZM2G127123</v>
          </cell>
          <cell r="B3036" t="str">
            <v>GO:0004565GO:0009341GO:0005975GO:0005529</v>
          </cell>
        </row>
        <row r="3037">
          <cell r="A3037" t="str">
            <v>GRMZM2G074787</v>
          </cell>
          <cell r="B3037" t="str">
            <v>GO:0016787</v>
          </cell>
        </row>
        <row r="3038">
          <cell r="A3038" t="str">
            <v>GRMZM2G021439</v>
          </cell>
          <cell r="B3038" t="str">
            <v>GO:0008853GO:0005634GO:0003684GO:0006281</v>
          </cell>
        </row>
        <row r="3039">
          <cell r="A3039" t="str">
            <v>GRMZM2G117968</v>
          </cell>
          <cell r="B3039" t="str">
            <v>GO:0003755</v>
          </cell>
        </row>
        <row r="3040">
          <cell r="A3040" t="str">
            <v>GRMZM2G144648</v>
          </cell>
          <cell r="B3040" t="str">
            <v>GO:0004601GO:0006979GO:0020037GO:0009055</v>
          </cell>
        </row>
        <row r="3041">
          <cell r="A3041" t="str">
            <v>GRMZM2G135722</v>
          </cell>
          <cell r="B3041" t="str">
            <v>GO:0016758GO:0008152</v>
          </cell>
        </row>
        <row r="3042">
          <cell r="A3042" t="str">
            <v>GRMZM2G050550</v>
          </cell>
          <cell r="B3042" t="str">
            <v>GO:0003677</v>
          </cell>
        </row>
        <row r="3043">
          <cell r="A3043" t="str">
            <v>GRMZM2G021436</v>
          </cell>
          <cell r="B3043" t="str">
            <v>GO:0004497GO:0020037GO:0009055</v>
          </cell>
        </row>
        <row r="3044">
          <cell r="A3044" t="str">
            <v>GRMZM2G106588</v>
          </cell>
          <cell r="B3044" t="str">
            <v>GO:0050661GO:0050660GO:0006813GO:0008324GO:0004499GO:0009055</v>
          </cell>
        </row>
        <row r="3045">
          <cell r="A3045" t="str">
            <v>GRMZM2G036455</v>
          </cell>
          <cell r="B3045" t="str">
            <v>GO:0009239GO:0006470GO:0004725GO:0008667GO:0016630GO:0005488</v>
          </cell>
        </row>
        <row r="3046">
          <cell r="A3046" t="str">
            <v>GRMZM2G129304</v>
          </cell>
          <cell r="B3046" t="str">
            <v>GO:0016597GO:0008152</v>
          </cell>
        </row>
        <row r="3047">
          <cell r="A3047" t="str">
            <v>GRMZM2G060837</v>
          </cell>
          <cell r="B3047" t="str">
            <v>GO:0016762GO:0005618GO:0016021GO:0048046GO:0005000GO:0006073GO:0004553GO:0007186</v>
          </cell>
        </row>
        <row r="3048">
          <cell r="A3048" t="str">
            <v>GRMZM2G429322</v>
          </cell>
          <cell r="B3048" t="str">
            <v>GO:0016020GO:0006865GO:0008152GO:0016491</v>
          </cell>
        </row>
        <row r="3049">
          <cell r="A3049" t="str">
            <v>AC205608.4_FG004</v>
          </cell>
          <cell r="B3049" t="str">
            <v>GO:0006857GO:0005215GO:0016020</v>
          </cell>
        </row>
        <row r="3050">
          <cell r="A3050" t="str">
            <v>GRMZM2G407631</v>
          </cell>
          <cell r="B3050" t="str">
            <v>GO:0003700GO:0006355GO:0046983GO:0005634GO:0043565</v>
          </cell>
        </row>
        <row r="3051">
          <cell r="A3051" t="str">
            <v>GRMZM2G341732</v>
          </cell>
          <cell r="B3051" t="str">
            <v>GO:0032312GO:0008060GO:0008270</v>
          </cell>
        </row>
        <row r="3052">
          <cell r="A3052" t="str">
            <v>GRMZM2G095126</v>
          </cell>
          <cell r="B3052" t="str">
            <v>GO:0005975GO:0016020GO:0006835GO:0005515GO:0004553GO:0017153</v>
          </cell>
        </row>
        <row r="3053">
          <cell r="A3053" t="str">
            <v>GRMZM2G003988</v>
          </cell>
          <cell r="B3053" t="str">
            <v>GO:0016020</v>
          </cell>
        </row>
        <row r="3054">
          <cell r="A3054" t="str">
            <v>GRMZM2G314882</v>
          </cell>
          <cell r="B3054" t="str">
            <v>GO:0005634GO:0045449GO:0030528</v>
          </cell>
        </row>
        <row r="3055">
          <cell r="A3055" t="str">
            <v>GRMZM2G126865</v>
          </cell>
          <cell r="B3055" t="str">
            <v>GO:0016021</v>
          </cell>
        </row>
        <row r="3056">
          <cell r="A3056" t="str">
            <v>GRMZM2G072107</v>
          </cell>
          <cell r="B3056" t="str">
            <v>GO:0004674GO:0006468GO:0004713GO:0005524</v>
          </cell>
        </row>
        <row r="3057">
          <cell r="A3057" t="str">
            <v>GRMZM2G481163</v>
          </cell>
          <cell r="B3057" t="str">
            <v>GO:0003677</v>
          </cell>
        </row>
        <row r="3058">
          <cell r="A3058" t="str">
            <v>GRMZM2G149219</v>
          </cell>
          <cell r="B3058" t="str">
            <v>GO:0003700GO:0043565GO:0005634GO:0045449</v>
          </cell>
        </row>
        <row r="3059">
          <cell r="A3059" t="str">
            <v>GRMZM2G036217</v>
          </cell>
          <cell r="B3059" t="str">
            <v>GO:0003824GO:0005488GO:0008152</v>
          </cell>
        </row>
        <row r="3060">
          <cell r="A3060" t="str">
            <v>GRMZM2G058173</v>
          </cell>
          <cell r="B3060" t="str">
            <v>GO:0016765</v>
          </cell>
        </row>
        <row r="3061">
          <cell r="A3061" t="str">
            <v>GRMZM2G001724</v>
          </cell>
          <cell r="B3061" t="str">
            <v>GO:0016021</v>
          </cell>
        </row>
        <row r="3062">
          <cell r="A3062" t="str">
            <v>GRMZM2G127338</v>
          </cell>
          <cell r="B3062" t="str">
            <v>GO:0016020GO:0006865</v>
          </cell>
        </row>
        <row r="3063">
          <cell r="A3063" t="str">
            <v>GRMZM2G072264</v>
          </cell>
          <cell r="B3063" t="str">
            <v>GO:0050825GO:0042309GO:0003676GO:0050826</v>
          </cell>
        </row>
        <row r="3064">
          <cell r="A3064" t="str">
            <v>GRMZM2G157443</v>
          </cell>
          <cell r="B3064" t="str">
            <v>GO:0005840GO:0003735GO:0050825GO:0042309GO:0050826GO:0006414</v>
          </cell>
        </row>
        <row r="3065">
          <cell r="A3065" t="str">
            <v>GRMZM2G164558</v>
          </cell>
          <cell r="B3065" t="str">
            <v>GO:0009512</v>
          </cell>
        </row>
        <row r="3066">
          <cell r="A3066" t="str">
            <v>GRMZM2G063717</v>
          </cell>
          <cell r="B3066" t="str">
            <v>GO:0005509</v>
          </cell>
        </row>
        <row r="3067">
          <cell r="A3067" t="str">
            <v>GRMZM2G027479</v>
          </cell>
          <cell r="B3067" t="str">
            <v>GO:0006952</v>
          </cell>
        </row>
        <row r="3068">
          <cell r="A3068" t="str">
            <v>GRMZM2G106213</v>
          </cell>
          <cell r="B3068" t="str">
            <v>GO:0005978GO:0008878</v>
          </cell>
        </row>
        <row r="3069">
          <cell r="A3069" t="str">
            <v>GRMZM2G123815</v>
          </cell>
          <cell r="B3069" t="str">
            <v>GO:0006508GO:0004185</v>
          </cell>
        </row>
        <row r="3070">
          <cell r="A3070" t="str">
            <v>GRMZM2G096020</v>
          </cell>
          <cell r="B3070" t="str">
            <v>GO:0003824GO:0008152</v>
          </cell>
        </row>
        <row r="3071">
          <cell r="A3071" t="str">
            <v>GRMZM2G091044</v>
          </cell>
          <cell r="B3071" t="str">
            <v>GO:0003677GO:0045449GO:0008270GO:0005622</v>
          </cell>
        </row>
        <row r="3072">
          <cell r="A3072" t="str">
            <v>GRMZM2G025659</v>
          </cell>
          <cell r="B3072" t="str">
            <v>GO:0003824</v>
          </cell>
        </row>
        <row r="3073">
          <cell r="A3073" t="str">
            <v>GRMZM2G334660</v>
          </cell>
          <cell r="B3073" t="str">
            <v>GO:0005737GO:0009058GO:0016841GO:0016211GO:0006559</v>
          </cell>
        </row>
        <row r="3074">
          <cell r="A3074" t="str">
            <v>GRMZM2G153138</v>
          </cell>
          <cell r="B3074" t="str">
            <v>GO:0006886GO:0005622</v>
          </cell>
        </row>
        <row r="3075">
          <cell r="A3075" t="str">
            <v>GRMZM2G468260</v>
          </cell>
          <cell r="B3075" t="str">
            <v>GO:0008270GO:0005515</v>
          </cell>
        </row>
        <row r="3076">
          <cell r="A3076" t="str">
            <v>GRMZM2G179133</v>
          </cell>
          <cell r="B3076" t="str">
            <v>GO:0016787</v>
          </cell>
        </row>
        <row r="3077">
          <cell r="A3077" t="str">
            <v>GRMZM2G124229</v>
          </cell>
          <cell r="B3077" t="str">
            <v>GO:0016787GO:0008152</v>
          </cell>
        </row>
        <row r="3078">
          <cell r="A3078" t="str">
            <v>GRMZM2G009282</v>
          </cell>
          <cell r="B3078" t="str">
            <v>GO:0005975GO:0004553</v>
          </cell>
        </row>
        <row r="3079">
          <cell r="A3079" t="str">
            <v>GRMZM2G175232</v>
          </cell>
          <cell r="B3079" t="str">
            <v>GO:0003677</v>
          </cell>
        </row>
        <row r="3080">
          <cell r="A3080" t="str">
            <v>GRMZM2G413113</v>
          </cell>
          <cell r="B3080" t="str">
            <v>GO:0009416GO:0004871</v>
          </cell>
        </row>
        <row r="3081">
          <cell r="A3081" t="str">
            <v>GRMZM2G072315</v>
          </cell>
          <cell r="B3081" t="str">
            <v>GO:0003735GO:0015934GO:0006412</v>
          </cell>
        </row>
        <row r="3082">
          <cell r="A3082" t="str">
            <v>GRMZM2G145461</v>
          </cell>
          <cell r="B3082" t="str">
            <v>GO:0004568GO:0006032GO:0008061GO:0016998</v>
          </cell>
        </row>
        <row r="3083">
          <cell r="A3083" t="str">
            <v>GRMZM2G071705</v>
          </cell>
          <cell r="B3083" t="str">
            <v>GO:0005840GO:0003735GO:0050825GO:0042309GO:0050826GO:0006412</v>
          </cell>
        </row>
        <row r="3084">
          <cell r="A3084" t="str">
            <v>GRMZM2G301355</v>
          </cell>
          <cell r="B3084" t="str">
            <v>GO:0004674GO:0006468GO:0004713GO:0005524</v>
          </cell>
        </row>
        <row r="3085">
          <cell r="A3085" t="str">
            <v>GRMZM2G008539</v>
          </cell>
          <cell r="B3085" t="str">
            <v>GO:0016758GO:0008152</v>
          </cell>
        </row>
        <row r="3086">
          <cell r="A3086" t="str">
            <v>GRMZM2G062396</v>
          </cell>
          <cell r="B3086" t="str">
            <v>GO:0005506GO:0016491</v>
          </cell>
        </row>
        <row r="3087">
          <cell r="A3087" t="str">
            <v>GRMZM2G139803</v>
          </cell>
          <cell r="B3087" t="str">
            <v>GO:0008937GO:0009536GO:0015979</v>
          </cell>
        </row>
        <row r="3088">
          <cell r="A3088" t="str">
            <v>GRMZM2G121075</v>
          </cell>
          <cell r="B3088" t="str">
            <v>GO:0003735GO:0006412GO:0005840</v>
          </cell>
        </row>
        <row r="3089">
          <cell r="A3089" t="str">
            <v>GRMZM2G134703</v>
          </cell>
          <cell r="B3089" t="str">
            <v>GO:0004497GO:0020037GO:0009055</v>
          </cell>
        </row>
        <row r="3090">
          <cell r="A3090" t="str">
            <v>GRMZM2G101900</v>
          </cell>
          <cell r="B3090" t="str">
            <v>GO:0006207GO:0006520GO:0009348GO:0016597GO:0004585GO:0004070</v>
          </cell>
        </row>
        <row r="3091">
          <cell r="A3091" t="str">
            <v>GRMZM2G134708</v>
          </cell>
          <cell r="B3091" t="str">
            <v>GO:0006813GO:0016491GO:0008324GO:0050660GO:0009055</v>
          </cell>
        </row>
        <row r="3092">
          <cell r="A3092" t="str">
            <v>GRMZM2G055037</v>
          </cell>
          <cell r="B3092" t="str">
            <v>GO:0008270GO:0005515</v>
          </cell>
        </row>
        <row r="3093">
          <cell r="A3093" t="str">
            <v>GRMZM2G004519</v>
          </cell>
          <cell r="B3093" t="str">
            <v>GO:0008270GO:0005515</v>
          </cell>
        </row>
        <row r="3094">
          <cell r="A3094" t="str">
            <v>GRMZM2G076417</v>
          </cell>
          <cell r="B3094" t="str">
            <v>GO:0006508GO:0043086GO:0042802GO:0004252</v>
          </cell>
        </row>
        <row r="3095">
          <cell r="A3095" t="str">
            <v>GRMZM2G058394</v>
          </cell>
          <cell r="B3095" t="str">
            <v>GO:0005576GO:0004867</v>
          </cell>
        </row>
        <row r="3096">
          <cell r="A3096" t="str">
            <v>GRMZM2G032910</v>
          </cell>
          <cell r="B3096" t="str">
            <v>GO:0006508GO:0004177</v>
          </cell>
        </row>
        <row r="3097">
          <cell r="A3097" t="str">
            <v>GRMZM2G080851</v>
          </cell>
          <cell r="B3097" t="str">
            <v>GO:0004674GO:0006468GO:0005524GO:0005515GO:0004713</v>
          </cell>
        </row>
        <row r="3098">
          <cell r="A3098" t="str">
            <v>GRMZM2G115182</v>
          </cell>
          <cell r="B3098" t="str">
            <v>GO:0005488</v>
          </cell>
        </row>
        <row r="3099">
          <cell r="A3099" t="str">
            <v>GRMZM2G076631</v>
          </cell>
          <cell r="B3099" t="str">
            <v>GO:0003824</v>
          </cell>
        </row>
        <row r="3100">
          <cell r="A3100" t="str">
            <v>GRMZM2G477872</v>
          </cell>
          <cell r="B3100" t="str">
            <v>GO:0016020GO:0016887GO:0005524</v>
          </cell>
        </row>
        <row r="3101">
          <cell r="A3101" t="str">
            <v>GRMZM2G057768</v>
          </cell>
          <cell r="B3101" t="str">
            <v>GO:0006470GO:0008287GO:0004722</v>
          </cell>
        </row>
        <row r="3102">
          <cell r="A3102" t="str">
            <v>GRMZM2G030628</v>
          </cell>
          <cell r="B3102" t="str">
            <v>GO:0006139GO:0019201GO:0016776GO:0005524</v>
          </cell>
        </row>
        <row r="3103">
          <cell r="A3103" t="str">
            <v>GRMZM2G000236</v>
          </cell>
          <cell r="B3103" t="str">
            <v>GO:0010181GO:0016491</v>
          </cell>
        </row>
        <row r="3104">
          <cell r="A3104" t="str">
            <v>GRMZM2G125775</v>
          </cell>
          <cell r="B3104" t="str">
            <v>GO:0008270</v>
          </cell>
        </row>
        <row r="3105">
          <cell r="A3105" t="str">
            <v>GRMZM2G086242</v>
          </cell>
          <cell r="B3105" t="str">
            <v>GO:0016021</v>
          </cell>
        </row>
        <row r="3106">
          <cell r="A3106" t="str">
            <v>GRMZM2G136495</v>
          </cell>
          <cell r="B3106" t="str">
            <v>GO:0006508GO:0004185GO:0004177</v>
          </cell>
        </row>
        <row r="3107">
          <cell r="A3107" t="str">
            <v>AC186603.6_FG003</v>
          </cell>
          <cell r="B3107" t="str">
            <v>GO:0008299GO:0004497GO:0020037GO:0009055</v>
          </cell>
        </row>
        <row r="3108">
          <cell r="A3108" t="str">
            <v>GRMZM2G322593</v>
          </cell>
          <cell r="B3108" t="str">
            <v>GO:0016021</v>
          </cell>
        </row>
        <row r="3109">
          <cell r="A3109" t="str">
            <v>GRMZM2G017792</v>
          </cell>
          <cell r="B3109" t="str">
            <v>GO:0004707GO:0006468GO:0004713GO:0005524</v>
          </cell>
        </row>
        <row r="3110">
          <cell r="A3110" t="str">
            <v>GRMZM2G115451</v>
          </cell>
          <cell r="B3110" t="str">
            <v>GO:0005978GO:0004135</v>
          </cell>
        </row>
        <row r="3111">
          <cell r="A3111" t="str">
            <v>GRMZM2G075782</v>
          </cell>
          <cell r="B3111" t="str">
            <v>GO:0008270GO:0005515</v>
          </cell>
        </row>
        <row r="3112">
          <cell r="A3112" t="str">
            <v>GRMZM2G079219</v>
          </cell>
          <cell r="B3112" t="str">
            <v>GO:0004674GO:0006468GO:0004713GO:0005524</v>
          </cell>
        </row>
        <row r="3113">
          <cell r="A3113" t="str">
            <v>GRMZM2G059845</v>
          </cell>
          <cell r="B3113" t="str">
            <v>GO:0016020</v>
          </cell>
        </row>
        <row r="3114">
          <cell r="A3114" t="str">
            <v>GRMZM2G140231</v>
          </cell>
          <cell r="B3114" t="str">
            <v>GO:0004674GO:0006468GO:0004713GO:0005524</v>
          </cell>
        </row>
        <row r="3115">
          <cell r="A3115" t="str">
            <v>GRMZM2G018786</v>
          </cell>
          <cell r="B3115" t="str">
            <v>GO:0016773GO:0005634GO:0006355GO:0005524GO:0003677GO:0004879</v>
          </cell>
        </row>
        <row r="3116">
          <cell r="A3116" t="str">
            <v>GRMZM2G062974</v>
          </cell>
          <cell r="B3116" t="str">
            <v>GO:0004568GO:0006032GO:0008061GO:0016998</v>
          </cell>
        </row>
        <row r="3117">
          <cell r="A3117" t="str">
            <v>GRMZM2G132607</v>
          </cell>
          <cell r="B3117" t="str">
            <v>GO:0004747GO:0006014</v>
          </cell>
        </row>
        <row r="3118">
          <cell r="A3118" t="str">
            <v>GRMZM2G153920</v>
          </cell>
          <cell r="B3118" t="str">
            <v>GO:0022891GO:0016021GO:0055085</v>
          </cell>
        </row>
        <row r="3119">
          <cell r="A3119" t="str">
            <v>GRMZM2G013811</v>
          </cell>
          <cell r="B3119" t="str">
            <v>GO:0005975GO:0004134</v>
          </cell>
        </row>
        <row r="3120">
          <cell r="A3120" t="str">
            <v>GRMZM2G077214</v>
          </cell>
          <cell r="B3120" t="str">
            <v>GO:0055114GO:0016491</v>
          </cell>
        </row>
        <row r="3121">
          <cell r="A3121" t="str">
            <v>GRMZM2G125310</v>
          </cell>
          <cell r="B3121" t="str">
            <v>GO:0046872GO:0004462</v>
          </cell>
        </row>
        <row r="3122">
          <cell r="A3122" t="str">
            <v>GRMZM2G382785</v>
          </cell>
          <cell r="B3122" t="str">
            <v>GO:0016747</v>
          </cell>
        </row>
        <row r="3123">
          <cell r="A3123" t="str">
            <v>GRMZM2G052562</v>
          </cell>
          <cell r="B3123" t="str">
            <v>GO:0006629GO:0016788</v>
          </cell>
        </row>
        <row r="3124">
          <cell r="A3124" t="str">
            <v>GRMZM2G062377</v>
          </cell>
          <cell r="B3124" t="str">
            <v>GO:0003824GO:0016020</v>
          </cell>
        </row>
        <row r="3125">
          <cell r="A3125" t="str">
            <v>GRMZM2G056407</v>
          </cell>
          <cell r="B3125" t="str">
            <v>GO:0050826GO:0050825GO:0042309GO:0003677</v>
          </cell>
        </row>
        <row r="3126">
          <cell r="A3126" t="str">
            <v>GRMZM2G076943</v>
          </cell>
          <cell r="B3126" t="str">
            <v>GO:0004674GO:0006468GO:0004713GO:0005524</v>
          </cell>
        </row>
        <row r="3127">
          <cell r="A3127" t="str">
            <v>GRMZM2G122337</v>
          </cell>
          <cell r="B3127" t="str">
            <v>GO:0022900GO:0051537GO:0009055</v>
          </cell>
        </row>
        <row r="3128">
          <cell r="A3128" t="str">
            <v>GRMZM2G066876</v>
          </cell>
          <cell r="B3128" t="str">
            <v>GO:0044267GO:0046488GO:0016307GO:0005515GO:0005524</v>
          </cell>
        </row>
        <row r="3129">
          <cell r="A3129" t="str">
            <v>GRMZM2G007195</v>
          </cell>
          <cell r="B3129" t="str">
            <v>GO:0016857GO:0050662GO:0006694GO:0003854GO:0045226GO:0008831</v>
          </cell>
        </row>
        <row r="3130">
          <cell r="A3130" t="str">
            <v>GRMZM2G072034</v>
          </cell>
          <cell r="B3130" t="str">
            <v>GO:0005215GO:0006810GO:0008289</v>
          </cell>
        </row>
        <row r="3131">
          <cell r="A3131" t="str">
            <v>GRMZM2G173315</v>
          </cell>
          <cell r="B3131" t="str">
            <v>GO:0016758GO:0008152</v>
          </cell>
        </row>
        <row r="3132">
          <cell r="A3132" t="str">
            <v>GRMZM2G178645</v>
          </cell>
          <cell r="B3132" t="str">
            <v>GO:0017111GO:0005524</v>
          </cell>
        </row>
        <row r="3133">
          <cell r="A3133" t="str">
            <v>GRMZM2G060156</v>
          </cell>
          <cell r="B3133" t="str">
            <v>GO:0009234GO:0008935</v>
          </cell>
        </row>
        <row r="3134">
          <cell r="A3134" t="str">
            <v>GRMZM2G171223</v>
          </cell>
          <cell r="B3134" t="str">
            <v>GO:0046983</v>
          </cell>
        </row>
        <row r="3135">
          <cell r="A3135" t="str">
            <v>GRMZM2G035820</v>
          </cell>
          <cell r="B3135" t="str">
            <v>GO:0004525GO:0003723GO:0006396</v>
          </cell>
        </row>
        <row r="3136">
          <cell r="A3136" t="str">
            <v>GRMZM2G065471</v>
          </cell>
          <cell r="B3136" t="str">
            <v>GO:0016787GO:0008152</v>
          </cell>
        </row>
        <row r="3137">
          <cell r="A3137" t="str">
            <v>GRMZM2G178486</v>
          </cell>
          <cell r="B3137" t="str">
            <v>GO:0008270GO:0005515</v>
          </cell>
        </row>
        <row r="3138">
          <cell r="A3138" t="str">
            <v>GRMZM2G168651</v>
          </cell>
          <cell r="B3138" t="str">
            <v>GO:0005576GO:0005199</v>
          </cell>
        </row>
        <row r="3139">
          <cell r="A3139" t="str">
            <v>GRMZM2G073376</v>
          </cell>
          <cell r="B3139" t="str">
            <v>GO:0016758GO:0008152</v>
          </cell>
        </row>
        <row r="3140">
          <cell r="A3140" t="str">
            <v>GRMZM2G056247</v>
          </cell>
          <cell r="B3140" t="str">
            <v>GO:0004497GO:0020037GO:0009055</v>
          </cell>
        </row>
        <row r="3141">
          <cell r="A3141" t="str">
            <v>AC230013.2_FG007</v>
          </cell>
          <cell r="B3141" t="str">
            <v>GO:0003735GO:0006412GO:0005840</v>
          </cell>
        </row>
        <row r="3142">
          <cell r="A3142" t="str">
            <v>GRMZM2G159237</v>
          </cell>
          <cell r="B3142" t="str">
            <v>GO:0003735GO:0006412GO:0015935</v>
          </cell>
        </row>
        <row r="3143">
          <cell r="A3143" t="str">
            <v>GRMZM2G159724</v>
          </cell>
          <cell r="B3143" t="str">
            <v>GO:0016616GO:0051287GO:0004470GO:0046872GO:0006108GO:0055114</v>
          </cell>
        </row>
        <row r="3144">
          <cell r="A3144" t="str">
            <v>GRMZM2G095689</v>
          </cell>
          <cell r="B3144" t="str">
            <v>GO:0008270GO:0005515</v>
          </cell>
        </row>
        <row r="3145">
          <cell r="A3145" t="str">
            <v>AC215690.3_FG002</v>
          </cell>
          <cell r="B3145" t="str">
            <v>GO:0006633GO:0045300GO:0046914</v>
          </cell>
        </row>
        <row r="3146">
          <cell r="A3146" t="str">
            <v>GRMZM2G061950</v>
          </cell>
          <cell r="B3146" t="str">
            <v>GO:0005544GO:0005509</v>
          </cell>
        </row>
        <row r="3147">
          <cell r="A3147" t="str">
            <v>GRMZM2G053764</v>
          </cell>
          <cell r="B3147" t="str">
            <v>GO:0019787GO:0043687GO:0051246</v>
          </cell>
        </row>
        <row r="3148">
          <cell r="A3148" t="str">
            <v>GRMZM2G006806</v>
          </cell>
          <cell r="B3148" t="str">
            <v>GO:0005634GO:0004721GO:0006397</v>
          </cell>
        </row>
        <row r="3149">
          <cell r="A3149" t="str">
            <v>GRMZM2G046615</v>
          </cell>
          <cell r="B3149" t="str">
            <v>GO:0016829GO:0000287GO:0008152</v>
          </cell>
        </row>
        <row r="3150">
          <cell r="A3150" t="str">
            <v>GRMZM2G094532</v>
          </cell>
          <cell r="B3150" t="str">
            <v>GO:0006813GO:0016021GO:0005267</v>
          </cell>
        </row>
        <row r="3151">
          <cell r="A3151" t="str">
            <v>GRMZM2G105330</v>
          </cell>
          <cell r="B3151" t="str">
            <v>GO:0003824GO:0008152</v>
          </cell>
        </row>
        <row r="3152">
          <cell r="A3152" t="str">
            <v>GRMZM2G155370</v>
          </cell>
          <cell r="B3152" t="str">
            <v>GO:0006334GO:0003677GO:0000786</v>
          </cell>
        </row>
        <row r="3153">
          <cell r="A3153" t="str">
            <v>GRMZM2G021339</v>
          </cell>
          <cell r="B3153" t="str">
            <v>GO:0003700GO:0006355GO:0005634GO:0043565</v>
          </cell>
        </row>
        <row r="3154">
          <cell r="A3154" t="str">
            <v>GRMZM2G165747</v>
          </cell>
          <cell r="B3154" t="str">
            <v>GO:0009086GO:0003871GO:0008270</v>
          </cell>
        </row>
        <row r="3155">
          <cell r="A3155" t="str">
            <v>GRMZM2G051943</v>
          </cell>
          <cell r="B3155" t="str">
            <v>GO:0016998GO:0016021GO:0008061GO:0004994GO:0004568GO:0006032GO:0007186</v>
          </cell>
        </row>
        <row r="3156">
          <cell r="A3156" t="str">
            <v>GRMZM2G113244</v>
          </cell>
          <cell r="B3156" t="str">
            <v>GO:0007165GO:0004871</v>
          </cell>
        </row>
        <row r="3157">
          <cell r="A3157" t="str">
            <v>GRMZM2G127230</v>
          </cell>
          <cell r="B3157" t="str">
            <v>GO:0006614GO:0017111GO:0008312GO:0048500GO:0005524GO:0005525</v>
          </cell>
        </row>
        <row r="3158">
          <cell r="A3158" t="str">
            <v>GRMZM2G085924</v>
          </cell>
          <cell r="B3158" t="str">
            <v>GO:0046983GO:0008171</v>
          </cell>
        </row>
        <row r="3159">
          <cell r="A3159" t="str">
            <v>GRMZM2G047365</v>
          </cell>
          <cell r="B3159" t="str">
            <v>GO:0003824GO:0016020</v>
          </cell>
        </row>
        <row r="3160">
          <cell r="A3160" t="str">
            <v>GRMZM2G320506</v>
          </cell>
          <cell r="B3160" t="str">
            <v>GO:0004674GO:0006468GO:0004713GO:0005524GO:0005509</v>
          </cell>
        </row>
        <row r="3161">
          <cell r="A3161" t="str">
            <v>GRMZM2G067373</v>
          </cell>
          <cell r="B3161" t="str">
            <v>GO:0045454GO:0007242GO:0015035GO:0009055</v>
          </cell>
        </row>
        <row r="3162">
          <cell r="A3162" t="str">
            <v>GRMZM2G034206</v>
          </cell>
          <cell r="B3162" t="str">
            <v>GO:0007155</v>
          </cell>
        </row>
        <row r="3163">
          <cell r="A3163" t="str">
            <v>GRMZM2G011098</v>
          </cell>
          <cell r="B3163" t="str">
            <v>GO:0017089GO:0005737GO:0046836GO:0051861</v>
          </cell>
        </row>
        <row r="3164">
          <cell r="A3164" t="str">
            <v>GRMZM2G449950</v>
          </cell>
          <cell r="B3164" t="str">
            <v>GO:0045449GO:0008270GO:0003677</v>
          </cell>
        </row>
        <row r="3165">
          <cell r="A3165" t="str">
            <v>AC194965.4_FG001</v>
          </cell>
          <cell r="B3165" t="str">
            <v>GO:0000155GO:0016020GO:0007165GO:0005524GO:0016310</v>
          </cell>
        </row>
        <row r="3166">
          <cell r="A3166" t="str">
            <v>GRMZM2G173067</v>
          </cell>
          <cell r="B3166" t="str">
            <v>GO:0016020GO:0017153GO:0006835</v>
          </cell>
        </row>
        <row r="3167">
          <cell r="A3167" t="str">
            <v>GRMZM2G166963</v>
          </cell>
          <cell r="B3167" t="str">
            <v>GO:0003735GO:0006412GO:0005840</v>
          </cell>
        </row>
        <row r="3168">
          <cell r="A3168" t="str">
            <v>GRMZM2G007801</v>
          </cell>
          <cell r="B3168" t="str">
            <v>GO:0004674GO:0006468GO:0004713GO:0005524</v>
          </cell>
        </row>
        <row r="3169">
          <cell r="A3169" t="str">
            <v>GRMZM2G022997</v>
          </cell>
          <cell r="B3169" t="str">
            <v>GO:0003993</v>
          </cell>
        </row>
        <row r="3170">
          <cell r="A3170" t="str">
            <v>GRMZM2G074790</v>
          </cell>
          <cell r="B3170" t="str">
            <v>GO:0005737GO:0006457GO:0005524GO:0005515</v>
          </cell>
        </row>
        <row r="3171">
          <cell r="A3171" t="str">
            <v>GRMZM2G046055</v>
          </cell>
          <cell r="B3171" t="str">
            <v>GO:0006334GO:0003677GO:0005634GO:0000786</v>
          </cell>
        </row>
        <row r="3172">
          <cell r="A3172" t="str">
            <v>GRMZM2G057281</v>
          </cell>
          <cell r="B3172" t="str">
            <v>GO:0016020GO:0009765</v>
          </cell>
        </row>
        <row r="3173">
          <cell r="A3173" t="str">
            <v>GRMZM2G117971</v>
          </cell>
          <cell r="B3173" t="str">
            <v>GO:0050832GO:0042742</v>
          </cell>
        </row>
        <row r="3174">
          <cell r="A3174" t="str">
            <v>GRMZM2G164948</v>
          </cell>
          <cell r="B3174" t="str">
            <v>GO:0005737GO:0019430GO:0004791GO:0050660GO:0009055</v>
          </cell>
        </row>
        <row r="3175">
          <cell r="A3175" t="str">
            <v>GRMZM2G064708</v>
          </cell>
          <cell r="B3175" t="str">
            <v>GO:0004190GO:0050826GO:0050825GO:0042309GO:0006508</v>
          </cell>
        </row>
        <row r="3176">
          <cell r="A3176" t="str">
            <v>GRMZM2G046297</v>
          </cell>
          <cell r="B3176" t="str">
            <v>GO:0004674GO:0006468GO:0004713GO:0005524</v>
          </cell>
        </row>
        <row r="3177">
          <cell r="A3177" t="str">
            <v>AC233935.1_FG005</v>
          </cell>
          <cell r="B3177" t="str">
            <v>GO:0045449GO:0008270GO:0003677</v>
          </cell>
        </row>
        <row r="3178">
          <cell r="A3178" t="str">
            <v>GRMZM2G089136</v>
          </cell>
          <cell r="B3178" t="str">
            <v>GO:0004618GO:0050825GO:0006096GO:0042309GO:0050826</v>
          </cell>
        </row>
        <row r="3179">
          <cell r="A3179" t="str">
            <v>GRMZM2G149428</v>
          </cell>
          <cell r="B3179" t="str">
            <v>GO:0016020GO:0009765</v>
          </cell>
        </row>
        <row r="3180">
          <cell r="A3180" t="str">
            <v>GRMZM2G002178</v>
          </cell>
          <cell r="B3180" t="str">
            <v>GO:0004497GO:0020037GO:0009055</v>
          </cell>
        </row>
        <row r="3181">
          <cell r="A3181" t="str">
            <v>GRMZM2G013324</v>
          </cell>
          <cell r="B3181" t="str">
            <v>GO:0006071GO:0006629GO:0008889</v>
          </cell>
        </row>
        <row r="3182">
          <cell r="A3182" t="str">
            <v>GRMZM2G167766</v>
          </cell>
          <cell r="B3182" t="str">
            <v>GO:0016020</v>
          </cell>
        </row>
        <row r="3183">
          <cell r="A3183" t="str">
            <v>GRMZM2G050234</v>
          </cell>
          <cell r="B3183" t="str">
            <v>GO:0005506GO:0016491</v>
          </cell>
        </row>
        <row r="3184">
          <cell r="A3184" t="str">
            <v>GRMZM2G012140</v>
          </cell>
          <cell r="B3184" t="str">
            <v>GO:0005975GO:0004553</v>
          </cell>
        </row>
        <row r="3185">
          <cell r="A3185" t="str">
            <v>GRMZM2G103250</v>
          </cell>
          <cell r="B3185" t="str">
            <v>GO:0003995</v>
          </cell>
        </row>
        <row r="3186">
          <cell r="A3186" t="str">
            <v>GRMZM2G081957</v>
          </cell>
          <cell r="B3186" t="str">
            <v>GO:0006468GO:0004674GO:0030001GO:0004713GO:0046872GO:0005524</v>
          </cell>
        </row>
        <row r="3187">
          <cell r="A3187" t="str">
            <v>GRMZM2G142898</v>
          </cell>
          <cell r="B3187" t="str">
            <v>GO:0016020GO:0016760GO:0008270GO:0005515GO:0030244</v>
          </cell>
        </row>
        <row r="3188">
          <cell r="A3188" t="str">
            <v>GRMZM2G380414</v>
          </cell>
          <cell r="B3188" t="str">
            <v>GO:0015979GO:0009523</v>
          </cell>
        </row>
        <row r="3189">
          <cell r="A3189" t="str">
            <v>GRMZM2G128080</v>
          </cell>
          <cell r="B3189" t="str">
            <v>GO:0043565</v>
          </cell>
        </row>
        <row r="3190">
          <cell r="A3190" t="str">
            <v>GRMZM2G042756</v>
          </cell>
          <cell r="B3190" t="str">
            <v>GO:0003700GO:0006355</v>
          </cell>
        </row>
        <row r="3191">
          <cell r="A3191" t="str">
            <v>AC166636.1_FG008</v>
          </cell>
          <cell r="B3191" t="str">
            <v>GO:0015031GO:0005525GO:0007264GO:0005622</v>
          </cell>
        </row>
        <row r="3192">
          <cell r="A3192" t="str">
            <v>GRMZM2G317770</v>
          </cell>
          <cell r="B3192" t="str">
            <v>GO:0004674GO:0006468GO:0004713GO:0005524GO:0016998</v>
          </cell>
        </row>
        <row r="3193">
          <cell r="A3193" t="str">
            <v>GRMZM2G154029</v>
          </cell>
          <cell r="B3193" t="str">
            <v>GO:0005634GO:0045449GO:0030528</v>
          </cell>
        </row>
        <row r="3194">
          <cell r="A3194" t="str">
            <v>GRMZM2G349749</v>
          </cell>
          <cell r="B3194" t="str">
            <v>GO:0006629</v>
          </cell>
        </row>
        <row r="3195">
          <cell r="A3195" t="str">
            <v>AC166636.1_FG007</v>
          </cell>
          <cell r="B3195" t="str">
            <v>GO:0005515</v>
          </cell>
        </row>
        <row r="3196">
          <cell r="A3196" t="str">
            <v>GRMZM2G043119</v>
          </cell>
          <cell r="B3196" t="str">
            <v>GO:0005759</v>
          </cell>
        </row>
        <row r="3197">
          <cell r="A3197" t="str">
            <v>GRMZM2G135132</v>
          </cell>
          <cell r="B3197" t="str">
            <v>GO:0005945GO:0004001GO:0006166GO:0006014GO:0003872GO:0006096GO:0004747</v>
          </cell>
        </row>
        <row r="3198">
          <cell r="A3198" t="str">
            <v>GRMZM2G177412</v>
          </cell>
          <cell r="B3198" t="str">
            <v>GO:0005737GO:0050661GO:0004764GO:0008883GO:0033014GO:0050825GO:0042309GO:0050826</v>
          </cell>
        </row>
        <row r="3199">
          <cell r="A3199" t="str">
            <v>GRMZM2G066197</v>
          </cell>
          <cell r="B3199" t="str">
            <v>GO:0016021GO:0007186</v>
          </cell>
        </row>
        <row r="3200">
          <cell r="A3200" t="str">
            <v>GRMZM2G106377</v>
          </cell>
          <cell r="B3200" t="str">
            <v>GO:0008270GO:0003676GO:0005515</v>
          </cell>
        </row>
        <row r="3201">
          <cell r="A3201" t="str">
            <v>GRMZM2G090432</v>
          </cell>
          <cell r="B3201" t="str">
            <v>GO:0004497GO:0020037GO:0009055</v>
          </cell>
        </row>
        <row r="3202">
          <cell r="A3202" t="str">
            <v>GRMZM2G151332</v>
          </cell>
          <cell r="B3202" t="str">
            <v>GO:0016758GO:0008152</v>
          </cell>
        </row>
        <row r="3203">
          <cell r="A3203" t="str">
            <v>GRMZM2G109830</v>
          </cell>
          <cell r="B3203" t="str">
            <v>GO:0004674GO:0006468GO:0005524GO:0005515GO:0004713</v>
          </cell>
        </row>
        <row r="3204">
          <cell r="A3204" t="str">
            <v>GRMZM2G129209</v>
          </cell>
          <cell r="B3204" t="str">
            <v>GO:0006629GO:0016491</v>
          </cell>
        </row>
        <row r="3205">
          <cell r="A3205" t="str">
            <v>GRMZM2G134398</v>
          </cell>
          <cell r="B3205" t="str">
            <v>GO:0006355GO:0003723</v>
          </cell>
        </row>
        <row r="3206">
          <cell r="A3206" t="str">
            <v>GRMZM2G134396</v>
          </cell>
          <cell r="B3206" t="str">
            <v>GO:0003876GO:0009168</v>
          </cell>
        </row>
        <row r="3207">
          <cell r="A3207" t="str">
            <v>GRMZM2G051059</v>
          </cell>
          <cell r="B3207" t="str">
            <v>GO:0006508GO:0004197</v>
          </cell>
        </row>
        <row r="3208">
          <cell r="A3208" t="str">
            <v>AC198353.5_FG001</v>
          </cell>
          <cell r="B3208" t="str">
            <v>GO:0006508GO:0004185</v>
          </cell>
        </row>
        <row r="3209">
          <cell r="A3209" t="str">
            <v>GRMZM2G075974</v>
          </cell>
          <cell r="B3209" t="str">
            <v>GO:0006541GO:0003824GO:0009058GO:0050825GO:0042309GO:0050826</v>
          </cell>
        </row>
        <row r="3210">
          <cell r="A3210" t="str">
            <v>GRMZM2G301908</v>
          </cell>
          <cell r="B3210" t="str">
            <v>GO:0005634GO:0003677GO:0006355GO:0050825GO:0042309GO:0050826GO:0004879</v>
          </cell>
        </row>
        <row r="3211">
          <cell r="A3211" t="str">
            <v>GRMZM2G120115</v>
          </cell>
          <cell r="B3211" t="str">
            <v>GO:0005484GO:0006886GO:0016021GO:0016192</v>
          </cell>
        </row>
        <row r="3212">
          <cell r="A3212" t="str">
            <v>GRMZM2G072529</v>
          </cell>
          <cell r="B3212" t="str">
            <v>GO:0005506GO:0016491</v>
          </cell>
        </row>
        <row r="3213">
          <cell r="A3213" t="str">
            <v>GRMZM2G127328</v>
          </cell>
          <cell r="B3213" t="str">
            <v>GO:0016020GO:0006865</v>
          </cell>
        </row>
        <row r="3214">
          <cell r="A3214" t="str">
            <v>GRMZM2G077851</v>
          </cell>
          <cell r="B3214" t="str">
            <v>GO:0004415GO:0006952GO:0003735GO:0006412GO:0005840</v>
          </cell>
        </row>
        <row r="3215">
          <cell r="A3215" t="str">
            <v>GRMZM2G023163</v>
          </cell>
          <cell r="B3215" t="str">
            <v>GO:0004370GO:0006072</v>
          </cell>
        </row>
        <row r="3216">
          <cell r="A3216" t="str">
            <v>GRMZM2G361652</v>
          </cell>
          <cell r="B3216" t="str">
            <v>GO:0006857GO:0005215GO:0016020</v>
          </cell>
        </row>
        <row r="3217">
          <cell r="A3217" t="str">
            <v>GRMZM2G481005</v>
          </cell>
          <cell r="B3217" t="str">
            <v>GO:0004674GO:0006468GO:0004713GO:0005524</v>
          </cell>
        </row>
        <row r="3218">
          <cell r="A3218" t="str">
            <v>GRMZM2G366607</v>
          </cell>
          <cell r="B3218" t="str">
            <v>GO:0016787</v>
          </cell>
        </row>
        <row r="3219">
          <cell r="A3219" t="str">
            <v>GRMZM2G082959</v>
          </cell>
          <cell r="B3219" t="str">
            <v>GO:0016787GO:0008152</v>
          </cell>
        </row>
        <row r="3220">
          <cell r="A3220" t="str">
            <v>GRMZM2G099092</v>
          </cell>
          <cell r="B3220" t="str">
            <v>GO:0005576</v>
          </cell>
        </row>
        <row r="3221">
          <cell r="A3221" t="str">
            <v>GRMZM2G442387</v>
          </cell>
          <cell r="B3221" t="str">
            <v>GO:0005488</v>
          </cell>
        </row>
        <row r="3222">
          <cell r="A3222" t="str">
            <v>GRMZM2G023748</v>
          </cell>
          <cell r="B3222" t="str">
            <v>GO:0003723GO:0006396</v>
          </cell>
        </row>
        <row r="3223">
          <cell r="A3223" t="str">
            <v>GRMZM2G049329</v>
          </cell>
          <cell r="B3223" t="str">
            <v>GO:0043631GO:0005634GO:0006350GO:0003723GO:0004652</v>
          </cell>
        </row>
        <row r="3224">
          <cell r="A3224" t="str">
            <v>GRMZM2G152419</v>
          </cell>
          <cell r="B3224" t="str">
            <v>GO:0006508GO:0016021GO:0004222GO:0005515</v>
          </cell>
        </row>
        <row r="3225">
          <cell r="A3225" t="str">
            <v>GRMZM2G169382</v>
          </cell>
          <cell r="B3225" t="str">
            <v>GO:0003700GO:0006355GO:0003735GO:0006412GO:0005840</v>
          </cell>
        </row>
        <row r="3226">
          <cell r="A3226" t="str">
            <v>GRMZM2G347280</v>
          </cell>
          <cell r="B3226" t="str">
            <v>GO:0003824GO:0005992</v>
          </cell>
        </row>
        <row r="3227">
          <cell r="A3227" t="str">
            <v>AC190609.3_FG003</v>
          </cell>
          <cell r="B3227" t="str">
            <v>GO:0003735GO:0006412GO:0005840</v>
          </cell>
        </row>
        <row r="3228">
          <cell r="A3228" t="str">
            <v>GRMZM2G365774</v>
          </cell>
          <cell r="B3228" t="str">
            <v>GO:0004601GO:0006979GO:0020037GO:0009055</v>
          </cell>
        </row>
        <row r="3229">
          <cell r="A3229" t="str">
            <v>GRMZM2G378770</v>
          </cell>
          <cell r="B3229" t="str">
            <v>GO:0003735GO:0006414GO:0005840</v>
          </cell>
        </row>
        <row r="3230">
          <cell r="A3230" t="str">
            <v>GRMZM2G049695</v>
          </cell>
          <cell r="B3230" t="str">
            <v>GO:0003677GO:0050825GO:0008270GO:0042309GO:0050826</v>
          </cell>
        </row>
        <row r="3231">
          <cell r="A3231" t="str">
            <v>GRMZM2G321033</v>
          </cell>
          <cell r="B3231" t="str">
            <v>GO:0004497GO:0020037GO:0009055</v>
          </cell>
        </row>
        <row r="3232">
          <cell r="A3232" t="str">
            <v>GRMZM2G112728</v>
          </cell>
          <cell r="B3232" t="str">
            <v>GO:0016765GO:0008299GO:0009842GO:0015979</v>
          </cell>
        </row>
        <row r="3233">
          <cell r="A3233" t="str">
            <v>GRMZM2G023346</v>
          </cell>
          <cell r="B3233" t="str">
            <v>GO:0009416GO:0005515GO:0004871</v>
          </cell>
        </row>
        <row r="3234">
          <cell r="A3234" t="str">
            <v>GRMZM2G308752</v>
          </cell>
          <cell r="B3234" t="str">
            <v>GO:0004674GO:0006468GO:0004713GO:0005524GO:0007165</v>
          </cell>
        </row>
        <row r="3235">
          <cell r="A3235" t="str">
            <v>GRMZM2G424205</v>
          </cell>
          <cell r="B3235" t="str">
            <v>GO:0016020GO:0051260</v>
          </cell>
        </row>
        <row r="3236">
          <cell r="A3236" t="str">
            <v>GRMZM2G412986</v>
          </cell>
          <cell r="B3236" t="str">
            <v>GO:0016757</v>
          </cell>
        </row>
        <row r="3237">
          <cell r="A3237" t="str">
            <v>GRMZM2G110908</v>
          </cell>
          <cell r="B3237" t="str">
            <v>GO:0004674GO:0006468GO:0004713GO:0005524</v>
          </cell>
        </row>
        <row r="3238">
          <cell r="A3238" t="str">
            <v>GRMZM2G009125</v>
          </cell>
          <cell r="B3238" t="str">
            <v>GO:0016758GO:0008152</v>
          </cell>
        </row>
        <row r="3239">
          <cell r="A3239" t="str">
            <v>GRMZM2G361064</v>
          </cell>
          <cell r="B3239" t="str">
            <v>GO:0009664GO:0005576</v>
          </cell>
        </row>
        <row r="3240">
          <cell r="A3240" t="str">
            <v>GRMZM2G043813</v>
          </cell>
          <cell r="B3240" t="str">
            <v>GO:0045449GO:0003677</v>
          </cell>
        </row>
        <row r="3241">
          <cell r="A3241" t="str">
            <v>GRMZM2G157369</v>
          </cell>
          <cell r="B3241" t="str">
            <v>GO:0004674GO:0006468GO:0005524</v>
          </cell>
        </row>
        <row r="3242">
          <cell r="A3242" t="str">
            <v>GRMZM2G004349</v>
          </cell>
          <cell r="B3242" t="str">
            <v>GO:0005783</v>
          </cell>
        </row>
        <row r="3243">
          <cell r="A3243" t="str">
            <v>GRMZM2G137802</v>
          </cell>
          <cell r="B3243" t="str">
            <v>GO:0003700GO:0043565GO:0005634GO:0045449</v>
          </cell>
        </row>
        <row r="3244">
          <cell r="A3244" t="str">
            <v>GRMZM2G022180</v>
          </cell>
          <cell r="B3244" t="str">
            <v>GO:0006457GO:0005509GO:0051082GO:0005783</v>
          </cell>
        </row>
        <row r="3245">
          <cell r="A3245" t="str">
            <v>GRMZM2G439589</v>
          </cell>
          <cell r="B3245" t="str">
            <v>GO:0003824GO:0005488GO:0008152</v>
          </cell>
        </row>
        <row r="3246">
          <cell r="A3246" t="str">
            <v>GRMZM2G018177</v>
          </cell>
          <cell r="B3246" t="str">
            <v>GO:0004807GO:0008152</v>
          </cell>
        </row>
        <row r="3247">
          <cell r="A3247" t="str">
            <v>GRMZM2G107886</v>
          </cell>
          <cell r="B3247" t="str">
            <v>GO:0008270GO:0005622</v>
          </cell>
        </row>
        <row r="3248">
          <cell r="A3248" t="str">
            <v>GRMZM2G111164</v>
          </cell>
          <cell r="B3248" t="str">
            <v>GO:0043874GO:0046872GO:0019509</v>
          </cell>
        </row>
        <row r="3249">
          <cell r="A3249" t="str">
            <v>GRMZM2G410033</v>
          </cell>
          <cell r="B3249" t="str">
            <v>GO:0016020GO:0006865</v>
          </cell>
        </row>
        <row r="3250">
          <cell r="A3250" t="str">
            <v>GRMZM2G174799</v>
          </cell>
          <cell r="B3250" t="str">
            <v>GO:0006355GO:0005634GO:0004879GO:0003677</v>
          </cell>
        </row>
        <row r="3251">
          <cell r="A3251" t="str">
            <v>GRMZM2G072744</v>
          </cell>
          <cell r="B3251" t="str">
            <v>GO:0005488GO:0030060GO:0006108GO:0006096</v>
          </cell>
        </row>
        <row r="3252">
          <cell r="A3252" t="str">
            <v>GRMZM2G180971</v>
          </cell>
          <cell r="B3252" t="str">
            <v>GO:0005215GO:0005743GO:0050825GO:0005509GO:0042309GO:0050826GO:0006839</v>
          </cell>
        </row>
        <row r="3253">
          <cell r="A3253" t="str">
            <v>GRMZM2G318652</v>
          </cell>
          <cell r="B3253" t="str">
            <v>GO:0050825GO:0042309GO:0050826</v>
          </cell>
        </row>
        <row r="3254">
          <cell r="A3254" t="str">
            <v>AC190763.3_FG002</v>
          </cell>
          <cell r="B3254" t="str">
            <v>GO:0003887GO:0006260GO:0003677</v>
          </cell>
        </row>
        <row r="3255">
          <cell r="A3255" t="str">
            <v>GRMZM2G087254</v>
          </cell>
          <cell r="B3255" t="str">
            <v>GO:0019419GO:0045454GO:0016671GO:0016740</v>
          </cell>
        </row>
        <row r="3256">
          <cell r="A3256" t="str">
            <v>AC225147.4_FG002</v>
          </cell>
          <cell r="B3256" t="str">
            <v>GO:0003735GO:0006412GO:0015935</v>
          </cell>
        </row>
        <row r="3257">
          <cell r="A3257" t="str">
            <v>GRMZM2G044038</v>
          </cell>
          <cell r="B3257" t="str">
            <v>GO:0004674GO:0006468GO:0004713GO:0005524GO:0007165</v>
          </cell>
        </row>
        <row r="3258">
          <cell r="A3258" t="str">
            <v>GRMZM2G005633</v>
          </cell>
          <cell r="B3258" t="str">
            <v>GO:0016491GO:0004568GO:0006032GO:0008061GO:0016998</v>
          </cell>
        </row>
        <row r="3259">
          <cell r="A3259" t="str">
            <v>GRMZM2G542272</v>
          </cell>
          <cell r="B3259" t="str">
            <v>GO:0050825GO:0042309GO:0050826</v>
          </cell>
        </row>
        <row r="3260">
          <cell r="A3260" t="str">
            <v>GRMZM2G018770</v>
          </cell>
          <cell r="B3260" t="str">
            <v>GO:0003735GO:0006412GO:0005840</v>
          </cell>
        </row>
        <row r="3261">
          <cell r="A3261" t="str">
            <v>GRMZM2G137151</v>
          </cell>
          <cell r="B3261" t="str">
            <v>GO:0008661GO:0016114</v>
          </cell>
        </row>
        <row r="3262">
          <cell r="A3262" t="str">
            <v>GRMZM2G086258</v>
          </cell>
          <cell r="B3262" t="str">
            <v>GO:0005215GO:0016020GO:0006814</v>
          </cell>
        </row>
        <row r="3263">
          <cell r="A3263" t="str">
            <v>GRMZM2G389173</v>
          </cell>
          <cell r="B3263" t="str">
            <v>GO:0045454</v>
          </cell>
        </row>
        <row r="3264">
          <cell r="A3264" t="str">
            <v>GRMZM2G460860</v>
          </cell>
          <cell r="B3264" t="str">
            <v>GO:0006355GO:0005634GO:0004879GO:0003677</v>
          </cell>
        </row>
        <row r="3265">
          <cell r="A3265" t="str">
            <v>GRMZM2G382534</v>
          </cell>
          <cell r="B3265" t="str">
            <v>GO:0006633GO:0005783GO:0050825GO:0042309GO:0050826GO:0005506GO:0055114GO:0016491</v>
          </cell>
        </row>
        <row r="3266">
          <cell r="A3266" t="str">
            <v>GRMZM2G160710</v>
          </cell>
          <cell r="B3266" t="str">
            <v>GO:0046872GO:0030001</v>
          </cell>
        </row>
        <row r="3267">
          <cell r="A3267" t="str">
            <v>GRMZM2G155911</v>
          </cell>
          <cell r="B3267" t="str">
            <v>GO:0016758GO:0008152</v>
          </cell>
        </row>
        <row r="3268">
          <cell r="A3268" t="str">
            <v>GRMZM2G359018</v>
          </cell>
          <cell r="B3268" t="str">
            <v>GO:0005783</v>
          </cell>
        </row>
        <row r="3269">
          <cell r="A3269" t="str">
            <v>GRMZM2G077669</v>
          </cell>
          <cell r="B3269" t="str">
            <v>GO:0005247GO:0006821GO:0016020</v>
          </cell>
        </row>
        <row r="3270">
          <cell r="A3270" t="str">
            <v>GRMZM2G038279</v>
          </cell>
          <cell r="B3270" t="str">
            <v>GO:0006355GO:0005634GO:0000785GO:0003677</v>
          </cell>
        </row>
        <row r="3271">
          <cell r="A3271" t="str">
            <v>GRMZM2G420910</v>
          </cell>
          <cell r="B3271" t="str">
            <v>GO:0006508GO:0004190</v>
          </cell>
        </row>
        <row r="3272">
          <cell r="A3272" t="str">
            <v>GRMZM2G320373</v>
          </cell>
          <cell r="B3272" t="str">
            <v>GO:0050825GO:0042309GO:0050826</v>
          </cell>
        </row>
        <row r="3273">
          <cell r="A3273" t="str">
            <v>GRMZM2G101245</v>
          </cell>
          <cell r="B3273" t="str">
            <v>GO:0004674GO:0006468GO:0004713GO:0005524</v>
          </cell>
        </row>
        <row r="3274">
          <cell r="A3274" t="str">
            <v>GRMZM2G169020</v>
          </cell>
          <cell r="B3274" t="str">
            <v>GO:0004674GO:0006468GO:0004713GO:0005524</v>
          </cell>
        </row>
        <row r="3275">
          <cell r="A3275" t="str">
            <v>GRMZM2G347766</v>
          </cell>
          <cell r="B3275" t="str">
            <v>GO:0016491</v>
          </cell>
        </row>
        <row r="3276">
          <cell r="A3276" t="str">
            <v>GRMZM2G044027</v>
          </cell>
          <cell r="B3276" t="str">
            <v>GO:0016857GO:0050662GO:0006694GO:0003854GO:0045226GO:0008831</v>
          </cell>
        </row>
        <row r="3277">
          <cell r="A3277" t="str">
            <v>GRMZM2G458095</v>
          </cell>
          <cell r="B3277" t="str">
            <v>GO:0017111GO:0005524</v>
          </cell>
        </row>
        <row r="3278">
          <cell r="A3278" t="str">
            <v>GRMZM2G024354</v>
          </cell>
          <cell r="B3278" t="str">
            <v>GO:0003735GO:0006412GO:0005840</v>
          </cell>
        </row>
        <row r="3279">
          <cell r="A3279" t="str">
            <v>GRMZM2G161285</v>
          </cell>
          <cell r="B3279" t="str">
            <v>GO:0005634GO:0042254</v>
          </cell>
        </row>
        <row r="3280">
          <cell r="A3280" t="str">
            <v>GRMZM2G142409</v>
          </cell>
          <cell r="B3280" t="str">
            <v>GO:0005783</v>
          </cell>
        </row>
        <row r="3281">
          <cell r="A3281" t="str">
            <v>GRMZM2G172230</v>
          </cell>
          <cell r="B3281" t="str">
            <v>GO:0019538GO:0016887GO:0005524GO:0005515</v>
          </cell>
        </row>
        <row r="3282">
          <cell r="A3282" t="str">
            <v>GRMZM2G031827</v>
          </cell>
          <cell r="B3282" t="str">
            <v>GO:0005634GO:0008270GO:0003723</v>
          </cell>
        </row>
        <row r="3283">
          <cell r="A3283" t="str">
            <v>GRMZM2G097457</v>
          </cell>
          <cell r="B3283" t="str">
            <v>GO:0016310GO:0016301GO:0005524GO:0050242</v>
          </cell>
        </row>
        <row r="3284">
          <cell r="A3284" t="str">
            <v>GRMZM2G305007</v>
          </cell>
          <cell r="B3284" t="str">
            <v>GO:0004674GO:0006468GO:0005524</v>
          </cell>
        </row>
        <row r="3285">
          <cell r="A3285" t="str">
            <v>GRMZM2G383210</v>
          </cell>
          <cell r="B3285" t="str">
            <v>GO:0006355GO:0005634GO:0000785GO:0003677</v>
          </cell>
        </row>
        <row r="3286">
          <cell r="A3286" t="str">
            <v>GRMZM2G056270</v>
          </cell>
          <cell r="B3286" t="str">
            <v>GO:0008270GO:0005515</v>
          </cell>
        </row>
        <row r="3287">
          <cell r="A3287" t="str">
            <v>GRMZM2G133675</v>
          </cell>
          <cell r="B3287" t="str">
            <v>GO:0005634GO:0045449GO:0030528</v>
          </cell>
        </row>
        <row r="3288">
          <cell r="A3288" t="str">
            <v>GRMZM2G018403</v>
          </cell>
          <cell r="B3288" t="str">
            <v>GO:0003735GO:0005840GO:0006412GO:0003723</v>
          </cell>
        </row>
        <row r="3289">
          <cell r="A3289" t="str">
            <v>GRMZM2G114469</v>
          </cell>
          <cell r="B3289" t="str">
            <v>GO:0050825GO:0042309GO:0050826</v>
          </cell>
        </row>
        <row r="3290">
          <cell r="A3290" t="str">
            <v>GRMZM2G143669</v>
          </cell>
          <cell r="B3290" t="str">
            <v>GO:0005488GO:0008152GO:0016491</v>
          </cell>
        </row>
        <row r="3291">
          <cell r="A3291" t="str">
            <v>GRMZM2G117164</v>
          </cell>
          <cell r="B3291" t="str">
            <v>GO:0043565GO:0006265GO:0003700GO:0005634GO:0006355GO:0003690</v>
          </cell>
        </row>
        <row r="3292">
          <cell r="A3292" t="str">
            <v>GRMZM2G132811</v>
          </cell>
          <cell r="B3292" t="str">
            <v>GO:0003755</v>
          </cell>
        </row>
        <row r="3293">
          <cell r="A3293" t="str">
            <v>GRMZM2G314396</v>
          </cell>
          <cell r="B3293" t="str">
            <v>GO:0004674GO:0006468GO:0004713GO:0005524GO:0005509</v>
          </cell>
        </row>
        <row r="3294">
          <cell r="A3294" t="str">
            <v>GRMZM2G101664</v>
          </cell>
          <cell r="B3294" t="str">
            <v>GO:0008270GO:0005622</v>
          </cell>
        </row>
        <row r="3295">
          <cell r="A3295" t="str">
            <v>GRMZM2G465999</v>
          </cell>
          <cell r="B3295" t="str">
            <v>GO:0006468GO:0004674GO:0005529GO:0004713GO:0005524GO:0048544</v>
          </cell>
        </row>
        <row r="3296">
          <cell r="A3296" t="str">
            <v>GRMZM2G076885</v>
          </cell>
          <cell r="B3296" t="str">
            <v>GO:0005737GO:0050661GO:0051287GO:0009088GO:0046983GO:0009086GO:0004073</v>
          </cell>
        </row>
        <row r="3297">
          <cell r="A3297" t="str">
            <v>GRMZM2G030203</v>
          </cell>
          <cell r="B3297" t="str">
            <v>GO:0042254GO:0005622</v>
          </cell>
        </row>
        <row r="3298">
          <cell r="A3298" t="str">
            <v>GRMZM2G148904</v>
          </cell>
          <cell r="B3298" t="str">
            <v>GO:0008168GO:0008152</v>
          </cell>
        </row>
        <row r="3299">
          <cell r="A3299" t="str">
            <v>GRMZM2G047592</v>
          </cell>
          <cell r="B3299" t="str">
            <v>GO:0005975GO:0030246GO:0016853</v>
          </cell>
        </row>
        <row r="3300">
          <cell r="A3300" t="str">
            <v>GRMZM2G363813</v>
          </cell>
          <cell r="B3300" t="str">
            <v>GO:0003824</v>
          </cell>
        </row>
        <row r="3301">
          <cell r="A3301" t="str">
            <v>GRMZM2G044247</v>
          </cell>
          <cell r="B3301" t="str">
            <v>GO:0005737GO:0009089GO:0005488GO:0008839</v>
          </cell>
        </row>
        <row r="3302">
          <cell r="A3302" t="str">
            <v>GRMZM2G081144</v>
          </cell>
          <cell r="B3302" t="str">
            <v>GO:0003735GO:0003824GO:0006412GO:0005840</v>
          </cell>
        </row>
        <row r="3303">
          <cell r="A3303" t="str">
            <v>GRMZM2G035017</v>
          </cell>
          <cell r="B3303" t="str">
            <v>GO:0003735GO:0005840GO:0006412GO:0003723</v>
          </cell>
        </row>
        <row r="3304">
          <cell r="A3304" t="str">
            <v>GRMZM2G013002</v>
          </cell>
          <cell r="B3304" t="str">
            <v>GO:0005576GO:0019953</v>
          </cell>
        </row>
        <row r="3305">
          <cell r="A3305" t="str">
            <v>GRMZM2G166971</v>
          </cell>
          <cell r="B3305" t="str">
            <v>GO:0050825GO:0042309GO:0050826</v>
          </cell>
        </row>
        <row r="3306">
          <cell r="A3306" t="str">
            <v>GRMZM2G135385</v>
          </cell>
          <cell r="B3306" t="str">
            <v>GO:0020037</v>
          </cell>
        </row>
        <row r="3307">
          <cell r="A3307" t="str">
            <v>GRMZM2G112228</v>
          </cell>
          <cell r="B3307" t="str">
            <v>GO:0016021GO:0016192</v>
          </cell>
        </row>
        <row r="3308">
          <cell r="A3308" t="str">
            <v>GRMZM2G028129</v>
          </cell>
          <cell r="B3308" t="str">
            <v>GO:0017111GO:0005524</v>
          </cell>
        </row>
        <row r="3309">
          <cell r="A3309" t="str">
            <v>GRMZM2G004880</v>
          </cell>
          <cell r="B3309" t="str">
            <v>GO:0004674GO:0016776GO:0005524GO:0009507</v>
          </cell>
        </row>
        <row r="3310">
          <cell r="A3310" t="str">
            <v>GRMZM2G080380</v>
          </cell>
          <cell r="B3310" t="str">
            <v>GO:0006207GO:0006520GO:0009348GO:0016597GO:0004585GO:0004070</v>
          </cell>
        </row>
        <row r="3311">
          <cell r="A3311" t="str">
            <v>GRMZM2G080387</v>
          </cell>
          <cell r="B3311" t="str">
            <v>GO:0005215GO:0016020GO:0006810</v>
          </cell>
        </row>
        <row r="3312">
          <cell r="A3312" t="str">
            <v>GRMZM2G127141</v>
          </cell>
          <cell r="B3312" t="str">
            <v>GO:0004707GO:0006468GO:0004713GO:0005524</v>
          </cell>
        </row>
        <row r="3313">
          <cell r="A3313" t="str">
            <v>GRMZM2G448389</v>
          </cell>
          <cell r="B3313" t="str">
            <v>GO:0045261GO:0015986GO:0046961GO:0046933</v>
          </cell>
        </row>
        <row r="3314">
          <cell r="A3314" t="str">
            <v>GRMZM2G332522</v>
          </cell>
          <cell r="B3314" t="str">
            <v>GO:0008171</v>
          </cell>
        </row>
        <row r="3315">
          <cell r="A3315" t="str">
            <v>GRMZM2G144668</v>
          </cell>
          <cell r="B3315" t="str">
            <v>GO:0005506GO:0050826GO:0050825GO:0042309GO:0016491</v>
          </cell>
        </row>
        <row r="3316">
          <cell r="A3316" t="str">
            <v>GRMZM2G084463</v>
          </cell>
          <cell r="B3316" t="str">
            <v>GO:0006163GO:0004385GO:0017111GO:0005524</v>
          </cell>
        </row>
        <row r="3317">
          <cell r="A3317" t="str">
            <v>GRMZM2G162508</v>
          </cell>
          <cell r="B3317" t="str">
            <v>GO:0006633GO:0016020GO:0008415</v>
          </cell>
        </row>
        <row r="3318">
          <cell r="A3318" t="str">
            <v>GRMZM2G329047</v>
          </cell>
          <cell r="B3318" t="str">
            <v>GO:0009522GO:0015979</v>
          </cell>
        </row>
        <row r="3319">
          <cell r="A3319" t="str">
            <v>GRMZM2G130055</v>
          </cell>
          <cell r="B3319" t="str">
            <v>GO:0050825GO:0042309GO:0050826</v>
          </cell>
        </row>
        <row r="3320">
          <cell r="A3320" t="str">
            <v>GRMZM2G112538</v>
          </cell>
          <cell r="B3320" t="str">
            <v>GO:0006952GO:0009607</v>
          </cell>
        </row>
        <row r="3321">
          <cell r="A3321" t="str">
            <v>GRMZM2G181028</v>
          </cell>
          <cell r="B3321" t="str">
            <v>GO:0008020GO:0009585GO:0000155GO:0016020GO:0017006GO:0018298GO:0006355GO:0007165GO:0005524GO:0042803</v>
          </cell>
        </row>
        <row r="3322">
          <cell r="A3322" t="str">
            <v>GRMZM2G474326</v>
          </cell>
          <cell r="B3322" t="str">
            <v>GO:0003700GO:0006355GO:0050825GO:0042309GO:0050826</v>
          </cell>
        </row>
        <row r="3323">
          <cell r="A3323" t="str">
            <v>GRMZM2G037875</v>
          </cell>
          <cell r="B3323" t="str">
            <v>GO:0030151GO:0006468GO:0030170GO:0005524GO:0004672</v>
          </cell>
        </row>
        <row r="3324">
          <cell r="A3324" t="str">
            <v>GRMZM2G171333</v>
          </cell>
          <cell r="B3324" t="str">
            <v>GO:0050825GO:0042309GO:0050826</v>
          </cell>
        </row>
        <row r="3325">
          <cell r="A3325" t="str">
            <v>GRMZM2G154036</v>
          </cell>
          <cell r="B3325" t="str">
            <v>GO:0005509</v>
          </cell>
        </row>
        <row r="3326">
          <cell r="A3326" t="str">
            <v>GRMZM2G016649</v>
          </cell>
          <cell r="B3326" t="str">
            <v>GO:0003677</v>
          </cell>
        </row>
        <row r="3327">
          <cell r="A3327" t="str">
            <v>GRMZM2G013794</v>
          </cell>
          <cell r="B3327" t="str">
            <v>GO:0005634GO:0003677GO:0008270GO:0005515GO:0007242</v>
          </cell>
        </row>
        <row r="3328">
          <cell r="A3328" t="str">
            <v>GRMZM2G063880</v>
          </cell>
          <cell r="B3328" t="str">
            <v>GO:0003700GO:0043565GO:0005634GO:0045449</v>
          </cell>
        </row>
        <row r="3329">
          <cell r="A3329" t="str">
            <v>GRMZM2G013798</v>
          </cell>
          <cell r="B3329" t="str">
            <v>GO:0033179GO:0045263GO:0015986GO:0015078</v>
          </cell>
        </row>
        <row r="3330">
          <cell r="A3330" t="str">
            <v>GRMZM2G106303</v>
          </cell>
          <cell r="B3330" t="str">
            <v>GO:0010181GO:0016491</v>
          </cell>
        </row>
        <row r="3331">
          <cell r="A3331" t="str">
            <v>GRMZM2G365160</v>
          </cell>
          <cell r="B3331" t="str">
            <v>GO:0003849GO:0009073</v>
          </cell>
        </row>
        <row r="3332">
          <cell r="A3332" t="str">
            <v>GRMZM2G090422</v>
          </cell>
          <cell r="B3332" t="str">
            <v>GO:0003735GO:0015934GO:0006412</v>
          </cell>
        </row>
        <row r="3333">
          <cell r="A3333" t="str">
            <v>GRMZM2G414002</v>
          </cell>
          <cell r="B3333" t="str">
            <v>GO:0004176GO:0015629GO:0006813GO:0016021GO:0005199GO:0003779GO:0006510GO:0030036GO:0005249GO:0007155GO:0007186</v>
          </cell>
        </row>
        <row r="3334">
          <cell r="A3334" t="str">
            <v>GRMZM2G151738</v>
          </cell>
          <cell r="B3334" t="str">
            <v>GO:0005515</v>
          </cell>
        </row>
        <row r="3335">
          <cell r="A3335" t="str">
            <v>GRMZM2G464393</v>
          </cell>
          <cell r="B3335" t="str">
            <v>GO:0005515</v>
          </cell>
        </row>
        <row r="3336">
          <cell r="A3336" t="str">
            <v>GRMZM2G013170</v>
          </cell>
          <cell r="B3336" t="str">
            <v>GO:0017111GO:0000166</v>
          </cell>
        </row>
        <row r="3337">
          <cell r="A3337" t="str">
            <v>GRMZM2G083016</v>
          </cell>
          <cell r="B3337" t="str">
            <v>GO:0004197GO:0006508GO:0004618GO:0006096</v>
          </cell>
        </row>
        <row r="3338">
          <cell r="A3338" t="str">
            <v>GRMZM2G447271</v>
          </cell>
          <cell r="B3338" t="str">
            <v>GO:0048046GO:0005507GO:0046274GO:0008471GO:0055114</v>
          </cell>
        </row>
        <row r="3339">
          <cell r="A3339" t="str">
            <v>GRMZM2G308615</v>
          </cell>
          <cell r="B3339" t="str">
            <v>GO:0008287GO:0006470GO:0004722GO:0050825GO:0042309GO:0050826</v>
          </cell>
        </row>
        <row r="3340">
          <cell r="A3340" t="str">
            <v>GRMZM2G139123</v>
          </cell>
          <cell r="B3340" t="str">
            <v>GO:0006729GO:0008124</v>
          </cell>
        </row>
        <row r="3341">
          <cell r="A3341" t="str">
            <v>GRMZM2G140817</v>
          </cell>
          <cell r="B3341" t="str">
            <v>GO:0004497GO:0020037GO:0009055</v>
          </cell>
        </row>
        <row r="3342">
          <cell r="A3342" t="str">
            <v>GRMZM2G009045</v>
          </cell>
          <cell r="B3342" t="str">
            <v>GO:0016020GO:0006810GO:0005488</v>
          </cell>
        </row>
        <row r="3343">
          <cell r="A3343" t="str">
            <v>GRMZM2G009048</v>
          </cell>
          <cell r="B3343" t="str">
            <v>GO:0009522GO:0042309GO:0050825GO:0005515GO:0050826GO:0042651GO:0015979</v>
          </cell>
        </row>
        <row r="3344">
          <cell r="A3344" t="str">
            <v>GRMZM2G478212</v>
          </cell>
          <cell r="B3344" t="str">
            <v>GO:0016020</v>
          </cell>
        </row>
        <row r="3345">
          <cell r="A3345" t="str">
            <v>GRMZM2G059453</v>
          </cell>
          <cell r="B3345" t="str">
            <v>GO:0008287GO:0006470GO:0004722GO:0050825GO:0042309GO:0050826</v>
          </cell>
        </row>
        <row r="3346">
          <cell r="A3346" t="str">
            <v>GRMZM2G071996</v>
          </cell>
          <cell r="B3346" t="str">
            <v>GO:0031072GO:0006457GO:0051082</v>
          </cell>
        </row>
        <row r="3347">
          <cell r="A3347" t="str">
            <v>GRMZM2G026980</v>
          </cell>
          <cell r="B3347" t="str">
            <v>GO:0005618GO:0048046GO:0016762GO:0006073GO:0004553</v>
          </cell>
        </row>
        <row r="3348">
          <cell r="A3348" t="str">
            <v>GRMZM2G335046</v>
          </cell>
          <cell r="B3348" t="str">
            <v>GO:0004674GO:0006468GO:0004713GO:0005524</v>
          </cell>
        </row>
        <row r="3349">
          <cell r="A3349" t="str">
            <v>GRMZM2G003384</v>
          </cell>
          <cell r="B3349" t="str">
            <v>GO:0003735GO:0006412GO:0005840</v>
          </cell>
        </row>
        <row r="3350">
          <cell r="A3350" t="str">
            <v>GRMZM2G165192</v>
          </cell>
          <cell r="B3350" t="str">
            <v>GO:0016747</v>
          </cell>
        </row>
        <row r="3351">
          <cell r="A3351" t="str">
            <v>GRMZM2G048136</v>
          </cell>
          <cell r="B3351" t="str">
            <v>GO:0003677</v>
          </cell>
        </row>
        <row r="3352">
          <cell r="A3352" t="str">
            <v>GRMZM2G069024</v>
          </cell>
          <cell r="B3352" t="str">
            <v>GO:0005975GO:0004553</v>
          </cell>
        </row>
        <row r="3353">
          <cell r="A3353" t="str">
            <v>GRMZM2G027851</v>
          </cell>
          <cell r="B3353" t="str">
            <v>GO:0006813GO:0006885GO:0008076GO:0006814GO:0005249GO:0015385</v>
          </cell>
        </row>
        <row r="3354">
          <cell r="A3354" t="str">
            <v>GRMZM2G110574</v>
          </cell>
          <cell r="B3354" t="str">
            <v>GO:0006457GO:0051082GO:0005524</v>
          </cell>
        </row>
        <row r="3355">
          <cell r="A3355" t="str">
            <v>GRMZM2G143917</v>
          </cell>
          <cell r="B3355" t="str">
            <v>GO:0003824GO:0016564GO:0006808GO:0044237GO:0050662</v>
          </cell>
        </row>
        <row r="3356">
          <cell r="A3356" t="str">
            <v>GRMZM2G111579</v>
          </cell>
          <cell r="B3356" t="str">
            <v>GO:0006750GO:0004357</v>
          </cell>
        </row>
        <row r="3357">
          <cell r="A3357" t="str">
            <v>GRMZM2G179220</v>
          </cell>
          <cell r="B3357" t="str">
            <v>GO:0008168GO:0006412</v>
          </cell>
        </row>
        <row r="3358">
          <cell r="A3358" t="str">
            <v>GRMZM2G040587</v>
          </cell>
          <cell r="B3358" t="str">
            <v>GO:0031072GO:0006457GO:0051082</v>
          </cell>
        </row>
        <row r="3359">
          <cell r="A3359" t="str">
            <v>GRMZM2G153393</v>
          </cell>
          <cell r="B3359" t="str">
            <v>GO:0004674GO:0006468GO:0005524GO:0005515GO:0004713</v>
          </cell>
        </row>
        <row r="3360">
          <cell r="A3360" t="str">
            <v>GRMZM2G107092</v>
          </cell>
          <cell r="B3360" t="str">
            <v>GO:0050825GO:0042309GO:0050826</v>
          </cell>
        </row>
        <row r="3361">
          <cell r="A3361" t="str">
            <v>GRMZM2G076329</v>
          </cell>
          <cell r="B3361" t="str">
            <v>GO:0005634GO:0006260GO:0008270GO:0003677</v>
          </cell>
        </row>
        <row r="3362">
          <cell r="A3362" t="str">
            <v>GRMZM2G130085</v>
          </cell>
          <cell r="B3362" t="str">
            <v>GO:0006508GO:0005515GO:0004252</v>
          </cell>
        </row>
        <row r="3363">
          <cell r="A3363" t="str">
            <v>GRMZM2G175140</v>
          </cell>
          <cell r="B3363" t="str">
            <v>GO:0016020GO:0008519GO:0006810</v>
          </cell>
        </row>
        <row r="3364">
          <cell r="A3364" t="str">
            <v>GRMZM2G107562</v>
          </cell>
          <cell r="B3364" t="str">
            <v>GO:0005507GO:0050825GO:0050826GO:0042309GO:0009055</v>
          </cell>
        </row>
        <row r="3365">
          <cell r="A3365" t="str">
            <v>GRMZM2G145449</v>
          </cell>
          <cell r="B3365" t="str">
            <v>GO:0016209GO:0016491</v>
          </cell>
        </row>
        <row r="3366">
          <cell r="A3366" t="str">
            <v>GRMZM2G026216</v>
          </cell>
          <cell r="B3366" t="str">
            <v>GO:0003735GO:0006412GO:0005840</v>
          </cell>
        </row>
        <row r="3367">
          <cell r="A3367" t="str">
            <v>GRMZM2G470442</v>
          </cell>
          <cell r="B3367" t="str">
            <v>GO:0004497GO:0020037GO:0009055</v>
          </cell>
        </row>
        <row r="3368">
          <cell r="A3368" t="str">
            <v>GRMZM2G137839</v>
          </cell>
          <cell r="B3368" t="str">
            <v>GO:0004096GO:0006979GO:0020037GO:0009055</v>
          </cell>
        </row>
        <row r="3369">
          <cell r="A3369" t="str">
            <v>GRMZM2G413647</v>
          </cell>
          <cell r="B3369" t="str">
            <v>GO:0015904GO:0016021GO:0015520GO:0006098GO:0046677GO:0004616GO:0005488</v>
          </cell>
        </row>
        <row r="3370">
          <cell r="A3370" t="str">
            <v>GRMZM2G468661</v>
          </cell>
          <cell r="B3370" t="str">
            <v>GO:0016757</v>
          </cell>
        </row>
        <row r="3371">
          <cell r="A3371" t="str">
            <v>GRMZM2G472167</v>
          </cell>
          <cell r="B3371" t="str">
            <v>GO:0006857GO:0005215GO:0016020</v>
          </cell>
        </row>
        <row r="3372">
          <cell r="A3372" t="str">
            <v>GRMZM2G169280</v>
          </cell>
          <cell r="B3372" t="str">
            <v>GO:0050825GO:0042309GO:0050826</v>
          </cell>
        </row>
        <row r="3373">
          <cell r="A3373" t="str">
            <v>GRMZM2G384528</v>
          </cell>
          <cell r="B3373" t="str">
            <v>GO:0006355GO:0005634GO:0043565</v>
          </cell>
        </row>
        <row r="3374">
          <cell r="A3374" t="str">
            <v>GRMZM2G015432</v>
          </cell>
          <cell r="B3374" t="str">
            <v>GO:0003735GO:0006412GO:0005840</v>
          </cell>
        </row>
        <row r="3375">
          <cell r="A3375" t="str">
            <v>GRMZM2G050307</v>
          </cell>
          <cell r="B3375" t="str">
            <v>GO:0008168</v>
          </cell>
        </row>
        <row r="3376">
          <cell r="A3376" t="str">
            <v>GRMZM2G032222</v>
          </cell>
          <cell r="B3376" t="str">
            <v>GO:0004174</v>
          </cell>
        </row>
        <row r="3377">
          <cell r="A3377" t="str">
            <v>GRMZM2G039930</v>
          </cell>
          <cell r="B3377" t="str">
            <v>GO:0009306GO:0016021GO:0005576GO:0015450</v>
          </cell>
        </row>
        <row r="3378">
          <cell r="A3378" t="str">
            <v>GRMZM2G097841</v>
          </cell>
          <cell r="B3378" t="str">
            <v>GO:0003854GO:0050662GO:0006694</v>
          </cell>
        </row>
        <row r="3379">
          <cell r="A3379" t="str">
            <v>GRMZM2G315431</v>
          </cell>
          <cell r="B3379" t="str">
            <v>GO:0016567GO:0004842GO:0000151GO:0005488</v>
          </cell>
        </row>
        <row r="3380">
          <cell r="A3380" t="str">
            <v>GRMZM2G092813</v>
          </cell>
          <cell r="B3380" t="str">
            <v>GO:0003824GO:0008152</v>
          </cell>
        </row>
        <row r="3381">
          <cell r="A3381" t="str">
            <v>GRMZM2G141219</v>
          </cell>
          <cell r="B3381" t="str">
            <v>GO:0003700GO:0006355</v>
          </cell>
        </row>
        <row r="3382">
          <cell r="A3382" t="str">
            <v>GRMZM2G137498</v>
          </cell>
          <cell r="B3382" t="str">
            <v>GO:0005737GO:0006415GO:0016149</v>
          </cell>
        </row>
        <row r="3383">
          <cell r="A3383" t="str">
            <v>GRMZM2G069594</v>
          </cell>
          <cell r="B3383" t="str">
            <v>GO:0003735GO:0006412GO:0005840</v>
          </cell>
        </row>
        <row r="3384">
          <cell r="A3384" t="str">
            <v>GRMZM2G341404</v>
          </cell>
          <cell r="B3384" t="str">
            <v>GO:0031072</v>
          </cell>
        </row>
        <row r="3385">
          <cell r="A3385" t="str">
            <v>GRMZM2G175499</v>
          </cell>
          <cell r="B3385" t="str">
            <v>GO:0005618GO:0042545GO:0004857GO:0030599</v>
          </cell>
        </row>
        <row r="3386">
          <cell r="A3386" t="str">
            <v>GRMZM2G379540</v>
          </cell>
          <cell r="B3386" t="str">
            <v>GO:0008137GO:0016021GO:0042773</v>
          </cell>
        </row>
        <row r="3387">
          <cell r="A3387" t="str">
            <v>AC209845.4_FG010</v>
          </cell>
          <cell r="B3387" t="str">
            <v>GO:0003677</v>
          </cell>
        </row>
        <row r="3388">
          <cell r="A3388" t="str">
            <v>GRMZM2G022242</v>
          </cell>
          <cell r="B3388" t="str">
            <v>GO:0016758GO:0008152</v>
          </cell>
        </row>
        <row r="3389">
          <cell r="A3389" t="str">
            <v>GRMZM2G087712</v>
          </cell>
          <cell r="B3389" t="str">
            <v>GO:0032040GO:0006364</v>
          </cell>
        </row>
        <row r="3390">
          <cell r="A3390" t="str">
            <v>AC226248.1_FG002</v>
          </cell>
          <cell r="B3390" t="str">
            <v>GO:0006468GO:0004879GO:0004674GO:0005634GO:0006355GO:0004713GO:0003677GO:0005524</v>
          </cell>
        </row>
        <row r="3391">
          <cell r="A3391" t="str">
            <v>GRMZM2G048313</v>
          </cell>
          <cell r="B3391" t="str">
            <v>GO:0022900GO:0051537GO:0009055</v>
          </cell>
        </row>
        <row r="3392">
          <cell r="A3392" t="str">
            <v>GRMZM2G110626</v>
          </cell>
          <cell r="B3392" t="str">
            <v>GO:0006457GO:0051082GO:0005524</v>
          </cell>
        </row>
        <row r="3393">
          <cell r="A3393" t="str">
            <v>GRMZM2G147752</v>
          </cell>
          <cell r="B3393" t="str">
            <v>GO:0004497GO:0020037GO:0009055</v>
          </cell>
        </row>
        <row r="3394">
          <cell r="A3394" t="str">
            <v>GRMZM2G432583</v>
          </cell>
          <cell r="B3394" t="str">
            <v>GO:0003700GO:0043565GO:0005634GO:0045449</v>
          </cell>
        </row>
        <row r="3395">
          <cell r="A3395" t="str">
            <v>GRMZM2G119249</v>
          </cell>
          <cell r="B3395" t="str">
            <v>GO:0004765GO:0005524</v>
          </cell>
        </row>
        <row r="3396">
          <cell r="A3396" t="str">
            <v>AC207628.4_FG009</v>
          </cell>
          <cell r="B3396" t="str">
            <v>GO:0004437</v>
          </cell>
        </row>
        <row r="3397">
          <cell r="A3397" t="str">
            <v>GRMZM2G052365</v>
          </cell>
          <cell r="B3397" t="str">
            <v>GO:0004252GO:0005618GO:0016020GO:0006508GO:0043086GO:0042802</v>
          </cell>
        </row>
        <row r="3398">
          <cell r="A3398" t="str">
            <v>AC233853.1_FG003</v>
          </cell>
          <cell r="B3398" t="str">
            <v>GO:0004497GO:0020037GO:0009055</v>
          </cell>
        </row>
        <row r="3399">
          <cell r="A3399" t="str">
            <v>GRMZM2G381378</v>
          </cell>
          <cell r="B3399" t="str">
            <v>GO:0003700GO:0043565GO:0005634GO:0045449</v>
          </cell>
        </row>
        <row r="3400">
          <cell r="A3400" t="str">
            <v>GRMZM2G022402</v>
          </cell>
          <cell r="B3400" t="str">
            <v>GO:0006629GO:0016788</v>
          </cell>
        </row>
        <row r="3401">
          <cell r="A3401" t="str">
            <v>GRMZM2G059191</v>
          </cell>
          <cell r="B3401" t="str">
            <v>GO:0004324GO:0050661GO:0050660GO:0042651GO:0009055</v>
          </cell>
        </row>
        <row r="3402">
          <cell r="A3402" t="str">
            <v>GRMZM2G170044</v>
          </cell>
          <cell r="B3402" t="str">
            <v>GO:0006869GO:0050825GO:0008289GO:0042309GO:0050826</v>
          </cell>
        </row>
        <row r="3403">
          <cell r="A3403" t="str">
            <v>GRMZM2G455909</v>
          </cell>
          <cell r="B3403" t="str">
            <v>GO:0006915GO:0005524</v>
          </cell>
        </row>
        <row r="3404">
          <cell r="A3404" t="str">
            <v>GRMZM2G118597</v>
          </cell>
          <cell r="B3404" t="str">
            <v>GO:0003824</v>
          </cell>
        </row>
        <row r="3405">
          <cell r="A3405" t="str">
            <v>GRMZM2G138248</v>
          </cell>
          <cell r="B3405" t="str">
            <v>GO:0004497GO:0020037GO:0009055</v>
          </cell>
        </row>
        <row r="3406">
          <cell r="A3406" t="str">
            <v>GRMZM2G149923</v>
          </cell>
          <cell r="B3406" t="str">
            <v>GO:0005509</v>
          </cell>
        </row>
        <row r="3407">
          <cell r="A3407" t="str">
            <v>GRMZM2G173085</v>
          </cell>
          <cell r="B3407" t="str">
            <v>GO:0006508GO:0004181GO:0008270</v>
          </cell>
        </row>
        <row r="3408">
          <cell r="A3408" t="str">
            <v>GRMZM2G166767</v>
          </cell>
          <cell r="B3408" t="str">
            <v>GO:0003854GO:0050662GO:0045226GO:0006694GO:0008831</v>
          </cell>
        </row>
        <row r="3409">
          <cell r="A3409" t="str">
            <v>GRMZM2G110023</v>
          </cell>
          <cell r="B3409" t="str">
            <v>GO:0019538GO:0005515</v>
          </cell>
        </row>
        <row r="3410">
          <cell r="A3410" t="str">
            <v>GRMZM2G033799</v>
          </cell>
          <cell r="B3410" t="str">
            <v>GO:0016847GO:0009058GO:0030170GO:0016769</v>
          </cell>
        </row>
        <row r="3411">
          <cell r="A3411" t="str">
            <v>GRMZM2G070279</v>
          </cell>
          <cell r="B3411" t="str">
            <v>GO:0009239GO:0005488GO:0004022GO:0008667</v>
          </cell>
        </row>
        <row r="3412">
          <cell r="A3412" t="str">
            <v>GRMZM2G318213</v>
          </cell>
          <cell r="B3412" t="str">
            <v>GO:0050825GO:0042309GO:0050826GO:0045454GO:0015035GO:0009055</v>
          </cell>
        </row>
        <row r="3413">
          <cell r="A3413" t="str">
            <v>GRMZM2G305900</v>
          </cell>
          <cell r="B3413" t="str">
            <v>GO:0016747</v>
          </cell>
        </row>
        <row r="3414">
          <cell r="A3414" t="str">
            <v>GRMZM2G062600</v>
          </cell>
          <cell r="B3414" t="str">
            <v>GO:0005975GO:0004553</v>
          </cell>
        </row>
        <row r="3415">
          <cell r="A3415" t="str">
            <v>GRMZM2G355316</v>
          </cell>
          <cell r="B3415" t="str">
            <v>GO:0016021GO:0003677GO:0005199GO:0006355GO:0050825GO:0042309GO:0050826GO:0007186GO:0005634GO:0004879</v>
          </cell>
        </row>
        <row r="3416">
          <cell r="A3416" t="str">
            <v>GRMZM2G322661</v>
          </cell>
          <cell r="B3416" t="str">
            <v>GO:0003899GO:0008408GO:0003677GO:0006350GO:0005622</v>
          </cell>
        </row>
        <row r="3417">
          <cell r="A3417" t="str">
            <v>GRMZM2G125441</v>
          </cell>
          <cell r="B3417" t="str">
            <v>GO:0003735GO:0016020GO:0051260GO:0006412GO:0005840</v>
          </cell>
        </row>
        <row r="3418">
          <cell r="A3418" t="str">
            <v>GRMZM2G125448</v>
          </cell>
          <cell r="B3418" t="str">
            <v>GO:0016747</v>
          </cell>
        </row>
        <row r="3419">
          <cell r="A3419" t="str">
            <v>GRMZM2G102079</v>
          </cell>
          <cell r="B3419" t="str">
            <v>GO:0004497GO:0020037GO:0009055</v>
          </cell>
        </row>
        <row r="3420">
          <cell r="A3420" t="str">
            <v>GRMZM2G127798</v>
          </cell>
          <cell r="B3420" t="str">
            <v>GO:0050661GO:0006098GO:0004616GO:0005524</v>
          </cell>
        </row>
        <row r="3421">
          <cell r="A3421" t="str">
            <v>GRMZM2G121928</v>
          </cell>
          <cell r="B3421" t="str">
            <v>GO:0016020GO:0016301GO:0051260GO:0005524GO:0008152</v>
          </cell>
        </row>
        <row r="3422">
          <cell r="A3422" t="str">
            <v>GRMZM2G057608</v>
          </cell>
          <cell r="B3422" t="str">
            <v>GO:0005634GO:0000785GO:0003677</v>
          </cell>
        </row>
        <row r="3423">
          <cell r="A3423" t="str">
            <v>GRMZM2G074103</v>
          </cell>
          <cell r="B3423" t="str">
            <v>GO:0016021GO:0006810GO:0009276GO:0042626GO:0005524</v>
          </cell>
        </row>
        <row r="3424">
          <cell r="A3424" t="str">
            <v>GRMZM2G047456</v>
          </cell>
          <cell r="B3424" t="str">
            <v>GO:0004601GO:0006979GO:0020037GO:0009055</v>
          </cell>
        </row>
        <row r="3425">
          <cell r="A3425" t="str">
            <v>GRMZM2G029058</v>
          </cell>
          <cell r="B3425" t="str">
            <v>GO:0003676</v>
          </cell>
        </row>
        <row r="3426">
          <cell r="A3426" t="str">
            <v>GRMZM2G457699</v>
          </cell>
          <cell r="B3426" t="str">
            <v>GO:0006412</v>
          </cell>
        </row>
        <row r="3427">
          <cell r="A3427" t="str">
            <v>GRMZM2G144581</v>
          </cell>
          <cell r="B3427" t="str">
            <v>GO:0016021GO:0007186</v>
          </cell>
        </row>
        <row r="3428">
          <cell r="A3428" t="str">
            <v>GRMZM2G149751</v>
          </cell>
          <cell r="B3428" t="str">
            <v>GO:0009086GO:0003871GO:0008270</v>
          </cell>
        </row>
        <row r="3429">
          <cell r="A3429" t="str">
            <v>GRMZM2G159587</v>
          </cell>
          <cell r="B3429" t="str">
            <v>GO:0005737GO:0051287GO:0006520GO:0016616GO:0005525</v>
          </cell>
        </row>
        <row r="3430">
          <cell r="A3430" t="str">
            <v>AC215201.3_FG005</v>
          </cell>
          <cell r="B3430" t="str">
            <v>GO:0005737GO:0006457GO:0005524GO:0005515</v>
          </cell>
        </row>
        <row r="3431">
          <cell r="A3431" t="str">
            <v>AC215201.3_FG003</v>
          </cell>
          <cell r="B3431" t="str">
            <v>GO:0004707GO:0006468GO:0004713GO:0005524</v>
          </cell>
        </row>
        <row r="3432">
          <cell r="A3432" t="str">
            <v>GRMZM2G061932</v>
          </cell>
          <cell r="B3432" t="str">
            <v>GO:0050825GO:0042309GO:0050826</v>
          </cell>
        </row>
        <row r="3433">
          <cell r="A3433" t="str">
            <v>GRMZM2G095598</v>
          </cell>
          <cell r="B3433" t="str">
            <v>GO:0008270GO:0005622</v>
          </cell>
        </row>
        <row r="3434">
          <cell r="A3434" t="str">
            <v>GRMZM2G459110</v>
          </cell>
          <cell r="B3434" t="str">
            <v>GO:0005515</v>
          </cell>
        </row>
        <row r="3435">
          <cell r="A3435" t="str">
            <v>GRMZM2G144275</v>
          </cell>
          <cell r="B3435" t="str">
            <v>GO:0005634GO:0045449GO:0030528</v>
          </cell>
        </row>
        <row r="3436">
          <cell r="A3436" t="str">
            <v>GRMZM2G089448</v>
          </cell>
          <cell r="B3436" t="str">
            <v>GO:0008270GO:0005622</v>
          </cell>
        </row>
        <row r="3437">
          <cell r="A3437" t="str">
            <v>AC230011.2_FG002</v>
          </cell>
          <cell r="B3437" t="str">
            <v>GO:0006915GO:0005515GO:0005524</v>
          </cell>
        </row>
        <row r="3438">
          <cell r="A3438" t="str">
            <v>GRMZM2G057116</v>
          </cell>
          <cell r="B3438" t="str">
            <v>GO:0003700GO:0043565GO:0005634GO:0045449</v>
          </cell>
        </row>
        <row r="3439">
          <cell r="A3439" t="str">
            <v>GRMZM2G102891</v>
          </cell>
          <cell r="B3439" t="str">
            <v>GO:0003735GO:0006414GO:0005840</v>
          </cell>
        </row>
        <row r="3440">
          <cell r="A3440" t="str">
            <v>GRMZM2G142097</v>
          </cell>
          <cell r="B3440" t="str">
            <v>GO:0003735GO:0006412GO:0005840</v>
          </cell>
        </row>
        <row r="3441">
          <cell r="A3441" t="str">
            <v>GRMZM2G159105</v>
          </cell>
          <cell r="B3441" t="str">
            <v>GO:0004674GO:0006468GO:0004713GO:0005524</v>
          </cell>
        </row>
        <row r="3442">
          <cell r="A3442" t="str">
            <v>GRMZM2G117007</v>
          </cell>
          <cell r="B3442" t="str">
            <v>GO:0016301GO:0008152GO:0005524</v>
          </cell>
        </row>
        <row r="3443">
          <cell r="A3443" t="str">
            <v>GRMZM2G019056</v>
          </cell>
          <cell r="B3443" t="str">
            <v>GO:0031072GO:0006457GO:0051082</v>
          </cell>
        </row>
        <row r="3444">
          <cell r="A3444" t="str">
            <v>GRMZM2G177098</v>
          </cell>
          <cell r="B3444" t="str">
            <v>GO:0003735GO:0016829GO:0000287GO:0006412GO:0005840</v>
          </cell>
        </row>
        <row r="3445">
          <cell r="A3445" t="str">
            <v>GRMZM2G148176</v>
          </cell>
          <cell r="B3445" t="str">
            <v>GO:0005975GO:0004553</v>
          </cell>
        </row>
        <row r="3446">
          <cell r="A3446" t="str">
            <v>GRMZM2G156356</v>
          </cell>
          <cell r="B3446" t="str">
            <v>GO:0016020GO:0017153GO:0006835</v>
          </cell>
        </row>
        <row r="3447">
          <cell r="A3447" t="str">
            <v>GRMZM2G070723</v>
          </cell>
          <cell r="B3447" t="str">
            <v>GO:0005737GO:0006415GO:0016149</v>
          </cell>
        </row>
        <row r="3448">
          <cell r="A3448" t="str">
            <v>GRMZM2G051984</v>
          </cell>
          <cell r="B3448" t="str">
            <v>GO:0004674GO:0006468GO:0004713GO:0005524</v>
          </cell>
        </row>
        <row r="3449">
          <cell r="A3449" t="str">
            <v>GRMZM2G167103</v>
          </cell>
          <cell r="B3449" t="str">
            <v>GO:0003735GO:0016020GO:0006412GO:0005840</v>
          </cell>
        </row>
        <row r="3450">
          <cell r="A3450" t="str">
            <v>GRMZM2G035063</v>
          </cell>
          <cell r="B3450" t="str">
            <v>GO:0006457GO:0005524</v>
          </cell>
        </row>
        <row r="3451">
          <cell r="A3451" t="str">
            <v>GRMZM2G021846</v>
          </cell>
          <cell r="B3451" t="str">
            <v>GO:0003873GO:0030246GO:0005524GO:0006003</v>
          </cell>
        </row>
        <row r="3452">
          <cell r="A3452" t="str">
            <v>GRMZM2G060999</v>
          </cell>
          <cell r="B3452" t="str">
            <v>GO:0008270GO:0005515</v>
          </cell>
        </row>
        <row r="3453">
          <cell r="A3453" t="str">
            <v>GRMZM2G179797</v>
          </cell>
          <cell r="B3453" t="str">
            <v>GO:0003824GO:0006520GO:0030170</v>
          </cell>
        </row>
        <row r="3454">
          <cell r="A3454" t="str">
            <v>GRMZM2G050450</v>
          </cell>
          <cell r="B3454" t="str">
            <v>GO:0016747</v>
          </cell>
        </row>
        <row r="3455">
          <cell r="A3455" t="str">
            <v>GRMZM2G179792</v>
          </cell>
          <cell r="B3455" t="str">
            <v>GO:0004630GO:0016020GO:0046470GO:0005509</v>
          </cell>
        </row>
        <row r="3456">
          <cell r="A3456" t="str">
            <v>GRMZM2G080375</v>
          </cell>
          <cell r="B3456" t="str">
            <v>GO:0003872GO:0005945GO:0006096GO:0005524</v>
          </cell>
        </row>
        <row r="3457">
          <cell r="A3457" t="str">
            <v>GRMZM2G427815</v>
          </cell>
          <cell r="B3457" t="str">
            <v>GO:0004601GO:0006979GO:0020037GO:0009055</v>
          </cell>
        </row>
        <row r="3458">
          <cell r="A3458" t="str">
            <v>GRMZM2G063961</v>
          </cell>
          <cell r="B3458" t="str">
            <v>GO:0004674GO:0006468GO:0004713GO:0005524</v>
          </cell>
        </row>
        <row r="3459">
          <cell r="A3459" t="str">
            <v>GRMZM2G027663</v>
          </cell>
          <cell r="B3459" t="str">
            <v>GO:0009228</v>
          </cell>
        </row>
        <row r="3460">
          <cell r="A3460" t="str">
            <v>GRMZM2G046070</v>
          </cell>
          <cell r="B3460" t="str">
            <v>GO:0008270GO:0055114GO:0016491</v>
          </cell>
        </row>
        <row r="3461">
          <cell r="A3461" t="str">
            <v>AC209626.2_FG013</v>
          </cell>
          <cell r="B3461" t="str">
            <v>GO:0033014GO:0004852</v>
          </cell>
        </row>
        <row r="3462">
          <cell r="A3462" t="str">
            <v>GRMZM2G140107</v>
          </cell>
          <cell r="B3462" t="str">
            <v>GO:0009058GO:0046524GO:0005985</v>
          </cell>
        </row>
        <row r="3463">
          <cell r="A3463" t="str">
            <v>GRMZM2G076987</v>
          </cell>
          <cell r="B3463" t="str">
            <v>GO:0004674GO:0006468GO:0004713GO:0005524</v>
          </cell>
        </row>
        <row r="3464">
          <cell r="A3464" t="str">
            <v>GRMZM2G151252</v>
          </cell>
          <cell r="B3464" t="str">
            <v>GO:0003735GO:0006412GO:0005840</v>
          </cell>
        </row>
        <row r="3465">
          <cell r="A3465" t="str">
            <v>AC149829.2_FG003</v>
          </cell>
          <cell r="B3465" t="str">
            <v>GO:0005643GO:0006810</v>
          </cell>
        </row>
        <row r="3466">
          <cell r="A3466" t="str">
            <v>GRMZM2G159535</v>
          </cell>
          <cell r="B3466" t="str">
            <v>GO:0045454</v>
          </cell>
        </row>
        <row r="3467">
          <cell r="A3467" t="str">
            <v>GRMZM2G040803</v>
          </cell>
          <cell r="B3467" t="str">
            <v>GO:0016567GO:0004842GO:0008270GO:0005515GO:0000151</v>
          </cell>
        </row>
        <row r="3468">
          <cell r="A3468" t="str">
            <v>GRMZM2G060464</v>
          </cell>
          <cell r="B3468" t="str">
            <v>GO:0006228GO:0006241GO:0004550GO:0005524GO:0006183</v>
          </cell>
        </row>
        <row r="3469">
          <cell r="A3469" t="str">
            <v>GRMZM2G365374</v>
          </cell>
          <cell r="B3469" t="str">
            <v>GO:0006457GO:0051082GO:0005524</v>
          </cell>
        </row>
        <row r="3470">
          <cell r="A3470" t="str">
            <v>GRMZM2G434277</v>
          </cell>
          <cell r="B3470" t="str">
            <v>GO:0004674GO:0006468GO:0004713GO:0005524</v>
          </cell>
        </row>
        <row r="3471">
          <cell r="A3471" t="str">
            <v>GRMZM2G164036</v>
          </cell>
          <cell r="B3471" t="str">
            <v>GO:0004497GO:0020037GO:0009055</v>
          </cell>
        </row>
        <row r="3472">
          <cell r="A3472" t="str">
            <v>GRMZM2G112524</v>
          </cell>
          <cell r="B3472" t="str">
            <v>GO:0006952GO:0009607</v>
          </cell>
        </row>
        <row r="3473">
          <cell r="A3473" t="str">
            <v>GRMZM2G020484</v>
          </cell>
          <cell r="B3473" t="str">
            <v>GO:0006857GO:0005215GO:0016020</v>
          </cell>
        </row>
        <row r="3474">
          <cell r="A3474" t="str">
            <v>GRMZM2G443495</v>
          </cell>
          <cell r="B3474" t="str">
            <v>GO:0016884</v>
          </cell>
        </row>
        <row r="3475">
          <cell r="A3475" t="str">
            <v>GRMZM2G055273</v>
          </cell>
          <cell r="B3475" t="str">
            <v>GO:0050825GO:0042309GO:0050826</v>
          </cell>
        </row>
        <row r="3476">
          <cell r="A3476" t="str">
            <v>GRMZM2G035465</v>
          </cell>
          <cell r="B3476" t="str">
            <v>GO:0005634GO:0045449</v>
          </cell>
        </row>
        <row r="3477">
          <cell r="A3477" t="str">
            <v>GRMZM2G012160</v>
          </cell>
          <cell r="B3477" t="str">
            <v>GO:0004869</v>
          </cell>
        </row>
        <row r="3478">
          <cell r="A3478" t="str">
            <v>GRMZM2G050216</v>
          </cell>
          <cell r="B3478" t="str">
            <v>GO:0008270GO:0005515</v>
          </cell>
        </row>
        <row r="3479">
          <cell r="A3479" t="str">
            <v>AC208897.3_FG004</v>
          </cell>
          <cell r="B3479" t="str">
            <v>GO:0022891GO:0016021GO:0055085</v>
          </cell>
        </row>
        <row r="3480">
          <cell r="A3480" t="str">
            <v>GRMZM2G027068</v>
          </cell>
          <cell r="B3480" t="str">
            <v>GO:0005634GO:0045449GO:0030528</v>
          </cell>
        </row>
        <row r="3481">
          <cell r="A3481" t="str">
            <v>GRMZM2G017386</v>
          </cell>
          <cell r="B3481" t="str">
            <v>GO:0004674GO:0006468GO:0004713GO:0005524</v>
          </cell>
        </row>
        <row r="3482">
          <cell r="A3482" t="str">
            <v>GRMZM2G071450</v>
          </cell>
          <cell r="B3482" t="str">
            <v>GO:0005507GO:0050825GO:0050826GO:0042309GO:0009055</v>
          </cell>
        </row>
        <row r="3483">
          <cell r="A3483" t="str">
            <v>GRMZM2G013781</v>
          </cell>
          <cell r="B3483" t="str">
            <v>GO:0005488GO:0008152GO:0016491</v>
          </cell>
        </row>
        <row r="3484">
          <cell r="A3484" t="str">
            <v>GRMZM2G020002</v>
          </cell>
          <cell r="B3484" t="str">
            <v>GO:0016810</v>
          </cell>
        </row>
        <row r="3485">
          <cell r="A3485" t="str">
            <v>GRMZM2G109326</v>
          </cell>
          <cell r="B3485" t="str">
            <v>GO:0030246</v>
          </cell>
        </row>
        <row r="3486">
          <cell r="A3486" t="str">
            <v>GRMZM2G063566</v>
          </cell>
          <cell r="B3486" t="str">
            <v>GO:0005618GO:0048046GO:0016762GO:0006073GO:0004553</v>
          </cell>
        </row>
        <row r="3487">
          <cell r="A3487" t="str">
            <v>GRMZM2G081886</v>
          </cell>
          <cell r="B3487" t="str">
            <v>GO:0006564GO:0006813GO:0051287GO:0008324GO:0004617GO:0016597</v>
          </cell>
        </row>
        <row r="3488">
          <cell r="A3488" t="str">
            <v>GRMZM2G131708</v>
          </cell>
          <cell r="B3488" t="str">
            <v>GO:0008168GO:0008152</v>
          </cell>
        </row>
        <row r="3489">
          <cell r="A3489" t="str">
            <v>GRMZM2G124175</v>
          </cell>
          <cell r="B3489" t="str">
            <v>GO:0016491GO:0009055</v>
          </cell>
        </row>
        <row r="3490">
          <cell r="A3490" t="str">
            <v>GRMZM2G014797</v>
          </cell>
          <cell r="B3490" t="str">
            <v>GO:0006950</v>
          </cell>
        </row>
        <row r="3491">
          <cell r="A3491" t="str">
            <v>GRMZM2G127308</v>
          </cell>
          <cell r="B3491" t="str">
            <v>GO:0016846</v>
          </cell>
        </row>
        <row r="3492">
          <cell r="A3492" t="str">
            <v>GRMZM2G112337</v>
          </cell>
          <cell r="B3492" t="str">
            <v>GO:0006508GO:0004190</v>
          </cell>
        </row>
        <row r="3493">
          <cell r="A3493" t="str">
            <v>GRMZM2G112149</v>
          </cell>
          <cell r="B3493" t="str">
            <v>GO:0009086GO:0003871GO:0008270</v>
          </cell>
        </row>
        <row r="3494">
          <cell r="A3494" t="str">
            <v>GRMZM2G428179</v>
          </cell>
          <cell r="B3494" t="str">
            <v>GO:0008270GO:0005515</v>
          </cell>
        </row>
        <row r="3495">
          <cell r="A3495" t="str">
            <v>GRMZM2G150295</v>
          </cell>
          <cell r="B3495" t="str">
            <v>GO:0045454GO:0015035GO:0009055</v>
          </cell>
        </row>
        <row r="3496">
          <cell r="A3496" t="str">
            <v>GRMZM2G170870</v>
          </cell>
          <cell r="B3496" t="str">
            <v>GO:0003735GO:0006412GO:0005840</v>
          </cell>
        </row>
        <row r="3497">
          <cell r="A3497" t="str">
            <v>GRMZM2G051270</v>
          </cell>
          <cell r="B3497" t="str">
            <v>GO:0000103GO:0004781</v>
          </cell>
        </row>
        <row r="3498">
          <cell r="A3498" t="str">
            <v>GRMZM2G313184</v>
          </cell>
          <cell r="B3498" t="str">
            <v>GO:0004601GO:0006979GO:0020037GO:0009055</v>
          </cell>
        </row>
        <row r="3499">
          <cell r="A3499" t="str">
            <v>GRMZM2G098305</v>
          </cell>
          <cell r="B3499" t="str">
            <v>GO:0003697</v>
          </cell>
        </row>
        <row r="3500">
          <cell r="A3500" t="str">
            <v>GRMZM2G010944</v>
          </cell>
          <cell r="B3500" t="str">
            <v>GO:0005737GO:0051087GO:0001671</v>
          </cell>
        </row>
        <row r="3501">
          <cell r="A3501" t="str">
            <v>GRMZM2G063988</v>
          </cell>
          <cell r="B3501" t="str">
            <v>GO:0006457GO:0051082GO:0005524</v>
          </cell>
        </row>
        <row r="3502">
          <cell r="A3502" t="str">
            <v>GRMZM2G384884</v>
          </cell>
          <cell r="B3502" t="str">
            <v>GO:0016712GO:0020037GO:0009055</v>
          </cell>
        </row>
        <row r="3503">
          <cell r="A3503" t="str">
            <v>GRMZM2G054201</v>
          </cell>
          <cell r="B3503" t="str">
            <v>GO:0003735GO:0006412GO:0005840</v>
          </cell>
        </row>
        <row r="3504">
          <cell r="A3504" t="str">
            <v>GRMZM2G106408</v>
          </cell>
          <cell r="B3504" t="str">
            <v>GO:0004497GO:0020037GO:0009055</v>
          </cell>
        </row>
        <row r="3505">
          <cell r="A3505" t="str">
            <v>GRMZM2G463280</v>
          </cell>
          <cell r="B3505" t="str">
            <v>GO:0005975GO:0008974GO:0005524</v>
          </cell>
        </row>
        <row r="3506">
          <cell r="A3506" t="str">
            <v>GRMZM2G152477</v>
          </cell>
          <cell r="B3506" t="str">
            <v>GO:0016787</v>
          </cell>
        </row>
        <row r="3507">
          <cell r="A3507" t="str">
            <v>GRMZM2G313481</v>
          </cell>
          <cell r="B3507" t="str">
            <v>GO:0045449GO:0003677</v>
          </cell>
        </row>
        <row r="3508">
          <cell r="A3508" t="str">
            <v>GRMZM2G088396</v>
          </cell>
          <cell r="B3508" t="str">
            <v>GO:0003868GO:0009072</v>
          </cell>
        </row>
        <row r="3509">
          <cell r="A3509" t="str">
            <v>GRMZM2G032160</v>
          </cell>
          <cell r="B3509" t="str">
            <v>GO:0033903GO:0016998</v>
          </cell>
        </row>
        <row r="3510">
          <cell r="A3510" t="str">
            <v>GRMZM2G106795</v>
          </cell>
          <cell r="B3510" t="str">
            <v>GO:0006886GO:0005525GO:0007264GO:0005622</v>
          </cell>
        </row>
        <row r="3511">
          <cell r="A3511" t="str">
            <v>GRMZM2G160005</v>
          </cell>
          <cell r="B3511" t="str">
            <v>GO:0006355GO:0005634GO:0003677GO:0009725</v>
          </cell>
        </row>
        <row r="3512">
          <cell r="A3512" t="str">
            <v>GRMZM2G127948</v>
          </cell>
          <cell r="B3512" t="str">
            <v>GO:0008171</v>
          </cell>
        </row>
        <row r="3513">
          <cell r="A3513" t="str">
            <v>GRMZM2G073743</v>
          </cell>
          <cell r="B3513" t="str">
            <v>GO:0005215GO:0006810GO:0005488</v>
          </cell>
        </row>
        <row r="3514">
          <cell r="A3514" t="str">
            <v>GRMZM2G403076</v>
          </cell>
          <cell r="B3514" t="str">
            <v>GO:0050660GO:0016491</v>
          </cell>
        </row>
        <row r="3515">
          <cell r="A3515" t="str">
            <v>GRMZM2G026889</v>
          </cell>
          <cell r="B3515" t="str">
            <v>GO:0016757</v>
          </cell>
        </row>
        <row r="3516">
          <cell r="A3516" t="str">
            <v>GRMZM2G123204</v>
          </cell>
          <cell r="B3516" t="str">
            <v>GO:0004019GO:0005525GO:0006164</v>
          </cell>
        </row>
        <row r="3517">
          <cell r="A3517" t="str">
            <v>GRMZM2G091456</v>
          </cell>
          <cell r="B3517" t="str">
            <v>GO:0004506GO:0016021GO:0050660GO:0043087GO:0055114</v>
          </cell>
        </row>
        <row r="3518">
          <cell r="A3518" t="str">
            <v>GRMZM2G301148</v>
          </cell>
          <cell r="B3518" t="str">
            <v>GO:0016758GO:0008152</v>
          </cell>
        </row>
        <row r="3519">
          <cell r="A3519" t="str">
            <v>GRMZM2G009892</v>
          </cell>
          <cell r="B3519" t="str">
            <v>GO:0045449GO:0003677GO:0050825GO:0042309GO:0050826</v>
          </cell>
        </row>
        <row r="3520">
          <cell r="A3520" t="str">
            <v>GRMZM2G468657</v>
          </cell>
          <cell r="B3520" t="str">
            <v>GO:0016021GO:0001619GO:0006835GO:0006508GO:0004190GO:0017153GO:0007186</v>
          </cell>
        </row>
        <row r="3521">
          <cell r="A3521" t="str">
            <v>GRMZM2G055999</v>
          </cell>
          <cell r="B3521" t="str">
            <v>GO:0030001GO:0046872GO:0050825GO:0042309GO:0050826</v>
          </cell>
        </row>
        <row r="3522">
          <cell r="A3522" t="str">
            <v>GRMZM2G048549</v>
          </cell>
          <cell r="B3522" t="str">
            <v>GO:0005509</v>
          </cell>
        </row>
        <row r="3523">
          <cell r="A3523" t="str">
            <v>GRMZM2G026151</v>
          </cell>
          <cell r="B3523" t="str">
            <v>GO:0004674GO:0006468GO:0004713GO:0005524GO:0016998</v>
          </cell>
        </row>
        <row r="3524">
          <cell r="A3524" t="str">
            <v>GRMZM2G134023</v>
          </cell>
          <cell r="B3524" t="str">
            <v>GO:0008270GO:0005515</v>
          </cell>
        </row>
        <row r="3525">
          <cell r="A3525" t="str">
            <v>GRMZM2G032766</v>
          </cell>
          <cell r="B3525" t="str">
            <v>GO:0016020GO:0051260</v>
          </cell>
        </row>
        <row r="3526">
          <cell r="A3526" t="str">
            <v>GRMZM2G425430</v>
          </cell>
          <cell r="B3526" t="str">
            <v>GO:0003700GO:0043565GO:0005634GO:0045449</v>
          </cell>
        </row>
        <row r="3527">
          <cell r="A3527" t="str">
            <v>GRMZM2G143870</v>
          </cell>
          <cell r="B3527" t="str">
            <v>GO:0003723</v>
          </cell>
        </row>
        <row r="3528">
          <cell r="A3528" t="str">
            <v>GRMZM2G482256</v>
          </cell>
          <cell r="B3528" t="str">
            <v>GO:0005975GO:0004553</v>
          </cell>
        </row>
        <row r="3529">
          <cell r="A3529" t="str">
            <v>GRMZM2G470499</v>
          </cell>
          <cell r="B3529" t="str">
            <v>GO:0004674GO:0006468GO:0004713GO:0005524</v>
          </cell>
        </row>
        <row r="3530">
          <cell r="A3530" t="str">
            <v>GRMZM2G096585</v>
          </cell>
          <cell r="B3530" t="str">
            <v>GO:0006457</v>
          </cell>
        </row>
        <row r="3531">
          <cell r="A3531" t="str">
            <v>GRMZM2G111146</v>
          </cell>
          <cell r="B3531" t="str">
            <v>GO:0005634GO:0045449GO:0030528</v>
          </cell>
        </row>
        <row r="3532">
          <cell r="A3532" t="str">
            <v>GRMZM2G004523</v>
          </cell>
          <cell r="B3532" t="str">
            <v>GO:0009416GO:0005515GO:0004871</v>
          </cell>
        </row>
        <row r="3533">
          <cell r="A3533" t="str">
            <v>GRMZM2G004528</v>
          </cell>
          <cell r="B3533" t="str">
            <v>GO:0004512GO:0006021GO:0005488GO:0008654</v>
          </cell>
        </row>
        <row r="3534">
          <cell r="A3534" t="str">
            <v>GRMZM2G123843</v>
          </cell>
          <cell r="B3534" t="str">
            <v>GO:0015031GO:0007030GO:0016020</v>
          </cell>
        </row>
        <row r="3535">
          <cell r="A3535" t="str">
            <v>GRMZM2G043453</v>
          </cell>
          <cell r="B3535" t="str">
            <v>GO:0015995GO:0016851GO:0017111GO:0006260GO:0003677GO:0015979GO:0005524</v>
          </cell>
        </row>
        <row r="3536">
          <cell r="A3536" t="str">
            <v>AC205413.4_FG001</v>
          </cell>
          <cell r="B3536" t="str">
            <v>GO:0004601GO:0006979GO:0020037GO:0009055</v>
          </cell>
        </row>
        <row r="3537">
          <cell r="A3537" t="str">
            <v>GRMZM2G099454</v>
          </cell>
          <cell r="B3537" t="str">
            <v>GO:0004568GO:0006032GO:0016998</v>
          </cell>
        </row>
        <row r="3538">
          <cell r="A3538" t="str">
            <v>GRMZM2G092379</v>
          </cell>
          <cell r="B3538" t="str">
            <v>GO:0006508GO:0005515GO:0008236</v>
          </cell>
        </row>
        <row r="3539">
          <cell r="A3539" t="str">
            <v>GRMZM2G441888</v>
          </cell>
          <cell r="B3539" t="str">
            <v>GO:0050825GO:0042309GO:0050826</v>
          </cell>
        </row>
        <row r="3540">
          <cell r="A3540" t="str">
            <v>GRMZM2G066041</v>
          </cell>
          <cell r="B3540" t="str">
            <v>GO:0006508GO:0004197</v>
          </cell>
        </row>
        <row r="3541">
          <cell r="A3541" t="str">
            <v>GRMZM2G108514</v>
          </cell>
          <cell r="B3541" t="str">
            <v>GO:0006519GO:0016831GO:0019752GO:0030170</v>
          </cell>
        </row>
        <row r="3542">
          <cell r="A3542" t="str">
            <v>GRMZM2G025190</v>
          </cell>
          <cell r="B3542" t="str">
            <v>GO:0005737GO:0004364GO:0008152</v>
          </cell>
        </row>
        <row r="3543">
          <cell r="A3543" t="str">
            <v>GRMZM2G430039</v>
          </cell>
          <cell r="B3543" t="str">
            <v>GO:0006508GO:0043086GO:0042802GO:0004252</v>
          </cell>
        </row>
        <row r="3544">
          <cell r="A3544" t="str">
            <v>GRMZM2G022413</v>
          </cell>
          <cell r="B3544" t="str">
            <v>GO:0019538GO:0016671</v>
          </cell>
        </row>
        <row r="3545">
          <cell r="A3545" t="str">
            <v>GRMZM2G114642</v>
          </cell>
          <cell r="B3545" t="str">
            <v>GO:0006633GO:0005506GO:0005783GO:0055114GO:0016491</v>
          </cell>
        </row>
        <row r="3546">
          <cell r="A3546" t="str">
            <v>GRMZM2G138259</v>
          </cell>
          <cell r="B3546" t="str">
            <v>GO:0003677</v>
          </cell>
        </row>
        <row r="3547">
          <cell r="A3547" t="str">
            <v>GRMZM2G033894</v>
          </cell>
          <cell r="B3547" t="str">
            <v>GO:0004739GO:0043231GO:0055114GO:0006096</v>
          </cell>
        </row>
        <row r="3548">
          <cell r="A3548" t="str">
            <v>GRMZM2G302604</v>
          </cell>
          <cell r="B3548" t="str">
            <v>GO:0022891GO:0016021GO:0055085</v>
          </cell>
        </row>
        <row r="3549">
          <cell r="A3549" t="str">
            <v>GRMZM2G025171</v>
          </cell>
          <cell r="B3549" t="str">
            <v>GO:0045261GO:0015986GO:0046961GO:0046933</v>
          </cell>
        </row>
        <row r="3550">
          <cell r="A3550" t="str">
            <v>GRMZM2G044004</v>
          </cell>
          <cell r="B3550" t="str">
            <v>GO:0008270GO:0003676</v>
          </cell>
        </row>
        <row r="3551">
          <cell r="A3551" t="str">
            <v>GRMZM2G035520</v>
          </cell>
          <cell r="B3551" t="str">
            <v>GO:0006812GO:0016021GO:0006754GO:0015662GO:0005524</v>
          </cell>
        </row>
        <row r="3552">
          <cell r="A3552" t="str">
            <v>GRMZM2G152105</v>
          </cell>
          <cell r="B3552" t="str">
            <v>GO:0006633GO:0016747</v>
          </cell>
        </row>
        <row r="3553">
          <cell r="A3553" t="str">
            <v>GRMZM2G018336</v>
          </cell>
          <cell r="B3553" t="str">
            <v>GO:0006355GO:0005634GO:0004879GO:0003677</v>
          </cell>
        </row>
        <row r="3554">
          <cell r="A3554" t="str">
            <v>GRMZM2G079957</v>
          </cell>
          <cell r="B3554" t="str">
            <v>GO:0005634GO:0045449</v>
          </cell>
        </row>
        <row r="3555">
          <cell r="A3555" t="str">
            <v>GRMZM2G032419</v>
          </cell>
          <cell r="B3555" t="str">
            <v>GO:0005732GO:0006364GO:0019843</v>
          </cell>
        </row>
        <row r="3556">
          <cell r="A3556" t="str">
            <v>AC193786.3_FG005</v>
          </cell>
          <cell r="B3556" t="str">
            <v>GO:0005634GO:0045449GO:0030528</v>
          </cell>
        </row>
        <row r="3557">
          <cell r="A3557" t="str">
            <v>GRMZM2G160351</v>
          </cell>
          <cell r="B3557" t="str">
            <v>GO:0003735GO:0006412GO:0005840</v>
          </cell>
        </row>
        <row r="3558">
          <cell r="A3558" t="str">
            <v>GRMZM2G066820</v>
          </cell>
          <cell r="B3558" t="str">
            <v>GO:0015904GO:0016021GO:0015520GO:0046677GO:0055085</v>
          </cell>
        </row>
        <row r="3559">
          <cell r="A3559" t="str">
            <v>GRMZM2G024150</v>
          </cell>
          <cell r="B3559" t="str">
            <v>GO:0015979GO:0009538</v>
          </cell>
        </row>
        <row r="3560">
          <cell r="A3560" t="str">
            <v>GRMZM2G127546</v>
          </cell>
          <cell r="B3560" t="str">
            <v>GO:0003824GO:0050825GO:0042309GO:0008152GO:0050826</v>
          </cell>
        </row>
        <row r="3561">
          <cell r="A3561" t="str">
            <v>GRMZM2G104549</v>
          </cell>
          <cell r="B3561" t="str">
            <v>GO:0016020GO:0009765</v>
          </cell>
        </row>
        <row r="3562">
          <cell r="A3562" t="str">
            <v>GRMZM2G152040</v>
          </cell>
          <cell r="B3562" t="str">
            <v>GO:0015969GO:0005509</v>
          </cell>
        </row>
        <row r="3563">
          <cell r="A3563" t="str">
            <v>GRMZM2G029048</v>
          </cell>
          <cell r="B3563" t="str">
            <v>GO:0005737GO:0009058GO:0016841GO:0016211GO:0006559</v>
          </cell>
        </row>
        <row r="3564">
          <cell r="A3564" t="str">
            <v>GRMZM2G003715</v>
          </cell>
          <cell r="B3564" t="str">
            <v>GO:0045449GO:0003677</v>
          </cell>
        </row>
        <row r="3565">
          <cell r="A3565" t="str">
            <v>GRMZM2G122251</v>
          </cell>
          <cell r="B3565" t="str">
            <v>GO:0006857GO:0005215GO:0016020</v>
          </cell>
        </row>
        <row r="3566">
          <cell r="A3566" t="str">
            <v>GRMZM2G016677</v>
          </cell>
          <cell r="B3566" t="str">
            <v>GO:0019898GO:0009654GO:0005509GO:0015979</v>
          </cell>
        </row>
        <row r="3567">
          <cell r="A3567" t="str">
            <v>GRMZM2G136262</v>
          </cell>
          <cell r="B3567" t="str">
            <v>GO:0006633GO:0000036GO:0048037GO:0031177</v>
          </cell>
        </row>
        <row r="3568">
          <cell r="A3568" t="str">
            <v>GRMZM2G138382</v>
          </cell>
          <cell r="B3568" t="str">
            <v>GO:0009058GO:0016833</v>
          </cell>
        </row>
        <row r="3569">
          <cell r="A3569" t="str">
            <v>GRMZM2G114739</v>
          </cell>
          <cell r="B3569" t="str">
            <v>GO:0016491GO:0030151GO:0055114GO:0009055</v>
          </cell>
        </row>
        <row r="3570">
          <cell r="A3570" t="str">
            <v>GRMZM2G122072</v>
          </cell>
          <cell r="B3570" t="str">
            <v>GO:0016758GO:0008152</v>
          </cell>
        </row>
        <row r="3571">
          <cell r="A3571" t="str">
            <v>GRMZM2G133836</v>
          </cell>
          <cell r="B3571" t="str">
            <v>GO:0016787GO:0008152</v>
          </cell>
        </row>
        <row r="3572">
          <cell r="A3572" t="str">
            <v>GRMZM2G143640</v>
          </cell>
          <cell r="B3572" t="str">
            <v>GO:0003677</v>
          </cell>
        </row>
        <row r="3573">
          <cell r="A3573" t="str">
            <v>GRMZM2G415579</v>
          </cell>
          <cell r="B3573" t="str">
            <v>GO:0055114GO:0016491</v>
          </cell>
        </row>
        <row r="3574">
          <cell r="A3574" t="str">
            <v>GRMZM2G147966</v>
          </cell>
          <cell r="B3574" t="str">
            <v>GO:0050660GO:0050664GO:0016021GO:0005509GO:0005506GO:0004601GO:0055114GO:0009055</v>
          </cell>
        </row>
        <row r="3575">
          <cell r="A3575" t="str">
            <v>GRMZM2G031062</v>
          </cell>
          <cell r="B3575" t="str">
            <v>GO:0008080GO:0008152</v>
          </cell>
        </row>
        <row r="3576">
          <cell r="A3576" t="str">
            <v>GRMZM2G355610</v>
          </cell>
          <cell r="B3576" t="str">
            <v>GO:0005215GO:0006810GO:0005622</v>
          </cell>
        </row>
        <row r="3577">
          <cell r="A3577" t="str">
            <v>GRMZM2G043212</v>
          </cell>
          <cell r="B3577" t="str">
            <v>GO:0003735GO:0006412GO:0005840</v>
          </cell>
        </row>
        <row r="3578">
          <cell r="A3578" t="str">
            <v>GRMZM2G074604</v>
          </cell>
          <cell r="B3578" t="str">
            <v>GO:0005737GO:0009058GO:0016841GO:0016211GO:0006559</v>
          </cell>
        </row>
        <row r="3579">
          <cell r="A3579" t="str">
            <v>GRMZM2G056329</v>
          </cell>
          <cell r="B3579" t="str">
            <v>GO:0005524</v>
          </cell>
        </row>
        <row r="3580">
          <cell r="A3580" t="str">
            <v>GRMZM2G444073</v>
          </cell>
          <cell r="B3580" t="str">
            <v>GO:0006355GO:0005634GO:0043565</v>
          </cell>
        </row>
        <row r="3581">
          <cell r="A3581" t="str">
            <v>GRMZM2G085246</v>
          </cell>
          <cell r="B3581" t="str">
            <v>GO:0004674GO:0006468GO:0005524GO:0005515GO:0004713</v>
          </cell>
        </row>
        <row r="3582">
          <cell r="A3582" t="str">
            <v>GRMZM2G162690</v>
          </cell>
          <cell r="B3582" t="str">
            <v>GO:0004555GO:0005991</v>
          </cell>
        </row>
        <row r="3583">
          <cell r="A3583" t="str">
            <v>GRMZM2G126541</v>
          </cell>
          <cell r="B3583" t="str">
            <v>GO:0006508GO:0004185</v>
          </cell>
        </row>
        <row r="3584">
          <cell r="A3584" t="str">
            <v>GRMZM2G436593</v>
          </cell>
          <cell r="B3584" t="str">
            <v>GO:0006839GO:0005743GO:0005488GO:0005215</v>
          </cell>
        </row>
        <row r="3585">
          <cell r="A3585" t="str">
            <v>GRMZM2G028104</v>
          </cell>
          <cell r="B3585" t="str">
            <v>GO:0016747GO:0008152GO:0016491</v>
          </cell>
        </row>
        <row r="3586">
          <cell r="A3586" t="str">
            <v>GRMZM2G440208</v>
          </cell>
          <cell r="B3586" t="str">
            <v>GO:0050661GO:0006098GO:0004616</v>
          </cell>
        </row>
        <row r="3587">
          <cell r="A3587" t="str">
            <v>GRMZM2G425986</v>
          </cell>
          <cell r="B3587" t="str">
            <v>GO:0004519GO:0006284GO:0005622GO:0051539GO:0019104</v>
          </cell>
        </row>
        <row r="3588">
          <cell r="A3588" t="str">
            <v>GRMZM2G074743</v>
          </cell>
          <cell r="B3588" t="str">
            <v>GO:0005740GO:0007585</v>
          </cell>
        </row>
        <row r="3589">
          <cell r="A3589" t="str">
            <v>GRMZM2G151249</v>
          </cell>
          <cell r="B3589" t="str">
            <v>GO:0048046GO:0030145GO:0045735</v>
          </cell>
        </row>
        <row r="3590">
          <cell r="A3590" t="str">
            <v>GRMZM2G094165</v>
          </cell>
          <cell r="B3590" t="str">
            <v>GO:0015976GO:0004089GO:0008270</v>
          </cell>
        </row>
        <row r="3591">
          <cell r="A3591" t="str">
            <v>GRMZM2G432850</v>
          </cell>
          <cell r="B3591" t="str">
            <v>GO:0050825GO:0042309GO:0050826</v>
          </cell>
        </row>
        <row r="3592">
          <cell r="A3592" t="str">
            <v>GRMZM2G178852</v>
          </cell>
          <cell r="B3592" t="str">
            <v>GO:0050825GO:0042309GO:0050826</v>
          </cell>
        </row>
        <row r="3593">
          <cell r="A3593" t="str">
            <v>GRMZM2G011598</v>
          </cell>
          <cell r="B3593" t="str">
            <v>GO:0045449GO:0003677</v>
          </cell>
        </row>
        <row r="3594">
          <cell r="A3594" t="str">
            <v>GRMZM2G118800</v>
          </cell>
          <cell r="B3594" t="str">
            <v>GO:0004030GO:0006081</v>
          </cell>
        </row>
        <row r="3595">
          <cell r="A3595" t="str">
            <v>GRMZM2G423129</v>
          </cell>
          <cell r="B3595" t="str">
            <v>GO:0005509</v>
          </cell>
        </row>
        <row r="3596">
          <cell r="A3596" t="str">
            <v>GRMZM2G159759</v>
          </cell>
          <cell r="B3596" t="str">
            <v>GO:0006629GO:0016788</v>
          </cell>
        </row>
        <row r="3597">
          <cell r="A3597" t="str">
            <v>GRMZM2G448368</v>
          </cell>
          <cell r="B3597" t="str">
            <v>GO:0031072GO:0006457GO:0051082</v>
          </cell>
        </row>
        <row r="3598">
          <cell r="A3598" t="str">
            <v>GRMZM2G031790</v>
          </cell>
          <cell r="B3598" t="str">
            <v>GO:0006633GO:0016020GO:0008415</v>
          </cell>
        </row>
        <row r="3599">
          <cell r="A3599" t="str">
            <v>GRMZM2G162529</v>
          </cell>
          <cell r="B3599" t="str">
            <v>GO:0005975GO:0017111GO:0008974GO:0005524</v>
          </cell>
        </row>
        <row r="3600">
          <cell r="A3600" t="str">
            <v>GRMZM2G111975</v>
          </cell>
          <cell r="B3600" t="str">
            <v>GO:0007186GO:0004990GO:0030173GO:0006486GO:0008373</v>
          </cell>
        </row>
        <row r="3601">
          <cell r="A3601" t="str">
            <v>GRMZM2G176840</v>
          </cell>
          <cell r="B3601" t="str">
            <v>GO:0019898GO:0009654GO:0005509GO:0015979</v>
          </cell>
        </row>
        <row r="3602">
          <cell r="A3602" t="str">
            <v>GRMZM2G066441</v>
          </cell>
          <cell r="B3602" t="str">
            <v>GO:0004497GO:0020037GO:0009055</v>
          </cell>
        </row>
        <row r="3603">
          <cell r="A3603" t="str">
            <v>GRMZM2G162527</v>
          </cell>
          <cell r="B3603" t="str">
            <v>GO:0003779GO:0008152GO:0016491</v>
          </cell>
        </row>
        <row r="3604">
          <cell r="A3604" t="str">
            <v>GRMZM2G007277</v>
          </cell>
          <cell r="B3604" t="str">
            <v>GO:0005978GO:0004135</v>
          </cell>
        </row>
        <row r="3605">
          <cell r="A3605" t="str">
            <v>GRMZM2G176595</v>
          </cell>
          <cell r="B3605" t="str">
            <v>GO:0005576GO:0019953</v>
          </cell>
        </row>
        <row r="3606">
          <cell r="A3606" t="str">
            <v>GRMZM2G368411</v>
          </cell>
          <cell r="B3606" t="str">
            <v>GO:0005506GO:0016491</v>
          </cell>
        </row>
        <row r="3607">
          <cell r="A3607" t="str">
            <v>GRMZM2G080107</v>
          </cell>
          <cell r="B3607" t="str">
            <v>GO:0009522GO:0042651GO:0016021GO:0004969GO:0005515GO:0007186GO:0015979</v>
          </cell>
        </row>
        <row r="3608">
          <cell r="A3608" t="str">
            <v>GRMZM2G129585</v>
          </cell>
          <cell r="B3608" t="str">
            <v>GO:0008270GO:0005515</v>
          </cell>
        </row>
        <row r="3609">
          <cell r="A3609" t="str">
            <v>GRMZM2G361847</v>
          </cell>
          <cell r="B3609" t="str">
            <v>GO:0003700GO:0006355GO:0046983GO:0005634GO:0043565</v>
          </cell>
        </row>
        <row r="3610">
          <cell r="A3610" t="str">
            <v>GRMZM2G140609</v>
          </cell>
          <cell r="B3610" t="str">
            <v>GO:0003735GO:0006412GO:0015935</v>
          </cell>
        </row>
        <row r="3611">
          <cell r="A3611" t="str">
            <v>GRMZM2G351259</v>
          </cell>
          <cell r="B3611" t="str">
            <v>GO:0004497GO:0020037GO:0009055</v>
          </cell>
        </row>
        <row r="3612">
          <cell r="A3612" t="str">
            <v>GRMZM2G324157</v>
          </cell>
          <cell r="B3612" t="str">
            <v>GO:0004674GO:0006468GO:0004713GO:0005524</v>
          </cell>
        </row>
        <row r="3613">
          <cell r="A3613" t="str">
            <v>GRMZM2G158083</v>
          </cell>
          <cell r="B3613" t="str">
            <v>GO:0016747</v>
          </cell>
        </row>
        <row r="3614">
          <cell r="A3614" t="str">
            <v>GRMZM2G135165</v>
          </cell>
          <cell r="B3614" t="str">
            <v>GO:0005840GO:0016021GO:0003735GO:0050825GO:0042309GO:0050826GO:0007186GO:0006412</v>
          </cell>
        </row>
        <row r="3615">
          <cell r="A3615" t="str">
            <v>GRMZM2G155058</v>
          </cell>
          <cell r="B3615" t="str">
            <v>GO:0016787</v>
          </cell>
        </row>
        <row r="3616">
          <cell r="A3616" t="str">
            <v>GRMZM2G162453</v>
          </cell>
          <cell r="B3616" t="str">
            <v>GO:0004252GO:0050825GO:0042309GO:0050826GO:0006508GO:0043086GO:0042802</v>
          </cell>
        </row>
        <row r="3617">
          <cell r="A3617" t="str">
            <v>GRMZM2G335287</v>
          </cell>
          <cell r="B3617" t="str">
            <v>GO:0032012GO:0005086GO:0005488GO:0005622</v>
          </cell>
        </row>
        <row r="3618">
          <cell r="A3618" t="str">
            <v>GRMZM2G056988</v>
          </cell>
          <cell r="B3618" t="str">
            <v>GO:0031072GO:0006457GO:0051082</v>
          </cell>
        </row>
        <row r="3619">
          <cell r="A3619" t="str">
            <v>GRMZM2G042789</v>
          </cell>
          <cell r="B3619" t="str">
            <v>GO:0009611GO:0004867</v>
          </cell>
        </row>
        <row r="3620">
          <cell r="A3620" t="str">
            <v>GRMZM2G082520</v>
          </cell>
          <cell r="B3620" t="str">
            <v>GO:0005576GO:0019953</v>
          </cell>
        </row>
        <row r="3621">
          <cell r="A3621" t="str">
            <v>GRMZM2G163325</v>
          </cell>
          <cell r="B3621" t="str">
            <v>GO:0003924GO:0005525</v>
          </cell>
        </row>
        <row r="3622">
          <cell r="A3622" t="str">
            <v>GRMZM2G131243</v>
          </cell>
          <cell r="B3622" t="str">
            <v>GO:0003854GO:0050662GO:0006694</v>
          </cell>
        </row>
        <row r="3623">
          <cell r="A3623" t="str">
            <v>GRMZM2G164440</v>
          </cell>
          <cell r="B3623" t="str">
            <v>GO:0050825GO:0042309GO:0050826</v>
          </cell>
        </row>
        <row r="3624">
          <cell r="A3624" t="str">
            <v>GRMZM2G127379</v>
          </cell>
          <cell r="B3624" t="str">
            <v>GO:0045449GO:0003677</v>
          </cell>
        </row>
        <row r="3625">
          <cell r="A3625" t="str">
            <v>GRMZM2G063244</v>
          </cell>
          <cell r="B3625" t="str">
            <v>GO:0003755</v>
          </cell>
        </row>
        <row r="3626">
          <cell r="A3626" t="str">
            <v>GRMZM2G410916</v>
          </cell>
          <cell r="B3626" t="str">
            <v>GO:0016757</v>
          </cell>
        </row>
        <row r="3627">
          <cell r="A3627" t="str">
            <v>GRMZM2G462613</v>
          </cell>
          <cell r="B3627" t="str">
            <v>GO:0009058GO:0046524GO:0005985</v>
          </cell>
        </row>
        <row r="3628">
          <cell r="A3628" t="str">
            <v>GRMZM2G009715</v>
          </cell>
          <cell r="B3628" t="str">
            <v>GO:0042309GO:0006813GO:0016021GO:0015299GO:0003824GO:0050825GO:0008152GO:0050826</v>
          </cell>
        </row>
        <row r="3629">
          <cell r="A3629" t="str">
            <v>GRMZM2G127374</v>
          </cell>
          <cell r="B3629" t="str">
            <v>GO:0005515GO:0008138GO:0006470GO:0050825GO:0042309GO:0050826</v>
          </cell>
        </row>
        <row r="3630">
          <cell r="A3630" t="str">
            <v>GRMZM2G125923</v>
          </cell>
          <cell r="B3630" t="str">
            <v>GO:0004664GO:0009094</v>
          </cell>
        </row>
        <row r="3631">
          <cell r="A3631" t="str">
            <v>GRMZM2G048801</v>
          </cell>
          <cell r="B3631" t="str">
            <v>GO:0004674GO:0006468GO:0005524GO:0005515GO:0004713</v>
          </cell>
        </row>
        <row r="3632">
          <cell r="A3632" t="str">
            <v>GRMZM2G126956</v>
          </cell>
          <cell r="B3632" t="str">
            <v>GO:0008270GO:0003676</v>
          </cell>
        </row>
        <row r="3633">
          <cell r="A3633" t="str">
            <v>GRMZM2G069911</v>
          </cell>
          <cell r="B3633" t="str">
            <v>GO:0006334GO:0003677GO:0005634GO:0000786</v>
          </cell>
        </row>
        <row r="3634">
          <cell r="A3634" t="str">
            <v>GRMZM2G071089</v>
          </cell>
          <cell r="B3634" t="str">
            <v>GO:0003735GO:0016020GO:0006412GO:0005840</v>
          </cell>
        </row>
        <row r="3635">
          <cell r="A3635" t="str">
            <v>GRMZM2G016066</v>
          </cell>
          <cell r="B3635" t="str">
            <v>GO:0003824GO:0009536GO:0015979GO:0009538</v>
          </cell>
        </row>
        <row r="3636">
          <cell r="A3636" t="str">
            <v>GRMZM2G116520</v>
          </cell>
          <cell r="B3636" t="str">
            <v>GO:0005576GO:0004867</v>
          </cell>
        </row>
        <row r="3637">
          <cell r="A3637" t="str">
            <v>GRMZM2G164020</v>
          </cell>
          <cell r="B3637" t="str">
            <v>GO:0005840GO:0006334GO:0003677GO:0005199GO:0006412GO:0003735GO:0000786GO:0005634</v>
          </cell>
        </row>
        <row r="3638">
          <cell r="A3638" t="str">
            <v>GRMZM2G072280</v>
          </cell>
          <cell r="B3638" t="str">
            <v>GO:0016020GO:0009765</v>
          </cell>
        </row>
        <row r="3639">
          <cell r="A3639" t="str">
            <v>GRMZM2G091006</v>
          </cell>
          <cell r="B3639" t="str">
            <v>GO:0004519GO:0005622GO:0003677GO:0006281</v>
          </cell>
        </row>
        <row r="3640">
          <cell r="A3640" t="str">
            <v>GRMZM2G456960</v>
          </cell>
          <cell r="B3640" t="str">
            <v>GO:0050826GO:0050825GO:0042309GO:0003677</v>
          </cell>
        </row>
        <row r="3641">
          <cell r="A3641" t="str">
            <v>GRMZM2G012814</v>
          </cell>
          <cell r="B3641" t="str">
            <v>GO:0005737GO:0005094</v>
          </cell>
        </row>
        <row r="3642">
          <cell r="A3642" t="str">
            <v>GRMZM2G134107</v>
          </cell>
          <cell r="B3642" t="str">
            <v>GO:0003735GO:0006412GO:0005840</v>
          </cell>
        </row>
        <row r="3643">
          <cell r="A3643" t="str">
            <v>GRMZM2G164202</v>
          </cell>
          <cell r="B3643" t="str">
            <v>GO:0016021GO:0004966GO:0007186</v>
          </cell>
        </row>
        <row r="3644">
          <cell r="A3644" t="str">
            <v>GRMZM2G090842</v>
          </cell>
          <cell r="B3644" t="str">
            <v>GO:0016597GO:0008152</v>
          </cell>
        </row>
        <row r="3645">
          <cell r="A3645" t="str">
            <v>GRMZM2G431039</v>
          </cell>
          <cell r="B3645" t="str">
            <v>GO:0005975GO:0004553</v>
          </cell>
        </row>
        <row r="3646">
          <cell r="A3646" t="str">
            <v>GRMZM2G389567</v>
          </cell>
          <cell r="B3646" t="str">
            <v>GO:0005634GO:0045449GO:0030528</v>
          </cell>
        </row>
        <row r="3647">
          <cell r="A3647" t="str">
            <v>GRMZM2G028492</v>
          </cell>
          <cell r="B3647" t="str">
            <v>GO:0008270GO:0003676GO:0005199</v>
          </cell>
        </row>
        <row r="3648">
          <cell r="A3648" t="str">
            <v>GRMZM2G308707</v>
          </cell>
          <cell r="B3648" t="str">
            <v>GO:0005975GO:0004553</v>
          </cell>
        </row>
        <row r="3649">
          <cell r="A3649" t="str">
            <v>GRMZM2G125850</v>
          </cell>
          <cell r="B3649" t="str">
            <v>GO:0005215GO:0016021GO:0006810GO:0050825GO:0042309GO:0050826</v>
          </cell>
        </row>
        <row r="3650">
          <cell r="A3650" t="str">
            <v>GRMZM2G065374</v>
          </cell>
          <cell r="B3650" t="str">
            <v>GO:0005634GO:0045449GO:0030528</v>
          </cell>
        </row>
        <row r="3651">
          <cell r="A3651" t="str">
            <v>GRMZM2G171466</v>
          </cell>
          <cell r="B3651" t="str">
            <v>GO:0007155GO:0001503</v>
          </cell>
        </row>
        <row r="3652">
          <cell r="A3652" t="str">
            <v>GRMZM2G300801</v>
          </cell>
          <cell r="B3652" t="str">
            <v>GO:0006564GO:0050825GO:0042309GO:0050826</v>
          </cell>
        </row>
        <row r="3653">
          <cell r="A3653" t="str">
            <v>GRMZM2G064993</v>
          </cell>
          <cell r="B3653" t="str">
            <v>GO:0005544GO:0006265GO:0005509GO:0005694GO:0003918GO:0005524</v>
          </cell>
        </row>
        <row r="3654">
          <cell r="A3654" t="str">
            <v>GRMZM2G026147</v>
          </cell>
          <cell r="B3654" t="str">
            <v>GO:0005576GO:0019953</v>
          </cell>
        </row>
        <row r="3655">
          <cell r="A3655" t="str">
            <v>GRMZM2G037128</v>
          </cell>
          <cell r="B3655" t="str">
            <v>GO:0003677GO:0046914GO:0016491</v>
          </cell>
        </row>
        <row r="3656">
          <cell r="A3656" t="str">
            <v>GRMZM2G091481</v>
          </cell>
          <cell r="B3656" t="str">
            <v>GO:0009306GO:0045454GO:0016853GO:0005788</v>
          </cell>
        </row>
        <row r="3657">
          <cell r="A3657" t="str">
            <v>GRMZM2G067476</v>
          </cell>
          <cell r="B3657" t="str">
            <v>GO:0016021GO:0005576GO:0005783</v>
          </cell>
        </row>
        <row r="3658">
          <cell r="A3658" t="str">
            <v>GRMZM2G168115</v>
          </cell>
          <cell r="B3658" t="str">
            <v>GO:0006508GO:0004190</v>
          </cell>
        </row>
        <row r="3659">
          <cell r="A3659" t="str">
            <v>GRMZM2G012966</v>
          </cell>
          <cell r="B3659" t="str">
            <v>GO:0006468GO:0009331GO:0016705GO:0004368GO:0004674GO:0006950GO:0004713GO:0006072GO:0016117GO:0005524</v>
          </cell>
        </row>
        <row r="3660">
          <cell r="A3660" t="str">
            <v>GRMZM2G153068</v>
          </cell>
          <cell r="B3660" t="str">
            <v>GO:0031072GO:0006457GO:0051082</v>
          </cell>
        </row>
        <row r="3661">
          <cell r="A3661" t="str">
            <v>GRMZM2G096591</v>
          </cell>
          <cell r="B3661" t="str">
            <v>GO:0005975GO:0004553</v>
          </cell>
        </row>
        <row r="3662">
          <cell r="A3662" t="str">
            <v>GRMZM2G022645</v>
          </cell>
          <cell r="B3662" t="str">
            <v>GO:0004674GO:0006468GO:0004713GO:0005524GO:0016998</v>
          </cell>
        </row>
        <row r="3663">
          <cell r="A3663" t="str">
            <v>GRMZM2G054361</v>
          </cell>
          <cell r="B3663" t="str">
            <v>GO:0016847GO:0009058GO:0030170GO:0016769</v>
          </cell>
        </row>
        <row r="3664">
          <cell r="A3664" t="str">
            <v>GRMZM2G313104</v>
          </cell>
          <cell r="B3664" t="str">
            <v>GO:0050825GO:0042309GO:0050826</v>
          </cell>
        </row>
        <row r="3665">
          <cell r="A3665" t="str">
            <v>GRMZM2G124532</v>
          </cell>
          <cell r="B3665" t="str">
            <v>GO:0008020GO:0006355GO:0007600GO:0018298GO:0007165</v>
          </cell>
        </row>
        <row r="3666">
          <cell r="A3666" t="str">
            <v>GRMZM2G479760</v>
          </cell>
          <cell r="B3666" t="str">
            <v>GO:0003700GO:0006355GO:0016021GO:0007186GO:0043565</v>
          </cell>
        </row>
        <row r="3667">
          <cell r="A3667" t="str">
            <v>GRMZM2G014240</v>
          </cell>
          <cell r="B3667" t="str">
            <v>GO:0016020GO:0015992GO:0009678GO:0004427</v>
          </cell>
        </row>
        <row r="3668">
          <cell r="A3668" t="str">
            <v>GRMZM2G151934</v>
          </cell>
          <cell r="B3668" t="str">
            <v>GO:0008270</v>
          </cell>
        </row>
        <row r="3669">
          <cell r="A3669" t="str">
            <v>GRMZM2G068316</v>
          </cell>
          <cell r="B3669" t="str">
            <v>GO:0031072GO:0006457GO:0051082</v>
          </cell>
        </row>
        <row r="3670">
          <cell r="A3670" t="str">
            <v>GRMZM2G004060</v>
          </cell>
          <cell r="B3670" t="str">
            <v>GO:0003700GO:0043565GO:0005634GO:0045449</v>
          </cell>
        </row>
        <row r="3671">
          <cell r="A3671" t="str">
            <v>GRMZM2G044128</v>
          </cell>
          <cell r="B3671" t="str">
            <v>GO:0001522GO:0003723GO:0009982</v>
          </cell>
        </row>
        <row r="3672">
          <cell r="A3672" t="str">
            <v>GRMZM2G119516</v>
          </cell>
          <cell r="B3672" t="str">
            <v>GO:0016021</v>
          </cell>
        </row>
        <row r="3673">
          <cell r="A3673" t="str">
            <v>GRMZM2G033226</v>
          </cell>
          <cell r="B3673" t="str">
            <v>GO:0003824GO:0005488GO:0008152</v>
          </cell>
        </row>
        <row r="3674">
          <cell r="A3674" t="str">
            <v>GRMZM2G368886</v>
          </cell>
          <cell r="B3674" t="str">
            <v>GO:0009664GO:0005576</v>
          </cell>
        </row>
        <row r="3675">
          <cell r="A3675" t="str">
            <v>GRMZM2G157197</v>
          </cell>
          <cell r="B3675" t="str">
            <v>GO:0050826GO:0050825GO:0008270GO:0042309GO:0005622</v>
          </cell>
        </row>
        <row r="3676">
          <cell r="A3676" t="str">
            <v>GRMZM2G404973</v>
          </cell>
          <cell r="B3676" t="str">
            <v>GO:0003700GO:0006355GO:0005634GO:0008270GO:0043565</v>
          </cell>
        </row>
        <row r="3677">
          <cell r="A3677" t="str">
            <v>GRMZM2G136857</v>
          </cell>
          <cell r="B3677" t="str">
            <v>GO:0008168</v>
          </cell>
        </row>
        <row r="3678">
          <cell r="A3678" t="str">
            <v>GRMZM2G399073</v>
          </cell>
          <cell r="B3678" t="str">
            <v>GO:0006457GO:0051082GO:0005524</v>
          </cell>
        </row>
        <row r="3679">
          <cell r="A3679" t="str">
            <v>GRMZM2G104310</v>
          </cell>
          <cell r="B3679" t="str">
            <v>GO:0006544GO:0004375</v>
          </cell>
        </row>
        <row r="3680">
          <cell r="A3680" t="str">
            <v>GRMZM2G094990</v>
          </cell>
          <cell r="B3680" t="str">
            <v>GO:0005576GO:0019953</v>
          </cell>
        </row>
        <row r="3681">
          <cell r="A3681" t="str">
            <v>GRMZM2G042893</v>
          </cell>
          <cell r="B3681" t="str">
            <v>GO:0005634GO:0045449GO:0030528</v>
          </cell>
        </row>
        <row r="3682">
          <cell r="A3682" t="str">
            <v>GRMZM2G105791</v>
          </cell>
          <cell r="B3682" t="str">
            <v>GO:0009250GO:0009011</v>
          </cell>
        </row>
        <row r="3683">
          <cell r="A3683" t="str">
            <v>GRMZM2G051276</v>
          </cell>
          <cell r="B3683" t="str">
            <v>GO:0004437GO:0005975</v>
          </cell>
        </row>
        <row r="3684">
          <cell r="A3684" t="str">
            <v>GRMZM2G057823</v>
          </cell>
          <cell r="B3684" t="str">
            <v>GO:0006096GO:0004332</v>
          </cell>
        </row>
        <row r="3685">
          <cell r="A3685" t="str">
            <v>GRMZM2G048200</v>
          </cell>
          <cell r="B3685" t="str">
            <v>GO:0006629GO:0016788</v>
          </cell>
        </row>
        <row r="3686">
          <cell r="A3686" t="str">
            <v>GRMZM2G153476</v>
          </cell>
          <cell r="B3686" t="str">
            <v>GO:0003735GO:0005840GO:0006412GO:0003723</v>
          </cell>
        </row>
        <row r="3687">
          <cell r="A3687" t="str">
            <v>GRMZM2G077258</v>
          </cell>
          <cell r="B3687" t="str">
            <v>GO:0030785GO:0009507</v>
          </cell>
        </row>
        <row r="3688">
          <cell r="A3688" t="str">
            <v>GRMZM2G068220</v>
          </cell>
          <cell r="B3688" t="str">
            <v>GO:0005215GO:0016020GO:0006810</v>
          </cell>
        </row>
        <row r="3689">
          <cell r="A3689" t="str">
            <v>GRMZM2G327564</v>
          </cell>
          <cell r="B3689" t="str">
            <v>GO:0003735GO:0015934GO:0006412</v>
          </cell>
        </row>
        <row r="3690">
          <cell r="A3690" t="str">
            <v>GRMZM2G061135</v>
          </cell>
          <cell r="B3690" t="str">
            <v>GO:0006730GO:0004478GO:0005524</v>
          </cell>
        </row>
        <row r="3691">
          <cell r="A3691" t="str">
            <v>GRMZM2G062333</v>
          </cell>
          <cell r="B3691" t="str">
            <v>GO:0005634GO:0006270GO:0017111GO:0005524GO:0003677</v>
          </cell>
        </row>
        <row r="3692">
          <cell r="A3692" t="str">
            <v>GRMZM2G032409</v>
          </cell>
          <cell r="B3692" t="str">
            <v>GO:0006468GO:0005783GO:0006486GO:0016021GO:0004714GO:0007169GO:0004579GO:0005524</v>
          </cell>
        </row>
        <row r="3693">
          <cell r="A3693" t="str">
            <v>GRMZM2G099467</v>
          </cell>
          <cell r="B3693" t="str">
            <v>GO:0005506GO:0016491</v>
          </cell>
        </row>
        <row r="3694">
          <cell r="A3694" t="str">
            <v>GRMZM2G455817</v>
          </cell>
          <cell r="B3694" t="str">
            <v>GO:0006813GO:0016020GO:0015079</v>
          </cell>
        </row>
        <row r="3695">
          <cell r="A3695" t="str">
            <v>GRMZM2G078143</v>
          </cell>
          <cell r="B3695" t="str">
            <v>GO:0006544GO:0004372GO:0006563</v>
          </cell>
        </row>
        <row r="3696">
          <cell r="A3696" t="str">
            <v>GRMZM2G079949</v>
          </cell>
          <cell r="B3696" t="str">
            <v>GO:0016787GO:0008152</v>
          </cell>
        </row>
        <row r="3697">
          <cell r="A3697" t="str">
            <v>GRMZM2G341959</v>
          </cell>
          <cell r="B3697" t="str">
            <v>GO:0008146</v>
          </cell>
        </row>
        <row r="3698">
          <cell r="A3698" t="str">
            <v>GRMZM2G152059</v>
          </cell>
          <cell r="B3698" t="str">
            <v>GO:0006355GO:0005634GO:0005529GO:0004879GO:0003677</v>
          </cell>
        </row>
        <row r="3699">
          <cell r="A3699" t="str">
            <v>GRMZM2G080450</v>
          </cell>
          <cell r="B3699" t="str">
            <v>GO:0015297GO:0016020GO:0006855GO:0015238GO:0006835GO:0017153</v>
          </cell>
        </row>
        <row r="3700">
          <cell r="A3700" t="str">
            <v>GRMZM2G396477</v>
          </cell>
          <cell r="B3700" t="str">
            <v>GO:0005488</v>
          </cell>
        </row>
        <row r="3701">
          <cell r="A3701" t="str">
            <v>GRMZM2G409133</v>
          </cell>
          <cell r="B3701" t="str">
            <v>GO:0009055GO:0005488GO:0008152GO:0016491</v>
          </cell>
        </row>
        <row r="3702">
          <cell r="A3702" t="str">
            <v>GRMZM2G118172</v>
          </cell>
          <cell r="B3702" t="str">
            <v>GO:0050825GO:0042309GO:0050826</v>
          </cell>
        </row>
        <row r="3703">
          <cell r="A3703" t="str">
            <v>GRMZM2G441347</v>
          </cell>
          <cell r="B3703" t="str">
            <v>GO:0005737GO:0009058GO:0016841GO:0016211GO:0006559</v>
          </cell>
        </row>
        <row r="3704">
          <cell r="A3704" t="str">
            <v>GRMZM2G019106</v>
          </cell>
          <cell r="B3704" t="str">
            <v>GO:0003700GO:0006355GO:0046983GO:0005634GO:0043565</v>
          </cell>
        </row>
        <row r="3705">
          <cell r="A3705" t="str">
            <v>GRMZM2G034794</v>
          </cell>
          <cell r="B3705" t="str">
            <v>GO:0003735GO:0006412GO:0005840</v>
          </cell>
        </row>
        <row r="3706">
          <cell r="A3706" t="str">
            <v>GRMZM2G119773</v>
          </cell>
          <cell r="B3706" t="str">
            <v>GO:0005737GO:0051258GO:0007017GO:0003924GO:0005874GO:0005525</v>
          </cell>
        </row>
        <row r="3707">
          <cell r="A3707" t="str">
            <v>GRMZM2G016480</v>
          </cell>
          <cell r="B3707" t="str">
            <v>GO:0004674GO:0006468GO:0005524GO:0005515GO:0004713</v>
          </cell>
        </row>
        <row r="3708">
          <cell r="A3708" t="str">
            <v>GRMZM2G133359</v>
          </cell>
          <cell r="B3708" t="str">
            <v>GO:0006535GO:0030170GO:0003824</v>
          </cell>
        </row>
        <row r="3709">
          <cell r="A3709" t="str">
            <v>GRMZM2G440968</v>
          </cell>
          <cell r="B3709" t="str">
            <v>GO:0004869</v>
          </cell>
        </row>
        <row r="3710">
          <cell r="A3710" t="str">
            <v>GRMZM2G061912</v>
          </cell>
          <cell r="B3710" t="str">
            <v>GO:0016491GO:0008134GO:0003924GO:0006913GO:0005622GO:0006355GO:0007264GO:0006886GO:0005524GO:0005525</v>
          </cell>
        </row>
        <row r="3711">
          <cell r="A3711" t="str">
            <v>GRMZM2G358153</v>
          </cell>
          <cell r="B3711" t="str">
            <v>GO:0004568GO:0006032</v>
          </cell>
        </row>
        <row r="3712">
          <cell r="A3712" t="str">
            <v>GRMZM2G375504</v>
          </cell>
          <cell r="B3712" t="str">
            <v>GO:0005737GO:0004349GO:0004350GO:0006561</v>
          </cell>
        </row>
        <row r="3713">
          <cell r="A3713" t="str">
            <v>GRMZM2G405385</v>
          </cell>
          <cell r="B3713" t="str">
            <v>GO:0005576GO:0050825GO:0042309GO:0050826</v>
          </cell>
        </row>
        <row r="3714">
          <cell r="A3714" t="str">
            <v>GRMZM2G401436</v>
          </cell>
          <cell r="B3714" t="str">
            <v>GO:0008270GO:0005515</v>
          </cell>
        </row>
        <row r="3715">
          <cell r="A3715" t="str">
            <v>GRMZM2G392168</v>
          </cell>
          <cell r="B3715" t="str">
            <v>GO:0006355GO:0005634GO:0004879GO:0003677</v>
          </cell>
        </row>
        <row r="3716">
          <cell r="A3716" t="str">
            <v>GRMZM2G163826</v>
          </cell>
          <cell r="B3716" t="str">
            <v>GO:0016308GO:0046488GO:0005524</v>
          </cell>
        </row>
        <row r="3717">
          <cell r="A3717" t="str">
            <v>GRMZM2G143258</v>
          </cell>
          <cell r="B3717" t="str">
            <v>GO:0003824</v>
          </cell>
        </row>
        <row r="3718">
          <cell r="A3718" t="str">
            <v>GRMZM2G065585</v>
          </cell>
          <cell r="B3718" t="str">
            <v>GO:0016020GO:0005975GO:0004553</v>
          </cell>
        </row>
        <row r="3719">
          <cell r="A3719" t="str">
            <v>GRMZM2G159160</v>
          </cell>
          <cell r="B3719" t="str">
            <v>GO:0016020</v>
          </cell>
        </row>
        <row r="3720">
          <cell r="A3720" t="str">
            <v>GRMZM2G118005</v>
          </cell>
          <cell r="B3720" t="str">
            <v>GO:0003735GO:0006412GO:0005840</v>
          </cell>
        </row>
        <row r="3721">
          <cell r="A3721" t="str">
            <v>GRMZM2G034243</v>
          </cell>
          <cell r="B3721" t="str">
            <v>GO:0003824GO:0005975GO:0030246</v>
          </cell>
        </row>
        <row r="3722">
          <cell r="A3722" t="str">
            <v>GRMZM2G118003</v>
          </cell>
          <cell r="B3722" t="str">
            <v>GO:0005975GO:0004553</v>
          </cell>
        </row>
        <row r="3723">
          <cell r="A3723" t="str">
            <v>GRMZM2G087459</v>
          </cell>
          <cell r="B3723" t="str">
            <v>GO:0004674GO:0006468GO:0004713GO:0005524</v>
          </cell>
        </row>
        <row r="3724">
          <cell r="A3724" t="str">
            <v>GRMZM2G056335</v>
          </cell>
          <cell r="B3724" t="str">
            <v>GO:0016758GO:0008152</v>
          </cell>
        </row>
        <row r="3725">
          <cell r="A3725" t="str">
            <v>GRMZM2G124759</v>
          </cell>
          <cell r="B3725" t="str">
            <v>GO:0004806GO:0006629</v>
          </cell>
        </row>
        <row r="3726">
          <cell r="A3726" t="str">
            <v>GRMZM2G118959</v>
          </cell>
          <cell r="B3726" t="str">
            <v>GO:0016020GO:0015018</v>
          </cell>
        </row>
        <row r="3727">
          <cell r="A3727" t="str">
            <v>GRMZM2G001953</v>
          </cell>
          <cell r="B3727" t="str">
            <v>GO:0006886GO:0003924GO:0006913GO:0005622GO:0005515GO:0007264GO:0005525</v>
          </cell>
        </row>
        <row r="3728">
          <cell r="A3728" t="str">
            <v>GRMZM2G001956</v>
          </cell>
          <cell r="B3728" t="str">
            <v>GO:0006457</v>
          </cell>
        </row>
        <row r="3729">
          <cell r="A3729" t="str">
            <v>GRMZM2G117609</v>
          </cell>
          <cell r="B3729" t="str">
            <v>GO:0008967GO:0008152</v>
          </cell>
        </row>
        <row r="3730">
          <cell r="A3730" t="str">
            <v>GRMZM2G311919</v>
          </cell>
          <cell r="B3730" t="str">
            <v>GO:0045430GO:0009813</v>
          </cell>
        </row>
        <row r="3731">
          <cell r="A3731" t="str">
            <v>GRMZM2G074759</v>
          </cell>
          <cell r="B3731" t="str">
            <v>GO:0003824GO:0008152</v>
          </cell>
        </row>
        <row r="3732">
          <cell r="A3732" t="str">
            <v>GRMZM2G113093</v>
          </cell>
          <cell r="B3732" t="str">
            <v>GO:0017111GO:0006614GO:0008312GO:0048500GO:0007264GO:0005524GO:0005525</v>
          </cell>
        </row>
        <row r="3733">
          <cell r="A3733" t="str">
            <v>GRMZM2G132995</v>
          </cell>
          <cell r="B3733" t="str">
            <v>GO:0015297GO:0016020GO:0006855GO:0015238</v>
          </cell>
        </row>
        <row r="3734">
          <cell r="A3734" t="str">
            <v>GRMZM2G038153</v>
          </cell>
          <cell r="B3734" t="str">
            <v>GO:0016829GO:0000287GO:0008152</v>
          </cell>
        </row>
        <row r="3735">
          <cell r="A3735" t="str">
            <v>GRMZM2G154667</v>
          </cell>
          <cell r="B3735" t="str">
            <v>GO:0008137GO:0006413GO:0003723GO:0003743</v>
          </cell>
        </row>
        <row r="3736">
          <cell r="A3736" t="str">
            <v>AC199526.5_FG002</v>
          </cell>
          <cell r="B3736" t="str">
            <v>GO:0006730GO:0004478GO:0005524</v>
          </cell>
        </row>
        <row r="3737">
          <cell r="A3737" t="str">
            <v>GRMZM2G047095</v>
          </cell>
          <cell r="B3737" t="str">
            <v>GO:0006783GO:0004325</v>
          </cell>
        </row>
        <row r="3738">
          <cell r="A3738" t="str">
            <v>GRMZM2G058595</v>
          </cell>
          <cell r="B3738" t="str">
            <v>GO:0005515</v>
          </cell>
        </row>
        <row r="3739">
          <cell r="A3739" t="str">
            <v>GRMZM2G405094</v>
          </cell>
          <cell r="B3739" t="str">
            <v>GO:0003677</v>
          </cell>
        </row>
        <row r="3740">
          <cell r="A3740" t="str">
            <v>GRMZM2G169562</v>
          </cell>
          <cell r="B3740" t="str">
            <v>GO:0004806GO:0006629</v>
          </cell>
        </row>
        <row r="3741">
          <cell r="A3741" t="str">
            <v>GRMZM2G162200</v>
          </cell>
          <cell r="B3741" t="str">
            <v>GO:0005524</v>
          </cell>
        </row>
        <row r="3742">
          <cell r="A3742" t="str">
            <v>GRMZM2G044383</v>
          </cell>
          <cell r="B3742" t="str">
            <v>GO:0005737GO:0004364GO:0008152</v>
          </cell>
        </row>
        <row r="3743">
          <cell r="A3743" t="str">
            <v>GRMZM2G030494</v>
          </cell>
          <cell r="B3743" t="str">
            <v>GO:0006457</v>
          </cell>
        </row>
        <row r="3744">
          <cell r="A3744" t="str">
            <v>GRMZM2G156937</v>
          </cell>
          <cell r="B3744" t="str">
            <v>GO:0032968GO:0003711</v>
          </cell>
        </row>
        <row r="3745">
          <cell r="A3745" t="str">
            <v>GRMZM2G057554</v>
          </cell>
          <cell r="B3745" t="str">
            <v>GO:0008080GO:0008152</v>
          </cell>
        </row>
        <row r="3746">
          <cell r="A3746" t="str">
            <v>GRMZM2G152908</v>
          </cell>
          <cell r="B3746" t="str">
            <v>GO:0009058GO:0016157GO:0005985</v>
          </cell>
        </row>
        <row r="3747">
          <cell r="A3747" t="str">
            <v>GRMZM2G085872</v>
          </cell>
          <cell r="B3747" t="str">
            <v>GO:0016021</v>
          </cell>
        </row>
        <row r="3748">
          <cell r="A3748" t="str">
            <v>GRMZM2G129804</v>
          </cell>
          <cell r="B3748" t="str">
            <v>GO:0005737GO:0003746GO:0006414</v>
          </cell>
        </row>
        <row r="3749">
          <cell r="A3749" t="str">
            <v>GRMZM2G158147</v>
          </cell>
          <cell r="B3749" t="str">
            <v>GO:0000103GO:0004781</v>
          </cell>
        </row>
        <row r="3750">
          <cell r="A3750" t="str">
            <v>GRMZM2G015804</v>
          </cell>
          <cell r="B3750" t="str">
            <v>GO:0005975GO:0004553</v>
          </cell>
        </row>
        <row r="3751">
          <cell r="A3751" t="str">
            <v>GRMZM2G014400</v>
          </cell>
          <cell r="B3751" t="str">
            <v>GO:0003676</v>
          </cell>
        </row>
        <row r="3752">
          <cell r="A3752" t="str">
            <v>GRMZM2G331393</v>
          </cell>
          <cell r="B3752" t="str">
            <v>GO:0016021</v>
          </cell>
        </row>
        <row r="3753">
          <cell r="A3753" t="str">
            <v>GRMZM2G410865</v>
          </cell>
          <cell r="B3753" t="str">
            <v>GO:0003824GO:0005488GO:0008152</v>
          </cell>
        </row>
        <row r="3754">
          <cell r="A3754" t="str">
            <v>GRMZM2G011479</v>
          </cell>
          <cell r="B3754" t="str">
            <v>GO:0006813GO:0008076GO:0005249</v>
          </cell>
        </row>
        <row r="3755">
          <cell r="A3755" t="str">
            <v>GRMZM2G007256</v>
          </cell>
          <cell r="B3755" t="str">
            <v>GO:0016021GO:0007186</v>
          </cell>
        </row>
        <row r="3756">
          <cell r="A3756" t="str">
            <v>GRMZM2G036880</v>
          </cell>
          <cell r="B3756" t="str">
            <v>GO:0016020GO:0009765</v>
          </cell>
        </row>
        <row r="3757">
          <cell r="A3757" t="str">
            <v>GRMZM2G079616</v>
          </cell>
          <cell r="B3757" t="str">
            <v>GO:0016747</v>
          </cell>
        </row>
        <row r="3758">
          <cell r="A3758" t="str">
            <v>GRMZM2G099860</v>
          </cell>
          <cell r="B3758" t="str">
            <v>GO:0003824GO:0005992</v>
          </cell>
        </row>
        <row r="3759">
          <cell r="A3759" t="str">
            <v>GRMZM2G043154</v>
          </cell>
          <cell r="B3759" t="str">
            <v>GO:0016747</v>
          </cell>
        </row>
        <row r="3760">
          <cell r="A3760" t="str">
            <v>GRMZM2G386113</v>
          </cell>
          <cell r="B3760" t="str">
            <v>GO:0008270GO:0005515</v>
          </cell>
        </row>
        <row r="3761">
          <cell r="A3761" t="str">
            <v>GRMZM2G428379</v>
          </cell>
          <cell r="B3761" t="str">
            <v>GO:0004930GO:0016021GO:0006810GO:0005234GO:0030288GO:0004965GO:0007186GO:0004970</v>
          </cell>
        </row>
        <row r="3762">
          <cell r="A3762" t="str">
            <v>GRMZM2G083841</v>
          </cell>
          <cell r="B3762" t="str">
            <v>GO:0006099GO:0008964</v>
          </cell>
        </row>
        <row r="3763">
          <cell r="A3763" t="str">
            <v>GRMZM2G003937</v>
          </cell>
          <cell r="B3763" t="str">
            <v>GO:0016021GO:0007186</v>
          </cell>
        </row>
        <row r="3764">
          <cell r="A3764" t="str">
            <v>GRMZM2G090271</v>
          </cell>
          <cell r="B3764" t="str">
            <v>GO:0005737GO:0005634GO:0003723GO:0006396</v>
          </cell>
        </row>
        <row r="3765">
          <cell r="A3765" t="str">
            <v>GRMZM2G013214</v>
          </cell>
          <cell r="B3765" t="str">
            <v>GO:0050826GO:0050825GO:0042309GO:0008152GO:0016491</v>
          </cell>
        </row>
        <row r="3766">
          <cell r="A3766" t="str">
            <v>GRMZM2G401934</v>
          </cell>
          <cell r="B3766" t="str">
            <v>GO:0004789GO:0009228</v>
          </cell>
        </row>
        <row r="3767">
          <cell r="A3767" t="str">
            <v>GRMZM2G140754</v>
          </cell>
          <cell r="B3767" t="str">
            <v>GO:0005737GO:0043039GO:0006412GO:0016876GO:0005524</v>
          </cell>
        </row>
        <row r="3768">
          <cell r="A3768" t="str">
            <v>GRMZM2G038833</v>
          </cell>
          <cell r="B3768" t="str">
            <v>GO:0003735GO:0006412GO:0005840</v>
          </cell>
        </row>
        <row r="3769">
          <cell r="A3769" t="str">
            <v>GRMZM2G135195</v>
          </cell>
          <cell r="B3769" t="str">
            <v>GO:0016757</v>
          </cell>
        </row>
        <row r="3770">
          <cell r="A3770" t="str">
            <v>GRMZM2G114775</v>
          </cell>
          <cell r="B3770" t="str">
            <v>GO:0043565GO:0006265GO:0003700GO:0005634GO:0006355GO:0008270GO:0005694GO:0003918GO:0005524</v>
          </cell>
        </row>
        <row r="3771">
          <cell r="A3771" t="str">
            <v>GRMZM2G045534</v>
          </cell>
          <cell r="B3771" t="str">
            <v>GO:0046912GO:0044262</v>
          </cell>
        </row>
        <row r="3772">
          <cell r="A3772" t="str">
            <v>GRMZM2G103101</v>
          </cell>
          <cell r="B3772" t="str">
            <v>GO:0016020GO:0009765</v>
          </cell>
        </row>
        <row r="3773">
          <cell r="A3773" t="str">
            <v>GRMZM2G471517</v>
          </cell>
          <cell r="B3773" t="str">
            <v>GO:0050825GO:0042309GO:0050826</v>
          </cell>
        </row>
        <row r="3774">
          <cell r="A3774" t="str">
            <v>GRMZM2G380561</v>
          </cell>
          <cell r="B3774" t="str">
            <v>GO:0005975GO:0004553</v>
          </cell>
        </row>
        <row r="3775">
          <cell r="A3775" t="str">
            <v>GRMZM2G028718</v>
          </cell>
          <cell r="B3775" t="str">
            <v>GO:0003676</v>
          </cell>
        </row>
        <row r="3776">
          <cell r="A3776" t="str">
            <v>GRMZM2G116087</v>
          </cell>
          <cell r="B3776" t="str">
            <v>GO:0004106GO:0009073</v>
          </cell>
        </row>
        <row r="3777">
          <cell r="A3777" t="str">
            <v>GRMZM2G150187</v>
          </cell>
          <cell r="B3777" t="str">
            <v>GO:0006629GO:0016788</v>
          </cell>
        </row>
        <row r="3778">
          <cell r="A3778" t="str">
            <v>GRMZM2G154881</v>
          </cell>
          <cell r="B3778" t="str">
            <v>GO:0016787</v>
          </cell>
        </row>
        <row r="3779">
          <cell r="A3779" t="str">
            <v>GRMZM2G153184</v>
          </cell>
          <cell r="B3779" t="str">
            <v>GO:0016020GO:0009765</v>
          </cell>
        </row>
        <row r="3780">
          <cell r="A3780" t="str">
            <v>GRMZM2G134130</v>
          </cell>
          <cell r="B3780" t="str">
            <v>GO:0009523GO:0016021GO:0030145GO:0050825GO:0042309GO:0050826GO:0015979</v>
          </cell>
        </row>
        <row r="3781">
          <cell r="A3781" t="str">
            <v>GRMZM2G111017</v>
          </cell>
          <cell r="B3781" t="str">
            <v>GO:0005743GO:0006810GO:0005488GO:0005215</v>
          </cell>
        </row>
        <row r="3782">
          <cell r="A3782" t="str">
            <v>GRMZM2G015753</v>
          </cell>
          <cell r="B3782" t="str">
            <v>GO:0008270GO:0005515</v>
          </cell>
        </row>
        <row r="3783">
          <cell r="A3783" t="str">
            <v>GRMZM2G051004</v>
          </cell>
          <cell r="B3783" t="str">
            <v>GO:0051287GO:0006006GO:0004365</v>
          </cell>
        </row>
        <row r="3784">
          <cell r="A3784" t="str">
            <v>GRMZM2G069678</v>
          </cell>
          <cell r="B3784" t="str">
            <v>GO:0050825GO:0042309GO:0003676GO:0050826</v>
          </cell>
        </row>
        <row r="3785">
          <cell r="A3785" t="str">
            <v>GRMZM2G469499</v>
          </cell>
          <cell r="B3785" t="str">
            <v>GO:0005488</v>
          </cell>
        </row>
        <row r="3786">
          <cell r="A3786" t="str">
            <v>GRMZM2G017532</v>
          </cell>
          <cell r="B3786" t="str">
            <v>GO:0016787</v>
          </cell>
        </row>
        <row r="3787">
          <cell r="A3787" t="str">
            <v>GRMZM2G140915</v>
          </cell>
          <cell r="B3787" t="str">
            <v>GO:0004497GO:0020037GO:0009055</v>
          </cell>
        </row>
        <row r="3788">
          <cell r="A3788" t="str">
            <v>GRMZM2G383699</v>
          </cell>
          <cell r="B3788" t="str">
            <v>GO:0006950</v>
          </cell>
        </row>
        <row r="3789">
          <cell r="A3789" t="str">
            <v>GRMZM2G150367</v>
          </cell>
          <cell r="B3789" t="str">
            <v>GO:0033179GO:0015986GO:0015078</v>
          </cell>
        </row>
        <row r="3790">
          <cell r="A3790" t="str">
            <v>GRMZM2G091478</v>
          </cell>
          <cell r="B3790" t="str">
            <v>GO:0016887GO:0005524</v>
          </cell>
        </row>
        <row r="3791">
          <cell r="A3791" t="str">
            <v>GRMZM2G171452</v>
          </cell>
          <cell r="B3791" t="str">
            <v>GO:0003676</v>
          </cell>
        </row>
        <row r="3792">
          <cell r="A3792" t="str">
            <v>GRMZM2G137930</v>
          </cell>
          <cell r="B3792" t="str">
            <v>GO:0005737GO:0006796GO:0000287GO:0004427</v>
          </cell>
        </row>
        <row r="3793">
          <cell r="A3793" t="str">
            <v>GRMZM2G014089</v>
          </cell>
          <cell r="B3793" t="str">
            <v>GO:0016021GO:0006810GO:0042626GO:0005524</v>
          </cell>
        </row>
        <row r="3794">
          <cell r="A3794" t="str">
            <v>GRMZM2G126580</v>
          </cell>
          <cell r="B3794" t="str">
            <v>GO:0003735GO:0006412GO:0005840</v>
          </cell>
        </row>
        <row r="3795">
          <cell r="A3795" t="str">
            <v>GRMZM2G096123</v>
          </cell>
          <cell r="B3795" t="str">
            <v>GO:0003735GO:0006412GO:0005840</v>
          </cell>
        </row>
        <row r="3796">
          <cell r="A3796" t="str">
            <v>GRMZM2G410782</v>
          </cell>
          <cell r="B3796" t="str">
            <v>GO:0006886GO:0005622</v>
          </cell>
        </row>
        <row r="3797">
          <cell r="A3797" t="str">
            <v>GRMZM2G009188</v>
          </cell>
          <cell r="B3797" t="str">
            <v>GO:0009239GO:0005488GO:0008667</v>
          </cell>
        </row>
        <row r="3798">
          <cell r="A3798" t="str">
            <v>GRMZM2G055973</v>
          </cell>
          <cell r="B3798" t="str">
            <v>GO:0005634GO:0006355GO:0008270GO:0005515GO:0003677GO:0004879</v>
          </cell>
        </row>
        <row r="3799">
          <cell r="A3799" t="str">
            <v>GRMZM2G127984</v>
          </cell>
          <cell r="B3799" t="str">
            <v>GO:0004674GO:0006468GO:0004713GO:0005524</v>
          </cell>
        </row>
        <row r="3800">
          <cell r="A3800" t="str">
            <v>GRMZM2G100260</v>
          </cell>
          <cell r="B3800" t="str">
            <v>GO:0005737GO:0019478GO:0016788</v>
          </cell>
        </row>
        <row r="3801">
          <cell r="A3801" t="str">
            <v>GRMZM2G073498</v>
          </cell>
          <cell r="B3801" t="str">
            <v>GO:0015031GO:0016020GO:0015450</v>
          </cell>
        </row>
        <row r="3802">
          <cell r="A3802" t="str">
            <v>GRMZM2G027958</v>
          </cell>
          <cell r="B3802" t="str">
            <v>GO:0004674GO:0006468GO:0004713GO:0005524</v>
          </cell>
        </row>
        <row r="3803">
          <cell r="A3803" t="str">
            <v>GRMZM2G091490</v>
          </cell>
          <cell r="B3803" t="str">
            <v>GO:0003677GO:0045449GO:0042309GO:0050826GO:0050825GO:0004618GO:0006096</v>
          </cell>
        </row>
        <row r="3804">
          <cell r="A3804" t="str">
            <v>GRMZM2G178192</v>
          </cell>
          <cell r="B3804" t="str">
            <v>GO:0006139GO:0005524GO:0019205</v>
          </cell>
        </row>
        <row r="3805">
          <cell r="A3805" t="str">
            <v>GRMZM2G087032</v>
          </cell>
          <cell r="B3805" t="str">
            <v>GO:0005634GO:0008270GO:0003723</v>
          </cell>
        </row>
        <row r="3806">
          <cell r="A3806" t="str">
            <v>GRMZM2G041159</v>
          </cell>
          <cell r="B3806" t="str">
            <v>GO:0033014GO:0004418</v>
          </cell>
        </row>
        <row r="3807">
          <cell r="A3807" t="str">
            <v>GRMZM2G009506</v>
          </cell>
          <cell r="B3807" t="str">
            <v>GO:0004674GO:0006468GO:0004713GO:0005524</v>
          </cell>
        </row>
        <row r="3808">
          <cell r="A3808" t="str">
            <v>GRMZM2G028535</v>
          </cell>
          <cell r="B3808" t="str">
            <v>GO:0005737GO:0004349GO:0004350GO:0006561</v>
          </cell>
        </row>
        <row r="3809">
          <cell r="A3809" t="str">
            <v>GRMZM2G142779</v>
          </cell>
          <cell r="B3809" t="str">
            <v>GO:0005179GO:0016021GO:0005199GO:0003779GO:0005576GO:0050825GO:0030036GO:0042309GO:0050826GO:0007186</v>
          </cell>
        </row>
        <row r="3810">
          <cell r="A3810" t="str">
            <v>GRMZM2G008106</v>
          </cell>
          <cell r="B3810" t="str">
            <v>GO:0005507GO:0009055</v>
          </cell>
        </row>
        <row r="3811">
          <cell r="A3811" t="str">
            <v>GRMZM2G074358</v>
          </cell>
          <cell r="B3811" t="str">
            <v>GO:0045449GO:0003677</v>
          </cell>
        </row>
        <row r="3812">
          <cell r="A3812" t="str">
            <v>GRMZM2G078396</v>
          </cell>
          <cell r="B3812" t="str">
            <v>GO:0003735GO:0006412GO:0005840</v>
          </cell>
        </row>
        <row r="3813">
          <cell r="A3813" t="str">
            <v>GRMZM2G339728</v>
          </cell>
          <cell r="B3813" t="str">
            <v>GO:0016020GO:0051260</v>
          </cell>
        </row>
        <row r="3814">
          <cell r="A3814" t="str">
            <v>GRMZM2G151903</v>
          </cell>
          <cell r="B3814" t="str">
            <v>GO:0005737GO:0015297GO:0006457GO:0016020GO:0006855GO:0015238GO:0005524</v>
          </cell>
        </row>
        <row r="3815">
          <cell r="A3815" t="str">
            <v>GRMZM2G055883</v>
          </cell>
          <cell r="B3815" t="str">
            <v>GO:0003924GO:0005525</v>
          </cell>
        </row>
        <row r="3816">
          <cell r="A3816" t="str">
            <v>GRMZM2G053934</v>
          </cell>
          <cell r="B3816" t="str">
            <v>GO:0017111GO:0005524</v>
          </cell>
        </row>
        <row r="3817">
          <cell r="A3817" t="str">
            <v>GRMZM2G066024</v>
          </cell>
          <cell r="B3817" t="str">
            <v>GO:0006096GO:0004332</v>
          </cell>
        </row>
        <row r="3818">
          <cell r="A3818" t="str">
            <v>GRMZM2G069523</v>
          </cell>
          <cell r="B3818" t="str">
            <v>GO:0050662GO:0008667GO:0004022GO:0009239</v>
          </cell>
        </row>
        <row r="3819">
          <cell r="A3819" t="str">
            <v>GRMZM2G057950</v>
          </cell>
          <cell r="B3819" t="str">
            <v>GO:0003735GO:0015934GO:0006412</v>
          </cell>
        </row>
        <row r="3820">
          <cell r="A3820" t="str">
            <v>GRMZM2G057955</v>
          </cell>
          <cell r="B3820" t="str">
            <v>GO:0003677</v>
          </cell>
        </row>
        <row r="3821">
          <cell r="A3821" t="str">
            <v>GRMZM2G067511</v>
          </cell>
          <cell r="B3821" t="str">
            <v>GO:0005509</v>
          </cell>
        </row>
        <row r="3822">
          <cell r="A3822" t="str">
            <v>GRMZM2G069095</v>
          </cell>
          <cell r="B3822" t="str">
            <v>GO:0016020GO:0015992GO:0009678GO:0004427</v>
          </cell>
        </row>
        <row r="3823">
          <cell r="A3823" t="str">
            <v>GRMZM2G087103</v>
          </cell>
          <cell r="B3823" t="str">
            <v>GO:0003824GO:0003676GO:0008152</v>
          </cell>
        </row>
        <row r="3824">
          <cell r="A3824" t="str">
            <v>GRMZM2G054012</v>
          </cell>
          <cell r="B3824" t="str">
            <v>GO:0003735GO:0006412GO:0005840</v>
          </cell>
        </row>
        <row r="3825">
          <cell r="A3825" t="str">
            <v>GRMZM2G055150</v>
          </cell>
          <cell r="B3825" t="str">
            <v>GO:0003824GO:0005992</v>
          </cell>
        </row>
        <row r="3826">
          <cell r="A3826" t="str">
            <v>GRMZM2G008748</v>
          </cell>
          <cell r="B3826" t="str">
            <v>GO:0003735GO:0006412GO:0005840</v>
          </cell>
        </row>
        <row r="3827">
          <cell r="A3827" t="str">
            <v>GRMZM2G092595</v>
          </cell>
          <cell r="B3827" t="str">
            <v>GO:0046488GO:0016307</v>
          </cell>
        </row>
        <row r="3828">
          <cell r="A3828" t="str">
            <v>GRMZM2G007928</v>
          </cell>
          <cell r="B3828" t="str">
            <v>GO:0005576GO:0004867</v>
          </cell>
        </row>
        <row r="3829">
          <cell r="A3829" t="str">
            <v>GRMZM2G025154</v>
          </cell>
          <cell r="B3829" t="str">
            <v>GO:0006508GO:0004185</v>
          </cell>
        </row>
        <row r="3830">
          <cell r="A3830" t="str">
            <v>GRMZM2G092752</v>
          </cell>
          <cell r="B3830" t="str">
            <v>GO:0015629GO:0005634GO:0003677GO:0005199GO:0006355GO:0000785GO:0042309GO:0050826GO:0007155GO:0050825GO:0007186GO:0016021GO:0004879</v>
          </cell>
        </row>
        <row r="3831">
          <cell r="A3831" t="str">
            <v>GRMZM2G147491</v>
          </cell>
          <cell r="B3831" t="str">
            <v>GO:0046983GO:0008171</v>
          </cell>
        </row>
        <row r="3832">
          <cell r="A3832" t="str">
            <v>GRMZM2G048210</v>
          </cell>
          <cell r="B3832" t="str">
            <v>GO:0004674GO:0006468GO:0004713GO:0005524</v>
          </cell>
        </row>
        <row r="3833">
          <cell r="A3833" t="str">
            <v>GRMZM2G074282</v>
          </cell>
          <cell r="B3833" t="str">
            <v>GO:0051287GO:0006511GO:0016616GO:0005515</v>
          </cell>
        </row>
        <row r="3834">
          <cell r="A3834" t="str">
            <v>GRMZM2G138074</v>
          </cell>
          <cell r="B3834" t="str">
            <v>GO:0004497GO:0020037GO:0009055</v>
          </cell>
        </row>
        <row r="3835">
          <cell r="A3835" t="str">
            <v>GRMZM2G068239</v>
          </cell>
          <cell r="B3835" t="str">
            <v>GO:0008270GO:0005515</v>
          </cell>
        </row>
        <row r="3836">
          <cell r="A3836" t="str">
            <v>GRMZM2G397684</v>
          </cell>
          <cell r="B3836" t="str">
            <v>GO:0008270GO:0005515</v>
          </cell>
        </row>
        <row r="3837">
          <cell r="A3837" t="str">
            <v>GRMZM2G018197</v>
          </cell>
          <cell r="B3837" t="str">
            <v>GO:0003735GO:0006412GO:0005840</v>
          </cell>
        </row>
        <row r="3838">
          <cell r="A3838" t="str">
            <v>GRMZM2G359127</v>
          </cell>
          <cell r="B3838" t="str">
            <v>GO:0022900GO:0051537GO:0009055</v>
          </cell>
        </row>
        <row r="3839">
          <cell r="A3839" t="str">
            <v>GRMZM2G165357</v>
          </cell>
          <cell r="B3839" t="str">
            <v>GO:0016857GO:0050662GO:0006694GO:0003854GO:0045226GO:0008831</v>
          </cell>
        </row>
        <row r="3840">
          <cell r="A3840" t="str">
            <v>GRMZM2G166639</v>
          </cell>
          <cell r="B3840" t="str">
            <v>GO:0005506GO:0016491</v>
          </cell>
        </row>
        <row r="3841">
          <cell r="A3841" t="str">
            <v>GRMZM2G007810</v>
          </cell>
          <cell r="B3841" t="str">
            <v>GO:0006865GO:0005840GO:0016020GO:0006412GO:0003735GO:0015171</v>
          </cell>
        </row>
        <row r="3842">
          <cell r="A3842" t="str">
            <v>GRMZM2G115660</v>
          </cell>
          <cell r="B3842" t="str">
            <v>GO:0005509</v>
          </cell>
        </row>
        <row r="3843">
          <cell r="A3843" t="str">
            <v>GRMZM2G032430</v>
          </cell>
          <cell r="B3843" t="str">
            <v>GO:0030001GO:0016021GO:0046872GO:0007186</v>
          </cell>
        </row>
        <row r="3844">
          <cell r="A3844" t="str">
            <v>GRMZM2G075117</v>
          </cell>
          <cell r="B3844" t="str">
            <v>GO:0005634GO:0050825GO:0042309GO:0050826GO:0004994GO:0007186GO:0016021</v>
          </cell>
        </row>
        <row r="3845">
          <cell r="A3845" t="str">
            <v>GRMZM2G121573</v>
          </cell>
          <cell r="B3845" t="str">
            <v>GO:0004674GO:0006468GO:0005524GO:0005515GO:0004713</v>
          </cell>
        </row>
        <row r="3846">
          <cell r="A3846" t="str">
            <v>GRMZM2G100794</v>
          </cell>
          <cell r="B3846" t="str">
            <v>GO:0005634GO:0008270GO:0003723</v>
          </cell>
        </row>
        <row r="3847">
          <cell r="A3847" t="str">
            <v>GRMZM2G142661</v>
          </cell>
          <cell r="B3847" t="str">
            <v>GO:0006813GO:0055114GO:0016491</v>
          </cell>
        </row>
        <row r="3848">
          <cell r="A3848" t="str">
            <v>GRMZM2G078887</v>
          </cell>
          <cell r="B3848" t="str">
            <v>GO:0003735GO:0006412GO:0005840</v>
          </cell>
        </row>
        <row r="3849">
          <cell r="A3849" t="str">
            <v>GRMZM2G077531</v>
          </cell>
          <cell r="B3849" t="str">
            <v>GO:0003824GO:0005488GO:0008152</v>
          </cell>
        </row>
        <row r="3850">
          <cell r="A3850" t="str">
            <v>GRMZM2G028821</v>
          </cell>
          <cell r="B3850" t="str">
            <v>GO:0005737GO:0004364GO:0008152</v>
          </cell>
        </row>
        <row r="3851">
          <cell r="A3851" t="str">
            <v>GRMZM2G085885</v>
          </cell>
          <cell r="B3851" t="str">
            <v>GO:0003755</v>
          </cell>
        </row>
        <row r="3852">
          <cell r="A3852" t="str">
            <v>GRMZM2G144083</v>
          </cell>
          <cell r="B3852" t="str">
            <v>GO:0004008GO:0005261GO:0006754GO:0016021GO:0015694GO:0006825GO:0046872GO:0015097GO:0005524</v>
          </cell>
        </row>
        <row r="3853">
          <cell r="A3853" t="str">
            <v>GRMZM2G040300</v>
          </cell>
          <cell r="B3853" t="str">
            <v>GO:0003824GO:0008152</v>
          </cell>
        </row>
        <row r="3854">
          <cell r="A3854" t="str">
            <v>GRMZM2G302712</v>
          </cell>
          <cell r="B3854" t="str">
            <v>GO:0003735GO:0006412GO:0005840</v>
          </cell>
        </row>
        <row r="3855">
          <cell r="A3855" t="str">
            <v>GRMZM2G151955</v>
          </cell>
          <cell r="B3855" t="str">
            <v>GO:0004674GO:0006468GO:0005524GO:0005515GO:0004713</v>
          </cell>
        </row>
        <row r="3856">
          <cell r="A3856" t="str">
            <v>GRMZM2G122277</v>
          </cell>
          <cell r="B3856" t="str">
            <v>GO:0016020GO:0016760GO:0030244</v>
          </cell>
        </row>
        <row r="3857">
          <cell r="A3857" t="str">
            <v>GRMZM2G122274</v>
          </cell>
          <cell r="B3857" t="str">
            <v>GO:0005975GO:0004553</v>
          </cell>
        </row>
        <row r="3858">
          <cell r="A3858" t="str">
            <v>GRMZM2G070620</v>
          </cell>
          <cell r="B3858" t="str">
            <v>GO:0004497GO:0020037GO:0009055</v>
          </cell>
        </row>
        <row r="3859">
          <cell r="A3859" t="str">
            <v>GRMZM2G065225</v>
          </cell>
          <cell r="B3859" t="str">
            <v>GO:0004437</v>
          </cell>
        </row>
        <row r="3860">
          <cell r="A3860" t="str">
            <v>GRMZM2G467086</v>
          </cell>
          <cell r="B3860" t="str">
            <v>GO:0042254GO:0005622</v>
          </cell>
        </row>
        <row r="3861">
          <cell r="A3861" t="str">
            <v>GRMZM2G018441</v>
          </cell>
          <cell r="B3861" t="str">
            <v>GO:0016791GO:0008152</v>
          </cell>
        </row>
        <row r="3862">
          <cell r="A3862" t="str">
            <v>GRMZM2G119705</v>
          </cell>
          <cell r="B3862" t="str">
            <v>GO:0004983GO:0016021GO:0030598GO:0007186GO:0017148</v>
          </cell>
        </row>
        <row r="3863">
          <cell r="A3863" t="str">
            <v>GRMZM2G305822</v>
          </cell>
          <cell r="B3863" t="str">
            <v>GO:0006468GO:0004674GO:0000151GO:0016567GO:0004713GO:0004842GO:0005524</v>
          </cell>
        </row>
        <row r="3864">
          <cell r="A3864" t="str">
            <v>GRMZM2G041493</v>
          </cell>
          <cell r="B3864" t="str">
            <v>GO:0004969GO:0016021GO:0007186</v>
          </cell>
        </row>
        <row r="3865">
          <cell r="A3865" t="str">
            <v>GRMZM2G108643</v>
          </cell>
          <cell r="B3865" t="str">
            <v>GO:0005840GO:0003735GO:0050825GO:0042309GO:0050826GO:0006412</v>
          </cell>
        </row>
        <row r="3866">
          <cell r="A3866" t="str">
            <v>GRMZM2G161154</v>
          </cell>
          <cell r="B3866" t="str">
            <v>GO:0046872</v>
          </cell>
        </row>
        <row r="3867">
          <cell r="A3867" t="str">
            <v>GRMZM2G312997</v>
          </cell>
          <cell r="B3867" t="str">
            <v>GO:0006979GO:0020037GO:0004601</v>
          </cell>
        </row>
        <row r="3868">
          <cell r="A3868" t="str">
            <v>GRMZM2G071478</v>
          </cell>
          <cell r="B3868" t="str">
            <v>GO:0006468GO:0016998GO:0004674GO:0004336GO:0004713GO:0006683GO:0005524</v>
          </cell>
        </row>
        <row r="3869">
          <cell r="A3869" t="str">
            <v>GRMZM2G392791</v>
          </cell>
          <cell r="B3869" t="str">
            <v>GO:0006508GO:0004177</v>
          </cell>
        </row>
        <row r="3870">
          <cell r="A3870" t="str">
            <v>GRMZM2G095810</v>
          </cell>
          <cell r="B3870" t="str">
            <v>GO:0006886GO:0006888GO:0008270GO:0005515GO:0030127</v>
          </cell>
        </row>
        <row r="3871">
          <cell r="A3871" t="str">
            <v>GRMZM2G324314</v>
          </cell>
          <cell r="B3871" t="str">
            <v>GO:0003735GO:0006412GO:0005840</v>
          </cell>
        </row>
        <row r="3872">
          <cell r="A3872" t="str">
            <v>GRMZM2G122296</v>
          </cell>
          <cell r="B3872" t="str">
            <v>GO:0008825GO:0008610</v>
          </cell>
        </row>
        <row r="3873">
          <cell r="A3873" t="str">
            <v>GRMZM2G094543</v>
          </cell>
          <cell r="B3873" t="str">
            <v>GO:0050825GO:0042309GO:0050826</v>
          </cell>
        </row>
        <row r="3874">
          <cell r="A3874" t="str">
            <v>GRMZM2G105362</v>
          </cell>
          <cell r="B3874" t="str">
            <v>GO:0004623GO:0006644GO:0016042</v>
          </cell>
        </row>
        <row r="3875">
          <cell r="A3875" t="str">
            <v>GRMZM2G058450</v>
          </cell>
          <cell r="B3875" t="str">
            <v>GO:0008270GO:0005515</v>
          </cell>
        </row>
        <row r="3876">
          <cell r="A3876" t="str">
            <v>GRMZM2G075719</v>
          </cell>
          <cell r="B3876" t="str">
            <v>GO:0006886GO:0003924GO:0006913GO:0005622GO:0005515GO:0007264GO:0005525</v>
          </cell>
        </row>
        <row r="3877">
          <cell r="A3877" t="str">
            <v>GRMZM2G007038</v>
          </cell>
          <cell r="B3877" t="str">
            <v>GO:0003743GO:0003924GO:0005622GO:0007264GO:0006413GO:0005525</v>
          </cell>
        </row>
        <row r="3878">
          <cell r="A3878" t="str">
            <v>GRMZM2G052825</v>
          </cell>
          <cell r="B3878" t="str">
            <v>GO:0016712GO:0020037GO:0009055</v>
          </cell>
        </row>
        <row r="3879">
          <cell r="A3879" t="str">
            <v>GRMZM2G097704</v>
          </cell>
          <cell r="B3879" t="str">
            <v>GO:0004806GO:0006629</v>
          </cell>
        </row>
        <row r="3880">
          <cell r="A3880" t="str">
            <v>GRMZM2G140288</v>
          </cell>
          <cell r="B3880" t="str">
            <v>GO:0016491GO:0005634GO:0006333GO:0005529GO:0000785GO:0016747GO:0045449GO:0003682GO:0009055</v>
          </cell>
        </row>
        <row r="3881">
          <cell r="A3881" t="str">
            <v>GRMZM2G156748</v>
          </cell>
          <cell r="B3881" t="str">
            <v>GO:0016866</v>
          </cell>
        </row>
        <row r="3882">
          <cell r="A3882" t="str">
            <v>GRMZM2G169087</v>
          </cell>
          <cell r="B3882" t="str">
            <v>GO:0016884</v>
          </cell>
        </row>
        <row r="3883">
          <cell r="A3883" t="str">
            <v>GRMZM2G122618</v>
          </cell>
          <cell r="B3883" t="str">
            <v>GO:0009405GO:0009289</v>
          </cell>
        </row>
        <row r="3884">
          <cell r="A3884" t="str">
            <v>GRMZM2G135739</v>
          </cell>
          <cell r="B3884" t="str">
            <v>GO:0022891GO:0016021GO:0055085</v>
          </cell>
        </row>
        <row r="3885">
          <cell r="A3885" t="str">
            <v>GRMZM2G156816</v>
          </cell>
          <cell r="B3885" t="str">
            <v>GO:0016747</v>
          </cell>
        </row>
        <row r="3886">
          <cell r="A3886" t="str">
            <v>GRMZM2G050460</v>
          </cell>
          <cell r="B3886" t="str">
            <v>GO:0003735GO:0006412GO:0005840</v>
          </cell>
        </row>
        <row r="3887">
          <cell r="A3887" t="str">
            <v>GRMZM2G015967</v>
          </cell>
          <cell r="B3887" t="str">
            <v>GO:0003755</v>
          </cell>
        </row>
        <row r="3888">
          <cell r="A3888" t="str">
            <v>GRMZM2G053669</v>
          </cell>
          <cell r="B3888" t="str">
            <v>GO:0006529GO:0004066</v>
          </cell>
        </row>
        <row r="3889">
          <cell r="A3889" t="str">
            <v>GRMZM2G030772</v>
          </cell>
          <cell r="B3889" t="str">
            <v>GO:0048046GO:0030145GO:0045735</v>
          </cell>
        </row>
        <row r="3890">
          <cell r="A3890" t="str">
            <v>GRMZM2G122126</v>
          </cell>
          <cell r="B3890" t="str">
            <v>GO:0017057GO:0006098</v>
          </cell>
        </row>
        <row r="3891">
          <cell r="A3891" t="str">
            <v>GRMZM2G027835</v>
          </cell>
          <cell r="B3891" t="str">
            <v>GO:0008840GO:0019877</v>
          </cell>
        </row>
        <row r="3892">
          <cell r="A3892" t="str">
            <v>GRMZM2G079759</v>
          </cell>
          <cell r="B3892" t="str">
            <v>GO:0016491GO:0046872GO:0005515GO:0008152GO:0009055</v>
          </cell>
        </row>
        <row r="3893">
          <cell r="A3893" t="str">
            <v>GRMZM2G038162</v>
          </cell>
          <cell r="B3893" t="str">
            <v>GO:0003824GO:0008152</v>
          </cell>
        </row>
        <row r="3894">
          <cell r="A3894" t="str">
            <v>GRMZM2G164912</v>
          </cell>
          <cell r="B3894" t="str">
            <v>GO:0050825GO:0042309GO:0050826</v>
          </cell>
        </row>
        <row r="3895">
          <cell r="A3895" t="str">
            <v>GRMZM2G135743</v>
          </cell>
          <cell r="B3895" t="str">
            <v>GO:0016757</v>
          </cell>
        </row>
        <row r="3896">
          <cell r="A3896" t="str">
            <v>GRMZM2G051208</v>
          </cell>
          <cell r="B3896" t="str">
            <v>GO:0005960GO:0006546</v>
          </cell>
        </row>
        <row r="3897">
          <cell r="A3897" t="str">
            <v>GRMZM2G147014</v>
          </cell>
          <cell r="B3897" t="str">
            <v>GO:0006950GO:0009415</v>
          </cell>
        </row>
        <row r="3898">
          <cell r="A3898" t="str">
            <v>GRMZM2G038494</v>
          </cell>
          <cell r="B3898" t="str">
            <v>GO:0005622GO:0005525</v>
          </cell>
        </row>
        <row r="3899">
          <cell r="A3899" t="str">
            <v>GRMZM2G125271</v>
          </cell>
          <cell r="B3899" t="str">
            <v>GO:0003723</v>
          </cell>
        </row>
        <row r="3900">
          <cell r="A3900" t="str">
            <v>GRMZM2G081529</v>
          </cell>
          <cell r="B3900" t="str">
            <v>GO:0016021GO:0005840GO:0005634GO:0003677GO:0005199GO:0003735GO:0006355GO:0050825GO:0042309GO:0050826GO:0007186GO:0006412GO:0004879</v>
          </cell>
        </row>
        <row r="3901">
          <cell r="A3901" t="str">
            <v>GRMZM2G132506</v>
          </cell>
          <cell r="B3901" t="str">
            <v>GO:0009654GO:0015979</v>
          </cell>
        </row>
        <row r="3902">
          <cell r="A3902" t="str">
            <v>GRMZM2G306094</v>
          </cell>
          <cell r="B3902" t="str">
            <v>GO:0003677</v>
          </cell>
        </row>
        <row r="3903">
          <cell r="A3903" t="str">
            <v>GRMZM2G085646</v>
          </cell>
          <cell r="B3903" t="str">
            <v>GO:0015979GO:0009538</v>
          </cell>
        </row>
        <row r="3904">
          <cell r="A3904" t="str">
            <v>GRMZM2G021256</v>
          </cell>
          <cell r="B3904" t="str">
            <v>GO:0019898GO:0050825GO:0005509GO:0042309GO:0050826GO:0009654GO:0015979</v>
          </cell>
        </row>
        <row r="3905">
          <cell r="A3905" t="str">
            <v>GRMZM2G080839</v>
          </cell>
          <cell r="B3905" t="str">
            <v>GO:0050660GO:0016491</v>
          </cell>
        </row>
        <row r="3906">
          <cell r="A3906" t="str">
            <v>GRMZM2G158131</v>
          </cell>
          <cell r="B3906" t="str">
            <v>GO:0045261GO:0015986GO:0046961GO:0046933</v>
          </cell>
        </row>
        <row r="3907">
          <cell r="A3907" t="str">
            <v>GRMZM2G117707</v>
          </cell>
          <cell r="B3907" t="str">
            <v>GO:0003849GO:0009073</v>
          </cell>
        </row>
        <row r="3908">
          <cell r="A3908" t="str">
            <v>GRMZM2G117706</v>
          </cell>
          <cell r="B3908" t="str">
            <v>GO:0020037GO:0005576GO:0004601GO:0006979GO:0009055</v>
          </cell>
        </row>
        <row r="3909">
          <cell r="A3909" t="str">
            <v>GRMZM2G041238</v>
          </cell>
          <cell r="B3909" t="str">
            <v>GO:0003735GO:0015934GO:0006412</v>
          </cell>
        </row>
        <row r="3910">
          <cell r="A3910" t="str">
            <v>GRMZM2G146015</v>
          </cell>
          <cell r="B3910" t="str">
            <v>GO:0005507GO:0050825GO:0050826GO:0042309GO:0009055</v>
          </cell>
        </row>
        <row r="3911">
          <cell r="A3911" t="str">
            <v>GRMZM2G400602</v>
          </cell>
          <cell r="B3911" t="str">
            <v>GO:0006857GO:0016791GO:0005215GO:0016020GO:0005529GO:0008152</v>
          </cell>
        </row>
        <row r="3912">
          <cell r="A3912" t="str">
            <v>GRMZM2G139250</v>
          </cell>
          <cell r="B3912" t="str">
            <v>GO:0005634GO:0003677GO:0006355GO:0050825GO:0042309GO:0050826GO:0004879</v>
          </cell>
        </row>
        <row r="3913">
          <cell r="A3913" t="str">
            <v>GRMZM2G017186</v>
          </cell>
          <cell r="B3913" t="str">
            <v>GO:0005975GO:0004553</v>
          </cell>
        </row>
        <row r="3914">
          <cell r="A3914" t="str">
            <v>GRMZM2G042146</v>
          </cell>
          <cell r="B3914" t="str">
            <v>GO:0005743GO:0006810GO:0005488GO:0005215</v>
          </cell>
        </row>
        <row r="3915">
          <cell r="A3915" t="str">
            <v>GRMZM2G029385</v>
          </cell>
          <cell r="B3915" t="str">
            <v>GO:0031072</v>
          </cell>
        </row>
        <row r="3916">
          <cell r="A3916" t="str">
            <v>GRMZM2G040728</v>
          </cell>
          <cell r="B3916" t="str">
            <v>GO:0004497GO:0020037GO:0009055</v>
          </cell>
        </row>
        <row r="3917">
          <cell r="A3917" t="str">
            <v>GRMZM2G083058</v>
          </cell>
          <cell r="B3917" t="str">
            <v>GO:0016021</v>
          </cell>
        </row>
        <row r="3918">
          <cell r="A3918" t="str">
            <v>GRMZM2G131266</v>
          </cell>
          <cell r="B3918" t="str">
            <v>GO:0003700GO:0006355</v>
          </cell>
        </row>
        <row r="3919">
          <cell r="A3919" t="str">
            <v>GRMZM2G149273</v>
          </cell>
          <cell r="B3919" t="str">
            <v>GO:0004601GO:0006979GO:0020037GO:0009055</v>
          </cell>
        </row>
        <row r="3920">
          <cell r="A3920" t="str">
            <v>GRMZM2G120432</v>
          </cell>
          <cell r="B3920" t="str">
            <v>GO:0003735GO:0006412GO:0005840</v>
          </cell>
        </row>
        <row r="3921">
          <cell r="A3921" t="str">
            <v>GRMZM2G140721</v>
          </cell>
          <cell r="B3921" t="str">
            <v>GO:0004674GO:0006468GO:0004713GO:0005524</v>
          </cell>
        </row>
        <row r="3922">
          <cell r="A3922" t="str">
            <v>GRMZM2G117412</v>
          </cell>
          <cell r="B3922" t="str">
            <v>GO:0016020GO:0009765</v>
          </cell>
        </row>
        <row r="3923">
          <cell r="A3923" t="str">
            <v>GRMZM2G012276</v>
          </cell>
          <cell r="B3923" t="str">
            <v>GO:0016209GO:0016491</v>
          </cell>
        </row>
        <row r="3924">
          <cell r="A3924" t="str">
            <v>GRMZM2G413315</v>
          </cell>
          <cell r="B3924" t="str">
            <v>GO:0045454GO:0015035GO:0009055</v>
          </cell>
        </row>
        <row r="3925">
          <cell r="A3925" t="str">
            <v>GRMZM2G103179</v>
          </cell>
          <cell r="B3925" t="str">
            <v>GO:0005160GO:0016049</v>
          </cell>
        </row>
        <row r="3926">
          <cell r="A3926" t="str">
            <v>AC233933.1_FG001</v>
          </cell>
          <cell r="B3926" t="str">
            <v>GO:0003700GO:0006355GO:0050825GO:0042309GO:0050826</v>
          </cell>
        </row>
        <row r="3927">
          <cell r="A3927" t="str">
            <v>GRMZM2G070011</v>
          </cell>
          <cell r="B3927" t="str">
            <v>GO:0006508GO:0004197</v>
          </cell>
        </row>
        <row r="3928">
          <cell r="A3928" t="str">
            <v>GRMZM2G472852</v>
          </cell>
          <cell r="B3928" t="str">
            <v>GO:0015979GO:0009523</v>
          </cell>
        </row>
        <row r="3929">
          <cell r="A3929" t="str">
            <v>GRMZM2G431018</v>
          </cell>
          <cell r="B3929" t="str">
            <v>GO:0006468GO:0016020GO:0004674GO:0004713GO:0007155GO:0005524</v>
          </cell>
        </row>
        <row r="3930">
          <cell r="A3930" t="str">
            <v>GRMZM2G038013</v>
          </cell>
          <cell r="B3930" t="str">
            <v>GO:0003735GO:0006412GO:0005840</v>
          </cell>
        </row>
        <row r="3931">
          <cell r="A3931" t="str">
            <v>GRMZM2G130119</v>
          </cell>
          <cell r="B3931" t="str">
            <v>GO:0016758GO:0008152</v>
          </cell>
        </row>
        <row r="3932">
          <cell r="A3932" t="str">
            <v>GRMZM2G428035</v>
          </cell>
          <cell r="B3932" t="str">
            <v>GO:0004674GO:0006468GO:0004713GO:0005524</v>
          </cell>
        </row>
        <row r="3933">
          <cell r="A3933" t="str">
            <v>GRMZM2G051135</v>
          </cell>
          <cell r="B3933" t="str">
            <v>GO:0003677</v>
          </cell>
        </row>
        <row r="3934">
          <cell r="A3934" t="str">
            <v>GRMZM2G045404</v>
          </cell>
          <cell r="B3934" t="str">
            <v>GO:0006470GO:0004725GO:0008138</v>
          </cell>
        </row>
        <row r="3935">
          <cell r="A3935" t="str">
            <v>AC217358.3_FG005</v>
          </cell>
          <cell r="B3935" t="str">
            <v>GO:0016020</v>
          </cell>
        </row>
        <row r="3936">
          <cell r="A3936" t="str">
            <v>GRMZM2G140924</v>
          </cell>
          <cell r="B3936" t="str">
            <v>GO:0006614GO:0008312GO:0008270GO:0005515GO:0048500GO:0005525</v>
          </cell>
        </row>
        <row r="3937">
          <cell r="A3937" t="str">
            <v>GRMZM2G037698</v>
          </cell>
          <cell r="B3937" t="str">
            <v>GO:0016567GO:0004842GO:0000151</v>
          </cell>
        </row>
        <row r="3938">
          <cell r="A3938" t="str">
            <v>GRMZM2G098423</v>
          </cell>
          <cell r="B3938" t="str">
            <v>GO:0048037GO:0016597GO:0016616GO:0008152</v>
          </cell>
        </row>
        <row r="3939">
          <cell r="A3939" t="str">
            <v>GRMZM2G171444</v>
          </cell>
          <cell r="B3939" t="str">
            <v>GO:0003735GO:0006412GO:0005515GO:0005840</v>
          </cell>
        </row>
        <row r="3940">
          <cell r="A3940" t="str">
            <v>GRMZM2G072174</v>
          </cell>
          <cell r="B3940" t="str">
            <v>GO:0006259GO:0008094GO:0005524GO:0003677</v>
          </cell>
        </row>
        <row r="3941">
          <cell r="A3941" t="str">
            <v>GRMZM2G380377</v>
          </cell>
          <cell r="B3941" t="str">
            <v>GO:0003700GO:0006355GO:0050825GO:0042309GO:0050826</v>
          </cell>
        </row>
        <row r="3942">
          <cell r="A3942" t="str">
            <v>GRMZM2G049798</v>
          </cell>
          <cell r="B3942" t="str">
            <v>GO:0016758GO:0008152</v>
          </cell>
        </row>
        <row r="3943">
          <cell r="A3943" t="str">
            <v>GRMZM2G110286</v>
          </cell>
          <cell r="B3943" t="str">
            <v>GO:0045454GO:0015035GO:0009055</v>
          </cell>
        </row>
        <row r="3944">
          <cell r="A3944" t="str">
            <v>GRMZM2G136508</v>
          </cell>
          <cell r="B3944" t="str">
            <v>GO:0006813GO:0016020GO:0006865GO:0015171GO:0005249</v>
          </cell>
        </row>
        <row r="3945">
          <cell r="A3945" t="str">
            <v>GRMZM2G120296</v>
          </cell>
          <cell r="B3945" t="str">
            <v>GO:0005634GO:0045449GO:0030528</v>
          </cell>
        </row>
        <row r="3946">
          <cell r="A3946" t="str">
            <v>GRMZM2G067456</v>
          </cell>
          <cell r="B3946" t="str">
            <v>GO:0004415GO:0006952GO:0003735GO:0006412GO:0005840</v>
          </cell>
        </row>
        <row r="3947">
          <cell r="A3947" t="str">
            <v>GRMZM2G069405</v>
          </cell>
          <cell r="B3947" t="str">
            <v>GO:0006810GO:0003676GO:0005622</v>
          </cell>
        </row>
        <row r="3948">
          <cell r="A3948" t="str">
            <v>GRMZM2G170692</v>
          </cell>
          <cell r="B3948" t="str">
            <v>GO:0005737GO:0009058GO:0016841GO:0016211GO:0006559</v>
          </cell>
        </row>
        <row r="3949">
          <cell r="A3949" t="str">
            <v>GRMZM2G399183</v>
          </cell>
          <cell r="B3949" t="str">
            <v>GO:0005960GO:0006546</v>
          </cell>
        </row>
        <row r="3950">
          <cell r="A3950" t="str">
            <v>GRMZM2G046700</v>
          </cell>
          <cell r="B3950" t="str">
            <v>GO:0022891GO:0016021GO:0055085</v>
          </cell>
        </row>
        <row r="3951">
          <cell r="A3951" t="str">
            <v>GRMZM2G073150</v>
          </cell>
          <cell r="B3951" t="str">
            <v>GO:0003735GO:0006412GO:0005840</v>
          </cell>
        </row>
        <row r="3952">
          <cell r="A3952" t="str">
            <v>AC190623.3_FG001</v>
          </cell>
          <cell r="B3952" t="str">
            <v>GO:0009523GO:0009507</v>
          </cell>
        </row>
        <row r="3953">
          <cell r="A3953" t="str">
            <v>GRMZM2G054300</v>
          </cell>
          <cell r="B3953" t="str">
            <v>GO:0004096GO:0006979GO:0020037GO:0009055</v>
          </cell>
        </row>
        <row r="3954">
          <cell r="A3954" t="str">
            <v>GRMZM2G048175</v>
          </cell>
          <cell r="B3954" t="str">
            <v>GO:0015629GO:0016021GO:0005198GO:0004969GO:0007155GO:0007186</v>
          </cell>
        </row>
        <row r="3955">
          <cell r="A3955" t="str">
            <v>GRMZM2G145715</v>
          </cell>
          <cell r="B3955" t="str">
            <v>GO:0050661GO:0006098GO:0004616</v>
          </cell>
        </row>
        <row r="3956">
          <cell r="A3956" t="str">
            <v>GRMZM2G023711</v>
          </cell>
          <cell r="B3956" t="str">
            <v>GO:0045454</v>
          </cell>
        </row>
        <row r="3957">
          <cell r="A3957" t="str">
            <v>GRMZM2G098517</v>
          </cell>
          <cell r="B3957" t="str">
            <v>GO:0005525GO:0008312GO:0006614GO:0048500</v>
          </cell>
        </row>
        <row r="3958">
          <cell r="A3958" t="str">
            <v>GRMZM2G145972</v>
          </cell>
          <cell r="B3958" t="str">
            <v>GO:0050660GO:0005509GO:0008152GO:0016491</v>
          </cell>
        </row>
        <row r="3959">
          <cell r="A3959" t="str">
            <v>GRMZM2G381441</v>
          </cell>
          <cell r="B3959" t="str">
            <v>GO:0003700GO:0006355</v>
          </cell>
        </row>
        <row r="3960">
          <cell r="A3960" t="str">
            <v>GRMZM2G170400</v>
          </cell>
          <cell r="B3960" t="str">
            <v>GO:0008825GO:0008610</v>
          </cell>
        </row>
        <row r="3961">
          <cell r="A3961" t="str">
            <v>GRMZM2G004040</v>
          </cell>
          <cell r="B3961" t="str">
            <v>GO:0004222GO:0016021GO:0008270GO:0016887GO:0006508GO:0005524</v>
          </cell>
        </row>
        <row r="3962">
          <cell r="A3962" t="str">
            <v>GRMZM2G026767</v>
          </cell>
          <cell r="B3962" t="str">
            <v>GO:0004674GO:0006468GO:0004713GO:0005524</v>
          </cell>
        </row>
        <row r="3963">
          <cell r="A3963" t="str">
            <v>GRMZM2G084958</v>
          </cell>
          <cell r="B3963" t="str">
            <v>GO:0009239GO:0005488GO:0016630GO:0008667</v>
          </cell>
        </row>
        <row r="3964">
          <cell r="A3964" t="str">
            <v>GRMZM2G139407</v>
          </cell>
          <cell r="B3964" t="str">
            <v>GO:0006810GO:0003676GO:0005622</v>
          </cell>
        </row>
        <row r="3965">
          <cell r="A3965" t="str">
            <v>GRMZM2G048192</v>
          </cell>
          <cell r="B3965" t="str">
            <v>GO:0005515</v>
          </cell>
        </row>
        <row r="3966">
          <cell r="A3966" t="str">
            <v>GRMZM2G126858</v>
          </cell>
          <cell r="B3966" t="str">
            <v>GO:0004674GO:0006468GO:0005524GO:0005515GO:0004713</v>
          </cell>
        </row>
        <row r="3967">
          <cell r="A3967" t="str">
            <v>GRMZM2G414315</v>
          </cell>
          <cell r="B3967" t="str">
            <v>GO:0003700GO:0043565GO:0005634GO:0045449</v>
          </cell>
        </row>
        <row r="3968">
          <cell r="A3968" t="str">
            <v>GRMZM2G063897</v>
          </cell>
          <cell r="B3968" t="str">
            <v>GO:0004674GO:0006468GO:0004713GO:0005524</v>
          </cell>
        </row>
        <row r="3969">
          <cell r="A3969" t="str">
            <v>GRMZM2G115013</v>
          </cell>
          <cell r="B3969" t="str">
            <v>GO:0005634GO:0006260GO:0003677</v>
          </cell>
        </row>
        <row r="3970">
          <cell r="A3970" t="str">
            <v>GRMZM2G152485</v>
          </cell>
          <cell r="B3970" t="str">
            <v>GO:0016020</v>
          </cell>
        </row>
        <row r="3971">
          <cell r="A3971" t="str">
            <v>GRMZM2G092296</v>
          </cell>
          <cell r="B3971" t="str">
            <v>GO:0003735GO:0006412GO:0015935</v>
          </cell>
        </row>
        <row r="3972">
          <cell r="A3972" t="str">
            <v>GRMZM2G067853</v>
          </cell>
          <cell r="B3972" t="str">
            <v>GO:0005261GO:0016021GO:0030001GO:0015662GO:0046872GO:0006754GO:0005524</v>
          </cell>
        </row>
        <row r="3973">
          <cell r="A3973" t="str">
            <v>GRMZM2G002879</v>
          </cell>
          <cell r="B3973" t="str">
            <v>GO:0006508GO:0009987GO:0008235GO:0004177</v>
          </cell>
        </row>
        <row r="3974">
          <cell r="A3974" t="str">
            <v>GRMZM2G055141</v>
          </cell>
          <cell r="B3974" t="str">
            <v>GO:0008080GO:0008152</v>
          </cell>
        </row>
        <row r="3975">
          <cell r="A3975" t="str">
            <v>GRMZM2G076017</v>
          </cell>
          <cell r="B3975" t="str">
            <v>GO:0005529</v>
          </cell>
        </row>
        <row r="3976">
          <cell r="A3976" t="str">
            <v>GRMZM2G078500</v>
          </cell>
          <cell r="B3976" t="str">
            <v>GO:0006725GO:0016701GO:0008198GO:0008270GO:0055114GO:0009055</v>
          </cell>
        </row>
        <row r="3977">
          <cell r="A3977" t="str">
            <v>GRMZM2G033846</v>
          </cell>
          <cell r="B3977" t="str">
            <v>GO:0005509</v>
          </cell>
        </row>
        <row r="3978">
          <cell r="A3978" t="str">
            <v>GRMZM2G377855</v>
          </cell>
          <cell r="B3978" t="str">
            <v>GO:0009522GO:0015979</v>
          </cell>
        </row>
        <row r="3979">
          <cell r="A3979" t="str">
            <v>GRMZM2G146395</v>
          </cell>
          <cell r="B3979" t="str">
            <v>GO:0022900GO:0051537GO:0009055</v>
          </cell>
        </row>
        <row r="3980">
          <cell r="A3980" t="str">
            <v>GRMZM2G094978</v>
          </cell>
          <cell r="B3980" t="str">
            <v>GO:0016787GO:0008152</v>
          </cell>
        </row>
        <row r="3981">
          <cell r="A3981" t="str">
            <v>GRMZM2G000587</v>
          </cell>
          <cell r="B3981" t="str">
            <v>GO:0016757</v>
          </cell>
        </row>
        <row r="3982">
          <cell r="A3982" t="str">
            <v>GRMZM2G139535</v>
          </cell>
          <cell r="B3982" t="str">
            <v>GO:0003700GO:0006355GO:0005634GO:0043565</v>
          </cell>
        </row>
        <row r="3983">
          <cell r="A3983" t="str">
            <v>GRMZM2G149649</v>
          </cell>
          <cell r="B3983" t="str">
            <v>GO:0003735GO:0006412GO:0005840</v>
          </cell>
        </row>
        <row r="3984">
          <cell r="A3984" t="str">
            <v>GRMZM2G161566</v>
          </cell>
          <cell r="B3984" t="str">
            <v>GO:0004765GO:0005524</v>
          </cell>
        </row>
        <row r="3985">
          <cell r="A3985" t="str">
            <v>GRMZM2G411333</v>
          </cell>
          <cell r="B3985" t="str">
            <v>GO:0006508GO:0004190</v>
          </cell>
        </row>
        <row r="3986">
          <cell r="A3986" t="str">
            <v>GRMZM2G052036</v>
          </cell>
          <cell r="B3986" t="str">
            <v>GO:0008152GO:0016491</v>
          </cell>
        </row>
        <row r="3987">
          <cell r="A3987" t="str">
            <v>GRMZM2G062488</v>
          </cell>
          <cell r="B3987" t="str">
            <v>GO:0016020GO:0003830GO:0006487</v>
          </cell>
        </row>
        <row r="3988">
          <cell r="A3988" t="str">
            <v>GRMZM2G093744</v>
          </cell>
          <cell r="B3988" t="str">
            <v>GO:0005634GO:0045449GO:0030528</v>
          </cell>
        </row>
        <row r="3989">
          <cell r="A3989" t="str">
            <v>GRMZM2G039996</v>
          </cell>
          <cell r="B3989" t="str">
            <v>GO:0016020GO:0009765</v>
          </cell>
        </row>
        <row r="3990">
          <cell r="A3990" t="str">
            <v>GRMZM2G131442</v>
          </cell>
          <cell r="B3990" t="str">
            <v>GO:0050826GO:0050825GO:0042309GO:0003677</v>
          </cell>
        </row>
        <row r="3991">
          <cell r="A3991" t="str">
            <v>GRMZM2G059939</v>
          </cell>
          <cell r="B3991" t="str">
            <v>GO:0003700GO:0006355</v>
          </cell>
        </row>
        <row r="3992">
          <cell r="A3992" t="str">
            <v>GRMZM2G086403</v>
          </cell>
          <cell r="B3992" t="str">
            <v>GO:0008270GO:0005622</v>
          </cell>
        </row>
        <row r="3993">
          <cell r="A3993" t="str">
            <v>GRMZM2G115834</v>
          </cell>
          <cell r="B3993" t="str">
            <v>GO:0007165GO:0005622</v>
          </cell>
        </row>
        <row r="3994">
          <cell r="A3994" t="str">
            <v>GRMZM2G121960</v>
          </cell>
          <cell r="B3994" t="str">
            <v>GO:0006396GO:0005622</v>
          </cell>
        </row>
        <row r="3995">
          <cell r="A3995" t="str">
            <v>GRMZM2G004138</v>
          </cell>
          <cell r="B3995" t="str">
            <v>GO:0008171</v>
          </cell>
        </row>
        <row r="3996">
          <cell r="A3996" t="str">
            <v>GRMZM2G146951</v>
          </cell>
          <cell r="B3996" t="str">
            <v>GO:0016021</v>
          </cell>
        </row>
        <row r="3997">
          <cell r="A3997" t="str">
            <v>GRMZM2G004131</v>
          </cell>
          <cell r="B3997" t="str">
            <v>GO:0008299</v>
          </cell>
        </row>
        <row r="3998">
          <cell r="A3998" t="str">
            <v>GRMZM2G010452</v>
          </cell>
          <cell r="B3998" t="str">
            <v>GO:0005643GO:0000059GO:0008565GO:0005488GO:0005737</v>
          </cell>
        </row>
        <row r="3999">
          <cell r="A3999" t="str">
            <v>GRMZM2G047414</v>
          </cell>
          <cell r="B3999" t="str">
            <v>GO:0005975GO:0004650</v>
          </cell>
        </row>
        <row r="4000">
          <cell r="A4000" t="str">
            <v>GRMZM2G092432</v>
          </cell>
          <cell r="B4000" t="str">
            <v>GO:0016597GO:0008152</v>
          </cell>
        </row>
        <row r="4001">
          <cell r="A4001" t="str">
            <v>GRMZM2G169160</v>
          </cell>
          <cell r="B4001" t="str">
            <v>GO:0005737GO:0006434GO:0004828GO:0050825GO:0042309GO:0050826GO:0005524</v>
          </cell>
        </row>
        <row r="4002">
          <cell r="A4002" t="str">
            <v>GRMZM2G477340</v>
          </cell>
          <cell r="B4002" t="str">
            <v>GO:0006659</v>
          </cell>
        </row>
        <row r="4003">
          <cell r="A4003" t="str">
            <v>GRMZM2G125241</v>
          </cell>
          <cell r="B4003" t="str">
            <v>GO:0006566GO:0005524GO:0004413</v>
          </cell>
        </row>
        <row r="4004">
          <cell r="A4004" t="str">
            <v>GRMZM2G305526</v>
          </cell>
          <cell r="B4004" t="str">
            <v>GO:0048046GO:0005507GO:0046274GO:0008471GO:0055114</v>
          </cell>
        </row>
        <row r="4005">
          <cell r="A4005" t="str">
            <v>GRMZM2G044472</v>
          </cell>
          <cell r="B4005" t="str">
            <v>GO:0004607GO:0006629</v>
          </cell>
        </row>
        <row r="4006">
          <cell r="A4006" t="str">
            <v>GRMZM2G161411</v>
          </cell>
          <cell r="B4006" t="str">
            <v>GO:0003700GO:0043565GO:0005634GO:0045449</v>
          </cell>
        </row>
        <row r="4007">
          <cell r="A4007" t="str">
            <v>GRMZM2G146004</v>
          </cell>
          <cell r="B4007" t="str">
            <v>GO:0050825GO:0042309GO:0050826</v>
          </cell>
        </row>
        <row r="4008">
          <cell r="A4008" t="str">
            <v>GRMZM2G093526</v>
          </cell>
          <cell r="B4008" t="str">
            <v>GO:0016829GO:0000287GO:0008152</v>
          </cell>
        </row>
        <row r="4009">
          <cell r="A4009" t="str">
            <v>GRMZM2G058681</v>
          </cell>
          <cell r="B4009" t="str">
            <v>GO:0003735GO:0008270GO:0006412GO:0005840</v>
          </cell>
        </row>
        <row r="4010">
          <cell r="A4010" t="str">
            <v>GRMZM2G095826</v>
          </cell>
          <cell r="B4010" t="str">
            <v>GO:0022900GO:0051537GO:0009055</v>
          </cell>
        </row>
        <row r="4011">
          <cell r="A4011" t="str">
            <v>GRMZM2G141526</v>
          </cell>
          <cell r="B4011" t="str">
            <v>GO:0005576</v>
          </cell>
        </row>
        <row r="4012">
          <cell r="A4012" t="str">
            <v>GRMZM2G129208</v>
          </cell>
          <cell r="B4012" t="str">
            <v>GO:0050825GO:0005524GO:0042309GO:0050826</v>
          </cell>
        </row>
        <row r="4013">
          <cell r="A4013" t="str">
            <v>GRMZM2G078985</v>
          </cell>
          <cell r="B4013" t="str">
            <v>GO:0003735GO:0006412GO:0015935</v>
          </cell>
        </row>
        <row r="4014">
          <cell r="A4014" t="str">
            <v>GRMZM2G376727</v>
          </cell>
          <cell r="B4014" t="str">
            <v>GO:0016021GO:0005783</v>
          </cell>
        </row>
        <row r="4015">
          <cell r="A4015" t="str">
            <v>GRMZM2G079109</v>
          </cell>
          <cell r="B4015" t="str">
            <v>GO:0006508GO:0004177</v>
          </cell>
        </row>
        <row r="4016">
          <cell r="A4016" t="str">
            <v>GRMZM2G007025</v>
          </cell>
          <cell r="B4016" t="str">
            <v>GO:0016998</v>
          </cell>
        </row>
        <row r="4017">
          <cell r="A4017" t="str">
            <v>GRMZM2G163809</v>
          </cell>
          <cell r="B4017" t="str">
            <v>GO:0016765GO:0008299GO:0009842GO:0015979</v>
          </cell>
        </row>
        <row r="4018">
          <cell r="A4018" t="str">
            <v>GRMZM2G089400</v>
          </cell>
          <cell r="B4018" t="str">
            <v>GO:0008289GO:0006869</v>
          </cell>
        </row>
        <row r="4019">
          <cell r="A4019" t="str">
            <v>GRMZM2G159142</v>
          </cell>
          <cell r="B4019" t="str">
            <v>GO:0016021GO:0050825GO:0042309GO:0050826</v>
          </cell>
        </row>
        <row r="4020">
          <cell r="A4020" t="str">
            <v>GRMZM2G101438</v>
          </cell>
          <cell r="B4020" t="str">
            <v>GO:0006508GO:0009987GO:0008235GO:0004177</v>
          </cell>
        </row>
        <row r="4021">
          <cell r="A4021" t="str">
            <v>GRMZM2G100920</v>
          </cell>
          <cell r="B4021" t="str">
            <v>GO:0003824</v>
          </cell>
        </row>
        <row r="4022">
          <cell r="A4022" t="str">
            <v>GRMZM2G132371</v>
          </cell>
          <cell r="B4022" t="str">
            <v>GO:0007018GO:0003777GO:0005524GO:0005875</v>
          </cell>
        </row>
        <row r="4023">
          <cell r="A4023" t="str">
            <v>GRMZM2G309193</v>
          </cell>
          <cell r="B4023" t="str">
            <v>GO:0003735GO:0006412GO:0005840</v>
          </cell>
        </row>
        <row r="4024">
          <cell r="A4024" t="str">
            <v>GRMZM2G019876</v>
          </cell>
          <cell r="B4024" t="str">
            <v>GO:0045454</v>
          </cell>
        </row>
        <row r="4025">
          <cell r="A4025" t="str">
            <v>GRMZM2G057067</v>
          </cell>
          <cell r="B4025" t="str">
            <v>GO:0005634GO:0045449</v>
          </cell>
        </row>
        <row r="4026">
          <cell r="A4026" t="str">
            <v>GRMZM2G113476</v>
          </cell>
          <cell r="B4026" t="str">
            <v>GO:0016021GO:0004659</v>
          </cell>
        </row>
        <row r="4027">
          <cell r="A4027" t="str">
            <v>GRMZM2G064096</v>
          </cell>
          <cell r="B4027" t="str">
            <v>GO:0048046GO:0030145GO:0045735</v>
          </cell>
        </row>
        <row r="4028">
          <cell r="A4028" t="str">
            <v>GRMZM2G057374</v>
          </cell>
          <cell r="B4028" t="str">
            <v>GO:0006457</v>
          </cell>
        </row>
        <row r="4029">
          <cell r="A4029" t="str">
            <v>GRMZM2G122139</v>
          </cell>
          <cell r="B4029" t="str">
            <v>GO:0042309GO:0003702GO:0003677GO:0006355GO:0050825GO:0006367GO:0050826GO:0005669</v>
          </cell>
        </row>
        <row r="4030">
          <cell r="A4030" t="str">
            <v>GRMZM2G391042</v>
          </cell>
          <cell r="B4030" t="str">
            <v>GO:0005388GO:0016020GO:0006754GO:0006816GO:0005524</v>
          </cell>
        </row>
        <row r="4031">
          <cell r="A4031" t="str">
            <v>GRMZM2G408598</v>
          </cell>
          <cell r="B4031" t="str">
            <v>GO:0005488</v>
          </cell>
        </row>
        <row r="4032">
          <cell r="A4032" t="str">
            <v>GRMZM2G003138</v>
          </cell>
          <cell r="B4032" t="str">
            <v>GO:0006633GO:0016020GO:0008415</v>
          </cell>
        </row>
        <row r="4033">
          <cell r="A4033" t="str">
            <v>GRMZM2G470914</v>
          </cell>
          <cell r="B4033" t="str">
            <v>GO:0016021GO:0005199GO:0006355GO:0003677GO:0007186GO:0005634GO:0004879</v>
          </cell>
        </row>
        <row r="4034">
          <cell r="A4034" t="str">
            <v>GRMZM2G006977</v>
          </cell>
          <cell r="B4034" t="str">
            <v>GO:0005388GO:0016020GO:0006754GO:0006816GO:0005524</v>
          </cell>
        </row>
        <row r="4035">
          <cell r="A4035" t="str">
            <v>GRMZM2G075676</v>
          </cell>
          <cell r="B4035" t="str">
            <v>GO:0006508GO:0004185</v>
          </cell>
        </row>
        <row r="4036">
          <cell r="A4036" t="str">
            <v>GRMZM2G038487</v>
          </cell>
          <cell r="B4036" t="str">
            <v>GO:0051537GO:0016705GO:0016740GO:0005506GO:0055114GO:0009055</v>
          </cell>
        </row>
        <row r="4037">
          <cell r="A4037" t="str">
            <v>GRMZM2G178886</v>
          </cell>
          <cell r="B4037" t="str">
            <v>GO:0045454GO:0015035GO:0009055</v>
          </cell>
        </row>
        <row r="4038">
          <cell r="A4038" t="str">
            <v>GRMZM2G475984</v>
          </cell>
          <cell r="B4038" t="str">
            <v>GO:0003700GO:0043565GO:0005634GO:0045449</v>
          </cell>
        </row>
        <row r="4039">
          <cell r="A4039" t="str">
            <v>GRMZM2G149717</v>
          </cell>
          <cell r="B4039" t="str">
            <v>GO:0003924GO:0005525</v>
          </cell>
        </row>
        <row r="4040">
          <cell r="A4040" t="str">
            <v>GRMZM2G149714</v>
          </cell>
          <cell r="B4040" t="str">
            <v>GO:0048046GO:0030145GO:0045735</v>
          </cell>
        </row>
        <row r="4041">
          <cell r="A4041" t="str">
            <v>GRMZM2G050072</v>
          </cell>
          <cell r="B4041" t="str">
            <v>GO:0016747</v>
          </cell>
        </row>
        <row r="4042">
          <cell r="A4042" t="str">
            <v>GRMZM2G012340</v>
          </cell>
          <cell r="B4042" t="str">
            <v>GO:0006457</v>
          </cell>
        </row>
        <row r="4043">
          <cell r="A4043" t="str">
            <v>GRMZM2G400470</v>
          </cell>
          <cell r="B4043" t="str">
            <v>GO:0004674GO:0006468GO:0004713GO:0005524</v>
          </cell>
        </row>
        <row r="4044">
          <cell r="A4044" t="str">
            <v>GRMZM2G077187</v>
          </cell>
          <cell r="B4044" t="str">
            <v>GO:0003824GO:0016020</v>
          </cell>
        </row>
        <row r="4045">
          <cell r="A4045" t="str">
            <v>GRMZM2G057576</v>
          </cell>
          <cell r="B4045" t="str">
            <v>GO:0016192GO:0006886GO:0005198GO:0005515GO:0030130GO:0030132</v>
          </cell>
        </row>
        <row r="4046">
          <cell r="A4046" t="str">
            <v>GRMZM2G013342</v>
          </cell>
          <cell r="B4046" t="str">
            <v>GO:0015979GO:0009538</v>
          </cell>
        </row>
        <row r="4047">
          <cell r="A4047" t="str">
            <v>GRMZM2G063851</v>
          </cell>
          <cell r="B4047" t="str">
            <v>GO:0004108GO:0044262</v>
          </cell>
        </row>
        <row r="4048">
          <cell r="A4048" t="str">
            <v>GRMZM2G013430</v>
          </cell>
          <cell r="B4048" t="str">
            <v>GO:0005737GO:0006535GO:0050825GO:0042309GO:0050826GO:0009001</v>
          </cell>
        </row>
        <row r="4049">
          <cell r="A4049" t="str">
            <v>AC196489.3_FG002</v>
          </cell>
          <cell r="B4049" t="str">
            <v>GO:0003735GO:0006412GO:0005840</v>
          </cell>
        </row>
        <row r="4050">
          <cell r="A4050" t="str">
            <v>GRMZM2G144367</v>
          </cell>
          <cell r="B4050" t="str">
            <v>GO:0016020</v>
          </cell>
        </row>
        <row r="4051">
          <cell r="A4051" t="str">
            <v>GRMZM2G336858</v>
          </cell>
          <cell r="B4051" t="str">
            <v>GO:0006457</v>
          </cell>
        </row>
        <row r="4052">
          <cell r="A4052" t="str">
            <v>GRMZM2G142870</v>
          </cell>
          <cell r="B4052" t="str">
            <v>GO:0016021GO:0006810GO:0042626GO:0005524</v>
          </cell>
        </row>
        <row r="4053">
          <cell r="A4053" t="str">
            <v>GRMZM2G131982</v>
          </cell>
          <cell r="B4053" t="str">
            <v>GO:0008270GO:0005622</v>
          </cell>
        </row>
        <row r="4054">
          <cell r="A4054" t="str">
            <v>GRMZM2G096792</v>
          </cell>
          <cell r="B4054" t="str">
            <v>GO:0005506GO:0051536GO:0009055</v>
          </cell>
        </row>
        <row r="4055">
          <cell r="A4055" t="str">
            <v>GRMZM2G079632</v>
          </cell>
          <cell r="B4055" t="str">
            <v>GO:0045449GO:0003677</v>
          </cell>
        </row>
        <row r="4056">
          <cell r="A4056" t="str">
            <v>GRMZM2G109677</v>
          </cell>
          <cell r="B4056" t="str">
            <v>GO:0003735GO:0006412GO:0005840</v>
          </cell>
        </row>
        <row r="4057">
          <cell r="A4057" t="str">
            <v>GRMZM2G059799</v>
          </cell>
          <cell r="B4057" t="str">
            <v>GO:0006950</v>
          </cell>
        </row>
        <row r="4058">
          <cell r="A4058" t="str">
            <v>GRMZM2G144097</v>
          </cell>
          <cell r="B4058" t="str">
            <v>GO:0005634GO:0045449GO:0030528</v>
          </cell>
        </row>
        <row r="4059">
          <cell r="A4059" t="str">
            <v>GRMZM2G135359</v>
          </cell>
          <cell r="B4059" t="str">
            <v>GO:0004674GO:0006468GO:0004713GO:0005524GO:0005199</v>
          </cell>
        </row>
        <row r="4060">
          <cell r="A4060" t="str">
            <v>GRMZM2G167497</v>
          </cell>
          <cell r="B4060" t="str">
            <v>GO:0030246</v>
          </cell>
        </row>
        <row r="4061">
          <cell r="A4061" t="str">
            <v>GRMZM2G178955</v>
          </cell>
          <cell r="B4061" t="str">
            <v>GO:0005543</v>
          </cell>
        </row>
        <row r="4062">
          <cell r="A4062" t="str">
            <v>GRMZM2G015955</v>
          </cell>
          <cell r="B4062" t="str">
            <v>GO:0016021GO:0006829GO:0005385</v>
          </cell>
        </row>
        <row r="4063">
          <cell r="A4063" t="str">
            <v>GRMZM2G091383</v>
          </cell>
          <cell r="B4063" t="str">
            <v>GO:0003735GO:0006412GO:0005840</v>
          </cell>
        </row>
        <row r="4064">
          <cell r="A4064" t="str">
            <v>GRMZM2G149281</v>
          </cell>
          <cell r="B4064" t="str">
            <v>GO:0006139GO:0019201GO:0016776GO:0005524</v>
          </cell>
        </row>
        <row r="4065">
          <cell r="A4065" t="str">
            <v>GRMZM2G134334</v>
          </cell>
          <cell r="B4065" t="str">
            <v>GO:0003677GO:0050825GO:0008270GO:0042309GO:0050826</v>
          </cell>
        </row>
        <row r="4066">
          <cell r="A4066" t="str">
            <v>GRMZM2G059428</v>
          </cell>
          <cell r="B4066" t="str">
            <v>GO:0045449GO:0003677</v>
          </cell>
        </row>
        <row r="4067">
          <cell r="A4067" t="str">
            <v>GRMZM2G012631</v>
          </cell>
          <cell r="B4067" t="str">
            <v>GO:0006457GO:0051082GO:0005524</v>
          </cell>
        </row>
        <row r="4068">
          <cell r="A4068" t="str">
            <v>GRMZM2G126900</v>
          </cell>
          <cell r="B4068" t="str">
            <v>GO:0005737GO:0050113GO:0019310GO:0005506</v>
          </cell>
        </row>
        <row r="4069">
          <cell r="A4069" t="str">
            <v>AC212023.4_FG004</v>
          </cell>
          <cell r="B4069" t="str">
            <v>GO:0004857GO:0030599</v>
          </cell>
        </row>
        <row r="4070">
          <cell r="A4070" t="str">
            <v>GRMZM2G158437</v>
          </cell>
          <cell r="B4070" t="str">
            <v>GO:0005215GO:0006810GO:0005488GO:0055114GO:0016491</v>
          </cell>
        </row>
        <row r="4071">
          <cell r="A4071" t="str">
            <v>GRMZM2G084928</v>
          </cell>
          <cell r="B4071" t="str">
            <v>GO:0004519</v>
          </cell>
        </row>
        <row r="4072">
          <cell r="A4072" t="str">
            <v>GRMZM2G106443</v>
          </cell>
          <cell r="B4072" t="str">
            <v>GO:0016758GO:0008152</v>
          </cell>
        </row>
        <row r="4073">
          <cell r="A4073" t="str">
            <v>GRMZM2G054803</v>
          </cell>
          <cell r="B4073" t="str">
            <v>GO:0016765</v>
          </cell>
        </row>
        <row r="4074">
          <cell r="A4074" t="str">
            <v>GRMZM2G177213</v>
          </cell>
          <cell r="B4074" t="str">
            <v>GO:0005743GO:0006810GO:0005488GO:0005215</v>
          </cell>
        </row>
        <row r="4075">
          <cell r="A4075" t="str">
            <v>GRMZM2G163200</v>
          </cell>
          <cell r="B4075" t="str">
            <v>GO:0003700GO:0006355GO:0005634GO:0008270GO:0043565</v>
          </cell>
        </row>
        <row r="4076">
          <cell r="A4076" t="str">
            <v>GRMZM2G478779</v>
          </cell>
          <cell r="B4076" t="str">
            <v>GO:0006139GO:0005524GO:0005515GO:0019205</v>
          </cell>
        </row>
        <row r="4077">
          <cell r="A4077" t="str">
            <v>GRMZM2G013652</v>
          </cell>
          <cell r="B4077" t="str">
            <v>GO:0006457GO:0005524</v>
          </cell>
        </row>
        <row r="4078">
          <cell r="A4078" t="str">
            <v>GRMZM2G088114</v>
          </cell>
          <cell r="B4078" t="str">
            <v>GO:0003723</v>
          </cell>
        </row>
        <row r="4079">
          <cell r="A4079" t="str">
            <v>GRMZM2G444801</v>
          </cell>
          <cell r="B4079" t="str">
            <v>GO:0016021GO:0008271GO:0008272</v>
          </cell>
        </row>
        <row r="4080">
          <cell r="A4080" t="str">
            <v>AC209050.3_FG003</v>
          </cell>
          <cell r="B4080" t="str">
            <v>GO:0003700GO:0043565GO:0005634GO:0045449</v>
          </cell>
        </row>
        <row r="4081">
          <cell r="A4081" t="str">
            <v>AC210173.4_FG005</v>
          </cell>
          <cell r="B4081" t="str">
            <v>GO:0004497GO:0020037GO:0009055</v>
          </cell>
        </row>
        <row r="4082">
          <cell r="A4082" t="str">
            <v>GRMZM2G007695</v>
          </cell>
          <cell r="B4082" t="str">
            <v>GO:0003735GO:0006412GO:0005840</v>
          </cell>
        </row>
        <row r="4083">
          <cell r="A4083" t="str">
            <v>GRMZM2G068151</v>
          </cell>
          <cell r="B4083" t="str">
            <v>GO:0004674GO:0006468GO:0004713GO:0005524</v>
          </cell>
        </row>
        <row r="4084">
          <cell r="A4084" t="str">
            <v>GRMZM2G055957</v>
          </cell>
          <cell r="B4084" t="str">
            <v>GO:0004674GO:0006468GO:0004713GO:0005524</v>
          </cell>
        </row>
        <row r="4085">
          <cell r="A4085" t="str">
            <v>GRMZM2G026117</v>
          </cell>
          <cell r="B4085" t="str">
            <v>GO:0033014GO:0004418</v>
          </cell>
        </row>
        <row r="4086">
          <cell r="A4086" t="str">
            <v>GRMZM2G061537</v>
          </cell>
          <cell r="B4086" t="str">
            <v>GO:0004674GO:0006468GO:0004713GO:0005524</v>
          </cell>
        </row>
        <row r="4087">
          <cell r="A4087" t="str">
            <v>GRMZM2G098679</v>
          </cell>
          <cell r="B4087" t="str">
            <v>GO:0015904GO:0016021GO:0015520GO:0046677GO:0055085</v>
          </cell>
        </row>
        <row r="4088">
          <cell r="A4088" t="str">
            <v>GRMZM2G001508</v>
          </cell>
          <cell r="B4088" t="str">
            <v>GO:0003993</v>
          </cell>
        </row>
        <row r="4089">
          <cell r="A4089" t="str">
            <v>GRMZM2G134797</v>
          </cell>
          <cell r="B4089" t="str">
            <v>GO:0006228GO:0006241GO:0004550GO:0005524GO:0006183</v>
          </cell>
        </row>
        <row r="4090">
          <cell r="A4090" t="str">
            <v>GRMZM2G168149</v>
          </cell>
          <cell r="B4090" t="str">
            <v>GO:0003735GO:0015935GO:0006412GO:0003723</v>
          </cell>
        </row>
        <row r="4091">
          <cell r="A4091" t="str">
            <v>GRMZM2G168143</v>
          </cell>
          <cell r="B4091" t="str">
            <v>GO:0004324GO:0050661GO:0050660GO:0042651GO:0009055</v>
          </cell>
        </row>
        <row r="4092">
          <cell r="A4092" t="str">
            <v>GRMZM2G088753</v>
          </cell>
          <cell r="B4092" t="str">
            <v>GO:0043169GO:0005975GO:0004553</v>
          </cell>
        </row>
        <row r="4093">
          <cell r="A4093" t="str">
            <v>GRMZM2G463913</v>
          </cell>
          <cell r="B4093" t="str">
            <v>GO:0003735GO:0006412GO:0005840</v>
          </cell>
        </row>
        <row r="4094">
          <cell r="A4094" t="str">
            <v>GRMZM2G076263</v>
          </cell>
          <cell r="B4094" t="str">
            <v>GO:0003735GO:0006412GO:0005840</v>
          </cell>
        </row>
        <row r="4095">
          <cell r="A4095" t="str">
            <v>GRMZM2G082792</v>
          </cell>
          <cell r="B4095" t="str">
            <v>GO:0016491GO:0016481GO:0010181</v>
          </cell>
        </row>
        <row r="4096">
          <cell r="A4096" t="str">
            <v>GRMZM2G160069</v>
          </cell>
          <cell r="B4096" t="str">
            <v>GO:0016021GO:0017153GO:0006835GO:0055085</v>
          </cell>
        </row>
        <row r="4097">
          <cell r="A4097" t="str">
            <v>GRMZM2G145962</v>
          </cell>
          <cell r="B4097" t="str">
            <v>GO:0003735GO:0006412GO:0005840</v>
          </cell>
        </row>
        <row r="4098">
          <cell r="A4098" t="str">
            <v>GRMZM2G026024</v>
          </cell>
          <cell r="B4098" t="str">
            <v>GO:0005975GO:0017111GO:0008974GO:0005524</v>
          </cell>
        </row>
        <row r="4099">
          <cell r="A4099" t="str">
            <v>GRMZM2G434173</v>
          </cell>
          <cell r="B4099" t="str">
            <v>GO:0005737GO:0006457GO:0005524GO:0005515</v>
          </cell>
        </row>
        <row r="4100">
          <cell r="A4100" t="str">
            <v>GRMZM2G381453</v>
          </cell>
          <cell r="B4100" t="str">
            <v>GO:0005215GO:0016021GO:0006810</v>
          </cell>
        </row>
        <row r="4101">
          <cell r="A4101" t="str">
            <v>GRMZM2G048430</v>
          </cell>
          <cell r="B4101" t="str">
            <v>GO:0003735GO:0004857GO:0006412GO:0030599GO:0005840</v>
          </cell>
        </row>
        <row r="4102">
          <cell r="A4102" t="str">
            <v>GRMZM2G080274</v>
          </cell>
          <cell r="B4102" t="str">
            <v>GO:0006334GO:0003677GO:0050826GO:0050825GO:0042309GO:0000786GO:0005634</v>
          </cell>
        </row>
        <row r="4103">
          <cell r="A4103" t="str">
            <v>GRMZM2G134668</v>
          </cell>
          <cell r="B4103" t="str">
            <v>GO:0006457GO:0005509GO:0051082GO:0005783</v>
          </cell>
        </row>
        <row r="4104">
          <cell r="A4104" t="str">
            <v>GRMZM2G161310</v>
          </cell>
          <cell r="B4104" t="str">
            <v>GO:0015904GO:0016021GO:0015520GO:0046677</v>
          </cell>
        </row>
        <row r="4105">
          <cell r="A4105" t="str">
            <v>GRMZM2G147701</v>
          </cell>
          <cell r="B4105" t="str">
            <v>GO:0009239GO:0005488GO:0008667</v>
          </cell>
        </row>
        <row r="4106">
          <cell r="A4106" t="str">
            <v>GRMZM2G322506</v>
          </cell>
          <cell r="B4106" t="str">
            <v>GO:0006508GO:0004197GO:0017111GO:0000166</v>
          </cell>
        </row>
        <row r="4107">
          <cell r="A4107" t="str">
            <v>GRMZM2G025480</v>
          </cell>
          <cell r="B4107" t="str">
            <v>GO:0005488</v>
          </cell>
        </row>
        <row r="4108">
          <cell r="A4108" t="str">
            <v>GRMZM2G111216</v>
          </cell>
          <cell r="B4108" t="str">
            <v>GO:0050662GO:0044237GO:0003824GO:0050825GO:0042309GO:0050826</v>
          </cell>
        </row>
        <row r="4109">
          <cell r="A4109" t="str">
            <v>GRMZM2G173965</v>
          </cell>
          <cell r="B4109" t="str">
            <v>GO:0004674GO:0006468GO:0004713GO:0005524</v>
          </cell>
        </row>
        <row r="4110">
          <cell r="A4110" t="str">
            <v>GRMZM2G174644</v>
          </cell>
          <cell r="B4110" t="str">
            <v>GO:0008202</v>
          </cell>
        </row>
        <row r="4111">
          <cell r="A4111" t="str">
            <v>GRMZM2G377115</v>
          </cell>
          <cell r="B4111" t="str">
            <v>GO:0004674GO:0006468GO:0005524</v>
          </cell>
        </row>
        <row r="4112">
          <cell r="A4112" t="str">
            <v>GRMZM2G076006</v>
          </cell>
          <cell r="B4112" t="str">
            <v>GO:0046872GO:0004462</v>
          </cell>
        </row>
        <row r="4113">
          <cell r="A4113" t="str">
            <v>GRMZM2G479423</v>
          </cell>
          <cell r="B4113" t="str">
            <v>GO:0055114GO:0016491</v>
          </cell>
        </row>
        <row r="4114">
          <cell r="A4114" t="str">
            <v>GRMZM2G137861</v>
          </cell>
          <cell r="B4114" t="str">
            <v>GO:0004674GO:0006468GO:0004713GO:0005524</v>
          </cell>
        </row>
        <row r="4115">
          <cell r="A4115" t="str">
            <v>AC217947.4_FG002</v>
          </cell>
          <cell r="B4115" t="str">
            <v>GO:0016491GO:0005506GO:0010181GO:0009055</v>
          </cell>
        </row>
        <row r="4116">
          <cell r="A4116" t="str">
            <v>GRMZM2G137864</v>
          </cell>
          <cell r="B4116" t="str">
            <v>GO:0005840GO:0005634GO:0003677GO:0003735GO:0006355GO:0050825GO:0042309GO:0050826GO:0006412GO:0004879</v>
          </cell>
        </row>
        <row r="4117">
          <cell r="A4117" t="str">
            <v>GRMZM2G052100</v>
          </cell>
          <cell r="B4117" t="str">
            <v>GO:0006950</v>
          </cell>
        </row>
        <row r="4118">
          <cell r="A4118" t="str">
            <v>GRMZM2G033855</v>
          </cell>
          <cell r="B4118" t="str">
            <v>GO:0008270GO:0005515</v>
          </cell>
        </row>
        <row r="4119">
          <cell r="A4119" t="str">
            <v>GRMZM2G062788</v>
          </cell>
          <cell r="B4119" t="str">
            <v>GO:0031072GO:0006457GO:0051082</v>
          </cell>
        </row>
        <row r="4120">
          <cell r="A4120" t="str">
            <v>GRMZM2G024996</v>
          </cell>
          <cell r="B4120" t="str">
            <v>GO:0051260GO:0016021GO:0007186GO:0004930</v>
          </cell>
        </row>
        <row r="4121">
          <cell r="A4121" t="str">
            <v>GRMZM2G031983</v>
          </cell>
          <cell r="B4121" t="str">
            <v>GO:0043565GO:0003700GO:0005634GO:0006355GO:0050825GO:0008270GO:0042309GO:0050826</v>
          </cell>
        </row>
        <row r="4122">
          <cell r="A4122" t="str">
            <v>GRMZM2G168375</v>
          </cell>
          <cell r="B4122" t="str">
            <v>GO:0003824GO:0008152</v>
          </cell>
        </row>
        <row r="4123">
          <cell r="A4123" t="str">
            <v>GRMZM2G011253</v>
          </cell>
          <cell r="B4123" t="str">
            <v>GO:0003735GO:0006412GO:0005840</v>
          </cell>
        </row>
        <row r="4124">
          <cell r="A4124" t="str">
            <v>GRMZM2G080608</v>
          </cell>
          <cell r="B4124" t="str">
            <v>GO:0003735GO:0006412GO:0005840</v>
          </cell>
        </row>
        <row r="4125">
          <cell r="A4125" t="str">
            <v>GRMZM2G159811</v>
          </cell>
          <cell r="B4125" t="str">
            <v>GO:0006470GO:0008287GO:0004722</v>
          </cell>
        </row>
        <row r="4126">
          <cell r="A4126" t="str">
            <v>GRMZM2G322618</v>
          </cell>
          <cell r="B4126" t="str">
            <v>GO:0004965GO:0016021GO:0007186</v>
          </cell>
        </row>
        <row r="4127">
          <cell r="A4127" t="str">
            <v>GRMZM2G073310</v>
          </cell>
          <cell r="B4127" t="str">
            <v>GO:0000151GO:0016567GO:0050825GO:0042309GO:0050826GO:0004842</v>
          </cell>
        </row>
        <row r="4128">
          <cell r="A4128" t="str">
            <v>GRMZM2G139874</v>
          </cell>
          <cell r="B4128" t="str">
            <v>GO:0004497GO:0020037GO:0009055</v>
          </cell>
        </row>
        <row r="4129">
          <cell r="A4129" t="str">
            <v>AC187262.4_FG007</v>
          </cell>
          <cell r="B4129" t="str">
            <v>GO:0050825GO:0042309GO:0050826</v>
          </cell>
        </row>
        <row r="4130">
          <cell r="A4130" t="str">
            <v>GRMZM2G141289</v>
          </cell>
          <cell r="B4130" t="str">
            <v>GO:0030060GO:0005975GO:0006108GO:0005488</v>
          </cell>
        </row>
        <row r="4131">
          <cell r="A4131" t="str">
            <v>GRMZM2G179147</v>
          </cell>
          <cell r="B4131" t="str">
            <v>GO:0004497GO:0020037GO:0009055</v>
          </cell>
        </row>
        <row r="4132">
          <cell r="A4132" t="str">
            <v>GRMZM2G099491</v>
          </cell>
          <cell r="B4132" t="str">
            <v>GO:0005515</v>
          </cell>
        </row>
        <row r="4133">
          <cell r="A4133" t="str">
            <v>GRMZM2G033926</v>
          </cell>
          <cell r="B4133" t="str">
            <v>GO:0008415GO:0008152</v>
          </cell>
        </row>
        <row r="4134">
          <cell r="A4134" t="str">
            <v>GRMZM2G136794</v>
          </cell>
          <cell r="B4134" t="str">
            <v>GO:0006865GO:0015904GO:0016021GO:0015520GO:0046677</v>
          </cell>
        </row>
        <row r="4135">
          <cell r="A4135" t="str">
            <v>GRMZM2G173387</v>
          </cell>
          <cell r="B4135" t="str">
            <v>GO:0006813GO:0016020GO:0015079</v>
          </cell>
        </row>
        <row r="4136">
          <cell r="A4136" t="str">
            <v>GRMZM2G125653</v>
          </cell>
          <cell r="B4136" t="str">
            <v>GO:0003700GO:0043565GO:0005634GO:0045449</v>
          </cell>
        </row>
        <row r="4137">
          <cell r="A4137" t="str">
            <v>GRMZM2G018869</v>
          </cell>
          <cell r="B4137" t="str">
            <v>GO:0008375GO:0016020</v>
          </cell>
        </row>
        <row r="4138">
          <cell r="A4138" t="str">
            <v>GRMZM2G092427</v>
          </cell>
          <cell r="B4138" t="str">
            <v>GO:0016020GO:0009765</v>
          </cell>
        </row>
        <row r="4139">
          <cell r="A4139" t="str">
            <v>GRMZM2G096962</v>
          </cell>
          <cell r="B4139" t="str">
            <v>GO:0003735GO:0006412GO:0005840</v>
          </cell>
        </row>
        <row r="4140">
          <cell r="A4140" t="str">
            <v>AC198403.3_FG001</v>
          </cell>
          <cell r="B4140" t="str">
            <v>GO:0003700GO:0006355</v>
          </cell>
        </row>
        <row r="4141">
          <cell r="A4141" t="str">
            <v>GRMZM2G172369</v>
          </cell>
          <cell r="B4141" t="str">
            <v>GO:0030246GO:0006013GO:0008270GO:0004559</v>
          </cell>
        </row>
        <row r="4142">
          <cell r="A4142" t="str">
            <v>GRMZM2G077356</v>
          </cell>
          <cell r="B4142" t="str">
            <v>GO:0005634GO:0045449</v>
          </cell>
        </row>
        <row r="4143">
          <cell r="A4143" t="str">
            <v>GRMZM2G156785</v>
          </cell>
          <cell r="B4143" t="str">
            <v>GO:0005634GO:0003677</v>
          </cell>
        </row>
        <row r="4144">
          <cell r="A4144" t="str">
            <v>GRMZM2G148090</v>
          </cell>
          <cell r="B4144" t="str">
            <v>GO:0008270GO:0003676</v>
          </cell>
        </row>
        <row r="4145">
          <cell r="A4145" t="str">
            <v>GRMZM2G024264</v>
          </cell>
          <cell r="B4145" t="str">
            <v>GO:0004869</v>
          </cell>
        </row>
        <row r="4146">
          <cell r="A4146" t="str">
            <v>GRMZM2G332294</v>
          </cell>
          <cell r="B4146" t="str">
            <v>GO:0003700GO:0006355GO:0046983GO:0005634GO:0043565</v>
          </cell>
        </row>
        <row r="4147">
          <cell r="A4147" t="str">
            <v>GRMZM2G173341</v>
          </cell>
          <cell r="B4147" t="str">
            <v>GO:0005794GO:0030244GO:0007047GO:0016758GO:0009505GO:0030054</v>
          </cell>
        </row>
        <row r="4148">
          <cell r="A4148" t="str">
            <v>GRMZM2G086897</v>
          </cell>
          <cell r="B4148" t="str">
            <v>GO:0050825GO:0042309GO:0050826</v>
          </cell>
        </row>
        <row r="4149">
          <cell r="A4149" t="str">
            <v>GRMZM2G040968</v>
          </cell>
          <cell r="B4149" t="str">
            <v>GO:0016310GO:0016301GO:0005524</v>
          </cell>
        </row>
        <row r="4150">
          <cell r="A4150" t="str">
            <v>GRMZM2G362303</v>
          </cell>
          <cell r="B4150" t="str">
            <v>GO:0004674GO:0006468GO:0004713GO:0005524</v>
          </cell>
        </row>
        <row r="4151">
          <cell r="A4151" t="str">
            <v>GRMZM2G429940</v>
          </cell>
          <cell r="B4151" t="str">
            <v>GO:0004674GO:0006468GO:0004713GO:0005524GO:0007165</v>
          </cell>
        </row>
        <row r="4152">
          <cell r="A4152" t="str">
            <v>GRMZM2G094490</v>
          </cell>
          <cell r="B4152" t="str">
            <v>GO:0004176GO:0006508GO:0016020GO:0005524GO:0004252</v>
          </cell>
        </row>
        <row r="4153">
          <cell r="A4153" t="str">
            <v>AC196475.3_FG004</v>
          </cell>
          <cell r="B4153" t="str">
            <v>GO:0046983GO:0008171</v>
          </cell>
        </row>
        <row r="4154">
          <cell r="A4154" t="str">
            <v>GRMZM2G086788</v>
          </cell>
          <cell r="B4154" t="str">
            <v>GO:0003735GO:0006412GO:0005840</v>
          </cell>
        </row>
        <row r="4155">
          <cell r="A4155" t="str">
            <v>AC210596.3_FG003</v>
          </cell>
          <cell r="B4155" t="str">
            <v>GO:0005509</v>
          </cell>
        </row>
        <row r="4156">
          <cell r="A4156" t="str">
            <v>GRMZM2G065557</v>
          </cell>
          <cell r="B4156" t="str">
            <v>GO:0008289GO:0006869</v>
          </cell>
        </row>
        <row r="4157">
          <cell r="A4157" t="str">
            <v>GRMZM2G132140</v>
          </cell>
          <cell r="B4157" t="str">
            <v>GO:0016855</v>
          </cell>
        </row>
        <row r="4158">
          <cell r="A4158" t="str">
            <v>GRMZM2G143512</v>
          </cell>
          <cell r="B4158" t="str">
            <v>GO:0004008GO:0005261GO:0006754GO:0016021GO:0015694GO:0006825GO:0046872GO:0015097GO:0005524</v>
          </cell>
        </row>
        <row r="4159">
          <cell r="A4159" t="str">
            <v>GRMZM2G401664</v>
          </cell>
          <cell r="B4159" t="str">
            <v>GO:0004629GO:0006629GO:0007242</v>
          </cell>
        </row>
        <row r="4160">
          <cell r="A4160" t="str">
            <v>GRMZM2G025031</v>
          </cell>
          <cell r="B4160" t="str">
            <v>GO:0004853GO:0006779</v>
          </cell>
        </row>
        <row r="4161">
          <cell r="A4161" t="str">
            <v>GRMZM2G039365</v>
          </cell>
          <cell r="B4161" t="str">
            <v>GO:0050825GO:0042309GO:0050826</v>
          </cell>
        </row>
        <row r="4162">
          <cell r="A4162" t="str">
            <v>GRMZM2G089698</v>
          </cell>
          <cell r="B4162" t="str">
            <v>GO:0016747</v>
          </cell>
        </row>
        <row r="4163">
          <cell r="A4163" t="str">
            <v>GRMZM2G422576</v>
          </cell>
          <cell r="B4163" t="str">
            <v>GO:0004674GO:0006468GO:0004713GO:0005524</v>
          </cell>
        </row>
        <row r="4164">
          <cell r="A4164" t="str">
            <v>GRMZM2G085198</v>
          </cell>
          <cell r="B4164" t="str">
            <v>GO:0004601GO:0006979GO:0020037GO:0009055</v>
          </cell>
        </row>
        <row r="4165">
          <cell r="A4165" t="str">
            <v>GRMZM2G132968</v>
          </cell>
          <cell r="B4165" t="str">
            <v>GO:0003735GO:0006412GO:0005840</v>
          </cell>
        </row>
        <row r="4166">
          <cell r="A4166" t="str">
            <v>GRMZM2G164965</v>
          </cell>
          <cell r="B4166" t="str">
            <v>GO:0003735GO:0015934GO:0006412</v>
          </cell>
        </row>
        <row r="4167">
          <cell r="A4167" t="str">
            <v>GRMZM2G423169</v>
          </cell>
          <cell r="B4167" t="str">
            <v>GO:0003735GO:0008097GO:0006412GO:0005840</v>
          </cell>
        </row>
        <row r="4168">
          <cell r="A4168" t="str">
            <v>GRMZM2G080816</v>
          </cell>
          <cell r="B4168" t="str">
            <v>GO:0009306</v>
          </cell>
        </row>
        <row r="4169">
          <cell r="A4169" t="str">
            <v>GRMZM2G084825</v>
          </cell>
          <cell r="B4169" t="str">
            <v>GO:0004674GO:0006468GO:0004713GO:0005524</v>
          </cell>
        </row>
        <row r="4170">
          <cell r="A4170" t="str">
            <v>GRMZM2G338259</v>
          </cell>
          <cell r="B4170" t="str">
            <v>GO:0006355GO:0005634GO:0003677GO:0009725</v>
          </cell>
        </row>
        <row r="4171">
          <cell r="A4171" t="str">
            <v>GRMZM2G089506</v>
          </cell>
          <cell r="B4171" t="str">
            <v>GO:0006508GO:0004190</v>
          </cell>
        </row>
        <row r="4172">
          <cell r="A4172" t="str">
            <v>GRMZM2G166245</v>
          </cell>
          <cell r="B4172" t="str">
            <v>GO:0016773GO:0005975</v>
          </cell>
        </row>
        <row r="4173">
          <cell r="A4173" t="str">
            <v>GRMZM2G159554</v>
          </cell>
          <cell r="B4173" t="str">
            <v>GO:0003735GO:0006412GO:0005840</v>
          </cell>
        </row>
        <row r="4174">
          <cell r="A4174" t="str">
            <v>GRMZM2G064159</v>
          </cell>
          <cell r="B4174" t="str">
            <v>GO:0009446GO:0047632</v>
          </cell>
        </row>
        <row r="4175">
          <cell r="A4175" t="str">
            <v>GRMZM2G021909</v>
          </cell>
          <cell r="B4175" t="str">
            <v>GO:0005543</v>
          </cell>
        </row>
        <row r="4176">
          <cell r="A4176" t="str">
            <v>GRMZM2G443445</v>
          </cell>
          <cell r="B4176" t="str">
            <v>GO:0016616GO:0048037GO:0008270GO:0055114</v>
          </cell>
        </row>
        <row r="4177">
          <cell r="A4177" t="str">
            <v>GRMZM2G098892</v>
          </cell>
          <cell r="B4177" t="str">
            <v>GO:0016758GO:0008152</v>
          </cell>
        </row>
        <row r="4178">
          <cell r="A4178" t="str">
            <v>GRMZM2G129540</v>
          </cell>
          <cell r="B4178" t="str">
            <v>GO:0016787</v>
          </cell>
        </row>
        <row r="4179">
          <cell r="A4179" t="str">
            <v>GRMZM2G113203</v>
          </cell>
          <cell r="B4179" t="str">
            <v>GO:0042626GO:0016021GO:0006810GO:0007264GO:0005524GO:0005525</v>
          </cell>
        </row>
        <row r="4180">
          <cell r="A4180" t="str">
            <v>GRMZM2G001696</v>
          </cell>
          <cell r="B4180" t="str">
            <v>GO:0004612GO:0005524GO:0006094</v>
          </cell>
        </row>
        <row r="4181">
          <cell r="A4181" t="str">
            <v>GRMZM2G058095</v>
          </cell>
          <cell r="B4181" t="str">
            <v>GO:0004420GO:0008299GO:0016021GO:0015936GO:0050661</v>
          </cell>
        </row>
        <row r="4182">
          <cell r="A4182" t="str">
            <v>GRMZM2G339122</v>
          </cell>
          <cell r="B4182" t="str">
            <v>GO:0009306GO:0009664GO:0015450GO:0005576GO:0016021</v>
          </cell>
        </row>
        <row r="4183">
          <cell r="A4183" t="str">
            <v>GRMZM2G095611</v>
          </cell>
          <cell r="B4183" t="str">
            <v>GO:0005215GO:0016020GO:0006810</v>
          </cell>
        </row>
        <row r="4184">
          <cell r="A4184" t="str">
            <v>GRMZM2G450125</v>
          </cell>
          <cell r="B4184" t="str">
            <v>GO:0016161GO:0050825GO:0050826GO:0042309GO:0000272</v>
          </cell>
        </row>
        <row r="4185">
          <cell r="A4185" t="str">
            <v>GRMZM2G429128</v>
          </cell>
          <cell r="B4185" t="str">
            <v>GO:0008270GO:0008237GO:0005578</v>
          </cell>
        </row>
        <row r="4186">
          <cell r="A4186" t="str">
            <v>GRMZM2G057386</v>
          </cell>
          <cell r="B4186" t="str">
            <v>GO:0003700GO:0006355</v>
          </cell>
        </row>
        <row r="4187">
          <cell r="A4187" t="str">
            <v>GRMZM2G450498</v>
          </cell>
          <cell r="B4187" t="str">
            <v>GO:0006520GO:0030170</v>
          </cell>
        </row>
        <row r="4188">
          <cell r="A4188" t="str">
            <v>GRMZM2G006363</v>
          </cell>
          <cell r="B4188" t="str">
            <v>GO:0003700GO:0006355GO:0005200GO:0043565</v>
          </cell>
        </row>
        <row r="4189">
          <cell r="A4189" t="str">
            <v>GRMZM2G132898</v>
          </cell>
          <cell r="B4189" t="str">
            <v>GO:0009058GO:0016779</v>
          </cell>
        </row>
        <row r="4190">
          <cell r="A4190" t="str">
            <v>GRMZM2G158228</v>
          </cell>
          <cell r="B4190" t="str">
            <v>GO:0005737GO:0006427GO:0004821GO:0005524</v>
          </cell>
        </row>
        <row r="4191">
          <cell r="A4191" t="str">
            <v>GRMZM2G118104</v>
          </cell>
          <cell r="B4191" t="str">
            <v>GO:0016787</v>
          </cell>
        </row>
        <row r="4192">
          <cell r="A4192" t="str">
            <v>GRMZM2G176394</v>
          </cell>
          <cell r="B4192" t="str">
            <v>GO:0005515</v>
          </cell>
        </row>
        <row r="4193">
          <cell r="A4193" t="str">
            <v>GRMZM2G153208</v>
          </cell>
          <cell r="B4193" t="str">
            <v>GO:0008962GO:0006629GO:0045735</v>
          </cell>
        </row>
        <row r="4194">
          <cell r="A4194" t="str">
            <v>GRMZM2G164405</v>
          </cell>
          <cell r="B4194" t="str">
            <v>GO:0016847GO:0009058GO:0030170GO:0016769</v>
          </cell>
        </row>
        <row r="4195">
          <cell r="A4195" t="str">
            <v>AC235547.1_FG005</v>
          </cell>
          <cell r="B4195" t="str">
            <v>GO:0004674GO:0006468GO:0005524GO:0005515GO:0004713</v>
          </cell>
        </row>
        <row r="4196">
          <cell r="A4196" t="str">
            <v>GRMZM2G331902</v>
          </cell>
          <cell r="B4196" t="str">
            <v>GO:0006865GO:0016020GO:0015171GO:0005488</v>
          </cell>
        </row>
        <row r="4197">
          <cell r="A4197" t="str">
            <v>GRMZM2G090718</v>
          </cell>
          <cell r="B4197" t="str">
            <v>GO:0005737GO:0006796GO:0000287GO:0004427</v>
          </cell>
        </row>
        <row r="4198">
          <cell r="A4198" t="str">
            <v>GRMZM2G134325</v>
          </cell>
          <cell r="B4198" t="str">
            <v>GO:0042773GO:0016651</v>
          </cell>
        </row>
        <row r="4199">
          <cell r="A4199" t="str">
            <v>GRMZM2G071288</v>
          </cell>
          <cell r="B4199" t="str">
            <v>GO:0016021</v>
          </cell>
        </row>
        <row r="4200">
          <cell r="A4200" t="str">
            <v>GRMZM2G155899</v>
          </cell>
          <cell r="B4200" t="str">
            <v>GO:0004824GO:0005737GO:0004815GO:0006430GO:0006422GO:0005524</v>
          </cell>
        </row>
        <row r="4201">
          <cell r="A4201" t="str">
            <v>GRMZM2G026969</v>
          </cell>
          <cell r="B4201" t="str">
            <v>GO:0004747GO:0006014</v>
          </cell>
        </row>
        <row r="4202">
          <cell r="A4202" t="str">
            <v>GRMZM2G080079</v>
          </cell>
          <cell r="B4202" t="str">
            <v>GO:0005247GO:0006821GO:0016020GO:0008270GO:0005515</v>
          </cell>
        </row>
        <row r="4203">
          <cell r="A4203" t="str">
            <v>GRMZM2G054149</v>
          </cell>
          <cell r="B4203" t="str">
            <v>GO:0003735GO:0005840GO:0006412GO:0003723</v>
          </cell>
        </row>
        <row r="4204">
          <cell r="A4204" t="str">
            <v>AC213612.3_FG001</v>
          </cell>
          <cell r="B4204" t="str">
            <v>GO:0016020GO:0051260</v>
          </cell>
        </row>
        <row r="4205">
          <cell r="A4205" t="str">
            <v>GRMZM2G176028</v>
          </cell>
          <cell r="B4205" t="str">
            <v>GO:0008270GO:0005515</v>
          </cell>
        </row>
        <row r="4206">
          <cell r="A4206" t="str">
            <v>GRMZM2G071771</v>
          </cell>
          <cell r="B4206" t="str">
            <v>GO:0008289GO:0006869</v>
          </cell>
        </row>
        <row r="4207">
          <cell r="A4207" t="str">
            <v>GRMZM2G438007</v>
          </cell>
          <cell r="B4207" t="str">
            <v>GO:0004674GO:0006468GO:0005524GO:0005515GO:0004713</v>
          </cell>
        </row>
        <row r="4208">
          <cell r="A4208" t="str">
            <v>GRMZM2G051683</v>
          </cell>
          <cell r="B4208" t="str">
            <v>GO:0016758GO:0008152</v>
          </cell>
        </row>
        <row r="4209">
          <cell r="A4209" t="str">
            <v>GRMZM2G164062</v>
          </cell>
          <cell r="B4209" t="str">
            <v>GO:0006284GO:0008725</v>
          </cell>
        </row>
        <row r="4210">
          <cell r="A4210" t="str">
            <v>GRMZM2G174855</v>
          </cell>
          <cell r="B4210" t="str">
            <v>GO:0005618GO:0048046GO:0016762GO:0006073GO:0004553</v>
          </cell>
        </row>
        <row r="4211">
          <cell r="A4211" t="str">
            <v>GRMZM2G074896</v>
          </cell>
          <cell r="B4211" t="str">
            <v>GO:0016757</v>
          </cell>
        </row>
        <row r="4212">
          <cell r="A4212" t="str">
            <v>GRMZM2G000818</v>
          </cell>
          <cell r="B4212" t="str">
            <v>GO:0003677</v>
          </cell>
        </row>
        <row r="4213">
          <cell r="A4213" t="str">
            <v>GRMZM2G111711</v>
          </cell>
          <cell r="B4213" t="str">
            <v>GO:0003700GO:0043565GO:0005634GO:0045449</v>
          </cell>
        </row>
        <row r="4214">
          <cell r="A4214" t="str">
            <v>GRMZM2G116292</v>
          </cell>
          <cell r="B4214" t="str">
            <v>GO:0003735GO:0006412GO:0006464GO:0005840</v>
          </cell>
        </row>
        <row r="4215">
          <cell r="A4215" t="str">
            <v>GRMZM2G131334</v>
          </cell>
          <cell r="B4215" t="str">
            <v>GO:0004707GO:0006468GO:0004713GO:0005524</v>
          </cell>
        </row>
        <row r="4216">
          <cell r="A4216" t="str">
            <v>GRMZM2G337242</v>
          </cell>
          <cell r="B4216" t="str">
            <v>GO:0004559GO:0005975GO:0008270GO:0030246</v>
          </cell>
        </row>
        <row r="4217">
          <cell r="A4217" t="str">
            <v>GRMZM2G120563</v>
          </cell>
          <cell r="B4217" t="str">
            <v>GO:0015297GO:0016020GO:0016847GO:0015238GO:0006855GO:0009058GO:0030170GO:0016769</v>
          </cell>
        </row>
        <row r="4218">
          <cell r="A4218" t="str">
            <v>GRMZM2G058261</v>
          </cell>
          <cell r="B4218" t="str">
            <v>GO:0050661GO:0050660GO:0004499GO:0009055</v>
          </cell>
        </row>
        <row r="4219">
          <cell r="A4219" t="str">
            <v>GRMZM2G038973</v>
          </cell>
          <cell r="B4219" t="str">
            <v>GO:0006013GO:0015923GO:0030246</v>
          </cell>
        </row>
        <row r="4220">
          <cell r="A4220" t="str">
            <v>GRMZM2G150337</v>
          </cell>
          <cell r="B4220" t="str">
            <v>GO:0006457GO:0016021GO:0006810GO:0005234GO:0030288GO:0004965GO:0007186GO:0004970</v>
          </cell>
        </row>
        <row r="4221">
          <cell r="A4221" t="str">
            <v>GRMZM2G083788</v>
          </cell>
          <cell r="B4221" t="str">
            <v>GO:0005215GO:0016020GO:0006810</v>
          </cell>
        </row>
        <row r="4222">
          <cell r="A4222" t="str">
            <v>GRMZM2G042582</v>
          </cell>
          <cell r="B4222" t="str">
            <v>GO:0045454</v>
          </cell>
        </row>
        <row r="4223">
          <cell r="A4223" t="str">
            <v>GRMZM2G165422</v>
          </cell>
          <cell r="B4223" t="str">
            <v>GO:0004674GO:0006468GO:0004713GO:0005524</v>
          </cell>
        </row>
        <row r="4224">
          <cell r="A4224" t="str">
            <v>AC210013.4_FG019</v>
          </cell>
          <cell r="B4224" t="str">
            <v>GO:0003735GO:0015935GO:0006412GO:0003723</v>
          </cell>
        </row>
        <row r="4225">
          <cell r="A4225" t="str">
            <v>GRMZM2G390967</v>
          </cell>
          <cell r="B4225" t="str">
            <v>GO:0003824</v>
          </cell>
        </row>
        <row r="4226">
          <cell r="A4226" t="str">
            <v>GRMZM2G448925</v>
          </cell>
          <cell r="B4226" t="str">
            <v>GO:0016021GO:0007186</v>
          </cell>
        </row>
        <row r="4227">
          <cell r="A4227" t="str">
            <v>GRMZM2G091756</v>
          </cell>
          <cell r="B4227" t="str">
            <v>GO:0005759</v>
          </cell>
        </row>
        <row r="4228">
          <cell r="A4228" t="str">
            <v>GRMZM2G301885</v>
          </cell>
          <cell r="B4228" t="str">
            <v>GO:0022891GO:0016021GO:0055085</v>
          </cell>
        </row>
        <row r="4229">
          <cell r="A4229" t="str">
            <v>GRMZM2G150448</v>
          </cell>
          <cell r="B4229" t="str">
            <v>GO:0006468GO:0020037GO:0006979GO:0004674GO:0004713GO:0005515GO:0004601GO:0005524</v>
          </cell>
        </row>
        <row r="4230">
          <cell r="A4230" t="str">
            <v>GRMZM2G103937</v>
          </cell>
          <cell r="B4230" t="str">
            <v>GO:0006629GO:0016788</v>
          </cell>
        </row>
        <row r="4231">
          <cell r="A4231" t="str">
            <v>GRMZM2G072808</v>
          </cell>
          <cell r="B4231" t="str">
            <v>GO:0048046GO:0005507GO:0046274GO:0008471GO:0055114</v>
          </cell>
        </row>
        <row r="4232">
          <cell r="A4232" t="str">
            <v>AC234160.1_FG003</v>
          </cell>
          <cell r="B4232" t="str">
            <v>GO:0016020GO:0006955GO:0005975GO:0005164GO:0004553</v>
          </cell>
        </row>
        <row r="4233">
          <cell r="A4233" t="str">
            <v>GRMZM2G152552</v>
          </cell>
          <cell r="B4233" t="str">
            <v>GO:0003735GO:0006412GO:0005840</v>
          </cell>
        </row>
        <row r="4234">
          <cell r="A4234" t="str">
            <v>GRMZM2G083526</v>
          </cell>
          <cell r="B4234" t="str">
            <v>GO:0006633GO:0005506GO:0005783GO:0055114GO:0016491</v>
          </cell>
        </row>
        <row r="4235">
          <cell r="A4235" t="str">
            <v>GRMZM2G397402</v>
          </cell>
          <cell r="B4235" t="str">
            <v>GO:0004497GO:0020037GO:0009055</v>
          </cell>
        </row>
        <row r="4236">
          <cell r="A4236" t="str">
            <v>GRMZM2G058310</v>
          </cell>
          <cell r="B4236" t="str">
            <v>GO:0016161GO:0000272</v>
          </cell>
        </row>
        <row r="4237">
          <cell r="A4237" t="str">
            <v>GRMZM2G129058</v>
          </cell>
          <cell r="B4237" t="str">
            <v>GO:0006468GO:0004674GO:0005529GO:0004713GO:0005524GO:0048544</v>
          </cell>
        </row>
        <row r="4238">
          <cell r="A4238" t="str">
            <v>GRMZM2G083091</v>
          </cell>
          <cell r="B4238" t="str">
            <v>GO:0016020</v>
          </cell>
        </row>
        <row r="4239">
          <cell r="A4239" t="str">
            <v>GRMZM2G174896</v>
          </cell>
          <cell r="B4239" t="str">
            <v>GO:0004674GO:0006468GO:0004713GO:0005524GO:0007165</v>
          </cell>
        </row>
        <row r="4240">
          <cell r="A4240" t="str">
            <v>GRMZM2G366077</v>
          </cell>
          <cell r="B4240" t="str">
            <v>GO:0003735GO:0006412GO:0005840</v>
          </cell>
        </row>
        <row r="4241">
          <cell r="A4241" t="str">
            <v>GRMZM2G120167</v>
          </cell>
          <cell r="B4241" t="str">
            <v>GO:0003700GO:0006355GO:0043565</v>
          </cell>
        </row>
        <row r="4242">
          <cell r="A4242" t="str">
            <v>GRMZM2G027219</v>
          </cell>
          <cell r="B4242" t="str">
            <v>GO:0046422GO:0055114GO:0009507</v>
          </cell>
        </row>
        <row r="4243">
          <cell r="A4243" t="str">
            <v>GRMZM2G314898</v>
          </cell>
          <cell r="B4243" t="str">
            <v>GO:0016747</v>
          </cell>
        </row>
        <row r="4244">
          <cell r="A4244" t="str">
            <v>GRMZM2G005260</v>
          </cell>
          <cell r="B4244" t="str">
            <v>GO:0008168GO:0008152</v>
          </cell>
        </row>
        <row r="4245">
          <cell r="A4245" t="str">
            <v>GRMZM2G480106</v>
          </cell>
          <cell r="B4245" t="str">
            <v>GO:0008270GO:0005515</v>
          </cell>
        </row>
        <row r="4246">
          <cell r="A4246" t="str">
            <v>GRMZM2G008247</v>
          </cell>
          <cell r="B4246" t="str">
            <v>GO:0005975GO:0004553</v>
          </cell>
        </row>
        <row r="4247">
          <cell r="A4247" t="str">
            <v>GRMZM2G145914</v>
          </cell>
          <cell r="B4247" t="str">
            <v>GO:0016491</v>
          </cell>
        </row>
        <row r="4248">
          <cell r="A4248" t="str">
            <v>GRMZM2G087570</v>
          </cell>
          <cell r="B4248" t="str">
            <v>GO:0003755</v>
          </cell>
        </row>
        <row r="4249">
          <cell r="A4249" t="str">
            <v>GRMZM2G068350</v>
          </cell>
          <cell r="B4249" t="str">
            <v>GO:0016020GO:0015018</v>
          </cell>
        </row>
        <row r="4250">
          <cell r="A4250" t="str">
            <v>GRMZM2G301089</v>
          </cell>
          <cell r="B4250" t="str">
            <v>GO:0005634GO:0045449GO:0030528</v>
          </cell>
        </row>
        <row r="4251">
          <cell r="A4251" t="str">
            <v>GRMZM2G137413</v>
          </cell>
          <cell r="B4251" t="str">
            <v>GO:0006355GO:0005634GO:0003677GO:0009725</v>
          </cell>
        </row>
        <row r="4252">
          <cell r="A4252" t="str">
            <v>GRMZM2G005040</v>
          </cell>
          <cell r="B4252" t="str">
            <v>GO:0006813GO:0016020GO:0015079</v>
          </cell>
        </row>
        <row r="4253">
          <cell r="A4253" t="str">
            <v>GRMZM2G161306</v>
          </cell>
          <cell r="B4253" t="str">
            <v>GO:0046872GO:0009055</v>
          </cell>
        </row>
        <row r="4254">
          <cell r="A4254" t="str">
            <v>GRMZM2G107491</v>
          </cell>
          <cell r="B4254" t="str">
            <v>GO:0005634GO:0001539GO:0008270GO:0009288GO:0003774GO:0003723</v>
          </cell>
        </row>
        <row r="4255">
          <cell r="A4255" t="str">
            <v>GRMZM2G516301</v>
          </cell>
          <cell r="B4255" t="str">
            <v>GO:0003700GO:0043565GO:0005634GO:0045449</v>
          </cell>
        </row>
        <row r="4256">
          <cell r="A4256" t="str">
            <v>GRMZM2G077942</v>
          </cell>
          <cell r="B4256" t="str">
            <v>GO:0003779GO:0005622</v>
          </cell>
        </row>
        <row r="4257">
          <cell r="A4257" t="str">
            <v>GRMZM2G121166</v>
          </cell>
          <cell r="B4257" t="str">
            <v>GO:0005634GO:0016480GO:0030528</v>
          </cell>
        </row>
        <row r="4258">
          <cell r="A4258" t="str">
            <v>GRMZM2G146152</v>
          </cell>
          <cell r="B4258" t="str">
            <v>GO:0046274GO:0016020GO:0048046GO:0006835GO:0008471GO:0005507GO:0017153GO:0055114</v>
          </cell>
        </row>
        <row r="4259">
          <cell r="A4259" t="str">
            <v>GRMZM2G160541</v>
          </cell>
          <cell r="B4259" t="str">
            <v>GO:0005737GO:0009058GO:0016841GO:0016211GO:0006559</v>
          </cell>
        </row>
        <row r="4260">
          <cell r="A4260" t="str">
            <v>GRMZM2G006791</v>
          </cell>
          <cell r="B4260" t="str">
            <v>GO:0004601GO:0006979GO:0020037GO:0009055</v>
          </cell>
        </row>
        <row r="4261">
          <cell r="A4261" t="str">
            <v>GRMZM2G312434</v>
          </cell>
          <cell r="B4261" t="str">
            <v>GO:0006468GO:0005524GO:0004672</v>
          </cell>
        </row>
        <row r="4262">
          <cell r="A4262" t="str">
            <v>GRMZM2G025109</v>
          </cell>
          <cell r="B4262" t="str">
            <v>GO:0008270</v>
          </cell>
        </row>
        <row r="4263">
          <cell r="A4263" t="str">
            <v>GRMZM2G094168</v>
          </cell>
          <cell r="B4263" t="str">
            <v>GO:0008270GO:0005622</v>
          </cell>
        </row>
        <row r="4264">
          <cell r="A4264" t="str">
            <v>GRMZM2G088819</v>
          </cell>
          <cell r="B4264" t="str">
            <v>GO:0005509</v>
          </cell>
        </row>
        <row r="4265">
          <cell r="A4265" t="str">
            <v>GRMZM2G074099</v>
          </cell>
          <cell r="B4265" t="str">
            <v>GO:0016020GO:0008508GO:0006814</v>
          </cell>
        </row>
        <row r="4266">
          <cell r="A4266" t="str">
            <v>GRMZM2G122848</v>
          </cell>
          <cell r="B4266" t="str">
            <v>GO:0008270GO:0005515</v>
          </cell>
        </row>
        <row r="4267">
          <cell r="A4267" t="str">
            <v>GRMZM2G567897</v>
          </cell>
          <cell r="B4267" t="str">
            <v>GO:0008270GO:0005515</v>
          </cell>
        </row>
        <row r="4268">
          <cell r="A4268" t="str">
            <v>GRMZM2G172956</v>
          </cell>
          <cell r="B4268" t="str">
            <v>GO:0001522GO:0003723GO:0009982</v>
          </cell>
        </row>
        <row r="4269">
          <cell r="A4269" t="str">
            <v>GRMZM2G407825</v>
          </cell>
          <cell r="B4269" t="str">
            <v>GO:0004012GO:0015914GO:0000287GO:0015662GO:0006754GO:0016021GO:0005524</v>
          </cell>
        </row>
        <row r="4270">
          <cell r="A4270" t="str">
            <v>AC206788.3_FG015</v>
          </cell>
          <cell r="B4270" t="str">
            <v>GO:0016758GO:0042773GO:0008137</v>
          </cell>
        </row>
        <row r="4271">
          <cell r="A4271" t="str">
            <v>GRMZM2G024851</v>
          </cell>
          <cell r="B4271" t="str">
            <v>GO:0003700GO:0006355GO:0043565</v>
          </cell>
        </row>
        <row r="4272">
          <cell r="A4272" t="str">
            <v>GRMZM2G304212</v>
          </cell>
          <cell r="B4272" t="str">
            <v>GO:0006813GO:0016020GO:0005242</v>
          </cell>
        </row>
        <row r="4273">
          <cell r="A4273" t="str">
            <v>GRMZM2G115105</v>
          </cell>
          <cell r="B4273" t="str">
            <v>GO:0015297GO:0016020GO:0006855GO:0015238</v>
          </cell>
        </row>
        <row r="4274">
          <cell r="A4274" t="str">
            <v>GRMZM2G141299</v>
          </cell>
          <cell r="B4274" t="str">
            <v>GO:0003700GO:0043565GO:0005634GO:0045449</v>
          </cell>
        </row>
        <row r="4275">
          <cell r="A4275" t="str">
            <v>GRMZM2G104176</v>
          </cell>
          <cell r="B4275" t="str">
            <v>GO:0005634GO:0045449</v>
          </cell>
        </row>
        <row r="4276">
          <cell r="A4276" t="str">
            <v>GRMZM2G073465</v>
          </cell>
          <cell r="B4276" t="str">
            <v>GO:0006508GO:0004197</v>
          </cell>
        </row>
        <row r="4277">
          <cell r="A4277" t="str">
            <v>GRMZM2G477491</v>
          </cell>
          <cell r="B4277" t="str">
            <v>GO:0006468GO:0005524GO:0004672</v>
          </cell>
        </row>
        <row r="4278">
          <cell r="A4278" t="str">
            <v>GRMZM2G119802</v>
          </cell>
          <cell r="B4278" t="str">
            <v>GO:0005634GO:0003677</v>
          </cell>
        </row>
        <row r="4279">
          <cell r="A4279" t="str">
            <v>GRMZM2G352855</v>
          </cell>
          <cell r="B4279" t="str">
            <v>GO:0004607GO:0006629</v>
          </cell>
        </row>
        <row r="4280">
          <cell r="A4280" t="str">
            <v>GRMZM2G457562</v>
          </cell>
          <cell r="B4280" t="str">
            <v>GO:0003700GO:0006355GO:0050825GO:0042309GO:0050826</v>
          </cell>
        </row>
        <row r="4281">
          <cell r="A4281" t="str">
            <v>GRMZM2G437912</v>
          </cell>
          <cell r="B4281" t="str">
            <v>GO:0004664GO:0009094</v>
          </cell>
        </row>
        <row r="4282">
          <cell r="A4282" t="str">
            <v>GRMZM2G079343</v>
          </cell>
          <cell r="B4282" t="str">
            <v>GO:0008270</v>
          </cell>
        </row>
        <row r="4283">
          <cell r="A4283" t="str">
            <v>AC198725.4_FG007</v>
          </cell>
          <cell r="B4283" t="str">
            <v>GO:0008565GO:0030131GO:0006886GO:0016192GO:0005515</v>
          </cell>
        </row>
        <row r="4284">
          <cell r="A4284" t="str">
            <v>GRMZM2G047434</v>
          </cell>
          <cell r="B4284" t="str">
            <v>GO:0006457GO:0051082</v>
          </cell>
        </row>
        <row r="4285">
          <cell r="A4285" t="str">
            <v>GRMZM2G148884</v>
          </cell>
          <cell r="B4285" t="str">
            <v>GO:0005507GO:0009055</v>
          </cell>
        </row>
        <row r="4286">
          <cell r="A4286" t="str">
            <v>GRMZM2G170602</v>
          </cell>
          <cell r="B4286" t="str">
            <v>GO:0051287GO:0016616GO:0008152</v>
          </cell>
        </row>
        <row r="4287">
          <cell r="A4287" t="str">
            <v>GRMZM2G137329</v>
          </cell>
          <cell r="B4287" t="str">
            <v>GO:0050825GO:0042309GO:0050826</v>
          </cell>
        </row>
        <row r="4288">
          <cell r="A4288" t="str">
            <v>GRMZM2G142037</v>
          </cell>
          <cell r="B4288" t="str">
            <v>GO:0004674GO:0006468GO:0005529GO:0004713GO:0005524</v>
          </cell>
        </row>
        <row r="4289">
          <cell r="A4289" t="str">
            <v>GRMZM2G137321</v>
          </cell>
          <cell r="B4289" t="str">
            <v>GO:0017111GO:0005524</v>
          </cell>
        </row>
        <row r="4290">
          <cell r="A4290" t="str">
            <v>GRMZM2G142030</v>
          </cell>
          <cell r="B4290" t="str">
            <v>GO:0008483GO:0009058GO:0030170</v>
          </cell>
        </row>
        <row r="4291">
          <cell r="A4291" t="str">
            <v>GRMZM2G108615</v>
          </cell>
          <cell r="B4291" t="str">
            <v>GO:0005737GO:0006813GO:0051260GO:0008076GO:0005249GO:0005525</v>
          </cell>
        </row>
        <row r="4292">
          <cell r="A4292" t="str">
            <v>GRMZM2G172826</v>
          </cell>
          <cell r="B4292" t="str">
            <v>GO:0004497GO:0020037GO:0050825GO:0042309GO:0050826GO:0009055</v>
          </cell>
        </row>
        <row r="4293">
          <cell r="A4293" t="str">
            <v>GRMZM2G078526</v>
          </cell>
          <cell r="B4293" t="str">
            <v>GO:0008270GO:0005515</v>
          </cell>
        </row>
        <row r="4294">
          <cell r="A4294" t="str">
            <v>GRMZM2G001024</v>
          </cell>
          <cell r="B4294" t="str">
            <v>GO:0008270GO:0005515</v>
          </cell>
        </row>
        <row r="4295">
          <cell r="A4295" t="str">
            <v>GRMZM2G104353</v>
          </cell>
          <cell r="B4295" t="str">
            <v>GO:0003676</v>
          </cell>
        </row>
        <row r="4296">
          <cell r="A4296" t="str">
            <v>GRMZM2G372068</v>
          </cell>
          <cell r="B4296" t="str">
            <v>GO:0016758GO:0008152</v>
          </cell>
        </row>
        <row r="4297">
          <cell r="A4297" t="str">
            <v>GRMZM2G113349</v>
          </cell>
          <cell r="B4297" t="str">
            <v>GO:0009654GO:0042549GO:0005509GO:0019898</v>
          </cell>
        </row>
        <row r="4298">
          <cell r="A4298" t="str">
            <v>GRMZM2G105400</v>
          </cell>
          <cell r="B4298" t="str">
            <v>GO:0009416GO:0005515GO:0004871</v>
          </cell>
        </row>
        <row r="4299">
          <cell r="A4299" t="str">
            <v>GRMZM2G095534</v>
          </cell>
          <cell r="B4299" t="str">
            <v>GO:0003746GO:0006414GO:0005622</v>
          </cell>
        </row>
        <row r="4300">
          <cell r="A4300" t="str">
            <v>GRMZM2G353548</v>
          </cell>
          <cell r="B4300" t="str">
            <v>GO:0005507GO:0009055</v>
          </cell>
        </row>
        <row r="4301">
          <cell r="A4301" t="str">
            <v>GRMZM2G392125</v>
          </cell>
          <cell r="B4301" t="str">
            <v>GO:0006073GO:0020037GO:0005618GO:0048046GO:0031361GO:0016762GO:0004553GO:0015979GO:0009055</v>
          </cell>
        </row>
        <row r="4302">
          <cell r="A4302" t="str">
            <v>GRMZM2G090419</v>
          </cell>
          <cell r="B4302" t="str">
            <v>GO:0016787</v>
          </cell>
        </row>
        <row r="4303">
          <cell r="A4303" t="str">
            <v>GRMZM2G363554</v>
          </cell>
          <cell r="B4303" t="str">
            <v>GO:0016758GO:0008152</v>
          </cell>
        </row>
        <row r="4304">
          <cell r="A4304" t="str">
            <v>GRMZM2G177077</v>
          </cell>
          <cell r="B4304" t="str">
            <v>GO:0004345GO:0006006</v>
          </cell>
        </row>
        <row r="4305">
          <cell r="A4305" t="str">
            <v>GRMZM2G152663</v>
          </cell>
          <cell r="B4305" t="str">
            <v>GO:0005515GO:0016021GO:0003824GO:0008270GO:0008152GO:0004940GO:0007186</v>
          </cell>
        </row>
        <row r="4306">
          <cell r="A4306" t="str">
            <v>GRMZM2G429955</v>
          </cell>
          <cell r="B4306" t="str">
            <v>GO:0016020GO:0009765</v>
          </cell>
        </row>
        <row r="4307">
          <cell r="A4307" t="str">
            <v>GRMZM2G014395</v>
          </cell>
          <cell r="B4307" t="str">
            <v>GO:0004497GO:0020037GO:0009055</v>
          </cell>
        </row>
        <row r="4308">
          <cell r="A4308" t="str">
            <v>GRMZM2G174855</v>
          </cell>
          <cell r="B4308" t="str">
            <v>GO:0005618GO:0048046GO:0016762GO:0006073GO:0004553</v>
          </cell>
        </row>
        <row r="4309">
          <cell r="A4309" t="str">
            <v>GRMZM2G095287</v>
          </cell>
          <cell r="B4309" t="str">
            <v>GO:0042578GO:0005975GO:0050825GO:0042309GO:0050826</v>
          </cell>
        </row>
        <row r="4310">
          <cell r="A4310" t="str">
            <v>GRMZM2G326707</v>
          </cell>
          <cell r="B4310" t="str">
            <v>GO:0005315GO:0016021GO:0006817</v>
          </cell>
        </row>
        <row r="4311">
          <cell r="A4311" t="str">
            <v>GRMZM2G358059</v>
          </cell>
          <cell r="B4311" t="str">
            <v>GO:0006457GO:0005509GO:0051082GO:0005783</v>
          </cell>
        </row>
        <row r="4312">
          <cell r="A4312" t="str">
            <v>GRMZM2G012724</v>
          </cell>
          <cell r="B4312" t="str">
            <v>GO:0003700GO:0043565GO:0005634GO:0045449</v>
          </cell>
        </row>
        <row r="4313">
          <cell r="A4313" t="str">
            <v>GRMZM2G016439</v>
          </cell>
          <cell r="B4313" t="str">
            <v>GO:0000160GO:0004871</v>
          </cell>
        </row>
        <row r="4314">
          <cell r="A4314" t="str">
            <v>GRMZM2G388587</v>
          </cell>
          <cell r="B4314" t="str">
            <v>GO:0048046GO:0005507GO:0046274GO:0008471GO:0055114</v>
          </cell>
        </row>
        <row r="4315">
          <cell r="A4315" t="str">
            <v>GRMZM2G388585</v>
          </cell>
          <cell r="B4315" t="str">
            <v>GO:0016773GO:0005975</v>
          </cell>
        </row>
        <row r="4316">
          <cell r="A4316" t="str">
            <v>GRMZM2G070508</v>
          </cell>
          <cell r="B4316" t="str">
            <v>GO:0004497GO:0020037GO:0009055</v>
          </cell>
        </row>
        <row r="4317">
          <cell r="A4317" t="str">
            <v>GRMZM2G016435</v>
          </cell>
          <cell r="B4317" t="str">
            <v>GO:0007017GO:0005875GO:0003777</v>
          </cell>
        </row>
        <row r="4318">
          <cell r="A4318" t="str">
            <v>GRMZM2G029243</v>
          </cell>
          <cell r="B4318" t="str">
            <v>GO:0005975GO:0004553</v>
          </cell>
        </row>
        <row r="4319">
          <cell r="A4319" t="str">
            <v>GRMZM2G002416</v>
          </cell>
          <cell r="B4319" t="str">
            <v>GO:0004775GO:0003878GO:0044262</v>
          </cell>
        </row>
        <row r="4320">
          <cell r="A4320" t="str">
            <v>GRMZM2G300133</v>
          </cell>
          <cell r="B4320" t="str">
            <v>GO:0004674GO:0006468GO:0005524GO:0005515GO:0004713</v>
          </cell>
        </row>
        <row r="4321">
          <cell r="A4321" t="str">
            <v>GRMZM2G043338</v>
          </cell>
          <cell r="B4321" t="str">
            <v>GO:0006355GO:0005634GO:0004879GO:0003677</v>
          </cell>
        </row>
        <row r="4322">
          <cell r="A4322" t="str">
            <v>GRMZM2G047616</v>
          </cell>
          <cell r="B4322" t="str">
            <v>GO:0006812GO:0008324</v>
          </cell>
        </row>
        <row r="4323">
          <cell r="A4323" t="str">
            <v>GRMZM2G396212</v>
          </cell>
          <cell r="B4323" t="str">
            <v>GO:0003849GO:0009073</v>
          </cell>
        </row>
        <row r="4324">
          <cell r="A4324" t="str">
            <v>GRMZM2G180720</v>
          </cell>
          <cell r="B4324" t="str">
            <v>GO:0005215GO:0016021GO:0006810</v>
          </cell>
        </row>
        <row r="4325">
          <cell r="A4325" t="str">
            <v>GRMZM2G047347</v>
          </cell>
          <cell r="B4325" t="str">
            <v>GO:0009081GO:0004084</v>
          </cell>
        </row>
        <row r="4326">
          <cell r="A4326" t="str">
            <v>GRMZM2G149841</v>
          </cell>
          <cell r="B4326" t="str">
            <v>GO:0016020GO:0005529GO:0008378GO:0006486</v>
          </cell>
        </row>
        <row r="4327">
          <cell r="A4327" t="str">
            <v>GRMZM2G149847</v>
          </cell>
          <cell r="B4327" t="str">
            <v>GO:0008134GO:0003924GO:0006913GO:0005622GO:0006355GO:0007264GO:0006886GO:0005524GO:0005525</v>
          </cell>
        </row>
        <row r="4328">
          <cell r="A4328" t="str">
            <v>GRMZM2G118462</v>
          </cell>
          <cell r="B4328" t="str">
            <v>GO:0003824GO:0005992</v>
          </cell>
        </row>
        <row r="4329">
          <cell r="A4329" t="str">
            <v>GRMZM2G152777</v>
          </cell>
          <cell r="B4329" t="str">
            <v>GO:0006629GO:0016788</v>
          </cell>
        </row>
        <row r="4330">
          <cell r="A4330" t="str">
            <v>GRMZM2G135027</v>
          </cell>
          <cell r="B4330" t="str">
            <v>GO:0008415GO:0008152</v>
          </cell>
        </row>
        <row r="4331">
          <cell r="A4331" t="str">
            <v>GRMZM2G177812</v>
          </cell>
          <cell r="B4331" t="str">
            <v>GO:0016887GO:0005328GO:0005524GO:0005887GO:0006836</v>
          </cell>
        </row>
        <row r="4332">
          <cell r="A4332" t="str">
            <v>GRMZM2G015844</v>
          </cell>
          <cell r="B4332" t="str">
            <v>GO:0033179GO:0015986GO:0015078</v>
          </cell>
        </row>
        <row r="4333">
          <cell r="A4333" t="str">
            <v>GRMZM2G131055</v>
          </cell>
          <cell r="B4333" t="str">
            <v>GO:0016757</v>
          </cell>
        </row>
        <row r="4334">
          <cell r="A4334" t="str">
            <v>GRMZM2G118884</v>
          </cell>
          <cell r="B4334" t="str">
            <v>GO:0008270GO:0005622</v>
          </cell>
        </row>
        <row r="4335">
          <cell r="A4335" t="str">
            <v>GRMZM2G065635</v>
          </cell>
          <cell r="B4335" t="str">
            <v>GO:0004497GO:0020037GO:0009055</v>
          </cell>
        </row>
        <row r="4336">
          <cell r="A4336" t="str">
            <v>GRMZM2G019183</v>
          </cell>
          <cell r="B4336" t="str">
            <v>GO:0003824GO:0005992</v>
          </cell>
        </row>
        <row r="4337">
          <cell r="A4337" t="str">
            <v>GRMZM2G144346</v>
          </cell>
          <cell r="B4337" t="str">
            <v>GO:0008270GO:0005622</v>
          </cell>
        </row>
        <row r="4338">
          <cell r="A4338" t="str">
            <v>GRMZM2G065632</v>
          </cell>
          <cell r="B4338" t="str">
            <v>GO:0003735GO:0006412GO:0005840</v>
          </cell>
        </row>
        <row r="4339">
          <cell r="A4339" t="str">
            <v>GRMZM2G017157</v>
          </cell>
          <cell r="B4339" t="str">
            <v>GO:0004674GO:0006468GO:0004713GO:0005524</v>
          </cell>
        </row>
        <row r="4340">
          <cell r="A4340" t="str">
            <v>GRMZM2G102382</v>
          </cell>
          <cell r="B4340" t="str">
            <v>GO:0045454</v>
          </cell>
        </row>
        <row r="4341">
          <cell r="A4341" t="str">
            <v>GRMZM2G043191</v>
          </cell>
          <cell r="B4341" t="str">
            <v>GO:0004437</v>
          </cell>
        </row>
        <row r="4342">
          <cell r="A4342" t="str">
            <v>GRMZM2G438673</v>
          </cell>
          <cell r="B4342" t="str">
            <v>GO:0008168GO:0008152</v>
          </cell>
        </row>
        <row r="4343">
          <cell r="A4343" t="str">
            <v>GRMZM2G031529</v>
          </cell>
          <cell r="B4343" t="str">
            <v>GO:0003676</v>
          </cell>
        </row>
        <row r="4344">
          <cell r="A4344" t="str">
            <v>GRMZM2G016546</v>
          </cell>
          <cell r="B4344" t="str">
            <v>GO:0008168GO:0032259GO:0003676</v>
          </cell>
        </row>
        <row r="4345">
          <cell r="A4345" t="str">
            <v>GRMZM2G163172</v>
          </cell>
          <cell r="B4345" t="str">
            <v>GO:0006887GO:0000145</v>
          </cell>
        </row>
        <row r="4346">
          <cell r="A4346" t="str">
            <v>GRMZM2G314652</v>
          </cell>
          <cell r="B4346" t="str">
            <v>GO:0003855GO:0005488GO:0008152</v>
          </cell>
        </row>
        <row r="4347">
          <cell r="A4347" t="str">
            <v>GRMZM2G090010</v>
          </cell>
          <cell r="B4347" t="str">
            <v>GO:0006508GO:0009987GO:0008235GO:0004177</v>
          </cell>
        </row>
        <row r="4348">
          <cell r="A4348" t="str">
            <v>GRMZM2G162486</v>
          </cell>
          <cell r="B4348" t="str">
            <v>GO:0005737GO:0004364GO:0008152</v>
          </cell>
        </row>
        <row r="4349">
          <cell r="A4349" t="str">
            <v>GRMZM2G474546</v>
          </cell>
          <cell r="B4349" t="str">
            <v>GO:0004674GO:0006468GO:0004713GO:0005524</v>
          </cell>
        </row>
        <row r="4350">
          <cell r="A4350" t="str">
            <v>GRMZM2G177259</v>
          </cell>
          <cell r="B4350" t="str">
            <v>GO:0009405</v>
          </cell>
        </row>
        <row r="4351">
          <cell r="A4351" t="str">
            <v>GRMZM2G348452</v>
          </cell>
          <cell r="B4351" t="str">
            <v>GO:0050660GO:0019139GO:0009690GO:0042309GO:0050826GO:0050825</v>
          </cell>
        </row>
        <row r="4352">
          <cell r="A4352" t="str">
            <v>GRMZM2G156517</v>
          </cell>
          <cell r="B4352" t="str">
            <v>GO:0019787GO:0043687GO:0051246</v>
          </cell>
        </row>
        <row r="4353">
          <cell r="A4353" t="str">
            <v>GRMZM2G166855</v>
          </cell>
          <cell r="B4353" t="str">
            <v>GO:0004579GO:0018279GO:0008250</v>
          </cell>
        </row>
        <row r="4354">
          <cell r="A4354" t="str">
            <v>GRMZM2G336908</v>
          </cell>
          <cell r="B4354" t="str">
            <v>GO:0003935GO:0008686GO:0009231</v>
          </cell>
        </row>
        <row r="4355">
          <cell r="A4355" t="str">
            <v>AC215260.3_FG003</v>
          </cell>
          <cell r="B4355" t="str">
            <v>GO:0016747</v>
          </cell>
        </row>
        <row r="4356">
          <cell r="A4356" t="str">
            <v>GRMZM2G051219</v>
          </cell>
          <cell r="B4356" t="str">
            <v>GO:0000162GO:0004048</v>
          </cell>
        </row>
        <row r="4357">
          <cell r="A4357" t="str">
            <v>GRMZM2G010871</v>
          </cell>
          <cell r="B4357" t="str">
            <v>GO:0003700GO:0006355GO:0005634GO:0043565</v>
          </cell>
        </row>
        <row r="4358">
          <cell r="A4358" t="str">
            <v>GRMZM2G107196</v>
          </cell>
          <cell r="B4358" t="str">
            <v>GO:0016310GO:0005524GO:0016772</v>
          </cell>
        </row>
        <row r="4359">
          <cell r="A4359" t="str">
            <v>GRMZM2G451314</v>
          </cell>
          <cell r="B4359" t="str">
            <v>GO:0016831GO:0019752GO:0050825GO:0030170GO:0042309GO:0050826</v>
          </cell>
        </row>
        <row r="4360">
          <cell r="A4360" t="str">
            <v>GRMZM2G013255</v>
          </cell>
          <cell r="B4360" t="str">
            <v>GO:0006004GO:0004560</v>
          </cell>
        </row>
        <row r="4361">
          <cell r="A4361" t="str">
            <v>GRMZM2G168898</v>
          </cell>
          <cell r="B4361" t="str">
            <v>GO:0019825GO:0020037GO:0005833GO:0005576GO:0050825GO:0042309GO:0050826GO:0015671</v>
          </cell>
        </row>
        <row r="4362">
          <cell r="A4362" t="str">
            <v>GRMZM2G071294</v>
          </cell>
          <cell r="B4362" t="str">
            <v>GO:0009058GO:0016779</v>
          </cell>
        </row>
        <row r="4363">
          <cell r="A4363" t="str">
            <v>GRMZM2G123407</v>
          </cell>
          <cell r="B4363" t="str">
            <v>GO:0005507GO:0009055</v>
          </cell>
        </row>
        <row r="4364">
          <cell r="A4364" t="str">
            <v>GRMZM2G421033</v>
          </cell>
          <cell r="B4364" t="str">
            <v>GO:0003700GO:0006355GO:0050825GO:0042309GO:0050826</v>
          </cell>
        </row>
        <row r="4365">
          <cell r="A4365" t="str">
            <v>GRMZM2G086614</v>
          </cell>
          <cell r="B4365" t="str">
            <v>GO:0008270GO:0003723</v>
          </cell>
        </row>
        <row r="4366">
          <cell r="A4366" t="str">
            <v>GRMZM2G103382</v>
          </cell>
          <cell r="B4366" t="str">
            <v>GO:0006071GO:0006629GO:0008889</v>
          </cell>
        </row>
        <row r="4367">
          <cell r="A4367" t="str">
            <v>GRMZM2G126928</v>
          </cell>
          <cell r="B4367" t="str">
            <v>GO:0003735GO:0006412GO:0005840</v>
          </cell>
        </row>
        <row r="4368">
          <cell r="A4368" t="str">
            <v>GRMZM2G042061</v>
          </cell>
          <cell r="B4368" t="str">
            <v>GO:0003735GO:0006412GO:0005840</v>
          </cell>
        </row>
        <row r="4369">
          <cell r="A4369" t="str">
            <v>GRMZM2G027375</v>
          </cell>
          <cell r="B4369" t="str">
            <v>GO:0016567GO:0004842GO:0000151GO:0005488</v>
          </cell>
        </row>
        <row r="4370">
          <cell r="A4370" t="str">
            <v>GRMZM2G011526</v>
          </cell>
          <cell r="B4370" t="str">
            <v>GO:0004674GO:0006468GO:0004713GO:0005524</v>
          </cell>
        </row>
        <row r="4371">
          <cell r="A4371" t="str">
            <v>GRMZM2G067242</v>
          </cell>
          <cell r="B4371" t="str">
            <v>GO:0017111GO:0005524</v>
          </cell>
        </row>
        <row r="4372">
          <cell r="A4372" t="str">
            <v>GRMZM2G011523</v>
          </cell>
          <cell r="B4372" t="str">
            <v>GO:0005576GO:0004867</v>
          </cell>
        </row>
        <row r="4373">
          <cell r="A4373" t="str">
            <v>GRMZM2G347043</v>
          </cell>
          <cell r="B4373" t="str">
            <v>GO:0045449GO:0003677</v>
          </cell>
        </row>
        <row r="4374">
          <cell r="A4374" t="str">
            <v>GRMZM2G071907</v>
          </cell>
          <cell r="B4374" t="str">
            <v>GO:0003700GO:0043565GO:0005634GO:0045449</v>
          </cell>
        </row>
        <row r="4375">
          <cell r="A4375" t="str">
            <v>GRMZM2G027198</v>
          </cell>
          <cell r="B4375" t="str">
            <v>GO:0005507GO:0009055</v>
          </cell>
        </row>
        <row r="4376">
          <cell r="A4376" t="str">
            <v>GRMZM2G110509</v>
          </cell>
          <cell r="B4376" t="str">
            <v>GO:0005737GO:0003746GO:0006414GO:0003924GO:0005525</v>
          </cell>
        </row>
        <row r="4377">
          <cell r="A4377" t="str">
            <v>GRMZM2G106263</v>
          </cell>
          <cell r="B4377" t="str">
            <v>GO:0004421GO:0008299</v>
          </cell>
        </row>
        <row r="4378">
          <cell r="A4378" t="str">
            <v>GRMZM2G037485</v>
          </cell>
          <cell r="B4378" t="str">
            <v>GO:0005283GO:0016020GO:0006814</v>
          </cell>
        </row>
        <row r="4379">
          <cell r="A4379" t="str">
            <v>GRMZM2G006765</v>
          </cell>
          <cell r="B4379" t="str">
            <v>GO:0005524GO:0005515</v>
          </cell>
        </row>
        <row r="4380">
          <cell r="A4380" t="str">
            <v>GRMZM2G139680</v>
          </cell>
          <cell r="B4380" t="str">
            <v>GO:0016209GO:0016491</v>
          </cell>
        </row>
        <row r="4381">
          <cell r="A4381" t="str">
            <v>GRMZM2G051103</v>
          </cell>
          <cell r="B4381" t="str">
            <v>GO:0004674GO:0006468GO:0004713GO:0005524GO:0007165</v>
          </cell>
        </row>
        <row r="4382">
          <cell r="A4382" t="str">
            <v>GRMZM2G100158</v>
          </cell>
          <cell r="B4382" t="str">
            <v>GO:0004497GO:0020037GO:0009055</v>
          </cell>
        </row>
        <row r="4383">
          <cell r="A4383" t="str">
            <v>GRMZM2G377600</v>
          </cell>
          <cell r="B4383" t="str">
            <v>GO:0003735GO:0006412GO:0005840</v>
          </cell>
        </row>
        <row r="4384">
          <cell r="A4384" t="str">
            <v>GRMZM2G083894</v>
          </cell>
          <cell r="B4384" t="str">
            <v>GO:0008270GO:0003677</v>
          </cell>
        </row>
        <row r="4385">
          <cell r="A4385" t="str">
            <v>GRMZM2G308595</v>
          </cell>
          <cell r="B4385" t="str">
            <v>GO:0016787</v>
          </cell>
        </row>
        <row r="4386">
          <cell r="A4386" t="str">
            <v>GRMZM2G059353</v>
          </cell>
          <cell r="B4386" t="str">
            <v>GO:0006508GO:0004252</v>
          </cell>
        </row>
        <row r="4387">
          <cell r="A4387" t="str">
            <v>GRMZM2G009323</v>
          </cell>
          <cell r="B4387" t="str">
            <v>GO:0006564GO:0006813GO:0051287GO:0008324GO:0004617GO:0004455GO:0016597</v>
          </cell>
        </row>
        <row r="4388">
          <cell r="A4388" t="str">
            <v>GRMZM2G325653</v>
          </cell>
          <cell r="B4388" t="str">
            <v>GO:0008219GO:0016021</v>
          </cell>
        </row>
        <row r="4389">
          <cell r="A4389" t="str">
            <v>GRMZM2G009326</v>
          </cell>
          <cell r="B4389" t="str">
            <v>GO:0050825GO:0042309GO:0050826</v>
          </cell>
        </row>
        <row r="4390">
          <cell r="A4390" t="str">
            <v>AC210013.4_FG003</v>
          </cell>
          <cell r="B4390" t="str">
            <v>GO:0008168GO:0006694</v>
          </cell>
        </row>
        <row r="4391">
          <cell r="A4391" t="str">
            <v>GRMZM2G091632</v>
          </cell>
          <cell r="B4391" t="str">
            <v>GO:0006468GO:0008800GO:0004674GO:0046677GO:0004713GO:0005515GO:0030655GO:0005524</v>
          </cell>
        </row>
        <row r="4392">
          <cell r="A4392" t="str">
            <v>GRMZM2G443785</v>
          </cell>
          <cell r="B4392" t="str">
            <v>GO:0016757</v>
          </cell>
        </row>
        <row r="4393">
          <cell r="A4393" t="str">
            <v>GRMZM2G037379</v>
          </cell>
          <cell r="B4393" t="str">
            <v>GO:0016787</v>
          </cell>
        </row>
        <row r="4394">
          <cell r="A4394" t="str">
            <v>GRMZM2G130018</v>
          </cell>
          <cell r="B4394" t="str">
            <v>GO:0004674GO:0006468GO:0004713GO:0005524</v>
          </cell>
        </row>
        <row r="4395">
          <cell r="A4395" t="str">
            <v>GRMZM2G011592</v>
          </cell>
          <cell r="B4395" t="str">
            <v>GO:0006812GO:0016021GO:0008324</v>
          </cell>
        </row>
        <row r="4396">
          <cell r="A4396" t="str">
            <v>GRMZM2G045287</v>
          </cell>
          <cell r="B4396" t="str">
            <v>GO:0005794GO:0030244GO:0007047GO:0016758GO:0009505GO:0030054</v>
          </cell>
        </row>
        <row r="4397">
          <cell r="A4397" t="str">
            <v>GRMZM2G130544</v>
          </cell>
          <cell r="B4397" t="str">
            <v>GO:0003735GO:0005840GO:0006412GO:0003723</v>
          </cell>
        </row>
        <row r="4398">
          <cell r="A4398" t="str">
            <v>GRMZM2G017414</v>
          </cell>
          <cell r="B4398" t="str">
            <v>GO:0005634GO:0046872GO:0045449GO:0030528</v>
          </cell>
        </row>
        <row r="4399">
          <cell r="A4399" t="str">
            <v>GRMZM2G466833</v>
          </cell>
          <cell r="B4399" t="str">
            <v>GO:0030060GO:0005975GO:0006108GO:0005488</v>
          </cell>
        </row>
        <row r="4400">
          <cell r="A4400" t="str">
            <v>GRMZM2G083538</v>
          </cell>
          <cell r="B4400" t="str">
            <v>GO:0016597GO:0008152</v>
          </cell>
        </row>
        <row r="4401">
          <cell r="A4401" t="str">
            <v>GRMZM2G111477</v>
          </cell>
          <cell r="B4401" t="str">
            <v>GO:0005737GO:0006457GO:0005524GO:0005515</v>
          </cell>
        </row>
        <row r="4402">
          <cell r="A4402" t="str">
            <v>AC233885.1_FG001</v>
          </cell>
          <cell r="B4402" t="str">
            <v>GO:0050825GO:0042309GO:0050826</v>
          </cell>
        </row>
        <row r="4403">
          <cell r="A4403" t="str">
            <v>GRMZM2G176206</v>
          </cell>
          <cell r="B4403" t="str">
            <v>GO:0004674GO:0006468GO:0005524GO:0005515GO:0004713</v>
          </cell>
        </row>
        <row r="4404">
          <cell r="A4404" t="str">
            <v>GRMZM2G022619</v>
          </cell>
          <cell r="B4404" t="str">
            <v>GO:0003735GO:0006412GO:0005840</v>
          </cell>
        </row>
        <row r="4405">
          <cell r="A4405" t="str">
            <v>GRMZM2G174860</v>
          </cell>
          <cell r="B4405" t="str">
            <v>GO:0004806GO:0006629</v>
          </cell>
        </row>
        <row r="4406">
          <cell r="A4406" t="str">
            <v>GRMZM2G055204</v>
          </cell>
          <cell r="B4406" t="str">
            <v>GO:0003700GO:0006355</v>
          </cell>
        </row>
        <row r="4407">
          <cell r="A4407" t="str">
            <v>GRMZM2G129266</v>
          </cell>
          <cell r="B4407" t="str">
            <v>GO:0016747</v>
          </cell>
        </row>
        <row r="4408">
          <cell r="A4408" t="str">
            <v>GRMZM2G120175</v>
          </cell>
          <cell r="B4408" t="str">
            <v>GO:0033179GO:0015986GO:0051260GO:0015078</v>
          </cell>
        </row>
        <row r="4409">
          <cell r="A4409" t="str">
            <v>GRMZM2G046163</v>
          </cell>
          <cell r="B4409" t="str">
            <v>GO:0004834GO:0006568</v>
          </cell>
        </row>
        <row r="4410">
          <cell r="A4410" t="str">
            <v>GRMZM2G419806</v>
          </cell>
          <cell r="B4410" t="str">
            <v>GO:0015995GO:0016851GO:0017111GO:0006260GO:0003677GO:0015979GO:0005524</v>
          </cell>
        </row>
        <row r="4411">
          <cell r="A4411" t="str">
            <v>GRMZM2G109431</v>
          </cell>
          <cell r="B4411" t="str">
            <v>GO:0016757</v>
          </cell>
        </row>
        <row r="4412">
          <cell r="A4412" t="str">
            <v>GRMZM2G481440</v>
          </cell>
          <cell r="B4412" t="str">
            <v>GO:0015297GO:0016020GO:0006855GO:0015238</v>
          </cell>
        </row>
        <row r="4413">
          <cell r="A4413" t="str">
            <v>AC182482.3_FG003</v>
          </cell>
          <cell r="B4413" t="str">
            <v>GO:0006812GO:0016020GO:0008324</v>
          </cell>
        </row>
        <row r="4414">
          <cell r="A4414" t="str">
            <v>AC231745.1_FG003</v>
          </cell>
          <cell r="B4414" t="str">
            <v>GO:0006629GO:0016788</v>
          </cell>
        </row>
        <row r="4415">
          <cell r="A4415" t="str">
            <v>GRMZM2G110657</v>
          </cell>
          <cell r="B4415" t="str">
            <v>GO:0005198</v>
          </cell>
        </row>
        <row r="4416">
          <cell r="A4416" t="str">
            <v>GRMZM2G447795</v>
          </cell>
          <cell r="B4416" t="str">
            <v>GO:0005975GO:0004553</v>
          </cell>
        </row>
        <row r="4417">
          <cell r="A4417" t="str">
            <v>GRMZM2G169321</v>
          </cell>
          <cell r="B4417" t="str">
            <v>GO:0016021</v>
          </cell>
        </row>
        <row r="4418">
          <cell r="A4418" t="str">
            <v>GRMZM2G049432</v>
          </cell>
          <cell r="B4418" t="str">
            <v>GO:0046872GO:0009055</v>
          </cell>
        </row>
        <row r="4419">
          <cell r="A4419" t="str">
            <v>GRMZM2G081268</v>
          </cell>
          <cell r="B4419" t="str">
            <v>GO:0046872GO:0004462</v>
          </cell>
        </row>
        <row r="4420">
          <cell r="A4420" t="str">
            <v>GRMZM2G179090</v>
          </cell>
          <cell r="B4420" t="str">
            <v>GO:0015031GO:0005525GO:0007264GO:0005622</v>
          </cell>
        </row>
        <row r="4421">
          <cell r="A4421" t="str">
            <v>GRMZM2G121151</v>
          </cell>
          <cell r="B4421" t="str">
            <v>GO:0008270GO:0005622</v>
          </cell>
        </row>
        <row r="4422">
          <cell r="A4422" t="str">
            <v>GRMZM2G040736</v>
          </cell>
          <cell r="B4422" t="str">
            <v>GO:0006355GO:0000156GO:0000160</v>
          </cell>
        </row>
        <row r="4423">
          <cell r="A4423" t="str">
            <v>GRMZM2G059129</v>
          </cell>
          <cell r="B4423" t="str">
            <v>GO:0006071GO:0006629GO:0008889</v>
          </cell>
        </row>
        <row r="4424">
          <cell r="A4424" t="str">
            <v>GRMZM2G092137</v>
          </cell>
          <cell r="B4424" t="str">
            <v>GO:0003700GO:0006355GO:0046983GO:0005634GO:0043565</v>
          </cell>
        </row>
        <row r="4425">
          <cell r="A4425" t="str">
            <v>GRMZM2G032619</v>
          </cell>
          <cell r="B4425" t="str">
            <v>GO:0005737GO:0006468GO:0004427GO:0000287GO:0005198GO:0004674GO:0004713GO:0019028GO:0005524</v>
          </cell>
        </row>
        <row r="4426">
          <cell r="A4426" t="str">
            <v>GRMZM2G381051</v>
          </cell>
          <cell r="B4426" t="str">
            <v>GO:0003995GO:0008152</v>
          </cell>
        </row>
        <row r="4427">
          <cell r="A4427" t="str">
            <v>GRMZM2G006780</v>
          </cell>
          <cell r="B4427" t="str">
            <v>GO:0005515</v>
          </cell>
        </row>
        <row r="4428">
          <cell r="A4428" t="str">
            <v>GRMZM2G055936</v>
          </cell>
          <cell r="B4428" t="str">
            <v>GO:0016491</v>
          </cell>
        </row>
        <row r="4429">
          <cell r="A4429" t="str">
            <v>GRMZM2G092719</v>
          </cell>
          <cell r="B4429" t="str">
            <v>GO:0003735GO:0006412GO:0015935</v>
          </cell>
        </row>
        <row r="4430">
          <cell r="A4430" t="str">
            <v>GRMZM2G032878</v>
          </cell>
          <cell r="B4430" t="str">
            <v>GO:0006633GO:0000036GO:0048037GO:0031177</v>
          </cell>
        </row>
        <row r="4431">
          <cell r="A4431" t="str">
            <v>GRMZM2G074085</v>
          </cell>
          <cell r="B4431" t="str">
            <v>GO:0003735GO:0006412GO:0005840</v>
          </cell>
        </row>
        <row r="4432">
          <cell r="A4432" t="str">
            <v>GRMZM2G367206</v>
          </cell>
          <cell r="B4432" t="str">
            <v>GO:0016021GO:0007186GO:0004938GO:0003755</v>
          </cell>
        </row>
        <row r="4433">
          <cell r="A4433" t="str">
            <v>GRMZM2G351417</v>
          </cell>
          <cell r="B4433" t="str">
            <v>GO:0005488</v>
          </cell>
        </row>
        <row r="4434">
          <cell r="A4434" t="str">
            <v>GRMZM2G419111</v>
          </cell>
          <cell r="B4434" t="str">
            <v>GO:0004497GO:0045550GO:0015995GO:0015979</v>
          </cell>
        </row>
        <row r="4435">
          <cell r="A4435" t="str">
            <v>GRMZM2G034611</v>
          </cell>
          <cell r="B4435" t="str">
            <v>GO:0004674GO:0006468GO:0004713GO:0005524</v>
          </cell>
        </row>
        <row r="4436">
          <cell r="A4436" t="str">
            <v>GRMZM2G137535</v>
          </cell>
          <cell r="B4436" t="str">
            <v>GO:0005975GO:0004553</v>
          </cell>
        </row>
        <row r="4437">
          <cell r="A4437" t="str">
            <v>GRMZM2G436986</v>
          </cell>
          <cell r="B4437" t="str">
            <v>GO:0019898GO:0009654GO:0005509GO:0015979</v>
          </cell>
        </row>
        <row r="4438">
          <cell r="A4438" t="str">
            <v>GRMZM2G056014</v>
          </cell>
          <cell r="B4438" t="str">
            <v>GO:0005388GO:0016021GO:0006754GO:0006816GO:0005524</v>
          </cell>
        </row>
        <row r="4439">
          <cell r="A4439" t="str">
            <v>GRMZM2G108912</v>
          </cell>
          <cell r="B4439" t="str">
            <v>GO:0004630GO:0016020GO:0046470GO:0005509</v>
          </cell>
        </row>
        <row r="4440">
          <cell r="A4440" t="str">
            <v>GRMZM2G446189</v>
          </cell>
          <cell r="B4440" t="str">
            <v>GO:0006468GO:0005524GO:0004672</v>
          </cell>
        </row>
        <row r="4441">
          <cell r="A4441" t="str">
            <v>GRMZM2G104925</v>
          </cell>
          <cell r="B4441" t="str">
            <v>GO:0005515</v>
          </cell>
        </row>
        <row r="4442">
          <cell r="A4442" t="str">
            <v>GRMZM2G093716</v>
          </cell>
          <cell r="B4442" t="str">
            <v>GO:0005840GO:0017111GO:0003735GO:0004765GO:0006412GO:0005524</v>
          </cell>
        </row>
        <row r="4443">
          <cell r="A4443" t="str">
            <v>GRMZM2G146589</v>
          </cell>
          <cell r="B4443" t="str">
            <v>GO:0004824GO:0005737GO:0004815GO:0006430GO:0003676GO:0006422GO:0005524</v>
          </cell>
        </row>
        <row r="4444">
          <cell r="A4444" t="str">
            <v>GRMZM2G385287</v>
          </cell>
          <cell r="B4444" t="str">
            <v>GO:0003735GO:0006412GO:0005840</v>
          </cell>
        </row>
        <row r="4445">
          <cell r="A4445" t="str">
            <v>GRMZM2G008497</v>
          </cell>
          <cell r="B4445" t="str">
            <v>GO:0005488</v>
          </cell>
        </row>
        <row r="4446">
          <cell r="A4446" t="str">
            <v>GRMZM2G101958</v>
          </cell>
          <cell r="B4446" t="str">
            <v>GO:0008289GO:0006869</v>
          </cell>
        </row>
        <row r="4447">
          <cell r="A4447" t="str">
            <v>AC197246.3_FG001</v>
          </cell>
          <cell r="B4447" t="str">
            <v>GO:0006886GO:0003924GO:0006913GO:0005622GO:0005515GO:0007264GO:0005525</v>
          </cell>
        </row>
        <row r="4448">
          <cell r="A4448" t="str">
            <v>GRMZM2G125635</v>
          </cell>
          <cell r="B4448" t="str">
            <v>GO:0004014GO:0008295GO:0006597</v>
          </cell>
        </row>
        <row r="4449">
          <cell r="A4449" t="str">
            <v>GRMZM2G173124</v>
          </cell>
          <cell r="B4449" t="str">
            <v>GO:0008270GO:0003676</v>
          </cell>
        </row>
        <row r="4450">
          <cell r="A4450" t="str">
            <v>GRMZM2G098875</v>
          </cell>
          <cell r="B4450" t="str">
            <v>GO:0006536GO:0030170GO:0004351</v>
          </cell>
        </row>
        <row r="4451">
          <cell r="A4451" t="str">
            <v>GRMZM2G165387</v>
          </cell>
          <cell r="B4451" t="str">
            <v>GO:0004674GO:0006468GO:0005524GO:0005515GO:0004713</v>
          </cell>
        </row>
        <row r="4452">
          <cell r="A4452" t="str">
            <v>GRMZM2G118610</v>
          </cell>
          <cell r="B4452" t="str">
            <v>GO:0008270GO:0055114GO:0016491</v>
          </cell>
        </row>
        <row r="4453">
          <cell r="A4453" t="str">
            <v>GRMZM2G018484</v>
          </cell>
          <cell r="B4453" t="str">
            <v>GO:0051537GO:0050825GO:0042309GO:0050826GO:0009055GO:0055114GO:0016491</v>
          </cell>
        </row>
        <row r="4454">
          <cell r="A4454" t="str">
            <v>GRMZM2G172834</v>
          </cell>
          <cell r="B4454" t="str">
            <v>GO:0005544GO:0005509</v>
          </cell>
        </row>
        <row r="4455">
          <cell r="A4455" t="str">
            <v>AY542798.1_FG003</v>
          </cell>
          <cell r="B4455" t="str">
            <v>GO:0005515GO:0000151GO:0016567GO:0008270GO:0003676GO:0004842</v>
          </cell>
        </row>
        <row r="4456">
          <cell r="A4456" t="str">
            <v>GRMZM2G427097</v>
          </cell>
          <cell r="B4456" t="str">
            <v>GO:0006520GO:0005488GO:0055114GO:0016639</v>
          </cell>
        </row>
        <row r="4457">
          <cell r="A4457" t="str">
            <v>GRMZM2G411766</v>
          </cell>
          <cell r="B4457" t="str">
            <v>GO:0003700GO:0043565GO:0005634GO:0045449</v>
          </cell>
        </row>
        <row r="4458">
          <cell r="A4458" t="str">
            <v>GRMZM2G087326</v>
          </cell>
          <cell r="B4458" t="str">
            <v>GO:0005794GO:0030244GO:0007047GO:0016758GO:0009505GO:0030054</v>
          </cell>
        </row>
        <row r="4459">
          <cell r="A4459" t="str">
            <v>GRMZM2G140082</v>
          </cell>
          <cell r="B4459" t="str">
            <v>GO:0004674GO:0006468GO:0004713GO:0005524</v>
          </cell>
        </row>
        <row r="4460">
          <cell r="A4460" t="str">
            <v>GRMZM2G359986</v>
          </cell>
          <cell r="B4460" t="str">
            <v>GO:0004674GO:0006468GO:0004713GO:0005524</v>
          </cell>
        </row>
        <row r="4461">
          <cell r="A4461" t="str">
            <v>GRMZM2G102779</v>
          </cell>
          <cell r="B4461" t="str">
            <v>GO:0006413GO:0003743</v>
          </cell>
        </row>
        <row r="4462">
          <cell r="A4462" t="str">
            <v>GRMZM2G140609</v>
          </cell>
          <cell r="B4462" t="str">
            <v>GO:0003735GO:0006412GO:0015935</v>
          </cell>
        </row>
        <row r="4463">
          <cell r="A4463" t="str">
            <v>GRMZM2G125527</v>
          </cell>
          <cell r="B4463" t="str">
            <v>GO:0003735GO:0006412GO:0005840</v>
          </cell>
        </row>
        <row r="4464">
          <cell r="A4464" t="str">
            <v>GRMZM2G108138</v>
          </cell>
          <cell r="B4464" t="str">
            <v>GO:0000062</v>
          </cell>
        </row>
        <row r="4465">
          <cell r="A4465" t="str">
            <v>GRMZM2G121840</v>
          </cell>
          <cell r="B4465" t="str">
            <v>GO:0008168GO:0032259GO:0003676</v>
          </cell>
        </row>
        <row r="4466">
          <cell r="A4466" t="str">
            <v>GRMZM2G065088</v>
          </cell>
          <cell r="B4466" t="str">
            <v>GO:0048046GO:0030145GO:0045735</v>
          </cell>
        </row>
        <row r="4467">
          <cell r="A4467" t="str">
            <v>GRMZM2G178704</v>
          </cell>
          <cell r="B4467" t="str">
            <v>GO:0006915GO:0017111GO:0005524</v>
          </cell>
        </row>
        <row r="4468">
          <cell r="A4468" t="str">
            <v>GRMZM2G172829</v>
          </cell>
          <cell r="B4468" t="str">
            <v>GO:0015031GO:0016887GO:0005524GO:0005515</v>
          </cell>
        </row>
        <row r="4469">
          <cell r="A4469" t="str">
            <v>GRMZM2G156673</v>
          </cell>
          <cell r="B4469" t="str">
            <v>GO:0003735GO:0006412GO:0015935</v>
          </cell>
        </row>
        <row r="4470">
          <cell r="A4470" t="str">
            <v>GRMZM2G042806</v>
          </cell>
          <cell r="B4470" t="str">
            <v>GO:0003723</v>
          </cell>
        </row>
        <row r="4471">
          <cell r="A4471" t="str">
            <v>GRMZM2G339091</v>
          </cell>
          <cell r="B4471" t="str">
            <v>GO:0003779GO:0006508GO:0004185</v>
          </cell>
        </row>
        <row r="4472">
          <cell r="A4472" t="str">
            <v>GRMZM2G036783</v>
          </cell>
          <cell r="B4472" t="str">
            <v>GO:0003824GO:0009058GO:0006541</v>
          </cell>
        </row>
        <row r="4473">
          <cell r="A4473" t="str">
            <v>GRMZM2G326066</v>
          </cell>
          <cell r="B4473" t="str">
            <v>GO:0003735GO:0006412GO:0005840</v>
          </cell>
        </row>
        <row r="4474">
          <cell r="A4474" t="str">
            <v>GRMZM2G167431</v>
          </cell>
          <cell r="B4474" t="str">
            <v>GO:0009239GO:0005488GO:0008667</v>
          </cell>
        </row>
        <row r="4475">
          <cell r="A4475" t="str">
            <v>GRMZM2G024647</v>
          </cell>
          <cell r="B4475" t="str">
            <v>GO:0003735GO:0006412GO:0005840</v>
          </cell>
        </row>
        <row r="4476">
          <cell r="A4476" t="str">
            <v>GRMZM2G122897</v>
          </cell>
          <cell r="B4476" t="str">
            <v>GO:0003700GO:0006355GO:0005634GO:0043565</v>
          </cell>
        </row>
        <row r="4477">
          <cell r="A4477" t="str">
            <v>GRMZM2G053206</v>
          </cell>
          <cell r="B4477" t="str">
            <v>GO:0006508GO:0004190</v>
          </cell>
        </row>
        <row r="4478">
          <cell r="A4478" t="str">
            <v>GRMZM2G030731</v>
          </cell>
          <cell r="B4478" t="str">
            <v>GO:0003735GO:0006412GO:0005840</v>
          </cell>
        </row>
        <row r="4479">
          <cell r="A4479" t="str">
            <v>GRMZM2G067225</v>
          </cell>
          <cell r="B4479" t="str">
            <v>GO:0004497GO:0020037GO:0009055</v>
          </cell>
        </row>
        <row r="4480">
          <cell r="A4480" t="str">
            <v>GRMZM2G357923</v>
          </cell>
          <cell r="B4480" t="str">
            <v>GO:0008026GO:0003676GO:0005524</v>
          </cell>
        </row>
        <row r="4481">
          <cell r="A4481" t="str">
            <v>GRMZM2G179941</v>
          </cell>
          <cell r="B4481" t="str">
            <v>GO:0006508GO:0004222GO:0008270</v>
          </cell>
        </row>
        <row r="4482">
          <cell r="A4482" t="str">
            <v>GRMZM2G148180</v>
          </cell>
          <cell r="B4482" t="str">
            <v>GO:0015629GO:0005198GO:0050825GO:0042309GO:0050826GO:0007155</v>
          </cell>
        </row>
        <row r="4483">
          <cell r="A4483" t="str">
            <v>GRMZM2G029685</v>
          </cell>
          <cell r="B4483" t="str">
            <v>GO:0003735GO:0006412GO:0005840</v>
          </cell>
        </row>
        <row r="4484">
          <cell r="A4484" t="str">
            <v>GRMZM2G472671</v>
          </cell>
          <cell r="B4484" t="str">
            <v>GO:0005634GO:0045449GO:0030528</v>
          </cell>
        </row>
        <row r="4485">
          <cell r="A4485" t="str">
            <v>GRMZM2G011980</v>
          </cell>
          <cell r="B4485" t="str">
            <v>GO:0033178GO:0016820GO:0015986</v>
          </cell>
        </row>
        <row r="4486">
          <cell r="A4486" t="str">
            <v>GRMZM2G177668</v>
          </cell>
          <cell r="B4486" t="str">
            <v>GO:0004497GO:0020037GO:0009055</v>
          </cell>
        </row>
        <row r="4487">
          <cell r="A4487" t="str">
            <v>GRMZM2G089836</v>
          </cell>
          <cell r="B4487" t="str">
            <v>GO:0005975GO:0015232GO:0015886GO:0016020GO:0017004GO:0004553</v>
          </cell>
        </row>
        <row r="4488">
          <cell r="A4488" t="str">
            <v>GRMZM2G060690</v>
          </cell>
          <cell r="B4488" t="str">
            <v>GO:0005634GO:0050825GO:0042309GO:0050826GO:0007186GO:0016021GO:0004962</v>
          </cell>
        </row>
        <row r="4489">
          <cell r="A4489" t="str">
            <v>GRMZM2G085049</v>
          </cell>
          <cell r="B4489" t="str">
            <v>GO:0005737GO:0005094</v>
          </cell>
        </row>
        <row r="4490">
          <cell r="A4490" t="str">
            <v>GRMZM2G114793</v>
          </cell>
          <cell r="B4490" t="str">
            <v>GO:0005524</v>
          </cell>
        </row>
        <row r="4491">
          <cell r="A4491" t="str">
            <v>AC149829.2_FG003</v>
          </cell>
          <cell r="B4491" t="str">
            <v>GO:0005643GO:0006810</v>
          </cell>
        </row>
        <row r="4492">
          <cell r="A4492" t="str">
            <v>GRMZM2G135013</v>
          </cell>
          <cell r="B4492" t="str">
            <v>GO:0004252GO:0006468GO:0005529GO:0007596GO:0004674GO:0005576GO:0004713GO:0006508GO:0005524GO:0048544</v>
          </cell>
        </row>
        <row r="4493">
          <cell r="A4493" t="str">
            <v>GRMZM2G077991</v>
          </cell>
          <cell r="B4493" t="str">
            <v>GO:0003735GO:0006412GO:0005840</v>
          </cell>
        </row>
        <row r="4494">
          <cell r="A4494" t="str">
            <v>GRMZM2G080274</v>
          </cell>
          <cell r="B4494" t="str">
            <v>GO:0006334GO:0003677GO:0050826GO:0050825GO:0042309GO:0000786GO:0005634</v>
          </cell>
        </row>
        <row r="4495">
          <cell r="A4495" t="str">
            <v>GRMZM2G067315</v>
          </cell>
          <cell r="B4495" t="str">
            <v>GO:0004937GO:0006813GO:0016021GO:0051260GO:0005249GO:0007186</v>
          </cell>
        </row>
        <row r="4496">
          <cell r="A4496" t="str">
            <v>GRMZM2G065622</v>
          </cell>
          <cell r="B4496" t="str">
            <v>GO:0050825GO:0042309GO:0050826</v>
          </cell>
        </row>
        <row r="4497">
          <cell r="A4497" t="str">
            <v>GRMZM2G112337</v>
          </cell>
          <cell r="B4497" t="str">
            <v>GO:0006508GO:0004190</v>
          </cell>
        </row>
        <row r="4498">
          <cell r="A4498" t="str">
            <v>GRMZM2G012391</v>
          </cell>
          <cell r="B4498" t="str">
            <v>GO:0004497GO:0020037GO:0009055</v>
          </cell>
        </row>
        <row r="4499">
          <cell r="A4499" t="str">
            <v>GRMZM2G148087</v>
          </cell>
          <cell r="B4499" t="str">
            <v>GO:0003700GO:0043565GO:0005634GO:0045449</v>
          </cell>
        </row>
        <row r="4500">
          <cell r="A4500" t="str">
            <v>GRMZM2G353734</v>
          </cell>
          <cell r="B4500" t="str">
            <v>GO:0005840GO:0003735GO:0050825GO:0042309GO:0050826GO:0006412</v>
          </cell>
        </row>
        <row r="4501">
          <cell r="A4501" t="str">
            <v>GRMZM2G140667</v>
          </cell>
          <cell r="B4501" t="str">
            <v>GO:0004096GO:0006979GO:0020037GO:0009055</v>
          </cell>
        </row>
        <row r="4502">
          <cell r="A4502" t="str">
            <v>GRMZM2G360021</v>
          </cell>
          <cell r="B4502" t="str">
            <v>GO:0003735GO:0006412GO:0005840</v>
          </cell>
        </row>
        <row r="4503">
          <cell r="A4503" t="str">
            <v>GRMZM2G109425</v>
          </cell>
          <cell r="B4503" t="str">
            <v>GO:0006457GO:0051082GO:0005524</v>
          </cell>
        </row>
        <row r="4504">
          <cell r="A4504" t="str">
            <v>GRMZM2G135654</v>
          </cell>
          <cell r="B4504" t="str">
            <v>GO:0003735GO:0042254GO:0006412GO:0005840</v>
          </cell>
        </row>
        <row r="4505">
          <cell r="A4505" t="str">
            <v>GRMZM2G177242</v>
          </cell>
          <cell r="B4505" t="str">
            <v>GO:0050825GO:0042309GO:0050826</v>
          </cell>
        </row>
        <row r="4506">
          <cell r="A4506" t="str">
            <v>GRMZM2G057436</v>
          </cell>
          <cell r="B4506" t="str">
            <v>GO:0007186GO:0016021GO:0000151GO:0016567GO:0005488GO:0004842</v>
          </cell>
        </row>
        <row r="4507">
          <cell r="A4507" t="str">
            <v>GRMZM2G035520</v>
          </cell>
          <cell r="B4507" t="str">
            <v>GO:0006812GO:0016021GO:0006754GO:0015662GO:0005524</v>
          </cell>
        </row>
        <row r="4508">
          <cell r="A4508" t="str">
            <v>GRMZM2G117854</v>
          </cell>
          <cell r="B4508" t="str">
            <v>GO:0006508GO:0004222</v>
          </cell>
        </row>
        <row r="4509">
          <cell r="A4509" t="str">
            <v>GRMZM2G383623</v>
          </cell>
          <cell r="B4509" t="str">
            <v>GO:0005694GO:0051276GO:0005515GO:0005524</v>
          </cell>
        </row>
        <row r="4510">
          <cell r="A4510" t="str">
            <v>GRMZM2G129291</v>
          </cell>
          <cell r="B4510" t="str">
            <v>GO:0004623GO:0006644GO:0016042</v>
          </cell>
        </row>
        <row r="4511">
          <cell r="A4511" t="str">
            <v>GRMZM2G467756</v>
          </cell>
          <cell r="B4511" t="str">
            <v>GO:0008270GO:0005515</v>
          </cell>
        </row>
        <row r="4512">
          <cell r="A4512" t="str">
            <v>GRMZM2G163189</v>
          </cell>
          <cell r="B4512" t="str">
            <v>GO:0008094GO:0015629GO:0005198GO:0007155GO:0003677GO:0006259GO:0005524</v>
          </cell>
        </row>
        <row r="4513">
          <cell r="A4513" t="str">
            <v>GRMZM2G031065</v>
          </cell>
          <cell r="B4513" t="str">
            <v>GO:0016787GO:0008152</v>
          </cell>
        </row>
        <row r="4514">
          <cell r="A4514" t="str">
            <v>GRMZM2G064663</v>
          </cell>
          <cell r="B4514" t="str">
            <v>GO:0016020</v>
          </cell>
        </row>
        <row r="4515">
          <cell r="A4515" t="str">
            <v>GRMZM2G112244</v>
          </cell>
          <cell r="B4515" t="str">
            <v>GO:0006813GO:0016021GO:0051260GO:0005249</v>
          </cell>
        </row>
        <row r="4516">
          <cell r="A4516" t="str">
            <v>AC152495.1_FG010</v>
          </cell>
          <cell r="B4516" t="str">
            <v>GO:0006915GO:0005515GO:0005524</v>
          </cell>
        </row>
        <row r="4517">
          <cell r="A4517" t="str">
            <v>GRMZM2G440208</v>
          </cell>
          <cell r="B4517" t="str">
            <v>GO:0050661GO:0006098GO:0004616</v>
          </cell>
        </row>
        <row r="4518">
          <cell r="A4518" t="str">
            <v>GRMZM2G098986</v>
          </cell>
          <cell r="B4518" t="str">
            <v>GO:0003700GO:0006355GO:0005634GO:0043565</v>
          </cell>
        </row>
        <row r="4519">
          <cell r="A4519" t="str">
            <v>AC152495.1_FG017</v>
          </cell>
          <cell r="B4519" t="str">
            <v>GO:0006915GO:0005524</v>
          </cell>
        </row>
        <row r="4520">
          <cell r="A4520" t="str">
            <v>GRMZM2G353024</v>
          </cell>
          <cell r="B4520" t="str">
            <v>GO:0009416GO:0005515GO:0004871</v>
          </cell>
        </row>
        <row r="4521">
          <cell r="A4521" t="str">
            <v>GRMZM2G003875</v>
          </cell>
          <cell r="B4521" t="str">
            <v>GO:0009113GO:0005524GO:0004637</v>
          </cell>
        </row>
        <row r="4522">
          <cell r="A4522" t="str">
            <v>GRMZM2G003306</v>
          </cell>
          <cell r="B4522" t="str">
            <v>GO:0006334GO:0003677GO:0005634GO:0000786</v>
          </cell>
        </row>
        <row r="4523">
          <cell r="A4523" t="str">
            <v>GRMZM2G310947</v>
          </cell>
          <cell r="B4523" t="str">
            <v>GO:0006281GO:0003684GO:0005524GO:0017111</v>
          </cell>
        </row>
        <row r="4524">
          <cell r="A4524" t="str">
            <v>GRMZM2G116584</v>
          </cell>
          <cell r="B4524" t="str">
            <v>GO:0007186GO:0016021GO:0004943GO:0006935GO:0005509</v>
          </cell>
        </row>
        <row r="4525">
          <cell r="A4525" t="str">
            <v>GRMZM2G144197</v>
          </cell>
          <cell r="B4525" t="str">
            <v>GO:0017111GO:0005524</v>
          </cell>
        </row>
        <row r="4526">
          <cell r="A4526" t="str">
            <v>GRMZM2G158462</v>
          </cell>
          <cell r="B4526" t="str">
            <v>GO:0003723</v>
          </cell>
        </row>
        <row r="4527">
          <cell r="A4527" t="str">
            <v>GRMZM2G176820</v>
          </cell>
          <cell r="B4527" t="str">
            <v>GO:0003735GO:0006412GO:0005840</v>
          </cell>
        </row>
        <row r="4528">
          <cell r="A4528" t="str">
            <v>GRMZM2G434572</v>
          </cell>
          <cell r="B4528" t="str">
            <v>GO:0046872GO:0019509GO:0051213</v>
          </cell>
        </row>
        <row r="4529">
          <cell r="A4529" t="str">
            <v>GRMZM2G171080</v>
          </cell>
          <cell r="B4529" t="str">
            <v>GO:0016855</v>
          </cell>
        </row>
        <row r="4530">
          <cell r="A4530" t="str">
            <v>GRMZM2G129189</v>
          </cell>
          <cell r="B4530" t="str">
            <v>GO:0004568GO:0006032GO:0008061GO:0016998</v>
          </cell>
        </row>
        <row r="4531">
          <cell r="A4531" t="str">
            <v>GRMZM2G083437</v>
          </cell>
          <cell r="B4531" t="str">
            <v>GO:0005737GO:0006796GO:0000287GO:0004427</v>
          </cell>
        </row>
        <row r="4532">
          <cell r="A4532" t="str">
            <v>AC208915.3_FG010</v>
          </cell>
          <cell r="B4532" t="str">
            <v>GO:0016020GO:0009765</v>
          </cell>
        </row>
        <row r="4533">
          <cell r="A4533" t="str">
            <v>GRMZM2G063069</v>
          </cell>
          <cell r="B4533" t="str">
            <v>GO:0004674GO:0006468GO:0004713GO:0005524</v>
          </cell>
        </row>
        <row r="4534">
          <cell r="A4534" t="str">
            <v>GRMZM2G055320</v>
          </cell>
          <cell r="B4534" t="str">
            <v>GO:0003824GO:0008152</v>
          </cell>
        </row>
        <row r="4535">
          <cell r="A4535" t="str">
            <v>GRMZM2G098460</v>
          </cell>
          <cell r="B4535" t="str">
            <v>GO:0031072GO:0006457GO:0051082</v>
          </cell>
        </row>
        <row r="4536">
          <cell r="A4536" t="str">
            <v>GRMZM2G128219</v>
          </cell>
          <cell r="B4536" t="str">
            <v>GO:0016787GO:0008152</v>
          </cell>
        </row>
        <row r="4537">
          <cell r="A4537" t="str">
            <v>GRMZM2G052100</v>
          </cell>
          <cell r="B4537" t="str">
            <v>GO:0006950</v>
          </cell>
        </row>
        <row r="4538">
          <cell r="A4538" t="str">
            <v>GRMZM2G174919</v>
          </cell>
          <cell r="B4538" t="str">
            <v>GO:0003676</v>
          </cell>
        </row>
        <row r="4539">
          <cell r="A4539" t="str">
            <v>GRMZM2G103047</v>
          </cell>
          <cell r="B4539" t="str">
            <v>GO:0005215GO:0016021GO:0006810</v>
          </cell>
        </row>
        <row r="4540">
          <cell r="A4540" t="str">
            <v>GRMZM2G014499</v>
          </cell>
          <cell r="B4540" t="str">
            <v>GO:0006508GO:0043086GO:0042802GO:0004252</v>
          </cell>
        </row>
        <row r="4541">
          <cell r="A4541" t="str">
            <v>GRMZM2G128212</v>
          </cell>
          <cell r="B4541" t="str">
            <v>GO:0005840GO:0003735GO:0050825GO:0008270GO:0042309GO:0050826GO:0006412</v>
          </cell>
        </row>
        <row r="4542">
          <cell r="A4542" t="str">
            <v>GRMZM2G174917</v>
          </cell>
          <cell r="B4542" t="str">
            <v>GO:0003700GO:0006355GO:0050825GO:0042309GO:0050826</v>
          </cell>
        </row>
        <row r="4543">
          <cell r="A4543" t="str">
            <v>GRMZM2G042253</v>
          </cell>
          <cell r="B4543" t="str">
            <v>GO:0005737GO:0006457GO:0005524GO:0005515</v>
          </cell>
        </row>
        <row r="4544">
          <cell r="A4544" t="str">
            <v>GRMZM2G171406</v>
          </cell>
          <cell r="B4544" t="str">
            <v>GO:0005198</v>
          </cell>
        </row>
        <row r="4545">
          <cell r="A4545" t="str">
            <v>GRMZM2G068330</v>
          </cell>
          <cell r="B4545" t="str">
            <v>GO:0003700GO:0006355GO:0005634GO:0004879GO:0043565</v>
          </cell>
        </row>
        <row r="4546">
          <cell r="A4546" t="str">
            <v>GRMZM2G090738</v>
          </cell>
          <cell r="B4546" t="str">
            <v>GO:0003735GO:0008097GO:0006412GO:0005840</v>
          </cell>
        </row>
        <row r="4547">
          <cell r="A4547" t="str">
            <v>GRMZM2G171390</v>
          </cell>
          <cell r="B4547" t="str">
            <v>GO:0051537GO:0016705GO:0016740GO:0005506GO:0055114GO:0009055</v>
          </cell>
        </row>
        <row r="4548">
          <cell r="A4548" t="str">
            <v>GRMZM2G064466</v>
          </cell>
          <cell r="B4548" t="str">
            <v>GO:0003700GO:0006355GO:0005634GO:0043565</v>
          </cell>
        </row>
        <row r="4549">
          <cell r="A4549" t="str">
            <v>GRMZM2G165919</v>
          </cell>
          <cell r="B4549" t="str">
            <v>GO:0016757</v>
          </cell>
        </row>
        <row r="4550">
          <cell r="A4550" t="str">
            <v>GRMZM2G171395</v>
          </cell>
          <cell r="B4550" t="str">
            <v>GO:0045449GO:0003677</v>
          </cell>
        </row>
        <row r="4551">
          <cell r="A4551" t="str">
            <v>GRMZM2G449496</v>
          </cell>
          <cell r="B4551" t="str">
            <v>GO:0003824GO:0005488GO:0008152</v>
          </cell>
        </row>
        <row r="4552">
          <cell r="A4552" t="str">
            <v>GRMZM2G069195</v>
          </cell>
          <cell r="B4552" t="str">
            <v>GO:0006096GO:0004332</v>
          </cell>
        </row>
        <row r="4553">
          <cell r="A4553" t="str">
            <v>GRMZM2G069198</v>
          </cell>
          <cell r="B4553" t="str">
            <v>GO:0005215GO:0016020GO:0006810</v>
          </cell>
        </row>
        <row r="4554">
          <cell r="A4554" t="str">
            <v>GRMZM2G152573</v>
          </cell>
          <cell r="B4554" t="str">
            <v>GO:0003735GO:0006412GO:0005840</v>
          </cell>
        </row>
        <row r="4555">
          <cell r="A4555" t="str">
            <v>GRMZM2G037386</v>
          </cell>
          <cell r="B4555" t="str">
            <v>GO:0004674GO:0006468GO:0004713GO:0005524</v>
          </cell>
        </row>
        <row r="4556">
          <cell r="A4556" t="str">
            <v>GRMZM2G116327</v>
          </cell>
          <cell r="B4556" t="str">
            <v>GO:0016020</v>
          </cell>
        </row>
        <row r="4557">
          <cell r="A4557" t="str">
            <v>GRMZM2G121700</v>
          </cell>
          <cell r="B4557" t="str">
            <v>GO:0016491</v>
          </cell>
        </row>
        <row r="4558">
          <cell r="A4558" t="str">
            <v>GRMZM2G076239</v>
          </cell>
          <cell r="B4558" t="str">
            <v>GO:0016491GO:0010181GO:0009228GO:0009055</v>
          </cell>
        </row>
        <row r="4559">
          <cell r="A4559" t="str">
            <v>GRMZM2G406413</v>
          </cell>
          <cell r="B4559" t="str">
            <v>GO:0003899GO:0005634GO:0006350GO:0003677</v>
          </cell>
        </row>
        <row r="4560">
          <cell r="A4560" t="str">
            <v>GRMZM2G426917</v>
          </cell>
          <cell r="B4560" t="str">
            <v>GO:0004674GO:0006468GO:0004713GO:0005524</v>
          </cell>
        </row>
        <row r="4561">
          <cell r="A4561" t="str">
            <v>GRMZM2G410991</v>
          </cell>
          <cell r="B4561" t="str">
            <v>GO:0016998</v>
          </cell>
        </row>
        <row r="4562">
          <cell r="A4562" t="str">
            <v>GRMZM2G042789</v>
          </cell>
          <cell r="B4562" t="str">
            <v>GO:0009611GO:0004867</v>
          </cell>
        </row>
        <row r="4563">
          <cell r="A4563" t="str">
            <v>GRMZM2G145029</v>
          </cell>
          <cell r="B4563" t="str">
            <v>GO:0016787GO:0008299GO:0004452</v>
          </cell>
        </row>
        <row r="4564">
          <cell r="A4564" t="str">
            <v>GRMZM2G150264</v>
          </cell>
          <cell r="B4564" t="str">
            <v>GO:0016020GO:0015018</v>
          </cell>
        </row>
        <row r="4565">
          <cell r="A4565" t="str">
            <v>GRMZM2G106493</v>
          </cell>
          <cell r="B4565" t="str">
            <v>GO:0005529</v>
          </cell>
        </row>
        <row r="4566">
          <cell r="A4566" t="str">
            <v>GRMZM2G107654</v>
          </cell>
          <cell r="B4566" t="str">
            <v>GO:0003924GO:0005525</v>
          </cell>
        </row>
        <row r="4567">
          <cell r="A4567" t="str">
            <v>GRMZM2G330302</v>
          </cell>
          <cell r="B4567" t="str">
            <v>GO:0003824GO:0006541</v>
          </cell>
        </row>
        <row r="4568">
          <cell r="A4568" t="str">
            <v>GRMZM2G165357</v>
          </cell>
          <cell r="B4568" t="str">
            <v>GO:0016857GO:0050662GO:0006694GO:0003854GO:0045226GO:0008831</v>
          </cell>
        </row>
        <row r="4569">
          <cell r="A4569" t="str">
            <v>GRMZM2G055857</v>
          </cell>
          <cell r="B4569" t="str">
            <v>GO:0008270GO:0055114GO:0016491</v>
          </cell>
        </row>
        <row r="4570">
          <cell r="A4570" t="str">
            <v>GRMZM2G064406</v>
          </cell>
          <cell r="B4570" t="str">
            <v>GO:0016829GO:0000287GO:0008152</v>
          </cell>
        </row>
        <row r="4571">
          <cell r="A4571" t="str">
            <v>GRMZM2G136439</v>
          </cell>
          <cell r="B4571" t="str">
            <v>GO:0003824GO:0005488GO:0008152</v>
          </cell>
        </row>
        <row r="4572">
          <cell r="A4572" t="str">
            <v>GRMZM2G137435</v>
          </cell>
          <cell r="B4572" t="str">
            <v>GO:0004435GO:0006629GO:0007242</v>
          </cell>
        </row>
        <row r="4573">
          <cell r="A4573" t="str">
            <v>GRMZM2G170281</v>
          </cell>
          <cell r="B4573" t="str">
            <v>GO:0016021</v>
          </cell>
        </row>
        <row r="4574">
          <cell r="A4574" t="str">
            <v>GRMZM2G394212</v>
          </cell>
          <cell r="B4574" t="str">
            <v>GO:0004497GO:0008152</v>
          </cell>
        </row>
        <row r="4575">
          <cell r="A4575" t="str">
            <v>GRMZM2G087150</v>
          </cell>
          <cell r="B4575" t="str">
            <v>GO:0006629GO:0016788</v>
          </cell>
        </row>
        <row r="4576">
          <cell r="A4576" t="str">
            <v>GRMZM2G010000</v>
          </cell>
          <cell r="B4576" t="str">
            <v>GO:0031072</v>
          </cell>
        </row>
        <row r="4577">
          <cell r="A4577" t="str">
            <v>GRMZM2G055101</v>
          </cell>
          <cell r="B4577" t="str">
            <v>GO:0005975GO:0004553</v>
          </cell>
        </row>
        <row r="4578">
          <cell r="A4578" t="str">
            <v>GRMZM2G337048</v>
          </cell>
          <cell r="B4578" t="str">
            <v>GO:0016758GO:0008152</v>
          </cell>
        </row>
        <row r="4579">
          <cell r="A4579" t="str">
            <v>GRMZM2G012891</v>
          </cell>
          <cell r="B4579" t="str">
            <v>GO:0050825GO:0042309GO:0050826</v>
          </cell>
        </row>
        <row r="4580">
          <cell r="A4580" t="str">
            <v>GRMZM2G170577</v>
          </cell>
          <cell r="B4580" t="str">
            <v>GO:0005216</v>
          </cell>
        </row>
        <row r="4581">
          <cell r="A4581" t="str">
            <v>GRMZM2G475380</v>
          </cell>
          <cell r="B4581" t="str">
            <v>GO:0016491</v>
          </cell>
        </row>
        <row r="4582">
          <cell r="A4582" t="str">
            <v>GRMZM2G098643</v>
          </cell>
          <cell r="B4582" t="str">
            <v>GO:0016021GO:0050825GO:0042309GO:0050826</v>
          </cell>
        </row>
        <row r="4583">
          <cell r="A4583" t="str">
            <v>GRMZM2G045706</v>
          </cell>
          <cell r="B4583" t="str">
            <v>GO:0006508GO:0004197</v>
          </cell>
        </row>
        <row r="4584">
          <cell r="A4584" t="str">
            <v>GRMZM2G364982</v>
          </cell>
          <cell r="B4584" t="str">
            <v>GO:0008168GO:0008152</v>
          </cell>
        </row>
        <row r="4585">
          <cell r="A4585" t="str">
            <v>GRMZM2G044720</v>
          </cell>
          <cell r="B4585" t="str">
            <v>GO:0016021</v>
          </cell>
        </row>
        <row r="4586">
          <cell r="A4586" t="str">
            <v>GRMZM2G025470</v>
          </cell>
          <cell r="B4586" t="str">
            <v>GO:0006464</v>
          </cell>
        </row>
        <row r="4587">
          <cell r="A4587" t="str">
            <v>GRMZM2G157113</v>
          </cell>
          <cell r="B4587" t="str">
            <v>GO:0003824GO:0008152</v>
          </cell>
        </row>
        <row r="4588">
          <cell r="A4588" t="str">
            <v>GRMZM2G064914</v>
          </cell>
          <cell r="B4588" t="str">
            <v>GO:0033897GO:0003723</v>
          </cell>
        </row>
        <row r="4589">
          <cell r="A4589" t="str">
            <v>AC208221.3_FG002</v>
          </cell>
          <cell r="B4589" t="str">
            <v>GO:0005576GO:0004867</v>
          </cell>
        </row>
        <row r="4590">
          <cell r="A4590" t="str">
            <v>GRMZM2G079925</v>
          </cell>
          <cell r="B4590" t="str">
            <v>GO:0050825GO:0042309GO:0050826</v>
          </cell>
        </row>
        <row r="4591">
          <cell r="A4591" t="str">
            <v>GRMZM2G394500</v>
          </cell>
          <cell r="B4591" t="str">
            <v>GO:0004601GO:0006979GO:0020037GO:0009055</v>
          </cell>
        </row>
        <row r="4592">
          <cell r="A4592" t="str">
            <v>GRMZM2G155242</v>
          </cell>
          <cell r="B4592" t="str">
            <v>GO:0004512GO:0006021GO:0005488GO:0008654</v>
          </cell>
        </row>
        <row r="4593">
          <cell r="A4593" t="str">
            <v>AC233910.1_FG003</v>
          </cell>
          <cell r="B4593" t="str">
            <v>GO:0003735GO:0006412GO:0006464GO:0005840</v>
          </cell>
        </row>
        <row r="4594">
          <cell r="A4594" t="str">
            <v>GRMZM2G097827</v>
          </cell>
          <cell r="B4594" t="str">
            <v>GO:0005509</v>
          </cell>
        </row>
        <row r="4595">
          <cell r="A4595" t="str">
            <v>GRMZM2G022558</v>
          </cell>
          <cell r="B4595" t="str">
            <v>GO:0006633GO:0016020GO:0008415</v>
          </cell>
        </row>
        <row r="4596">
          <cell r="A4596" t="str">
            <v>GRMZM2G346133</v>
          </cell>
          <cell r="B4596" t="str">
            <v>GO:0007017GO:0005875GO:0003777</v>
          </cell>
        </row>
        <row r="4597">
          <cell r="A4597" t="str">
            <v>GRMZM2G077181</v>
          </cell>
          <cell r="B4597" t="str">
            <v>GO:0003700GO:0006355GO:0043565</v>
          </cell>
        </row>
        <row r="4598">
          <cell r="A4598" t="str">
            <v>GRMZM2G173710</v>
          </cell>
          <cell r="B4598" t="str">
            <v>GO:0000160GO:0004871</v>
          </cell>
        </row>
        <row r="4599">
          <cell r="A4599" t="str">
            <v>GRMZM2G078324</v>
          </cell>
          <cell r="B4599" t="str">
            <v>GO:0005840GO:0003735GO:0050825GO:0042309GO:0050826GO:0006412</v>
          </cell>
        </row>
        <row r="4600">
          <cell r="A4600" t="str">
            <v>GRMZM2G099352</v>
          </cell>
          <cell r="B4600" t="str">
            <v>GO:0003735GO:0015935GO:0006412GO:0003723</v>
          </cell>
        </row>
        <row r="4601">
          <cell r="A4601" t="str">
            <v>GRMZM2G451147</v>
          </cell>
          <cell r="B4601" t="str">
            <v>GO:0004674GO:0006468GO:0004713GO:0005524</v>
          </cell>
        </row>
        <row r="4602">
          <cell r="A4602" t="str">
            <v>GRMZM2G350165</v>
          </cell>
          <cell r="B4602" t="str">
            <v>GO:0005840GO:0005634GO:0030528GO:0003735GO:0045449GO:0006412</v>
          </cell>
        </row>
        <row r="4603">
          <cell r="A4603" t="str">
            <v>GRMZM2G099363</v>
          </cell>
          <cell r="B4603" t="str">
            <v>GO:0008171</v>
          </cell>
        </row>
        <row r="4604">
          <cell r="A4604" t="str">
            <v>GRMZM2G414503</v>
          </cell>
          <cell r="B4604" t="str">
            <v>GO:0030173GO:0006486GO:0008373</v>
          </cell>
        </row>
        <row r="4605">
          <cell r="A4605" t="str">
            <v>GRMZM2G153569</v>
          </cell>
          <cell r="B4605" t="str">
            <v>GO:0003746GO:0006414GO:0005853</v>
          </cell>
        </row>
        <row r="4606">
          <cell r="A4606" t="str">
            <v>GRMZM2G066961</v>
          </cell>
          <cell r="B4606" t="str">
            <v>GO:0006950</v>
          </cell>
        </row>
        <row r="4607">
          <cell r="A4607" t="str">
            <v>GRMZM2G064868</v>
          </cell>
          <cell r="B4607" t="str">
            <v>GO:0006139GO:0005634GO:0004534GO:0003676GO:0008270</v>
          </cell>
        </row>
        <row r="4608">
          <cell r="A4608" t="str">
            <v>GRMZM2G010257</v>
          </cell>
          <cell r="B4608" t="str">
            <v>GO:0003735GO:0006414GO:0005840</v>
          </cell>
        </row>
        <row r="4609">
          <cell r="A4609" t="str">
            <v>GRMZM2G121269</v>
          </cell>
          <cell r="B4609" t="str">
            <v>GO:0003676</v>
          </cell>
        </row>
        <row r="4610">
          <cell r="A4610" t="str">
            <v>GRMZM2G000278</v>
          </cell>
          <cell r="B4610" t="str">
            <v>GO:0004674GO:0006468GO:0004713GO:0005524</v>
          </cell>
        </row>
        <row r="4611">
          <cell r="A4611" t="str">
            <v>GRMZM2G326270</v>
          </cell>
          <cell r="B4611" t="str">
            <v>GO:0008967GO:0008152</v>
          </cell>
        </row>
        <row r="4612">
          <cell r="A4612" t="str">
            <v>GRMZM2G326272</v>
          </cell>
          <cell r="B4612" t="str">
            <v>GO:0005622GO:0017111GO:0005525</v>
          </cell>
        </row>
        <row r="4613">
          <cell r="A4613" t="str">
            <v>GRMZM2G376542</v>
          </cell>
          <cell r="B4613" t="str">
            <v>GO:0045454</v>
          </cell>
        </row>
        <row r="4614">
          <cell r="A4614" t="str">
            <v>GRMZM2G039586</v>
          </cell>
          <cell r="B4614" t="str">
            <v>GO:0043565GO:0003700GO:0005634GO:0006355GO:0050825GO:0008270GO:0042309GO:0050826</v>
          </cell>
        </row>
        <row r="4615">
          <cell r="A4615" t="str">
            <v>GRMZM2G124644</v>
          </cell>
          <cell r="B4615" t="str">
            <v>GO:0031072</v>
          </cell>
        </row>
        <row r="4616">
          <cell r="A4616" t="str">
            <v>GRMZM2G147268</v>
          </cell>
          <cell r="B4616" t="str">
            <v>GO:0016829GO:0009058GO:0006520GO:0016769GO:0030170</v>
          </cell>
        </row>
        <row r="4617">
          <cell r="A4617" t="str">
            <v>GRMZM2G070322</v>
          </cell>
          <cell r="B4617" t="str">
            <v>GO:0005515</v>
          </cell>
        </row>
        <row r="4618">
          <cell r="A4618" t="str">
            <v>GRMZM2G109056</v>
          </cell>
          <cell r="B4618" t="str">
            <v>GO:0005506GO:0016165GO:0009055</v>
          </cell>
        </row>
        <row r="4619">
          <cell r="A4619" t="str">
            <v>GRMZM2G179349</v>
          </cell>
          <cell r="B4619" t="str">
            <v>GO:0016021GO:0009060GO:0020037GO:0009055</v>
          </cell>
        </row>
        <row r="4620">
          <cell r="A4620" t="str">
            <v>GRMZM2G392101</v>
          </cell>
          <cell r="B4620" t="str">
            <v>GO:0006355GO:0000156GO:0000160</v>
          </cell>
        </row>
        <row r="4621">
          <cell r="A4621" t="str">
            <v>GRMZM2G059801</v>
          </cell>
          <cell r="B4621" t="str">
            <v>GO:0031072GO:0005506GO:0006457GO:0051082GO:0009055</v>
          </cell>
        </row>
        <row r="4622">
          <cell r="A4622" t="str">
            <v>GRMZM2G058404</v>
          </cell>
          <cell r="B4622" t="str">
            <v>GO:0008299</v>
          </cell>
        </row>
        <row r="4623">
          <cell r="A4623" t="str">
            <v>GRMZM2G086841</v>
          </cell>
          <cell r="B4623" t="str">
            <v>GO:0031072GO:0006334GO:0003677GO:0005634GO:0000786</v>
          </cell>
        </row>
        <row r="4624">
          <cell r="A4624" t="str">
            <v>GRMZM2G030125</v>
          </cell>
          <cell r="B4624" t="str">
            <v>GO:0016021GO:0017153GO:0006835</v>
          </cell>
        </row>
        <row r="4625">
          <cell r="A4625" t="str">
            <v>GRMZM2G162007</v>
          </cell>
          <cell r="B4625" t="str">
            <v>GO:0008270GO:0055114GO:0016491</v>
          </cell>
        </row>
        <row r="4626">
          <cell r="A4626" t="str">
            <v>GRMZM2G074053</v>
          </cell>
          <cell r="B4626" t="str">
            <v>GO:0016020GO:0006865GO:0031177</v>
          </cell>
        </row>
        <row r="4627">
          <cell r="A4627" t="str">
            <v>GRMZM2G015285</v>
          </cell>
          <cell r="B4627" t="str">
            <v>GO:0005215GO:0006810GO:0005488GO:0005198</v>
          </cell>
        </row>
        <row r="4628">
          <cell r="A4628" t="str">
            <v>GRMZM2G355450</v>
          </cell>
          <cell r="B4628" t="str">
            <v>GO:0004674GO:0006468GO:0004713GO:0005524</v>
          </cell>
        </row>
        <row r="4629">
          <cell r="A4629" t="str">
            <v>GRMZM2G327564</v>
          </cell>
          <cell r="B4629" t="str">
            <v>GO:0003735GO:0015934GO:0006412</v>
          </cell>
        </row>
        <row r="4630">
          <cell r="A4630" t="str">
            <v>GRMZM2G450937</v>
          </cell>
          <cell r="B4630" t="str">
            <v>GO:0005840GO:0006334GO:0003677GO:0003735GO:0005515GO:0000786GO:0006412</v>
          </cell>
        </row>
        <row r="4631">
          <cell r="A4631" t="str">
            <v>GRMZM2G012306</v>
          </cell>
          <cell r="B4631" t="str">
            <v>GO:0006857GO:0005215GO:0016020</v>
          </cell>
        </row>
        <row r="4632">
          <cell r="A4632" t="str">
            <v>GRMZM2G044092</v>
          </cell>
          <cell r="B4632" t="str">
            <v>GO:0005975GO:0004553</v>
          </cell>
        </row>
        <row r="4633">
          <cell r="A4633" t="str">
            <v>GRMZM2G013318</v>
          </cell>
          <cell r="B4633" t="str">
            <v>GO:0007264GO:0005525GO:0005622</v>
          </cell>
        </row>
        <row r="4634">
          <cell r="A4634" t="str">
            <v>GRMZM2G093902</v>
          </cell>
          <cell r="B4634" t="str">
            <v>GO:0003735GO:0015935GO:0006412GO:0003723</v>
          </cell>
        </row>
        <row r="4635">
          <cell r="A4635" t="str">
            <v>GRMZM2G093900</v>
          </cell>
          <cell r="B4635" t="str">
            <v>GO:0008483GO:0030170</v>
          </cell>
        </row>
        <row r="4636">
          <cell r="A4636" t="str">
            <v>GRMZM2G328500</v>
          </cell>
          <cell r="B4636" t="str">
            <v>GO:0051287GO:0016616GO:0008152</v>
          </cell>
        </row>
        <row r="4637">
          <cell r="A4637" t="str">
            <v>GRMZM2G117064</v>
          </cell>
          <cell r="B4637" t="str">
            <v>GO:0003824GO:0008152</v>
          </cell>
        </row>
        <row r="4638">
          <cell r="A4638" t="str">
            <v>GRMZM2G133421</v>
          </cell>
          <cell r="B4638" t="str">
            <v>GO:0005319GO:0006869GO:0005283GO:0015904GO:0016021GO:0015520GO:0000271GO:0006814GO:0046677</v>
          </cell>
        </row>
        <row r="4639">
          <cell r="A4639" t="str">
            <v>GRMZM2G147882</v>
          </cell>
          <cell r="B4639" t="str">
            <v>GO:0005506GO:0016491</v>
          </cell>
        </row>
        <row r="4640">
          <cell r="A4640" t="str">
            <v>GRMZM2G006937</v>
          </cell>
          <cell r="B4640" t="str">
            <v>GO:0016866</v>
          </cell>
        </row>
        <row r="4641">
          <cell r="A4641" t="str">
            <v>GRMZM2G075630</v>
          </cell>
          <cell r="B4641" t="str">
            <v>GO:0003735GO:0006414GO:0005840</v>
          </cell>
        </row>
        <row r="4642">
          <cell r="A4642" t="str">
            <v>GRMZM2G475948</v>
          </cell>
          <cell r="B4642" t="str">
            <v>GO:0004674GO:0006468GO:0005529GO:0004713GO:0005524</v>
          </cell>
        </row>
        <row r="4643">
          <cell r="A4643" t="str">
            <v>GRMZM2G075637</v>
          </cell>
          <cell r="B4643" t="str">
            <v>GO:0006334GO:0005634</v>
          </cell>
        </row>
        <row r="4644">
          <cell r="A4644" t="str">
            <v>GRMZM2G166297</v>
          </cell>
          <cell r="B4644" t="str">
            <v>GO:0008287GO:0006470GO:0005634GO:0003677GO:0004722GO:0006355GO:0050825GO:0042309GO:0050826GO:0004879</v>
          </cell>
        </row>
        <row r="4645">
          <cell r="A4645" t="str">
            <v>GRMZM2G422340</v>
          </cell>
          <cell r="B4645" t="str">
            <v>GO:0006468GO:0004674GO:0005529GO:0004713GO:0005524GO:0048544</v>
          </cell>
        </row>
        <row r="4646">
          <cell r="A4646" t="str">
            <v>GRMZM2G000587</v>
          </cell>
          <cell r="B4646" t="str">
            <v>GO:0016757</v>
          </cell>
        </row>
        <row r="4647">
          <cell r="A4647" t="str">
            <v>GRMZM2G363116</v>
          </cell>
          <cell r="B4647" t="str">
            <v>GO:0016787GO:0008152</v>
          </cell>
        </row>
        <row r="4648">
          <cell r="A4648" t="str">
            <v>GRMZM2G057535</v>
          </cell>
          <cell r="B4648" t="str">
            <v>GO:0005737GO:0003746GO:0006414GO:0003924GO:0005525</v>
          </cell>
        </row>
        <row r="4649">
          <cell r="A4649" t="str">
            <v>GRMZM2G031721</v>
          </cell>
          <cell r="B4649" t="str">
            <v>GO:0006457GO:0031072GO:0051082GO:0050825GO:0042309GO:0050826</v>
          </cell>
        </row>
        <row r="4650">
          <cell r="A4650" t="str">
            <v>GRMZM2G166459</v>
          </cell>
          <cell r="B4650" t="str">
            <v>GO:0015297GO:0016020GO:0006855GO:0015238GO:0003824GO:0006835GO:0005488GO:0008152GO:0017153</v>
          </cell>
        </row>
        <row r="4651">
          <cell r="A4651" t="str">
            <v>GRMZM2G180724</v>
          </cell>
          <cell r="B4651" t="str">
            <v>GO:0003735GO:0006412GO:0005840</v>
          </cell>
        </row>
        <row r="4652">
          <cell r="A4652" t="str">
            <v>GRMZM2G166452</v>
          </cell>
          <cell r="B4652" t="str">
            <v>GO:0051260GO:0016020GO:0050825GO:0042309GO:0050826</v>
          </cell>
        </row>
        <row r="4653">
          <cell r="A4653" t="str">
            <v>GRMZM2G153582</v>
          </cell>
          <cell r="B4653" t="str">
            <v>GO:0004518GO:0003677GO:0006289</v>
          </cell>
        </row>
        <row r="4654">
          <cell r="A4654" t="str">
            <v>GRMZM2G088880</v>
          </cell>
          <cell r="B4654" t="str">
            <v>GO:0003735GO:0006412GO:0005840</v>
          </cell>
        </row>
        <row r="4655">
          <cell r="A4655" t="str">
            <v>GRMZM2G132069</v>
          </cell>
          <cell r="B4655" t="str">
            <v>GO:0003872GO:0005945GO:0006096GO:0005524</v>
          </cell>
        </row>
        <row r="4656">
          <cell r="A4656" t="str">
            <v>GRMZM2G148441</v>
          </cell>
          <cell r="B4656" t="str">
            <v>GO:0004497GO:0020037GO:0009055</v>
          </cell>
        </row>
        <row r="4657">
          <cell r="A4657" t="str">
            <v>GRMZM2G152984</v>
          </cell>
          <cell r="B4657" t="str">
            <v>GO:0004640GO:0006568</v>
          </cell>
        </row>
        <row r="4658">
          <cell r="A4658" t="str">
            <v>GRMZM2G046498</v>
          </cell>
          <cell r="B4658" t="str">
            <v>GO:0003951GO:0008152</v>
          </cell>
        </row>
        <row r="4659">
          <cell r="A4659" t="str">
            <v>GRMZM2G000481</v>
          </cell>
          <cell r="B4659" t="str">
            <v>GO:0005737GO:0006437GO:0006436GO:0004831GO:0004830GO:0005524</v>
          </cell>
        </row>
        <row r="4660">
          <cell r="A4660" t="str">
            <v>GRMZM2G059753</v>
          </cell>
          <cell r="B4660" t="str">
            <v>GO:0005201GO:0005578</v>
          </cell>
        </row>
        <row r="4661">
          <cell r="A4661" t="str">
            <v>GRMZM2G020081</v>
          </cell>
          <cell r="B4661" t="str">
            <v>GO:0006355GO:0000156GO:0000160</v>
          </cell>
        </row>
        <row r="4662">
          <cell r="A4662" t="str">
            <v>GRMZM2G132591</v>
          </cell>
          <cell r="B4662" t="str">
            <v>GO:0004674GO:0006468GO:0004713GO:0005524GO:0005509</v>
          </cell>
        </row>
        <row r="4663">
          <cell r="A4663" t="str">
            <v>GRMZM2G053720</v>
          </cell>
          <cell r="B4663" t="str">
            <v>GO:0004657GO:0006537GO:0006562</v>
          </cell>
        </row>
        <row r="4664">
          <cell r="A4664" t="str">
            <v>GRMZM2G371063</v>
          </cell>
          <cell r="B4664" t="str">
            <v>GO:0045454GO:0015035GO:0009055</v>
          </cell>
        </row>
        <row r="4665">
          <cell r="A4665" t="str">
            <v>GRMZM2G431288</v>
          </cell>
          <cell r="B4665" t="str">
            <v>GO:0004497GO:0020037GO:0009055</v>
          </cell>
        </row>
        <row r="4666">
          <cell r="A4666" t="str">
            <v>GRMZM2G162359</v>
          </cell>
          <cell r="B4666" t="str">
            <v>GO:0005975GO:0004553</v>
          </cell>
        </row>
        <row r="4667">
          <cell r="A4667" t="str">
            <v>GRMZM2G154752</v>
          </cell>
          <cell r="B4667" t="str">
            <v>GO:0004497GO:0020037GO:0009055</v>
          </cell>
        </row>
        <row r="4668">
          <cell r="A4668" t="str">
            <v>GRMZM2G079477</v>
          </cell>
          <cell r="B4668" t="str">
            <v>GO:0003824</v>
          </cell>
        </row>
        <row r="4669">
          <cell r="A4669" t="str">
            <v>GRMZM2G162353</v>
          </cell>
          <cell r="B4669" t="str">
            <v>GO:0008270GO:0005622</v>
          </cell>
        </row>
        <row r="4670">
          <cell r="A4670" t="str">
            <v>GRMZM2G060373</v>
          </cell>
          <cell r="B4670" t="str">
            <v>GO:0003735GO:0006412GO:0005840</v>
          </cell>
        </row>
        <row r="4671">
          <cell r="A4671" t="str">
            <v>GRMZM2G101613</v>
          </cell>
          <cell r="B4671" t="str">
            <v>GO:0007050GO:0004861GO:0005634</v>
          </cell>
        </row>
        <row r="4672">
          <cell r="A4672" t="str">
            <v>GRMZM2G031656</v>
          </cell>
          <cell r="B4672" t="str">
            <v>GO:0005634GO:0045449GO:0030528</v>
          </cell>
        </row>
        <row r="4673">
          <cell r="A4673" t="str">
            <v>GRMZM2G177720</v>
          </cell>
          <cell r="B4673" t="str">
            <v>GO:0003735GO:0006412GO:0005840</v>
          </cell>
        </row>
        <row r="4674">
          <cell r="A4674" t="str">
            <v>AC194341.4_FG002</v>
          </cell>
          <cell r="B4674" t="str">
            <v>GO:0000276GO:0015078GO:0015986</v>
          </cell>
        </row>
        <row r="4675">
          <cell r="A4675" t="str">
            <v>GRMZM2G118312</v>
          </cell>
          <cell r="B4675" t="str">
            <v>GO:0008107GO:0016020GO:0042546</v>
          </cell>
        </row>
        <row r="4676">
          <cell r="A4676" t="str">
            <v>GRMZM2G158013</v>
          </cell>
          <cell r="B4676" t="str">
            <v>GO:0016021GO:0008271GO:0008272</v>
          </cell>
        </row>
        <row r="4677">
          <cell r="A4677" t="str">
            <v>GRMZM2G041356</v>
          </cell>
          <cell r="B4677" t="str">
            <v>GO:0005975GO:0030246GO:0016853</v>
          </cell>
        </row>
        <row r="4678">
          <cell r="A4678" t="str">
            <v>GRMZM2G308687</v>
          </cell>
          <cell r="B4678" t="str">
            <v>GO:0005737GO:0004364GO:0008152</v>
          </cell>
        </row>
        <row r="4679">
          <cell r="A4679" t="str">
            <v>GRMZM2G014558</v>
          </cell>
          <cell r="B4679" t="str">
            <v>GO:0030244GO:0016020GO:0016760GO:0016491</v>
          </cell>
        </row>
        <row r="4680">
          <cell r="A4680" t="str">
            <v>GRMZM2G050364</v>
          </cell>
          <cell r="B4680" t="str">
            <v>GO:0006508GO:0004190</v>
          </cell>
        </row>
        <row r="4681">
          <cell r="A4681" t="str">
            <v>GRMZM2G080516</v>
          </cell>
          <cell r="B4681" t="str">
            <v>GO:0003700GO:0006355</v>
          </cell>
        </row>
        <row r="4682">
          <cell r="A4682" t="str">
            <v>GRMZM2G363813</v>
          </cell>
          <cell r="B4682" t="str">
            <v>GO:0003824</v>
          </cell>
        </row>
        <row r="4683">
          <cell r="A4683" t="str">
            <v>GRMZM2G002220</v>
          </cell>
          <cell r="B4683" t="str">
            <v>GO:0006457GO:0051082GO:0005524</v>
          </cell>
        </row>
        <row r="4684">
          <cell r="A4684" t="str">
            <v>GRMZM2G113060</v>
          </cell>
          <cell r="B4684" t="str">
            <v>GO:0003700GO:0006355</v>
          </cell>
        </row>
        <row r="4685">
          <cell r="A4685" t="str">
            <v>GRMZM2G126413</v>
          </cell>
          <cell r="B4685" t="str">
            <v>GO:0005840GO:0003735GO:0050825GO:0042309GO:0050826GO:0006412</v>
          </cell>
        </row>
        <row r="4686">
          <cell r="A4686" t="str">
            <v>GRMZM2G063276</v>
          </cell>
          <cell r="B4686" t="str">
            <v>GO:0016787</v>
          </cell>
        </row>
        <row r="4687">
          <cell r="A4687" t="str">
            <v>GRMZM2G473533</v>
          </cell>
          <cell r="B4687" t="str">
            <v>GO:0016020</v>
          </cell>
        </row>
        <row r="4688">
          <cell r="A4688" t="str">
            <v>GRMZM2G102230</v>
          </cell>
          <cell r="B4688" t="str">
            <v>GO:0003735GO:0006412GO:0005840</v>
          </cell>
        </row>
        <row r="4689">
          <cell r="A4689" t="str">
            <v>GRMZM2G122302</v>
          </cell>
          <cell r="B4689" t="str">
            <v>GO:0005507GO:0009055</v>
          </cell>
        </row>
        <row r="4690">
          <cell r="A4690" t="str">
            <v>GRMZM2G149480</v>
          </cell>
          <cell r="B4690" t="str">
            <v>GO:0005743GO:0006810GO:0005488GO:0005215</v>
          </cell>
        </row>
        <row r="4691">
          <cell r="A4691" t="str">
            <v>GRMZM2G178829</v>
          </cell>
          <cell r="B4691" t="str">
            <v>GO:0005488</v>
          </cell>
        </row>
        <row r="4692">
          <cell r="A4692" t="str">
            <v>GRMZM2G046011</v>
          </cell>
          <cell r="B4692" t="str">
            <v>GO:0003735GO:0006412GO:0005840</v>
          </cell>
        </row>
        <row r="4693">
          <cell r="A4693" t="str">
            <v>GRMZM2G020150</v>
          </cell>
          <cell r="B4693" t="str">
            <v>GO:0003700GO:0006355</v>
          </cell>
        </row>
        <row r="4694">
          <cell r="A4694" t="str">
            <v>GRMZM2G131280</v>
          </cell>
          <cell r="B4694" t="str">
            <v>GO:0008270GO:0005622</v>
          </cell>
        </row>
        <row r="4695">
          <cell r="A4695" t="str">
            <v>GRMZM2G415491</v>
          </cell>
          <cell r="B4695" t="str">
            <v>GO:0005634GO:0008026GO:0008270GO:0005524GO:0003723</v>
          </cell>
        </row>
        <row r="4696">
          <cell r="A4696" t="str">
            <v>GRMZM2G106245</v>
          </cell>
          <cell r="B4696" t="str">
            <v>GO:0008080GO:0008152</v>
          </cell>
        </row>
        <row r="4697">
          <cell r="A4697" t="str">
            <v>GRMZM2G116554</v>
          </cell>
          <cell r="B4697" t="str">
            <v>GO:0006865GO:0016020GO:0015171</v>
          </cell>
        </row>
        <row r="4698">
          <cell r="A4698" t="str">
            <v>AC233979.1_FG008</v>
          </cell>
          <cell r="B4698" t="str">
            <v>GO:0008270</v>
          </cell>
        </row>
        <row r="4699">
          <cell r="A4699" t="str">
            <v>GRMZM2G401848</v>
          </cell>
          <cell r="B4699" t="str">
            <v>GO:0003755</v>
          </cell>
        </row>
        <row r="4700">
          <cell r="A4700" t="str">
            <v>GRMZM2G111672</v>
          </cell>
          <cell r="B4700" t="str">
            <v>GO:0020037GO:0009055</v>
          </cell>
        </row>
        <row r="4701">
          <cell r="A4701" t="str">
            <v>GRMZM2G474153</v>
          </cell>
          <cell r="B4701" t="str">
            <v>GO:0004674GO:0006468GO:0005529GO:0004713GO:0005524</v>
          </cell>
        </row>
        <row r="4702">
          <cell r="A4702" t="str">
            <v>GRMZM2G116258</v>
          </cell>
          <cell r="B4702" t="str">
            <v>GO:0042286GO:0008483GO:0033014GO:0030170</v>
          </cell>
        </row>
        <row r="4703">
          <cell r="A4703" t="str">
            <v>GRMZM2G013002</v>
          </cell>
          <cell r="B4703" t="str">
            <v>GO:0005576GO:0019953</v>
          </cell>
        </row>
        <row r="4704">
          <cell r="A4704" t="str">
            <v>GRMZM2G072107</v>
          </cell>
          <cell r="B4704" t="str">
            <v>GO:0004674GO:0006468GO:0004713GO:0005524</v>
          </cell>
        </row>
        <row r="4705">
          <cell r="A4705" t="str">
            <v>GRMZM2G128206</v>
          </cell>
          <cell r="B4705" t="str">
            <v>GO:0008270</v>
          </cell>
        </row>
        <row r="4706">
          <cell r="A4706" t="str">
            <v>GRMZM2G127072</v>
          </cell>
          <cell r="B4706" t="str">
            <v>GO:0005576</v>
          </cell>
        </row>
        <row r="4707">
          <cell r="A4707" t="str">
            <v>GRMZM2G346455</v>
          </cell>
          <cell r="B4707" t="str">
            <v>GO:0005975GO:0004553</v>
          </cell>
        </row>
        <row r="4708">
          <cell r="A4708" t="str">
            <v>GRMZM2G091189</v>
          </cell>
          <cell r="B4708" t="str">
            <v>GO:0006457GO:0005524</v>
          </cell>
        </row>
        <row r="4709">
          <cell r="A4709" t="str">
            <v>GRMZM2G081915</v>
          </cell>
          <cell r="B4709" t="str">
            <v>GO:0004674GO:0006468GO:0004713GO:0005524</v>
          </cell>
        </row>
        <row r="4710">
          <cell r="A4710" t="str">
            <v>GRMZM2G052036</v>
          </cell>
          <cell r="B4710" t="str">
            <v>GO:0008152GO:0016491</v>
          </cell>
        </row>
        <row r="4711">
          <cell r="A4711" t="str">
            <v>GRMZM2G349709</v>
          </cell>
          <cell r="B4711" t="str">
            <v>GO:0004497GO:0008152</v>
          </cell>
        </row>
        <row r="4712">
          <cell r="A4712" t="str">
            <v>GRMZM2G438438</v>
          </cell>
          <cell r="B4712" t="str">
            <v>GO:0005634GO:0003677GO:0006355GO:0050825GO:0042309GO:0050826GO:0004879</v>
          </cell>
        </row>
        <row r="4713">
          <cell r="A4713" t="str">
            <v>GRMZM2G131961</v>
          </cell>
          <cell r="B4713" t="str">
            <v>GO:0003700GO:0006355GO:0046983GO:0005634GO:0043565</v>
          </cell>
        </row>
        <row r="4714">
          <cell r="A4714" t="str">
            <v>GRMZM2G090213</v>
          </cell>
          <cell r="B4714" t="str">
            <v>GO:0006334GO:0003677GO:0003713GO:0006355GO:0000786GO:0005634</v>
          </cell>
        </row>
        <row r="4715">
          <cell r="A4715" t="str">
            <v>GRMZM2G150058</v>
          </cell>
          <cell r="B4715" t="str">
            <v>GO:0003735GO:0006412GO:0005840</v>
          </cell>
        </row>
        <row r="4716">
          <cell r="A4716" t="str">
            <v>GRMZM2G170365</v>
          </cell>
          <cell r="B4716" t="str">
            <v>GO:0003723</v>
          </cell>
        </row>
        <row r="4717">
          <cell r="A4717" t="str">
            <v>GRMZM2G140994</v>
          </cell>
          <cell r="B4717" t="str">
            <v>GO:0016021GO:0008270GO:0005622</v>
          </cell>
        </row>
        <row r="4718">
          <cell r="A4718" t="str">
            <v>GRMZM2G389567</v>
          </cell>
          <cell r="B4718" t="str">
            <v>GO:0005634GO:0045449GO:0030528</v>
          </cell>
        </row>
        <row r="4719">
          <cell r="A4719" t="str">
            <v>GRMZM2G157588</v>
          </cell>
          <cell r="B4719" t="str">
            <v>GO:0031072GO:0051087GO:0006457GO:0005200</v>
          </cell>
        </row>
        <row r="4720">
          <cell r="A4720" t="str">
            <v>GRMZM2G005308</v>
          </cell>
          <cell r="B4720" t="str">
            <v>GO:0005634GO:0006364GO:0030529</v>
          </cell>
        </row>
        <row r="4721">
          <cell r="A4721" t="str">
            <v>GRMZM2G171181</v>
          </cell>
          <cell r="B4721" t="str">
            <v>GO:0003735GO:0006412GO:0005840</v>
          </cell>
        </row>
        <row r="4722">
          <cell r="A4722" t="str">
            <v>GRMZM2G069762</v>
          </cell>
          <cell r="B4722" t="str">
            <v>GO:0003735GO:0006412GO:0005840</v>
          </cell>
        </row>
        <row r="4723">
          <cell r="A4723" t="str">
            <v>GRMZM2G365423</v>
          </cell>
          <cell r="B4723" t="str">
            <v>GO:0008652GO:0004072</v>
          </cell>
        </row>
        <row r="4724">
          <cell r="A4724" t="str">
            <v>GRMZM2G111415</v>
          </cell>
          <cell r="B4724" t="str">
            <v>GO:0003700GO:0006355GO:0050825GO:0042309GO:0050826</v>
          </cell>
        </row>
        <row r="4725">
          <cell r="A4725" t="str">
            <v>GRMZM2G069765</v>
          </cell>
          <cell r="B4725" t="str">
            <v>GO:0006457GO:0051082GO:0005524</v>
          </cell>
        </row>
        <row r="4726">
          <cell r="A4726" t="str">
            <v>GRMZM2G088060</v>
          </cell>
          <cell r="B4726" t="str">
            <v>GO:0003735GO:0006412GO:0005840</v>
          </cell>
        </row>
        <row r="4727">
          <cell r="A4727" t="str">
            <v>GRMZM2G308064</v>
          </cell>
          <cell r="B4727" t="str">
            <v>GO:0006915GO:0005524</v>
          </cell>
        </row>
        <row r="4728">
          <cell r="A4728" t="str">
            <v>GRMZM2G088064</v>
          </cell>
          <cell r="B4728" t="str">
            <v>GO:0016847GO:0009058GO:0030170GO:0016769</v>
          </cell>
        </row>
        <row r="4729">
          <cell r="A4729" t="str">
            <v>GRMZM2G181542</v>
          </cell>
          <cell r="B4729" t="str">
            <v>GO:0006633GO:0000036GO:0048037GO:0031177</v>
          </cell>
        </row>
        <row r="4730">
          <cell r="A4730" t="str">
            <v>GRMZM2G007801</v>
          </cell>
          <cell r="B4730" t="str">
            <v>GO:0004674GO:0006468GO:0004713GO:0005524</v>
          </cell>
        </row>
        <row r="4731">
          <cell r="A4731" t="str">
            <v>GRMZM2G135866</v>
          </cell>
          <cell r="B4731" t="str">
            <v>GO:0008270GO:0005515</v>
          </cell>
        </row>
        <row r="4732">
          <cell r="A4732" t="str">
            <v>GRMZM2G099036</v>
          </cell>
          <cell r="B4732" t="str">
            <v>GO:0015629GO:0005198GO:0006265GO:0050825GO:0042309GO:0050826GO:0007155GO:0005694GO:0003918GO:0005524</v>
          </cell>
        </row>
        <row r="4733">
          <cell r="A4733" t="str">
            <v>GRMZM2G139157</v>
          </cell>
          <cell r="B4733" t="str">
            <v>GO:0004674GO:0006468GO:0004713GO:0005524</v>
          </cell>
        </row>
        <row r="4734">
          <cell r="A4734" t="str">
            <v>GRMZM2G354909</v>
          </cell>
          <cell r="B4734" t="str">
            <v>GO:0009239GO:0005488GO:0008667</v>
          </cell>
        </row>
        <row r="4735">
          <cell r="A4735" t="str">
            <v>GRMZM2G146878</v>
          </cell>
          <cell r="B4735" t="str">
            <v>GO:0005096GO:0008083</v>
          </cell>
        </row>
        <row r="4736">
          <cell r="A4736" t="str">
            <v>GRMZM2G026065</v>
          </cell>
          <cell r="B4736" t="str">
            <v>GO:0004674GO:0006468GO:0004713GO:0005524</v>
          </cell>
        </row>
        <row r="4737">
          <cell r="A4737" t="str">
            <v>GRMZM2G069542</v>
          </cell>
          <cell r="B4737" t="str">
            <v>GO:0006099GO:0008964</v>
          </cell>
        </row>
        <row r="4738">
          <cell r="A4738" t="str">
            <v>GRMZM2G002915</v>
          </cell>
          <cell r="B4738" t="str">
            <v>GO:0003700GO:0006355GO:0005634GO:0043565</v>
          </cell>
        </row>
        <row r="4739">
          <cell r="A4739" t="str">
            <v>GRMZM2G068566</v>
          </cell>
          <cell r="B4739" t="str">
            <v>GO:0016020GO:0017153GO:0006835</v>
          </cell>
        </row>
        <row r="4740">
          <cell r="A4740" t="str">
            <v>GRMZM2G174598</v>
          </cell>
          <cell r="B4740" t="str">
            <v>GO:0005975GO:0004650</v>
          </cell>
        </row>
        <row r="4741">
          <cell r="A4741" t="str">
            <v>GRMZM2G049418</v>
          </cell>
          <cell r="B4741" t="str">
            <v>GO:0005506GO:0016491</v>
          </cell>
        </row>
        <row r="4742">
          <cell r="A4742" t="str">
            <v>GRMZM2G039895</v>
          </cell>
          <cell r="B4742" t="str">
            <v>GO:0008270GO:0005515GO:0007242</v>
          </cell>
        </row>
        <row r="4743">
          <cell r="A4743" t="str">
            <v>GRMZM2G108847</v>
          </cell>
          <cell r="B4743" t="str">
            <v>GO:0004867</v>
          </cell>
        </row>
        <row r="4744">
          <cell r="A4744" t="str">
            <v>GRMZM2G341499</v>
          </cell>
          <cell r="B4744" t="str">
            <v>GO:0004930GO:0016021GO:0006810GO:0005234GO:0030288GO:0004965GO:0007186GO:0004970</v>
          </cell>
        </row>
        <row r="4745">
          <cell r="A4745" t="str">
            <v>GRMZM2G463227</v>
          </cell>
          <cell r="B4745" t="str">
            <v>GO:0004674GO:0006468GO:0004713GO:0005524</v>
          </cell>
        </row>
        <row r="4746">
          <cell r="A4746" t="str">
            <v>GRMZM2G055467</v>
          </cell>
          <cell r="B4746" t="str">
            <v>GO:0016844GO:0009058</v>
          </cell>
        </row>
        <row r="4747">
          <cell r="A4747" t="str">
            <v>GRMZM2G055464</v>
          </cell>
          <cell r="B4747" t="str">
            <v>GO:0006259GO:0008094GO:0005524GO:0003677</v>
          </cell>
        </row>
        <row r="4748">
          <cell r="A4748" t="str">
            <v>GRMZM2G097900</v>
          </cell>
          <cell r="B4748" t="str">
            <v>GO:0005509</v>
          </cell>
        </row>
        <row r="4749">
          <cell r="A4749" t="str">
            <v>GRMZM2G138770</v>
          </cell>
          <cell r="B4749" t="str">
            <v>GO:0017111GO:0005524</v>
          </cell>
        </row>
        <row r="4750">
          <cell r="A4750" t="str">
            <v>GRMZM2G072071</v>
          </cell>
          <cell r="B4750" t="str">
            <v>GO:0016021GO:0006810GO:0042626GO:0005524</v>
          </cell>
        </row>
        <row r="4751">
          <cell r="A4751" t="str">
            <v>GRMZM2G175265</v>
          </cell>
          <cell r="B4751" t="str">
            <v>GO:0003677</v>
          </cell>
        </row>
        <row r="4752">
          <cell r="A4752" t="str">
            <v>GRMZM2G055667</v>
          </cell>
          <cell r="B4752" t="str">
            <v>GO:0005737GO:0006633GO:0016836</v>
          </cell>
        </row>
        <row r="4753">
          <cell r="A4753" t="str">
            <v>GRMZM2G127297</v>
          </cell>
          <cell r="B4753" t="str">
            <v>GO:0006886GO:0005622</v>
          </cell>
        </row>
        <row r="4754">
          <cell r="A4754" t="str">
            <v>GRMZM2G068967</v>
          </cell>
          <cell r="B4754" t="str">
            <v>GO:0003700GO:0006355</v>
          </cell>
        </row>
        <row r="4755">
          <cell r="A4755" t="str">
            <v>GRMZM2G145814</v>
          </cell>
          <cell r="B4755" t="str">
            <v>GO:0004806GO:0006629</v>
          </cell>
        </row>
        <row r="4756">
          <cell r="A4756" t="str">
            <v>GRMZM2G088689</v>
          </cell>
          <cell r="B4756" t="str">
            <v>GO:0016624GO:0008152</v>
          </cell>
        </row>
        <row r="4757">
          <cell r="A4757" t="str">
            <v>GRMZM2G136353</v>
          </cell>
          <cell r="B4757" t="str">
            <v>GO:0004674GO:0006468GO:0005524GO:0005515GO:0004713</v>
          </cell>
        </row>
        <row r="4758">
          <cell r="A4758" t="str">
            <v>GRMZM2G074267</v>
          </cell>
          <cell r="B4758" t="str">
            <v>GO:0016021</v>
          </cell>
        </row>
        <row r="4759">
          <cell r="A4759" t="str">
            <v>GRMZM2G312661</v>
          </cell>
          <cell r="B4759" t="str">
            <v>GO:0005509</v>
          </cell>
        </row>
        <row r="4760">
          <cell r="A4760" t="str">
            <v>GRMZM2G168330</v>
          </cell>
          <cell r="B4760" t="str">
            <v>GO:0003735GO:0006412GO:0005840</v>
          </cell>
        </row>
        <row r="4761">
          <cell r="A4761" t="str">
            <v>GRMZM2G068496</v>
          </cell>
          <cell r="B4761" t="str">
            <v>GO:0003735GO:0006412GO:0005840</v>
          </cell>
        </row>
        <row r="4762">
          <cell r="A4762" t="str">
            <v>GRMZM2G082174</v>
          </cell>
          <cell r="B4762" t="str">
            <v>GO:0003676</v>
          </cell>
        </row>
        <row r="4763">
          <cell r="A4763" t="str">
            <v>GRMZM2G378604</v>
          </cell>
          <cell r="B4763" t="str">
            <v>GO:0006857GO:0005215GO:0016020</v>
          </cell>
        </row>
        <row r="4764">
          <cell r="A4764" t="str">
            <v>GRMZM2G006452</v>
          </cell>
          <cell r="B4764" t="str">
            <v>GO:0016887GO:0005694GO:0051276GO:0005515GO:0005524</v>
          </cell>
        </row>
        <row r="4765">
          <cell r="A4765" t="str">
            <v>GRMZM2G006450</v>
          </cell>
          <cell r="B4765" t="str">
            <v>GO:0003735GO:0006412GO:0005840</v>
          </cell>
        </row>
        <row r="4766">
          <cell r="A4766" t="str">
            <v>GRMZM2G145258</v>
          </cell>
          <cell r="B4766" t="str">
            <v>GO:0003735GO:0006412GO:0005840</v>
          </cell>
        </row>
        <row r="4767">
          <cell r="A4767" t="str">
            <v>GRMZM2G093849</v>
          </cell>
          <cell r="B4767" t="str">
            <v>GO:0016020</v>
          </cell>
        </row>
        <row r="4768">
          <cell r="A4768" t="str">
            <v>GRMZM2G082855</v>
          </cell>
          <cell r="B4768" t="str">
            <v>GO:0004674GO:0006468GO:0005524GO:0005515GO:0004713</v>
          </cell>
        </row>
        <row r="4769">
          <cell r="A4769" t="str">
            <v>GRMZM2G029912</v>
          </cell>
          <cell r="B4769" t="str">
            <v>GO:0006633GO:0005506GO:0005783GO:0055114GO:0016491</v>
          </cell>
        </row>
        <row r="4770">
          <cell r="A4770" t="str">
            <v>GRMZM2G322817</v>
          </cell>
          <cell r="B4770" t="str">
            <v>GO:0008270</v>
          </cell>
        </row>
        <row r="4771">
          <cell r="A4771" t="str">
            <v>GRMZM2G004160</v>
          </cell>
          <cell r="B4771" t="str">
            <v>GO:0005507GO:0009055</v>
          </cell>
        </row>
        <row r="4772">
          <cell r="A4772" t="str">
            <v>GRMZM2G004161</v>
          </cell>
          <cell r="B4772" t="str">
            <v>GO:0006355GO:0005634GO:0004402GO:0008270GO:0003712</v>
          </cell>
        </row>
        <row r="4773">
          <cell r="A4773" t="str">
            <v>GRMZM2G479110</v>
          </cell>
          <cell r="B4773" t="str">
            <v>GO:0006355GO:0000156GO:0000160</v>
          </cell>
        </row>
        <row r="4774">
          <cell r="A4774" t="str">
            <v>GRMZM2G086925</v>
          </cell>
          <cell r="B4774" t="str">
            <v>GO:0016758GO:0008152</v>
          </cell>
        </row>
        <row r="4775">
          <cell r="A4775" t="str">
            <v>GRMZM2G009936</v>
          </cell>
          <cell r="B4775" t="str">
            <v>GO:0003735GO:0006412GO:0005840</v>
          </cell>
        </row>
        <row r="4776">
          <cell r="A4776" t="str">
            <v>GRMZM2G010599</v>
          </cell>
          <cell r="B4776" t="str">
            <v>GO:0003735GO:0006412GO:0005840</v>
          </cell>
        </row>
        <row r="4777">
          <cell r="A4777" t="str">
            <v>GRMZM2G044398</v>
          </cell>
          <cell r="B4777" t="str">
            <v>GO:0008270GO:0003676</v>
          </cell>
        </row>
        <row r="4778">
          <cell r="A4778" t="str">
            <v>GRMZM2G432774</v>
          </cell>
          <cell r="B4778" t="str">
            <v>GO:0005179GO:0015629GO:0006813GO:0016021GO:0005199GO:0003779GO:0005576GO:0030036GO:0005249GO:0007155GO:0007186</v>
          </cell>
        </row>
        <row r="4779">
          <cell r="A4779" t="str">
            <v>GRMZM2G066222</v>
          </cell>
          <cell r="B4779" t="str">
            <v>GO:0003735GO:0006412GO:0005840</v>
          </cell>
        </row>
        <row r="4780">
          <cell r="A4780" t="str">
            <v>GRMZM2G070797</v>
          </cell>
          <cell r="B4780" t="str">
            <v>GO:0008270GO:0005622</v>
          </cell>
        </row>
        <row r="4781">
          <cell r="A4781" t="str">
            <v>GRMZM2G322728</v>
          </cell>
          <cell r="B4781" t="str">
            <v>GO:0005529GO:0048544</v>
          </cell>
        </row>
        <row r="4782">
          <cell r="A4782" t="str">
            <v>GRMZM2G322723</v>
          </cell>
          <cell r="B4782" t="str">
            <v>GO:0006468GO:0004674GO:0005529GO:0004713GO:0005524GO:0048544</v>
          </cell>
        </row>
        <row r="4783">
          <cell r="A4783" t="str">
            <v>GRMZM2G018228</v>
          </cell>
          <cell r="B4783" t="str">
            <v>GO:0003735GO:0006412GO:0005840</v>
          </cell>
        </row>
        <row r="4784">
          <cell r="A4784" t="str">
            <v>GRMZM2G161668</v>
          </cell>
          <cell r="B4784" t="str">
            <v>GO:0006355GO:0003723</v>
          </cell>
        </row>
        <row r="4785">
          <cell r="A4785" t="str">
            <v>GRMZM2G114137</v>
          </cell>
          <cell r="B4785" t="str">
            <v>GO:0008270GO:0005622</v>
          </cell>
        </row>
        <row r="4786">
          <cell r="A4786" t="str">
            <v>GRMZM2G121868</v>
          </cell>
          <cell r="B4786" t="str">
            <v>GO:0016021GO:0006334GO:0000786GO:0005199GO:0006355GO:0004969GO:0003677GO:0007186GO:0005634GO:0004879</v>
          </cell>
        </row>
        <row r="4787">
          <cell r="A4787" t="str">
            <v>GRMZM2G094051</v>
          </cell>
          <cell r="B4787" t="str">
            <v>GO:0015934GO:0006813GO:0008076GO:0030528GO:0003735GO:0005249GO:0006412</v>
          </cell>
        </row>
        <row r="4788">
          <cell r="A4788" t="str">
            <v>GRMZM2G094050</v>
          </cell>
          <cell r="B4788" t="str">
            <v>GO:0005245GO:0016021GO:0006816</v>
          </cell>
        </row>
        <row r="4789">
          <cell r="A4789" t="str">
            <v>GRMZM2G450233</v>
          </cell>
          <cell r="B4789" t="str">
            <v>GO:0004601GO:0006979GO:0020037GO:0009055</v>
          </cell>
        </row>
        <row r="4790">
          <cell r="A4790" t="str">
            <v>GRMZM2G052844</v>
          </cell>
          <cell r="B4790" t="str">
            <v>GO:0003872GO:0005945GO:0006096GO:0004650</v>
          </cell>
        </row>
        <row r="4791">
          <cell r="A4791" t="str">
            <v>GRMZM2G100583</v>
          </cell>
          <cell r="B4791" t="str">
            <v>GO:0045449GO:0003677</v>
          </cell>
        </row>
        <row r="4792">
          <cell r="A4792" t="str">
            <v>GRMZM2G155437</v>
          </cell>
          <cell r="B4792" t="str">
            <v>GO:0042254GO:0005622</v>
          </cell>
        </row>
        <row r="4793">
          <cell r="A4793" t="str">
            <v>GRMZM2G093020</v>
          </cell>
          <cell r="B4793" t="str">
            <v>GO:0003700GO:0006355GO:0046983GO:0005634GO:0043565</v>
          </cell>
        </row>
        <row r="4794">
          <cell r="A4794" t="str">
            <v>GRMZM2G060583</v>
          </cell>
          <cell r="B4794" t="str">
            <v>GO:0006915GO:0017111GO:0005515GO:0005524</v>
          </cell>
        </row>
        <row r="4795">
          <cell r="A4795" t="str">
            <v>GRMZM2G004548</v>
          </cell>
          <cell r="B4795" t="str">
            <v>GO:0008270GO:0005622</v>
          </cell>
        </row>
        <row r="4796">
          <cell r="A4796" t="str">
            <v>GRMZM2G087850</v>
          </cell>
          <cell r="B4796" t="str">
            <v>GO:0016020GO:0016780GO:0008654</v>
          </cell>
        </row>
        <row r="4797">
          <cell r="A4797" t="str">
            <v>GRMZM2G146697</v>
          </cell>
          <cell r="B4797" t="str">
            <v>GO:0006886GO:0030117GO:0016192GO:0005515</v>
          </cell>
        </row>
        <row r="4798">
          <cell r="A4798" t="str">
            <v>GRMZM2G060742</v>
          </cell>
          <cell r="B4798" t="str">
            <v>GO:0015105GO:0015746GO:0016021GO:0015137</v>
          </cell>
        </row>
        <row r="4799">
          <cell r="A4799" t="str">
            <v>GRMZM2G158359</v>
          </cell>
          <cell r="B4799" t="str">
            <v>GO:0004674GO:0006468GO:0005524GO:0005515GO:0004713</v>
          </cell>
        </row>
        <row r="4800">
          <cell r="A4800" t="str">
            <v>GRMZM2G153977</v>
          </cell>
          <cell r="B4800" t="str">
            <v>GO:0005764GO:0006508GO:0004190GO:0006665</v>
          </cell>
        </row>
        <row r="4801">
          <cell r="A4801" t="str">
            <v>GRMZM2G040095</v>
          </cell>
          <cell r="B4801" t="str">
            <v>GO:0005506GO:0016165GO:0009055</v>
          </cell>
        </row>
        <row r="4802">
          <cell r="A4802" t="str">
            <v>GRMZM2G013821</v>
          </cell>
          <cell r="B4802" t="str">
            <v>GO:0005634GO:0003677</v>
          </cell>
        </row>
        <row r="4803">
          <cell r="A4803" t="str">
            <v>GRMZM2G014832</v>
          </cell>
          <cell r="B4803" t="str">
            <v>GO:0015629GO:0005198GO:0007155GO:0045454GO:0015035GO:0009055</v>
          </cell>
        </row>
        <row r="4804">
          <cell r="A4804" t="str">
            <v>GRMZM2G102959</v>
          </cell>
          <cell r="B4804" t="str">
            <v>GO:0051536GO:0016491GO:0020037GO:0009055</v>
          </cell>
        </row>
        <row r="4805">
          <cell r="A4805" t="str">
            <v>GRMZM2G019515</v>
          </cell>
          <cell r="B4805" t="str">
            <v>GO:0050661GO:0050660GO:0004499GO:0008152GO:0043087GO:0009055</v>
          </cell>
        </row>
        <row r="4806">
          <cell r="A4806" t="str">
            <v>GRMZM2G028883</v>
          </cell>
          <cell r="B4806" t="str">
            <v>GO:0003735GO:0006412GO:0005840</v>
          </cell>
        </row>
        <row r="4807">
          <cell r="A4807" t="str">
            <v>GRMZM2G017831</v>
          </cell>
          <cell r="B4807" t="str">
            <v>GO:0006352GO:0005515GO:0030528GO:0006355GO:0008270GO:0005667GO:0006413GO:0003743</v>
          </cell>
        </row>
        <row r="4808">
          <cell r="A4808" t="str">
            <v>GRMZM2G342246</v>
          </cell>
          <cell r="B4808" t="str">
            <v>GO:0005576GO:0019953</v>
          </cell>
        </row>
        <row r="4809">
          <cell r="A4809" t="str">
            <v>GRMZM2G132929</v>
          </cell>
          <cell r="B4809" t="str">
            <v>GO:0003735GO:0006412GO:0005840</v>
          </cell>
        </row>
        <row r="4810">
          <cell r="A4810" t="str">
            <v>GRMZM2G081102</v>
          </cell>
          <cell r="B4810" t="str">
            <v>GO:0003735GO:0006412GO:0005840</v>
          </cell>
        </row>
        <row r="4811">
          <cell r="A4811" t="str">
            <v>GRMZM2G133988</v>
          </cell>
          <cell r="B4811" t="str">
            <v>GO:0008152</v>
          </cell>
        </row>
        <row r="4812">
          <cell r="A4812" t="str">
            <v>GRMZM2G056431</v>
          </cell>
          <cell r="B4812" t="str">
            <v>GO:0046872GO:0030001</v>
          </cell>
        </row>
        <row r="4813">
          <cell r="A4813" t="str">
            <v>GRMZM2G139198</v>
          </cell>
          <cell r="B4813" t="str">
            <v>GO:0006259GO:0008094GO:0003723GO:0005524GO:0003677</v>
          </cell>
        </row>
        <row r="4814">
          <cell r="A4814" t="str">
            <v>GRMZM2G040890</v>
          </cell>
          <cell r="B4814" t="str">
            <v>GO:0016740GO:0008152</v>
          </cell>
        </row>
        <row r="4815">
          <cell r="A4815" t="str">
            <v>GRMZM2G089812</v>
          </cell>
          <cell r="B4815" t="str">
            <v>GO:0004519GO:0009405GO:0043565GO:0005727</v>
          </cell>
        </row>
        <row r="4816">
          <cell r="A4816" t="str">
            <v>GRMZM2G170299</v>
          </cell>
          <cell r="B4816" t="str">
            <v>GO:0003824</v>
          </cell>
        </row>
        <row r="4817">
          <cell r="A4817" t="str">
            <v>GRMZM2G019777</v>
          </cell>
          <cell r="B4817" t="str">
            <v>GO:0016567GO:0004842GO:0000151GO:0005488</v>
          </cell>
        </row>
        <row r="4818">
          <cell r="A4818" t="str">
            <v>GRMZM2G081582</v>
          </cell>
          <cell r="B4818" t="str">
            <v>GO:0005737GO:0009058GO:0016841GO:0016211GO:0006559</v>
          </cell>
        </row>
        <row r="4819">
          <cell r="A4819" t="str">
            <v>GRMZM2G156986</v>
          </cell>
          <cell r="B4819" t="str">
            <v>GO:0007264GO:0005525GO:0005622</v>
          </cell>
        </row>
        <row r="4820">
          <cell r="A4820" t="str">
            <v>GRMZM2G132212</v>
          </cell>
          <cell r="B4820" t="str">
            <v>GO:0004674GO:0006468GO:0005524GO:0005515GO:0004713</v>
          </cell>
        </row>
        <row r="4821">
          <cell r="A4821" t="str">
            <v>GRMZM2G328171</v>
          </cell>
          <cell r="B4821" t="str">
            <v>GO:0005975GO:0004553</v>
          </cell>
        </row>
        <row r="4822">
          <cell r="A4822" t="str">
            <v>GRMZM2G113332</v>
          </cell>
          <cell r="B4822" t="str">
            <v>GO:0005840GO:0003735GO:0050825GO:0015694GO:0042309GO:0050826GO:0046872GO:0015097GO:0006412</v>
          </cell>
        </row>
        <row r="4823">
          <cell r="A4823" t="str">
            <v>GRMZM2G332495</v>
          </cell>
          <cell r="B4823" t="str">
            <v>GO:0005215GO:0006810GO:0005622</v>
          </cell>
        </row>
        <row r="4824">
          <cell r="A4824" t="str">
            <v>GRMZM2G050997</v>
          </cell>
          <cell r="B4824" t="str">
            <v>GO:0050660GO:0009690GO:0019139GO:0009055</v>
          </cell>
        </row>
        <row r="4825">
          <cell r="A4825" t="str">
            <v>GRMZM2G059580</v>
          </cell>
          <cell r="B4825" t="str">
            <v>GO:0003746GO:0006414GO:0005853</v>
          </cell>
        </row>
        <row r="4826">
          <cell r="A4826" t="str">
            <v>GRMZM2G043383</v>
          </cell>
          <cell r="B4826" t="str">
            <v>GO:0006457GO:0051082GO:0005524</v>
          </cell>
        </row>
        <row r="4827">
          <cell r="A4827" t="str">
            <v>GRMZM2G057251</v>
          </cell>
          <cell r="B4827" t="str">
            <v>GO:0005484GO:0006886GO:0016020</v>
          </cell>
        </row>
        <row r="4828">
          <cell r="A4828" t="str">
            <v>GRMZM2G021784</v>
          </cell>
          <cell r="B4828" t="str">
            <v>GO:0016485GO:0016021</v>
          </cell>
        </row>
        <row r="4829">
          <cell r="A4829" t="str">
            <v>GRMZM2G085378</v>
          </cell>
          <cell r="B4829" t="str">
            <v>GO:0006355GO:0005634GO:0003677GO:0004879GO:0003824</v>
          </cell>
        </row>
        <row r="4830">
          <cell r="A4830" t="str">
            <v>GRMZM2G436448</v>
          </cell>
          <cell r="B4830" t="str">
            <v>GO:0004674GO:0006468GO:0004713GO:0005524</v>
          </cell>
        </row>
        <row r="4831">
          <cell r="A4831" t="str">
            <v>GRMZM2G074454</v>
          </cell>
          <cell r="B4831" t="str">
            <v>GO:0015450GO:0008442GO:0006573GO:0016020GO:0006098GO:0004616GO:0015031GO:0009055</v>
          </cell>
        </row>
        <row r="4832">
          <cell r="A4832" t="str">
            <v>GRMZM2G001816</v>
          </cell>
          <cell r="B4832" t="str">
            <v>GO:0003735GO:0006412GO:0005840</v>
          </cell>
        </row>
        <row r="4833">
          <cell r="A4833" t="str">
            <v>GRMZM2G095898</v>
          </cell>
          <cell r="B4833" t="str">
            <v>GO:0005576</v>
          </cell>
        </row>
        <row r="4834">
          <cell r="A4834" t="str">
            <v>GRMZM2G079682</v>
          </cell>
          <cell r="B4834" t="str">
            <v>GO:0016020GO:0003830GO:0006487</v>
          </cell>
        </row>
        <row r="4835">
          <cell r="A4835" t="str">
            <v>GRMZM2G146004</v>
          </cell>
          <cell r="B4835" t="str">
            <v>GO:0050825GO:0042309GO:0050826</v>
          </cell>
        </row>
        <row r="4836">
          <cell r="A4836" t="str">
            <v>GRMZM2G340444</v>
          </cell>
          <cell r="B4836" t="str">
            <v>GO:0008270GO:0005515</v>
          </cell>
        </row>
        <row r="4837">
          <cell r="A4837" t="str">
            <v>GRMZM2G151332</v>
          </cell>
          <cell r="B4837" t="str">
            <v>GO:0016758GO:0008152</v>
          </cell>
        </row>
        <row r="4838">
          <cell r="A4838" t="str">
            <v>GRMZM2G324390</v>
          </cell>
          <cell r="B4838" t="str">
            <v>GO:0003700GO:0006355GO:0005634GO:0043565</v>
          </cell>
        </row>
        <row r="4839">
          <cell r="A4839" t="str">
            <v>GRMZM2G015989</v>
          </cell>
          <cell r="B4839" t="str">
            <v>GO:0005737GO:0006457GO:0005524GO:0005515</v>
          </cell>
        </row>
        <row r="4840">
          <cell r="A4840" t="str">
            <v>GRMZM2G379005</v>
          </cell>
          <cell r="B4840" t="str">
            <v>GO:0043565GO:0003700GO:0005634GO:0006355GO:0050825GO:0008270GO:0042309GO:0050826</v>
          </cell>
        </row>
        <row r="4841">
          <cell r="A4841" t="str">
            <v>GRMZM2G154218</v>
          </cell>
          <cell r="B4841" t="str">
            <v>GO:0005737GO:0003746GO:0006414GO:0003924GO:0005525</v>
          </cell>
        </row>
        <row r="4842">
          <cell r="A4842" t="str">
            <v>GRMZM2G466044</v>
          </cell>
          <cell r="B4842" t="str">
            <v>GO:0003700GO:0006355GO:0050825GO:0042309GO:0050826</v>
          </cell>
        </row>
        <row r="4843">
          <cell r="A4843" t="str">
            <v>GRMZM2G112865</v>
          </cell>
          <cell r="B4843" t="str">
            <v>GO:0003735GO:0006412GO:0005840</v>
          </cell>
        </row>
        <row r="4844">
          <cell r="A4844" t="str">
            <v>GRMZM2G175860</v>
          </cell>
          <cell r="B4844" t="str">
            <v>GO:0031072GO:0006457GO:0051082</v>
          </cell>
        </row>
        <row r="4845">
          <cell r="A4845" t="str">
            <v>GRMZM2G177220</v>
          </cell>
          <cell r="B4845" t="str">
            <v>GO:0006355GO:0000156GO:0000160</v>
          </cell>
        </row>
        <row r="4846">
          <cell r="A4846" t="str">
            <v>GRMZM2G112530</v>
          </cell>
          <cell r="B4846" t="str">
            <v>GO:0006548GO:0004500</v>
          </cell>
        </row>
        <row r="4847">
          <cell r="A4847" t="str">
            <v>GRMZM2G149636</v>
          </cell>
          <cell r="B4847" t="str">
            <v>GO:0006633GO:0016020GO:0008415</v>
          </cell>
        </row>
        <row r="4848">
          <cell r="A4848" t="str">
            <v>GRMZM2G103843</v>
          </cell>
          <cell r="B4848" t="str">
            <v>GO:0004747GO:0006014</v>
          </cell>
        </row>
        <row r="4849">
          <cell r="A4849" t="str">
            <v>GRMZM2G177229</v>
          </cell>
          <cell r="B4849" t="str">
            <v>GO:0005634GO:0008270GO:0003723</v>
          </cell>
        </row>
        <row r="4850">
          <cell r="A4850" t="str">
            <v>GRMZM2G043279</v>
          </cell>
          <cell r="B4850" t="str">
            <v>GO:0003735GO:0006412GO:0005840</v>
          </cell>
        </row>
        <row r="4851">
          <cell r="A4851" t="str">
            <v>GRMZM2G055507</v>
          </cell>
          <cell r="B4851" t="str">
            <v>GO:0003852GO:0009098</v>
          </cell>
        </row>
        <row r="4852">
          <cell r="A4852" t="str">
            <v>GRMZM2G150893</v>
          </cell>
          <cell r="B4852" t="str">
            <v>GO:0004601GO:0006979GO:0020037GO:0009055</v>
          </cell>
        </row>
        <row r="4853">
          <cell r="A4853" t="str">
            <v>GRMZM2G064640</v>
          </cell>
          <cell r="B4853" t="str">
            <v>GO:0003735GO:0019843GO:0006412GO:0015935</v>
          </cell>
        </row>
        <row r="4854">
          <cell r="A4854" t="str">
            <v>AC234185.1_FG004</v>
          </cell>
          <cell r="B4854" t="str">
            <v>GO:0006221GO:0003883</v>
          </cell>
        </row>
        <row r="4855">
          <cell r="A4855" t="str">
            <v>GRMZM2G043493</v>
          </cell>
          <cell r="B4855" t="str">
            <v>GO:0005634GO:0045449GO:0030528</v>
          </cell>
        </row>
        <row r="4856">
          <cell r="A4856" t="str">
            <v>GRMZM2G085577</v>
          </cell>
          <cell r="B4856" t="str">
            <v>GO:0005975GO:0004645</v>
          </cell>
        </row>
        <row r="4857">
          <cell r="A4857" t="str">
            <v>GRMZM2G026922</v>
          </cell>
          <cell r="B4857" t="str">
            <v>GO:0005840GO:0003735GO:0050825GO:0042309GO:0050826GO:0006412</v>
          </cell>
        </row>
        <row r="4858">
          <cell r="A4858" t="str">
            <v>GRMZM2G181151</v>
          </cell>
          <cell r="B4858" t="str">
            <v>GO:0033180GO:0015986GO:0046961GO:0046933</v>
          </cell>
        </row>
        <row r="4859">
          <cell r="A4859" t="str">
            <v>GRMZM2G084684</v>
          </cell>
          <cell r="B4859" t="str">
            <v>GO:0005840GO:0003735GO:0050825GO:0042309GO:0050826GO:0006412</v>
          </cell>
        </row>
        <row r="4860">
          <cell r="A4860" t="str">
            <v>GRMZM2G135091</v>
          </cell>
          <cell r="B4860" t="str">
            <v>GO:0004674GO:0006468GO:0004713GO:0005524</v>
          </cell>
        </row>
        <row r="4861">
          <cell r="A4861" t="str">
            <v>GRMZM2G151193</v>
          </cell>
          <cell r="B4861" t="str">
            <v>GO:0005737GO:0003746GO:0006414GO:0003924GO:0005525</v>
          </cell>
        </row>
        <row r="4862">
          <cell r="A4862" t="str">
            <v>GRMZM2G054012</v>
          </cell>
          <cell r="B4862" t="str">
            <v>GO:0003735GO:0006412GO:0005840</v>
          </cell>
        </row>
        <row r="4863">
          <cell r="A4863" t="str">
            <v>GRMZM2G095252</v>
          </cell>
          <cell r="B4863" t="str">
            <v>GO:0005737GO:0006457GO:0005524GO:0005515</v>
          </cell>
        </row>
        <row r="4864">
          <cell r="A4864" t="str">
            <v>GRMZM2G031447</v>
          </cell>
          <cell r="B4864" t="str">
            <v>GO:0016787GO:0008152</v>
          </cell>
        </row>
        <row r="4865">
          <cell r="A4865" t="str">
            <v>GRMZM2G058760</v>
          </cell>
          <cell r="B4865" t="str">
            <v>GO:0004324GO:0050661GO:0050660GO:0042651GO:0009055</v>
          </cell>
        </row>
        <row r="4866">
          <cell r="A4866" t="str">
            <v>AC204539.4_FG003</v>
          </cell>
          <cell r="B4866" t="str">
            <v>GO:0003779GO:0015629GO:0030036</v>
          </cell>
        </row>
        <row r="4867">
          <cell r="A4867" t="str">
            <v>GRMZM2G344388</v>
          </cell>
          <cell r="B4867" t="str">
            <v>GO:0006468GO:0016021GO:0004674GO:0004713GO:0007186GO:0004938GO:0005524</v>
          </cell>
        </row>
        <row r="4868">
          <cell r="A4868" t="str">
            <v>GRMZM2G442804</v>
          </cell>
          <cell r="B4868" t="str">
            <v>GO:0008168GO:0050825GO:0008152GO:0042309GO:0050826</v>
          </cell>
        </row>
        <row r="4869">
          <cell r="A4869" t="str">
            <v>GRMZM2G021416</v>
          </cell>
          <cell r="B4869" t="str">
            <v>GO:0006468GO:0004674GO:0050825GO:0004713GO:0042309GO:0050826GO:0005524</v>
          </cell>
        </row>
        <row r="4870">
          <cell r="A4870" t="str">
            <v>GRMZM2G117942</v>
          </cell>
          <cell r="B4870" t="str">
            <v>GO:0050832GO:0042742</v>
          </cell>
        </row>
        <row r="4871">
          <cell r="A4871" t="str">
            <v>GRMZM2G468932</v>
          </cell>
          <cell r="B4871" t="str">
            <v>GO:0005634GO:0042255GO:0003723GO:0005515</v>
          </cell>
        </row>
        <row r="4872">
          <cell r="A4872" t="str">
            <v>GRMZM2G042636</v>
          </cell>
          <cell r="B4872" t="str">
            <v>GO:0005737GO:0051258GO:0007018GO:0016020GO:0003924GO:0005198GO:0006508GO:0008236GO:0005874GO:0005525</v>
          </cell>
        </row>
        <row r="4873">
          <cell r="A4873" t="str">
            <v>GRMZM2G465333</v>
          </cell>
          <cell r="B4873" t="str">
            <v>GO:0005737GO:0006796GO:0000287GO:0004427</v>
          </cell>
        </row>
        <row r="4874">
          <cell r="A4874" t="str">
            <v>GRMZM2G307368</v>
          </cell>
          <cell r="B4874" t="str">
            <v>GO:0031072GO:0006457GO:0051082</v>
          </cell>
        </row>
        <row r="4875">
          <cell r="A4875" t="str">
            <v>GRMZM2G051626</v>
          </cell>
          <cell r="B4875" t="str">
            <v>GO:0003824</v>
          </cell>
        </row>
        <row r="4876">
          <cell r="A4876" t="str">
            <v>GRMZM2G111666</v>
          </cell>
          <cell r="B4876" t="str">
            <v>GO:0005634GO:0045449GO:0030528</v>
          </cell>
        </row>
        <row r="4877">
          <cell r="A4877" t="str">
            <v>GRMZM2G456217</v>
          </cell>
          <cell r="B4877" t="str">
            <v>GO:0006508GO:0004197</v>
          </cell>
        </row>
        <row r="4878">
          <cell r="A4878" t="str">
            <v>GRMZM2G353103</v>
          </cell>
          <cell r="B4878" t="str">
            <v>GO:0003735GO:0006412GO:0005840</v>
          </cell>
        </row>
        <row r="4879">
          <cell r="A4879" t="str">
            <v>GRMZM2G060940</v>
          </cell>
          <cell r="B4879" t="str">
            <v>GO:0005506GO:0016491</v>
          </cell>
        </row>
        <row r="4880">
          <cell r="A4880" t="str">
            <v>GRMZM2G083749</v>
          </cell>
          <cell r="B4880" t="str">
            <v>GO:0005634GO:0045449GO:0030528</v>
          </cell>
        </row>
        <row r="4881">
          <cell r="A4881" t="str">
            <v>GRMZM2G120329</v>
          </cell>
          <cell r="B4881" t="str">
            <v>GO:0004674GO:0006468GO:0004713GO:0005524</v>
          </cell>
        </row>
        <row r="4882">
          <cell r="A4882" t="str">
            <v>GRMZM2G416632</v>
          </cell>
          <cell r="B4882" t="str">
            <v>GO:0005737GO:0004364GO:0008152</v>
          </cell>
        </row>
        <row r="4883">
          <cell r="A4883" t="str">
            <v>GRMZM2G023049</v>
          </cell>
          <cell r="B4883" t="str">
            <v>GO:0004806GO:0006629</v>
          </cell>
        </row>
        <row r="4884">
          <cell r="A4884" t="str">
            <v>GRMZM2G072117</v>
          </cell>
          <cell r="B4884" t="str">
            <v>GO:0016492GO:0016021GO:0007186GO:0005199GO:0003677</v>
          </cell>
        </row>
        <row r="4885">
          <cell r="A4885" t="str">
            <v>GRMZM2G045431</v>
          </cell>
          <cell r="B4885" t="str">
            <v>GO:0005634GO:0045449GO:0030528</v>
          </cell>
        </row>
        <row r="4886">
          <cell r="A4886" t="str">
            <v>GRMZM2G004696</v>
          </cell>
          <cell r="B4886" t="str">
            <v>GO:0005634GO:0045449</v>
          </cell>
        </row>
        <row r="4887">
          <cell r="A4887" t="str">
            <v>GRMZM2G410812</v>
          </cell>
          <cell r="B4887" t="str">
            <v>GO:0006457GO:0005524</v>
          </cell>
        </row>
        <row r="4888">
          <cell r="A4888" t="str">
            <v>GRMZM2G031280</v>
          </cell>
          <cell r="B4888" t="str">
            <v>GO:0008270GO:0050825GO:0042309GO:0005515GO:0050826</v>
          </cell>
        </row>
        <row r="4889">
          <cell r="A4889" t="str">
            <v>GRMZM2G027835</v>
          </cell>
          <cell r="B4889" t="str">
            <v>GO:0008840GO:0019877</v>
          </cell>
        </row>
        <row r="4890">
          <cell r="A4890" t="str">
            <v>GRMZM2G029546</v>
          </cell>
          <cell r="B4890" t="str">
            <v>GO:0006457GO:0031072GO:0051536GO:0051082GO:0005506GO:0009055</v>
          </cell>
        </row>
        <row r="4891">
          <cell r="A4891" t="str">
            <v>GRMZM2G176173</v>
          </cell>
          <cell r="B4891" t="str">
            <v>GO:0008270GO:0005622</v>
          </cell>
        </row>
        <row r="4892">
          <cell r="A4892" t="str">
            <v>GRMZM2G037614</v>
          </cell>
          <cell r="B4892" t="str">
            <v>GO:0003824GO:0020037GO:0008152GO:0009055</v>
          </cell>
        </row>
        <row r="4893">
          <cell r="A4893" t="str">
            <v>GRMZM2G131281</v>
          </cell>
          <cell r="B4893" t="str">
            <v>GO:0003700GO:0006355</v>
          </cell>
        </row>
        <row r="4894">
          <cell r="A4894" t="str">
            <v>GRMZM2G106344</v>
          </cell>
          <cell r="B4894" t="str">
            <v>GO:0007242</v>
          </cell>
        </row>
        <row r="4895">
          <cell r="A4895" t="str">
            <v>GRMZM2G069772</v>
          </cell>
          <cell r="B4895" t="str">
            <v>GO:0003938</v>
          </cell>
        </row>
        <row r="4896">
          <cell r="A4896" t="str">
            <v>GRMZM2G134389</v>
          </cell>
          <cell r="B4896" t="str">
            <v>GO:0016311GO:0004725</v>
          </cell>
        </row>
        <row r="4897">
          <cell r="A4897" t="str">
            <v>GRMZM2G055273</v>
          </cell>
          <cell r="B4897" t="str">
            <v>GO:0050825GO:0042309GO:0050826</v>
          </cell>
        </row>
        <row r="4898">
          <cell r="A4898" t="str">
            <v>GRMZM2G055276</v>
          </cell>
          <cell r="B4898" t="str">
            <v>GO:0016021GO:0050825GO:0042309GO:0050826GO:0004974GO:0007186</v>
          </cell>
        </row>
        <row r="4899">
          <cell r="A4899" t="str">
            <v>GRMZM2G157269</v>
          </cell>
          <cell r="B4899" t="str">
            <v>GO:0003987GO:0016208GO:0008152</v>
          </cell>
        </row>
        <row r="4900">
          <cell r="A4900" t="str">
            <v>GRMZM2G028543</v>
          </cell>
          <cell r="B4900" t="str">
            <v>GO:0008270GO:0005515</v>
          </cell>
        </row>
        <row r="4901">
          <cell r="A4901" t="str">
            <v>GRMZM2G181371</v>
          </cell>
          <cell r="B4901" t="str">
            <v>GO:0050825GO:0042309GO:0050826</v>
          </cell>
        </row>
        <row r="4902">
          <cell r="A4902" t="str">
            <v>GRMZM2G107639</v>
          </cell>
          <cell r="B4902" t="str">
            <v>GO:0016847GO:0009058GO:0030170GO:0016769</v>
          </cell>
        </row>
        <row r="4903">
          <cell r="A4903" t="str">
            <v>GRMZM2G175071</v>
          </cell>
          <cell r="B4903" t="str">
            <v>GO:0004419</v>
          </cell>
        </row>
        <row r="4904">
          <cell r="A4904" t="str">
            <v>GRMZM2G054615</v>
          </cell>
          <cell r="B4904" t="str">
            <v>GO:0003700GO:0006355GO:0005634GO:0008270GO:0043565</v>
          </cell>
        </row>
        <row r="4905">
          <cell r="A4905" t="str">
            <v>GRMZM2G109627</v>
          </cell>
          <cell r="B4905" t="str">
            <v>GO:0045449GO:0003677</v>
          </cell>
        </row>
        <row r="4906">
          <cell r="A4906" t="str">
            <v>GRMZM2G005552</v>
          </cell>
          <cell r="B4906" t="str">
            <v>GO:0045735</v>
          </cell>
        </row>
        <row r="4907">
          <cell r="A4907" t="str">
            <v>GRMZM2G071196</v>
          </cell>
          <cell r="B4907" t="str">
            <v>GO:0003824</v>
          </cell>
        </row>
        <row r="4908">
          <cell r="A4908" t="str">
            <v>GRMZM2G005557</v>
          </cell>
          <cell r="B4908" t="str">
            <v>GO:0005509</v>
          </cell>
        </row>
        <row r="4909">
          <cell r="A4909" t="str">
            <v>GRMZM2G139250</v>
          </cell>
          <cell r="B4909" t="str">
            <v>GO:0005634GO:0003677GO:0006355GO:0050825GO:0042309GO:0050826GO:0004879</v>
          </cell>
        </row>
        <row r="4910">
          <cell r="A4910" t="str">
            <v>GRMZM2G320703</v>
          </cell>
          <cell r="B4910" t="str">
            <v>GO:0005515</v>
          </cell>
        </row>
        <row r="4911">
          <cell r="A4911" t="str">
            <v>GRMZM2G068557</v>
          </cell>
          <cell r="B4911" t="str">
            <v>GO:0050660GO:0016021GO:0015662GO:0009055GO:0006754GO:0005506GO:0016491</v>
          </cell>
        </row>
        <row r="4912">
          <cell r="A4912" t="str">
            <v>AC217975.3_FG001</v>
          </cell>
          <cell r="B4912" t="str">
            <v>GO:0016310GO:0005524GO:0016772</v>
          </cell>
        </row>
        <row r="4913">
          <cell r="A4913" t="str">
            <v>GRMZM2G001243</v>
          </cell>
          <cell r="B4913" t="str">
            <v>GO:0008287GO:0005215GO:0016020GO:0004722GO:0006810GO:0006470</v>
          </cell>
        </row>
        <row r="4914">
          <cell r="A4914" t="str">
            <v>GRMZM2G160506</v>
          </cell>
          <cell r="B4914" t="str">
            <v>GO:0009058GO:0016779</v>
          </cell>
        </row>
        <row r="4915">
          <cell r="A4915" t="str">
            <v>GRMZM2G146115</v>
          </cell>
          <cell r="B4915" t="str">
            <v>GO:0005622GO:0005525</v>
          </cell>
        </row>
        <row r="4916">
          <cell r="A4916" t="str">
            <v>GRMZM2G377168</v>
          </cell>
          <cell r="B4916" t="str">
            <v>GO:0050825GO:0042309GO:0050826</v>
          </cell>
        </row>
        <row r="4917">
          <cell r="A4917" t="str">
            <v>GRMZM2G068952</v>
          </cell>
          <cell r="B4917" t="str">
            <v>GO:0003735GO:0006412GO:0005840</v>
          </cell>
        </row>
        <row r="4918">
          <cell r="A4918" t="str">
            <v>GRMZM2G022799</v>
          </cell>
          <cell r="B4918" t="str">
            <v>GO:0006508GO:0004197</v>
          </cell>
        </row>
        <row r="4919">
          <cell r="A4919" t="str">
            <v>GRMZM2G120587</v>
          </cell>
          <cell r="B4919" t="str">
            <v>GO:0006508GO:0004185</v>
          </cell>
        </row>
        <row r="4920">
          <cell r="A4920" t="str">
            <v>GRMZM2G441906</v>
          </cell>
          <cell r="B4920" t="str">
            <v>GO:0045454GO:0015035GO:0009055</v>
          </cell>
        </row>
        <row r="4921">
          <cell r="A4921" t="str">
            <v>GRMZM2G048281</v>
          </cell>
          <cell r="B4921" t="str">
            <v>GO:0009416GO:0005515GO:0004871</v>
          </cell>
        </row>
        <row r="4922">
          <cell r="A4922" t="str">
            <v>GRMZM2G310569</v>
          </cell>
          <cell r="B4922" t="str">
            <v>GO:0006813GO:0016020GO:0005249</v>
          </cell>
        </row>
        <row r="4923">
          <cell r="A4923" t="str">
            <v>GRMZM2G441903</v>
          </cell>
          <cell r="B4923" t="str">
            <v>GO:0008270GO:0003677</v>
          </cell>
        </row>
        <row r="4924">
          <cell r="A4924" t="str">
            <v>GRMZM2G003411</v>
          </cell>
          <cell r="B4924" t="str">
            <v>GO:0016020GO:0016887GO:0005524</v>
          </cell>
        </row>
        <row r="4925">
          <cell r="A4925" t="str">
            <v>GRMZM2G412601</v>
          </cell>
          <cell r="B4925" t="str">
            <v>GO:0004674GO:0006468GO:0004713GO:0005524GO:0007165</v>
          </cell>
        </row>
        <row r="4926">
          <cell r="A4926" t="str">
            <v>GRMZM2G004377</v>
          </cell>
          <cell r="B4926" t="str">
            <v>GO:0003824</v>
          </cell>
        </row>
        <row r="4927">
          <cell r="A4927" t="str">
            <v>GRMZM2G025783</v>
          </cell>
          <cell r="B4927" t="str">
            <v>GO:0005000GO:0016021GO:0007186</v>
          </cell>
        </row>
        <row r="4928">
          <cell r="A4928" t="str">
            <v>GRMZM2G136580</v>
          </cell>
          <cell r="B4928" t="str">
            <v>GO:0016757</v>
          </cell>
        </row>
        <row r="4929">
          <cell r="A4929" t="str">
            <v>GRMZM2G435661</v>
          </cell>
          <cell r="B4929" t="str">
            <v>GO:0004437GO:0004497GO:0020037GO:0009055</v>
          </cell>
        </row>
        <row r="4930">
          <cell r="A4930" t="str">
            <v>GRMZM2G161274</v>
          </cell>
          <cell r="B4930" t="str">
            <v>GO:0033897GO:0003723</v>
          </cell>
        </row>
        <row r="4931">
          <cell r="A4931" t="str">
            <v>GRMZM2G139828</v>
          </cell>
          <cell r="B4931" t="str">
            <v>GO:0005975GO:0004650</v>
          </cell>
        </row>
        <row r="4932">
          <cell r="A4932" t="str">
            <v>GRMZM2G178341</v>
          </cell>
          <cell r="B4932" t="str">
            <v>GO:0003735GO:0005840GO:0006412GO:0003723</v>
          </cell>
        </row>
        <row r="4933">
          <cell r="A4933" t="str">
            <v>GRMZM2G073427</v>
          </cell>
          <cell r="B4933" t="str">
            <v>GO:0003700GO:0006355GO:0046983GO:0005634GO:0043565</v>
          </cell>
        </row>
        <row r="4934">
          <cell r="A4934" t="str">
            <v>GRMZM2G093855</v>
          </cell>
          <cell r="B4934" t="str">
            <v>GO:0033179GO:0016021GO:0015986GO:0015078</v>
          </cell>
        </row>
        <row r="4935">
          <cell r="A4935" t="str">
            <v>GRMZM2G018108</v>
          </cell>
          <cell r="B4935" t="str">
            <v>GO:0006508GO:0004190</v>
          </cell>
        </row>
        <row r="4936">
          <cell r="A4936" t="str">
            <v>GRMZM2G044359</v>
          </cell>
          <cell r="B4936" t="str">
            <v>GO:0009416GO:0005515GO:0004871</v>
          </cell>
        </row>
        <row r="4937">
          <cell r="A4937" t="str">
            <v>GRMZM2G141922</v>
          </cell>
          <cell r="B4937" t="str">
            <v>GO:0008270GO:0005515</v>
          </cell>
        </row>
        <row r="4938">
          <cell r="A4938" t="str">
            <v>GRMZM2G389233</v>
          </cell>
          <cell r="B4938" t="str">
            <v>GO:0008270GO:0008237</v>
          </cell>
        </row>
        <row r="4939">
          <cell r="A4939" t="str">
            <v>GRMZM2G160619</v>
          </cell>
          <cell r="B4939" t="str">
            <v>GO:0004674GO:0006468GO:0005524GO:0005515GO:0004713</v>
          </cell>
        </row>
        <row r="4940">
          <cell r="A4940" t="str">
            <v>GRMZM2G121293</v>
          </cell>
          <cell r="B4940" t="str">
            <v>GO:0006508GO:0043086GO:0042802GO:0004252</v>
          </cell>
        </row>
        <row r="4941">
          <cell r="A4941" t="str">
            <v>GRMZM2G417072</v>
          </cell>
          <cell r="B4941" t="str">
            <v>GO:0003824GO:0015969</v>
          </cell>
        </row>
        <row r="4942">
          <cell r="A4942" t="str">
            <v>GRMZM2G427468</v>
          </cell>
          <cell r="B4942" t="str">
            <v>GO:0003735GO:0006412GO:0005840</v>
          </cell>
        </row>
        <row r="4943">
          <cell r="A4943" t="str">
            <v>GRMZM2G079308</v>
          </cell>
          <cell r="B4943" t="str">
            <v>GO:0006633GO:0000036</v>
          </cell>
        </row>
        <row r="4944">
          <cell r="A4944" t="str">
            <v>GRMZM2G025255</v>
          </cell>
          <cell r="B4944" t="str">
            <v>GO:0008270GO:0005515</v>
          </cell>
        </row>
        <row r="4945">
          <cell r="A4945" t="str">
            <v>GRMZM2G124759</v>
          </cell>
          <cell r="B4945" t="str">
            <v>GO:0004806GO:0006629</v>
          </cell>
        </row>
        <row r="4946">
          <cell r="A4946" t="str">
            <v>GRMZM2G078472</v>
          </cell>
          <cell r="B4946" t="str">
            <v>GO:0006529GO:0004066</v>
          </cell>
        </row>
        <row r="4947">
          <cell r="A4947" t="str">
            <v>GRMZM2G136765</v>
          </cell>
          <cell r="B4947" t="str">
            <v>GO:0003824</v>
          </cell>
        </row>
        <row r="4948">
          <cell r="A4948" t="str">
            <v>GRMZM2G044382</v>
          </cell>
          <cell r="B4948" t="str">
            <v>GO:0003824</v>
          </cell>
        </row>
        <row r="4949">
          <cell r="A4949" t="str">
            <v>GRMZM2G003526</v>
          </cell>
          <cell r="B4949" t="str">
            <v>GO:0006633GO:0005506GO:0005783GO:0055114GO:0016491</v>
          </cell>
        </row>
        <row r="4950">
          <cell r="A4950" t="str">
            <v>GRMZM2G170646</v>
          </cell>
          <cell r="B4950" t="str">
            <v>GO:0006629GO:0016788</v>
          </cell>
        </row>
        <row r="4951">
          <cell r="A4951" t="str">
            <v>GRMZM2G062458</v>
          </cell>
          <cell r="B4951" t="str">
            <v>GO:0005634GO:0045449GO:0030528</v>
          </cell>
        </row>
        <row r="4952">
          <cell r="A4952" t="str">
            <v>GRMZM2G408963</v>
          </cell>
          <cell r="B4952" t="str">
            <v>GO:0004601GO:0006979GO:0020037GO:0009055</v>
          </cell>
        </row>
        <row r="4953">
          <cell r="A4953" t="str">
            <v>GRMZM2G308860</v>
          </cell>
          <cell r="B4953" t="str">
            <v>GO:0004176GO:0006508GO:0016020GO:0005524GO:0004252</v>
          </cell>
        </row>
        <row r="4954">
          <cell r="A4954" t="str">
            <v>GRMZM2G151992</v>
          </cell>
          <cell r="B4954" t="str">
            <v>GO:0003824GO:0008152</v>
          </cell>
        </row>
        <row r="4955">
          <cell r="A4955" t="str">
            <v>GRMZM2G151993</v>
          </cell>
          <cell r="B4955" t="str">
            <v>GO:0016021GO:0006355GO:0004956GO:0003677GO:0007186GO:0005634GO:0004879</v>
          </cell>
        </row>
        <row r="4956">
          <cell r="A4956" t="str">
            <v>GRMZM2G104396</v>
          </cell>
          <cell r="B4956" t="str">
            <v>GO:0003700GO:0006355GO:0016602</v>
          </cell>
        </row>
        <row r="4957">
          <cell r="A4957" t="str">
            <v>GRMZM2G104390</v>
          </cell>
          <cell r="B4957" t="str">
            <v>GO:0003700GO:0006355GO:0005634GO:0008270GO:0043565</v>
          </cell>
        </row>
        <row r="4958">
          <cell r="A4958" t="str">
            <v>GRMZM2G304897</v>
          </cell>
          <cell r="B4958" t="str">
            <v>GO:0006468GO:0004674GO:0005529GO:0004713GO:0005524GO:0005509</v>
          </cell>
        </row>
        <row r="4959">
          <cell r="A4959" t="str">
            <v>GRMZM2G007953</v>
          </cell>
          <cell r="B4959" t="str">
            <v>GO:0016020GO:0004349GO:0006561</v>
          </cell>
        </row>
        <row r="4960">
          <cell r="A4960" t="str">
            <v>GRMZM2G105712</v>
          </cell>
          <cell r="B4960" t="str">
            <v>GO:0006566GO:0005840GO:0004413GO:0003735GO:0006414GO:0005524</v>
          </cell>
        </row>
        <row r="4961">
          <cell r="A4961" t="str">
            <v>GRMZM2G104626</v>
          </cell>
          <cell r="B4961" t="str">
            <v>GO:0006633GO:0016020GO:0008415</v>
          </cell>
        </row>
        <row r="4962">
          <cell r="A4962" t="str">
            <v>GRMZM2G156729</v>
          </cell>
          <cell r="B4962" t="str">
            <v>GO:0008415GO:0016021GO:0007186GO:0008152</v>
          </cell>
        </row>
        <row r="4963">
          <cell r="A4963" t="str">
            <v>GRMZM2G146847</v>
          </cell>
          <cell r="B4963" t="str">
            <v>GO:0008270GO:0005515</v>
          </cell>
        </row>
        <row r="4964">
          <cell r="A4964" t="str">
            <v>GRMZM2G065214</v>
          </cell>
          <cell r="B4964" t="str">
            <v>GO:0004674GO:0006468GO:0004713GO:0005524</v>
          </cell>
        </row>
        <row r="4965">
          <cell r="A4965" t="str">
            <v>GRMZM2G077436</v>
          </cell>
          <cell r="B4965" t="str">
            <v>GO:0003700GO:0006355GO:0006352GO:0016987</v>
          </cell>
        </row>
        <row r="4966">
          <cell r="A4966" t="str">
            <v>GRMZM2G430849</v>
          </cell>
          <cell r="B4966" t="str">
            <v>GO:0045449GO:0003677</v>
          </cell>
        </row>
        <row r="4967">
          <cell r="A4967" t="str">
            <v>GRMZM2G062953</v>
          </cell>
          <cell r="B4967" t="str">
            <v>GO:0006886GO:0005622</v>
          </cell>
        </row>
        <row r="4968">
          <cell r="A4968" t="str">
            <v>GRMZM2G093032</v>
          </cell>
          <cell r="B4968" t="str">
            <v>GO:0006508GO:0004197</v>
          </cell>
        </row>
        <row r="4969">
          <cell r="A4969" t="str">
            <v>GRMZM2G181231</v>
          </cell>
          <cell r="B4969" t="str">
            <v>GO:0004674GO:0006468GO:0004713GO:0005524</v>
          </cell>
        </row>
        <row r="4970">
          <cell r="A4970" t="str">
            <v>GRMZM2G086869</v>
          </cell>
          <cell r="B4970" t="str">
            <v>GO:0016787GO:0045263GO:0015986GO:0015078</v>
          </cell>
        </row>
        <row r="4971">
          <cell r="A4971" t="str">
            <v>GRMZM2G167253</v>
          </cell>
          <cell r="B4971" t="str">
            <v>GO:0004674GO:0006468GO:0005524GO:0005515GO:0004713</v>
          </cell>
        </row>
        <row r="4972">
          <cell r="A4972" t="str">
            <v>GRMZM2G340065</v>
          </cell>
          <cell r="B4972" t="str">
            <v>GO:0006644GO:0005840GO:0016042GO:0003735GO:0004197GO:0006508GO:0004623GO:0006412</v>
          </cell>
        </row>
        <row r="4973">
          <cell r="A4973" t="str">
            <v>GRMZM2G034404</v>
          </cell>
          <cell r="B4973" t="str">
            <v>GO:0016597GO:0008152</v>
          </cell>
        </row>
        <row r="4974">
          <cell r="A4974" t="str">
            <v>GRMZM2G010348</v>
          </cell>
          <cell r="B4974" t="str">
            <v>GO:0020037GO:0009055</v>
          </cell>
        </row>
        <row r="4975">
          <cell r="A4975" t="str">
            <v>AC188838.3_FG005</v>
          </cell>
          <cell r="B4975" t="str">
            <v>GO:0009113GO:0004044GO:0009116</v>
          </cell>
        </row>
        <row r="4976">
          <cell r="A4976" t="str">
            <v>GRMZM2G056600</v>
          </cell>
          <cell r="B4976" t="str">
            <v>GO:0003700GO:0006355GO:0005634GO:0043565</v>
          </cell>
        </row>
        <row r="4977">
          <cell r="A4977" t="str">
            <v>GRMZM2G070239</v>
          </cell>
          <cell r="B4977" t="str">
            <v>GO:0008270GO:0003676</v>
          </cell>
        </row>
        <row r="4978">
          <cell r="A4978" t="str">
            <v>GRMZM2G315726</v>
          </cell>
          <cell r="B4978" t="str">
            <v>GO:0016021</v>
          </cell>
        </row>
        <row r="4979">
          <cell r="A4979" t="str">
            <v>GRMZM2G102583</v>
          </cell>
          <cell r="B4979" t="str">
            <v>GO:0003700GO:0043565GO:0005634GO:0045449</v>
          </cell>
        </row>
        <row r="4980">
          <cell r="A4980" t="str">
            <v>GRMZM2G455075</v>
          </cell>
          <cell r="B4980" t="str">
            <v>GO:0016758GO:0008152</v>
          </cell>
        </row>
        <row r="4981">
          <cell r="A4981" t="str">
            <v>GRMZM2G179976</v>
          </cell>
          <cell r="B4981" t="str">
            <v>GO:0003735GO:0006414GO:0005840GO:0042254</v>
          </cell>
        </row>
        <row r="4982">
          <cell r="A4982" t="str">
            <v>GRMZM2G388892</v>
          </cell>
          <cell r="B4982" t="str">
            <v>GO:0003899GO:0005634GO:0006350GO:0003677</v>
          </cell>
        </row>
        <row r="4983">
          <cell r="A4983" t="str">
            <v>GRMZM2G070011</v>
          </cell>
          <cell r="B4983" t="str">
            <v>GO:0006508GO:0004197</v>
          </cell>
        </row>
        <row r="4984">
          <cell r="A4984" t="str">
            <v>GRMZM2G077942</v>
          </cell>
          <cell r="B4984" t="str">
            <v>GO:0003779GO:0005622</v>
          </cell>
        </row>
        <row r="4985">
          <cell r="A4985" t="str">
            <v>GRMZM2G162282</v>
          </cell>
          <cell r="B4985" t="str">
            <v>GO:0017111GO:0005524</v>
          </cell>
        </row>
        <row r="4986">
          <cell r="A4986" t="str">
            <v>GRMZM2G453805</v>
          </cell>
          <cell r="B4986" t="str">
            <v>GO:0004568GO:0006032</v>
          </cell>
        </row>
        <row r="4987">
          <cell r="A4987" t="str">
            <v>GRMZM2G086486</v>
          </cell>
          <cell r="B4987" t="str">
            <v>GO:0003735GO:0006412GO:0005840</v>
          </cell>
        </row>
        <row r="4988">
          <cell r="A4988" t="str">
            <v>GRMZM2G140328</v>
          </cell>
          <cell r="B4988" t="str">
            <v>GO:0005388GO:0016020GO:0006754GO:0006816GO:0005524</v>
          </cell>
        </row>
        <row r="4989">
          <cell r="A4989" t="str">
            <v>GRMZM2G063517</v>
          </cell>
          <cell r="B4989" t="str">
            <v>GO:0003824GO:0008152GO:0005524</v>
          </cell>
        </row>
        <row r="4990">
          <cell r="A4990" t="str">
            <v>GRMZM2G160454</v>
          </cell>
          <cell r="B4990" t="str">
            <v>GO:0005515</v>
          </cell>
        </row>
        <row r="4991">
          <cell r="A4991" t="str">
            <v>GRMZM2G147840</v>
          </cell>
          <cell r="B4991" t="str">
            <v>GO:0050825GO:0042309GO:0050826</v>
          </cell>
        </row>
        <row r="4992">
          <cell r="A4992" t="str">
            <v>GRMZM2G126062</v>
          </cell>
          <cell r="B4992" t="str">
            <v>GO:0055114GO:0016491</v>
          </cell>
        </row>
        <row r="4993">
          <cell r="A4993" t="str">
            <v>GRMZM2G120740</v>
          </cell>
          <cell r="B4993" t="str">
            <v>GO:0008270GO:0003676</v>
          </cell>
        </row>
        <row r="4994">
          <cell r="A4994" t="str">
            <v>GRMZM2G351330</v>
          </cell>
          <cell r="B4994" t="str">
            <v>GO:0043565GO:0006265GO:0003700GO:0005634GO:0006355GO:0003690</v>
          </cell>
        </row>
        <row r="4995">
          <cell r="A4995" t="str">
            <v>GRMZM2G168674</v>
          </cell>
          <cell r="B4995" t="str">
            <v>GO:0003735GO:0006412GO:0005840</v>
          </cell>
        </row>
        <row r="4996">
          <cell r="A4996" t="str">
            <v>GRMZM2G061996</v>
          </cell>
          <cell r="B4996" t="str">
            <v>GO:0008270GO:0005622</v>
          </cell>
        </row>
        <row r="4997">
          <cell r="A4997" t="str">
            <v>GRMZM2G084767</v>
          </cell>
          <cell r="B4997" t="str">
            <v>GO:0005643GO:0000059GO:0008565GO:0005488GO:0005737</v>
          </cell>
        </row>
        <row r="4998">
          <cell r="A4998" t="str">
            <v>GRMZM2G440459</v>
          </cell>
          <cell r="B4998" t="str">
            <v>GO:0008967GO:0008152</v>
          </cell>
        </row>
        <row r="4999">
          <cell r="A4999" t="str">
            <v>GRMZM2G112309</v>
          </cell>
          <cell r="B4999" t="str">
            <v>GO:0004674GO:0006468GO:0005524GO:0005515GO:0004713</v>
          </cell>
        </row>
        <row r="5000">
          <cell r="A5000" t="str">
            <v>GRMZM2G162739</v>
          </cell>
          <cell r="B5000" t="str">
            <v>GO:0045449GO:0003677</v>
          </cell>
        </row>
        <row r="5001">
          <cell r="A5001" t="str">
            <v>GRMZM2G078569</v>
          </cell>
          <cell r="B5001" t="str">
            <v>GO:0006629GO:0016491</v>
          </cell>
        </row>
        <row r="5002">
          <cell r="A5002" t="str">
            <v>GRMZM2G053707</v>
          </cell>
          <cell r="B5002" t="str">
            <v>GO:0008270GO:0005515</v>
          </cell>
        </row>
        <row r="5003">
          <cell r="A5003" t="str">
            <v>GRMZM2G159388</v>
          </cell>
          <cell r="B5003" t="str">
            <v>GO:0005783</v>
          </cell>
        </row>
        <row r="5004">
          <cell r="A5004" t="str">
            <v>GRMZM2G075140</v>
          </cell>
          <cell r="B5004" t="str">
            <v>GO:0006633GO:0016020GO:0016747</v>
          </cell>
        </row>
        <row r="5005">
          <cell r="A5005" t="str">
            <v>GRMZM2G140032</v>
          </cell>
          <cell r="B5005" t="str">
            <v>GO:0004969GO:0016021GO:0007186</v>
          </cell>
        </row>
        <row r="5006">
          <cell r="A5006" t="str">
            <v>GRMZM2G047727</v>
          </cell>
          <cell r="B5006" t="str">
            <v>GO:0003735GO:0006412GO:0006464GO:0005840</v>
          </cell>
        </row>
        <row r="5007">
          <cell r="A5007" t="str">
            <v>GRMZM2G162605</v>
          </cell>
          <cell r="B5007" t="str">
            <v>GO:0016787</v>
          </cell>
        </row>
        <row r="5008">
          <cell r="A5008" t="str">
            <v>GRMZM2G166548</v>
          </cell>
          <cell r="B5008" t="str">
            <v>GO:0050825GO:0042309GO:0050826</v>
          </cell>
        </row>
        <row r="5009">
          <cell r="A5009" t="str">
            <v>GRMZM2G085909</v>
          </cell>
          <cell r="B5009" t="str">
            <v>GO:0006457GO:0051082GO:0005524</v>
          </cell>
        </row>
        <row r="5010">
          <cell r="A5010" t="str">
            <v>GRMZM2G423027</v>
          </cell>
          <cell r="B5010" t="str">
            <v>GO:0006464GO:0004719</v>
          </cell>
        </row>
        <row r="5011">
          <cell r="A5011" t="str">
            <v>GRMZM2G089484</v>
          </cell>
          <cell r="B5011" t="str">
            <v>GO:0004707GO:0006468GO:0004713GO:0005524</v>
          </cell>
        </row>
        <row r="5012">
          <cell r="A5012" t="str">
            <v>GRMZM2G164761</v>
          </cell>
          <cell r="B5012" t="str">
            <v>GO:0016020GO:0016760GO:0030244</v>
          </cell>
        </row>
        <row r="5013">
          <cell r="A5013" t="str">
            <v>GRMZM2G064657</v>
          </cell>
          <cell r="B5013" t="str">
            <v>GO:0016021</v>
          </cell>
        </row>
        <row r="5014">
          <cell r="A5014" t="str">
            <v>GRMZM2G443509</v>
          </cell>
          <cell r="B5014" t="str">
            <v>GO:0003824</v>
          </cell>
        </row>
        <row r="5015">
          <cell r="A5015" t="str">
            <v>AC210204.3_FG002</v>
          </cell>
          <cell r="B5015" t="str">
            <v>GO:0051260GO:0016021GO:0007186</v>
          </cell>
        </row>
        <row r="5016">
          <cell r="A5016" t="str">
            <v>GRMZM2G149576</v>
          </cell>
          <cell r="B5016" t="str">
            <v>GO:0016021</v>
          </cell>
        </row>
        <row r="5017">
          <cell r="A5017" t="str">
            <v>GRMZM2G159811</v>
          </cell>
          <cell r="B5017" t="str">
            <v>GO:0006470GO:0008287GO:0004722</v>
          </cell>
        </row>
        <row r="5018">
          <cell r="A5018" t="str">
            <v>GRMZM2G171387</v>
          </cell>
          <cell r="B5018" t="str">
            <v>GO:0006334GO:0003677GO:0005634GO:0000786</v>
          </cell>
        </row>
        <row r="5019">
          <cell r="A5019" t="str">
            <v>GRMZM2G132489</v>
          </cell>
          <cell r="B5019" t="str">
            <v>GO:0050661GO:0050660GO:0004499</v>
          </cell>
        </row>
        <row r="5020">
          <cell r="A5020" t="str">
            <v>GRMZM2G166944</v>
          </cell>
          <cell r="B5020" t="str">
            <v>GO:0005618GO:0048046GO:0016762GO:0006073GO:0004553</v>
          </cell>
        </row>
        <row r="5021">
          <cell r="A5021" t="str">
            <v>GRMZM2G084694</v>
          </cell>
          <cell r="B5021" t="str">
            <v>GO:0005978GO:0004135</v>
          </cell>
        </row>
        <row r="5022">
          <cell r="A5022" t="str">
            <v>GRMZM2G085747</v>
          </cell>
          <cell r="B5022" t="str">
            <v>GO:0050661GO:0050660GO:0016616GO:0051287GO:0004470GO:0004499GO:0003774GO:0001539GO:0009288GO:0046872GO:0006108GO:0055114</v>
          </cell>
        </row>
        <row r="5023">
          <cell r="A5023" t="str">
            <v>GRMZM2G154487</v>
          </cell>
          <cell r="B5023" t="str">
            <v>GO:0003735GO:0006412GO:0005840</v>
          </cell>
        </row>
        <row r="5024">
          <cell r="A5024" t="str">
            <v>GRMZM2G127139</v>
          </cell>
          <cell r="B5024" t="str">
            <v>GO:0016020GO:0009688GO:0009540GO:0055114GO:0009507</v>
          </cell>
        </row>
        <row r="5025">
          <cell r="A5025" t="str">
            <v>GRMZM2G163081</v>
          </cell>
          <cell r="B5025" t="str">
            <v>GO:0003735GO:0008097GO:0006412GO:0005840</v>
          </cell>
        </row>
        <row r="5026">
          <cell r="A5026" t="str">
            <v>GRMZM2G163421</v>
          </cell>
          <cell r="B5026" t="str">
            <v>GO:0009306GO:0045454GO:0016853GO:0005788</v>
          </cell>
        </row>
        <row r="5027">
          <cell r="A5027" t="str">
            <v>GRMZM2G149975</v>
          </cell>
          <cell r="B5027" t="str">
            <v>GO:0003735GO:0006412GO:0005840</v>
          </cell>
        </row>
        <row r="5028">
          <cell r="A5028" t="str">
            <v>GRMZM2G027331</v>
          </cell>
          <cell r="B5028" t="str">
            <v>GO:0020037GO:0006979GO:0050825GO:0042309GO:0050826GO:0004601</v>
          </cell>
        </row>
        <row r="5029">
          <cell r="A5029" t="str">
            <v>GRMZM2G037472</v>
          </cell>
          <cell r="B5029" t="str">
            <v>GO:0007018GO:0003777GO:0005524GO:0005875</v>
          </cell>
        </row>
        <row r="5030">
          <cell r="A5030" t="str">
            <v>GRMZM2G050548</v>
          </cell>
          <cell r="B5030" t="str">
            <v>GO:0006468GO:0005515GO:0016021GO:0004674GO:0050825GO:0004713GO:0042309GO:0050826GO:0007186GO:0005524GO:0004937</v>
          </cell>
        </row>
        <row r="5031">
          <cell r="A5031" t="str">
            <v>GRMZM2G155998</v>
          </cell>
          <cell r="B5031" t="str">
            <v>GO:0005488</v>
          </cell>
        </row>
        <row r="5032">
          <cell r="A5032" t="str">
            <v>GRMZM2G178807</v>
          </cell>
          <cell r="B5032" t="str">
            <v>GO:0003735GO:0015934GO:0006412GO:0030528</v>
          </cell>
        </row>
        <row r="5033">
          <cell r="A5033" t="str">
            <v>GRMZM2G057386</v>
          </cell>
          <cell r="B5033" t="str">
            <v>GO:0003700GO:0006355</v>
          </cell>
        </row>
        <row r="5034">
          <cell r="A5034" t="str">
            <v>GRMZM2G037998</v>
          </cell>
          <cell r="B5034" t="str">
            <v>GO:0016020GO:0008378GO:0005164GO:0006486GO:0006955</v>
          </cell>
        </row>
        <row r="5035">
          <cell r="A5035" t="str">
            <v>GRMZM2G051630</v>
          </cell>
          <cell r="B5035" t="str">
            <v>GO:0005743GO:0006810GO:0005488</v>
          </cell>
        </row>
        <row r="5036">
          <cell r="A5036" t="str">
            <v>GRMZM2G422649</v>
          </cell>
          <cell r="B5036" t="str">
            <v>GO:0016787</v>
          </cell>
        </row>
        <row r="5037">
          <cell r="A5037" t="str">
            <v>GRMZM2G469414</v>
          </cell>
          <cell r="B5037" t="str">
            <v>GO:0006915GO:0005515GO:0005524</v>
          </cell>
        </row>
        <row r="5038">
          <cell r="A5038" t="str">
            <v>GRMZM2G111657</v>
          </cell>
          <cell r="B5038" t="str">
            <v>GO:0006887GO:0000145</v>
          </cell>
        </row>
        <row r="5039">
          <cell r="A5039" t="str">
            <v>GRMZM2G036134</v>
          </cell>
          <cell r="B5039" t="str">
            <v>GO:0006508GO:0004190</v>
          </cell>
        </row>
        <row r="5040">
          <cell r="A5040" t="str">
            <v>GRMZM2G127050</v>
          </cell>
          <cell r="B5040" t="str">
            <v>GO:0004674GO:0006468GO:0004713GO:0005524</v>
          </cell>
        </row>
        <row r="5041">
          <cell r="A5041" t="str">
            <v>GRMZM2G067122</v>
          </cell>
          <cell r="B5041" t="str">
            <v>GO:0006396GO:0005622</v>
          </cell>
        </row>
        <row r="5042">
          <cell r="A5042" t="str">
            <v>GRMZM2G126505</v>
          </cell>
          <cell r="B5042" t="str">
            <v>GO:0004497GO:0020037GO:0009055</v>
          </cell>
        </row>
        <row r="5043">
          <cell r="A5043" t="str">
            <v>GRMZM2G149717</v>
          </cell>
          <cell r="B5043" t="str">
            <v>GO:0003924GO:0005525</v>
          </cell>
        </row>
        <row r="5044">
          <cell r="A5044" t="str">
            <v>GRMZM2G054040</v>
          </cell>
          <cell r="B5044" t="str">
            <v>GO:0003723</v>
          </cell>
        </row>
        <row r="5045">
          <cell r="A5045" t="str">
            <v>GRMZM2G109561</v>
          </cell>
          <cell r="B5045" t="str">
            <v>GO:0042309GO:0003824GO:0050825GO:0030170GO:0008152GO:0050826</v>
          </cell>
        </row>
        <row r="5046">
          <cell r="A5046" t="str">
            <v>GRMZM2G128268</v>
          </cell>
          <cell r="B5046" t="str">
            <v>GO:0006508GO:0004190</v>
          </cell>
        </row>
        <row r="5047">
          <cell r="A5047" t="str">
            <v>GRMZM2G109566</v>
          </cell>
          <cell r="B5047" t="str">
            <v>GO:0004674GO:0006468GO:0004713GO:0005524</v>
          </cell>
        </row>
        <row r="5048">
          <cell r="A5048" t="str">
            <v>GRMZM2G036826</v>
          </cell>
          <cell r="B5048" t="str">
            <v>GO:0016887GO:0005524</v>
          </cell>
        </row>
        <row r="5049">
          <cell r="A5049" t="str">
            <v>GRMZM2G010834</v>
          </cell>
          <cell r="B5049" t="str">
            <v>GO:0005215GO:0006810GO:0005622</v>
          </cell>
        </row>
        <row r="5050">
          <cell r="A5050" t="str">
            <v>GRMZM2G106133</v>
          </cell>
          <cell r="B5050" t="str">
            <v>GO:0006936GO:0006334GO:0000786GO:0017022GO:0003779GO:0006355GO:0005516GO:0003677GO:0005634</v>
          </cell>
        </row>
        <row r="5051">
          <cell r="A5051" t="str">
            <v>GRMZM2G029552</v>
          </cell>
          <cell r="B5051" t="str">
            <v>GO:0005525GO:0007264GO:0003723GO:0005622</v>
          </cell>
        </row>
        <row r="5052">
          <cell r="A5052" t="str">
            <v>GRMZM2G116151</v>
          </cell>
          <cell r="B5052" t="str">
            <v>GO:0004674GO:0006468GO:0004713GO:0005524</v>
          </cell>
        </row>
        <row r="5053">
          <cell r="A5053" t="str">
            <v>GRMZM2G158034</v>
          </cell>
          <cell r="B5053" t="str">
            <v>GO:0003735GO:0006412GO:0005840</v>
          </cell>
        </row>
        <row r="5054">
          <cell r="A5054" t="str">
            <v>GRMZM2G029559</v>
          </cell>
          <cell r="B5054" t="str">
            <v>GO:0003735GO:0003746GO:0006414GO:0005840GO:0005853</v>
          </cell>
        </row>
        <row r="5055">
          <cell r="A5055" t="str">
            <v>GRMZM2G110922</v>
          </cell>
          <cell r="B5055" t="str">
            <v>GO:0004674GO:0006468GO:0004713GO:0005524</v>
          </cell>
        </row>
        <row r="5056">
          <cell r="A5056" t="str">
            <v>GRMZM2G130505</v>
          </cell>
          <cell r="B5056" t="str">
            <v>GO:0005923GO:0005515GO:0005198</v>
          </cell>
        </row>
        <row r="5057">
          <cell r="A5057" t="str">
            <v>GRMZM2G151706</v>
          </cell>
          <cell r="B5057" t="str">
            <v>GO:0003899GO:0046983GO:0006350GO:0003677</v>
          </cell>
        </row>
        <row r="5058">
          <cell r="A5058" t="str">
            <v>GRMZM2G380789</v>
          </cell>
          <cell r="B5058" t="str">
            <v>GO:0016021</v>
          </cell>
        </row>
        <row r="5059">
          <cell r="A5059" t="str">
            <v>GRMZM2G075958</v>
          </cell>
          <cell r="B5059" t="str">
            <v>GO:0005975GO:0030246GO:0003824GO:0050825GO:0042309GO:0050826</v>
          </cell>
        </row>
        <row r="5060">
          <cell r="A5060" t="str">
            <v>GRMZM2G469523</v>
          </cell>
          <cell r="B5060" t="str">
            <v>GO:0016857GO:0005975GO:0005488</v>
          </cell>
        </row>
        <row r="5061">
          <cell r="A5061" t="str">
            <v>GRMZM2G150256</v>
          </cell>
          <cell r="B5061" t="str">
            <v>GO:0004623GO:0006644GO:0004197GO:0016042GO:0006508</v>
          </cell>
        </row>
        <row r="5062">
          <cell r="A5062" t="str">
            <v>GRMZM2G471357</v>
          </cell>
          <cell r="B5062" t="str">
            <v>GO:0004601GO:0006979GO:0020037GO:0009055</v>
          </cell>
        </row>
        <row r="5063">
          <cell r="A5063" t="str">
            <v>GRMZM2G131340</v>
          </cell>
          <cell r="B5063" t="str">
            <v>GO:0006355GO:0005634GO:0004879GO:0003677</v>
          </cell>
        </row>
        <row r="5064">
          <cell r="A5064" t="str">
            <v>GRMZM2G110328</v>
          </cell>
          <cell r="B5064" t="str">
            <v>GO:0003735GO:0006412GO:0005840</v>
          </cell>
        </row>
        <row r="5065">
          <cell r="A5065" t="str">
            <v>GRMZM2G071059</v>
          </cell>
          <cell r="B5065" t="str">
            <v>GO:0005634GO:0003676</v>
          </cell>
        </row>
        <row r="5066">
          <cell r="A5066" t="str">
            <v>GRMZM2G165631</v>
          </cell>
          <cell r="B5066" t="str">
            <v>GO:0005215GO:0016021GO:0006810</v>
          </cell>
        </row>
        <row r="5067">
          <cell r="A5067" t="str">
            <v>GRMZM2G178025</v>
          </cell>
          <cell r="B5067" t="str">
            <v>GO:0005975GO:0004553</v>
          </cell>
        </row>
        <row r="5068">
          <cell r="A5068" t="str">
            <v>GRMZM2G152354</v>
          </cell>
          <cell r="B5068" t="str">
            <v>GO:0005506GO:0016491</v>
          </cell>
        </row>
        <row r="5069">
          <cell r="A5069" t="str">
            <v>GRMZM2G300348</v>
          </cell>
          <cell r="B5069" t="str">
            <v>GO:0009058GO:0008219GO:0016021GO:0016740</v>
          </cell>
        </row>
        <row r="5070">
          <cell r="A5070" t="str">
            <v>GRMZM2G111501</v>
          </cell>
          <cell r="B5070" t="str">
            <v>GO:0031072GO:0006457GO:0051082</v>
          </cell>
        </row>
        <row r="5071">
          <cell r="A5071" t="str">
            <v>GRMZM2G146472</v>
          </cell>
          <cell r="B5071" t="str">
            <v>GO:0003676</v>
          </cell>
        </row>
        <row r="5072">
          <cell r="A5072" t="str">
            <v>GRMZM2G012865</v>
          </cell>
          <cell r="B5072" t="str">
            <v>GO:0004497GO:0020037GO:0009055</v>
          </cell>
        </row>
        <row r="5073">
          <cell r="A5073" t="str">
            <v>GRMZM2G082484</v>
          </cell>
          <cell r="B5073" t="str">
            <v>GO:0005524GO:0005515</v>
          </cell>
        </row>
        <row r="5074">
          <cell r="A5074" t="str">
            <v>GRMZM2G146475</v>
          </cell>
          <cell r="B5074" t="str">
            <v>GO:0005737GO:0004364GO:0008152</v>
          </cell>
        </row>
        <row r="5075">
          <cell r="A5075" t="str">
            <v>GRMZM2G083176</v>
          </cell>
          <cell r="B5075" t="str">
            <v>GO:0006857GO:0005215GO:0016020</v>
          </cell>
        </row>
        <row r="5076">
          <cell r="A5076" t="str">
            <v>GRMZM2G138750</v>
          </cell>
          <cell r="B5076" t="str">
            <v>GO:0004497GO:0020037GO:0009055</v>
          </cell>
        </row>
        <row r="5077">
          <cell r="A5077" t="str">
            <v>GRMZM2G054465</v>
          </cell>
          <cell r="B5077" t="str">
            <v>GO:0000162GO:0030170GO:0004834</v>
          </cell>
        </row>
        <row r="5078">
          <cell r="A5078" t="str">
            <v>GRMZM2G145655</v>
          </cell>
          <cell r="B5078" t="str">
            <v>GO:0016301GO:0008152GO:0005524</v>
          </cell>
        </row>
        <row r="5079">
          <cell r="A5079" t="str">
            <v>GRMZM2G150496</v>
          </cell>
          <cell r="B5079" t="str">
            <v>GO:0035299GO:0005524</v>
          </cell>
        </row>
        <row r="5080">
          <cell r="A5080" t="str">
            <v>GRMZM2G380094</v>
          </cell>
          <cell r="B5080" t="str">
            <v>GO:0003735GO:0006412GO:0005840</v>
          </cell>
        </row>
        <row r="5081">
          <cell r="A5081" t="str">
            <v>GRMZM2G098696</v>
          </cell>
          <cell r="B5081" t="str">
            <v>GO:0003700GO:0006355GO:0005634GO:0043565</v>
          </cell>
        </row>
        <row r="5082">
          <cell r="A5082" t="str">
            <v>GRMZM2G009103</v>
          </cell>
          <cell r="B5082" t="str">
            <v>GO:0016020</v>
          </cell>
        </row>
        <row r="5083">
          <cell r="A5083" t="str">
            <v>GRMZM2G022782</v>
          </cell>
          <cell r="B5083" t="str">
            <v>GO:0005978GO:0004135</v>
          </cell>
        </row>
        <row r="5084">
          <cell r="A5084" t="str">
            <v>GRMZM2G008507</v>
          </cell>
          <cell r="B5084" t="str">
            <v>GO:0009058GO:0046524GO:0005985</v>
          </cell>
        </row>
        <row r="5085">
          <cell r="A5085" t="str">
            <v>GRMZM2G170017</v>
          </cell>
          <cell r="B5085" t="str">
            <v>GO:0009239GO:0005488GO:0008667</v>
          </cell>
        </row>
        <row r="5086">
          <cell r="A5086" t="str">
            <v>GRMZM2G170013</v>
          </cell>
          <cell r="B5086" t="str">
            <v>GO:0004349GO:0005488GO:0006561GO:0016491</v>
          </cell>
        </row>
        <row r="5087">
          <cell r="A5087" t="str">
            <v>GRMZM2G414496</v>
          </cell>
          <cell r="B5087" t="str">
            <v>GO:0005856GO:0004003GO:0030833GO:0006303GO:0003677</v>
          </cell>
        </row>
        <row r="5088">
          <cell r="A5088" t="str">
            <v>GRMZM2G136571</v>
          </cell>
          <cell r="B5088" t="str">
            <v>GO:0003824GO:0016021GO:0004969GO:0007186</v>
          </cell>
        </row>
        <row r="5089">
          <cell r="A5089" t="str">
            <v>GRMZM2G072890</v>
          </cell>
          <cell r="B5089" t="str">
            <v>GO:0050825GO:0042309GO:0050826</v>
          </cell>
        </row>
        <row r="5090">
          <cell r="A5090" t="str">
            <v>GRMZM2G129268</v>
          </cell>
          <cell r="B5090" t="str">
            <v>GO:0005923GO:0005198</v>
          </cell>
        </row>
        <row r="5091">
          <cell r="A5091" t="str">
            <v>GRMZM2G139765</v>
          </cell>
          <cell r="B5091" t="str">
            <v>GO:0003700GO:0006355</v>
          </cell>
        </row>
        <row r="5092">
          <cell r="A5092" t="str">
            <v>GRMZM2G139815</v>
          </cell>
          <cell r="B5092" t="str">
            <v>GO:0003700GO:0043565GO:0005634GO:0045449</v>
          </cell>
        </row>
        <row r="5093">
          <cell r="A5093" t="str">
            <v>GRMZM2G139813</v>
          </cell>
          <cell r="B5093" t="str">
            <v>GO:0008483GO:0009058GO:0006519GO:0016847GO:0030170</v>
          </cell>
        </row>
        <row r="5094">
          <cell r="A5094" t="str">
            <v>GRMZM2G414252</v>
          </cell>
          <cell r="B5094" t="str">
            <v>GO:0005634GO:0045449GO:0030528</v>
          </cell>
        </row>
        <row r="5095">
          <cell r="A5095" t="str">
            <v>GRMZM2G093826</v>
          </cell>
          <cell r="B5095" t="str">
            <v>GO:0005247GO:0006813GO:0006821GO:0016020GO:0015079</v>
          </cell>
        </row>
        <row r="5096">
          <cell r="A5096" t="str">
            <v>GRMZM2G087507</v>
          </cell>
          <cell r="B5096" t="str">
            <v>GO:0055114GO:0016491</v>
          </cell>
        </row>
        <row r="5097">
          <cell r="A5097" t="str">
            <v>GRMZM2G121264</v>
          </cell>
          <cell r="B5097" t="str">
            <v>GO:0004497GO:0020037GO:0009055</v>
          </cell>
        </row>
        <row r="5098">
          <cell r="A5098" t="str">
            <v>GRMZM2G032721</v>
          </cell>
          <cell r="B5098" t="str">
            <v>GO:0003735GO:0009536GO:0006412GO:0005840</v>
          </cell>
        </row>
        <row r="5099">
          <cell r="A5099" t="str">
            <v>GRMZM2G092663</v>
          </cell>
          <cell r="B5099" t="str">
            <v>GO:0003735GO:0015935GO:0006412GO:0003723</v>
          </cell>
        </row>
        <row r="5100">
          <cell r="A5100" t="str">
            <v>GRMZM2G174137</v>
          </cell>
          <cell r="B5100" t="str">
            <v>GO:0006508GO:0004222GO:0008270</v>
          </cell>
        </row>
        <row r="5101">
          <cell r="A5101" t="str">
            <v>GRMZM2G006678</v>
          </cell>
          <cell r="B5101" t="str">
            <v>GO:0003951GO:0008152</v>
          </cell>
        </row>
        <row r="5102">
          <cell r="A5102" t="str">
            <v>GRMZM2G121262</v>
          </cell>
          <cell r="B5102" t="str">
            <v>GO:0008409GO:0003677GO:0006281</v>
          </cell>
        </row>
        <row r="5103">
          <cell r="A5103" t="str">
            <v>GRMZM2G170120</v>
          </cell>
          <cell r="B5103" t="str">
            <v>GO:0004674GO:0006468GO:0004713GO:0005524GO:0007165</v>
          </cell>
        </row>
        <row r="5104">
          <cell r="A5104" t="str">
            <v>GRMZM2G048904</v>
          </cell>
          <cell r="B5104" t="str">
            <v>GO:0006629GO:0016788</v>
          </cell>
        </row>
        <row r="5105">
          <cell r="A5105" t="str">
            <v>GRMZM2G055802</v>
          </cell>
          <cell r="B5105" t="str">
            <v>GO:0005576GO:0004867</v>
          </cell>
        </row>
        <row r="5106">
          <cell r="A5106" t="str">
            <v>GRMZM2G008216</v>
          </cell>
          <cell r="B5106" t="str">
            <v>GO:0016787GO:0008270</v>
          </cell>
        </row>
        <row r="5107">
          <cell r="A5107" t="str">
            <v>GRMZM2G430362</v>
          </cell>
          <cell r="B5107" t="str">
            <v>GO:0003676GO:0005524GO:0004386</v>
          </cell>
        </row>
        <row r="5108">
          <cell r="A5108" t="str">
            <v>GRMZM2G072337</v>
          </cell>
          <cell r="B5108" t="str">
            <v>GO:0003824GO:0051536</v>
          </cell>
        </row>
        <row r="5109">
          <cell r="A5109" t="str">
            <v>GRMZM2G086906</v>
          </cell>
          <cell r="B5109" t="str">
            <v>GO:0003735GO:0006412GO:0005840</v>
          </cell>
        </row>
        <row r="5110">
          <cell r="A5110" t="str">
            <v>GRMZM2G321839</v>
          </cell>
          <cell r="B5110" t="str">
            <v>GO:0004601GO:0006979GO:0020037GO:0009055</v>
          </cell>
        </row>
        <row r="5111">
          <cell r="A5111" t="str">
            <v>GRMZM2G087275</v>
          </cell>
          <cell r="B5111" t="str">
            <v>GO:0009058GO:0030170GO:0016769</v>
          </cell>
        </row>
        <row r="5112">
          <cell r="A5112" t="str">
            <v>GRMZM2G025243</v>
          </cell>
          <cell r="B5112" t="str">
            <v>GO:0009239GO:0005488GO:0004022GO:0008667</v>
          </cell>
        </row>
        <row r="5113">
          <cell r="A5113" t="str">
            <v>AC217401.3_FG003</v>
          </cell>
          <cell r="B5113" t="str">
            <v>GO:0004674GO:0006468GO:0005524GO:0005515GO:0004713</v>
          </cell>
        </row>
        <row r="5114">
          <cell r="A5114" t="str">
            <v>GRMZM2G136712</v>
          </cell>
          <cell r="B5114" t="str">
            <v>GO:0005737GO:0008652GO:0050661GO:0004812GO:0006418GO:0004412GO:0005576GO:0005125GO:0006955GO:0016597GO:0005524</v>
          </cell>
        </row>
        <row r="5115">
          <cell r="A5115" t="str">
            <v>GRMZM2G345622</v>
          </cell>
          <cell r="B5115" t="str">
            <v>GO:0006508GO:0043086GO:0042802GO:0004252</v>
          </cell>
        </row>
        <row r="5116">
          <cell r="A5116" t="str">
            <v>GRMZM2G467007</v>
          </cell>
          <cell r="B5116" t="str">
            <v>GO:0015057GO:0016021GO:0007596GO:0007186</v>
          </cell>
        </row>
        <row r="5117">
          <cell r="A5117" t="str">
            <v>GRMZM2G000221</v>
          </cell>
          <cell r="B5117" t="str">
            <v>GO:0008289GO:0006869</v>
          </cell>
        </row>
        <row r="5118">
          <cell r="A5118" t="str">
            <v>GRMZM2G362298</v>
          </cell>
          <cell r="B5118" t="str">
            <v>GO:0016747</v>
          </cell>
        </row>
        <row r="5119">
          <cell r="A5119" t="str">
            <v>GRMZM2G181607</v>
          </cell>
          <cell r="B5119" t="str">
            <v>GO:0045454</v>
          </cell>
        </row>
        <row r="5120">
          <cell r="A5120" t="str">
            <v>GRMZM2G160460</v>
          </cell>
          <cell r="B5120" t="str">
            <v>GO:0015450GO:0015904GO:0016021GO:0015520GO:0006835GO:0015031GO:0046677GO:0017153GO:0055085</v>
          </cell>
        </row>
        <row r="5121">
          <cell r="A5121" t="str">
            <v>GRMZM2G147256</v>
          </cell>
          <cell r="B5121" t="str">
            <v>GO:0016829GO:0009058GO:0006520GO:0016769GO:0030170</v>
          </cell>
        </row>
        <row r="5122">
          <cell r="A5122" t="str">
            <v>GRMZM2G018756</v>
          </cell>
          <cell r="B5122" t="str">
            <v>GO:0016020</v>
          </cell>
        </row>
        <row r="5123">
          <cell r="A5123" t="str">
            <v>GRMZM2G086277</v>
          </cell>
          <cell r="B5123" t="str">
            <v>GO:0008270GO:0005622</v>
          </cell>
        </row>
        <row r="5124">
          <cell r="A5124" t="str">
            <v>GRMZM2G052422</v>
          </cell>
          <cell r="B5124" t="str">
            <v>GO:0016491</v>
          </cell>
        </row>
        <row r="5125">
          <cell r="A5125" t="str">
            <v>GRMZM2G147780</v>
          </cell>
          <cell r="B5125" t="str">
            <v>GO:0005089</v>
          </cell>
        </row>
        <row r="5126">
          <cell r="A5126" t="str">
            <v>GRMZM2G004699</v>
          </cell>
          <cell r="B5126" t="str">
            <v>GO:0005618GO:0048046GO:0016762GO:0006073GO:0004553</v>
          </cell>
        </row>
        <row r="5127">
          <cell r="A5127" t="str">
            <v>GRMZM2G093623</v>
          </cell>
          <cell r="B5127" t="str">
            <v>GO:0006298GO:0005524GO:0030983</v>
          </cell>
        </row>
        <row r="5128">
          <cell r="A5128" t="str">
            <v>GRMZM2G147787</v>
          </cell>
          <cell r="B5128" t="str">
            <v>GO:0050825GO:0042309GO:0050826</v>
          </cell>
        </row>
        <row r="5129">
          <cell r="A5129" t="str">
            <v>GRMZM2G179031</v>
          </cell>
          <cell r="B5129" t="str">
            <v>GO:0003725GO:0005622</v>
          </cell>
        </row>
        <row r="5130">
          <cell r="A5130" t="str">
            <v>GRMZM2G359038</v>
          </cell>
          <cell r="B5130" t="str">
            <v>GO:0016021GO:0006810GO:0005471GO:0005524</v>
          </cell>
        </row>
        <row r="5131">
          <cell r="A5131" t="str">
            <v>GRMZM2G470524</v>
          </cell>
          <cell r="B5131" t="str">
            <v>GO:0016758GO:0008152</v>
          </cell>
        </row>
        <row r="5132">
          <cell r="A5132" t="str">
            <v>GRMZM2G019974</v>
          </cell>
          <cell r="B5132" t="str">
            <v>GO:0005215GO:0016021GO:0006810</v>
          </cell>
        </row>
        <row r="5133">
          <cell r="A5133" t="str">
            <v>GRMZM2G094074</v>
          </cell>
          <cell r="B5133" t="str">
            <v>GO:0003735GO:0006412GO:0005840</v>
          </cell>
        </row>
        <row r="5134">
          <cell r="A5134" t="str">
            <v>GRMZM2G115422</v>
          </cell>
          <cell r="B5134" t="str">
            <v>GO:0050825GO:0016747GO:0042309GO:0050826</v>
          </cell>
        </row>
        <row r="5135">
          <cell r="A5135" t="str">
            <v>GRMZM2G102737</v>
          </cell>
          <cell r="B5135" t="str">
            <v>GO:0016020</v>
          </cell>
        </row>
        <row r="5136">
          <cell r="A5136" t="str">
            <v>GRMZM2G062946</v>
          </cell>
          <cell r="B5136" t="str">
            <v>GO:0004497GO:0020037GO:0009055</v>
          </cell>
        </row>
        <row r="5137">
          <cell r="A5137" t="str">
            <v>GRMZM2G373522</v>
          </cell>
          <cell r="B5137" t="str">
            <v>GO:0006950GO:0009415</v>
          </cell>
        </row>
        <row r="5138">
          <cell r="A5138" t="str">
            <v>GRMZM2G339563</v>
          </cell>
          <cell r="B5138" t="str">
            <v>GO:0051537GO:0016491GO:0055114GO:0009055</v>
          </cell>
        </row>
        <row r="5139">
          <cell r="A5139" t="str">
            <v>GRMZM2G002756</v>
          </cell>
          <cell r="B5139" t="str">
            <v>GO:0030163</v>
          </cell>
        </row>
        <row r="5140">
          <cell r="A5140" t="str">
            <v>GRMZM2G169000</v>
          </cell>
          <cell r="B5140" t="str">
            <v>GO:0003824</v>
          </cell>
        </row>
        <row r="5141">
          <cell r="A5141" t="str">
            <v>GRMZM2G087870</v>
          </cell>
          <cell r="B5141" t="str">
            <v>GO:0006464</v>
          </cell>
        </row>
        <row r="5142">
          <cell r="A5142" t="str">
            <v>GRMZM2G169005</v>
          </cell>
          <cell r="B5142" t="str">
            <v>GO:0009239GO:0005488GO:0008667</v>
          </cell>
        </row>
        <row r="5143">
          <cell r="A5143" t="str">
            <v>GRMZM2G021149</v>
          </cell>
          <cell r="B5143" t="str">
            <v>GO:0016021GO:0005199GO:0006355GO:0003677GO:0007186GO:0005634GO:0005524</v>
          </cell>
        </row>
        <row r="5144">
          <cell r="A5144" t="str">
            <v>GRMZM2G396553</v>
          </cell>
          <cell r="B5144" t="str">
            <v>GO:0008792GO:0006527GO:0008295</v>
          </cell>
        </row>
        <row r="5145">
          <cell r="A5145" t="str">
            <v>GRMZM2G074687</v>
          </cell>
          <cell r="B5145" t="str">
            <v>GO:0006457GO:0005509GO:0051082GO:0005783</v>
          </cell>
        </row>
        <row r="5146">
          <cell r="A5146" t="str">
            <v>GRMZM2G438202</v>
          </cell>
          <cell r="B5146" t="str">
            <v>GO:0003700GO:0006355</v>
          </cell>
        </row>
        <row r="5147">
          <cell r="A5147" t="str">
            <v>GRMZM2G134930</v>
          </cell>
          <cell r="B5147" t="str">
            <v>GO:0016020</v>
          </cell>
        </row>
        <row r="5148">
          <cell r="A5148" t="str">
            <v>GRMZM2G044775</v>
          </cell>
          <cell r="B5148" t="str">
            <v>GO:0016787</v>
          </cell>
        </row>
        <row r="5149">
          <cell r="A5149" t="str">
            <v>GRMZM2G161809</v>
          </cell>
          <cell r="B5149" t="str">
            <v>GO:0015297GO:0016020GO:0006855GO:0015238</v>
          </cell>
        </row>
        <row r="5150">
          <cell r="A5150" t="str">
            <v>GRMZM2G051782</v>
          </cell>
          <cell r="B5150" t="str">
            <v>GO:0005737GO:0051258GO:0007018GO:0003924GO:0005198GO:0005874GO:0005525</v>
          </cell>
        </row>
        <row r="5151">
          <cell r="A5151" t="str">
            <v>GRMZM2G062541</v>
          </cell>
          <cell r="B5151" t="str">
            <v>GO:0005634GO:0045449GO:0030528</v>
          </cell>
        </row>
        <row r="5152">
          <cell r="A5152" t="str">
            <v>GRMZM2G034360</v>
          </cell>
          <cell r="B5152" t="str">
            <v>GO:0016747</v>
          </cell>
        </row>
        <row r="5153">
          <cell r="A5153" t="str">
            <v>GRMZM2G000936</v>
          </cell>
          <cell r="B5153" t="str">
            <v>GO:0005515</v>
          </cell>
        </row>
        <row r="5154">
          <cell r="A5154" t="str">
            <v>GRMZM2G379804</v>
          </cell>
          <cell r="B5154" t="str">
            <v>GO:0005515GO:0008270GO:0005524GO:0003677</v>
          </cell>
        </row>
        <row r="5155">
          <cell r="A5155" t="str">
            <v>GRMZM2G122324</v>
          </cell>
          <cell r="B5155" t="str">
            <v>GO:0006633GO:0000036GO:0048037GO:0031177</v>
          </cell>
        </row>
        <row r="5156">
          <cell r="A5156" t="str">
            <v>GRMZM2G138987</v>
          </cell>
          <cell r="B5156" t="str">
            <v>GO:0006810GO:0003676GO:0005622</v>
          </cell>
        </row>
        <row r="5157">
          <cell r="A5157" t="str">
            <v>GRMZM2G066867</v>
          </cell>
          <cell r="B5157" t="str">
            <v>GO:0004674GO:0006468GO:0004713GO:0005524</v>
          </cell>
        </row>
        <row r="5158">
          <cell r="A5158" t="str">
            <v>GRMZM2G101000</v>
          </cell>
          <cell r="B5158" t="str">
            <v>GO:0004437</v>
          </cell>
        </row>
        <row r="5159">
          <cell r="A5159" t="str">
            <v>GRMZM2G350312</v>
          </cell>
          <cell r="B5159" t="str">
            <v>GO:0005634GO:0045449GO:0030528</v>
          </cell>
        </row>
        <row r="5160">
          <cell r="A5160" t="str">
            <v>GRMZM2G074158</v>
          </cell>
          <cell r="B5160" t="str">
            <v>GO:0005975GO:0030170GO:0004645</v>
          </cell>
        </row>
        <row r="5161">
          <cell r="A5161" t="str">
            <v>GRMZM2G144821</v>
          </cell>
          <cell r="B5161" t="str">
            <v>GO:0006812GO:0016021GO:0006754GO:0015662GO:0005524</v>
          </cell>
        </row>
        <row r="5162">
          <cell r="A5162" t="str">
            <v>GRMZM2G164974</v>
          </cell>
          <cell r="B5162" t="str">
            <v>GO:0006633GO:0016020GO:0008415GO:0016068</v>
          </cell>
        </row>
        <row r="5163">
          <cell r="A5163" t="str">
            <v>GRMZM2G085000</v>
          </cell>
          <cell r="B5163" t="str">
            <v>GO:0045454GO:0009055</v>
          </cell>
        </row>
        <row r="5164">
          <cell r="A5164" t="str">
            <v>GRMZM2G326116</v>
          </cell>
          <cell r="B5164" t="str">
            <v>GO:0003824GO:0016564GO:0006808GO:0005488</v>
          </cell>
        </row>
        <row r="5165">
          <cell r="A5165" t="str">
            <v>GRMZM2G015892</v>
          </cell>
          <cell r="B5165" t="str">
            <v>GO:0004834GO:0006568</v>
          </cell>
        </row>
        <row r="5166">
          <cell r="A5166" t="str">
            <v>GRMZM2G070315</v>
          </cell>
          <cell r="B5166" t="str">
            <v>GO:0016311GO:0004725</v>
          </cell>
        </row>
        <row r="5167">
          <cell r="A5167" t="str">
            <v>GRMZM2G105901</v>
          </cell>
          <cell r="B5167" t="str">
            <v>GO:0050825GO:0042309GO:0050826</v>
          </cell>
        </row>
        <row r="5168">
          <cell r="A5168" t="str">
            <v>GRMZM2G035103</v>
          </cell>
          <cell r="B5168" t="str">
            <v>GO:0008270GO:0005622</v>
          </cell>
        </row>
        <row r="5169">
          <cell r="A5169" t="str">
            <v>GRMZM2G084757</v>
          </cell>
          <cell r="B5169" t="str">
            <v>GO:0003735GO:0006412GO:0005840</v>
          </cell>
        </row>
        <row r="5170">
          <cell r="A5170" t="str">
            <v>GRMZM2G144648</v>
          </cell>
          <cell r="B5170" t="str">
            <v>GO:0004601GO:0006979GO:0020037GO:0009055</v>
          </cell>
        </row>
        <row r="5171">
          <cell r="A5171" t="str">
            <v>GRMZM2G065665</v>
          </cell>
          <cell r="B5171" t="str">
            <v>GO:0006508GO:0004252</v>
          </cell>
        </row>
        <row r="5172">
          <cell r="A5172" t="str">
            <v>GRMZM2G039278</v>
          </cell>
          <cell r="B5172" t="str">
            <v>GO:0004497GO:0020037GO:0009055</v>
          </cell>
        </row>
        <row r="5173">
          <cell r="A5173" t="str">
            <v>GRMZM2G132875</v>
          </cell>
          <cell r="B5173" t="str">
            <v>GO:0055114GO:0016491</v>
          </cell>
        </row>
        <row r="5174">
          <cell r="A5174" t="str">
            <v>GRMZM2G065669</v>
          </cell>
          <cell r="B5174" t="str">
            <v>GO:0003676</v>
          </cell>
        </row>
        <row r="5175">
          <cell r="A5175" t="str">
            <v>GRMZM2G128078</v>
          </cell>
          <cell r="B5175" t="str">
            <v>GO:0005247GO:0006821GO:0016020</v>
          </cell>
        </row>
        <row r="5176">
          <cell r="A5176" t="str">
            <v>GRMZM2G409133</v>
          </cell>
          <cell r="B5176" t="str">
            <v>GO:0009055GO:0005488GO:0008152GO:0016491</v>
          </cell>
        </row>
        <row r="5177">
          <cell r="A5177" t="str">
            <v>GRMZM2G141551</v>
          </cell>
          <cell r="B5177" t="str">
            <v>GO:0006233GO:0004798GO:0005524</v>
          </cell>
        </row>
        <row r="5178">
          <cell r="A5178" t="str">
            <v>GRMZM2G103465</v>
          </cell>
          <cell r="B5178" t="str">
            <v>GO:0008270</v>
          </cell>
        </row>
        <row r="5179">
          <cell r="A5179" t="str">
            <v>GRMZM2G392737</v>
          </cell>
          <cell r="B5179" t="str">
            <v>GO:0004674GO:0006468GO:0004713GO:0005524</v>
          </cell>
        </row>
        <row r="5180">
          <cell r="A5180" t="str">
            <v>GRMZM2G051952</v>
          </cell>
          <cell r="B5180" t="str">
            <v>GO:0006355GO:0005634GO:0004879GO:0003677</v>
          </cell>
        </row>
        <row r="5181">
          <cell r="A5181" t="str">
            <v>GRMZM2G036921</v>
          </cell>
          <cell r="B5181" t="str">
            <v>GO:0016209GO:0016491</v>
          </cell>
        </row>
        <row r="5182">
          <cell r="A5182" t="str">
            <v>GRMZM2G047732</v>
          </cell>
          <cell r="B5182" t="str">
            <v>GO:0003735GO:0006412GO:0006464GO:0005840</v>
          </cell>
        </row>
        <row r="5183">
          <cell r="A5183" t="str">
            <v>GRMZM2G369912</v>
          </cell>
          <cell r="B5183" t="str">
            <v>GO:0008601GO:0005975GO:0000159GO:0007165GO:0004553</v>
          </cell>
        </row>
        <row r="5184">
          <cell r="A5184" t="str">
            <v>GRMZM2G059314</v>
          </cell>
          <cell r="B5184" t="str">
            <v>GO:0055114GO:0016491</v>
          </cell>
        </row>
        <row r="5185">
          <cell r="A5185" t="str">
            <v>GRMZM2G135617</v>
          </cell>
          <cell r="B5185" t="str">
            <v>GO:0016597GO:0008152</v>
          </cell>
        </row>
        <row r="5186">
          <cell r="A5186" t="str">
            <v>GRMZM2G040298</v>
          </cell>
          <cell r="B5186" t="str">
            <v>GO:0003700GO:0043565GO:0005634GO:0045449</v>
          </cell>
        </row>
        <row r="5187">
          <cell r="A5187" t="str">
            <v>GRMZM2G030139</v>
          </cell>
          <cell r="B5187" t="str">
            <v>GO:0016310GO:0005524GO:0016772</v>
          </cell>
        </row>
        <row r="5188">
          <cell r="A5188" t="str">
            <v>GRMZM2G085176</v>
          </cell>
          <cell r="B5188" t="str">
            <v>GO:0006629GO:0016788</v>
          </cell>
        </row>
        <row r="5189">
          <cell r="A5189" t="str">
            <v>GRMZM2G408768</v>
          </cell>
          <cell r="B5189" t="str">
            <v>GO:0019904</v>
          </cell>
        </row>
        <row r="5190">
          <cell r="A5190" t="str">
            <v>GRMZM2G012263</v>
          </cell>
          <cell r="B5190" t="str">
            <v>GO:0020037GO:0016020GO:0004601GO:0006979GO:0009055</v>
          </cell>
        </row>
        <row r="5191">
          <cell r="A5191" t="str">
            <v>GRMZM2G035749</v>
          </cell>
          <cell r="B5191" t="str">
            <v>GO:0003735GO:0016161GO:0000272GO:0006412GO:0005840</v>
          </cell>
        </row>
        <row r="5192">
          <cell r="A5192" t="str">
            <v>GRMZM2G176977</v>
          </cell>
          <cell r="B5192" t="str">
            <v>GO:0051287GO:0016616GO:0008152</v>
          </cell>
        </row>
        <row r="5193">
          <cell r="A5193" t="str">
            <v>GRMZM2G149567</v>
          </cell>
          <cell r="B5193" t="str">
            <v>GO:0019538GO:0016887GO:0005524GO:0005515</v>
          </cell>
        </row>
        <row r="5194">
          <cell r="A5194" t="str">
            <v>GRMZM2G103647</v>
          </cell>
          <cell r="B5194" t="str">
            <v>GO:0003700GO:0006355GO:0046983GO:0005634GO:0043565</v>
          </cell>
        </row>
        <row r="5195">
          <cell r="A5195" t="str">
            <v>GRMZM2G327406</v>
          </cell>
          <cell r="B5195" t="str">
            <v>GO:0015629GO:0000103GO:0016021GO:0016301GO:0005198GO:0007155GO:0007186GO:0005524</v>
          </cell>
        </row>
        <row r="5196">
          <cell r="A5196" t="str">
            <v>GRMZM2G168849</v>
          </cell>
          <cell r="B5196" t="str">
            <v>GO:0004518GO:0003677GO:0006289</v>
          </cell>
        </row>
        <row r="5197">
          <cell r="A5197" t="str">
            <v>GRMZM2G049882</v>
          </cell>
          <cell r="B5197" t="str">
            <v>GO:0006508GO:0008234</v>
          </cell>
        </row>
        <row r="5198">
          <cell r="A5198" t="str">
            <v>GRMZM2G347226</v>
          </cell>
          <cell r="B5198" t="str">
            <v>GO:0004674GO:0006468GO:0004713GO:0005524GO:0005509</v>
          </cell>
        </row>
        <row r="5199">
          <cell r="A5199" t="str">
            <v>GRMZM2G109286</v>
          </cell>
          <cell r="B5199" t="str">
            <v>GO:0006629GO:0008081</v>
          </cell>
        </row>
        <row r="5200">
          <cell r="A5200" t="str">
            <v>GRMZM2G135727</v>
          </cell>
          <cell r="B5200" t="str">
            <v>GO:0003735GO:0006412GO:0005840</v>
          </cell>
        </row>
        <row r="5201">
          <cell r="A5201" t="str">
            <v>GRMZM2G000093</v>
          </cell>
          <cell r="B5201" t="str">
            <v>GO:0005975GO:0004518GO:0004553GO:0005515GO:0003677GO:0006259</v>
          </cell>
        </row>
        <row r="5202">
          <cell r="A5202" t="str">
            <v>GRMZM2G405064</v>
          </cell>
          <cell r="B5202" t="str">
            <v>GO:0006979GO:0020037GO:0004601</v>
          </cell>
        </row>
        <row r="5203">
          <cell r="A5203" t="str">
            <v>GRMZM2G135722</v>
          </cell>
          <cell r="B5203" t="str">
            <v>GO:0016758GO:0008152</v>
          </cell>
        </row>
        <row r="5204">
          <cell r="A5204" t="str">
            <v>GRMZM2G332505</v>
          </cell>
          <cell r="B5204" t="str">
            <v>GO:0006865GO:0006334GO:0016020GO:0003677GO:0000786GO:0005634</v>
          </cell>
        </row>
        <row r="5205">
          <cell r="A5205" t="str">
            <v>GRMZM2G113267</v>
          </cell>
          <cell r="B5205" t="str">
            <v>GO:0008026GO:0003676GO:0005524</v>
          </cell>
        </row>
        <row r="5206">
          <cell r="A5206" t="str">
            <v>GRMZM2G134235</v>
          </cell>
          <cell r="B5206" t="str">
            <v>GO:0050825GO:0042309GO:0050826</v>
          </cell>
        </row>
        <row r="5207">
          <cell r="A5207" t="str">
            <v>GRMZM2G124476</v>
          </cell>
          <cell r="B5207" t="str">
            <v>GO:0005634GO:0008270GO:0003723</v>
          </cell>
        </row>
        <row r="5208">
          <cell r="A5208" t="str">
            <v>GRMZM2G036455</v>
          </cell>
          <cell r="B5208" t="str">
            <v>GO:0009239GO:0006470GO:0004725GO:0008667GO:0016630GO:0005488</v>
          </cell>
        </row>
        <row r="5209">
          <cell r="A5209" t="str">
            <v>GRMZM2G111642</v>
          </cell>
          <cell r="B5209" t="str">
            <v>GO:0016020GO:0016760GO:0008270GO:0005515GO:0030244</v>
          </cell>
        </row>
        <row r="5210">
          <cell r="A5210" t="str">
            <v>GRMZM2G129304</v>
          </cell>
          <cell r="B5210" t="str">
            <v>GO:0016597GO:0008152</v>
          </cell>
        </row>
        <row r="5211">
          <cell r="A5211" t="str">
            <v>GRMZM2G060837</v>
          </cell>
          <cell r="B5211" t="str">
            <v>GO:0016762GO:0005618GO:0016021GO:0048046GO:0005000GO:0006073GO:0004553GO:0007186</v>
          </cell>
        </row>
        <row r="5212">
          <cell r="A5212" t="str">
            <v>GRMZM2G429322</v>
          </cell>
          <cell r="B5212" t="str">
            <v>GO:0016020GO:0006865GO:0008152GO:0016491</v>
          </cell>
        </row>
        <row r="5213">
          <cell r="A5213" t="str">
            <v>GRMZM2G422651</v>
          </cell>
          <cell r="B5213" t="str">
            <v>GO:0006413GO:0003743</v>
          </cell>
        </row>
        <row r="5214">
          <cell r="A5214" t="str">
            <v>GRMZM2G009661</v>
          </cell>
          <cell r="B5214" t="str">
            <v>GO:0008601GO:0007165GO:0000159</v>
          </cell>
        </row>
        <row r="5215">
          <cell r="A5215" t="str">
            <v>AC205608.4_FG004</v>
          </cell>
          <cell r="B5215" t="str">
            <v>GO:0006857GO:0005215GO:0016020</v>
          </cell>
        </row>
        <row r="5216">
          <cell r="A5216" t="str">
            <v>GRMZM2G095126</v>
          </cell>
          <cell r="B5216" t="str">
            <v>GO:0005975GO:0016020GO:0006835GO:0005515GO:0004553GO:0017153</v>
          </cell>
        </row>
        <row r="5217">
          <cell r="A5217" t="str">
            <v>GRMZM2G412085</v>
          </cell>
          <cell r="B5217" t="str">
            <v>GO:0005247GO:0016020GO:0042318GO:0006821</v>
          </cell>
        </row>
        <row r="5218">
          <cell r="A5218" t="str">
            <v>GRMZM2G020054</v>
          </cell>
          <cell r="B5218" t="str">
            <v>GO:0003700GO:0006355</v>
          </cell>
        </row>
        <row r="5219">
          <cell r="A5219" t="str">
            <v>GRMZM2G099340</v>
          </cell>
          <cell r="B5219" t="str">
            <v>GO:0046872</v>
          </cell>
        </row>
        <row r="5220">
          <cell r="A5220" t="str">
            <v>GRMZM2G138698</v>
          </cell>
          <cell r="B5220" t="str">
            <v>GO:0046872GO:0003993</v>
          </cell>
        </row>
        <row r="5221">
          <cell r="A5221" t="str">
            <v>GRMZM2G468682</v>
          </cell>
          <cell r="B5221" t="str">
            <v>GO:0006334GO:0003677GO:0005634GO:0000786</v>
          </cell>
        </row>
        <row r="5222">
          <cell r="A5222" t="str">
            <v>GRMZM2G131591</v>
          </cell>
          <cell r="B5222" t="str">
            <v>GO:0008270GO:0005515</v>
          </cell>
        </row>
        <row r="5223">
          <cell r="A5223" t="str">
            <v>GRMZM2G106363</v>
          </cell>
          <cell r="B5223" t="str">
            <v>GO:0006355GO:0007165</v>
          </cell>
        </row>
        <row r="5224">
          <cell r="A5224" t="str">
            <v>GRMZM2G092813</v>
          </cell>
          <cell r="B5224" t="str">
            <v>GO:0003824GO:0008152</v>
          </cell>
        </row>
        <row r="5225">
          <cell r="A5225" t="str">
            <v>GRMZM2G440259</v>
          </cell>
          <cell r="B5225" t="str">
            <v>GO:0008270GO:0005515</v>
          </cell>
        </row>
        <row r="5226">
          <cell r="A5226" t="str">
            <v>GRMZM2G352129</v>
          </cell>
          <cell r="B5226" t="str">
            <v>GO:0003723</v>
          </cell>
        </row>
        <row r="5227">
          <cell r="A5227" t="str">
            <v>GRMZM2G036217</v>
          </cell>
          <cell r="B5227" t="str">
            <v>GO:0003824GO:0005488GO:0008152</v>
          </cell>
        </row>
        <row r="5228">
          <cell r="A5228" t="str">
            <v>GRMZM2G125969</v>
          </cell>
          <cell r="B5228" t="str">
            <v>GO:0003700GO:0006355GO:0005634GO:0043565</v>
          </cell>
        </row>
        <row r="5229">
          <cell r="A5229" t="str">
            <v>GRMZM2G012717</v>
          </cell>
          <cell r="B5229" t="str">
            <v>GO:0008270GO:0005622</v>
          </cell>
        </row>
        <row r="5230">
          <cell r="A5230" t="str">
            <v>GRMZM2G127338</v>
          </cell>
          <cell r="B5230" t="str">
            <v>GO:0016020GO:0006865</v>
          </cell>
        </row>
        <row r="5231">
          <cell r="A5231" t="str">
            <v>GRMZM2G157443</v>
          </cell>
          <cell r="B5231" t="str">
            <v>GO:0005840GO:0003735GO:0050825GO:0042309GO:0050826GO:0006414</v>
          </cell>
        </row>
        <row r="5232">
          <cell r="A5232" t="str">
            <v>GRMZM2G027479</v>
          </cell>
          <cell r="B5232" t="str">
            <v>GO:0006952</v>
          </cell>
        </row>
        <row r="5233">
          <cell r="A5233" t="str">
            <v>GRMZM2G029632</v>
          </cell>
          <cell r="B5233" t="str">
            <v>GO:0006506</v>
          </cell>
        </row>
        <row r="5234">
          <cell r="A5234" t="str">
            <v>GRMZM2G124815</v>
          </cell>
          <cell r="B5234" t="str">
            <v>GO:0016747</v>
          </cell>
        </row>
        <row r="5235">
          <cell r="A5235" t="str">
            <v>GRMZM2G043813</v>
          </cell>
          <cell r="B5235" t="str">
            <v>GO:0045449GO:0003677</v>
          </cell>
        </row>
        <row r="5236">
          <cell r="A5236" t="str">
            <v>AC204515.4_FG006</v>
          </cell>
          <cell r="B5236" t="str">
            <v>GO:0016021GO:0007186GO:0004930</v>
          </cell>
        </row>
        <row r="5237">
          <cell r="A5237" t="str">
            <v>GRMZM2G107987</v>
          </cell>
          <cell r="B5237" t="str">
            <v>GO:0004003GO:0005634GO:0003677GO:0005524GO:0006139</v>
          </cell>
        </row>
        <row r="5238">
          <cell r="A5238" t="str">
            <v>GRMZM2G032132</v>
          </cell>
          <cell r="B5238" t="str">
            <v>GO:0004674GO:0006468GO:0004713GO:0005524</v>
          </cell>
        </row>
        <row r="5239">
          <cell r="A5239" t="str">
            <v>GRMZM2G135949</v>
          </cell>
          <cell r="B5239" t="str">
            <v>GO:0005283GO:0016020GO:0006814</v>
          </cell>
        </row>
        <row r="5240">
          <cell r="A5240" t="str">
            <v>GRMZM2G073223</v>
          </cell>
          <cell r="B5240" t="str">
            <v>GO:0006508GO:0004252</v>
          </cell>
        </row>
        <row r="5241">
          <cell r="A5241" t="str">
            <v>GRMZM2G175232</v>
          </cell>
          <cell r="B5241" t="str">
            <v>GO:0003677</v>
          </cell>
        </row>
        <row r="5242">
          <cell r="A5242" t="str">
            <v>GRMZM2G170338</v>
          </cell>
          <cell r="B5242" t="str">
            <v>GO:0006541GO:0003824GO:0009058GO:0050825GO:0042309GO:0050826</v>
          </cell>
        </row>
        <row r="5243">
          <cell r="A5243" t="str">
            <v>GRMZM2G072315</v>
          </cell>
          <cell r="B5243" t="str">
            <v>GO:0003735GO:0015934GO:0006412</v>
          </cell>
        </row>
        <row r="5244">
          <cell r="A5244" t="str">
            <v>GRMZM2G145461</v>
          </cell>
          <cell r="B5244" t="str">
            <v>GO:0004568GO:0006032GO:0008061GO:0016998</v>
          </cell>
        </row>
        <row r="5245">
          <cell r="A5245" t="str">
            <v>GRMZM2G054252</v>
          </cell>
          <cell r="B5245" t="str">
            <v>GO:0045449GO:0003677</v>
          </cell>
        </row>
        <row r="5246">
          <cell r="A5246" t="str">
            <v>GRMZM2G009849</v>
          </cell>
          <cell r="B5246" t="str">
            <v>GO:0005488</v>
          </cell>
        </row>
        <row r="5247">
          <cell r="A5247" t="str">
            <v>GRMZM2G173680</v>
          </cell>
          <cell r="B5247" t="str">
            <v>GO:0003700GO:0043565GO:0005634GO:0045449</v>
          </cell>
        </row>
        <row r="5248">
          <cell r="A5248" t="str">
            <v>GRMZM2G062391</v>
          </cell>
          <cell r="B5248" t="str">
            <v>GO:0003700GO:0006355GO:0046983GO:0005634GO:0043565</v>
          </cell>
        </row>
        <row r="5249">
          <cell r="A5249" t="str">
            <v>GRMZM2G108416</v>
          </cell>
          <cell r="B5249" t="str">
            <v>GO:0009081GO:0004084</v>
          </cell>
        </row>
        <row r="5250">
          <cell r="A5250" t="str">
            <v>GRMZM2G062156</v>
          </cell>
          <cell r="B5250" t="str">
            <v>GO:0022891GO:0005945GO:0016021GO:0006096GO:0003872GO:0055085</v>
          </cell>
        </row>
        <row r="5251">
          <cell r="A5251" t="str">
            <v>GRMZM2G121075</v>
          </cell>
          <cell r="B5251" t="str">
            <v>GO:0003735GO:0006412GO:0005840</v>
          </cell>
        </row>
        <row r="5252">
          <cell r="A5252" t="str">
            <v>GRMZM2G101900</v>
          </cell>
          <cell r="B5252" t="str">
            <v>GO:0006207GO:0006520GO:0009348GO:0016597GO:0004585GO:0004070</v>
          </cell>
        </row>
        <row r="5253">
          <cell r="A5253" t="str">
            <v>GRMZM2G134708</v>
          </cell>
          <cell r="B5253" t="str">
            <v>GO:0006813GO:0016491GO:0008324GO:0050660GO:0009055</v>
          </cell>
        </row>
        <row r="5254">
          <cell r="A5254" t="str">
            <v>GRMZM2G004519</v>
          </cell>
          <cell r="B5254" t="str">
            <v>GO:0008270GO:0005515</v>
          </cell>
        </row>
        <row r="5255">
          <cell r="A5255" t="str">
            <v>GRMZM2G008226</v>
          </cell>
          <cell r="B5255" t="str">
            <v>GO:0003824GO:0005992</v>
          </cell>
        </row>
        <row r="5256">
          <cell r="A5256" t="str">
            <v>GRMZM2G076417</v>
          </cell>
          <cell r="B5256" t="str">
            <v>GO:0006508GO:0043086GO:0042802GO:0004252</v>
          </cell>
        </row>
        <row r="5257">
          <cell r="A5257" t="str">
            <v>GRMZM2G124353</v>
          </cell>
          <cell r="B5257" t="str">
            <v>GO:0008483GO:0030170</v>
          </cell>
        </row>
        <row r="5258">
          <cell r="A5258" t="str">
            <v>GRMZM2G099317</v>
          </cell>
          <cell r="B5258" t="str">
            <v>GO:0016021GO:0007186GO:0001619GO:0003676GO:0008270</v>
          </cell>
        </row>
        <row r="5259">
          <cell r="A5259" t="str">
            <v>AC212219.3_FG005</v>
          </cell>
          <cell r="B5259" t="str">
            <v>GO:0005506GO:0016491</v>
          </cell>
        </row>
        <row r="5260">
          <cell r="A5260" t="str">
            <v>GRMZM2G099319</v>
          </cell>
          <cell r="B5260" t="str">
            <v>GO:0003700GO:0006355GO:0005634GO:0043565</v>
          </cell>
        </row>
        <row r="5261">
          <cell r="A5261" t="str">
            <v>GRMZM2G120674</v>
          </cell>
          <cell r="B5261" t="str">
            <v>GO:0019787GO:0043687GO:0051246</v>
          </cell>
        </row>
        <row r="5262">
          <cell r="A5262" t="str">
            <v>GRMZM2G004516</v>
          </cell>
          <cell r="B5262" t="str">
            <v>GO:0007155GO:0050825GO:0042309GO:0050826</v>
          </cell>
        </row>
        <row r="5263">
          <cell r="A5263" t="str">
            <v>GRMZM2G473367</v>
          </cell>
          <cell r="B5263" t="str">
            <v>GO:0031072GO:0006457GO:0051082</v>
          </cell>
        </row>
        <row r="5264">
          <cell r="A5264" t="str">
            <v>GRMZM2G115182</v>
          </cell>
          <cell r="B5264" t="str">
            <v>GO:0005488</v>
          </cell>
        </row>
        <row r="5265">
          <cell r="A5265" t="str">
            <v>GRMZM2G076631</v>
          </cell>
          <cell r="B5265" t="str">
            <v>GO:0003824</v>
          </cell>
        </row>
        <row r="5266">
          <cell r="A5266" t="str">
            <v>GRMZM2G362281</v>
          </cell>
          <cell r="B5266" t="str">
            <v>GO:0045454GO:0015035GO:0009055</v>
          </cell>
        </row>
        <row r="5267">
          <cell r="A5267" t="str">
            <v>GRMZM2G138355</v>
          </cell>
          <cell r="B5267" t="str">
            <v>GO:0016787</v>
          </cell>
        </row>
        <row r="5268">
          <cell r="A5268" t="str">
            <v>GRMZM2G074300</v>
          </cell>
          <cell r="B5268" t="str">
            <v>GO:0003735GO:0015935GO:0006412GO:0003723</v>
          </cell>
        </row>
        <row r="5269">
          <cell r="A5269" t="str">
            <v>GRMZM2G116140</v>
          </cell>
          <cell r="B5269" t="str">
            <v>GO:0004857GO:0030599</v>
          </cell>
        </row>
        <row r="5270">
          <cell r="A5270" t="str">
            <v>GRMZM2G375904</v>
          </cell>
          <cell r="B5270" t="str">
            <v>GO:0004674GO:0006468GO:0004713GO:0005524</v>
          </cell>
        </row>
        <row r="5271">
          <cell r="A5271" t="str">
            <v>GRMZM2G082032</v>
          </cell>
          <cell r="B5271" t="str">
            <v>GO:0016787</v>
          </cell>
        </row>
        <row r="5272">
          <cell r="A5272" t="str">
            <v>GRMZM2G136495</v>
          </cell>
          <cell r="B5272" t="str">
            <v>GO:0006508GO:0004185GO:0004177</v>
          </cell>
        </row>
        <row r="5273">
          <cell r="A5273" t="str">
            <v>GRMZM2G147221</v>
          </cell>
          <cell r="B5273" t="str">
            <v>GO:0005975GO:0004553</v>
          </cell>
        </row>
        <row r="5274">
          <cell r="A5274" t="str">
            <v>GRMZM2G145518</v>
          </cell>
          <cell r="B5274" t="str">
            <v>GO:0004568GO:0006032GO:0008061GO:0016998</v>
          </cell>
        </row>
        <row r="5275">
          <cell r="A5275" t="str">
            <v>GRMZM2G476699</v>
          </cell>
          <cell r="B5275" t="str">
            <v>GO:0016757</v>
          </cell>
        </row>
        <row r="5276">
          <cell r="A5276" t="str">
            <v>GRMZM2G001289</v>
          </cell>
          <cell r="B5276" t="str">
            <v>GO:0003700GO:0006355GO:0005634GO:0043565</v>
          </cell>
        </row>
        <row r="5277">
          <cell r="A5277" t="str">
            <v>GRMZM2G032821</v>
          </cell>
          <cell r="B5277" t="str">
            <v>GO:0004176GO:0000151GO:0016567GO:0006510GO:0008270GO:0005515GO:0004842</v>
          </cell>
        </row>
        <row r="5278">
          <cell r="A5278" t="str">
            <v>GRMZM2G179024</v>
          </cell>
          <cell r="B5278" t="str">
            <v>GO:0006355GO:0000156GO:0000160</v>
          </cell>
        </row>
        <row r="5279">
          <cell r="A5279" t="str">
            <v>GRMZM2G032351</v>
          </cell>
          <cell r="B5279" t="str">
            <v>GO:0006468GO:0004674GO:0006355GO:0007165GO:0004871GO:0005524GO:0004713</v>
          </cell>
        </row>
        <row r="5280">
          <cell r="A5280" t="str">
            <v>GRMZM2G079219</v>
          </cell>
          <cell r="B5280" t="str">
            <v>GO:0004674GO:0006468GO:0004713GO:0005524</v>
          </cell>
        </row>
        <row r="5281">
          <cell r="A5281" t="str">
            <v>GRMZM2G059845</v>
          </cell>
          <cell r="B5281" t="str">
            <v>GO:0016020</v>
          </cell>
        </row>
        <row r="5282">
          <cell r="A5282" t="str">
            <v>GRMZM2G038243</v>
          </cell>
          <cell r="B5282" t="str">
            <v>GO:0050660GO:0016491</v>
          </cell>
        </row>
        <row r="5283">
          <cell r="A5283" t="str">
            <v>GRMZM2G420926</v>
          </cell>
          <cell r="B5283" t="str">
            <v>GO:0016787</v>
          </cell>
        </row>
        <row r="5284">
          <cell r="A5284" t="str">
            <v>GRMZM2G126190</v>
          </cell>
          <cell r="B5284" t="str">
            <v>GO:0005524GO:0005515</v>
          </cell>
        </row>
        <row r="5285">
          <cell r="A5285" t="str">
            <v>GRMZM2G097040</v>
          </cell>
          <cell r="B5285" t="str">
            <v>GO:0051287GO:0016491GO:0009055</v>
          </cell>
        </row>
        <row r="5286">
          <cell r="A5286" t="str">
            <v>GRMZM2G026371</v>
          </cell>
          <cell r="B5286" t="str">
            <v>GO:0008026GO:0003676GO:0005524</v>
          </cell>
        </row>
        <row r="5287">
          <cell r="A5287" t="str">
            <v>AC209636.2_FG003</v>
          </cell>
          <cell r="B5287" t="str">
            <v>GO:0004982GO:0016021GO:0007186GO:0008152GO:0016787</v>
          </cell>
        </row>
        <row r="5288">
          <cell r="A5288" t="str">
            <v>GRMZM2G008714</v>
          </cell>
          <cell r="B5288" t="str">
            <v>GO:0004743GO:0000287GO:0006096GO:0030955</v>
          </cell>
        </row>
        <row r="5289">
          <cell r="A5289" t="str">
            <v>GRMZM2G096806</v>
          </cell>
          <cell r="B5289" t="str">
            <v>GO:0005737GO:0004812GO:0005524GO:0006418</v>
          </cell>
        </row>
        <row r="5290">
          <cell r="A5290" t="str">
            <v>GRMZM2G005146</v>
          </cell>
          <cell r="B5290" t="str">
            <v>GO:0005634GO:0003677GO:0006355GO:0050825GO:0042309GO:0050826GO:0004879</v>
          </cell>
        </row>
        <row r="5291">
          <cell r="A5291" t="str">
            <v>GRMZM2G153920</v>
          </cell>
          <cell r="B5291" t="str">
            <v>GO:0022891GO:0016021GO:0055085</v>
          </cell>
        </row>
        <row r="5292">
          <cell r="A5292" t="str">
            <v>GRMZM2G110000</v>
          </cell>
          <cell r="B5292" t="str">
            <v>GO:0005576</v>
          </cell>
        </row>
        <row r="5293">
          <cell r="A5293" t="str">
            <v>GRMZM2G125314</v>
          </cell>
          <cell r="B5293" t="str">
            <v>GO:0006508GO:0004197</v>
          </cell>
        </row>
        <row r="5294">
          <cell r="A5294" t="str">
            <v>GRMZM2G105604</v>
          </cell>
          <cell r="B5294" t="str">
            <v>GO:0008168GO:0006779</v>
          </cell>
        </row>
        <row r="5295">
          <cell r="A5295" t="str">
            <v>GRMZM2G076946</v>
          </cell>
          <cell r="B5295" t="str">
            <v>GO:0005975GO:0004553</v>
          </cell>
        </row>
        <row r="5296">
          <cell r="A5296" t="str">
            <v>AC203989.4_FG001</v>
          </cell>
          <cell r="B5296" t="str">
            <v>GO:0006508GO:0004197</v>
          </cell>
        </row>
        <row r="5297">
          <cell r="A5297" t="str">
            <v>GRMZM2G056407</v>
          </cell>
          <cell r="B5297" t="str">
            <v>GO:0050826GO:0050825GO:0042309GO:0003677</v>
          </cell>
        </row>
        <row r="5298">
          <cell r="A5298" t="str">
            <v>GRMZM2G122337</v>
          </cell>
          <cell r="B5298" t="str">
            <v>GO:0022900GO:0051537GO:0009055</v>
          </cell>
        </row>
        <row r="5299">
          <cell r="A5299" t="str">
            <v>GRMZM2G122335</v>
          </cell>
          <cell r="B5299" t="str">
            <v>GO:0004707GO:0006468GO:0004713GO:0005524</v>
          </cell>
        </row>
        <row r="5300">
          <cell r="A5300" t="str">
            <v>GRMZM2G066876</v>
          </cell>
          <cell r="B5300" t="str">
            <v>GO:0044267GO:0046488GO:0016307GO:0005515GO:0005524</v>
          </cell>
        </row>
        <row r="5301">
          <cell r="A5301" t="str">
            <v>GRMZM2G065388</v>
          </cell>
          <cell r="B5301" t="str">
            <v>GO:0016021GO:0007596GO:0007186GO:0004930</v>
          </cell>
        </row>
        <row r="5302">
          <cell r="A5302" t="str">
            <v>AC206951.3_FG017</v>
          </cell>
          <cell r="B5302" t="str">
            <v>GO:0003700GO:0006355</v>
          </cell>
        </row>
        <row r="5303">
          <cell r="A5303" t="str">
            <v>GRMZM2G328785</v>
          </cell>
          <cell r="B5303" t="str">
            <v>GO:0006468GO:0004674GO:0005529GO:0004713GO:0005524GO:0048544</v>
          </cell>
        </row>
        <row r="5304">
          <cell r="A5304" t="str">
            <v>GRMZM2G152258</v>
          </cell>
          <cell r="B5304" t="str">
            <v>GO:0009239GO:0005488GO:0004022GO:0008667</v>
          </cell>
        </row>
        <row r="5305">
          <cell r="A5305" t="str">
            <v>GRMZM2G062673</v>
          </cell>
          <cell r="B5305" t="str">
            <v>GO:0005509</v>
          </cell>
        </row>
        <row r="5306">
          <cell r="A5306" t="str">
            <v>GRMZM2G031859</v>
          </cell>
          <cell r="B5306" t="str">
            <v>GO:0004540GO:0003723</v>
          </cell>
        </row>
        <row r="5307">
          <cell r="A5307" t="str">
            <v>GRMZM2G114850</v>
          </cell>
          <cell r="B5307" t="str">
            <v>GO:0045449GO:0003677GO:0050825GO:0042309GO:0050826</v>
          </cell>
        </row>
        <row r="5308">
          <cell r="A5308" t="str">
            <v>GRMZM2G114588</v>
          </cell>
          <cell r="B5308" t="str">
            <v>GO:0003824GO:0016564GO:0006808GO:0005488</v>
          </cell>
        </row>
        <row r="5309">
          <cell r="A5309" t="str">
            <v>GRMZM2G060156</v>
          </cell>
          <cell r="B5309" t="str">
            <v>GO:0009234GO:0008935</v>
          </cell>
        </row>
        <row r="5310">
          <cell r="A5310" t="str">
            <v>GRMZM2G069203</v>
          </cell>
          <cell r="B5310" t="str">
            <v>GO:0005737GO:0006535GO:0009001</v>
          </cell>
        </row>
        <row r="5311">
          <cell r="A5311" t="str">
            <v>GRMZM2G302074</v>
          </cell>
          <cell r="B5311" t="str">
            <v>GO:0004497GO:0020037GO:0009055</v>
          </cell>
        </row>
        <row r="5312">
          <cell r="A5312" t="str">
            <v>GRMZM2G168651</v>
          </cell>
          <cell r="B5312" t="str">
            <v>GO:0005576GO:0005199</v>
          </cell>
        </row>
        <row r="5313">
          <cell r="A5313" t="str">
            <v>GRMZM2G014902</v>
          </cell>
          <cell r="B5313" t="str">
            <v>GO:0003677</v>
          </cell>
        </row>
        <row r="5314">
          <cell r="A5314" t="str">
            <v>GRMZM2G019413</v>
          </cell>
          <cell r="B5314" t="str">
            <v>GO:0016020GO:0017153GO:0006835</v>
          </cell>
        </row>
        <row r="5315">
          <cell r="A5315" t="str">
            <v>GRMZM2G132121</v>
          </cell>
          <cell r="B5315" t="str">
            <v>GO:0003735GO:0006412GO:0005840</v>
          </cell>
        </row>
        <row r="5316">
          <cell r="A5316" t="str">
            <v>GRMZM2G018416</v>
          </cell>
          <cell r="B5316" t="str">
            <v>GO:0006071GO:0006629GO:0008889</v>
          </cell>
        </row>
        <row r="5317">
          <cell r="A5317" t="str">
            <v>AC230013.2_FG007</v>
          </cell>
          <cell r="B5317" t="str">
            <v>GO:0003735GO:0006412GO:0005840</v>
          </cell>
        </row>
        <row r="5318">
          <cell r="A5318" t="str">
            <v>GRMZM2G309970</v>
          </cell>
          <cell r="B5318" t="str">
            <v>GO:0050825GO:0042309GO:0050826</v>
          </cell>
        </row>
        <row r="5319">
          <cell r="A5319" t="str">
            <v>GRMZM2G089596</v>
          </cell>
          <cell r="B5319" t="str">
            <v>GO:0005634GO:0045449GO:0030528</v>
          </cell>
        </row>
        <row r="5320">
          <cell r="A5320" t="str">
            <v>GRMZM2G159237</v>
          </cell>
          <cell r="B5320" t="str">
            <v>GO:0003735GO:0006412GO:0015935</v>
          </cell>
        </row>
        <row r="5321">
          <cell r="A5321" t="str">
            <v>GRMZM2G329325</v>
          </cell>
          <cell r="B5321" t="str">
            <v>GO:0016021</v>
          </cell>
        </row>
        <row r="5322">
          <cell r="A5322" t="str">
            <v>AC193632.2_FG002</v>
          </cell>
          <cell r="B5322" t="str">
            <v>GO:0006468GO:0004674GO:0004713GO:0004568GO:0006032GO:0005524</v>
          </cell>
        </row>
        <row r="5323">
          <cell r="A5323" t="str">
            <v>GRMZM2G409407</v>
          </cell>
          <cell r="B5323" t="str">
            <v>GO:0003735GO:0006412GO:0005840</v>
          </cell>
        </row>
        <row r="5324">
          <cell r="A5324" t="str">
            <v>GRMZM2G053767</v>
          </cell>
          <cell r="B5324" t="str">
            <v>GO:0005622GO:0019843</v>
          </cell>
        </row>
        <row r="5325">
          <cell r="A5325" t="str">
            <v>GRMZM2G046615</v>
          </cell>
          <cell r="B5325" t="str">
            <v>GO:0016829GO:0000287GO:0008152</v>
          </cell>
        </row>
        <row r="5326">
          <cell r="A5326" t="str">
            <v>GRMZM2G105330</v>
          </cell>
          <cell r="B5326" t="str">
            <v>GO:0003824GO:0008152</v>
          </cell>
        </row>
        <row r="5327">
          <cell r="A5327" t="str">
            <v>GRMZM2G155370</v>
          </cell>
          <cell r="B5327" t="str">
            <v>GO:0006334GO:0003677GO:0000786</v>
          </cell>
        </row>
        <row r="5328">
          <cell r="A5328" t="str">
            <v>GRMZM2G152891</v>
          </cell>
          <cell r="B5328" t="str">
            <v>GO:0005509</v>
          </cell>
        </row>
        <row r="5329">
          <cell r="A5329" t="str">
            <v>AC152495.1_FG002</v>
          </cell>
          <cell r="B5329" t="str">
            <v>GO:0006915GO:0005515GO:0005524</v>
          </cell>
        </row>
        <row r="5330">
          <cell r="A5330" t="str">
            <v>GRMZM2G076896</v>
          </cell>
          <cell r="B5330" t="str">
            <v>GO:0003700GO:0006355</v>
          </cell>
        </row>
        <row r="5331">
          <cell r="A5331" t="str">
            <v>GRMZM2G013652</v>
          </cell>
          <cell r="B5331" t="str">
            <v>GO:0006457GO:0005524</v>
          </cell>
        </row>
        <row r="5332">
          <cell r="A5332" t="str">
            <v>GRMZM2G085924</v>
          </cell>
          <cell r="B5332" t="str">
            <v>GO:0046983GO:0008171</v>
          </cell>
        </row>
        <row r="5333">
          <cell r="A5333" t="str">
            <v>GRMZM2G000739</v>
          </cell>
          <cell r="B5333" t="str">
            <v>GO:0006779GO:0008168GO:0016020GO:0005164GO:0006955</v>
          </cell>
        </row>
        <row r="5334">
          <cell r="A5334" t="str">
            <v>GRMZM2G363801</v>
          </cell>
          <cell r="B5334" t="str">
            <v>GO:0006259GO:0008094GO:0005524GO:0003677</v>
          </cell>
        </row>
        <row r="5335">
          <cell r="A5335" t="str">
            <v>GRMZM2G374475</v>
          </cell>
          <cell r="B5335" t="str">
            <v>GO:0006629GO:0016788</v>
          </cell>
        </row>
        <row r="5336">
          <cell r="A5336" t="str">
            <v>GRMZM2G011098</v>
          </cell>
          <cell r="B5336" t="str">
            <v>GO:0017089GO:0005737GO:0046836GO:0051861</v>
          </cell>
        </row>
        <row r="5337">
          <cell r="A5337" t="str">
            <v>GRMZM2G046186</v>
          </cell>
          <cell r="B5337" t="str">
            <v>GO:0051537</v>
          </cell>
        </row>
        <row r="5338">
          <cell r="A5338" t="str">
            <v>GRMZM2G022997</v>
          </cell>
          <cell r="B5338" t="str">
            <v>GO:0003993</v>
          </cell>
        </row>
        <row r="5339">
          <cell r="A5339" t="str">
            <v>GRMZM2G103897</v>
          </cell>
          <cell r="B5339" t="str">
            <v>GO:0003913GO:0006281</v>
          </cell>
        </row>
        <row r="5340">
          <cell r="A5340" t="str">
            <v>GRMZM2G365957</v>
          </cell>
          <cell r="B5340" t="str">
            <v>GO:0016773GO:0016021GO:0006810GO:0042626GO:0005524</v>
          </cell>
        </row>
        <row r="5341">
          <cell r="A5341" t="str">
            <v>GRMZM2G074790</v>
          </cell>
          <cell r="B5341" t="str">
            <v>GO:0005737GO:0006457GO:0005524GO:0005515</v>
          </cell>
        </row>
        <row r="5342">
          <cell r="A5342" t="str">
            <v>GRMZM2G458549</v>
          </cell>
          <cell r="B5342" t="str">
            <v>GO:0046835GO:0004335GO:0005737GO:0005524GO:0006012</v>
          </cell>
        </row>
        <row r="5343">
          <cell r="A5343" t="str">
            <v>GRMZM2G046503</v>
          </cell>
          <cell r="B5343" t="str">
            <v>GO:0004518GO:0003677GO:0006289</v>
          </cell>
        </row>
        <row r="5344">
          <cell r="A5344" t="str">
            <v>GRMZM2G310368</v>
          </cell>
          <cell r="B5344" t="str">
            <v>GO:0003700GO:0006355</v>
          </cell>
        </row>
        <row r="5345">
          <cell r="A5345" t="str">
            <v>GRMZM2G046055</v>
          </cell>
          <cell r="B5345" t="str">
            <v>GO:0006334GO:0003677GO:0005634GO:0000786</v>
          </cell>
        </row>
        <row r="5346">
          <cell r="A5346" t="str">
            <v>GRMZM2G020938</v>
          </cell>
          <cell r="B5346" t="str">
            <v>GO:0004674GO:0006468GO:0004713GO:0005524</v>
          </cell>
        </row>
        <row r="5347">
          <cell r="A5347" t="str">
            <v>GRMZM2G135044</v>
          </cell>
          <cell r="B5347" t="str">
            <v>GO:0016020GO:0008152GO:0016491</v>
          </cell>
        </row>
        <row r="5348">
          <cell r="A5348" t="str">
            <v>GRMZM2G117971</v>
          </cell>
          <cell r="B5348" t="str">
            <v>GO:0050832GO:0042742</v>
          </cell>
        </row>
        <row r="5349">
          <cell r="A5349" t="str">
            <v>GRMZM2G164945</v>
          </cell>
          <cell r="B5349" t="str">
            <v>GO:0004560GO:0005975</v>
          </cell>
        </row>
        <row r="5350">
          <cell r="A5350" t="str">
            <v>GRMZM2G064708</v>
          </cell>
          <cell r="B5350" t="str">
            <v>GO:0004190GO:0050826GO:0050825GO:0042309GO:0006508</v>
          </cell>
        </row>
        <row r="5351">
          <cell r="A5351" t="str">
            <v>GRMZM2G046297</v>
          </cell>
          <cell r="B5351" t="str">
            <v>GO:0004674GO:0006468GO:0004713GO:0005524</v>
          </cell>
        </row>
        <row r="5352">
          <cell r="A5352" t="str">
            <v>AC233935.1_FG005</v>
          </cell>
          <cell r="B5352" t="str">
            <v>GO:0045449GO:0008270GO:0003677</v>
          </cell>
        </row>
        <row r="5353">
          <cell r="A5353" t="str">
            <v>GRMZM2G049076</v>
          </cell>
          <cell r="B5353" t="str">
            <v>GO:0009058GO:0046524GO:0005985</v>
          </cell>
        </row>
        <row r="5354">
          <cell r="A5354" t="str">
            <v>GRMZM2G144109</v>
          </cell>
          <cell r="B5354" t="str">
            <v>GO:0003824</v>
          </cell>
        </row>
        <row r="5355">
          <cell r="A5355" t="str">
            <v>GRMZM2G059740</v>
          </cell>
          <cell r="B5355" t="str">
            <v>GO:0004674GO:0006468GO:0004713GO:0005524</v>
          </cell>
        </row>
        <row r="5356">
          <cell r="A5356" t="str">
            <v>GRMZM2G036448</v>
          </cell>
          <cell r="B5356" t="str">
            <v>GO:0006865GO:0007186GO:0016021GO:0017153GO:0006835</v>
          </cell>
        </row>
        <row r="5357">
          <cell r="A5357" t="str">
            <v>GRMZM2G051619</v>
          </cell>
          <cell r="B5357" t="str">
            <v>GO:0005506GO:0050826GO:0050825GO:0042309GO:0016491</v>
          </cell>
        </row>
        <row r="5358">
          <cell r="A5358" t="str">
            <v>GRMZM2G128248</v>
          </cell>
          <cell r="B5358" t="str">
            <v>GO:0006457GO:0051082</v>
          </cell>
        </row>
        <row r="5359">
          <cell r="A5359" t="str">
            <v>GRMZM2G002178</v>
          </cell>
          <cell r="B5359" t="str">
            <v>GO:0004497GO:0020037GO:0009055</v>
          </cell>
        </row>
        <row r="5360">
          <cell r="A5360" t="str">
            <v>GRMZM2G013324</v>
          </cell>
          <cell r="B5360" t="str">
            <v>GO:0006071GO:0006629GO:0008889</v>
          </cell>
        </row>
        <row r="5361">
          <cell r="A5361" t="str">
            <v>GRMZM2G159908</v>
          </cell>
          <cell r="B5361" t="str">
            <v>GO:0004674GO:0006468GO:0004713GO:0005524</v>
          </cell>
        </row>
        <row r="5362">
          <cell r="A5362" t="str">
            <v>GRMZM2G012140</v>
          </cell>
          <cell r="B5362" t="str">
            <v>GO:0005975GO:0004553</v>
          </cell>
        </row>
        <row r="5363">
          <cell r="A5363" t="str">
            <v>GRMZM2G042758</v>
          </cell>
          <cell r="B5363" t="str">
            <v>GO:0016887GO:0006629GO:0016788GO:0005524</v>
          </cell>
        </row>
        <row r="5364">
          <cell r="A5364" t="str">
            <v>GRMZM2G045404</v>
          </cell>
          <cell r="B5364" t="str">
            <v>GO:0006470GO:0004725GO:0008138</v>
          </cell>
        </row>
        <row r="5365">
          <cell r="A5365" t="str">
            <v>GRMZM2G081957</v>
          </cell>
          <cell r="B5365" t="str">
            <v>GO:0006468GO:0004674GO:0030001GO:0004713GO:0046872GO:0005524</v>
          </cell>
        </row>
        <row r="5366">
          <cell r="A5366" t="str">
            <v>GRMZM2G373849</v>
          </cell>
          <cell r="B5366" t="str">
            <v>GO:0019538GO:0005515</v>
          </cell>
        </row>
        <row r="5367">
          <cell r="A5367" t="str">
            <v>GRMZM2G177947</v>
          </cell>
          <cell r="B5367" t="str">
            <v>GO:0004743GO:0000287GO:0006096GO:0030955</v>
          </cell>
        </row>
        <row r="5368">
          <cell r="A5368" t="str">
            <v>AC210669.3_FG001</v>
          </cell>
          <cell r="B5368" t="str">
            <v>GO:0005618GO:0048046GO:0016762GO:0006073GO:0004553</v>
          </cell>
        </row>
        <row r="5369">
          <cell r="A5369" t="str">
            <v>GRMZM2G135132</v>
          </cell>
          <cell r="B5369" t="str">
            <v>GO:0005945GO:0004001GO:0006166GO:0006014GO:0003872GO:0006096GO:0004747</v>
          </cell>
        </row>
        <row r="5370">
          <cell r="A5370" t="str">
            <v>GRMZM2G177412</v>
          </cell>
          <cell r="B5370" t="str">
            <v>GO:0005737GO:0050661GO:0004764GO:0008883GO:0033014GO:0050825GO:0042309GO:0050826</v>
          </cell>
        </row>
        <row r="5371">
          <cell r="A5371" t="str">
            <v>GRMZM2G069722</v>
          </cell>
          <cell r="B5371" t="str">
            <v>GO:0004497GO:0020037GO:0009055</v>
          </cell>
        </row>
        <row r="5372">
          <cell r="A5372" t="str">
            <v>GRMZM2G090432</v>
          </cell>
          <cell r="B5372" t="str">
            <v>GO:0004497GO:0020037GO:0009055</v>
          </cell>
        </row>
        <row r="5373">
          <cell r="A5373" t="str">
            <v>GRMZM2G317386</v>
          </cell>
          <cell r="B5373" t="str">
            <v>GO:0006508GO:0004222GO:0005578</v>
          </cell>
        </row>
        <row r="5374">
          <cell r="A5374" t="str">
            <v>GRMZM2G151726</v>
          </cell>
          <cell r="B5374" t="str">
            <v>GO:0043565GO:0006334GO:0005634GO:0000786</v>
          </cell>
        </row>
        <row r="5375">
          <cell r="A5375" t="str">
            <v>GRMZM2G129209</v>
          </cell>
          <cell r="B5375" t="str">
            <v>GO:0006629GO:0016491</v>
          </cell>
        </row>
        <row r="5376">
          <cell r="A5376" t="str">
            <v>GRMZM2G134398</v>
          </cell>
          <cell r="B5376" t="str">
            <v>GO:0006355GO:0003723</v>
          </cell>
        </row>
        <row r="5377">
          <cell r="A5377" t="str">
            <v>GRMZM2G124365</v>
          </cell>
          <cell r="B5377" t="str">
            <v>GO:0004106GO:0009073</v>
          </cell>
        </row>
        <row r="5378">
          <cell r="A5378" t="str">
            <v>GRMZM2G167613</v>
          </cell>
          <cell r="B5378" t="str">
            <v>GO:0008270GO:0055114GO:0016491</v>
          </cell>
        </row>
        <row r="5379">
          <cell r="A5379" t="str">
            <v>GRMZM2G170812</v>
          </cell>
          <cell r="B5379" t="str">
            <v>GO:0003824GO:0044237GO:0050662</v>
          </cell>
        </row>
        <row r="5380">
          <cell r="A5380" t="str">
            <v>GRMZM2G145075</v>
          </cell>
          <cell r="B5380" t="str">
            <v>GO:0004674GO:0006468GO:0004713GO:0005524GO:0005509</v>
          </cell>
        </row>
        <row r="5381">
          <cell r="A5381" t="str">
            <v>GRMZM2G140799</v>
          </cell>
          <cell r="B5381" t="str">
            <v>GO:0003735GO:0042254GO:0006412GO:0005840</v>
          </cell>
        </row>
        <row r="5382">
          <cell r="A5382" t="str">
            <v>GRMZM2G075974</v>
          </cell>
          <cell r="B5382" t="str">
            <v>GO:0006541GO:0003824GO:0009058GO:0050825GO:0042309GO:0050826</v>
          </cell>
        </row>
        <row r="5383">
          <cell r="A5383" t="str">
            <v>GRMZM2G301908</v>
          </cell>
          <cell r="B5383" t="str">
            <v>GO:0005634GO:0003677GO:0006355GO:0050825GO:0042309GO:0050826GO:0004879</v>
          </cell>
        </row>
        <row r="5384">
          <cell r="A5384" t="str">
            <v>GRMZM2G058149</v>
          </cell>
          <cell r="B5384" t="str">
            <v>GO:0004806GO:0006629</v>
          </cell>
        </row>
        <row r="5385">
          <cell r="A5385" t="str">
            <v>GRMZM2G048851</v>
          </cell>
          <cell r="B5385" t="str">
            <v>GO:0005488</v>
          </cell>
        </row>
        <row r="5386">
          <cell r="A5386" t="str">
            <v>GRMZM2G127328</v>
          </cell>
          <cell r="B5386" t="str">
            <v>GO:0016020GO:0006865</v>
          </cell>
        </row>
        <row r="5387">
          <cell r="A5387" t="str">
            <v>GRMZM2G077851</v>
          </cell>
          <cell r="B5387" t="str">
            <v>GO:0004415GO:0006952GO:0003735GO:0006412GO:0005840</v>
          </cell>
        </row>
        <row r="5388">
          <cell r="A5388" t="str">
            <v>GRMZM2G091540</v>
          </cell>
          <cell r="B5388" t="str">
            <v>GO:0006508GO:0046983GO:0016020GO:0051260GO:0008237</v>
          </cell>
        </row>
        <row r="5389">
          <cell r="A5389" t="str">
            <v>GRMZM2G049675</v>
          </cell>
          <cell r="B5389" t="str">
            <v>GO:0016787GO:0008152</v>
          </cell>
        </row>
        <row r="5390">
          <cell r="A5390" t="str">
            <v>GRMZM2G361652</v>
          </cell>
          <cell r="B5390" t="str">
            <v>GO:0006857GO:0005215GO:0016020</v>
          </cell>
        </row>
        <row r="5391">
          <cell r="A5391" t="str">
            <v>GRMZM2G091233</v>
          </cell>
          <cell r="B5391" t="str">
            <v>GO:0007242</v>
          </cell>
        </row>
        <row r="5392">
          <cell r="A5392" t="str">
            <v>GRMZM2G340749</v>
          </cell>
          <cell r="B5392" t="str">
            <v>GO:0045449GO:0005634GO:0016020GO:0005096GO:0030528</v>
          </cell>
        </row>
        <row r="5393">
          <cell r="A5393" t="str">
            <v>GRMZM2G010962</v>
          </cell>
          <cell r="B5393" t="str">
            <v>GO:0005529GO:0048544</v>
          </cell>
        </row>
        <row r="5394">
          <cell r="A5394" t="str">
            <v>GRMZM2G027462</v>
          </cell>
          <cell r="B5394" t="str">
            <v>GO:0003725GO:0005622</v>
          </cell>
        </row>
        <row r="5395">
          <cell r="A5395" t="str">
            <v>GRMZM2G082959</v>
          </cell>
          <cell r="B5395" t="str">
            <v>GO:0016787GO:0008152</v>
          </cell>
        </row>
        <row r="5396">
          <cell r="A5396" t="str">
            <v>GRMZM2G442387</v>
          </cell>
          <cell r="B5396" t="str">
            <v>GO:0005488</v>
          </cell>
        </row>
        <row r="5397">
          <cell r="A5397" t="str">
            <v>GRMZM2G023748</v>
          </cell>
          <cell r="B5397" t="str">
            <v>GO:0003723GO:0006396</v>
          </cell>
        </row>
        <row r="5398">
          <cell r="A5398" t="str">
            <v>GRMZM2G347280</v>
          </cell>
          <cell r="B5398" t="str">
            <v>GO:0003824GO:0005992</v>
          </cell>
        </row>
        <row r="5399">
          <cell r="A5399" t="str">
            <v>GRMZM2G324999</v>
          </cell>
          <cell r="B5399" t="str">
            <v>GO:0003700GO:0043565GO:0005634GO:0045449</v>
          </cell>
        </row>
        <row r="5400">
          <cell r="A5400" t="str">
            <v>GRMZM2G165619</v>
          </cell>
          <cell r="B5400" t="str">
            <v>GO:0003735GO:0006412GO:0005840</v>
          </cell>
        </row>
        <row r="5401">
          <cell r="A5401" t="str">
            <v>AC190609.3_FG002</v>
          </cell>
          <cell r="B5401" t="str">
            <v>GO:0003735GO:0006412GO:0005840</v>
          </cell>
        </row>
        <row r="5402">
          <cell r="A5402" t="str">
            <v>AC190609.3_FG003</v>
          </cell>
          <cell r="B5402" t="str">
            <v>GO:0003735GO:0006412GO:0005840</v>
          </cell>
        </row>
        <row r="5403">
          <cell r="A5403" t="str">
            <v>GRMZM2G160069</v>
          </cell>
          <cell r="B5403" t="str">
            <v>GO:0016021GO:0017153GO:0006835GO:0055085</v>
          </cell>
        </row>
        <row r="5404">
          <cell r="A5404" t="str">
            <v>GRMZM2G378770</v>
          </cell>
          <cell r="B5404" t="str">
            <v>GO:0003735GO:0006414GO:0005840</v>
          </cell>
        </row>
        <row r="5405">
          <cell r="A5405" t="str">
            <v>GRMZM2G049693</v>
          </cell>
          <cell r="B5405" t="str">
            <v>GO:0005507GO:0016491</v>
          </cell>
        </row>
        <row r="5406">
          <cell r="A5406" t="str">
            <v>GRMZM2G321033</v>
          </cell>
          <cell r="B5406" t="str">
            <v>GO:0004497GO:0020037GO:0009055</v>
          </cell>
        </row>
        <row r="5407">
          <cell r="A5407" t="str">
            <v>GRMZM2G308752</v>
          </cell>
          <cell r="B5407" t="str">
            <v>GO:0004674GO:0006468GO:0004713GO:0005524GO:0007165</v>
          </cell>
        </row>
        <row r="5408">
          <cell r="A5408" t="str">
            <v>GRMZM2G005347</v>
          </cell>
          <cell r="B5408" t="str">
            <v>GO:0007017GO:0006915GO:0017111GO:0005874GO:0005524GO:0005525</v>
          </cell>
        </row>
        <row r="5409">
          <cell r="A5409" t="str">
            <v>GRMZM2G412986</v>
          </cell>
          <cell r="B5409" t="str">
            <v>GO:0016757</v>
          </cell>
        </row>
        <row r="5410">
          <cell r="A5410" t="str">
            <v>GRMZM2G110908</v>
          </cell>
          <cell r="B5410" t="str">
            <v>GO:0004674GO:0006468GO:0004713GO:0005524</v>
          </cell>
        </row>
        <row r="5411">
          <cell r="A5411" t="str">
            <v>GRMZM2G028665</v>
          </cell>
          <cell r="B5411" t="str">
            <v>GO:0004518GO:0003677GO:0006289</v>
          </cell>
        </row>
        <row r="5412">
          <cell r="A5412" t="str">
            <v>GRMZM2G026203</v>
          </cell>
          <cell r="B5412" t="str">
            <v>GO:0004674GO:0006468GO:0004713GO:0005524</v>
          </cell>
        </row>
        <row r="5413">
          <cell r="A5413" t="str">
            <v>GRMZM2G048611</v>
          </cell>
          <cell r="B5413" t="str">
            <v>GO:0031072GO:0006457GO:0051082</v>
          </cell>
        </row>
        <row r="5414">
          <cell r="A5414" t="str">
            <v>GRMZM2G063162</v>
          </cell>
          <cell r="B5414" t="str">
            <v>GO:0006915GO:0005515</v>
          </cell>
        </row>
        <row r="5415">
          <cell r="A5415" t="str">
            <v>GRMZM2G137558</v>
          </cell>
          <cell r="B5415" t="str">
            <v>GO:0016773</v>
          </cell>
        </row>
        <row r="5416">
          <cell r="A5416" t="str">
            <v>GRMZM2G157369</v>
          </cell>
          <cell r="B5416" t="str">
            <v>GO:0004674GO:0006468GO:0005524</v>
          </cell>
        </row>
        <row r="5417">
          <cell r="A5417" t="str">
            <v>GRMZM2G054936</v>
          </cell>
          <cell r="B5417" t="str">
            <v>GO:0004437</v>
          </cell>
        </row>
        <row r="5418">
          <cell r="A5418" t="str">
            <v>GRMZM2G096470</v>
          </cell>
          <cell r="B5418" t="str">
            <v>GO:0032313GO:0005097GO:0005622</v>
          </cell>
        </row>
        <row r="5419">
          <cell r="A5419" t="str">
            <v>GRMZM2G022180</v>
          </cell>
          <cell r="B5419" t="str">
            <v>GO:0006457GO:0005509GO:0051082GO:0005783</v>
          </cell>
        </row>
        <row r="5420">
          <cell r="A5420" t="str">
            <v>GRMZM2G032694</v>
          </cell>
          <cell r="B5420" t="str">
            <v>GO:0004674GO:0006468GO:0004713GO:0005524</v>
          </cell>
        </row>
        <row r="5421">
          <cell r="A5421" t="str">
            <v>GRMZM2G468479</v>
          </cell>
          <cell r="B5421" t="str">
            <v>GO:0003677</v>
          </cell>
        </row>
        <row r="5422">
          <cell r="A5422" t="str">
            <v>GRMZM2G059037</v>
          </cell>
          <cell r="B5422" t="str">
            <v>GO:0000228</v>
          </cell>
        </row>
        <row r="5423">
          <cell r="A5423" t="str">
            <v>GRMZM2G107886</v>
          </cell>
          <cell r="B5423" t="str">
            <v>GO:0008270GO:0005622</v>
          </cell>
        </row>
        <row r="5424">
          <cell r="A5424" t="str">
            <v>GRMZM2G379773</v>
          </cell>
          <cell r="B5424" t="str">
            <v>GO:0006629GO:0016788</v>
          </cell>
        </row>
        <row r="5425">
          <cell r="A5425" t="str">
            <v>GRMZM2G399136</v>
          </cell>
          <cell r="B5425" t="str">
            <v>GO:0031072GO:0006457GO:0051082</v>
          </cell>
        </row>
        <row r="5426">
          <cell r="A5426" t="str">
            <v>GRMZM2G092823</v>
          </cell>
          <cell r="B5426" t="str">
            <v>GO:0004497GO:0020037GO:0009055</v>
          </cell>
        </row>
        <row r="5427">
          <cell r="A5427" t="str">
            <v>GRMZM2G168476</v>
          </cell>
          <cell r="B5427" t="str">
            <v>GO:0008270GO:0005515</v>
          </cell>
        </row>
        <row r="5428">
          <cell r="A5428" t="str">
            <v>GRMZM2G172330</v>
          </cell>
          <cell r="B5428" t="str">
            <v>GO:0004674GO:0006468GO:0005524GO:0005515GO:0004713</v>
          </cell>
        </row>
        <row r="5429">
          <cell r="A5429" t="str">
            <v>GRMZM2G174799</v>
          </cell>
          <cell r="B5429" t="str">
            <v>GO:0006355GO:0005634GO:0004879GO:0003677</v>
          </cell>
        </row>
        <row r="5430">
          <cell r="A5430" t="str">
            <v>GRMZM2G099305</v>
          </cell>
          <cell r="B5430" t="str">
            <v>GO:0008080GO:0008152</v>
          </cell>
        </row>
        <row r="5431">
          <cell r="A5431" t="str">
            <v>GRMZM2G100225</v>
          </cell>
          <cell r="B5431" t="str">
            <v>GO:0003735GO:0015934GO:0006412GO:0030528</v>
          </cell>
        </row>
        <row r="5432">
          <cell r="A5432" t="str">
            <v>GRMZM2G318652</v>
          </cell>
          <cell r="B5432" t="str">
            <v>GO:0050825GO:0042309GO:0050826</v>
          </cell>
        </row>
        <row r="5433">
          <cell r="A5433" t="str">
            <v>GRMZM2G168149</v>
          </cell>
          <cell r="B5433" t="str">
            <v>GO:0003735GO:0015935GO:0006412GO:0003723</v>
          </cell>
        </row>
        <row r="5434">
          <cell r="A5434" t="str">
            <v>GRMZM2G152111</v>
          </cell>
          <cell r="B5434" t="str">
            <v>GO:0003723</v>
          </cell>
        </row>
        <row r="5435">
          <cell r="A5435" t="str">
            <v>GRMZM2G088951</v>
          </cell>
          <cell r="B5435" t="str">
            <v>GO:0005975GO:0004553</v>
          </cell>
        </row>
        <row r="5436">
          <cell r="A5436" t="str">
            <v>GRMZM2G087254</v>
          </cell>
          <cell r="B5436" t="str">
            <v>GO:0019419GO:0045454GO:0016671GO:0016740</v>
          </cell>
        </row>
        <row r="5437">
          <cell r="A5437" t="str">
            <v>GRMZM2G009940</v>
          </cell>
          <cell r="B5437" t="str">
            <v>GO:0009239GO:0005488GO:0008667</v>
          </cell>
        </row>
        <row r="5438">
          <cell r="A5438" t="str">
            <v>AC225147.4_FG002</v>
          </cell>
          <cell r="B5438" t="str">
            <v>GO:0003735GO:0006412GO:0015935</v>
          </cell>
        </row>
        <row r="5439">
          <cell r="A5439" t="str">
            <v>GRMZM2G138349</v>
          </cell>
          <cell r="B5439" t="str">
            <v>GO:0032312GO:0008060GO:0008270</v>
          </cell>
        </row>
        <row r="5440">
          <cell r="A5440" t="str">
            <v>GRMZM2G014276</v>
          </cell>
          <cell r="B5440" t="str">
            <v>GO:0032040GO:0006364</v>
          </cell>
        </row>
        <row r="5441">
          <cell r="A5441" t="str">
            <v>GRMZM2G018770</v>
          </cell>
          <cell r="B5441" t="str">
            <v>GO:0003735GO:0006412GO:0005840</v>
          </cell>
        </row>
        <row r="5442">
          <cell r="A5442" t="str">
            <v>GRMZM2G018716</v>
          </cell>
          <cell r="B5442" t="str">
            <v>GO:0006508GO:0005975GO:0004252GO:0004553</v>
          </cell>
        </row>
        <row r="5443">
          <cell r="A5443" t="str">
            <v>GRMZM2G066067</v>
          </cell>
          <cell r="B5443" t="str">
            <v>GO:0016758GO:0008152</v>
          </cell>
        </row>
        <row r="5444">
          <cell r="A5444" t="str">
            <v>GRMZM2G476049</v>
          </cell>
          <cell r="B5444" t="str">
            <v>GO:0016758GO:0003840GO:0008152</v>
          </cell>
        </row>
        <row r="5445">
          <cell r="A5445" t="str">
            <v>GRMZM2G053977</v>
          </cell>
          <cell r="B5445" t="str">
            <v>GO:0009239GO:0005488GO:0008667</v>
          </cell>
        </row>
        <row r="5446">
          <cell r="A5446" t="str">
            <v>GRMZM2G137151</v>
          </cell>
          <cell r="B5446" t="str">
            <v>GO:0008661GO:0016114</v>
          </cell>
        </row>
        <row r="5447">
          <cell r="A5447" t="str">
            <v>GRMZM2G139900</v>
          </cell>
          <cell r="B5447" t="str">
            <v>GO:0003735GO:0006412GO:0005840</v>
          </cell>
        </row>
        <row r="5448">
          <cell r="A5448" t="str">
            <v>GRMZM2G069215</v>
          </cell>
          <cell r="B5448" t="str">
            <v>GO:0016567GO:0004842GO:0008270GO:0005515GO:0000151</v>
          </cell>
        </row>
        <row r="5449">
          <cell r="A5449" t="str">
            <v>GRMZM2G460860</v>
          </cell>
          <cell r="B5449" t="str">
            <v>GO:0006355GO:0005634GO:0004879GO:0003677</v>
          </cell>
        </row>
        <row r="5450">
          <cell r="A5450" t="str">
            <v>GRMZM2G160710</v>
          </cell>
          <cell r="B5450" t="str">
            <v>GO:0046872GO:0030001</v>
          </cell>
        </row>
        <row r="5451">
          <cell r="A5451" t="str">
            <v>GRMZM2G061487</v>
          </cell>
          <cell r="B5451" t="str">
            <v>GO:0005856GO:0003700GO:0005634GO:0007160GO:0006355GO:0004879</v>
          </cell>
        </row>
        <row r="5452">
          <cell r="A5452" t="str">
            <v>GRMZM2G104325</v>
          </cell>
          <cell r="B5452" t="str">
            <v>GO:0006812GO:0016021GO:0006754GO:0015662GO:0005524</v>
          </cell>
        </row>
        <row r="5453">
          <cell r="A5453" t="str">
            <v>GRMZM2G090594</v>
          </cell>
          <cell r="B5453" t="str">
            <v>GO:0003700GO:0043565GO:0005634GO:0045449</v>
          </cell>
        </row>
        <row r="5454">
          <cell r="A5454" t="str">
            <v>GRMZM2G018793</v>
          </cell>
          <cell r="B5454" t="str">
            <v>GO:0003824</v>
          </cell>
        </row>
        <row r="5455">
          <cell r="A5455" t="str">
            <v>GRMZM2G025356</v>
          </cell>
          <cell r="B5455" t="str">
            <v>GO:0003899GO:0046983GO:0006350GO:0005634GO:0003677</v>
          </cell>
        </row>
        <row r="5456">
          <cell r="A5456" t="str">
            <v>GRMZM2G166719</v>
          </cell>
          <cell r="B5456" t="str">
            <v>GO:0004674GO:0006468GO:0004713GO:0005524</v>
          </cell>
        </row>
        <row r="5457">
          <cell r="A5457" t="str">
            <v>GRMZM2G347766</v>
          </cell>
          <cell r="B5457" t="str">
            <v>GO:0016491</v>
          </cell>
        </row>
        <row r="5458">
          <cell r="A5458" t="str">
            <v>GRMZM2G347767</v>
          </cell>
          <cell r="B5458" t="str">
            <v>GO:0003824GO:0016564GO:0006808GO:0005488</v>
          </cell>
        </row>
        <row r="5459">
          <cell r="A5459" t="str">
            <v>GRMZM2G044027</v>
          </cell>
          <cell r="B5459" t="str">
            <v>GO:0016857GO:0050662GO:0006694GO:0003854GO:0045226GO:0008831</v>
          </cell>
        </row>
        <row r="5460">
          <cell r="A5460" t="str">
            <v>GRMZM2G044752</v>
          </cell>
          <cell r="B5460" t="str">
            <v>GO:0003700GO:0006355GO:0005634GO:0043565</v>
          </cell>
        </row>
        <row r="5461">
          <cell r="A5461" t="str">
            <v>GRMZM2G390076</v>
          </cell>
          <cell r="B5461" t="str">
            <v>GO:0016787</v>
          </cell>
        </row>
        <row r="5462">
          <cell r="A5462" t="str">
            <v>GRMZM2G322661</v>
          </cell>
          <cell r="B5462" t="str">
            <v>GO:0003899GO:0008408GO:0003677GO:0006350GO:0005622</v>
          </cell>
        </row>
        <row r="5463">
          <cell r="A5463" t="str">
            <v>GRMZM2G024354</v>
          </cell>
          <cell r="B5463" t="str">
            <v>GO:0003735GO:0006412GO:0005840</v>
          </cell>
        </row>
        <row r="5464">
          <cell r="A5464" t="str">
            <v>GRMZM2G161285</v>
          </cell>
          <cell r="B5464" t="str">
            <v>GO:0005634GO:0042254</v>
          </cell>
        </row>
        <row r="5465">
          <cell r="A5465" t="str">
            <v>GRMZM2G142409</v>
          </cell>
          <cell r="B5465" t="str">
            <v>GO:0005783</v>
          </cell>
        </row>
        <row r="5466">
          <cell r="A5466" t="str">
            <v>AC205703.4_FG002</v>
          </cell>
          <cell r="B5466" t="str">
            <v>GO:0005515</v>
          </cell>
        </row>
        <row r="5467">
          <cell r="A5467" t="str">
            <v>GRMZM2G020320</v>
          </cell>
          <cell r="B5467" t="str">
            <v>GO:0008415GO:0008152</v>
          </cell>
        </row>
        <row r="5468">
          <cell r="A5468" t="str">
            <v>GRMZM2G114861</v>
          </cell>
          <cell r="B5468" t="str">
            <v>GO:0007018GO:0003777GO:0005524GO:0005875</v>
          </cell>
        </row>
        <row r="5469">
          <cell r="A5469" t="str">
            <v>GRMZM2G173321</v>
          </cell>
          <cell r="B5469" t="str">
            <v>GO:0006355GO:0003677</v>
          </cell>
        </row>
        <row r="5470">
          <cell r="A5470" t="str">
            <v>GRMZM2G047139</v>
          </cell>
          <cell r="B5470" t="str">
            <v>GO:0006629GO:0016788</v>
          </cell>
        </row>
        <row r="5471">
          <cell r="A5471" t="str">
            <v>GRMZM2G057674</v>
          </cell>
          <cell r="B5471" t="str">
            <v>GO:0006508GO:0004177</v>
          </cell>
        </row>
        <row r="5472">
          <cell r="A5472" t="str">
            <v>GRMZM2G080107</v>
          </cell>
          <cell r="B5472" t="str">
            <v>GO:0009522GO:0042651GO:0016021GO:0004969GO:0005515GO:0007186GO:0015979</v>
          </cell>
        </row>
        <row r="5473">
          <cell r="A5473" t="str">
            <v>GRMZM2G122231</v>
          </cell>
          <cell r="B5473" t="str">
            <v>GO:0005737GO:0004812GO:0005992GO:0005524GO:0006418</v>
          </cell>
        </row>
        <row r="5474">
          <cell r="A5474" t="str">
            <v>GRMZM2G053574</v>
          </cell>
          <cell r="B5474" t="str">
            <v>GO:0006511GO:0008270GO:0005622</v>
          </cell>
        </row>
        <row r="5475">
          <cell r="A5475" t="str">
            <v>GRMZM2G305007</v>
          </cell>
          <cell r="B5475" t="str">
            <v>GO:0004674GO:0006468GO:0005524</v>
          </cell>
        </row>
        <row r="5476">
          <cell r="A5476" t="str">
            <v>GRMZM2G044629</v>
          </cell>
          <cell r="B5476" t="str">
            <v>GO:0016779GO:0008152</v>
          </cell>
        </row>
        <row r="5477">
          <cell r="A5477" t="str">
            <v>GRMZM2G076263</v>
          </cell>
          <cell r="B5477" t="str">
            <v>GO:0003735GO:0006412GO:0005840</v>
          </cell>
        </row>
        <row r="5478">
          <cell r="A5478" t="str">
            <v>GRMZM2G030688</v>
          </cell>
          <cell r="B5478" t="str">
            <v>GO:0050825GO:0042309GO:0050826</v>
          </cell>
        </row>
        <row r="5479">
          <cell r="A5479" t="str">
            <v>GRMZM2G001850</v>
          </cell>
          <cell r="B5479" t="str">
            <v>GO:0003676</v>
          </cell>
        </row>
        <row r="5480">
          <cell r="A5480" t="str">
            <v>GRMZM2G132811</v>
          </cell>
          <cell r="B5480" t="str">
            <v>GO:0003755</v>
          </cell>
        </row>
        <row r="5481">
          <cell r="A5481" t="str">
            <v>GRMZM2G149768</v>
          </cell>
          <cell r="B5481" t="str">
            <v>GO:0005737GO:0003746GO:0006414GO:0003924GO:0005525</v>
          </cell>
        </row>
        <row r="5482">
          <cell r="A5482" t="str">
            <v>GRMZM2G029323</v>
          </cell>
          <cell r="B5482" t="str">
            <v>GO:0003700GO:0006355</v>
          </cell>
        </row>
        <row r="5483">
          <cell r="A5483" t="str">
            <v>GRMZM2G101664</v>
          </cell>
          <cell r="B5483" t="str">
            <v>GO:0008270GO:0005622</v>
          </cell>
        </row>
        <row r="5484">
          <cell r="A5484" t="str">
            <v>GRMZM2G085939</v>
          </cell>
          <cell r="B5484" t="str">
            <v>GO:0004806GO:0016042</v>
          </cell>
        </row>
        <row r="5485">
          <cell r="A5485" t="str">
            <v>GRMZM2G076885</v>
          </cell>
          <cell r="B5485" t="str">
            <v>GO:0005737GO:0050661GO:0051287GO:0009088GO:0046983GO:0009086GO:0004073</v>
          </cell>
        </row>
        <row r="5486">
          <cell r="A5486" t="str">
            <v>GRMZM2G057450</v>
          </cell>
          <cell r="B5486" t="str">
            <v>GO:0005634GO:0003723GO:0006397</v>
          </cell>
        </row>
        <row r="5487">
          <cell r="A5487" t="str">
            <v>GRMZM2G085932</v>
          </cell>
          <cell r="B5487" t="str">
            <v>GO:0005759</v>
          </cell>
        </row>
        <row r="5488">
          <cell r="A5488" t="str">
            <v>GRMZM2G050481</v>
          </cell>
          <cell r="B5488" t="str">
            <v>GO:0008152</v>
          </cell>
        </row>
        <row r="5489">
          <cell r="A5489" t="str">
            <v>GRMZM2G002555</v>
          </cell>
          <cell r="B5489" t="str">
            <v>GO:0004674GO:0006468GO:0004713GO:0005524</v>
          </cell>
        </row>
        <row r="5490">
          <cell r="A5490" t="str">
            <v>GRMZM2G043150</v>
          </cell>
          <cell r="B5490" t="str">
            <v>GO:0006813GO:0016021GO:0003723GO:0005249</v>
          </cell>
        </row>
        <row r="5491">
          <cell r="A5491" t="str">
            <v>GRMZM2G159134</v>
          </cell>
          <cell r="B5491" t="str">
            <v>GO:0003700GO:0006355GO:0046983GO:0005634GO:0043565</v>
          </cell>
        </row>
        <row r="5492">
          <cell r="A5492" t="str">
            <v>GRMZM2G159643</v>
          </cell>
          <cell r="B5492" t="str">
            <v>GO:0016491GO:0016481GO:0010181</v>
          </cell>
        </row>
        <row r="5493">
          <cell r="A5493" t="str">
            <v>GRMZM2G148904</v>
          </cell>
          <cell r="B5493" t="str">
            <v>GO:0008168GO:0008152</v>
          </cell>
        </row>
        <row r="5494">
          <cell r="A5494" t="str">
            <v>GRMZM2G118345</v>
          </cell>
          <cell r="B5494" t="str">
            <v>GO:0005737GO:0009058GO:0016841GO:0016211GO:0006559</v>
          </cell>
        </row>
        <row r="5495">
          <cell r="A5495" t="str">
            <v>GRMZM2G148908</v>
          </cell>
          <cell r="B5495" t="str">
            <v>GO:0008270GO:0005515</v>
          </cell>
        </row>
        <row r="5496">
          <cell r="A5496" t="str">
            <v>GRMZM2G044247</v>
          </cell>
          <cell r="B5496" t="str">
            <v>GO:0005737GO:0009089GO:0005488GO:0008839</v>
          </cell>
        </row>
        <row r="5497">
          <cell r="A5497" t="str">
            <v>GRMZM2G085117</v>
          </cell>
          <cell r="B5497" t="str">
            <v>GO:0006571GO:0004665GO:0005488</v>
          </cell>
        </row>
        <row r="5498">
          <cell r="A5498" t="str">
            <v>GRMZM2G113065</v>
          </cell>
          <cell r="B5498" t="str">
            <v>GO:0006355GO:0005634GO:0004879GO:0003677</v>
          </cell>
        </row>
        <row r="5499">
          <cell r="A5499" t="str">
            <v>GRMZM2G035017</v>
          </cell>
          <cell r="B5499" t="str">
            <v>GO:0003735GO:0005840GO:0006412GO:0003723</v>
          </cell>
        </row>
        <row r="5500">
          <cell r="A5500" t="str">
            <v>GRMZM2G090086</v>
          </cell>
          <cell r="B5500" t="str">
            <v>GO:0016020GO:0017038GO:0005524GO:0006605</v>
          </cell>
        </row>
        <row r="5501">
          <cell r="A5501" t="str">
            <v>GRMZM2G090087</v>
          </cell>
          <cell r="B5501" t="str">
            <v>GO:0008152GO:0005524GO:0016491</v>
          </cell>
        </row>
        <row r="5502">
          <cell r="A5502" t="str">
            <v>GRMZM2G166971</v>
          </cell>
          <cell r="B5502" t="str">
            <v>GO:0050825GO:0042309GO:0050826</v>
          </cell>
        </row>
        <row r="5503">
          <cell r="A5503" t="str">
            <v>GRMZM2G135385</v>
          </cell>
          <cell r="B5503" t="str">
            <v>GO:0020037</v>
          </cell>
        </row>
        <row r="5504">
          <cell r="A5504" t="str">
            <v>GRMZM2G128434</v>
          </cell>
          <cell r="B5504" t="str">
            <v>GO:0017111GO:0000166</v>
          </cell>
        </row>
        <row r="5505">
          <cell r="A5505" t="str">
            <v>GRMZM2G159353</v>
          </cell>
          <cell r="B5505" t="str">
            <v>GO:0004497GO:0020037GO:0009055</v>
          </cell>
        </row>
        <row r="5506">
          <cell r="A5506" t="str">
            <v>GRMZM2G059637</v>
          </cell>
          <cell r="B5506" t="str">
            <v>GO:0008415GO:0008152</v>
          </cell>
        </row>
        <row r="5507">
          <cell r="A5507" t="str">
            <v>GRMZM2G028129</v>
          </cell>
          <cell r="B5507" t="str">
            <v>GO:0017111GO:0005524</v>
          </cell>
        </row>
        <row r="5508">
          <cell r="A5508" t="str">
            <v>GRMZM2G071042</v>
          </cell>
          <cell r="B5508" t="str">
            <v>GO:0008270GO:0003677</v>
          </cell>
        </row>
        <row r="5509">
          <cell r="A5509" t="str">
            <v>GRMZM2G334336</v>
          </cell>
          <cell r="B5509" t="str">
            <v>GO:0016758GO:0008152</v>
          </cell>
        </row>
        <row r="5510">
          <cell r="A5510" t="str">
            <v>GRMZM2G148744</v>
          </cell>
          <cell r="B5510" t="str">
            <v>GO:0003735GO:0015934GO:0006412</v>
          </cell>
        </row>
        <row r="5511">
          <cell r="A5511" t="str">
            <v>GRMZM2G127141</v>
          </cell>
          <cell r="B5511" t="str">
            <v>GO:0004707GO:0006468GO:0004713GO:0005524</v>
          </cell>
        </row>
        <row r="5512">
          <cell r="A5512" t="str">
            <v>GRMZM2G127147</v>
          </cell>
          <cell r="B5512" t="str">
            <v>GO:0006468GO:0005524GO:0004672</v>
          </cell>
        </row>
        <row r="5513">
          <cell r="A5513" t="str">
            <v>GRMZM2G046061</v>
          </cell>
          <cell r="B5513" t="str">
            <v>GO:0003899GO:0045449GO:0008270GO:0030528GO:0003677</v>
          </cell>
        </row>
        <row r="5514">
          <cell r="A5514" t="str">
            <v>GRMZM2G084739</v>
          </cell>
          <cell r="B5514" t="str">
            <v>GO:0003735GO:0006412GO:0005840</v>
          </cell>
        </row>
        <row r="5515">
          <cell r="A5515" t="str">
            <v>GRMZM2G332522</v>
          </cell>
          <cell r="B5515" t="str">
            <v>GO:0008171</v>
          </cell>
        </row>
        <row r="5516">
          <cell r="A5516" t="str">
            <v>GRMZM2G343828</v>
          </cell>
          <cell r="B5516" t="str">
            <v>GO:0005975GO:0004553</v>
          </cell>
        </row>
        <row r="5517">
          <cell r="A5517" t="str">
            <v>GRMZM2G144668</v>
          </cell>
          <cell r="B5517" t="str">
            <v>GO:0005506GO:0050826GO:0050825GO:0042309GO:0016491</v>
          </cell>
        </row>
        <row r="5518">
          <cell r="A5518" t="str">
            <v>GRMZM2G163054</v>
          </cell>
          <cell r="B5518" t="str">
            <v>GO:0003700GO:0043565GO:0005634GO:0045449</v>
          </cell>
        </row>
        <row r="5519">
          <cell r="A5519" t="str">
            <v>GRMZM2G004057</v>
          </cell>
          <cell r="B5519" t="str">
            <v>GO:0003735GO:0006412GO:0005840</v>
          </cell>
        </row>
        <row r="5520">
          <cell r="A5520" t="str">
            <v>GRMZM2G084465</v>
          </cell>
          <cell r="B5520" t="str">
            <v>GO:0003735GO:0006412GO:0015935</v>
          </cell>
        </row>
        <row r="5521">
          <cell r="A5521" t="str">
            <v>GRMZM2G162505</v>
          </cell>
          <cell r="B5521" t="str">
            <v>GO:0004568GO:0006032</v>
          </cell>
        </row>
        <row r="5522">
          <cell r="A5522" t="str">
            <v>GRMZM2G163059</v>
          </cell>
          <cell r="B5522" t="str">
            <v>GO:0016020</v>
          </cell>
        </row>
        <row r="5523">
          <cell r="A5523" t="str">
            <v>GRMZM2G047456</v>
          </cell>
          <cell r="B5523" t="str">
            <v>GO:0004601GO:0006979GO:0020037GO:0009055</v>
          </cell>
        </row>
        <row r="5524">
          <cell r="A5524" t="str">
            <v>GRMZM2G113840</v>
          </cell>
          <cell r="B5524" t="str">
            <v>GO:0005215GO:0006810GO:0005622</v>
          </cell>
        </row>
        <row r="5525">
          <cell r="A5525" t="str">
            <v>GRMZM2G174975</v>
          </cell>
          <cell r="B5525" t="str">
            <v>GO:0006629GO:0016788</v>
          </cell>
        </row>
        <row r="5526">
          <cell r="A5526" t="str">
            <v>GRMZM2G112538</v>
          </cell>
          <cell r="B5526" t="str">
            <v>GO:0006952GO:0009607</v>
          </cell>
        </row>
        <row r="5527">
          <cell r="A5527" t="str">
            <v>GRMZM2G017305</v>
          </cell>
          <cell r="B5527" t="str">
            <v>GO:0006139GO:0017111GO:0005524GO:0019205</v>
          </cell>
        </row>
        <row r="5528">
          <cell r="A5528" t="str">
            <v>GRMZM2G135095</v>
          </cell>
          <cell r="B5528" t="str">
            <v>GO:0003735GO:0006412GO:0005840</v>
          </cell>
        </row>
        <row r="5529">
          <cell r="A5529" t="str">
            <v>GRMZM2G150024</v>
          </cell>
          <cell r="B5529" t="str">
            <v>GO:0004674GO:0006468GO:0005524GO:0005515GO:0004713</v>
          </cell>
        </row>
        <row r="5530">
          <cell r="A5530" t="str">
            <v>GRMZM2G091331</v>
          </cell>
          <cell r="B5530" t="str">
            <v>GO:0003700GO:0043565GO:0005634GO:0045449</v>
          </cell>
        </row>
        <row r="5531">
          <cell r="A5531" t="str">
            <v>GRMZM2G154036</v>
          </cell>
          <cell r="B5531" t="str">
            <v>GO:0005509</v>
          </cell>
        </row>
        <row r="5532">
          <cell r="A5532" t="str">
            <v>GRMZM2G007283</v>
          </cell>
          <cell r="B5532" t="str">
            <v>GO:0004674GO:0006468GO:0004713GO:0005524</v>
          </cell>
        </row>
        <row r="5533">
          <cell r="A5533" t="str">
            <v>GRMZM2G420684</v>
          </cell>
          <cell r="B5533" t="str">
            <v>GO:0003824GO:0016020</v>
          </cell>
        </row>
        <row r="5534">
          <cell r="A5534" t="str">
            <v>AC213521.3_FG005</v>
          </cell>
          <cell r="B5534" t="str">
            <v>GO:0005737GO:0050661GO:0033014GO:0008883GO:0004764</v>
          </cell>
        </row>
        <row r="5535">
          <cell r="A5535" t="str">
            <v>GRMZM2G043162</v>
          </cell>
          <cell r="B5535" t="str">
            <v>GO:0051537GO:0022900GO:0050825GO:0042309GO:0050826GO:0009055</v>
          </cell>
        </row>
        <row r="5536">
          <cell r="A5536" t="str">
            <v>GRMZM2G063880</v>
          </cell>
          <cell r="B5536" t="str">
            <v>GO:0003700GO:0043565GO:0005634GO:0045449</v>
          </cell>
        </row>
        <row r="5537">
          <cell r="A5537" t="str">
            <v>GRMZM2G109624</v>
          </cell>
          <cell r="B5537" t="str">
            <v>GO:0004674GO:0006468GO:0004713GO:0005524</v>
          </cell>
        </row>
        <row r="5538">
          <cell r="A5538" t="str">
            <v>GRMZM2G031004</v>
          </cell>
          <cell r="B5538" t="str">
            <v>GO:0005975GO:0004553</v>
          </cell>
        </row>
        <row r="5539">
          <cell r="A5539" t="str">
            <v>GRMZM2G405459</v>
          </cell>
          <cell r="B5539" t="str">
            <v>GO:0004601GO:0006979GO:0020037GO:0009055</v>
          </cell>
        </row>
        <row r="5540">
          <cell r="A5540" t="str">
            <v>GRMZM2G051288</v>
          </cell>
          <cell r="B5540" t="str">
            <v>GO:0006470GO:0004725GO:0008138</v>
          </cell>
        </row>
        <row r="5541">
          <cell r="A5541" t="str">
            <v>GRMZM2G040452</v>
          </cell>
          <cell r="B5541" t="str">
            <v>GO:0003824</v>
          </cell>
        </row>
        <row r="5542">
          <cell r="A5542" t="str">
            <v>GRMZM2G365160</v>
          </cell>
          <cell r="B5542" t="str">
            <v>GO:0003849GO:0009073</v>
          </cell>
        </row>
        <row r="5543">
          <cell r="A5543" t="str">
            <v>GRMZM2G090422</v>
          </cell>
          <cell r="B5543" t="str">
            <v>GO:0003735GO:0015934GO:0006412</v>
          </cell>
        </row>
        <row r="5544">
          <cell r="A5544" t="str">
            <v>GRMZM2G151738</v>
          </cell>
          <cell r="B5544" t="str">
            <v>GO:0005515</v>
          </cell>
        </row>
        <row r="5545">
          <cell r="A5545" t="str">
            <v>GRMZM2G083836</v>
          </cell>
          <cell r="B5545" t="str">
            <v>GO:0005737GO:0006422GO:0003676GO:0004816GO:0006421GO:0050825GO:0042309GO:0050826GO:0004815GO:0005524</v>
          </cell>
        </row>
        <row r="5546">
          <cell r="A5546" t="str">
            <v>GRMZM2G421256</v>
          </cell>
          <cell r="B5546" t="str">
            <v>GO:0003677</v>
          </cell>
        </row>
        <row r="5547">
          <cell r="A5547" t="str">
            <v>GRMZM2G424857</v>
          </cell>
          <cell r="B5547" t="str">
            <v>GO:0016811GO:0008152</v>
          </cell>
        </row>
        <row r="5548">
          <cell r="A5548" t="str">
            <v>GRMZM2G134382</v>
          </cell>
          <cell r="B5548" t="str">
            <v>GO:0004674GO:0006468GO:0004713GO:0005524</v>
          </cell>
        </row>
        <row r="5549">
          <cell r="A5549" t="str">
            <v>GRMZM2G084062</v>
          </cell>
          <cell r="B5549" t="str">
            <v>GO:0005852GO:0006413GO:0003743</v>
          </cell>
        </row>
        <row r="5550">
          <cell r="A5550" t="str">
            <v>GRMZM2G140817</v>
          </cell>
          <cell r="B5550" t="str">
            <v>GO:0004497GO:0020037GO:0009055</v>
          </cell>
        </row>
        <row r="5551">
          <cell r="A5551" t="str">
            <v>GRMZM2G140811</v>
          </cell>
          <cell r="B5551" t="str">
            <v>GO:0004630GO:0016020GO:0046470GO:0005509</v>
          </cell>
        </row>
        <row r="5552">
          <cell r="A5552" t="str">
            <v>GRMZM2G181336</v>
          </cell>
          <cell r="B5552" t="str">
            <v>GO:0003735GO:0006412GO:0005840</v>
          </cell>
        </row>
        <row r="5553">
          <cell r="A5553" t="str">
            <v>GRMZM2G071996</v>
          </cell>
          <cell r="B5553" t="str">
            <v>GO:0031072GO:0006457GO:0051082</v>
          </cell>
        </row>
        <row r="5554">
          <cell r="A5554" t="str">
            <v>GRMZM2G163297</v>
          </cell>
          <cell r="B5554" t="str">
            <v>GO:0003723</v>
          </cell>
        </row>
        <row r="5555">
          <cell r="A5555" t="str">
            <v>GRMZM2G026980</v>
          </cell>
          <cell r="B5555" t="str">
            <v>GO:0005618GO:0048046GO:0016762GO:0006073GO:0004553</v>
          </cell>
        </row>
        <row r="5556">
          <cell r="A5556" t="str">
            <v>GRMZM2G003384</v>
          </cell>
          <cell r="B5556" t="str">
            <v>GO:0003735GO:0006412GO:0005840</v>
          </cell>
        </row>
        <row r="5557">
          <cell r="A5557" t="str">
            <v>GRMZM2G027451</v>
          </cell>
          <cell r="B5557" t="str">
            <v>GO:0003735GO:0006412GO:0005840</v>
          </cell>
        </row>
        <row r="5558">
          <cell r="A5558" t="str">
            <v>GRMZM2G083497</v>
          </cell>
          <cell r="B5558" t="str">
            <v>GO:0003735GO:0006412GO:0005840</v>
          </cell>
        </row>
        <row r="5559">
          <cell r="A5559" t="str">
            <v>GRMZM2G170262</v>
          </cell>
          <cell r="B5559" t="str">
            <v>GO:0003735GO:0006412GO:0005840</v>
          </cell>
        </row>
        <row r="5560">
          <cell r="A5560" t="str">
            <v>GRMZM2G435592</v>
          </cell>
          <cell r="B5560" t="str">
            <v>GO:0004674GO:0006468GO:0004713GO:0005524</v>
          </cell>
        </row>
        <row r="5561">
          <cell r="A5561" t="str">
            <v>GRMZM2G134162</v>
          </cell>
          <cell r="B5561" t="str">
            <v>GO:0004707GO:0006468GO:0004713GO:0005524</v>
          </cell>
        </row>
        <row r="5562">
          <cell r="A5562" t="str">
            <v>GRMZM2G164224</v>
          </cell>
          <cell r="B5562" t="str">
            <v>GO:0004674GO:0006468GO:0004713GO:0005524GO:0005198</v>
          </cell>
        </row>
        <row r="5563">
          <cell r="A5563" t="str">
            <v>GRMZM2G111579</v>
          </cell>
          <cell r="B5563" t="str">
            <v>GO:0006750GO:0004357</v>
          </cell>
        </row>
        <row r="5564">
          <cell r="A5564" t="str">
            <v>GRMZM2G041699</v>
          </cell>
          <cell r="B5564" t="str">
            <v>GO:0016758GO:0008152</v>
          </cell>
        </row>
        <row r="5565">
          <cell r="A5565" t="str">
            <v>GRMZM2G006480</v>
          </cell>
          <cell r="B5565" t="str">
            <v>GO:0008483GO:0009058GO:0006520GO:0016847GO:0030170</v>
          </cell>
        </row>
        <row r="5566">
          <cell r="A5566" t="str">
            <v>GRMZM2G073755</v>
          </cell>
          <cell r="B5566" t="str">
            <v>GO:0006355GO:0005634GO:0004879GO:0003677</v>
          </cell>
        </row>
        <row r="5567">
          <cell r="A5567" t="str">
            <v>GRMZM2G417107</v>
          </cell>
          <cell r="B5567" t="str">
            <v>GO:0005634GO:0045449GO:0030528</v>
          </cell>
        </row>
        <row r="5568">
          <cell r="A5568" t="str">
            <v>GRMZM2G056875</v>
          </cell>
          <cell r="B5568" t="str">
            <v>GO:0004674GO:0006468GO:0004713GO:0005524</v>
          </cell>
        </row>
        <row r="5569">
          <cell r="A5569" t="str">
            <v>GRMZM2G114575</v>
          </cell>
          <cell r="B5569" t="str">
            <v>GO:0004674GO:0006468GO:0004713GO:0005524GO:0007165</v>
          </cell>
        </row>
        <row r="5570">
          <cell r="A5570" t="str">
            <v>GRMZM2G041050</v>
          </cell>
          <cell r="B5570" t="str">
            <v>GO:0005215GO:0016020GO:0006810</v>
          </cell>
        </row>
        <row r="5571">
          <cell r="A5571" t="str">
            <v>GRMZM2G076329</v>
          </cell>
          <cell r="B5571" t="str">
            <v>GO:0005634GO:0006260GO:0008270GO:0003677</v>
          </cell>
        </row>
        <row r="5572">
          <cell r="A5572" t="str">
            <v>GRMZM2G123277</v>
          </cell>
          <cell r="B5572" t="str">
            <v>GO:0003824GO:0005992</v>
          </cell>
        </row>
        <row r="5573">
          <cell r="A5573" t="str">
            <v>GRMZM2G316534</v>
          </cell>
          <cell r="B5573" t="str">
            <v>GO:0030173GO:0006486GO:0008373</v>
          </cell>
        </row>
        <row r="5574">
          <cell r="A5574" t="str">
            <v>GRMZM2G301803</v>
          </cell>
          <cell r="B5574" t="str">
            <v>GO:0009416GO:0005515GO:0004871</v>
          </cell>
        </row>
        <row r="5575">
          <cell r="A5575" t="str">
            <v>GRMZM2G464157</v>
          </cell>
          <cell r="B5575" t="str">
            <v>GO:0016787</v>
          </cell>
        </row>
        <row r="5576">
          <cell r="A5576" t="str">
            <v>GRMZM2G305154</v>
          </cell>
          <cell r="B5576" t="str">
            <v>GO:0003735GO:0006412GO:0005840</v>
          </cell>
        </row>
        <row r="5577">
          <cell r="A5577" t="str">
            <v>GRMZM2G026216</v>
          </cell>
          <cell r="B5577" t="str">
            <v>GO:0003735GO:0006412GO:0005840</v>
          </cell>
        </row>
        <row r="5578">
          <cell r="A5578" t="str">
            <v>GRMZM2G040618</v>
          </cell>
          <cell r="B5578" t="str">
            <v>GO:0050825GO:0042309GO:0050826</v>
          </cell>
        </row>
        <row r="5579">
          <cell r="A5579" t="str">
            <v>GRMZM2G137839</v>
          </cell>
          <cell r="B5579" t="str">
            <v>GO:0004096GO:0006979GO:0020037GO:0009055</v>
          </cell>
        </row>
        <row r="5580">
          <cell r="A5580" t="str">
            <v>GRMZM2G078771</v>
          </cell>
          <cell r="B5580" t="str">
            <v>GO:0050825GO:0042309GO:0050826</v>
          </cell>
        </row>
        <row r="5581">
          <cell r="A5581" t="str">
            <v>GRMZM2G468661</v>
          </cell>
          <cell r="B5581" t="str">
            <v>GO:0016757</v>
          </cell>
        </row>
        <row r="5582">
          <cell r="A5582" t="str">
            <v>GRMZM2G173668</v>
          </cell>
          <cell r="B5582" t="str">
            <v>GO:0005975GO:0016868</v>
          </cell>
        </row>
        <row r="5583">
          <cell r="A5583" t="str">
            <v>GRMZM2G050305</v>
          </cell>
          <cell r="B5583" t="str">
            <v>GO:0003677</v>
          </cell>
        </row>
        <row r="5584">
          <cell r="A5584" t="str">
            <v>GRMZM2G011932</v>
          </cell>
          <cell r="B5584" t="str">
            <v>GO:0003700GO:0006355GO:0046983GO:0005634GO:0043565</v>
          </cell>
        </row>
        <row r="5585">
          <cell r="A5585" t="str">
            <v>AC194970.5_FG001</v>
          </cell>
          <cell r="B5585" t="str">
            <v>GO:0005634GO:0003677GO:0006355GO:0008299GO:0050825GO:0042309GO:0050826GO:0004879</v>
          </cell>
        </row>
        <row r="5586">
          <cell r="A5586" t="str">
            <v>GRMZM2G015436</v>
          </cell>
          <cell r="B5586" t="str">
            <v>GO:0004834GO:0006568</v>
          </cell>
        </row>
        <row r="5587">
          <cell r="A5587" t="str">
            <v>GRMZM2G130062</v>
          </cell>
          <cell r="B5587" t="str">
            <v>GO:0003852GO:0009098</v>
          </cell>
        </row>
        <row r="5588">
          <cell r="A5588" t="str">
            <v>AC195914.2_FG002</v>
          </cell>
          <cell r="B5588" t="str">
            <v>GO:0006355GO:0005634GO:0004879GO:0003677</v>
          </cell>
        </row>
        <row r="5589">
          <cell r="A5589" t="str">
            <v>GRMZM2G315431</v>
          </cell>
          <cell r="B5589" t="str">
            <v>GO:0016567GO:0004842GO:0000151GO:0005488</v>
          </cell>
        </row>
        <row r="5590">
          <cell r="A5590" t="str">
            <v>GRMZM2G111172</v>
          </cell>
          <cell r="B5590" t="str">
            <v>GO:0003735GO:0006412GO:0005199GO:0015935</v>
          </cell>
        </row>
        <row r="5591">
          <cell r="A5591" t="str">
            <v>GRMZM2G174145</v>
          </cell>
          <cell r="B5591" t="str">
            <v>GO:0016847GO:0009058GO:0030170GO:0016769</v>
          </cell>
        </row>
        <row r="5592">
          <cell r="A5592" t="str">
            <v>GRMZM2G137498</v>
          </cell>
          <cell r="B5592" t="str">
            <v>GO:0005737GO:0006415GO:0016149</v>
          </cell>
        </row>
        <row r="5593">
          <cell r="A5593" t="str">
            <v>GRMZM2G399921</v>
          </cell>
          <cell r="B5593" t="str">
            <v>GO:0050825GO:0042309GO:0050826</v>
          </cell>
        </row>
        <row r="5594">
          <cell r="A5594" t="str">
            <v>GRMZM2G069594</v>
          </cell>
          <cell r="B5594" t="str">
            <v>GO:0003735GO:0006412GO:0005840</v>
          </cell>
        </row>
        <row r="5595">
          <cell r="A5595" t="str">
            <v>GRMZM2G428027</v>
          </cell>
          <cell r="B5595" t="str">
            <v>GO:0050660GO:0020037GO:0003677GO:0030151GO:0042128GO:0005665GO:0006366GO:0046857GO:0055114GO:0009055</v>
          </cell>
        </row>
        <row r="5596">
          <cell r="A5596" t="str">
            <v>GRMZM2G379540</v>
          </cell>
          <cell r="B5596" t="str">
            <v>GO:0008137GO:0016021GO:0042773</v>
          </cell>
        </row>
        <row r="5597">
          <cell r="A5597" t="str">
            <v>AC209845.4_FG010</v>
          </cell>
          <cell r="B5597" t="str">
            <v>GO:0003677</v>
          </cell>
        </row>
        <row r="5598">
          <cell r="A5598" t="str">
            <v>GRMZM2G092363</v>
          </cell>
          <cell r="B5598" t="str">
            <v>GO:0008270GO:0005622</v>
          </cell>
        </row>
        <row r="5599">
          <cell r="A5599" t="str">
            <v>GRMZM2G022242</v>
          </cell>
          <cell r="B5599" t="str">
            <v>GO:0016758GO:0008152</v>
          </cell>
        </row>
        <row r="5600">
          <cell r="A5600" t="str">
            <v>GRMZM2G087712</v>
          </cell>
          <cell r="B5600" t="str">
            <v>GO:0032040GO:0006364</v>
          </cell>
        </row>
        <row r="5601">
          <cell r="A5601" t="str">
            <v>GRMZM2G025294</v>
          </cell>
          <cell r="B5601" t="str">
            <v>GO:0003899GO:0003677GO:0006383GO:0005666</v>
          </cell>
        </row>
        <row r="5602">
          <cell r="A5602" t="str">
            <v>AC226248.1_FG002</v>
          </cell>
          <cell r="B5602" t="str">
            <v>GO:0006468GO:0004879GO:0004674GO:0005634GO:0006355GO:0004713GO:0003677GO:0005524</v>
          </cell>
        </row>
        <row r="5603">
          <cell r="A5603" t="str">
            <v>GRMZM2G312521</v>
          </cell>
          <cell r="B5603" t="str">
            <v>GO:0005737GO:0004812GO:0005992GO:0005524GO:0006418</v>
          </cell>
        </row>
        <row r="5604">
          <cell r="A5604" t="str">
            <v>GRMZM2G048313</v>
          </cell>
          <cell r="B5604" t="str">
            <v>GO:0022900GO:0051537GO:0009055</v>
          </cell>
        </row>
        <row r="5605">
          <cell r="A5605" t="str">
            <v>GRMZM2G054050</v>
          </cell>
          <cell r="B5605" t="str">
            <v>GO:0005507GO:0016491</v>
          </cell>
        </row>
        <row r="5606">
          <cell r="A5606" t="str">
            <v>GRMZM2G015324</v>
          </cell>
          <cell r="B5606" t="str">
            <v>GO:0005509</v>
          </cell>
        </row>
        <row r="5607">
          <cell r="A5607" t="str">
            <v>GRMZM2G062613</v>
          </cell>
          <cell r="B5607" t="str">
            <v>GO:0003824</v>
          </cell>
        </row>
        <row r="5608">
          <cell r="A5608" t="str">
            <v>GRMZM2G147752</v>
          </cell>
          <cell r="B5608" t="str">
            <v>GO:0004497GO:0020037GO:0009055</v>
          </cell>
        </row>
        <row r="5609">
          <cell r="A5609" t="str">
            <v>GRMZM2G333980</v>
          </cell>
          <cell r="B5609" t="str">
            <v>GO:0005515</v>
          </cell>
        </row>
        <row r="5610">
          <cell r="A5610" t="str">
            <v>GRMZM2G115504</v>
          </cell>
          <cell r="B5610" t="str">
            <v>GO:0003824</v>
          </cell>
        </row>
        <row r="5611">
          <cell r="A5611" t="str">
            <v>GRMZM2G104843</v>
          </cell>
          <cell r="B5611" t="str">
            <v>GO:0005506GO:0016165GO:0005515GO:0009055</v>
          </cell>
        </row>
        <row r="5612">
          <cell r="A5612" t="str">
            <v>GRMZM2G073571</v>
          </cell>
          <cell r="B5612" t="str">
            <v>GO:0004298GO:0005215GO:0006810GO:0005839GO:0006511</v>
          </cell>
        </row>
        <row r="5613">
          <cell r="A5613" t="str">
            <v>GRMZM2G455909</v>
          </cell>
          <cell r="B5613" t="str">
            <v>GO:0006915GO:0005524</v>
          </cell>
        </row>
        <row r="5614">
          <cell r="A5614" t="str">
            <v>GRMZM2G041991</v>
          </cell>
          <cell r="B5614" t="str">
            <v>GO:0008270GO:0005622</v>
          </cell>
        </row>
        <row r="5615">
          <cell r="A5615" t="str">
            <v>GRMZM2G102318</v>
          </cell>
          <cell r="B5615" t="str">
            <v>GO:0004497GO:0016020GO:0020037GO:0009055</v>
          </cell>
        </row>
        <row r="5616">
          <cell r="A5616" t="str">
            <v>GRMZM2G401511</v>
          </cell>
          <cell r="B5616" t="str">
            <v>GO:0005576</v>
          </cell>
        </row>
        <row r="5617">
          <cell r="A5617" t="str">
            <v>GRMZM2G075562</v>
          </cell>
          <cell r="B5617" t="str">
            <v>GO:0008270GO:0005622</v>
          </cell>
        </row>
        <row r="5618">
          <cell r="A5618" t="str">
            <v>GRMZM2G138248</v>
          </cell>
          <cell r="B5618" t="str">
            <v>GO:0004497GO:0020037GO:0009055</v>
          </cell>
        </row>
        <row r="5619">
          <cell r="A5619" t="str">
            <v>GRMZM2G008773</v>
          </cell>
          <cell r="B5619" t="str">
            <v>GO:0016998</v>
          </cell>
        </row>
        <row r="5620">
          <cell r="A5620" t="str">
            <v>GRMZM2G087806</v>
          </cell>
          <cell r="B5620" t="str">
            <v>GO:0008270</v>
          </cell>
        </row>
        <row r="5621">
          <cell r="A5621" t="str">
            <v>GRMZM2G080746</v>
          </cell>
          <cell r="B5621" t="str">
            <v>GO:0005737GO:0006796GO:0000287GO:0031177GO:0004427</v>
          </cell>
        </row>
        <row r="5622">
          <cell r="A5622" t="str">
            <v>GRMZM2G141931</v>
          </cell>
          <cell r="B5622" t="str">
            <v>GO:0006457GO:0051082GO:0005524</v>
          </cell>
        </row>
        <row r="5623">
          <cell r="A5623" t="str">
            <v>GRMZM2G396527</v>
          </cell>
          <cell r="B5623" t="str">
            <v>GO:0043565GO:0006265GO:0003700GO:0005634GO:0006355GO:0003690</v>
          </cell>
        </row>
        <row r="5624">
          <cell r="A5624" t="str">
            <v>GRMZM2G019236</v>
          </cell>
          <cell r="B5624" t="str">
            <v>GO:0006888GO:0006886GO:0004981GO:0008270GO:0005515GO:0007186GO:0030127</v>
          </cell>
        </row>
        <row r="5625">
          <cell r="A5625" t="str">
            <v>GRMZM2G057841</v>
          </cell>
          <cell r="B5625" t="str">
            <v>GO:0006950</v>
          </cell>
        </row>
        <row r="5626">
          <cell r="A5626" t="str">
            <v>GRMZM2G062591</v>
          </cell>
          <cell r="B5626" t="str">
            <v>GO:0003677</v>
          </cell>
        </row>
        <row r="5627">
          <cell r="A5627" t="str">
            <v>GRMZM2G110027</v>
          </cell>
          <cell r="B5627" t="str">
            <v>GO:0004176GO:0006510</v>
          </cell>
        </row>
        <row r="5628">
          <cell r="A5628" t="str">
            <v>GRMZM2G044038</v>
          </cell>
          <cell r="B5628" t="str">
            <v>GO:0004674GO:0006468GO:0004713GO:0005524GO:0007165</v>
          </cell>
        </row>
        <row r="5629">
          <cell r="A5629" t="str">
            <v>GRMZM2G062600</v>
          </cell>
          <cell r="B5629" t="str">
            <v>GO:0005975GO:0004553</v>
          </cell>
        </row>
        <row r="5630">
          <cell r="A5630" t="str">
            <v>GRMZM2G315767</v>
          </cell>
          <cell r="B5630" t="str">
            <v>GO:0016747</v>
          </cell>
        </row>
        <row r="5631">
          <cell r="A5631" t="str">
            <v>GRMZM2G076634</v>
          </cell>
          <cell r="B5631" t="str">
            <v>GO:0004674GO:0006468GO:0005509GO:0005524</v>
          </cell>
        </row>
        <row r="5632">
          <cell r="A5632" t="str">
            <v>GRMZM2G146754</v>
          </cell>
          <cell r="B5632" t="str">
            <v>GO:0008152GO:0016491</v>
          </cell>
        </row>
        <row r="5633">
          <cell r="A5633" t="str">
            <v>GRMZM2G171373</v>
          </cell>
          <cell r="B5633" t="str">
            <v>GO:0004396GO:0006096GO:0005524</v>
          </cell>
        </row>
        <row r="5634">
          <cell r="A5634" t="str">
            <v>GRMZM2G102075</v>
          </cell>
          <cell r="B5634" t="str">
            <v>GO:0003735GO:0006412GO:0015935</v>
          </cell>
        </row>
        <row r="5635">
          <cell r="A5635" t="str">
            <v>GRMZM2G104268</v>
          </cell>
          <cell r="B5635" t="str">
            <v>GO:0008270</v>
          </cell>
        </row>
        <row r="5636">
          <cell r="A5636" t="str">
            <v>GRMZM2G152975</v>
          </cell>
          <cell r="B5636" t="str">
            <v>GO:0008270GO:0055114GO:0016491</v>
          </cell>
        </row>
        <row r="5637">
          <cell r="A5637" t="str">
            <v>GRMZM2G102079</v>
          </cell>
          <cell r="B5637" t="str">
            <v>GO:0004497GO:0020037GO:0009055</v>
          </cell>
        </row>
        <row r="5638">
          <cell r="A5638" t="str">
            <v>GRMZM2G151169</v>
          </cell>
          <cell r="B5638" t="str">
            <v>GO:0004591GO:0030976GO:0006096</v>
          </cell>
        </row>
        <row r="5639">
          <cell r="A5639" t="str">
            <v>GRMZM2G393349</v>
          </cell>
          <cell r="B5639" t="str">
            <v>GO:0008270GO:0005515</v>
          </cell>
        </row>
        <row r="5640">
          <cell r="A5640" t="str">
            <v>GRMZM2G032852</v>
          </cell>
          <cell r="B5640" t="str">
            <v>GO:0006468GO:0005964GO:0005978GO:0004689GO:0004713GO:0005516GO:0005524GO:0005509</v>
          </cell>
        </row>
        <row r="5641">
          <cell r="A5641" t="str">
            <v>GRMZM2G413829</v>
          </cell>
          <cell r="B5641" t="str">
            <v>GO:0050825GO:0042309GO:0050826</v>
          </cell>
        </row>
        <row r="5642">
          <cell r="A5642" t="str">
            <v>GRMZM2G057608</v>
          </cell>
          <cell r="B5642" t="str">
            <v>GO:0005634GO:0000785GO:0003677</v>
          </cell>
        </row>
        <row r="5643">
          <cell r="A5643" t="str">
            <v>GRMZM2G015136</v>
          </cell>
          <cell r="B5643" t="str">
            <v>GO:0004674GO:0006468GO:0004713GO:0005524</v>
          </cell>
        </row>
        <row r="5644">
          <cell r="A5644" t="str">
            <v>GRMZM2G074107</v>
          </cell>
          <cell r="B5644" t="str">
            <v>GO:0006355GO:0005634GO:0000785GO:0003677</v>
          </cell>
        </row>
        <row r="5645">
          <cell r="A5645" t="str">
            <v>GRMZM2G457699</v>
          </cell>
          <cell r="B5645" t="str">
            <v>GO:0006412</v>
          </cell>
        </row>
        <row r="5646">
          <cell r="A5646" t="str">
            <v>GRMZM2G035809</v>
          </cell>
          <cell r="B5646" t="str">
            <v>GO:0004674GO:0006468GO:0004713GO:0005524</v>
          </cell>
        </row>
        <row r="5647">
          <cell r="A5647" t="str">
            <v>GRMZM2G031637</v>
          </cell>
          <cell r="B5647" t="str">
            <v>GO:0031072</v>
          </cell>
        </row>
        <row r="5648">
          <cell r="A5648" t="str">
            <v>GRMZM2G477872</v>
          </cell>
          <cell r="B5648" t="str">
            <v>GO:0016020GO:0016887GO:0005524</v>
          </cell>
        </row>
        <row r="5649">
          <cell r="A5649" t="str">
            <v>GRMZM2G016640</v>
          </cell>
          <cell r="B5649" t="str">
            <v>GO:0005759</v>
          </cell>
        </row>
        <row r="5650">
          <cell r="A5650" t="str">
            <v>GRMZM2G122223</v>
          </cell>
          <cell r="B5650" t="str">
            <v>GO:0008270GO:0005515</v>
          </cell>
        </row>
        <row r="5651">
          <cell r="A5651" t="str">
            <v>GRMZM2G149751</v>
          </cell>
          <cell r="B5651" t="str">
            <v>GO:0009086GO:0003871GO:0008270</v>
          </cell>
        </row>
        <row r="5652">
          <cell r="A5652" t="str">
            <v>GRMZM2G081577</v>
          </cell>
          <cell r="B5652" t="str">
            <v>GO:0008270GO:0005622</v>
          </cell>
        </row>
        <row r="5653">
          <cell r="A5653" t="str">
            <v>GRMZM2G149756</v>
          </cell>
          <cell r="B5653" t="str">
            <v>GO:0003700GO:0006355</v>
          </cell>
        </row>
        <row r="5654">
          <cell r="A5654" t="str">
            <v>GRMZM2G159587</v>
          </cell>
          <cell r="B5654" t="str">
            <v>GO:0005737GO:0051287GO:0006520GO:0016616GO:0005525</v>
          </cell>
        </row>
        <row r="5655">
          <cell r="A5655" t="str">
            <v>AC215201.3_FG005</v>
          </cell>
          <cell r="B5655" t="str">
            <v>GO:0005737GO:0006457GO:0005524GO:0005515</v>
          </cell>
        </row>
        <row r="5656">
          <cell r="A5656" t="str">
            <v>GRMZM2G128641</v>
          </cell>
          <cell r="B5656" t="str">
            <v>GO:0016020</v>
          </cell>
        </row>
        <row r="5657">
          <cell r="A5657" t="str">
            <v>GRMZM2G061932</v>
          </cell>
          <cell r="B5657" t="str">
            <v>GO:0050825GO:0042309GO:0050826</v>
          </cell>
        </row>
        <row r="5658">
          <cell r="A5658" t="str">
            <v>GRMZM2G426200</v>
          </cell>
          <cell r="B5658" t="str">
            <v>GO:0016021GO:0051205</v>
          </cell>
        </row>
        <row r="5659">
          <cell r="A5659" t="str">
            <v>GRMZM2G382106</v>
          </cell>
          <cell r="B5659" t="str">
            <v>GO:0031072</v>
          </cell>
        </row>
        <row r="5660">
          <cell r="A5660" t="str">
            <v>GRMZM2G176307</v>
          </cell>
          <cell r="B5660" t="str">
            <v>GO:0006813GO:0051287GO:0006006GO:0008324GO:0004365</v>
          </cell>
        </row>
        <row r="5661">
          <cell r="A5661" t="str">
            <v>GRMZM2G144275</v>
          </cell>
          <cell r="B5661" t="str">
            <v>GO:0005634GO:0045449GO:0030528</v>
          </cell>
        </row>
        <row r="5662">
          <cell r="A5662" t="str">
            <v>GRMZM2G016928</v>
          </cell>
          <cell r="B5662" t="str">
            <v>GO:0003735GO:0006412GO:0005840</v>
          </cell>
        </row>
        <row r="5663">
          <cell r="A5663" t="str">
            <v>GRMZM2G089448</v>
          </cell>
          <cell r="B5663" t="str">
            <v>GO:0008270GO:0005622</v>
          </cell>
        </row>
        <row r="5664">
          <cell r="A5664" t="str">
            <v>GRMZM2G154883</v>
          </cell>
          <cell r="B5664" t="str">
            <v>GO:0032313GO:0005097GO:0005622</v>
          </cell>
        </row>
        <row r="5665">
          <cell r="A5665" t="str">
            <v>GRMZM2G416216</v>
          </cell>
          <cell r="B5665" t="str">
            <v>GO:0008270GO:0005515</v>
          </cell>
        </row>
        <row r="5666">
          <cell r="A5666" t="str">
            <v>GRMZM2G057116</v>
          </cell>
          <cell r="B5666" t="str">
            <v>GO:0003700GO:0043565GO:0005634GO:0045449</v>
          </cell>
        </row>
        <row r="5667">
          <cell r="A5667" t="str">
            <v>GRMZM2G102891</v>
          </cell>
          <cell r="B5667" t="str">
            <v>GO:0003735GO:0006414GO:0005840</v>
          </cell>
        </row>
        <row r="5668">
          <cell r="A5668" t="str">
            <v>GRMZM2G113720</v>
          </cell>
          <cell r="B5668" t="str">
            <v>GO:0003735GO:0006412GO:0005840</v>
          </cell>
        </row>
        <row r="5669">
          <cell r="A5669" t="str">
            <v>GRMZM2G159105</v>
          </cell>
          <cell r="B5669" t="str">
            <v>GO:0004674GO:0006468GO:0004713GO:0005524</v>
          </cell>
        </row>
        <row r="5670">
          <cell r="A5670" t="str">
            <v>GRMZM2G117007</v>
          </cell>
          <cell r="B5670" t="str">
            <v>GO:0016301GO:0008152GO:0005524</v>
          </cell>
        </row>
        <row r="5671">
          <cell r="A5671" t="str">
            <v>GRMZM2G177098</v>
          </cell>
          <cell r="B5671" t="str">
            <v>GO:0003735GO:0016829GO:0000287GO:0006412GO:0005840</v>
          </cell>
        </row>
        <row r="5672">
          <cell r="A5672" t="str">
            <v>GRMZM2G148176</v>
          </cell>
          <cell r="B5672" t="str">
            <v>GO:0005975GO:0004553</v>
          </cell>
        </row>
        <row r="5673">
          <cell r="A5673" t="str">
            <v>GRMZM2G406951</v>
          </cell>
          <cell r="B5673" t="str">
            <v>GO:0006508GO:0016020GO:0004806GO:0006629GO:0008236</v>
          </cell>
        </row>
        <row r="5674">
          <cell r="A5674" t="str">
            <v>GRMZM2G051984</v>
          </cell>
          <cell r="B5674" t="str">
            <v>GO:0004674GO:0006468GO:0004713GO:0005524</v>
          </cell>
        </row>
        <row r="5675">
          <cell r="A5675" t="str">
            <v>GRMZM2G167103</v>
          </cell>
          <cell r="B5675" t="str">
            <v>GO:0003735GO:0016020GO:0006412GO:0005840</v>
          </cell>
        </row>
        <row r="5676">
          <cell r="A5676" t="str">
            <v>GRMZM2G035063</v>
          </cell>
          <cell r="B5676" t="str">
            <v>GO:0006457GO:0005524</v>
          </cell>
        </row>
        <row r="5677">
          <cell r="A5677" t="str">
            <v>GRMZM2G081886</v>
          </cell>
          <cell r="B5677" t="str">
            <v>GO:0006564GO:0006813GO:0051287GO:0008324GO:0004617GO:0016597</v>
          </cell>
        </row>
        <row r="5678">
          <cell r="A5678" t="str">
            <v>GRMZM2G050450</v>
          </cell>
          <cell r="B5678" t="str">
            <v>GO:0016747</v>
          </cell>
        </row>
        <row r="5679">
          <cell r="A5679" t="str">
            <v>GRMZM2G179792</v>
          </cell>
          <cell r="B5679" t="str">
            <v>GO:0004630GO:0016020GO:0046470GO:0005509</v>
          </cell>
        </row>
        <row r="5680">
          <cell r="A5680" t="str">
            <v>GRMZM2G012546</v>
          </cell>
          <cell r="B5680" t="str">
            <v>GO:0016787GO:0008152</v>
          </cell>
        </row>
        <row r="5681">
          <cell r="A5681" t="str">
            <v>GRMZM2G080375</v>
          </cell>
          <cell r="B5681" t="str">
            <v>GO:0003872GO:0005945GO:0006096GO:0005524</v>
          </cell>
        </row>
        <row r="5682">
          <cell r="A5682" t="str">
            <v>GRMZM2G427815</v>
          </cell>
          <cell r="B5682" t="str">
            <v>GO:0004601GO:0006979GO:0020037GO:0009055</v>
          </cell>
        </row>
        <row r="5683">
          <cell r="A5683" t="str">
            <v>GRMZM2G091155</v>
          </cell>
          <cell r="B5683" t="str">
            <v>GO:0019904</v>
          </cell>
        </row>
        <row r="5684">
          <cell r="A5684" t="str">
            <v>GRMZM2G016250</v>
          </cell>
          <cell r="B5684" t="str">
            <v>GO:0003735GO:0006412GO:0005840</v>
          </cell>
        </row>
        <row r="5685">
          <cell r="A5685" t="str">
            <v>GRMZM2G069078</v>
          </cell>
          <cell r="B5685" t="str">
            <v>GO:0005737GO:0004812GO:0005524GO:0006418</v>
          </cell>
        </row>
        <row r="5686">
          <cell r="A5686" t="str">
            <v>GRMZM2G132623</v>
          </cell>
          <cell r="B5686" t="str">
            <v>GO:0003735GO:0006412GO:0005840</v>
          </cell>
        </row>
        <row r="5687">
          <cell r="A5687" t="str">
            <v>GRMZM2G094353</v>
          </cell>
          <cell r="B5687" t="str">
            <v>GO:0008270GO:0005622</v>
          </cell>
        </row>
        <row r="5688">
          <cell r="A5688" t="str">
            <v>GRMZM2G003172</v>
          </cell>
          <cell r="B5688" t="str">
            <v>GO:0043461GO:0005515</v>
          </cell>
        </row>
        <row r="5689">
          <cell r="A5689" t="str">
            <v>GRMZM2G074805</v>
          </cell>
          <cell r="B5689" t="str">
            <v>GO:0005215GO:0016020GO:0006810</v>
          </cell>
        </row>
        <row r="5690">
          <cell r="A5690" t="str">
            <v>GRMZM2G140107</v>
          </cell>
          <cell r="B5690" t="str">
            <v>GO:0009058GO:0046524GO:0005985</v>
          </cell>
        </row>
        <row r="5691">
          <cell r="A5691" t="str">
            <v>GRMZM2G111014</v>
          </cell>
          <cell r="B5691" t="str">
            <v>GO:0016772GO:0006265GO:0016310GO:0005694GO:0003918GO:0005524</v>
          </cell>
        </row>
        <row r="5692">
          <cell r="A5692" t="str">
            <v>GRMZM2G076987</v>
          </cell>
          <cell r="B5692" t="str">
            <v>GO:0004674GO:0006468GO:0004713GO:0005524</v>
          </cell>
        </row>
        <row r="5693">
          <cell r="A5693" t="str">
            <v>GRMZM2G100403</v>
          </cell>
          <cell r="B5693" t="str">
            <v>GO:0003735GO:0006412GO:0005840</v>
          </cell>
        </row>
        <row r="5694">
          <cell r="A5694" t="str">
            <v>GRMZM2G151252</v>
          </cell>
          <cell r="B5694" t="str">
            <v>GO:0003735GO:0006412GO:0005840</v>
          </cell>
        </row>
        <row r="5695">
          <cell r="A5695" t="str">
            <v>GRMZM2G132140</v>
          </cell>
          <cell r="B5695" t="str">
            <v>GO:0016855</v>
          </cell>
        </row>
        <row r="5696">
          <cell r="A5696" t="str">
            <v>GRMZM2G166218</v>
          </cell>
          <cell r="B5696" t="str">
            <v>GO:0016021GO:0007186GO:0005199</v>
          </cell>
        </row>
        <row r="5697">
          <cell r="A5697" t="str">
            <v>GRMZM2G327234</v>
          </cell>
          <cell r="B5697" t="str">
            <v>GO:0006813GO:0016020GO:0015079</v>
          </cell>
        </row>
        <row r="5698">
          <cell r="A5698" t="str">
            <v>GRMZM2G030305</v>
          </cell>
          <cell r="B5698" t="str">
            <v>GO:0004707GO:0006468GO:0004713GO:0005524</v>
          </cell>
        </row>
        <row r="5699">
          <cell r="A5699" t="str">
            <v>GRMZM2G103785</v>
          </cell>
          <cell r="B5699" t="str">
            <v>GO:0016810</v>
          </cell>
        </row>
        <row r="5700">
          <cell r="A5700" t="str">
            <v>GRMZM2G303419</v>
          </cell>
          <cell r="B5700" t="str">
            <v>GO:0008168</v>
          </cell>
        </row>
        <row r="5701">
          <cell r="A5701" t="str">
            <v>GRMZM2G049057</v>
          </cell>
          <cell r="B5701" t="str">
            <v>GO:0050825GO:0042309GO:0050826</v>
          </cell>
        </row>
        <row r="5702">
          <cell r="A5702" t="str">
            <v>GRMZM2G164036</v>
          </cell>
          <cell r="B5702" t="str">
            <v>GO:0004497GO:0020037GO:0009055</v>
          </cell>
        </row>
        <row r="5703">
          <cell r="A5703" t="str">
            <v>GRMZM2G303149</v>
          </cell>
          <cell r="B5703" t="str">
            <v>GO:0031072GO:0006457GO:0051082</v>
          </cell>
        </row>
        <row r="5704">
          <cell r="A5704" t="str">
            <v>GRMZM2G112524</v>
          </cell>
          <cell r="B5704" t="str">
            <v>GO:0006952GO:0009607</v>
          </cell>
        </row>
        <row r="5705">
          <cell r="A5705" t="str">
            <v>GRMZM2G089159</v>
          </cell>
          <cell r="B5705" t="str">
            <v>GO:0004674GO:0006468GO:0004713GO:0005524</v>
          </cell>
        </row>
        <row r="5706">
          <cell r="A5706" t="str">
            <v>GRMZM2G007477</v>
          </cell>
          <cell r="B5706" t="str">
            <v>GO:0004674GO:0006468GO:0004713GO:0005524</v>
          </cell>
        </row>
        <row r="5707">
          <cell r="A5707" t="str">
            <v>GRMZM2G443495</v>
          </cell>
          <cell r="B5707" t="str">
            <v>GO:0016884</v>
          </cell>
        </row>
        <row r="5708">
          <cell r="A5708" t="str">
            <v>GRMZM2G181030</v>
          </cell>
          <cell r="B5708" t="str">
            <v>GO:0003677</v>
          </cell>
        </row>
        <row r="5709">
          <cell r="A5709" t="str">
            <v>GRMZM2G082581</v>
          </cell>
          <cell r="B5709" t="str">
            <v>GO:0004450GO:0006102</v>
          </cell>
        </row>
        <row r="5710">
          <cell r="A5710" t="str">
            <v>GRMZM2G012160</v>
          </cell>
          <cell r="B5710" t="str">
            <v>GO:0004869</v>
          </cell>
        </row>
        <row r="5711">
          <cell r="A5711" t="str">
            <v>GRMZM2G050216</v>
          </cell>
          <cell r="B5711" t="str">
            <v>GO:0008270GO:0005515</v>
          </cell>
        </row>
        <row r="5712">
          <cell r="A5712" t="str">
            <v>AC208897.3_FG004</v>
          </cell>
          <cell r="B5712" t="str">
            <v>GO:0022891GO:0016021GO:0055085</v>
          </cell>
        </row>
        <row r="5713">
          <cell r="A5713" t="str">
            <v>GRMZM2G058026</v>
          </cell>
          <cell r="B5713" t="str">
            <v>GO:0006508GO:0004190</v>
          </cell>
        </row>
        <row r="5714">
          <cell r="A5714" t="str">
            <v>GRMZM2G017386</v>
          </cell>
          <cell r="B5714" t="str">
            <v>GO:0004674GO:0006468GO:0004713GO:0005524</v>
          </cell>
        </row>
        <row r="5715">
          <cell r="A5715" t="str">
            <v>GRMZM2G139284</v>
          </cell>
          <cell r="B5715" t="str">
            <v>GO:0003677</v>
          </cell>
        </row>
        <row r="5716">
          <cell r="A5716" t="str">
            <v>GRMZM2G036861</v>
          </cell>
          <cell r="B5716" t="str">
            <v>GO:0004107GO:0009073</v>
          </cell>
        </row>
        <row r="5717">
          <cell r="A5717" t="str">
            <v>GRMZM2G126832</v>
          </cell>
          <cell r="B5717" t="str">
            <v>GO:0003824</v>
          </cell>
        </row>
        <row r="5718">
          <cell r="A5718" t="str">
            <v>GRMZM2G176430</v>
          </cell>
          <cell r="B5718" t="str">
            <v>GO:0016021GO:0006814GO:0006835GO:0015137GO:0015746GO:0017153</v>
          </cell>
        </row>
        <row r="5719">
          <cell r="A5719" t="str">
            <v>AC149475.2_FG007</v>
          </cell>
          <cell r="B5719" t="str">
            <v>GO:0008080GO:0008152</v>
          </cell>
        </row>
        <row r="5720">
          <cell r="A5720" t="str">
            <v>GRMZM2G020002</v>
          </cell>
          <cell r="B5720" t="str">
            <v>GO:0016810</v>
          </cell>
        </row>
        <row r="5721">
          <cell r="A5721" t="str">
            <v>GRMZM2G109326</v>
          </cell>
          <cell r="B5721" t="str">
            <v>GO:0030246</v>
          </cell>
        </row>
        <row r="5722">
          <cell r="A5722" t="str">
            <v>GRMZM2G063566</v>
          </cell>
          <cell r="B5722" t="str">
            <v>GO:0005618GO:0048046GO:0016762GO:0006073GO:0004553</v>
          </cell>
        </row>
        <row r="5723">
          <cell r="A5723" t="str">
            <v>GRMZM2G149535</v>
          </cell>
          <cell r="B5723" t="str">
            <v>GO:0033862GO:0006207GO:0004349GO:0006561GO:0005737</v>
          </cell>
        </row>
        <row r="5724">
          <cell r="A5724" t="str">
            <v>GRMZM2G090981</v>
          </cell>
          <cell r="B5724" t="str">
            <v>GO:0006810GO:0004222GO:0005215GO:0016020GO:0050825GO:0042309GO:0050826GO:0006508</v>
          </cell>
        </row>
        <row r="5725">
          <cell r="A5725" t="str">
            <v>GRMZM2G443728</v>
          </cell>
          <cell r="B5725" t="str">
            <v>GO:0006813GO:0016020GO:0015079</v>
          </cell>
        </row>
        <row r="5726">
          <cell r="A5726" t="str">
            <v>GRMZM2G063340</v>
          </cell>
          <cell r="B5726" t="str">
            <v>GO:0003735GO:0006412GO:0005840</v>
          </cell>
        </row>
        <row r="5727">
          <cell r="A5727" t="str">
            <v>GRMZM2G127308</v>
          </cell>
          <cell r="B5727" t="str">
            <v>GO:0016846</v>
          </cell>
        </row>
        <row r="5728">
          <cell r="A5728" t="str">
            <v>GRMZM2G361256</v>
          </cell>
          <cell r="B5728" t="str">
            <v>GO:0016021GO:0006810GO:0042626GO:0005524</v>
          </cell>
        </row>
        <row r="5729">
          <cell r="A5729" t="str">
            <v>GRMZM2G112149</v>
          </cell>
          <cell r="B5729" t="str">
            <v>GO:0009086GO:0003871GO:0008270</v>
          </cell>
        </row>
        <row r="5730">
          <cell r="A5730" t="str">
            <v>GRMZM2G123667</v>
          </cell>
          <cell r="B5730" t="str">
            <v>GO:0020037GO:0031361GO:0045449GO:0003677GO:0015979GO:0009055</v>
          </cell>
        </row>
        <row r="5731">
          <cell r="A5731" t="str">
            <v>GRMZM2G098305</v>
          </cell>
          <cell r="B5731" t="str">
            <v>GO:0003697</v>
          </cell>
        </row>
        <row r="5732">
          <cell r="A5732" t="str">
            <v>GRMZM2G087769</v>
          </cell>
          <cell r="B5732" t="str">
            <v>GO:0008168GO:0008152</v>
          </cell>
        </row>
        <row r="5733">
          <cell r="A5733" t="str">
            <v>GRMZM2G465383</v>
          </cell>
          <cell r="B5733" t="str">
            <v>GO:0005634GO:0003677GO:0006355GO:0050825GO:0042309GO:0050826GO:0004879</v>
          </cell>
        </row>
        <row r="5734">
          <cell r="A5734" t="str">
            <v>GRMZM2G054201</v>
          </cell>
          <cell r="B5734" t="str">
            <v>GO:0003735GO:0006412GO:0005840</v>
          </cell>
        </row>
        <row r="5735">
          <cell r="A5735" t="str">
            <v>GRMZM2G106950</v>
          </cell>
          <cell r="B5735" t="str">
            <v>GO:0004425GO:0006568</v>
          </cell>
        </row>
        <row r="5736">
          <cell r="A5736" t="str">
            <v>GRMZM2G152477</v>
          </cell>
          <cell r="B5736" t="str">
            <v>GO:0016787</v>
          </cell>
        </row>
        <row r="5737">
          <cell r="A5737" t="str">
            <v>GRMZM2G146437</v>
          </cell>
          <cell r="B5737" t="str">
            <v>GO:0016765</v>
          </cell>
        </row>
        <row r="5738">
          <cell r="A5738" t="str">
            <v>GRMZM2G037226</v>
          </cell>
          <cell r="B5738" t="str">
            <v>GO:0050825GO:0042309GO:0003676GO:0050826</v>
          </cell>
        </row>
        <row r="5739">
          <cell r="A5739" t="str">
            <v>GRMZM2G032160</v>
          </cell>
          <cell r="B5739" t="str">
            <v>GO:0033903GO:0016998</v>
          </cell>
        </row>
        <row r="5740">
          <cell r="A5740" t="str">
            <v>GRMZM2G065928</v>
          </cell>
          <cell r="B5740" t="str">
            <v>GO:0004497GO:0020037GO:0009055</v>
          </cell>
        </row>
        <row r="5741">
          <cell r="A5741" t="str">
            <v>GRMZM2G160005</v>
          </cell>
          <cell r="B5741" t="str">
            <v>GO:0006355GO:0005634GO:0003677GO:0009725</v>
          </cell>
        </row>
        <row r="5742">
          <cell r="A5742" t="str">
            <v>GRMZM2G127948</v>
          </cell>
          <cell r="B5742" t="str">
            <v>GO:0008171</v>
          </cell>
        </row>
        <row r="5743">
          <cell r="A5743" t="str">
            <v>GRMZM2G073743</v>
          </cell>
          <cell r="B5743" t="str">
            <v>GO:0005215GO:0006810GO:0005488</v>
          </cell>
        </row>
        <row r="5744">
          <cell r="A5744" t="str">
            <v>GRMZM2G171279</v>
          </cell>
          <cell r="B5744" t="str">
            <v>GO:0006813GO:0016020GO:0005249</v>
          </cell>
        </row>
        <row r="5745">
          <cell r="A5745" t="str">
            <v>GRMZM2G105189</v>
          </cell>
          <cell r="B5745" t="str">
            <v>GO:0006629GO:0016788</v>
          </cell>
        </row>
        <row r="5746">
          <cell r="A5746" t="str">
            <v>GRMZM2G316030</v>
          </cell>
          <cell r="B5746" t="str">
            <v>GO:0016758GO:0008152</v>
          </cell>
        </row>
        <row r="5747">
          <cell r="A5747" t="str">
            <v>GRMZM2G403076</v>
          </cell>
          <cell r="B5747" t="str">
            <v>GO:0050660GO:0016491</v>
          </cell>
        </row>
        <row r="5748">
          <cell r="A5748" t="str">
            <v>GRMZM2G066428</v>
          </cell>
          <cell r="B5748" t="str">
            <v>GO:0005975GO:0016868</v>
          </cell>
        </row>
        <row r="5749">
          <cell r="A5749" t="str">
            <v>GRMZM2G007063</v>
          </cell>
          <cell r="B5749" t="str">
            <v>GO:0043565GO:0005840GO:0003700GO:0005634GO:0003735GO:0006355GO:0046983GO:0006412</v>
          </cell>
        </row>
        <row r="5750">
          <cell r="A5750" t="str">
            <v>GRMZM2G381744</v>
          </cell>
          <cell r="B5750" t="str">
            <v>GO:0006457GO:0051082GO:0005524</v>
          </cell>
        </row>
        <row r="5751">
          <cell r="A5751" t="str">
            <v>GRMZM2G175076</v>
          </cell>
          <cell r="B5751" t="str">
            <v>GO:0045430GO:0009813</v>
          </cell>
        </row>
        <row r="5752">
          <cell r="A5752" t="str">
            <v>GRMZM2G157564</v>
          </cell>
          <cell r="B5752" t="str">
            <v>GO:0016020GO:0016887GO:0005524</v>
          </cell>
        </row>
        <row r="5753">
          <cell r="A5753" t="str">
            <v>GRMZM2G091456</v>
          </cell>
          <cell r="B5753" t="str">
            <v>GO:0004506GO:0016021GO:0050660GO:0043087GO:0055114</v>
          </cell>
        </row>
        <row r="5754">
          <cell r="A5754" t="str">
            <v>GRMZM2G009894</v>
          </cell>
          <cell r="B5754" t="str">
            <v>GO:0003735GO:0006412GO:0005840</v>
          </cell>
        </row>
        <row r="5755">
          <cell r="A5755" t="str">
            <v>GRMZM2G098637</v>
          </cell>
          <cell r="B5755" t="str">
            <v>GO:0008270GO:0050825GO:0042309GO:0005515GO:0050826</v>
          </cell>
        </row>
        <row r="5756">
          <cell r="A5756" t="str">
            <v>GRMZM2G023436</v>
          </cell>
          <cell r="B5756" t="str">
            <v>GO:0008134GO:0003924GO:0006913GO:0005622GO:0006355GO:0004871GO:0007264GO:0007186GO:0006886GO:0005524GO:0005525</v>
          </cell>
        </row>
        <row r="5757">
          <cell r="A5757" t="str">
            <v>GRMZM2G136534</v>
          </cell>
          <cell r="B5757" t="str">
            <v>GO:0004601GO:0006979GO:0020037GO:0009055</v>
          </cell>
        </row>
        <row r="5758">
          <cell r="A5758" t="str">
            <v>GRMZM2G082191</v>
          </cell>
          <cell r="B5758" t="str">
            <v>GO:0006468GO:0004674GO:0009058GO:0004713GO:0005515GO:0005524GO:0030170</v>
          </cell>
        </row>
        <row r="5759">
          <cell r="A5759" t="str">
            <v>GRMZM2G005433</v>
          </cell>
          <cell r="B5759" t="str">
            <v>GO:0009654GO:0015979</v>
          </cell>
        </row>
        <row r="5760">
          <cell r="A5760" t="str">
            <v>GRMZM2G134027</v>
          </cell>
          <cell r="B5760" t="str">
            <v>GO:0005488</v>
          </cell>
        </row>
        <row r="5761">
          <cell r="A5761" t="str">
            <v>GRMZM2G032766</v>
          </cell>
          <cell r="B5761" t="str">
            <v>GO:0016020GO:0051260</v>
          </cell>
        </row>
        <row r="5762">
          <cell r="A5762" t="str">
            <v>GRMZM2G168108</v>
          </cell>
          <cell r="B5762" t="str">
            <v>GO:0016021</v>
          </cell>
        </row>
        <row r="5763">
          <cell r="A5763" t="str">
            <v>GRMZM2G032763</v>
          </cell>
          <cell r="B5763" t="str">
            <v>GO:0006413GO:0045454GO:0009055GO:0015035GO:0003743</v>
          </cell>
        </row>
        <row r="5764">
          <cell r="A5764" t="str">
            <v>GRMZM2G097856</v>
          </cell>
          <cell r="B5764" t="str">
            <v>GO:0019904</v>
          </cell>
        </row>
        <row r="5765">
          <cell r="A5765" t="str">
            <v>GRMZM2G111143</v>
          </cell>
          <cell r="B5765" t="str">
            <v>GO:0005975GO:0004553</v>
          </cell>
        </row>
        <row r="5766">
          <cell r="A5766" t="str">
            <v>GRMZM2G177726</v>
          </cell>
          <cell r="B5766" t="str">
            <v>GO:0004674GO:0006468GO:0004713GO:0005524</v>
          </cell>
        </row>
        <row r="5767">
          <cell r="A5767" t="str">
            <v>GRMZM2G470499</v>
          </cell>
          <cell r="B5767" t="str">
            <v>GO:0004674GO:0006468GO:0004713GO:0005524</v>
          </cell>
        </row>
        <row r="5768">
          <cell r="A5768" t="str">
            <v>GRMZM2G096585</v>
          </cell>
          <cell r="B5768" t="str">
            <v>GO:0006457</v>
          </cell>
        </row>
        <row r="5769">
          <cell r="A5769" t="str">
            <v>GRMZM2G066101</v>
          </cell>
          <cell r="B5769" t="str">
            <v>GO:0005634GO:0006270GO:0005524GO:0016887GO:0003677</v>
          </cell>
        </row>
        <row r="5770">
          <cell r="A5770" t="str">
            <v>GRMZM2G032564</v>
          </cell>
          <cell r="B5770" t="str">
            <v>GO:0003735GO:0006412GO:0005840</v>
          </cell>
        </row>
        <row r="5771">
          <cell r="A5771" t="str">
            <v>GRMZM2G377797</v>
          </cell>
          <cell r="B5771" t="str">
            <v>GO:0003735GO:0006412GO:0005840</v>
          </cell>
        </row>
        <row r="5772">
          <cell r="A5772" t="str">
            <v>GRMZM2G130389</v>
          </cell>
          <cell r="B5772" t="str">
            <v>GO:0004674GO:0006468GO:0004713GO:0005524</v>
          </cell>
        </row>
        <row r="5773">
          <cell r="A5773" t="str">
            <v>GRMZM2G032562</v>
          </cell>
          <cell r="B5773" t="str">
            <v>GO:0006511GO:0005515</v>
          </cell>
        </row>
        <row r="5774">
          <cell r="A5774" t="str">
            <v>GRMZM2G123843</v>
          </cell>
          <cell r="B5774" t="str">
            <v>GO:0015031GO:0007030GO:0016020</v>
          </cell>
        </row>
        <row r="5775">
          <cell r="A5775" t="str">
            <v>GRMZM2G093776</v>
          </cell>
          <cell r="B5775" t="str">
            <v>GO:0006508GO:0004197</v>
          </cell>
        </row>
        <row r="5776">
          <cell r="A5776" t="str">
            <v>GRMZM2G170692</v>
          </cell>
          <cell r="B5776" t="str">
            <v>GO:0005737GO:0009058GO:0016841GO:0016211GO:0006559</v>
          </cell>
        </row>
        <row r="5777">
          <cell r="A5777" t="str">
            <v>GRMZM2G099454</v>
          </cell>
          <cell r="B5777" t="str">
            <v>GO:0004568GO:0006032GO:0016998</v>
          </cell>
        </row>
        <row r="5778">
          <cell r="A5778" t="str">
            <v>GRMZM2G092379</v>
          </cell>
          <cell r="B5778" t="str">
            <v>GO:0006508GO:0005515GO:0008236</v>
          </cell>
        </row>
        <row r="5779">
          <cell r="A5779" t="str">
            <v>GRMZM2G044137</v>
          </cell>
          <cell r="B5779" t="str">
            <v>GO:0003735GO:0006412GO:0005840</v>
          </cell>
        </row>
        <row r="5780">
          <cell r="A5780" t="str">
            <v>GRMZM2G005652</v>
          </cell>
          <cell r="B5780" t="str">
            <v>GO:0032313GO:0003735GO:0006412GO:0005097GO:0005840</v>
          </cell>
        </row>
        <row r="5781">
          <cell r="A5781" t="str">
            <v>GRMZM2G168249</v>
          </cell>
          <cell r="B5781" t="str">
            <v>GO:0004176GO:0004252GO:0008270GO:0005515GO:0003677GO:0006508GO:0005524</v>
          </cell>
        </row>
        <row r="5782">
          <cell r="A5782" t="str">
            <v>GRMZM2G151923</v>
          </cell>
          <cell r="B5782" t="str">
            <v>GO:0008270GO:0003676</v>
          </cell>
        </row>
        <row r="5783">
          <cell r="A5783" t="str">
            <v>GRMZM2G053916</v>
          </cell>
          <cell r="B5783" t="str">
            <v>GO:0050660GO:0009055</v>
          </cell>
        </row>
        <row r="5784">
          <cell r="A5784" t="str">
            <v>GRMZM2G057930</v>
          </cell>
          <cell r="B5784" t="str">
            <v>GO:0016757</v>
          </cell>
        </row>
        <row r="5785">
          <cell r="A5785" t="str">
            <v>GRMZM2G160730</v>
          </cell>
          <cell r="B5785" t="str">
            <v>GO:0003700GO:0006355</v>
          </cell>
        </row>
        <row r="5786">
          <cell r="A5786" t="str">
            <v>GRMZM2G108514</v>
          </cell>
          <cell r="B5786" t="str">
            <v>GO:0006519GO:0016831GO:0019752GO:0030170</v>
          </cell>
        </row>
        <row r="5787">
          <cell r="A5787" t="str">
            <v>GRMZM2G025190</v>
          </cell>
          <cell r="B5787" t="str">
            <v>GO:0005737GO:0004364GO:0008152</v>
          </cell>
        </row>
        <row r="5788">
          <cell r="A5788" t="str">
            <v>GRMZM2G430039</v>
          </cell>
          <cell r="B5788" t="str">
            <v>GO:0006508GO:0043086GO:0042802GO:0004252</v>
          </cell>
        </row>
        <row r="5789">
          <cell r="A5789" t="str">
            <v>GRMZM2G073567</v>
          </cell>
          <cell r="B5789" t="str">
            <v>GO:0003676</v>
          </cell>
        </row>
        <row r="5790">
          <cell r="A5790" t="str">
            <v>GRMZM2G095727</v>
          </cell>
          <cell r="B5790" t="str">
            <v>GO:0006355GO:0000156GO:0000160</v>
          </cell>
        </row>
        <row r="5791">
          <cell r="A5791" t="str">
            <v>GRMZM2G175576</v>
          </cell>
          <cell r="B5791" t="str">
            <v>GO:0004008GO:0016021GO:0006825GO:0046872GO:0006754GO:0005524</v>
          </cell>
        </row>
        <row r="5792">
          <cell r="A5792" t="str">
            <v>GRMZM2G114642</v>
          </cell>
          <cell r="B5792" t="str">
            <v>GO:0006633GO:0005506GO:0005783GO:0055114GO:0016491</v>
          </cell>
        </row>
        <row r="5793">
          <cell r="A5793" t="str">
            <v>GRMZM2G142777</v>
          </cell>
          <cell r="B5793" t="str">
            <v>GO:0003824GO:0008152</v>
          </cell>
        </row>
        <row r="5794">
          <cell r="A5794" t="str">
            <v>GRMZM2G004382</v>
          </cell>
          <cell r="B5794" t="str">
            <v>GO:0004455GO:0005488GO:0009082</v>
          </cell>
        </row>
        <row r="5795">
          <cell r="A5795" t="str">
            <v>GRMZM2G011213</v>
          </cell>
          <cell r="B5795" t="str">
            <v>GO:0005759</v>
          </cell>
        </row>
        <row r="5796">
          <cell r="A5796" t="str">
            <v>GRMZM2G178968</v>
          </cell>
          <cell r="B5796" t="str">
            <v>GO:0003735GO:0042254GO:0006412GO:0005840</v>
          </cell>
        </row>
        <row r="5797">
          <cell r="A5797" t="str">
            <v>GRMZM2G122251</v>
          </cell>
          <cell r="B5797" t="str">
            <v>GO:0006857GO:0005215GO:0016020</v>
          </cell>
        </row>
        <row r="5798">
          <cell r="A5798" t="str">
            <v>GRMZM2G000371</v>
          </cell>
          <cell r="B5798" t="str">
            <v>GO:0004386</v>
          </cell>
        </row>
        <row r="5799">
          <cell r="A5799" t="str">
            <v>GRMZM2G011219</v>
          </cell>
          <cell r="B5799" t="str">
            <v>GO:0007155GO:0006891GO:0015629GO:0030173GO:0005198</v>
          </cell>
        </row>
        <row r="5800">
          <cell r="A5800" t="str">
            <v>GRMZM2G032419</v>
          </cell>
          <cell r="B5800" t="str">
            <v>GO:0005732GO:0006364GO:0019843</v>
          </cell>
        </row>
        <row r="5801">
          <cell r="A5801" t="str">
            <v>GRMZM2G358987</v>
          </cell>
          <cell r="B5801" t="str">
            <v>GO:0008270GO:0005515</v>
          </cell>
        </row>
        <row r="5802">
          <cell r="A5802" t="str">
            <v>GRMZM2G163769</v>
          </cell>
          <cell r="B5802" t="str">
            <v>GO:0003735GO:0015934GO:0006412</v>
          </cell>
        </row>
        <row r="5803">
          <cell r="A5803" t="str">
            <v>GRMZM2G160351</v>
          </cell>
          <cell r="B5803" t="str">
            <v>GO:0003735GO:0006412GO:0005840</v>
          </cell>
        </row>
        <row r="5804">
          <cell r="A5804" t="str">
            <v>GRMZM2G365374</v>
          </cell>
          <cell r="B5804" t="str">
            <v>GO:0006457GO:0051082GO:0005524</v>
          </cell>
        </row>
        <row r="5805">
          <cell r="A5805" t="str">
            <v>GRMZM2G127789</v>
          </cell>
          <cell r="B5805" t="str">
            <v>GO:0005737GO:0004364GO:0008152</v>
          </cell>
        </row>
        <row r="5806">
          <cell r="A5806" t="str">
            <v>GRMZM2G024151</v>
          </cell>
          <cell r="B5806" t="str">
            <v>GO:0004674GO:0006468GO:0004713GO:0005524</v>
          </cell>
        </row>
        <row r="5807">
          <cell r="A5807" t="str">
            <v>GRMZM2G031802</v>
          </cell>
          <cell r="B5807" t="str">
            <v>GO:0046923GO:0016021GO:0006621</v>
          </cell>
        </row>
        <row r="5808">
          <cell r="A5808" t="str">
            <v>GRMZM2G104549</v>
          </cell>
          <cell r="B5808" t="str">
            <v>GO:0016020GO:0009765</v>
          </cell>
        </row>
        <row r="5809">
          <cell r="A5809" t="str">
            <v>GRMZM2G005939</v>
          </cell>
          <cell r="B5809" t="str">
            <v>GO:0005634GO:0045449GO:0030528</v>
          </cell>
        </row>
        <row r="5810">
          <cell r="A5810" t="str">
            <v>GRMZM2G087901</v>
          </cell>
          <cell r="B5810" t="str">
            <v>GO:0008515GO:0015770GO:0005887</v>
          </cell>
        </row>
        <row r="5811">
          <cell r="A5811" t="str">
            <v>GRMZM2G156296</v>
          </cell>
          <cell r="B5811" t="str">
            <v>GO:0016747</v>
          </cell>
        </row>
        <row r="5812">
          <cell r="A5812" t="str">
            <v>GRMZM2G027958</v>
          </cell>
          <cell r="B5812" t="str">
            <v>GO:0004674GO:0006468GO:0004713GO:0005524</v>
          </cell>
        </row>
        <row r="5813">
          <cell r="A5813" t="str">
            <v>GRMZM2G021055</v>
          </cell>
          <cell r="B5813" t="str">
            <v>GO:0015297GO:0016020GO:0006855GO:0015238</v>
          </cell>
        </row>
        <row r="5814">
          <cell r="A5814" t="str">
            <v>GRMZM2G098890</v>
          </cell>
          <cell r="B5814" t="str">
            <v>GO:0016758GO:0008152</v>
          </cell>
        </row>
        <row r="5815">
          <cell r="A5815" t="str">
            <v>GRMZM2G152040</v>
          </cell>
          <cell r="B5815" t="str">
            <v>GO:0015969GO:0005509</v>
          </cell>
        </row>
        <row r="5816">
          <cell r="A5816" t="str">
            <v>GRMZM2G044317</v>
          </cell>
          <cell r="B5816" t="str">
            <v>GO:0005658GO:0006269GO:0003896</v>
          </cell>
        </row>
        <row r="5817">
          <cell r="A5817" t="str">
            <v>GRMZM2G423472</v>
          </cell>
          <cell r="B5817" t="str">
            <v>GO:0016021GO:0016192</v>
          </cell>
        </row>
        <row r="5818">
          <cell r="A5818" t="str">
            <v>GRMZM2G016671</v>
          </cell>
          <cell r="B5818" t="str">
            <v>GO:0004674GO:0006468GO:0004713GO:0005524</v>
          </cell>
        </row>
        <row r="5819">
          <cell r="A5819" t="str">
            <v>GRMZM2G057611</v>
          </cell>
          <cell r="B5819" t="str">
            <v>GO:0006857GO:0005215GO:0016020GO:0006457GO:0005524</v>
          </cell>
        </row>
        <row r="5820">
          <cell r="A5820" t="str">
            <v>GRMZM2G016677</v>
          </cell>
          <cell r="B5820" t="str">
            <v>GO:0019898GO:0009654GO:0005509GO:0015979</v>
          </cell>
        </row>
        <row r="5821">
          <cell r="A5821" t="str">
            <v>GRMZM2G019446</v>
          </cell>
          <cell r="B5821" t="str">
            <v>GO:0003700GO:0006355GO:0046983GO:0005634GO:0043565</v>
          </cell>
        </row>
        <row r="5822">
          <cell r="A5822" t="str">
            <v>GRMZM2G061230</v>
          </cell>
          <cell r="B5822" t="str">
            <v>GO:0005179GO:0020037GO:0006979GO:0005576GO:0004601GO:0009055</v>
          </cell>
        </row>
        <row r="5823">
          <cell r="A5823" t="str">
            <v>GRMZM2G315176</v>
          </cell>
          <cell r="B5823" t="str">
            <v>GO:0008026GO:0003676GO:0005524</v>
          </cell>
        </row>
        <row r="5824">
          <cell r="A5824" t="str">
            <v>GRMZM2G119865</v>
          </cell>
          <cell r="B5824" t="str">
            <v>GO:0003700GO:0006355GO:0003735GO:0006412GO:0005840</v>
          </cell>
        </row>
        <row r="5825">
          <cell r="A5825" t="str">
            <v>GRMZM2G095348</v>
          </cell>
          <cell r="B5825" t="str">
            <v>GO:0006886GO:0030117GO:0016192GO:0005515GO:0005198</v>
          </cell>
        </row>
        <row r="5826">
          <cell r="A5826" t="str">
            <v>GRMZM2G035664</v>
          </cell>
          <cell r="B5826" t="str">
            <v>GO:0005515</v>
          </cell>
        </row>
        <row r="5827">
          <cell r="A5827" t="str">
            <v>GRMZM2G406830</v>
          </cell>
          <cell r="B5827" t="str">
            <v>GO:0016491GO:0006468GO:0050660GO:0051536GO:0004672GO:0046872GO:0005524GO:0009055</v>
          </cell>
        </row>
        <row r="5828">
          <cell r="A5828" t="str">
            <v>AC233866.1_FG006</v>
          </cell>
          <cell r="B5828" t="str">
            <v>GO:0005737GO:0003746GO:0006414GO:0003924GO:0005525</v>
          </cell>
        </row>
        <row r="5829">
          <cell r="A5829" t="str">
            <v>GRMZM2G147966</v>
          </cell>
          <cell r="B5829" t="str">
            <v>GO:0050660GO:0050664GO:0016021GO:0005509GO:0005506GO:0004601GO:0055114GO:0009055</v>
          </cell>
        </row>
        <row r="5830">
          <cell r="A5830" t="str">
            <v>GRMZM2G471594</v>
          </cell>
          <cell r="B5830" t="str">
            <v>GO:0008107GO:0016020GO:0042546</v>
          </cell>
        </row>
        <row r="5831">
          <cell r="A5831" t="str">
            <v>GRMZM2G117754</v>
          </cell>
          <cell r="B5831" t="str">
            <v>GO:0016298GO:0006629</v>
          </cell>
        </row>
        <row r="5832">
          <cell r="A5832" t="str">
            <v>GRMZM2G007012</v>
          </cell>
          <cell r="B5832" t="str">
            <v>GO:0016758GO:0008152</v>
          </cell>
        </row>
        <row r="5833">
          <cell r="A5833" t="str">
            <v>GRMZM2G162670</v>
          </cell>
          <cell r="B5833" t="str">
            <v>GO:0017176GO:0016021GO:0006506</v>
          </cell>
        </row>
        <row r="5834">
          <cell r="A5834" t="str">
            <v>GRMZM2G003002</v>
          </cell>
          <cell r="B5834" t="str">
            <v>GO:0005840GO:0006334GO:0030288GO:0006412GO:0003735GO:0005381GO:0006826GO:0003677GO:0000786GO:0005634</v>
          </cell>
        </row>
        <row r="5835">
          <cell r="A5835" t="str">
            <v>GRMZM2G395778</v>
          </cell>
          <cell r="B5835" t="str">
            <v>GO:0004674GO:0006468GO:0004713GO:0005524</v>
          </cell>
        </row>
        <row r="5836">
          <cell r="A5836" t="str">
            <v>GRMZM2G056329</v>
          </cell>
          <cell r="B5836" t="str">
            <v>GO:0005524</v>
          </cell>
        </row>
        <row r="5837">
          <cell r="A5837" t="str">
            <v>GRMZM2G021879</v>
          </cell>
          <cell r="B5837" t="str">
            <v>GO:0008270GO:0005515</v>
          </cell>
        </row>
        <row r="5838">
          <cell r="A5838" t="str">
            <v>GRMZM2G057328</v>
          </cell>
          <cell r="B5838" t="str">
            <v>GO:0003854GO:0050662GO:0006694</v>
          </cell>
        </row>
        <row r="5839">
          <cell r="A5839" t="str">
            <v>GRMZM2G400714</v>
          </cell>
          <cell r="B5839" t="str">
            <v>GO:0008270GO:0005622</v>
          </cell>
        </row>
        <row r="5840">
          <cell r="A5840" t="str">
            <v>GRMZM2G162690</v>
          </cell>
          <cell r="B5840" t="str">
            <v>GO:0004555GO:0005991</v>
          </cell>
        </row>
        <row r="5841">
          <cell r="A5841" t="str">
            <v>GRMZM2G436593</v>
          </cell>
          <cell r="B5841" t="str">
            <v>GO:0006839GO:0005743GO:0005488GO:0005215</v>
          </cell>
        </row>
        <row r="5842">
          <cell r="A5842" t="str">
            <v>GRMZM2G028104</v>
          </cell>
          <cell r="B5842" t="str">
            <v>GO:0016747GO:0008152GO:0016491</v>
          </cell>
        </row>
        <row r="5843">
          <cell r="A5843" t="str">
            <v>GRMZM2G167428</v>
          </cell>
          <cell r="B5843" t="str">
            <v>GO:0050825GO:0042309GO:0050826</v>
          </cell>
        </row>
        <row r="5844">
          <cell r="A5844" t="str">
            <v>GRMZM2G124890</v>
          </cell>
          <cell r="B5844" t="str">
            <v>GO:0000160GO:0004871</v>
          </cell>
        </row>
        <row r="5845">
          <cell r="A5845" t="str">
            <v>GRMZM2G011590</v>
          </cell>
          <cell r="B5845" t="str">
            <v>GO:0006857GO:0005215GO:0016020</v>
          </cell>
        </row>
        <row r="5846">
          <cell r="A5846" t="str">
            <v>GRMZM2G140116</v>
          </cell>
          <cell r="B5846" t="str">
            <v>GO:0003735GO:0006412GO:0005840</v>
          </cell>
        </row>
        <row r="5847">
          <cell r="A5847" t="str">
            <v>GRMZM2G151249</v>
          </cell>
          <cell r="B5847" t="str">
            <v>GO:0048046GO:0030145GO:0045735</v>
          </cell>
        </row>
        <row r="5848">
          <cell r="A5848" t="str">
            <v>AC195860.3_FG006</v>
          </cell>
          <cell r="B5848" t="str">
            <v>GO:0003723GO:0006396</v>
          </cell>
        </row>
        <row r="5849">
          <cell r="A5849" t="str">
            <v>GRMZM2G094165</v>
          </cell>
          <cell r="B5849" t="str">
            <v>GO:0015976GO:0004089GO:0008270</v>
          </cell>
        </row>
        <row r="5850">
          <cell r="A5850" t="str">
            <v>GRMZM2G432850</v>
          </cell>
          <cell r="B5850" t="str">
            <v>GO:0050825GO:0042309GO:0050826</v>
          </cell>
        </row>
        <row r="5851">
          <cell r="A5851" t="str">
            <v>GRMZM2G178852</v>
          </cell>
          <cell r="B5851" t="str">
            <v>GO:0050825GO:0042309GO:0050826</v>
          </cell>
        </row>
        <row r="5852">
          <cell r="A5852" t="str">
            <v>GRMZM2G140545</v>
          </cell>
          <cell r="B5852" t="str">
            <v>GO:0019904</v>
          </cell>
        </row>
        <row r="5853">
          <cell r="A5853" t="str">
            <v>GRMZM2G396248</v>
          </cell>
          <cell r="B5853" t="str">
            <v>GO:0004497GO:0020037GO:0009055</v>
          </cell>
        </row>
        <row r="5854">
          <cell r="A5854" t="str">
            <v>GRMZM2G311898</v>
          </cell>
          <cell r="B5854" t="str">
            <v>GO:0045454GO:0015035GO:0009055</v>
          </cell>
        </row>
        <row r="5855">
          <cell r="A5855" t="str">
            <v>GRMZM2G159756</v>
          </cell>
          <cell r="B5855" t="str">
            <v>GO:0004674GO:0006468GO:0004713GO:0005524</v>
          </cell>
        </row>
        <row r="5856">
          <cell r="A5856" t="str">
            <v>GRMZM2G351125</v>
          </cell>
          <cell r="B5856" t="str">
            <v>GO:0005622GO:0017111GO:0005525</v>
          </cell>
        </row>
        <row r="5857">
          <cell r="A5857" t="str">
            <v>GRMZM2G031790</v>
          </cell>
          <cell r="B5857" t="str">
            <v>GO:0006633GO:0016020GO:0008415</v>
          </cell>
        </row>
        <row r="5858">
          <cell r="A5858" t="str">
            <v>GRMZM2G083725</v>
          </cell>
          <cell r="B5858" t="str">
            <v>GO:0008289GO:0006869</v>
          </cell>
        </row>
        <row r="5859">
          <cell r="A5859" t="str">
            <v>GRMZM2G111975</v>
          </cell>
          <cell r="B5859" t="str">
            <v>GO:0007186GO:0004990GO:0030173GO:0006486GO:0008373</v>
          </cell>
        </row>
        <row r="5860">
          <cell r="A5860" t="str">
            <v>GRMZM2G057186</v>
          </cell>
          <cell r="B5860" t="str">
            <v>GO:0003824</v>
          </cell>
        </row>
        <row r="5861">
          <cell r="A5861" t="str">
            <v>GRMZM2G133262</v>
          </cell>
          <cell r="B5861" t="str">
            <v>GO:0006355GO:0000156GO:0000160</v>
          </cell>
        </row>
        <row r="5862">
          <cell r="A5862" t="str">
            <v>AC184169.3_FG001</v>
          </cell>
          <cell r="B5862" t="str">
            <v>GO:0050825GO:0042309GO:0050826</v>
          </cell>
        </row>
        <row r="5863">
          <cell r="A5863" t="str">
            <v>GRMZM2G162527</v>
          </cell>
          <cell r="B5863" t="str">
            <v>GO:0003779GO:0008152GO:0016491</v>
          </cell>
        </row>
        <row r="5864">
          <cell r="A5864" t="str">
            <v>GRMZM2G368411</v>
          </cell>
          <cell r="B5864" t="str">
            <v>GO:0005506GO:0016491</v>
          </cell>
        </row>
        <row r="5865">
          <cell r="A5865" t="str">
            <v>GRMZM2G174990</v>
          </cell>
          <cell r="B5865" t="str">
            <v>GO:0005215GO:0006810GO:0005622</v>
          </cell>
        </row>
        <row r="5866">
          <cell r="A5866" t="str">
            <v>GRMZM2G059502</v>
          </cell>
          <cell r="B5866" t="str">
            <v>GO:0031072</v>
          </cell>
        </row>
        <row r="5867">
          <cell r="A5867" t="str">
            <v>GRMZM2G009188</v>
          </cell>
          <cell r="B5867" t="str">
            <v>GO:0009239GO:0005488GO:0008667</v>
          </cell>
        </row>
        <row r="5868">
          <cell r="A5868" t="str">
            <v>GRMZM2G001898</v>
          </cell>
          <cell r="B5868" t="str">
            <v>GO:0006573GO:0004491</v>
          </cell>
        </row>
        <row r="5869">
          <cell r="A5869" t="str">
            <v>GRMZM2G461269</v>
          </cell>
          <cell r="B5869" t="str">
            <v>GO:0006915GO:0005524</v>
          </cell>
        </row>
        <row r="5870">
          <cell r="A5870" t="str">
            <v>GRMZM2G028438</v>
          </cell>
          <cell r="B5870" t="str">
            <v>GO:0050825GO:0042309GO:0050826</v>
          </cell>
        </row>
        <row r="5871">
          <cell r="A5871" t="str">
            <v>GRMZM2G158083</v>
          </cell>
          <cell r="B5871" t="str">
            <v>GO:0016747</v>
          </cell>
        </row>
        <row r="5872">
          <cell r="A5872" t="str">
            <v>GRMZM2G080222</v>
          </cell>
          <cell r="B5872" t="str">
            <v>GO:0003735GO:0006412GO:0015935</v>
          </cell>
        </row>
        <row r="5873">
          <cell r="A5873" t="str">
            <v>GRMZM2G126795</v>
          </cell>
          <cell r="B5873" t="str">
            <v>GO:0000159GO:0000151GO:0016567GO:0007165GO:0005515GO:0008601GO:0004842GO:0008270</v>
          </cell>
        </row>
        <row r="5874">
          <cell r="A5874" t="str">
            <v>GRMZM2G177424</v>
          </cell>
          <cell r="B5874" t="str">
            <v>GO:0046983GO:0008171</v>
          </cell>
        </row>
        <row r="5875">
          <cell r="A5875" t="str">
            <v>GRMZM2G135165</v>
          </cell>
          <cell r="B5875" t="str">
            <v>GO:0005840GO:0016021GO:0003735GO:0050825GO:0042309GO:0050826GO:0007186GO:0006412</v>
          </cell>
        </row>
        <row r="5876">
          <cell r="A5876" t="str">
            <v>GRMZM2G089767</v>
          </cell>
          <cell r="B5876" t="str">
            <v>GO:0003872GO:0005945GO:0004001GO:0006166GO:0006096</v>
          </cell>
        </row>
        <row r="5877">
          <cell r="A5877" t="str">
            <v>GRMZM2G155058</v>
          </cell>
          <cell r="B5877" t="str">
            <v>GO:0016787</v>
          </cell>
        </row>
        <row r="5878">
          <cell r="A5878" t="str">
            <v>GRMZM2G056988</v>
          </cell>
          <cell r="B5878" t="str">
            <v>GO:0031072GO:0006457GO:0051082</v>
          </cell>
        </row>
        <row r="5879">
          <cell r="A5879" t="str">
            <v>GRMZM2G163328</v>
          </cell>
          <cell r="B5879" t="str">
            <v>GO:0004674GO:0006468GO:0004713GO:0005524</v>
          </cell>
        </row>
        <row r="5880">
          <cell r="A5880" t="str">
            <v>AC233870.1_FG003</v>
          </cell>
          <cell r="B5880" t="str">
            <v>GO:0006364</v>
          </cell>
        </row>
        <row r="5881">
          <cell r="A5881" t="str">
            <v>GRMZM2G082520</v>
          </cell>
          <cell r="B5881" t="str">
            <v>GO:0005576GO:0019953</v>
          </cell>
        </row>
        <row r="5882">
          <cell r="A5882" t="str">
            <v>GRMZM2G131245</v>
          </cell>
          <cell r="B5882" t="str">
            <v>GO:0008270GO:0003676GO:0005515</v>
          </cell>
        </row>
        <row r="5883">
          <cell r="A5883" t="str">
            <v>GRMZM2G127379</v>
          </cell>
          <cell r="B5883" t="str">
            <v>GO:0045449GO:0003677</v>
          </cell>
        </row>
        <row r="5884">
          <cell r="A5884" t="str">
            <v>GRMZM2G087625</v>
          </cell>
          <cell r="B5884" t="str">
            <v>GO:0004674GO:0006468GO:0004713GO:0005524</v>
          </cell>
        </row>
        <row r="5885">
          <cell r="A5885" t="str">
            <v>GRMZM2G149257</v>
          </cell>
          <cell r="B5885" t="str">
            <v>GO:0003735GO:0006412GO:0005840</v>
          </cell>
        </row>
        <row r="5886">
          <cell r="A5886" t="str">
            <v>GRMZM2G410916</v>
          </cell>
          <cell r="B5886" t="str">
            <v>GO:0016757</v>
          </cell>
        </row>
        <row r="5887">
          <cell r="A5887" t="str">
            <v>GRMZM2G098084</v>
          </cell>
          <cell r="B5887" t="str">
            <v>GO:0050825GO:0042309GO:0050826</v>
          </cell>
        </row>
        <row r="5888">
          <cell r="A5888" t="str">
            <v>GRMZM2G125923</v>
          </cell>
          <cell r="B5888" t="str">
            <v>GO:0004664GO:0009094</v>
          </cell>
        </row>
        <row r="5889">
          <cell r="A5889" t="str">
            <v>GRMZM2G087192</v>
          </cell>
          <cell r="B5889" t="str">
            <v>GO:0010181GO:0016491</v>
          </cell>
        </row>
        <row r="5890">
          <cell r="A5890" t="str">
            <v>GRMZM2G459663</v>
          </cell>
          <cell r="B5890" t="str">
            <v>GO:0050825GO:0005509GO:0042309GO:0050826</v>
          </cell>
        </row>
        <row r="5891">
          <cell r="A5891" t="str">
            <v>GRMZM2G419891</v>
          </cell>
          <cell r="B5891" t="str">
            <v>GO:0006464</v>
          </cell>
        </row>
        <row r="5892">
          <cell r="A5892" t="str">
            <v>GRMZM2G178645</v>
          </cell>
          <cell r="B5892" t="str">
            <v>GO:0017111GO:0005524</v>
          </cell>
        </row>
        <row r="5893">
          <cell r="A5893" t="str">
            <v>GRMZM2G010953</v>
          </cell>
          <cell r="B5893" t="str">
            <v>GO:0004674GO:0006468GO:0004713GO:0005524</v>
          </cell>
        </row>
        <row r="5894">
          <cell r="A5894" t="str">
            <v>GRMZM2G081571</v>
          </cell>
          <cell r="B5894" t="str">
            <v>GO:0003824GO:0030170GO:0030151</v>
          </cell>
        </row>
        <row r="5895">
          <cell r="A5895" t="str">
            <v>GRMZM2G116520</v>
          </cell>
          <cell r="B5895" t="str">
            <v>GO:0005576GO:0004867</v>
          </cell>
        </row>
        <row r="5896">
          <cell r="A5896" t="str">
            <v>GRMZM2G331770</v>
          </cell>
          <cell r="B5896" t="str">
            <v>GO:0045735</v>
          </cell>
        </row>
        <row r="5897">
          <cell r="A5897" t="str">
            <v>GRMZM2G071087</v>
          </cell>
          <cell r="B5897" t="str">
            <v>GO:0004721</v>
          </cell>
        </row>
        <row r="5898">
          <cell r="A5898" t="str">
            <v>GRMZM2G130868</v>
          </cell>
          <cell r="B5898" t="str">
            <v>GO:0050825GO:0042309GO:0050826</v>
          </cell>
        </row>
        <row r="5899">
          <cell r="A5899" t="str">
            <v>GRMZM2G116526</v>
          </cell>
          <cell r="B5899" t="str">
            <v>GO:0003676</v>
          </cell>
        </row>
        <row r="5900">
          <cell r="A5900" t="str">
            <v>GRMZM2G178079</v>
          </cell>
          <cell r="B5900" t="str">
            <v>GO:0019787GO:0005737GO:0043687GO:0004364GO:0051246</v>
          </cell>
        </row>
        <row r="5901">
          <cell r="A5901" t="str">
            <v>GRMZM2G107945</v>
          </cell>
          <cell r="B5901" t="str">
            <v>GO:0006355GO:0007165</v>
          </cell>
        </row>
        <row r="5902">
          <cell r="A5902" t="str">
            <v>GRMZM2G384439</v>
          </cell>
          <cell r="B5902" t="str">
            <v>GO:0004674GO:0006468GO:0005524GO:0005515GO:0004713</v>
          </cell>
        </row>
        <row r="5903">
          <cell r="A5903" t="str">
            <v>GRMZM2G055180</v>
          </cell>
          <cell r="B5903" t="str">
            <v>GO:0003700GO:0006355</v>
          </cell>
        </row>
        <row r="5904">
          <cell r="A5904" t="str">
            <v>GRMZM2G531230</v>
          </cell>
          <cell r="B5904" t="str">
            <v>GO:0016787</v>
          </cell>
        </row>
        <row r="5905">
          <cell r="A5905" t="str">
            <v>GRMZM2G134107</v>
          </cell>
          <cell r="B5905" t="str">
            <v>GO:0003735GO:0006412GO:0005840</v>
          </cell>
        </row>
        <row r="5906">
          <cell r="A5906" t="str">
            <v>GRMZM2G164202</v>
          </cell>
          <cell r="B5906" t="str">
            <v>GO:0016021GO:0004966GO:0007186</v>
          </cell>
        </row>
        <row r="5907">
          <cell r="A5907" t="str">
            <v>GRMZM2G317938</v>
          </cell>
          <cell r="B5907" t="str">
            <v>GO:0004674GO:0006468GO:0004713GO:0005524</v>
          </cell>
        </row>
        <row r="5908">
          <cell r="A5908" t="str">
            <v>GRMZM2G058227</v>
          </cell>
          <cell r="B5908" t="str">
            <v>GO:0006810GO:0006629GO:0008889GO:0005215GO:0016020GO:0006071</v>
          </cell>
        </row>
        <row r="5909">
          <cell r="A5909" t="str">
            <v>GRMZM2G333448</v>
          </cell>
          <cell r="B5909" t="str">
            <v>GO:0007242</v>
          </cell>
        </row>
        <row r="5910">
          <cell r="A5910" t="str">
            <v>GRMZM2G125850</v>
          </cell>
          <cell r="B5910" t="str">
            <v>GO:0005215GO:0016021GO:0006810GO:0050825GO:0042309GO:0050826</v>
          </cell>
        </row>
        <row r="5911">
          <cell r="A5911" t="str">
            <v>GRMZM2G123212</v>
          </cell>
          <cell r="B5911" t="str">
            <v>GO:0005634GO:0006355GO:0008270GO:0005515GO:0003677GO:0004879</v>
          </cell>
        </row>
        <row r="5912">
          <cell r="A5912" t="str">
            <v>GRMZM2G169994</v>
          </cell>
          <cell r="B5912" t="str">
            <v>GO:0008270GO:0005515</v>
          </cell>
        </row>
        <row r="5913">
          <cell r="A5913" t="str">
            <v>GRMZM2G007489</v>
          </cell>
          <cell r="B5913" t="str">
            <v>GO:0006633GO:0000036</v>
          </cell>
        </row>
        <row r="5914">
          <cell r="A5914" t="str">
            <v>GRMZM2G171466</v>
          </cell>
          <cell r="B5914" t="str">
            <v>GO:0007155GO:0001503</v>
          </cell>
        </row>
        <row r="5915">
          <cell r="A5915" t="str">
            <v>GRMZM2G300801</v>
          </cell>
          <cell r="B5915" t="str">
            <v>GO:0006564GO:0050825GO:0042309GO:0050826</v>
          </cell>
        </row>
        <row r="5916">
          <cell r="A5916" t="str">
            <v>GRMZM2G029856</v>
          </cell>
          <cell r="B5916" t="str">
            <v>GO:0016857GO:0045226GO:0008831GO:0050662</v>
          </cell>
        </row>
        <row r="5917">
          <cell r="A5917" t="str">
            <v>GRMZM2G064993</v>
          </cell>
          <cell r="B5917" t="str">
            <v>GO:0005544GO:0006265GO:0005509GO:0005694GO:0003918GO:0005524</v>
          </cell>
        </row>
        <row r="5918">
          <cell r="A5918" t="str">
            <v>GRMZM2G091715</v>
          </cell>
          <cell r="B5918" t="str">
            <v>GO:0006633GO:0000036GO:0048037GO:0031177</v>
          </cell>
        </row>
        <row r="5919">
          <cell r="A5919" t="str">
            <v>GRMZM2G026147</v>
          </cell>
          <cell r="B5919" t="str">
            <v>GO:0005576GO:0019953</v>
          </cell>
        </row>
        <row r="5920">
          <cell r="A5920" t="str">
            <v>GRMZM2G478160</v>
          </cell>
          <cell r="B5920" t="str">
            <v>GO:0005509</v>
          </cell>
        </row>
        <row r="5921">
          <cell r="A5921" t="str">
            <v>GRMZM2G098622</v>
          </cell>
          <cell r="B5921" t="str">
            <v>GO:0009306</v>
          </cell>
        </row>
        <row r="5922">
          <cell r="A5922" t="str">
            <v>GRMZM2G435338</v>
          </cell>
          <cell r="B5922" t="str">
            <v>GO:0003735GO:0006412GO:0005840</v>
          </cell>
        </row>
        <row r="5923">
          <cell r="A5923" t="str">
            <v>GRMZM2G168115</v>
          </cell>
          <cell r="B5923" t="str">
            <v>GO:0006508GO:0004190</v>
          </cell>
        </row>
        <row r="5924">
          <cell r="A5924" t="str">
            <v>GRMZM2G001551</v>
          </cell>
          <cell r="B5924" t="str">
            <v>GO:0005622GO:0003924GO:0005525</v>
          </cell>
        </row>
        <row r="5925">
          <cell r="A5925" t="str">
            <v>GRMZM2G129015</v>
          </cell>
          <cell r="B5925" t="str">
            <v>GO:0003735GO:0006412GO:0005840</v>
          </cell>
        </row>
        <row r="5926">
          <cell r="A5926" t="str">
            <v>GRMZM2G022645</v>
          </cell>
          <cell r="B5926" t="str">
            <v>GO:0004674GO:0006468GO:0004713GO:0005524GO:0016998</v>
          </cell>
        </row>
        <row r="5927">
          <cell r="A5927" t="str">
            <v>GRMZM2G009571</v>
          </cell>
          <cell r="B5927" t="str">
            <v>GO:0016813GO:0046872</v>
          </cell>
        </row>
        <row r="5928">
          <cell r="A5928" t="str">
            <v>GRMZM2G413069</v>
          </cell>
          <cell r="B5928" t="str">
            <v>GO:0006468GO:0016020GO:0005215GO:0006810GO:0004674GO:0004713GO:0005524</v>
          </cell>
        </row>
        <row r="5929">
          <cell r="A5929" t="str">
            <v>GRMZM2G123159</v>
          </cell>
          <cell r="B5929" t="str">
            <v>GO:0008080GO:0008152</v>
          </cell>
        </row>
        <row r="5930">
          <cell r="A5930" t="str">
            <v>GRMZM2G054361</v>
          </cell>
          <cell r="B5930" t="str">
            <v>GO:0016847GO:0009058GO:0030170GO:0016769</v>
          </cell>
        </row>
        <row r="5931">
          <cell r="A5931" t="str">
            <v>AC207656.3_FG002</v>
          </cell>
          <cell r="B5931" t="str">
            <v>GO:0006355GO:0005634GO:0003677GO:0009725</v>
          </cell>
        </row>
        <row r="5932">
          <cell r="A5932" t="str">
            <v>GRMZM2G145085</v>
          </cell>
          <cell r="B5932" t="str">
            <v>GO:0005515GO:0003824GO:0003702GO:0045941GO:0016563GO:0006367GO:0003677GO:0005634GO:0008270</v>
          </cell>
        </row>
        <row r="5933">
          <cell r="A5933" t="str">
            <v>GRMZM2G088964</v>
          </cell>
          <cell r="B5933" t="str">
            <v>GO:0006813GO:0016020GO:0015079</v>
          </cell>
        </row>
        <row r="5934">
          <cell r="A5934" t="str">
            <v>GRMZM2G033952</v>
          </cell>
          <cell r="B5934" t="str">
            <v>GO:0008171</v>
          </cell>
        </row>
        <row r="5935">
          <cell r="A5935" t="str">
            <v>GRMZM2G099666</v>
          </cell>
          <cell r="B5935" t="str">
            <v>GO:0003995GO:0003997GO:0050660GO:0005777GO:0006635</v>
          </cell>
        </row>
        <row r="5936">
          <cell r="A5936" t="str">
            <v>GRMZM2G081048</v>
          </cell>
          <cell r="B5936" t="str">
            <v>GO:0016491</v>
          </cell>
        </row>
        <row r="5937">
          <cell r="A5937" t="str">
            <v>GRMZM2G136453</v>
          </cell>
          <cell r="B5937" t="str">
            <v>GO:0046872GO:0003993</v>
          </cell>
        </row>
        <row r="5938">
          <cell r="A5938" t="str">
            <v>GRMZM2G044128</v>
          </cell>
          <cell r="B5938" t="str">
            <v>GO:0001522GO:0003723GO:0009982</v>
          </cell>
        </row>
        <row r="5939">
          <cell r="A5939" t="str">
            <v>GRMZM2G161611</v>
          </cell>
          <cell r="B5939" t="str">
            <v>GO:0005956GO:0008605</v>
          </cell>
        </row>
        <row r="5940">
          <cell r="A5940" t="str">
            <v>GRMZM2G147775</v>
          </cell>
          <cell r="B5940" t="str">
            <v>GO:0003779GO:0005622</v>
          </cell>
        </row>
        <row r="5941">
          <cell r="A5941" t="str">
            <v>GRMZM2G040145</v>
          </cell>
          <cell r="B5941" t="str">
            <v>GO:0005634GO:0008270</v>
          </cell>
        </row>
        <row r="5942">
          <cell r="A5942" t="str">
            <v>GRMZM2G067511</v>
          </cell>
          <cell r="B5942" t="str">
            <v>GO:0005509</v>
          </cell>
        </row>
        <row r="5943">
          <cell r="A5943" t="str">
            <v>GRMZM2G146354</v>
          </cell>
          <cell r="B5943" t="str">
            <v>GO:0005634GO:0006511GO:0008270GO:0005515GO:0007275</v>
          </cell>
        </row>
        <row r="5944">
          <cell r="A5944" t="str">
            <v>GRMZM2G157197</v>
          </cell>
          <cell r="B5944" t="str">
            <v>GO:0050826GO:0050825GO:0008270GO:0042309GO:0005622</v>
          </cell>
        </row>
        <row r="5945">
          <cell r="A5945" t="str">
            <v>GRMZM2G121123</v>
          </cell>
          <cell r="B5945" t="str">
            <v>GO:0006446GO:0003743</v>
          </cell>
        </row>
        <row r="5946">
          <cell r="A5946" t="str">
            <v>GRMZM2G052344</v>
          </cell>
          <cell r="B5946" t="str">
            <v>GO:0005634GO:0008270GO:0003723GO:0005515GO:0006364</v>
          </cell>
        </row>
        <row r="5947">
          <cell r="A5947" t="str">
            <v>GRMZM2G058910</v>
          </cell>
          <cell r="B5947" t="str">
            <v>GO:0015986GO:0015078GO:0033177</v>
          </cell>
        </row>
        <row r="5948">
          <cell r="A5948" t="str">
            <v>GRMZM2G430027</v>
          </cell>
          <cell r="B5948" t="str">
            <v>GO:0005634GO:0003676</v>
          </cell>
        </row>
        <row r="5949">
          <cell r="A5949" t="str">
            <v>GRMZM2G073551</v>
          </cell>
          <cell r="B5949" t="str">
            <v>GO:0016021GO:0007186</v>
          </cell>
        </row>
        <row r="5950">
          <cell r="A5950" t="str">
            <v>GRMZM2G099598</v>
          </cell>
          <cell r="B5950" t="str">
            <v>GO:0004674GO:0006468GO:0004713GO:0005524</v>
          </cell>
        </row>
        <row r="5951">
          <cell r="A5951" t="str">
            <v>GRMZM2G136857</v>
          </cell>
          <cell r="B5951" t="str">
            <v>GO:0008168</v>
          </cell>
        </row>
        <row r="5952">
          <cell r="A5952" t="str">
            <v>GRMZM2G399073</v>
          </cell>
          <cell r="B5952" t="str">
            <v>GO:0006457GO:0051082GO:0005524</v>
          </cell>
        </row>
        <row r="5953">
          <cell r="A5953" t="str">
            <v>GRMZM2G088361</v>
          </cell>
          <cell r="B5953" t="str">
            <v>GO:0006468GO:0005964GO:0005978GO:0004689GO:0004713GO:0005516GO:0005524GO:0005509</v>
          </cell>
        </row>
        <row r="5954">
          <cell r="A5954" t="str">
            <v>GRMZM2G115705</v>
          </cell>
          <cell r="B5954" t="str">
            <v>GO:0006468GO:0004674GO:0005529GO:0004713GO:0005524GO:0048544</v>
          </cell>
        </row>
        <row r="5955">
          <cell r="A5955" t="str">
            <v>GRMZM2G355572</v>
          </cell>
          <cell r="B5955" t="str">
            <v>GO:0004623GO:0006644GO:0016042</v>
          </cell>
        </row>
        <row r="5956">
          <cell r="A5956" t="str">
            <v>GRMZM2G073959</v>
          </cell>
          <cell r="B5956" t="str">
            <v>GO:0016021</v>
          </cell>
        </row>
        <row r="5957">
          <cell r="A5957" t="str">
            <v>GRMZM2G160966</v>
          </cell>
          <cell r="B5957" t="str">
            <v>GO:0005634GO:0006355GO:0008270GO:0005515GO:0003677GO:0004879</v>
          </cell>
        </row>
        <row r="5958">
          <cell r="A5958" t="str">
            <v>GRMZM2G075502</v>
          </cell>
          <cell r="B5958" t="str">
            <v>GO:0006334GO:0050826GO:0030001GO:0042309GO:0000786GO:0050825GO:0046872GO:0003677</v>
          </cell>
        </row>
        <row r="5959">
          <cell r="A5959" t="str">
            <v>GRMZM2G078566</v>
          </cell>
          <cell r="B5959" t="str">
            <v>GO:0005975GO:0004553</v>
          </cell>
        </row>
        <row r="5960">
          <cell r="A5960" t="str">
            <v>GRMZM2G075505</v>
          </cell>
          <cell r="B5960" t="str">
            <v>GO:0003676</v>
          </cell>
        </row>
        <row r="5961">
          <cell r="A5961" t="str">
            <v>GRMZM2G010321</v>
          </cell>
          <cell r="B5961" t="str">
            <v>GO:0005960GO:0006546</v>
          </cell>
        </row>
        <row r="5962">
          <cell r="A5962" t="str">
            <v>GRMZM2G048205</v>
          </cell>
          <cell r="B5962" t="str">
            <v>GO:0051287GO:0006006GO:0004365GO:0005509</v>
          </cell>
        </row>
        <row r="5963">
          <cell r="A5963" t="str">
            <v>GRMZM2G156110</v>
          </cell>
          <cell r="B5963" t="str">
            <v>GO:0003735GO:0006412GO:0015935</v>
          </cell>
        </row>
        <row r="5964">
          <cell r="A5964" t="str">
            <v>GRMZM2G077258</v>
          </cell>
          <cell r="B5964" t="str">
            <v>GO:0030785GO:0009507</v>
          </cell>
        </row>
        <row r="5965">
          <cell r="A5965" t="str">
            <v>GRMZM2G003493</v>
          </cell>
          <cell r="B5965" t="str">
            <v>GO:0050825GO:0042309GO:0050826</v>
          </cell>
        </row>
        <row r="5966">
          <cell r="A5966" t="str">
            <v>GRMZM2G053833</v>
          </cell>
          <cell r="B5966" t="str">
            <v>GO:0005509</v>
          </cell>
        </row>
        <row r="5967">
          <cell r="A5967" t="str">
            <v>GRMZM2G011269</v>
          </cell>
          <cell r="B5967" t="str">
            <v>GO:0016021</v>
          </cell>
        </row>
        <row r="5968">
          <cell r="A5968" t="str">
            <v>GRMZM2G144155</v>
          </cell>
          <cell r="B5968" t="str">
            <v>GO:0008168GO:0008152</v>
          </cell>
        </row>
        <row r="5969">
          <cell r="A5969" t="str">
            <v>GRMZM2G378452</v>
          </cell>
          <cell r="B5969" t="str">
            <v>GO:0006468GO:0004674GO:0050825GO:0004713GO:0042309GO:0050826GO:0005524</v>
          </cell>
        </row>
        <row r="5970">
          <cell r="A5970" t="str">
            <v>GRMZM2G382273</v>
          </cell>
          <cell r="B5970" t="str">
            <v>GO:0006915GO:0005515GO:0005524</v>
          </cell>
        </row>
        <row r="5971">
          <cell r="A5971" t="str">
            <v>GRMZM2G022269</v>
          </cell>
          <cell r="B5971" t="str">
            <v>GO:0003746GO:0006414GO:0003924GO:0005622GO:0005525</v>
          </cell>
        </row>
        <row r="5972">
          <cell r="A5972" t="str">
            <v>GRMZM2G099467</v>
          </cell>
          <cell r="B5972" t="str">
            <v>GO:0005506GO:0016491</v>
          </cell>
        </row>
        <row r="5973">
          <cell r="A5973" t="str">
            <v>GRMZM2G455817</v>
          </cell>
          <cell r="B5973" t="str">
            <v>GO:0006813GO:0016020GO:0015079</v>
          </cell>
        </row>
        <row r="5974">
          <cell r="A5974" t="str">
            <v>GRMZM2G078143</v>
          </cell>
          <cell r="B5974" t="str">
            <v>GO:0006544GO:0004372GO:0006563</v>
          </cell>
        </row>
        <row r="5975">
          <cell r="A5975" t="str">
            <v>GRMZM2G174343</v>
          </cell>
          <cell r="B5975" t="str">
            <v>GO:0003824GO:0016020</v>
          </cell>
        </row>
        <row r="5976">
          <cell r="A5976" t="str">
            <v>GRMZM2G054136</v>
          </cell>
          <cell r="B5976" t="str">
            <v>GO:0003735GO:0006412GO:0005840</v>
          </cell>
        </row>
        <row r="5977">
          <cell r="A5977" t="str">
            <v>GRMZM2G038335</v>
          </cell>
          <cell r="B5977" t="str">
            <v>GO:0008270GO:0005515</v>
          </cell>
        </row>
        <row r="5978">
          <cell r="A5978" t="str">
            <v>GRMZM2G417835</v>
          </cell>
          <cell r="B5978" t="str">
            <v>GO:0016021GO:0007186GO:0004937</v>
          </cell>
        </row>
        <row r="5979">
          <cell r="A5979" t="str">
            <v>GRMZM2G104551</v>
          </cell>
          <cell r="B5979" t="str">
            <v>GO:0003677</v>
          </cell>
        </row>
        <row r="5980">
          <cell r="A5980" t="str">
            <v>GRMZM2G474651</v>
          </cell>
          <cell r="B5980" t="str">
            <v>GO:0005488</v>
          </cell>
        </row>
        <row r="5981">
          <cell r="A5981" t="str">
            <v>GRMZM2G141392</v>
          </cell>
          <cell r="B5981" t="str">
            <v>GO:0006887GO:0000145</v>
          </cell>
        </row>
        <row r="5982">
          <cell r="A5982" t="str">
            <v>GRMZM2G377904</v>
          </cell>
          <cell r="B5982" t="str">
            <v>GO:0006470GO:0008287GO:0004722</v>
          </cell>
        </row>
        <row r="5983">
          <cell r="A5983" t="str">
            <v>GRMZM2G003724</v>
          </cell>
          <cell r="B5983" t="str">
            <v>GO:0006400GO:0004618GO:0008176GO:0006096</v>
          </cell>
        </row>
        <row r="5984">
          <cell r="A5984" t="str">
            <v>GRMZM2G074122</v>
          </cell>
          <cell r="B5984" t="str">
            <v>GO:0006099GO:0008964</v>
          </cell>
        </row>
        <row r="5985">
          <cell r="A5985" t="str">
            <v>GRMZM2G075438</v>
          </cell>
          <cell r="B5985" t="str">
            <v>GO:0006468GO:0005667GO:0006355GO:0030528GO:0004674GO:0004713GO:0006352GO:0005524GO:0008270</v>
          </cell>
        </row>
        <row r="5986">
          <cell r="A5986" t="str">
            <v>GRMZM2G156754</v>
          </cell>
          <cell r="B5986" t="str">
            <v>GO:0045454GO:0015035GO:0009055</v>
          </cell>
        </row>
        <row r="5987">
          <cell r="A5987" t="str">
            <v>GRMZM2G347488</v>
          </cell>
          <cell r="B5987" t="str">
            <v>GO:0008270</v>
          </cell>
        </row>
        <row r="5988">
          <cell r="A5988" t="str">
            <v>GRMZM2G477325</v>
          </cell>
          <cell r="B5988" t="str">
            <v>GO:0016021</v>
          </cell>
        </row>
        <row r="5989">
          <cell r="A5989" t="str">
            <v>GRMZM2G169182</v>
          </cell>
          <cell r="B5989" t="str">
            <v>GO:0005506GO:0009058GO:0016491</v>
          </cell>
        </row>
        <row r="5990">
          <cell r="A5990" t="str">
            <v>GRMZM2G441347</v>
          </cell>
          <cell r="B5990" t="str">
            <v>GO:0005737GO:0009058GO:0016841GO:0016211GO:0006559</v>
          </cell>
        </row>
        <row r="5991">
          <cell r="A5991" t="str">
            <v>GRMZM2G034794</v>
          </cell>
          <cell r="B5991" t="str">
            <v>GO:0003735GO:0006412GO:0005840</v>
          </cell>
        </row>
        <row r="5992">
          <cell r="A5992" t="str">
            <v>EF517601.1_FG012</v>
          </cell>
          <cell r="B5992" t="str">
            <v>GO:0006457GO:0051082GO:0005524</v>
          </cell>
        </row>
        <row r="5993">
          <cell r="A5993" t="str">
            <v>GRMZM2G115491</v>
          </cell>
          <cell r="B5993" t="str">
            <v>GO:0048046GO:0030145GO:0045735</v>
          </cell>
        </row>
        <row r="5994">
          <cell r="A5994" t="str">
            <v>GRMZM2G166345</v>
          </cell>
          <cell r="B5994" t="str">
            <v>GO:0000049</v>
          </cell>
        </row>
        <row r="5995">
          <cell r="A5995" t="str">
            <v>GRMZM2G013986</v>
          </cell>
          <cell r="B5995" t="str">
            <v>GO:0006508GO:0043086GO:0042802GO:0004252</v>
          </cell>
        </row>
        <row r="5996">
          <cell r="A5996" t="str">
            <v>GRMZM2G019926</v>
          </cell>
          <cell r="B5996" t="str">
            <v>GO:0006807GO:0004086GO:0005524GO:0009374</v>
          </cell>
        </row>
        <row r="5997">
          <cell r="A5997" t="str">
            <v>GRMZM2G081907</v>
          </cell>
          <cell r="B5997" t="str">
            <v>GO:0005488</v>
          </cell>
        </row>
        <row r="5998">
          <cell r="A5998" t="str">
            <v>GRMZM2G362848</v>
          </cell>
          <cell r="B5998" t="str">
            <v>GO:0015931GO:0016020GO:0015205</v>
          </cell>
        </row>
        <row r="5999">
          <cell r="A5999" t="str">
            <v>GRMZM2G023105</v>
          </cell>
          <cell r="B5999" t="str">
            <v>GO:0006886GO:0005622</v>
          </cell>
        </row>
        <row r="6000">
          <cell r="A6000" t="str">
            <v>GRMZM2G081519</v>
          </cell>
          <cell r="B6000" t="str">
            <v>GO:0008409GO:0003677</v>
          </cell>
        </row>
        <row r="6001">
          <cell r="A6001" t="str">
            <v>GRMZM2G358153</v>
          </cell>
          <cell r="B6001" t="str">
            <v>GO:0004568GO:0006032</v>
          </cell>
        </row>
        <row r="6002">
          <cell r="A6002" t="str">
            <v>GRMZM2G103929</v>
          </cell>
          <cell r="B6002" t="str">
            <v>GO:0004674GO:0006468GO:0005524GO:0005515GO:0004713</v>
          </cell>
        </row>
        <row r="6003">
          <cell r="A6003" t="str">
            <v>GRMZM2G401436</v>
          </cell>
          <cell r="B6003" t="str">
            <v>GO:0008270GO:0005515</v>
          </cell>
        </row>
        <row r="6004">
          <cell r="A6004" t="str">
            <v>GRMZM2G095579</v>
          </cell>
          <cell r="B6004" t="str">
            <v>GO:0004150GO:0006760</v>
          </cell>
        </row>
        <row r="6005">
          <cell r="A6005" t="str">
            <v>GRMZM2G065585</v>
          </cell>
          <cell r="B6005" t="str">
            <v>GO:0016020GO:0005975GO:0004553</v>
          </cell>
        </row>
        <row r="6006">
          <cell r="A6006" t="str">
            <v>GRMZM2G159161</v>
          </cell>
          <cell r="B6006" t="str">
            <v>GO:0016163GO:0009416GO:0009399GO:0005515GO:0004871</v>
          </cell>
        </row>
        <row r="6007">
          <cell r="A6007" t="str">
            <v>GRMZM2G466543</v>
          </cell>
          <cell r="B6007" t="str">
            <v>GO:0004664GO:0009094</v>
          </cell>
        </row>
        <row r="6008">
          <cell r="A6008" t="str">
            <v>GRMZM2G128564</v>
          </cell>
          <cell r="B6008" t="str">
            <v>GO:0016747</v>
          </cell>
        </row>
        <row r="6009">
          <cell r="A6009" t="str">
            <v>GRMZM2G080917</v>
          </cell>
          <cell r="B6009" t="str">
            <v>GO:0008270GO:0005515</v>
          </cell>
        </row>
        <row r="6010">
          <cell r="A6010" t="str">
            <v>GRMZM2G034243</v>
          </cell>
          <cell r="B6010" t="str">
            <v>GO:0003824GO:0005975GO:0030246</v>
          </cell>
        </row>
        <row r="6011">
          <cell r="A6011" t="str">
            <v>GRMZM2G081173</v>
          </cell>
          <cell r="B6011" t="str">
            <v>GO:0022891GO:0016021GO:0050825GO:0042309GO:0050826GO:0055085</v>
          </cell>
        </row>
        <row r="6012">
          <cell r="A6012" t="str">
            <v>GRMZM2G118003</v>
          </cell>
          <cell r="B6012" t="str">
            <v>GO:0005975GO:0004553</v>
          </cell>
        </row>
        <row r="6013">
          <cell r="A6013" t="str">
            <v>GRMZM2G010868</v>
          </cell>
          <cell r="B6013" t="str">
            <v>GO:0008289GO:0006869</v>
          </cell>
        </row>
        <row r="6014">
          <cell r="A6014" t="str">
            <v>GRMZM2G056335</v>
          </cell>
          <cell r="B6014" t="str">
            <v>GO:0016758GO:0008152</v>
          </cell>
        </row>
        <row r="6015">
          <cell r="A6015" t="str">
            <v>GRMZM2G015972</v>
          </cell>
          <cell r="B6015" t="str">
            <v>GO:0005856GO:0030833</v>
          </cell>
        </row>
        <row r="6016">
          <cell r="A6016" t="str">
            <v>GRMZM2G021339</v>
          </cell>
          <cell r="B6016" t="str">
            <v>GO:0003700GO:0006355GO:0005634GO:0043565</v>
          </cell>
        </row>
        <row r="6017">
          <cell r="A6017" t="str">
            <v>GRMZM2G149649</v>
          </cell>
          <cell r="B6017" t="str">
            <v>GO:0003735GO:0006412GO:0005840</v>
          </cell>
        </row>
        <row r="6018">
          <cell r="A6018" t="str">
            <v>GRMZM2G117608</v>
          </cell>
          <cell r="B6018" t="str">
            <v>GO:0008219GO:0016021</v>
          </cell>
        </row>
        <row r="6019">
          <cell r="A6019" t="str">
            <v>GRMZM2G030762</v>
          </cell>
          <cell r="B6019" t="str">
            <v>GO:0005634GO:0030528GO:0045449GO:0008270GO:0006508GO:0004181</v>
          </cell>
        </row>
        <row r="6020">
          <cell r="A6020" t="str">
            <v>GRMZM2G053652</v>
          </cell>
          <cell r="B6020" t="str">
            <v>GO:0003735GO:0006412GO:0005840</v>
          </cell>
        </row>
        <row r="6021">
          <cell r="A6021" t="str">
            <v>GRMZM2G006287</v>
          </cell>
          <cell r="B6021" t="str">
            <v>GO:0003723</v>
          </cell>
        </row>
        <row r="6022">
          <cell r="A6022" t="str">
            <v>GRMZM2G102502</v>
          </cell>
          <cell r="B6022" t="str">
            <v>GO:0005777</v>
          </cell>
        </row>
        <row r="6023">
          <cell r="A6023" t="str">
            <v>GRMZM2G132995</v>
          </cell>
          <cell r="B6023" t="str">
            <v>GO:0015297GO:0016020GO:0006855GO:0015238</v>
          </cell>
        </row>
        <row r="6024">
          <cell r="A6024" t="str">
            <v>GRMZM2G106673</v>
          </cell>
          <cell r="B6024" t="str">
            <v>GO:0006355GO:0003677</v>
          </cell>
        </row>
        <row r="6025">
          <cell r="A6025" t="str">
            <v>GRMZM2G058595</v>
          </cell>
          <cell r="B6025" t="str">
            <v>GO:0005515</v>
          </cell>
        </row>
        <row r="6026">
          <cell r="A6026" t="str">
            <v>GRMZM2G124886</v>
          </cell>
          <cell r="B6026" t="str">
            <v>GO:0006886GO:0030117GO:0016192GO:0005515GO:0005198</v>
          </cell>
        </row>
        <row r="6027">
          <cell r="A6027" t="str">
            <v>GRMZM2G149739</v>
          </cell>
          <cell r="B6027" t="str">
            <v>GO:0050825GO:0042309GO:0050826</v>
          </cell>
        </row>
        <row r="6028">
          <cell r="A6028" t="str">
            <v>GRMZM2G143494</v>
          </cell>
          <cell r="B6028" t="str">
            <v>GO:0016844GO:0009058</v>
          </cell>
        </row>
        <row r="6029">
          <cell r="A6029" t="str">
            <v>GRMZM2G044383</v>
          </cell>
          <cell r="B6029" t="str">
            <v>GO:0005737GO:0004364GO:0008152</v>
          </cell>
        </row>
        <row r="6030">
          <cell r="A6030" t="str">
            <v>GRMZM2G177631</v>
          </cell>
          <cell r="B6030" t="str">
            <v>GO:0016020GO:0016760GO:0008270GO:0005515GO:0030244</v>
          </cell>
        </row>
        <row r="6031">
          <cell r="A6031" t="str">
            <v>GRMZM2G152908</v>
          </cell>
          <cell r="B6031" t="str">
            <v>GO:0009058GO:0016157GO:0005985</v>
          </cell>
        </row>
        <row r="6032">
          <cell r="A6032" t="str">
            <v>AC190763.3_FG002</v>
          </cell>
          <cell r="B6032" t="str">
            <v>GO:0003887GO:0006260GO:0003677</v>
          </cell>
        </row>
        <row r="6033">
          <cell r="A6033" t="str">
            <v>GRMZM2G015804</v>
          </cell>
          <cell r="B6033" t="str">
            <v>GO:0005975GO:0004553</v>
          </cell>
        </row>
        <row r="6034">
          <cell r="A6034" t="str">
            <v>GRMZM2G036409</v>
          </cell>
          <cell r="B6034" t="str">
            <v>GO:0016758GO:0008152</v>
          </cell>
        </row>
        <row r="6035">
          <cell r="A6035" t="str">
            <v>GRMZM2G039173</v>
          </cell>
          <cell r="B6035" t="str">
            <v>GO:0016020</v>
          </cell>
        </row>
        <row r="6036">
          <cell r="A6036" t="str">
            <v>GRMZM2G128577</v>
          </cell>
          <cell r="B6036" t="str">
            <v>GO:0009239GO:0005488GO:0004022GO:0008667</v>
          </cell>
        </row>
        <row r="6037">
          <cell r="A6037" t="str">
            <v>GRMZM2G460383</v>
          </cell>
          <cell r="B6037" t="str">
            <v>GO:0016787GO:0008152</v>
          </cell>
        </row>
        <row r="6038">
          <cell r="A6038" t="str">
            <v>GRMZM2G079616</v>
          </cell>
          <cell r="B6038" t="str">
            <v>GO:0016747</v>
          </cell>
        </row>
        <row r="6039">
          <cell r="A6039" t="str">
            <v>GRMZM2G010091</v>
          </cell>
          <cell r="B6039" t="str">
            <v>GO:0004674GO:0006468GO:0004713GO:0005524GO:0005509</v>
          </cell>
        </row>
        <row r="6040">
          <cell r="A6040" t="str">
            <v>GRMZM2G158568</v>
          </cell>
          <cell r="B6040" t="str">
            <v>GO:0003735GO:0006412GO:0005840</v>
          </cell>
        </row>
        <row r="6041">
          <cell r="A6041" t="str">
            <v>GRMZM2G090051</v>
          </cell>
          <cell r="B6041" t="str">
            <v>GO:0006633GO:0005506GO:0005783GO:0055114GO:0016491</v>
          </cell>
        </row>
        <row r="6042">
          <cell r="A6042" t="str">
            <v>GRMZM2G083935</v>
          </cell>
          <cell r="B6042" t="str">
            <v>GO:0016758GO:0008152</v>
          </cell>
        </row>
        <row r="6043">
          <cell r="A6043" t="str">
            <v>GRMZM2G083847</v>
          </cell>
          <cell r="B6043" t="str">
            <v>GO:0016597GO:0008152</v>
          </cell>
        </row>
        <row r="6044">
          <cell r="A6044" t="str">
            <v>GRMZM2G154087</v>
          </cell>
          <cell r="B6044" t="str">
            <v>GO:0006400GO:0008176</v>
          </cell>
        </row>
        <row r="6045">
          <cell r="A6045" t="str">
            <v>GRMZM2G013214</v>
          </cell>
          <cell r="B6045" t="str">
            <v>GO:0050826GO:0050825GO:0042309GO:0008152GO:0016491</v>
          </cell>
        </row>
        <row r="6046">
          <cell r="A6046" t="str">
            <v>GRMZM2G113967</v>
          </cell>
          <cell r="B6046" t="str">
            <v>GO:0004674GO:0006468GO:0004713GO:0005524GO:0007165</v>
          </cell>
        </row>
        <row r="6047">
          <cell r="A6047" t="str">
            <v>GRMZM2G085504</v>
          </cell>
          <cell r="B6047" t="str">
            <v>GO:0005507GO:0050825GO:0050826GO:0042309GO:0009055</v>
          </cell>
        </row>
        <row r="6048">
          <cell r="A6048" t="str">
            <v>GRMZM2G050307</v>
          </cell>
          <cell r="B6048" t="str">
            <v>GO:0008168</v>
          </cell>
        </row>
        <row r="6049">
          <cell r="A6049" t="str">
            <v>GRMZM2G140752</v>
          </cell>
          <cell r="B6049" t="str">
            <v>GO:0006468GO:0016021GO:0007214GO:0004674GO:0006821GO:0004713GO:0004890GO:0005524</v>
          </cell>
        </row>
        <row r="6050">
          <cell r="A6050" t="str">
            <v>GRMZM2G107336</v>
          </cell>
          <cell r="B6050" t="str">
            <v>GO:0003735GO:0015934GO:0006412GO:0030528</v>
          </cell>
        </row>
        <row r="6051">
          <cell r="A6051" t="str">
            <v>GRMZM2G471517</v>
          </cell>
          <cell r="B6051" t="str">
            <v>GO:0050825GO:0042309GO:0050826</v>
          </cell>
        </row>
        <row r="6052">
          <cell r="A6052" t="str">
            <v>GRMZM2G380561</v>
          </cell>
          <cell r="B6052" t="str">
            <v>GO:0005975GO:0004553</v>
          </cell>
        </row>
        <row r="6053">
          <cell r="A6053" t="str">
            <v>GRMZM2G027131</v>
          </cell>
          <cell r="B6053" t="str">
            <v>GO:0008270GO:0005515</v>
          </cell>
        </row>
        <row r="6054">
          <cell r="A6054" t="str">
            <v>GRMZM2G049031</v>
          </cell>
          <cell r="B6054" t="str">
            <v>GO:0016020</v>
          </cell>
        </row>
        <row r="6055">
          <cell r="A6055" t="str">
            <v>GRMZM2G005256</v>
          </cell>
          <cell r="B6055" t="str">
            <v>GO:0008757GO:0003723GO:0006364</v>
          </cell>
        </row>
        <row r="6056">
          <cell r="A6056" t="str">
            <v>GRMZM2G154881</v>
          </cell>
          <cell r="B6056" t="str">
            <v>GO:0016787</v>
          </cell>
        </row>
        <row r="6057">
          <cell r="A6057" t="str">
            <v>AC203862.4_FG001</v>
          </cell>
          <cell r="B6057" t="str">
            <v>GO:0006508GO:0004197</v>
          </cell>
        </row>
        <row r="6058">
          <cell r="A6058" t="str">
            <v>GRMZM2G160473</v>
          </cell>
          <cell r="B6058" t="str">
            <v>GO:0003725GO:0005622</v>
          </cell>
        </row>
        <row r="6059">
          <cell r="A6059" t="str">
            <v>GRMZM2G110541</v>
          </cell>
          <cell r="B6059" t="str">
            <v>GO:0008270GO:0005622</v>
          </cell>
        </row>
        <row r="6060">
          <cell r="A6060" t="str">
            <v>GRMZM2G134130</v>
          </cell>
          <cell r="B6060" t="str">
            <v>GO:0009523GO:0016021GO:0030145GO:0050825GO:0042309GO:0050826GO:0015979</v>
          </cell>
        </row>
        <row r="6061">
          <cell r="A6061" t="str">
            <v>GRMZM2G390436</v>
          </cell>
          <cell r="B6061" t="str">
            <v>GO:0008270GO:0005515</v>
          </cell>
        </row>
        <row r="6062">
          <cell r="A6062" t="str">
            <v>GRMZM2G111017</v>
          </cell>
          <cell r="B6062" t="str">
            <v>GO:0005743GO:0006810GO:0005488GO:0005215</v>
          </cell>
        </row>
        <row r="6063">
          <cell r="A6063" t="str">
            <v>GRMZM2G010987</v>
          </cell>
          <cell r="B6063" t="str">
            <v>GO:0016758GO:0008152</v>
          </cell>
        </row>
        <row r="6064">
          <cell r="A6064" t="str">
            <v>GRMZM2G069678</v>
          </cell>
          <cell r="B6064" t="str">
            <v>GO:0050825GO:0042309GO:0003676GO:0050826</v>
          </cell>
        </row>
        <row r="6065">
          <cell r="A6065" t="str">
            <v>GRMZM2G066636</v>
          </cell>
          <cell r="B6065" t="str">
            <v>GO:0003824GO:0008152</v>
          </cell>
        </row>
        <row r="6066">
          <cell r="A6066" t="str">
            <v>GRMZM2G009166</v>
          </cell>
          <cell r="B6066" t="str">
            <v>GO:0004674GO:0006468GO:0005529GO:0004713GO:0005524</v>
          </cell>
        </row>
        <row r="6067">
          <cell r="A6067" t="str">
            <v>GRMZM2G023387</v>
          </cell>
          <cell r="B6067" t="str">
            <v>GO:0045454</v>
          </cell>
        </row>
        <row r="6068">
          <cell r="A6068" t="str">
            <v>GRMZM2G112764</v>
          </cell>
          <cell r="B6068" t="str">
            <v>GO:0008270GO:0003677</v>
          </cell>
        </row>
        <row r="6069">
          <cell r="A6069" t="str">
            <v>GRMZM2G018627</v>
          </cell>
          <cell r="B6069" t="str">
            <v>GO:0016020GO:0009765</v>
          </cell>
        </row>
        <row r="6070">
          <cell r="A6070" t="str">
            <v>GRMZM2G017532</v>
          </cell>
          <cell r="B6070" t="str">
            <v>GO:0016787</v>
          </cell>
        </row>
        <row r="6071">
          <cell r="A6071" t="str">
            <v>GRMZM2G140915</v>
          </cell>
          <cell r="B6071" t="str">
            <v>GO:0004497GO:0020037GO:0009055</v>
          </cell>
        </row>
        <row r="6072">
          <cell r="A6072" t="str">
            <v>GRMZM2G150363</v>
          </cell>
          <cell r="B6072" t="str">
            <v>GO:0009428GO:0001539GO:0030288GO:0005198</v>
          </cell>
        </row>
        <row r="6073">
          <cell r="A6073" t="str">
            <v>GRMZM2G335657</v>
          </cell>
          <cell r="B6073" t="str">
            <v>GO:0050660GO:0016491</v>
          </cell>
        </row>
        <row r="6074">
          <cell r="A6074" t="str">
            <v>GRMZM2G171452</v>
          </cell>
          <cell r="B6074" t="str">
            <v>GO:0003676</v>
          </cell>
        </row>
        <row r="6075">
          <cell r="A6075" t="str">
            <v>GRMZM2G096123</v>
          </cell>
          <cell r="B6075" t="str">
            <v>GO:0003735GO:0006412GO:0005840</v>
          </cell>
        </row>
        <row r="6076">
          <cell r="A6076" t="str">
            <v>GRMZM2G136513</v>
          </cell>
          <cell r="B6076" t="str">
            <v>GO:0006915GO:0017111GO:0005515GO:0005524</v>
          </cell>
        </row>
        <row r="6077">
          <cell r="A6077" t="str">
            <v>GRMZM2G072388</v>
          </cell>
          <cell r="B6077" t="str">
            <v>GO:0006813GO:0051287GO:0008324GO:0008152GO:0016616</v>
          </cell>
        </row>
        <row r="6078">
          <cell r="A6078" t="str">
            <v>GRMZM2G075315</v>
          </cell>
          <cell r="B6078" t="str">
            <v>GO:0005576GO:0004867</v>
          </cell>
        </row>
        <row r="6079">
          <cell r="A6079" t="str">
            <v>GRMZM2G130052</v>
          </cell>
          <cell r="B6079" t="str">
            <v>GO:0016021GO:0016192</v>
          </cell>
        </row>
        <row r="6080">
          <cell r="A6080" t="str">
            <v>GRMZM2G130053</v>
          </cell>
          <cell r="B6080" t="str">
            <v>GO:0006508GO:0004197GO:0050825GO:0042309GO:0050826</v>
          </cell>
        </row>
        <row r="6081">
          <cell r="A6081" t="str">
            <v>GRMZM2G322413</v>
          </cell>
          <cell r="B6081" t="str">
            <v>GO:0003735GO:0006412GO:0005840</v>
          </cell>
        </row>
        <row r="6082">
          <cell r="A6082" t="str">
            <v>GRMZM2G153058</v>
          </cell>
          <cell r="B6082" t="str">
            <v>GO:0006541GO:0003883GO:0006221</v>
          </cell>
        </row>
        <row r="6083">
          <cell r="A6083" t="str">
            <v>GRMZM2G357296</v>
          </cell>
          <cell r="B6083" t="str">
            <v>GO:0003735GO:0006412GO:0006464GO:0005840</v>
          </cell>
        </row>
        <row r="6084">
          <cell r="A6084" t="str">
            <v>GRMZM2G141081</v>
          </cell>
          <cell r="B6084" t="str">
            <v>GO:0006813GO:0008076GO:0005249</v>
          </cell>
        </row>
        <row r="6085">
          <cell r="A6085" t="str">
            <v>GRMZM2G062738</v>
          </cell>
          <cell r="B6085" t="str">
            <v>GO:0007155GO:0005179GO:0005576GO:0015629GO:0005198</v>
          </cell>
        </row>
        <row r="6086">
          <cell r="A6086" t="str">
            <v>GRMZM2G478553</v>
          </cell>
          <cell r="B6086" t="str">
            <v>GO:0008270GO:0005515</v>
          </cell>
        </row>
        <row r="6087">
          <cell r="A6087" t="str">
            <v>GRMZM2G130904</v>
          </cell>
          <cell r="B6087" t="str">
            <v>GO:0004601GO:0006979GO:0020037GO:0009055</v>
          </cell>
        </row>
        <row r="6088">
          <cell r="A6088" t="str">
            <v>GRMZM2G104147</v>
          </cell>
          <cell r="B6088" t="str">
            <v>GO:0005923GO:0005198</v>
          </cell>
        </row>
        <row r="6089">
          <cell r="A6089" t="str">
            <v>GRMZM2G074358</v>
          </cell>
          <cell r="B6089" t="str">
            <v>GO:0045449GO:0003677</v>
          </cell>
        </row>
        <row r="6090">
          <cell r="A6090" t="str">
            <v>GRMZM2G139141</v>
          </cell>
          <cell r="B6090" t="str">
            <v>GO:0005576GO:0009405GO:0005509</v>
          </cell>
        </row>
        <row r="6091">
          <cell r="A6091" t="str">
            <v>GRMZM2G100462</v>
          </cell>
          <cell r="B6091" t="str">
            <v>GO:0003735GO:0006412GO:0005840</v>
          </cell>
        </row>
        <row r="6092">
          <cell r="A6092" t="str">
            <v>GRMZM2G078396</v>
          </cell>
          <cell r="B6092" t="str">
            <v>GO:0003735GO:0006412GO:0005840</v>
          </cell>
        </row>
        <row r="6093">
          <cell r="A6093" t="str">
            <v>GRMZM2G151903</v>
          </cell>
          <cell r="B6093" t="str">
            <v>GO:0005737GO:0015297GO:0006457GO:0016020GO:0006855GO:0015238GO:0005524</v>
          </cell>
        </row>
        <row r="6094">
          <cell r="A6094" t="str">
            <v>GRMZM2G055883</v>
          </cell>
          <cell r="B6094" t="str">
            <v>GO:0003924GO:0005525</v>
          </cell>
        </row>
        <row r="6095">
          <cell r="A6095" t="str">
            <v>GRMZM2G343149</v>
          </cell>
          <cell r="B6095" t="str">
            <v>GO:0031072GO:0005506GO:0006457GO:0051082GO:0009055</v>
          </cell>
        </row>
        <row r="6096">
          <cell r="A6096" t="str">
            <v>GRMZM2G082249</v>
          </cell>
          <cell r="B6096" t="str">
            <v>GO:0016758GO:0008152</v>
          </cell>
        </row>
        <row r="6097">
          <cell r="A6097" t="str">
            <v>GRMZM2G169363</v>
          </cell>
          <cell r="B6097" t="str">
            <v>GO:0005840GO:0005215GO:0006810GO:0003735GO:0005743GO:0006412GO:0005525</v>
          </cell>
        </row>
        <row r="6098">
          <cell r="A6098" t="str">
            <v>GRMZM2G026889</v>
          </cell>
          <cell r="B6098" t="str">
            <v>GO:0016757</v>
          </cell>
        </row>
        <row r="6099">
          <cell r="A6099" t="str">
            <v>GRMZM2G092174</v>
          </cell>
          <cell r="B6099" t="str">
            <v>GO:0008020GO:0009585GO:0000155GO:0016020GO:0017006GO:0018298GO:0006355GO:0007165GO:0005524GO:0042803</v>
          </cell>
        </row>
        <row r="6100">
          <cell r="A6100" t="str">
            <v>GRMZM2G173630</v>
          </cell>
          <cell r="B6100" t="str">
            <v>GO:0016787GO:0008152</v>
          </cell>
        </row>
        <row r="6101">
          <cell r="A6101" t="str">
            <v>GRMZM2G052688</v>
          </cell>
          <cell r="B6101" t="str">
            <v>GO:0005622GO:0008270GO:0005515GO:0003912</v>
          </cell>
        </row>
        <row r="6102">
          <cell r="A6102" t="str">
            <v>GRMZM2G055150</v>
          </cell>
          <cell r="B6102" t="str">
            <v>GO:0003824GO:0005992</v>
          </cell>
        </row>
        <row r="6103">
          <cell r="A6103" t="str">
            <v>GRMZM2G008748</v>
          </cell>
          <cell r="B6103" t="str">
            <v>GO:0003735GO:0006412GO:0005840</v>
          </cell>
        </row>
        <row r="6104">
          <cell r="A6104" t="str">
            <v>GRMZM2G007928</v>
          </cell>
          <cell r="B6104" t="str">
            <v>GO:0005576GO:0004867</v>
          </cell>
        </row>
        <row r="6105">
          <cell r="A6105" t="str">
            <v>GRMZM2G059825</v>
          </cell>
          <cell r="B6105" t="str">
            <v>GO:0016020</v>
          </cell>
        </row>
        <row r="6106">
          <cell r="A6106" t="str">
            <v>GRMZM2G092752</v>
          </cell>
          <cell r="B6106" t="str">
            <v>GO:0015629GO:0005634GO:0003677GO:0005199GO:0006355GO:0000785GO:0042309GO:0050826GO:0007155GO:0050825GO:0007186GO:0016021GO:0004879</v>
          </cell>
        </row>
        <row r="6107">
          <cell r="A6107" t="str">
            <v>GRMZM2G122871</v>
          </cell>
          <cell r="B6107" t="str">
            <v>GO:0003746GO:0006414GO:0005853</v>
          </cell>
        </row>
        <row r="6108">
          <cell r="A6108" t="str">
            <v>GRMZM2G004619</v>
          </cell>
          <cell r="B6108" t="str">
            <v>GO:0016818GO:0045449GO:0005634GO:0005524</v>
          </cell>
        </row>
        <row r="6109">
          <cell r="A6109" t="str">
            <v>GRMZM2G092759</v>
          </cell>
          <cell r="B6109" t="str">
            <v>GO:0009401GO:0005351</v>
          </cell>
        </row>
        <row r="6110">
          <cell r="A6110" t="str">
            <v>GRMZM2G074282</v>
          </cell>
          <cell r="B6110" t="str">
            <v>GO:0051287GO:0006511GO:0016616GO:0005515</v>
          </cell>
        </row>
        <row r="6111">
          <cell r="A6111" t="str">
            <v>GRMZM2G138074</v>
          </cell>
          <cell r="B6111" t="str">
            <v>GO:0004497GO:0020037GO:0009055</v>
          </cell>
        </row>
        <row r="6112">
          <cell r="A6112" t="str">
            <v>GRMZM2G423456</v>
          </cell>
          <cell r="B6112" t="str">
            <v>GO:0016310GO:0000156GO:0016020GO:0006355GO:0006821GO:0000160GO:0000155GO:0005247GO:0005524</v>
          </cell>
        </row>
        <row r="6113">
          <cell r="A6113" t="str">
            <v>GRMZM2G064962</v>
          </cell>
          <cell r="B6113" t="str">
            <v>GO:0006071GO:0006629GO:0008889</v>
          </cell>
        </row>
        <row r="6114">
          <cell r="A6114" t="str">
            <v>GRMZM2G173186</v>
          </cell>
          <cell r="B6114" t="str">
            <v>GO:0006298GO:0005524GO:0030983</v>
          </cell>
        </row>
        <row r="6115">
          <cell r="A6115" t="str">
            <v>GRMZM2G018197</v>
          </cell>
          <cell r="B6115" t="str">
            <v>GO:0003735GO:0006412GO:0005840</v>
          </cell>
        </row>
        <row r="6116">
          <cell r="A6116" t="str">
            <v>GRMZM2G304712</v>
          </cell>
          <cell r="B6116" t="str">
            <v>GO:0016758GO:0008152</v>
          </cell>
        </row>
        <row r="6117">
          <cell r="A6117" t="str">
            <v>GRMZM2G412846</v>
          </cell>
          <cell r="B6117" t="str">
            <v>GO:0042302</v>
          </cell>
        </row>
        <row r="6118">
          <cell r="A6118" t="str">
            <v>GRMZM2G124509</v>
          </cell>
          <cell r="B6118" t="str">
            <v>GO:0004523GO:0003676</v>
          </cell>
        </row>
        <row r="6119">
          <cell r="A6119" t="str">
            <v>GRMZM2G100260</v>
          </cell>
          <cell r="B6119" t="str">
            <v>GO:0005737GO:0019478GO:0016788</v>
          </cell>
        </row>
        <row r="6120">
          <cell r="A6120" t="str">
            <v>GRMZM2G115660</v>
          </cell>
          <cell r="B6120" t="str">
            <v>GO:0005509</v>
          </cell>
        </row>
        <row r="6121">
          <cell r="A6121" t="str">
            <v>GRMZM2G032430</v>
          </cell>
          <cell r="B6121" t="str">
            <v>GO:0030001GO:0016021GO:0046872GO:0007186</v>
          </cell>
        </row>
        <row r="6122">
          <cell r="A6122" t="str">
            <v>GRMZM2G119169</v>
          </cell>
          <cell r="B6122" t="str">
            <v>GO:0003735GO:0015934GO:0006412</v>
          </cell>
        </row>
        <row r="6123">
          <cell r="A6123" t="str">
            <v>GRMZM2G140352</v>
          </cell>
          <cell r="B6123" t="str">
            <v>GO:0003676</v>
          </cell>
        </row>
        <row r="6124">
          <cell r="A6124" t="str">
            <v>GRMZM2G140160</v>
          </cell>
          <cell r="B6124" t="str">
            <v>GO:0008270GO:0005515</v>
          </cell>
        </row>
        <row r="6125">
          <cell r="A6125" t="str">
            <v>GRMZM2G122584</v>
          </cell>
          <cell r="B6125" t="str">
            <v>GO:0005634GO:0006355GO:0008270GO:0003677GO:0005496GO:0004879</v>
          </cell>
        </row>
        <row r="6126">
          <cell r="A6126" t="str">
            <v>GRMZM2G078887</v>
          </cell>
          <cell r="B6126" t="str">
            <v>GO:0003735GO:0006412GO:0005840</v>
          </cell>
        </row>
        <row r="6127">
          <cell r="A6127" t="str">
            <v>GRMZM2G085885</v>
          </cell>
          <cell r="B6127" t="str">
            <v>GO:0003755</v>
          </cell>
        </row>
        <row r="6128">
          <cell r="A6128" t="str">
            <v>GRMZM2G004106</v>
          </cell>
          <cell r="B6128" t="str">
            <v>GO:0005507GO:0009055</v>
          </cell>
        </row>
        <row r="6129">
          <cell r="A6129" t="str">
            <v>GRMZM2G302712</v>
          </cell>
          <cell r="B6129" t="str">
            <v>GO:0003735GO:0006412GO:0005840</v>
          </cell>
        </row>
        <row r="6130">
          <cell r="A6130" t="str">
            <v>GRMZM2G403797</v>
          </cell>
          <cell r="B6130" t="str">
            <v>GO:0006511GO:0005622GO:0004221</v>
          </cell>
        </row>
        <row r="6131">
          <cell r="A6131" t="str">
            <v>GRMZM2G122274</v>
          </cell>
          <cell r="B6131" t="str">
            <v>GO:0005975GO:0004553</v>
          </cell>
        </row>
        <row r="6132">
          <cell r="A6132" t="str">
            <v>GRMZM2G465833</v>
          </cell>
          <cell r="B6132" t="str">
            <v>GO:0004674GO:0006468GO:0016597GO:0004713GO:0005524</v>
          </cell>
        </row>
        <row r="6133">
          <cell r="A6133" t="str">
            <v>GRMZM2G467086</v>
          </cell>
          <cell r="B6133" t="str">
            <v>GO:0042254GO:0005622</v>
          </cell>
        </row>
        <row r="6134">
          <cell r="A6134" t="str">
            <v>GRMZM2G125271</v>
          </cell>
          <cell r="B6134" t="str">
            <v>GO:0003723</v>
          </cell>
        </row>
        <row r="6135">
          <cell r="A6135" t="str">
            <v>GRMZM2G119705</v>
          </cell>
          <cell r="B6135" t="str">
            <v>GO:0004983GO:0016021GO:0030598GO:0007186GO:0017148</v>
          </cell>
        </row>
        <row r="6136">
          <cell r="A6136" t="str">
            <v>GRMZM2G024738</v>
          </cell>
          <cell r="B6136" t="str">
            <v>GO:0004853GO:0006779</v>
          </cell>
        </row>
        <row r="6137">
          <cell r="A6137" t="str">
            <v>GRMZM2G454514</v>
          </cell>
          <cell r="B6137" t="str">
            <v>GO:0050825GO:0042309GO:0050826</v>
          </cell>
        </row>
        <row r="6138">
          <cell r="A6138" t="str">
            <v>GRMZM2G047055</v>
          </cell>
          <cell r="B6138" t="str">
            <v>GO:0005524GO:0005515</v>
          </cell>
        </row>
        <row r="6139">
          <cell r="A6139" t="str">
            <v>GRMZM2G305280</v>
          </cell>
          <cell r="B6139" t="str">
            <v>GO:0005840GO:0003735GO:0050825GO:0042309GO:0050826GO:0006412</v>
          </cell>
        </row>
        <row r="6140">
          <cell r="A6140" t="str">
            <v>GRMZM2G122479</v>
          </cell>
          <cell r="B6140" t="str">
            <v>GO:0016616GO:0051287GO:0004470GO:0046872GO:0006108GO:0055114</v>
          </cell>
        </row>
        <row r="6141">
          <cell r="A6141" t="str">
            <v>GRMZM2G358899</v>
          </cell>
          <cell r="B6141" t="str">
            <v>GO:0003735GO:0006412GO:0005840</v>
          </cell>
        </row>
        <row r="6142">
          <cell r="A6142" t="str">
            <v>GRMZM2G312997</v>
          </cell>
          <cell r="B6142" t="str">
            <v>GO:0006979GO:0020037GO:0004601</v>
          </cell>
        </row>
        <row r="6143">
          <cell r="A6143" t="str">
            <v>GRMZM2G053066</v>
          </cell>
          <cell r="B6143" t="str">
            <v>GO:0016021GO:0008270GO:0005622</v>
          </cell>
        </row>
        <row r="6144">
          <cell r="A6144" t="str">
            <v>GRMZM2G324314</v>
          </cell>
          <cell r="B6144" t="str">
            <v>GO:0003735GO:0006412GO:0005840</v>
          </cell>
        </row>
        <row r="6145">
          <cell r="A6145" t="str">
            <v>GRMZM2G122296</v>
          </cell>
          <cell r="B6145" t="str">
            <v>GO:0008825GO:0008610</v>
          </cell>
        </row>
        <row r="6146">
          <cell r="A6146" t="str">
            <v>GRMZM2G094543</v>
          </cell>
          <cell r="B6146" t="str">
            <v>GO:0050825GO:0042309GO:0050826</v>
          </cell>
        </row>
        <row r="6147">
          <cell r="A6147" t="str">
            <v>GRMZM2G122290</v>
          </cell>
          <cell r="B6147" t="str">
            <v>GO:0003735GO:0015934GO:0006412GO:0006396GO:0003723</v>
          </cell>
        </row>
        <row r="6148">
          <cell r="A6148" t="str">
            <v>GRMZM2G085086</v>
          </cell>
          <cell r="B6148" t="str">
            <v>GO:0046872GO:0030001</v>
          </cell>
        </row>
        <row r="6149">
          <cell r="A6149" t="str">
            <v>AC217358.3_FG005</v>
          </cell>
          <cell r="B6149" t="str">
            <v>GO:0016020</v>
          </cell>
        </row>
        <row r="6150">
          <cell r="A6150" t="str">
            <v>GRMZM2G133698</v>
          </cell>
          <cell r="B6150" t="str">
            <v>GO:0044267GO:0005524GO:0005515</v>
          </cell>
        </row>
        <row r="6151">
          <cell r="A6151" t="str">
            <v>GRMZM2G058450</v>
          </cell>
          <cell r="B6151" t="str">
            <v>GO:0008270GO:0005515</v>
          </cell>
        </row>
        <row r="6152">
          <cell r="A6152" t="str">
            <v>GRMZM2G119941</v>
          </cell>
          <cell r="B6152" t="str">
            <v>GO:0005975GO:0004553</v>
          </cell>
        </row>
        <row r="6153">
          <cell r="A6153" t="str">
            <v>GRMZM2G052825</v>
          </cell>
          <cell r="B6153" t="str">
            <v>GO:0016712GO:0020037GO:0009055</v>
          </cell>
        </row>
        <row r="6154">
          <cell r="A6154" t="str">
            <v>GRMZM2G364748</v>
          </cell>
          <cell r="B6154" t="str">
            <v>GO:0005618GO:0048046GO:0016762GO:0006073GO:0004553</v>
          </cell>
        </row>
        <row r="6155">
          <cell r="A6155" t="str">
            <v>GRMZM2G097706</v>
          </cell>
          <cell r="B6155" t="str">
            <v>GO:0008152GO:0016491</v>
          </cell>
        </row>
        <row r="6156">
          <cell r="A6156" t="str">
            <v>GRMZM2G132184</v>
          </cell>
          <cell r="B6156" t="str">
            <v>GO:0004674GO:0006468GO:0004713GO:0005524</v>
          </cell>
        </row>
        <row r="6157">
          <cell r="A6157" t="str">
            <v>GRMZM2G132185</v>
          </cell>
          <cell r="B6157" t="str">
            <v>GO:0003700GO:0006355GO:0050825GO:0042309GO:0050826</v>
          </cell>
        </row>
        <row r="6158">
          <cell r="A6158" t="str">
            <v>GRMZM2G060079</v>
          </cell>
          <cell r="B6158" t="str">
            <v>GO:0005506GO:0009058GO:0016491</v>
          </cell>
        </row>
        <row r="6159">
          <cell r="A6159" t="str">
            <v>GRMZM2G159171</v>
          </cell>
          <cell r="B6159" t="str">
            <v>GO:0006508GO:0008233</v>
          </cell>
        </row>
        <row r="6160">
          <cell r="A6160" t="str">
            <v>GRMZM2G444560</v>
          </cell>
          <cell r="B6160" t="str">
            <v>GO:0017111GO:0005524</v>
          </cell>
        </row>
        <row r="6161">
          <cell r="A6161" t="str">
            <v>AC203909.3_FG003</v>
          </cell>
          <cell r="B6161" t="str">
            <v>GO:0019882GO:0050660GO:0016020GO:0006955GO:0009055GO:0016491</v>
          </cell>
        </row>
        <row r="6162">
          <cell r="A6162" t="str">
            <v>GRMZM2G156748</v>
          </cell>
          <cell r="B6162" t="str">
            <v>GO:0016866</v>
          </cell>
        </row>
        <row r="6163">
          <cell r="A6163" t="str">
            <v>GRMZM2G463525</v>
          </cell>
          <cell r="B6163" t="str">
            <v>GO:0009424GO:0045449GO:0008270GO:0003677GO:0003774GO:0009296</v>
          </cell>
        </row>
        <row r="6164">
          <cell r="A6164" t="str">
            <v>GRMZM2G122618</v>
          </cell>
          <cell r="B6164" t="str">
            <v>GO:0009405GO:0009289</v>
          </cell>
        </row>
        <row r="6165">
          <cell r="A6165" t="str">
            <v>GRMZM2G034471</v>
          </cell>
          <cell r="B6165" t="str">
            <v>GO:0004497GO:0020037GO:0009055</v>
          </cell>
        </row>
        <row r="6166">
          <cell r="A6166" t="str">
            <v>GRMZM2G143718</v>
          </cell>
          <cell r="B6166" t="str">
            <v>GO:0008270GO:0005622</v>
          </cell>
        </row>
        <row r="6167">
          <cell r="A6167" t="str">
            <v>GRMZM2G053669</v>
          </cell>
          <cell r="B6167" t="str">
            <v>GO:0006529GO:0004066</v>
          </cell>
        </row>
        <row r="6168">
          <cell r="A6168" t="str">
            <v>GRMZM2G015295</v>
          </cell>
          <cell r="B6168" t="str">
            <v>GO:0004013GO:0048037GO:0006730GO:0016616</v>
          </cell>
        </row>
        <row r="6169">
          <cell r="A6169" t="str">
            <v>GRMZM2G059671</v>
          </cell>
          <cell r="B6169" t="str">
            <v>GO:0004674GO:0006468GO:0004713GO:0005524</v>
          </cell>
        </row>
        <row r="6170">
          <cell r="A6170" t="str">
            <v>GRMZM2G445057</v>
          </cell>
          <cell r="B6170" t="str">
            <v>GO:0004525GO:0003723GO:0006396</v>
          </cell>
        </row>
        <row r="6171">
          <cell r="A6171" t="str">
            <v>GRMZM2G395535</v>
          </cell>
          <cell r="B6171" t="str">
            <v>GO:0045454GO:0015035GO:0009055</v>
          </cell>
        </row>
        <row r="6172">
          <cell r="A6172" t="str">
            <v>GRMZM2G006293</v>
          </cell>
          <cell r="B6172" t="str">
            <v>GO:0003735GO:0006412GO:0006464GO:0005840</v>
          </cell>
        </row>
        <row r="6173">
          <cell r="A6173" t="str">
            <v>GRMZM2G130379</v>
          </cell>
          <cell r="B6173" t="str">
            <v>GO:0046872GO:0009055</v>
          </cell>
        </row>
        <row r="6174">
          <cell r="A6174" t="str">
            <v>GRMZM2G034876</v>
          </cell>
          <cell r="B6174" t="str">
            <v>GO:0016818GO:0005634GO:0006355GO:0005524GO:0003677GO:0004879</v>
          </cell>
        </row>
        <row r="6175">
          <cell r="A6175" t="str">
            <v>GRMZM2G131611</v>
          </cell>
          <cell r="B6175" t="str">
            <v>GO:0008270</v>
          </cell>
        </row>
        <row r="6176">
          <cell r="A6176" t="str">
            <v>GRMZM2G153675</v>
          </cell>
          <cell r="B6176" t="str">
            <v>GO:0003824</v>
          </cell>
        </row>
        <row r="6177">
          <cell r="A6177" t="str">
            <v>GRMZM2G049070</v>
          </cell>
          <cell r="B6177" t="str">
            <v>GO:0008270GO:0005515</v>
          </cell>
        </row>
        <row r="6178">
          <cell r="A6178" t="str">
            <v>GRMZM2G031177</v>
          </cell>
          <cell r="B6178" t="str">
            <v>GO:0015297GO:0016020GO:0006855GO:0015238</v>
          </cell>
        </row>
        <row r="6179">
          <cell r="A6179" t="str">
            <v>GRMZM2G135743</v>
          </cell>
          <cell r="B6179" t="str">
            <v>GO:0016757</v>
          </cell>
        </row>
        <row r="6180">
          <cell r="A6180" t="str">
            <v>GRMZM2G332562</v>
          </cell>
          <cell r="B6180" t="str">
            <v>GO:0016020GO:0017153GO:0006835</v>
          </cell>
        </row>
        <row r="6181">
          <cell r="A6181" t="str">
            <v>GRMZM2G131205</v>
          </cell>
          <cell r="B6181" t="str">
            <v>GO:0003854GO:0050662GO:0006694</v>
          </cell>
        </row>
        <row r="6182">
          <cell r="A6182" t="str">
            <v>GRMZM2G113409</v>
          </cell>
          <cell r="B6182" t="str">
            <v>GO:0005247GO:0006821GO:0016020</v>
          </cell>
        </row>
        <row r="6183">
          <cell r="A6183" t="str">
            <v>GRMZM2G081529</v>
          </cell>
          <cell r="B6183" t="str">
            <v>GO:0016021GO:0005840GO:0005634GO:0003677GO:0005199GO:0003735GO:0006355GO:0050825GO:0042309GO:0050826GO:0007186GO:0006412GO:0004879</v>
          </cell>
        </row>
        <row r="6184">
          <cell r="A6184" t="str">
            <v>GRMZM2G085646</v>
          </cell>
          <cell r="B6184" t="str">
            <v>GO:0015979GO:0009538</v>
          </cell>
        </row>
        <row r="6185">
          <cell r="A6185" t="str">
            <v>GRMZM2G080839</v>
          </cell>
          <cell r="B6185" t="str">
            <v>GO:0050660GO:0016491</v>
          </cell>
        </row>
        <row r="6186">
          <cell r="A6186" t="str">
            <v>GRMZM2G013357</v>
          </cell>
          <cell r="B6186" t="str">
            <v>GO:0004497GO:0020037GO:0009055</v>
          </cell>
        </row>
        <row r="6187">
          <cell r="A6187" t="str">
            <v>GRMZM2G331811</v>
          </cell>
          <cell r="B6187" t="str">
            <v>GO:0003723</v>
          </cell>
        </row>
        <row r="6188">
          <cell r="A6188" t="str">
            <v>GRMZM2G158136</v>
          </cell>
          <cell r="B6188" t="str">
            <v>GO:0019205GO:0006270GO:0006275GO:0003688GO:0016887GO:0005524</v>
          </cell>
        </row>
        <row r="6189">
          <cell r="A6189" t="str">
            <v>GRMZM2G117706</v>
          </cell>
          <cell r="B6189" t="str">
            <v>GO:0020037GO:0005576GO:0004601GO:0006979GO:0009055</v>
          </cell>
        </row>
        <row r="6190">
          <cell r="A6190" t="str">
            <v>GRMZM2G142063</v>
          </cell>
          <cell r="B6190" t="str">
            <v>GO:0016021GO:0017153GO:0006835GO:0055085</v>
          </cell>
        </row>
        <row r="6191">
          <cell r="A6191" t="str">
            <v>GRMZM2G052671</v>
          </cell>
          <cell r="B6191" t="str">
            <v>GO:0003700GO:0043565GO:0005634GO:0045449</v>
          </cell>
        </row>
        <row r="6192">
          <cell r="A6192" t="str">
            <v>GRMZM2G041238</v>
          </cell>
          <cell r="B6192" t="str">
            <v>GO:0003735GO:0015934GO:0006412</v>
          </cell>
        </row>
        <row r="6193">
          <cell r="A6193" t="str">
            <v>GRMZM2G172342</v>
          </cell>
          <cell r="B6193" t="str">
            <v>GO:0003735GO:0006412GO:0005840</v>
          </cell>
        </row>
        <row r="6194">
          <cell r="A6194" t="str">
            <v>GRMZM2G400602</v>
          </cell>
          <cell r="B6194" t="str">
            <v>GO:0006857GO:0016791GO:0005215GO:0016020GO:0005529GO:0008152</v>
          </cell>
        </row>
        <row r="6195">
          <cell r="A6195" t="str">
            <v>GRMZM2G085467</v>
          </cell>
          <cell r="B6195" t="str">
            <v>GO:0005634GO:0045449GO:0030528</v>
          </cell>
        </row>
        <row r="6196">
          <cell r="A6196" t="str">
            <v>AC233882.1_FG003</v>
          </cell>
          <cell r="B6196" t="str">
            <v>GO:0016021GO:0006810GO:0042626GO:0005524</v>
          </cell>
        </row>
        <row r="6197">
          <cell r="A6197" t="str">
            <v>GRMZM2G180254</v>
          </cell>
          <cell r="B6197" t="str">
            <v>GO:0006915GO:0017111GO:0005524</v>
          </cell>
        </row>
        <row r="6198">
          <cell r="A6198" t="str">
            <v>GRMZM2G405178</v>
          </cell>
          <cell r="B6198" t="str">
            <v>GO:0005737GO:0008119GO:0008152</v>
          </cell>
        </row>
        <row r="6199">
          <cell r="A6199" t="str">
            <v>GRMZM2G300955</v>
          </cell>
          <cell r="B6199" t="str">
            <v>GO:0018024GO:0005634GO:0008270GO:0016568</v>
          </cell>
        </row>
        <row r="6200">
          <cell r="A6200" t="str">
            <v>GRMZM2G051792</v>
          </cell>
          <cell r="B6200" t="str">
            <v>GO:0008270</v>
          </cell>
        </row>
        <row r="6201">
          <cell r="A6201" t="str">
            <v>GRMZM2G014444</v>
          </cell>
          <cell r="B6201" t="str">
            <v>GO:0003735GO:0006412GO:0005840</v>
          </cell>
        </row>
        <row r="6202">
          <cell r="A6202" t="str">
            <v>GRMZM2G121221</v>
          </cell>
          <cell r="B6202" t="str">
            <v>GO:0005840GO:0006334GO:0003677GO:0006412GO:0003735GO:0000786GO:0005634</v>
          </cell>
        </row>
        <row r="6203">
          <cell r="A6203" t="str">
            <v>GRMZM2G029385</v>
          </cell>
          <cell r="B6203" t="str">
            <v>GO:0031072</v>
          </cell>
        </row>
        <row r="6204">
          <cell r="A6204" t="str">
            <v>GRMZM2G091643</v>
          </cell>
          <cell r="B6204" t="str">
            <v>GO:0003824GO:0008152</v>
          </cell>
        </row>
        <row r="6205">
          <cell r="A6205" t="str">
            <v>GRMZM2G083058</v>
          </cell>
          <cell r="B6205" t="str">
            <v>GO:0016021</v>
          </cell>
        </row>
        <row r="6206">
          <cell r="A6206" t="str">
            <v>GRMZM2G131266</v>
          </cell>
          <cell r="B6206" t="str">
            <v>GO:0003700GO:0006355</v>
          </cell>
        </row>
        <row r="6207">
          <cell r="A6207" t="str">
            <v>GRMZM2G176489</v>
          </cell>
          <cell r="B6207" t="str">
            <v>GO:0003700GO:0043565GO:0005634GO:0045449</v>
          </cell>
        </row>
        <row r="6208">
          <cell r="A6208" t="str">
            <v>GRMZM2G082508</v>
          </cell>
          <cell r="B6208" t="str">
            <v>GO:0006355GO:0005634GO:0004879GO:0003677</v>
          </cell>
        </row>
        <row r="6209">
          <cell r="A6209" t="str">
            <v>GRMZM2G092804</v>
          </cell>
          <cell r="B6209" t="str">
            <v>GO:0051260GO:0016021GO:0007186</v>
          </cell>
        </row>
        <row r="6210">
          <cell r="A6210" t="str">
            <v>GRMZM2G154093</v>
          </cell>
          <cell r="B6210" t="str">
            <v>GO:0006570GO:0004411GO:0006559</v>
          </cell>
        </row>
        <row r="6211">
          <cell r="A6211" t="str">
            <v>GRMZM2G154090</v>
          </cell>
          <cell r="B6211" t="str">
            <v>GO:0005315GO:0016021GO:0006817</v>
          </cell>
        </row>
        <row r="6212">
          <cell r="A6212" t="str">
            <v>GRMZM2G021605</v>
          </cell>
          <cell r="B6212" t="str">
            <v>GO:0006096GO:0016868</v>
          </cell>
        </row>
        <row r="6213">
          <cell r="A6213" t="str">
            <v>GRMZM2G120432</v>
          </cell>
          <cell r="B6213" t="str">
            <v>GO:0003735GO:0006412GO:0005840</v>
          </cell>
        </row>
        <row r="6214">
          <cell r="A6214" t="str">
            <v>GRMZM2G127350</v>
          </cell>
          <cell r="B6214" t="str">
            <v>GO:0008483GO:0030170</v>
          </cell>
        </row>
        <row r="6215">
          <cell r="A6215" t="str">
            <v>GRMZM2G076423</v>
          </cell>
          <cell r="B6215" t="str">
            <v>GO:0004674GO:0006468GO:0004713GO:0005524</v>
          </cell>
        </row>
        <row r="6216">
          <cell r="A6216" t="str">
            <v>GRMZM2G167463</v>
          </cell>
          <cell r="B6216" t="str">
            <v>GO:0015031GO:0005743GO:0008565</v>
          </cell>
        </row>
        <row r="6217">
          <cell r="A6217" t="str">
            <v>GRMZM2G164868</v>
          </cell>
          <cell r="B6217" t="str">
            <v>GO:0050825GO:0042309GO:0050826</v>
          </cell>
        </row>
        <row r="6218">
          <cell r="A6218" t="str">
            <v>GRMZM2G055698</v>
          </cell>
          <cell r="B6218" t="str">
            <v>GO:0016021</v>
          </cell>
        </row>
        <row r="6219">
          <cell r="A6219" t="str">
            <v>GRMZM2G413315</v>
          </cell>
          <cell r="B6219" t="str">
            <v>GO:0045454GO:0015035GO:0009055</v>
          </cell>
        </row>
        <row r="6220">
          <cell r="A6220" t="str">
            <v>GRMZM2G112284</v>
          </cell>
          <cell r="B6220" t="str">
            <v>GO:0046914GO:0016491</v>
          </cell>
        </row>
        <row r="6221">
          <cell r="A6221" t="str">
            <v>GRMZM2G126975</v>
          </cell>
          <cell r="B6221" t="str">
            <v>GO:0005576</v>
          </cell>
        </row>
        <row r="6222">
          <cell r="A6222" t="str">
            <v>GRMZM2G400281</v>
          </cell>
          <cell r="B6222" t="str">
            <v>GO:0006355GO:0005634GO:0008270GO:0004879GO:0003677</v>
          </cell>
        </row>
        <row r="6223">
          <cell r="A6223" t="str">
            <v>GRMZM2G141665</v>
          </cell>
          <cell r="B6223" t="str">
            <v>GO:0016491GO:0009055</v>
          </cell>
        </row>
        <row r="6224">
          <cell r="A6224" t="str">
            <v>GRMZM2G028709</v>
          </cell>
          <cell r="B6224" t="str">
            <v>GO:0004674GO:0006468GO:0016597GO:0004713GO:0005524</v>
          </cell>
        </row>
        <row r="6225">
          <cell r="A6225" t="str">
            <v>GRMZM2G174776</v>
          </cell>
          <cell r="B6225" t="str">
            <v>GO:0005179GO:0043565GO:0005622GO:0005576GO:0050825GO:0042309GO:0050826</v>
          </cell>
        </row>
        <row r="6226">
          <cell r="A6226" t="str">
            <v>GRMZM2G000836</v>
          </cell>
          <cell r="B6226" t="str">
            <v>GO:0008270GO:0005622</v>
          </cell>
        </row>
        <row r="6227">
          <cell r="A6227" t="str">
            <v>GRMZM2G434203</v>
          </cell>
          <cell r="B6227" t="str">
            <v>GO:0003700GO:0006355GO:0050825GO:0042309GO:0050826</v>
          </cell>
        </row>
        <row r="6228">
          <cell r="A6228" t="str">
            <v>GRMZM2G431018</v>
          </cell>
          <cell r="B6228" t="str">
            <v>GO:0006468GO:0016020GO:0004674GO:0004713GO:0007155GO:0005524</v>
          </cell>
        </row>
        <row r="6229">
          <cell r="A6229" t="str">
            <v>GRMZM2G130119</v>
          </cell>
          <cell r="B6229" t="str">
            <v>GO:0016758GO:0008152</v>
          </cell>
        </row>
        <row r="6230">
          <cell r="A6230" t="str">
            <v>GRMZM2G090865</v>
          </cell>
          <cell r="B6230" t="str">
            <v>GO:0007049GO:0005525</v>
          </cell>
        </row>
        <row r="6231">
          <cell r="A6231" t="str">
            <v>GRMZM2G010991</v>
          </cell>
          <cell r="B6231" t="str">
            <v>GO:0003735GO:0006412GO:0005840</v>
          </cell>
        </row>
        <row r="6232">
          <cell r="A6232" t="str">
            <v>GRMZM2G116079</v>
          </cell>
          <cell r="B6232" t="str">
            <v>GO:0008270GO:0005622</v>
          </cell>
        </row>
        <row r="6233">
          <cell r="A6233" t="str">
            <v>GRMZM2G314898</v>
          </cell>
          <cell r="B6233" t="str">
            <v>GO:0016747</v>
          </cell>
        </row>
        <row r="6234">
          <cell r="A6234" t="str">
            <v>GRMZM2G130442</v>
          </cell>
          <cell r="B6234" t="str">
            <v>GO:0043565GO:0003700GO:0005634GO:0006355GO:0005249GO:0006813GO:0016021</v>
          </cell>
        </row>
        <row r="6235">
          <cell r="A6235" t="str">
            <v>GRMZM2G066489</v>
          </cell>
          <cell r="B6235" t="str">
            <v>GO:0016021GO:0006810GO:0005234GO:0030288GO:0004965GO:0007186GO:0004970</v>
          </cell>
        </row>
        <row r="6236">
          <cell r="A6236" t="str">
            <v>GRMZM2G140924</v>
          </cell>
          <cell r="B6236" t="str">
            <v>GO:0006614GO:0008312GO:0008270GO:0005515GO:0048500GO:0005525</v>
          </cell>
        </row>
        <row r="6237">
          <cell r="A6237" t="str">
            <v>GRMZM2G017520</v>
          </cell>
          <cell r="B6237" t="str">
            <v>GO:0006426GO:0005737GO:0004820GO:0005524GO:0003677</v>
          </cell>
        </row>
        <row r="6238">
          <cell r="A6238" t="str">
            <v>GRMZM2G059308</v>
          </cell>
          <cell r="B6238" t="str">
            <v>GO:0004497GO:0020037GO:0009055</v>
          </cell>
        </row>
        <row r="6239">
          <cell r="A6239" t="str">
            <v>GRMZM2G077914</v>
          </cell>
          <cell r="B6239" t="str">
            <v>GO:0004674GO:0006468GO:0004713GO:0005524</v>
          </cell>
        </row>
        <row r="6240">
          <cell r="A6240" t="str">
            <v>GRMZM2G098423</v>
          </cell>
          <cell r="B6240" t="str">
            <v>GO:0048037GO:0016597GO:0016616GO:0008152</v>
          </cell>
        </row>
        <row r="6241">
          <cell r="A6241" t="str">
            <v>GRMZM2G126594</v>
          </cell>
          <cell r="B6241" t="str">
            <v>GO:0003735GO:0015934GO:0006412</v>
          </cell>
        </row>
        <row r="6242">
          <cell r="A6242" t="str">
            <v>GRMZM2G037327</v>
          </cell>
          <cell r="B6242" t="str">
            <v>GO:0005215GO:0016020GO:0006810</v>
          </cell>
        </row>
        <row r="6243">
          <cell r="A6243" t="str">
            <v>GRMZM2G319062</v>
          </cell>
          <cell r="B6243" t="str">
            <v>GO:0005344GO:0006810GO:0008152GO:0016491</v>
          </cell>
        </row>
        <row r="6244">
          <cell r="A6244" t="str">
            <v>GRMZM2G107073</v>
          </cell>
          <cell r="B6244" t="str">
            <v>GO:0005975GO:0004650</v>
          </cell>
        </row>
        <row r="6245">
          <cell r="A6245" t="str">
            <v>GRMZM2G136508</v>
          </cell>
          <cell r="B6245" t="str">
            <v>GO:0006813GO:0016020GO:0006865GO:0015171GO:0005249</v>
          </cell>
        </row>
        <row r="6246">
          <cell r="A6246" t="str">
            <v>GRMZM2G488465</v>
          </cell>
          <cell r="B6246" t="str">
            <v>GO:0006355GO:0000156GO:0000160</v>
          </cell>
        </row>
        <row r="6247">
          <cell r="A6247" t="str">
            <v>GRMZM2G120296</v>
          </cell>
          <cell r="B6247" t="str">
            <v>GO:0005634GO:0045449GO:0030528</v>
          </cell>
        </row>
        <row r="6248">
          <cell r="A6248" t="str">
            <v>GRMZM2G139710</v>
          </cell>
          <cell r="B6248" t="str">
            <v>GO:0018024GO:0005634GO:0008270GO:0004871GO:0007275GO:0016568</v>
          </cell>
        </row>
        <row r="6249">
          <cell r="A6249" t="str">
            <v>GRMZM2G067456</v>
          </cell>
          <cell r="B6249" t="str">
            <v>GO:0004415GO:0006952GO:0003735GO:0006412GO:0005840</v>
          </cell>
        </row>
        <row r="6250">
          <cell r="A6250" t="str">
            <v>GRMZM2G169951</v>
          </cell>
          <cell r="B6250" t="str">
            <v>GO:0016021</v>
          </cell>
        </row>
        <row r="6251">
          <cell r="A6251" t="str">
            <v>GRMZM2G022915</v>
          </cell>
          <cell r="B6251" t="str">
            <v>GO:0005737GO:0004812GO:0005216GO:0016020GO:0006418GO:0006811GO:0005524</v>
          </cell>
        </row>
        <row r="6252">
          <cell r="A6252" t="str">
            <v>GRMZM2G178182</v>
          </cell>
          <cell r="B6252" t="str">
            <v>GO:0005634GO:0045449GO:0030528</v>
          </cell>
        </row>
        <row r="6253">
          <cell r="A6253" t="str">
            <v>GRMZM2G467576</v>
          </cell>
          <cell r="B6253" t="str">
            <v>GO:0008270GO:0005515</v>
          </cell>
        </row>
        <row r="6254">
          <cell r="A6254" t="str">
            <v>GRMZM2G076474</v>
          </cell>
          <cell r="B6254" t="str">
            <v>GO:0006915GO:0017111GO:0005515GO:0005524</v>
          </cell>
        </row>
        <row r="6255">
          <cell r="A6255" t="str">
            <v>GRMZM2G124335</v>
          </cell>
          <cell r="B6255" t="str">
            <v>GO:0006633GO:0016747</v>
          </cell>
        </row>
        <row r="6256">
          <cell r="A6256" t="str">
            <v>GRMZM2G111138</v>
          </cell>
          <cell r="B6256" t="str">
            <v>GO:0016070GO:0005515</v>
          </cell>
        </row>
        <row r="6257">
          <cell r="A6257" t="str">
            <v>GRMZM2G049484</v>
          </cell>
          <cell r="B6257" t="str">
            <v>GO:0009058</v>
          </cell>
        </row>
        <row r="6258">
          <cell r="A6258" t="str">
            <v>GRMZM2G023711</v>
          </cell>
          <cell r="B6258" t="str">
            <v>GO:0045454</v>
          </cell>
        </row>
        <row r="6259">
          <cell r="A6259" t="str">
            <v>GRMZM2G023715</v>
          </cell>
          <cell r="B6259" t="str">
            <v>GO:0004674GO:0006468GO:0005524GO:0005515GO:0004713</v>
          </cell>
        </row>
        <row r="6260">
          <cell r="A6260" t="str">
            <v>AC148152.3_FG005</v>
          </cell>
          <cell r="B6260" t="str">
            <v>GO:0016491</v>
          </cell>
        </row>
        <row r="6261">
          <cell r="A6261" t="str">
            <v>GRMZM2G025014</v>
          </cell>
          <cell r="B6261" t="str">
            <v>GO:0005634GO:0008270GO:0003723</v>
          </cell>
        </row>
        <row r="6262">
          <cell r="A6262" t="str">
            <v>GRMZM2G009995</v>
          </cell>
          <cell r="B6262" t="str">
            <v>GO:0004674GO:0006468GO:0005524GO:0005515GO:0004713</v>
          </cell>
        </row>
        <row r="6263">
          <cell r="A6263" t="str">
            <v>GRMZM2G316889</v>
          </cell>
          <cell r="B6263" t="str">
            <v>GO:0006857GO:0005215GO:0016020</v>
          </cell>
        </row>
        <row r="6264">
          <cell r="A6264" t="str">
            <v>GRMZM2G004590</v>
          </cell>
          <cell r="B6264" t="str">
            <v>GO:0017111GO:0004765GO:0005524</v>
          </cell>
        </row>
        <row r="6265">
          <cell r="A6265" t="str">
            <v>GRMZM2G004040</v>
          </cell>
          <cell r="B6265" t="str">
            <v>GO:0004222GO:0016021GO:0008270GO:0016887GO:0006508GO:0005524</v>
          </cell>
        </row>
        <row r="6266">
          <cell r="A6266" t="str">
            <v>GRMZM2G048194</v>
          </cell>
          <cell r="B6266" t="str">
            <v>GO:0016998</v>
          </cell>
        </row>
        <row r="6267">
          <cell r="A6267" t="str">
            <v>GRMZM2G178236</v>
          </cell>
          <cell r="B6267" t="str">
            <v>GO:0003899GO:0006350GO:0003677</v>
          </cell>
        </row>
        <row r="6268">
          <cell r="A6268" t="str">
            <v>GRMZM2G147716</v>
          </cell>
          <cell r="B6268" t="str">
            <v>GO:0003700GO:0006355GO:0005634GO:0043565</v>
          </cell>
        </row>
        <row r="6269">
          <cell r="A6269" t="str">
            <v>GRMZM2G101852</v>
          </cell>
          <cell r="B6269" t="str">
            <v>GO:0005634GO:0006511GO:0008270GO:0005515GO:0007275</v>
          </cell>
        </row>
        <row r="6270">
          <cell r="A6270" t="str">
            <v>GRMZM2G146374</v>
          </cell>
          <cell r="B6270" t="str">
            <v>GO:0019787GO:0043687GO:0051246</v>
          </cell>
        </row>
        <row r="6271">
          <cell r="A6271" t="str">
            <v>GRMZM2G146378</v>
          </cell>
          <cell r="B6271" t="str">
            <v>GO:0005743GO:0006810GO:0005509</v>
          </cell>
        </row>
        <row r="6272">
          <cell r="A6272" t="str">
            <v>GRMZM2G398055</v>
          </cell>
          <cell r="B6272" t="str">
            <v>GO:0016021GO:0007186GO:0004930</v>
          </cell>
        </row>
        <row r="6273">
          <cell r="A6273" t="str">
            <v>GRMZM2G010044</v>
          </cell>
          <cell r="B6273" t="str">
            <v>GO:0008652GO:0016836GO:0051539</v>
          </cell>
        </row>
        <row r="6274">
          <cell r="A6274" t="str">
            <v>GRMZM2G177104</v>
          </cell>
          <cell r="B6274" t="str">
            <v>GO:0016491</v>
          </cell>
        </row>
        <row r="6275">
          <cell r="A6275" t="str">
            <v>GRMZM2G124421</v>
          </cell>
          <cell r="B6275" t="str">
            <v>GO:0043565GO:0005622</v>
          </cell>
        </row>
        <row r="6276">
          <cell r="A6276" t="str">
            <v>GRMZM2G092296</v>
          </cell>
          <cell r="B6276" t="str">
            <v>GO:0003735GO:0006412GO:0015935</v>
          </cell>
        </row>
        <row r="6277">
          <cell r="A6277" t="str">
            <v>GRMZM2G055141</v>
          </cell>
          <cell r="B6277" t="str">
            <v>GO:0008080GO:0008152</v>
          </cell>
        </row>
        <row r="6278">
          <cell r="A6278" t="str">
            <v>GRMZM2G104025</v>
          </cell>
          <cell r="B6278" t="str">
            <v>GO:0003735GO:0006412GO:0005840</v>
          </cell>
        </row>
        <row r="6279">
          <cell r="A6279" t="str">
            <v>GRMZM2G077632</v>
          </cell>
          <cell r="B6279" t="str">
            <v>GO:0005622GO:0003924GO:0005525</v>
          </cell>
        </row>
        <row r="6280">
          <cell r="A6280" t="str">
            <v>GRMZM2G033846</v>
          </cell>
          <cell r="B6280" t="str">
            <v>GO:0005509</v>
          </cell>
        </row>
        <row r="6281">
          <cell r="A6281" t="str">
            <v>GRMZM2G007939</v>
          </cell>
          <cell r="B6281" t="str">
            <v>GO:0016161GO:0000272</v>
          </cell>
        </row>
        <row r="6282">
          <cell r="A6282" t="str">
            <v>GRMZM2G337706</v>
          </cell>
          <cell r="B6282" t="str">
            <v>GO:0045454GO:0015035GO:0009055</v>
          </cell>
        </row>
        <row r="6283">
          <cell r="A6283" t="str">
            <v>GRMZM2G136895</v>
          </cell>
          <cell r="B6283" t="str">
            <v>GO:0005975GO:0004553</v>
          </cell>
        </row>
        <row r="6284">
          <cell r="A6284" t="str">
            <v>GRMZM2G044077</v>
          </cell>
          <cell r="B6284" t="str">
            <v>GO:0003700GO:0006355</v>
          </cell>
        </row>
        <row r="6285">
          <cell r="A6285" t="str">
            <v>GRMZM2G011240</v>
          </cell>
          <cell r="B6285" t="str">
            <v>GO:0005985</v>
          </cell>
        </row>
        <row r="6286">
          <cell r="A6286" t="str">
            <v>GRMZM2G323757</v>
          </cell>
          <cell r="B6286" t="str">
            <v>GO:0006508GO:0004190</v>
          </cell>
        </row>
        <row r="6287">
          <cell r="A6287" t="str">
            <v>GRMZM2G449274</v>
          </cell>
          <cell r="B6287" t="str">
            <v>GO:0005856GO:0006885GO:0016021GO:0015054GO:0006814GO:0007160GO:0050825GO:0042309GO:0050826GO:0015385GO:0007186</v>
          </cell>
        </row>
        <row r="6288">
          <cell r="A6288" t="str">
            <v>GRMZM2G121360</v>
          </cell>
          <cell r="B6288" t="str">
            <v>GO:0046872GO:0030001</v>
          </cell>
        </row>
        <row r="6289">
          <cell r="A6289" t="str">
            <v>GRMZM2G014193</v>
          </cell>
          <cell r="B6289" t="str">
            <v>GO:0003735GO:0046872GO:0006412GO:0003993GO:0005840</v>
          </cell>
        </row>
        <row r="6290">
          <cell r="A6290" t="str">
            <v>GRMZM2G108255</v>
          </cell>
          <cell r="B6290" t="str">
            <v>GO:0007155GO:0015629GO:0005199</v>
          </cell>
        </row>
        <row r="6291">
          <cell r="A6291" t="str">
            <v>GRMZM2G052034</v>
          </cell>
          <cell r="B6291" t="str">
            <v>GO:0008270GO:0005515</v>
          </cell>
        </row>
        <row r="6292">
          <cell r="A6292" t="str">
            <v>GRMZM2G119175</v>
          </cell>
          <cell r="B6292" t="str">
            <v>GO:0004743GO:0000287GO:0006096GO:0030955</v>
          </cell>
        </row>
        <row r="6293">
          <cell r="A6293" t="str">
            <v>GRMZM2G367650</v>
          </cell>
          <cell r="B6293" t="str">
            <v>GO:0008270GO:0005515</v>
          </cell>
        </row>
        <row r="6294">
          <cell r="A6294" t="str">
            <v>GRMZM2G033930</v>
          </cell>
          <cell r="B6294" t="str">
            <v>GO:0016773GO:0016310GO:0016301GO:0005524GO:0005737</v>
          </cell>
        </row>
        <row r="6295">
          <cell r="A6295" t="str">
            <v>GRMZM2G121565</v>
          </cell>
          <cell r="B6295" t="str">
            <v>GO:0004674GO:0006468GO:0005524GO:0005515GO:0004713</v>
          </cell>
        </row>
        <row r="6296">
          <cell r="A6296" t="str">
            <v>GRMZM2G108076</v>
          </cell>
          <cell r="B6296" t="str">
            <v>GO:0008152GO:0016491</v>
          </cell>
        </row>
        <row r="6297">
          <cell r="A6297" t="str">
            <v>GRMZM2G416817</v>
          </cell>
          <cell r="B6297" t="str">
            <v>GO:0004806GO:0006629</v>
          </cell>
        </row>
        <row r="6298">
          <cell r="A6298" t="str">
            <v>GRMZM2G173372</v>
          </cell>
          <cell r="B6298" t="str">
            <v>GO:0005634GO:0045449GO:0030528</v>
          </cell>
        </row>
        <row r="6299">
          <cell r="A6299" t="str">
            <v>GRMZM2G010452</v>
          </cell>
          <cell r="B6299" t="str">
            <v>GO:0005643GO:0000059GO:0008565GO:0005488GO:0005737</v>
          </cell>
        </row>
        <row r="6300">
          <cell r="A6300" t="str">
            <v>GRMZM2G153523</v>
          </cell>
          <cell r="B6300" t="str">
            <v>GO:0006508GO:0004190</v>
          </cell>
        </row>
        <row r="6301">
          <cell r="A6301" t="str">
            <v>GRMZM2G081406</v>
          </cell>
          <cell r="B6301" t="str">
            <v>GO:0006355GO:0005634GO:0003677GO:0009725</v>
          </cell>
        </row>
        <row r="6302">
          <cell r="A6302" t="str">
            <v>GRMZM2G105991</v>
          </cell>
          <cell r="B6302" t="str">
            <v>GO:0016758GO:0008152</v>
          </cell>
        </row>
        <row r="6303">
          <cell r="A6303" t="str">
            <v>GRMZM2G016605</v>
          </cell>
          <cell r="B6303" t="str">
            <v>GO:0016787GO:0008152</v>
          </cell>
        </row>
        <row r="6304">
          <cell r="A6304" t="str">
            <v>GRMZM2G044472</v>
          </cell>
          <cell r="B6304" t="str">
            <v>GO:0004607GO:0006629</v>
          </cell>
        </row>
        <row r="6305">
          <cell r="A6305" t="str">
            <v>GRMZM2G104489</v>
          </cell>
          <cell r="B6305" t="str">
            <v>GO:0008270GO:0005622</v>
          </cell>
        </row>
        <row r="6306">
          <cell r="A6306" t="str">
            <v>GRMZM2G104484</v>
          </cell>
          <cell r="B6306" t="str">
            <v>GO:0006508GO:0004185</v>
          </cell>
        </row>
        <row r="6307">
          <cell r="A6307" t="str">
            <v>GRMZM2G160417</v>
          </cell>
          <cell r="B6307" t="str">
            <v>GO:0006633GO:0016020GO:0008415</v>
          </cell>
        </row>
        <row r="6308">
          <cell r="A6308" t="str">
            <v>GRMZM2G108677</v>
          </cell>
          <cell r="B6308" t="str">
            <v>GO:0003723</v>
          </cell>
        </row>
        <row r="6309">
          <cell r="A6309" t="str">
            <v>GRMZM2G406196</v>
          </cell>
          <cell r="B6309" t="str">
            <v>GO:0050825GO:0042309GO:0050826</v>
          </cell>
        </row>
        <row r="6310">
          <cell r="A6310" t="str">
            <v>AC209987.4_FG010</v>
          </cell>
          <cell r="B6310" t="str">
            <v>GO:0005507GO:0009055</v>
          </cell>
        </row>
        <row r="6311">
          <cell r="A6311" t="str">
            <v>GRMZM2G128608</v>
          </cell>
          <cell r="B6311" t="str">
            <v>GO:0008270</v>
          </cell>
        </row>
        <row r="6312">
          <cell r="A6312" t="str">
            <v>GRMZM2G466298</v>
          </cell>
          <cell r="B6312" t="str">
            <v>GO:0004674GO:0006468GO:0005529GO:0004713GO:0005524</v>
          </cell>
        </row>
        <row r="6313">
          <cell r="A6313" t="str">
            <v>GRMZM2G426242</v>
          </cell>
          <cell r="B6313" t="str">
            <v>GO:0016758GO:0008152</v>
          </cell>
        </row>
        <row r="6314">
          <cell r="A6314" t="str">
            <v>GRMZM2G078985</v>
          </cell>
          <cell r="B6314" t="str">
            <v>GO:0003735GO:0006412GO:0015935</v>
          </cell>
        </row>
        <row r="6315">
          <cell r="A6315" t="str">
            <v>GRMZM2G011078</v>
          </cell>
          <cell r="B6315" t="str">
            <v>GO:0015031GO:0016021</v>
          </cell>
        </row>
        <row r="6316">
          <cell r="A6316" t="str">
            <v>GRMZM2G061527</v>
          </cell>
          <cell r="B6316" t="str">
            <v>GO:0005515</v>
          </cell>
        </row>
        <row r="6317">
          <cell r="A6317" t="str">
            <v>GRMZM2G303964</v>
          </cell>
          <cell r="B6317" t="str">
            <v>GO:0000151GO:0016567GO:0050825GO:0042309GO:0050826GO:0004842</v>
          </cell>
        </row>
        <row r="6318">
          <cell r="A6318" t="str">
            <v>GRMZM2G163809</v>
          </cell>
          <cell r="B6318" t="str">
            <v>GO:0016765GO:0008299GO:0009842GO:0015979</v>
          </cell>
        </row>
        <row r="6319">
          <cell r="A6319" t="str">
            <v>GRMZM2G162737</v>
          </cell>
          <cell r="B6319" t="str">
            <v>GO:0004497GO:0020037GO:0009055</v>
          </cell>
        </row>
        <row r="6320">
          <cell r="A6320" t="str">
            <v>GRMZM2G459391</v>
          </cell>
          <cell r="B6320" t="str">
            <v>GO:0030163</v>
          </cell>
        </row>
        <row r="6321">
          <cell r="A6321" t="str">
            <v>GRMZM2G177050</v>
          </cell>
          <cell r="B6321" t="str">
            <v>GO:0004674GO:0006468GO:0004713GO:0005524GO:0007165</v>
          </cell>
        </row>
        <row r="6322">
          <cell r="A6322" t="str">
            <v>GRMZM2G080930</v>
          </cell>
          <cell r="B6322" t="str">
            <v>GO:0008270GO:0003676</v>
          </cell>
        </row>
        <row r="6323">
          <cell r="A6323" t="str">
            <v>GRMZM2G307906</v>
          </cell>
          <cell r="B6323" t="str">
            <v>GO:0016021GO:0007186GO:0003676GO:0005199GO:0008270</v>
          </cell>
        </row>
        <row r="6324">
          <cell r="A6324" t="str">
            <v>GRMZM2G100920</v>
          </cell>
          <cell r="B6324" t="str">
            <v>GO:0003824</v>
          </cell>
        </row>
        <row r="6325">
          <cell r="A6325" t="str">
            <v>GRMZM2G033641</v>
          </cell>
          <cell r="B6325" t="str">
            <v>GO:0005215GO:0006810GO:0005622</v>
          </cell>
        </row>
        <row r="6326">
          <cell r="A6326" t="str">
            <v>GRMZM2G166035</v>
          </cell>
          <cell r="B6326" t="str">
            <v>GO:0006470GO:0008287GO:0004722</v>
          </cell>
        </row>
        <row r="6327">
          <cell r="A6327" t="str">
            <v>GRMZM2G084540</v>
          </cell>
          <cell r="B6327" t="str">
            <v>GO:0003723</v>
          </cell>
        </row>
        <row r="6328">
          <cell r="A6328" t="str">
            <v>GRMZM2G035118</v>
          </cell>
          <cell r="B6328" t="str">
            <v>GO:0003723</v>
          </cell>
        </row>
        <row r="6329">
          <cell r="A6329" t="str">
            <v>GRMZM2G467184</v>
          </cell>
          <cell r="B6329" t="str">
            <v>GO:0005509</v>
          </cell>
        </row>
        <row r="6330">
          <cell r="A6330" t="str">
            <v>GRMZM2G030169</v>
          </cell>
          <cell r="B6330" t="str">
            <v>GO:0005524GO:0005515</v>
          </cell>
        </row>
        <row r="6331">
          <cell r="A6331" t="str">
            <v>GRMZM2G179528</v>
          </cell>
          <cell r="B6331" t="str">
            <v>GO:0006508GO:0004185</v>
          </cell>
        </row>
        <row r="6332">
          <cell r="A6332" t="str">
            <v>GRMZM2G081350</v>
          </cell>
          <cell r="B6332" t="str">
            <v>GO:0008270GO:0005515GO:0005622</v>
          </cell>
        </row>
        <row r="6333">
          <cell r="A6333" t="str">
            <v>GRMZM2G064096</v>
          </cell>
          <cell r="B6333" t="str">
            <v>GO:0048046GO:0030145GO:0045735</v>
          </cell>
        </row>
        <row r="6334">
          <cell r="A6334" t="str">
            <v>GRMZM2G057374</v>
          </cell>
          <cell r="B6334" t="str">
            <v>GO:0006457</v>
          </cell>
        </row>
        <row r="6335">
          <cell r="A6335" t="str">
            <v>GRMZM2G103342</v>
          </cell>
          <cell r="B6335" t="str">
            <v>GO:0004601GO:0006979GO:0020037GO:0009055</v>
          </cell>
        </row>
        <row r="6336">
          <cell r="A6336" t="str">
            <v>GRMZM2G122126</v>
          </cell>
          <cell r="B6336" t="str">
            <v>GO:0017057GO:0006098</v>
          </cell>
        </row>
        <row r="6337">
          <cell r="A6337" t="str">
            <v>GRMZM2G408598</v>
          </cell>
          <cell r="B6337" t="str">
            <v>GO:0005488</v>
          </cell>
        </row>
        <row r="6338">
          <cell r="A6338" t="str">
            <v>GRMZM2G003138</v>
          </cell>
          <cell r="B6338" t="str">
            <v>GO:0006633GO:0016020GO:0008415</v>
          </cell>
        </row>
        <row r="6339">
          <cell r="A6339" t="str">
            <v>GRMZM2G455978</v>
          </cell>
          <cell r="B6339" t="str">
            <v>GO:0007155GO:0015629GO:0005198</v>
          </cell>
        </row>
        <row r="6340">
          <cell r="A6340" t="str">
            <v>GRMZM2G154648</v>
          </cell>
          <cell r="B6340" t="str">
            <v>GO:0050825GO:0042309GO:0050826</v>
          </cell>
        </row>
        <row r="6341">
          <cell r="A6341" t="str">
            <v>GRMZM2G169548</v>
          </cell>
          <cell r="B6341" t="str">
            <v>GO:0016740GO:0050825GO:0042309GO:0050826</v>
          </cell>
        </row>
        <row r="6342">
          <cell r="A6342" t="str">
            <v>GRMZM2G038485</v>
          </cell>
          <cell r="B6342" t="str">
            <v>GO:0016538GO:0007049</v>
          </cell>
        </row>
        <row r="6343">
          <cell r="A6343" t="str">
            <v>GRMZM2G475984</v>
          </cell>
          <cell r="B6343" t="str">
            <v>GO:0003700GO:0043565GO:0005634GO:0045449</v>
          </cell>
        </row>
        <row r="6344">
          <cell r="A6344" t="str">
            <v>GRMZM2G448330</v>
          </cell>
          <cell r="B6344" t="str">
            <v>GO:0005488</v>
          </cell>
        </row>
        <row r="6345">
          <cell r="A6345" t="str">
            <v>GRMZM2G149865</v>
          </cell>
          <cell r="B6345" t="str">
            <v>GO:0008168GO:0032259GO:0003676</v>
          </cell>
        </row>
        <row r="6346">
          <cell r="A6346" t="str">
            <v>GRMZM2G085675</v>
          </cell>
          <cell r="B6346" t="str">
            <v>GO:0003735GO:0005840GO:0006412GO:0003723</v>
          </cell>
        </row>
        <row r="6347">
          <cell r="A6347" t="str">
            <v>GRMZM2G396231</v>
          </cell>
          <cell r="B6347" t="str">
            <v>GO:0006355GO:0005634GO:0000785GO:0003677</v>
          </cell>
        </row>
        <row r="6348">
          <cell r="A6348" t="str">
            <v>GRMZM2G021710</v>
          </cell>
          <cell r="B6348" t="str">
            <v>GO:0042981GO:0005515</v>
          </cell>
        </row>
        <row r="6349">
          <cell r="A6349" t="str">
            <v>GRMZM2G077187</v>
          </cell>
          <cell r="B6349" t="str">
            <v>GO:0003824GO:0016020</v>
          </cell>
        </row>
        <row r="6350">
          <cell r="A6350" t="str">
            <v>GRMZM2G085854</v>
          </cell>
          <cell r="B6350" t="str">
            <v>GO:0016758GO:0008152</v>
          </cell>
        </row>
        <row r="6351">
          <cell r="A6351" t="str">
            <v>GRMZM2G041223</v>
          </cell>
          <cell r="B6351" t="str">
            <v>GO:0016818GO:0045449GO:0005634GO:0005524</v>
          </cell>
        </row>
        <row r="6352">
          <cell r="A6352" t="str">
            <v>GRMZM2G013430</v>
          </cell>
          <cell r="B6352" t="str">
            <v>GO:0005737GO:0006535GO:0050825GO:0042309GO:0050826GO:0009001</v>
          </cell>
        </row>
        <row r="6353">
          <cell r="A6353" t="str">
            <v>AC196489.3_FG002</v>
          </cell>
          <cell r="B6353" t="str">
            <v>GO:0003735GO:0006412GO:0005840</v>
          </cell>
        </row>
        <row r="6354">
          <cell r="A6354" t="str">
            <v>GRMZM2G113216</v>
          </cell>
          <cell r="B6354" t="str">
            <v>GO:0016972GO:0005634GO:0006355GO:0055114GO:0003677GO:0045454GO:0004879</v>
          </cell>
        </row>
        <row r="6355">
          <cell r="A6355" t="str">
            <v>GRMZM2G336858</v>
          </cell>
          <cell r="B6355" t="str">
            <v>GO:0006457</v>
          </cell>
        </row>
        <row r="6356">
          <cell r="A6356" t="str">
            <v>GRMZM2G142873</v>
          </cell>
          <cell r="B6356" t="str">
            <v>GO:0016758GO:0009247GO:0016491</v>
          </cell>
        </row>
        <row r="6357">
          <cell r="A6357" t="str">
            <v>GRMZM2G142870</v>
          </cell>
          <cell r="B6357" t="str">
            <v>GO:0016021GO:0006810GO:0042626GO:0005524</v>
          </cell>
        </row>
        <row r="6358">
          <cell r="A6358" t="str">
            <v>GRMZM2G102365</v>
          </cell>
          <cell r="B6358" t="str">
            <v>GO:0045454</v>
          </cell>
        </row>
        <row r="6359">
          <cell r="A6359" t="str">
            <v>GRMZM2G071147</v>
          </cell>
          <cell r="B6359" t="str">
            <v>GO:0050825GO:0042309GO:0050826</v>
          </cell>
        </row>
        <row r="6360">
          <cell r="A6360" t="str">
            <v>AC234159.1_FG002</v>
          </cell>
          <cell r="B6360" t="str">
            <v>GO:0005743GO:0006810GO:0005488GO:0005215</v>
          </cell>
        </row>
        <row r="6361">
          <cell r="A6361" t="str">
            <v>GRMZM2G109677</v>
          </cell>
          <cell r="B6361" t="str">
            <v>GO:0003735GO:0006412GO:0005840</v>
          </cell>
        </row>
        <row r="6362">
          <cell r="A6362" t="str">
            <v>GRMZM2G059799</v>
          </cell>
          <cell r="B6362" t="str">
            <v>GO:0006950</v>
          </cell>
        </row>
        <row r="6363">
          <cell r="A6363" t="str">
            <v>GRMZM2G084583</v>
          </cell>
          <cell r="B6363" t="str">
            <v>GO:0050826GO:0050825GO:0042309GO:0003677</v>
          </cell>
        </row>
        <row r="6364">
          <cell r="A6364" t="str">
            <v>GRMZM2G006370</v>
          </cell>
          <cell r="B6364" t="str">
            <v>GO:0004674GO:0006468GO:0004713GO:0005524</v>
          </cell>
        </row>
        <row r="6365">
          <cell r="A6365" t="str">
            <v>GRMZM2G084587</v>
          </cell>
          <cell r="B6365" t="str">
            <v>GO:0005515</v>
          </cell>
        </row>
        <row r="6366">
          <cell r="A6366" t="str">
            <v>AC212859.3_FG007</v>
          </cell>
          <cell r="B6366" t="str">
            <v>GO:0005488</v>
          </cell>
        </row>
        <row r="6367">
          <cell r="A6367" t="str">
            <v>AC217050.4_FG007</v>
          </cell>
          <cell r="B6367" t="str">
            <v>GO:0016829GO:0000287GO:0008152</v>
          </cell>
        </row>
        <row r="6368">
          <cell r="A6368" t="str">
            <v>GRMZM2G129954</v>
          </cell>
          <cell r="B6368" t="str">
            <v>GO:0006355GO:0000156GO:0000160</v>
          </cell>
        </row>
        <row r="6369">
          <cell r="A6369" t="str">
            <v>GRMZM2G167497</v>
          </cell>
          <cell r="B6369" t="str">
            <v>GO:0030246</v>
          </cell>
        </row>
        <row r="6370">
          <cell r="A6370" t="str">
            <v>GRMZM2G178955</v>
          </cell>
          <cell r="B6370" t="str">
            <v>GO:0005543</v>
          </cell>
        </row>
        <row r="6371">
          <cell r="A6371" t="str">
            <v>GRMZM2G164020</v>
          </cell>
          <cell r="B6371" t="str">
            <v>GO:0005840GO:0006334GO:0003677GO:0005199GO:0006412GO:0003735GO:0000786GO:0005634</v>
          </cell>
        </row>
        <row r="6372">
          <cell r="A6372" t="str">
            <v>GRMZM2G091383</v>
          </cell>
          <cell r="B6372" t="str">
            <v>GO:0003735GO:0006412GO:0005840</v>
          </cell>
        </row>
        <row r="6373">
          <cell r="A6373" t="str">
            <v>GRMZM2G164413</v>
          </cell>
          <cell r="B6373" t="str">
            <v>GO:0016020</v>
          </cell>
        </row>
        <row r="6374">
          <cell r="A6374" t="str">
            <v>GRMZM2G309731</v>
          </cell>
          <cell r="B6374" t="str">
            <v>GO:0003700GO:0006355</v>
          </cell>
        </row>
        <row r="6375">
          <cell r="A6375" t="str">
            <v>GRMZM2G144782</v>
          </cell>
          <cell r="B6375" t="str">
            <v>GO:0008270GO:0005515</v>
          </cell>
        </row>
        <row r="6376">
          <cell r="A6376" t="str">
            <v>GRMZM2G134334</v>
          </cell>
          <cell r="B6376" t="str">
            <v>GO:0003677GO:0050825GO:0008270GO:0042309GO:0050826</v>
          </cell>
        </row>
        <row r="6377">
          <cell r="A6377" t="str">
            <v>GRMZM2G406601</v>
          </cell>
          <cell r="B6377" t="str">
            <v>GO:0006468GO:0016020GO:0005215GO:0006810GO:0004674GO:0004713GO:0005524</v>
          </cell>
        </row>
        <row r="6378">
          <cell r="A6378" t="str">
            <v>GRMZM2G059428</v>
          </cell>
          <cell r="B6378" t="str">
            <v>GO:0045449GO:0003677</v>
          </cell>
        </row>
        <row r="6379">
          <cell r="A6379" t="str">
            <v>GRMZM2G012631</v>
          </cell>
          <cell r="B6379" t="str">
            <v>GO:0006457GO:0051082GO:0005524</v>
          </cell>
        </row>
        <row r="6380">
          <cell r="A6380" t="str">
            <v>GRMZM2G050325</v>
          </cell>
          <cell r="B6380" t="str">
            <v>GO:0003824GO:0009058</v>
          </cell>
        </row>
        <row r="6381">
          <cell r="A6381" t="str">
            <v>GRMZM2G330049</v>
          </cell>
          <cell r="B6381" t="str">
            <v>GO:0006468GO:0005840GO:0003735GO:0004674GO:0004713GO:0006412GO:0005524GO:0007165</v>
          </cell>
        </row>
        <row r="6382">
          <cell r="A6382" t="str">
            <v>GRMZM2G350711</v>
          </cell>
          <cell r="B6382" t="str">
            <v>GO:0005515</v>
          </cell>
        </row>
        <row r="6383">
          <cell r="A6383" t="str">
            <v>GRMZM2G042683</v>
          </cell>
          <cell r="B6383" t="str">
            <v>GO:0050825GO:0042309GO:0003676GO:0050826</v>
          </cell>
        </row>
        <row r="6384">
          <cell r="A6384" t="str">
            <v>GRMZM2G130854</v>
          </cell>
          <cell r="B6384" t="str">
            <v>GO:0003700GO:0043565GO:0005634GO:0045449</v>
          </cell>
        </row>
        <row r="6385">
          <cell r="A6385" t="str">
            <v>GRMZM2G126900</v>
          </cell>
          <cell r="B6385" t="str">
            <v>GO:0005737GO:0050113GO:0019310GO:0005506</v>
          </cell>
        </row>
        <row r="6386">
          <cell r="A6386" t="str">
            <v>GRMZM2G141679</v>
          </cell>
          <cell r="B6386" t="str">
            <v>GO:0003700GO:0006355</v>
          </cell>
        </row>
        <row r="6387">
          <cell r="A6387" t="str">
            <v>AC212023.4_FG004</v>
          </cell>
          <cell r="B6387" t="str">
            <v>GO:0004857GO:0030599</v>
          </cell>
        </row>
        <row r="6388">
          <cell r="A6388" t="str">
            <v>GRMZM2G340527</v>
          </cell>
          <cell r="B6388" t="str">
            <v>GO:0005971GO:0004748GO:0006260</v>
          </cell>
        </row>
        <row r="6389">
          <cell r="A6389" t="str">
            <v>GRMZM2G004835</v>
          </cell>
          <cell r="B6389" t="str">
            <v>GO:0006629GO:0016788</v>
          </cell>
        </row>
        <row r="6390">
          <cell r="A6390" t="str">
            <v>GRMZM2G029486</v>
          </cell>
          <cell r="B6390" t="str">
            <v>GO:0008134GO:0003924GO:0006913GO:0005622GO:0006355GO:0007264GO:0006886GO:0005524GO:0005525</v>
          </cell>
        </row>
        <row r="6391">
          <cell r="A6391" t="str">
            <v>GRMZM2G048762</v>
          </cell>
          <cell r="B6391" t="str">
            <v>GO:0016758GO:0016021GO:0005789GO:0006506</v>
          </cell>
        </row>
        <row r="6392">
          <cell r="A6392" t="str">
            <v>GRMZM2G116282</v>
          </cell>
          <cell r="B6392" t="str">
            <v>GO:0016021GO:0050825GO:0042309GO:0050826GO:0004974GO:0007186</v>
          </cell>
        </row>
        <row r="6393">
          <cell r="A6393" t="str">
            <v>GRMZM2G061732</v>
          </cell>
          <cell r="B6393" t="str">
            <v>GO:0008987GO:0009435</v>
          </cell>
        </row>
        <row r="6394">
          <cell r="A6394" t="str">
            <v>GRMZM2G163200</v>
          </cell>
          <cell r="B6394" t="str">
            <v>GO:0003700GO:0006355GO:0005634GO:0008270GO:0043565</v>
          </cell>
        </row>
        <row r="6395">
          <cell r="A6395" t="str">
            <v>GRMZM2G478779</v>
          </cell>
          <cell r="B6395" t="str">
            <v>GO:0006139GO:0005524GO:0005515GO:0019205</v>
          </cell>
        </row>
        <row r="6396">
          <cell r="A6396" t="str">
            <v>GRMZM2G112039</v>
          </cell>
          <cell r="B6396" t="str">
            <v>GO:0006857GO:0004008GO:0016020GO:0005524GO:0006825</v>
          </cell>
        </row>
        <row r="6397">
          <cell r="A6397" t="str">
            <v>GRMZM2G416484</v>
          </cell>
          <cell r="B6397" t="str">
            <v>GO:0005215GO:0016020GO:0006810GO:0008021</v>
          </cell>
        </row>
        <row r="6398">
          <cell r="A6398" t="str">
            <v>GRMZM2G013657</v>
          </cell>
          <cell r="B6398" t="str">
            <v>GO:0003700GO:0006355</v>
          </cell>
        </row>
        <row r="6399">
          <cell r="A6399" t="str">
            <v>GRMZM2G055313</v>
          </cell>
          <cell r="B6399" t="str">
            <v>GO:0008375GO:0016020</v>
          </cell>
        </row>
        <row r="6400">
          <cell r="A6400" t="str">
            <v>GRMZM2G127230</v>
          </cell>
          <cell r="B6400" t="str">
            <v>GO:0006614GO:0017111GO:0008312GO:0048500GO:0005524GO:0005525</v>
          </cell>
        </row>
        <row r="6401">
          <cell r="A6401" t="str">
            <v>GRMZM2G058276</v>
          </cell>
          <cell r="B6401" t="str">
            <v>GO:0006457GO:0051082GO:0005524</v>
          </cell>
        </row>
        <row r="6402">
          <cell r="A6402" t="str">
            <v>AC209050.3_FG003</v>
          </cell>
          <cell r="B6402" t="str">
            <v>GO:0003700GO:0043565GO:0005634GO:0045449</v>
          </cell>
        </row>
        <row r="6403">
          <cell r="A6403" t="str">
            <v>GRMZM2G007695</v>
          </cell>
          <cell r="B6403" t="str">
            <v>GO:0003735GO:0006412GO:0005840</v>
          </cell>
        </row>
        <row r="6404">
          <cell r="A6404" t="str">
            <v>GRMZM2G179454</v>
          </cell>
          <cell r="B6404" t="str">
            <v>GO:0004106GO:0009073</v>
          </cell>
        </row>
        <row r="6405">
          <cell r="A6405" t="str">
            <v>GRMZM2G334722</v>
          </cell>
          <cell r="B6405" t="str">
            <v>GO:0003677</v>
          </cell>
        </row>
        <row r="6406">
          <cell r="A6406" t="str">
            <v>GRMZM2G150302</v>
          </cell>
          <cell r="B6406" t="str">
            <v>GO:0016020GO:0015018</v>
          </cell>
        </row>
        <row r="6407">
          <cell r="A6407" t="str">
            <v>GRMZM2G170397</v>
          </cell>
          <cell r="B6407" t="str">
            <v>GO:0003755</v>
          </cell>
        </row>
        <row r="6408">
          <cell r="A6408" t="str">
            <v>GRMZM2G022514</v>
          </cell>
          <cell r="B6408" t="str">
            <v>GO:0004674GO:0006468GO:0005529GO:0004713GO:0005524</v>
          </cell>
        </row>
        <row r="6409">
          <cell r="A6409" t="str">
            <v>GRMZM2G445575</v>
          </cell>
          <cell r="B6409" t="str">
            <v>GO:0003700GO:0006355GO:0046983GO:0005634GO:0043565</v>
          </cell>
        </row>
        <row r="6410">
          <cell r="A6410" t="str">
            <v>GRMZM2G098676</v>
          </cell>
          <cell r="B6410" t="str">
            <v>GO:0016810</v>
          </cell>
        </row>
        <row r="6411">
          <cell r="A6411" t="str">
            <v>GRMZM2G000114</v>
          </cell>
          <cell r="B6411" t="str">
            <v>GO:0008270GO:0005515</v>
          </cell>
        </row>
        <row r="6412">
          <cell r="A6412" t="str">
            <v>GRMZM2G438871</v>
          </cell>
          <cell r="B6412" t="str">
            <v>GO:0004674GO:0006468GO:0005529GO:0004713GO:0005524</v>
          </cell>
        </row>
        <row r="6413">
          <cell r="A6413" t="str">
            <v>GRMZM2G161459</v>
          </cell>
          <cell r="B6413" t="str">
            <v>GO:0006857GO:0005737GO:0004812GO:0005215GO:0016020GO:0006418GO:0005524</v>
          </cell>
        </row>
        <row r="6414">
          <cell r="A6414" t="str">
            <v>GRMZM2G107867</v>
          </cell>
          <cell r="B6414" t="str">
            <v>GO:0004674GO:0006468GO:0004713GO:0005524</v>
          </cell>
        </row>
        <row r="6415">
          <cell r="A6415" t="str">
            <v>AC212728.3_FG001</v>
          </cell>
          <cell r="B6415" t="str">
            <v>GO:0005576GO:0004867</v>
          </cell>
        </row>
        <row r="6416">
          <cell r="A6416" t="str">
            <v>GRMZM2G062129</v>
          </cell>
          <cell r="B6416" t="str">
            <v>GO:0005488</v>
          </cell>
        </row>
        <row r="6417">
          <cell r="A6417" t="str">
            <v>GRMZM2G138624</v>
          </cell>
          <cell r="B6417" t="str">
            <v>GO:0003824GO:0008152</v>
          </cell>
        </row>
        <row r="6418">
          <cell r="A6418" t="str">
            <v>GRMZM2G014770</v>
          </cell>
          <cell r="B6418" t="str">
            <v>GO:0016757</v>
          </cell>
        </row>
        <row r="6419">
          <cell r="A6419" t="str">
            <v>GRMZM2G022679</v>
          </cell>
          <cell r="B6419" t="str">
            <v>GO:0005506GO:0016491</v>
          </cell>
        </row>
        <row r="6420">
          <cell r="A6420" t="str">
            <v>GRMZM2G072729</v>
          </cell>
          <cell r="B6420" t="str">
            <v>GO:0004415GO:0006952GO:0003735GO:0006412GO:0005840</v>
          </cell>
        </row>
        <row r="6421">
          <cell r="A6421" t="str">
            <v>GRMZM2G044004</v>
          </cell>
          <cell r="B6421" t="str">
            <v>GO:0008270GO:0003676</v>
          </cell>
        </row>
        <row r="6422">
          <cell r="A6422" t="str">
            <v>GRMZM2G012814</v>
          </cell>
          <cell r="B6422" t="str">
            <v>GO:0005737GO:0005094</v>
          </cell>
        </row>
        <row r="6423">
          <cell r="A6423" t="str">
            <v>GRMZM2G123886</v>
          </cell>
          <cell r="B6423" t="str">
            <v>GO:0004707GO:0006468GO:0004713GO:0005524</v>
          </cell>
        </row>
        <row r="6424">
          <cell r="A6424" t="str">
            <v>GRMZM2G176175</v>
          </cell>
          <cell r="B6424" t="str">
            <v>GO:0003700GO:0006355GO:0016021GO:0004969GO:0007186</v>
          </cell>
        </row>
        <row r="6425">
          <cell r="A6425" t="str">
            <v>GRMZM2G123558</v>
          </cell>
          <cell r="B6425" t="str">
            <v>GO:0016021GO:0004969GO:0042309GO:0050826GO:0050825GO:0007186</v>
          </cell>
        </row>
        <row r="6426">
          <cell r="A6426" t="str">
            <v>GRMZM2G096709</v>
          </cell>
          <cell r="B6426" t="str">
            <v>GO:0016818GO:0045449GO:0005634GO:0005524</v>
          </cell>
        </row>
        <row r="6427">
          <cell r="A6427" t="str">
            <v>GRMZM2G028516</v>
          </cell>
          <cell r="B6427" t="str">
            <v>GO:0006457GO:0005509GO:0051082GO:0005783</v>
          </cell>
        </row>
        <row r="6428">
          <cell r="A6428" t="str">
            <v>GRMZM2G471635</v>
          </cell>
          <cell r="B6428" t="str">
            <v>GO:0005634GO:0045449GO:0030528GO:0019028GO:0005198</v>
          </cell>
        </row>
        <row r="6429">
          <cell r="A6429" t="str">
            <v>GRMZM2G158131</v>
          </cell>
          <cell r="B6429" t="str">
            <v>GO:0045261GO:0015986GO:0046961GO:0046933</v>
          </cell>
        </row>
        <row r="6430">
          <cell r="A6430" t="str">
            <v>GRMZM2G157019</v>
          </cell>
          <cell r="B6430" t="str">
            <v>GO:0006334GO:0005634</v>
          </cell>
        </row>
        <row r="6431">
          <cell r="A6431" t="str">
            <v>GRMZM2G099657</v>
          </cell>
          <cell r="B6431" t="str">
            <v>GO:0003735GO:0006412GO:0015935</v>
          </cell>
        </row>
        <row r="6432">
          <cell r="A6432" t="str">
            <v>GRMZM2G026024</v>
          </cell>
          <cell r="B6432" t="str">
            <v>GO:0005975GO:0017111GO:0008974GO:0005524</v>
          </cell>
        </row>
        <row r="6433">
          <cell r="A6433" t="str">
            <v>GRMZM2G076484</v>
          </cell>
          <cell r="B6433" t="str">
            <v>GO:0008026GO:0003676GO:0005524</v>
          </cell>
        </row>
        <row r="6434">
          <cell r="A6434" t="str">
            <v>GRMZM2G152552</v>
          </cell>
          <cell r="B6434" t="str">
            <v>GO:0003735GO:0006412GO:0005840</v>
          </cell>
        </row>
        <row r="6435">
          <cell r="A6435" t="str">
            <v>GRMZM2G048430</v>
          </cell>
          <cell r="B6435" t="str">
            <v>GO:0003735GO:0004857GO:0006412GO:0030599GO:0005840</v>
          </cell>
        </row>
        <row r="6436">
          <cell r="A6436" t="str">
            <v>GRMZM2G168200</v>
          </cell>
          <cell r="B6436" t="str">
            <v>GO:0005247GO:0006821GO:0016020GO:0008270GO:0005515</v>
          </cell>
        </row>
        <row r="6437">
          <cell r="A6437" t="str">
            <v>GRMZM2G147701</v>
          </cell>
          <cell r="B6437" t="str">
            <v>GO:0009239GO:0005488GO:0008667</v>
          </cell>
        </row>
        <row r="6438">
          <cell r="A6438" t="str">
            <v>GRMZM2G162829</v>
          </cell>
          <cell r="B6438" t="str">
            <v>GO:0006468GO:0003676GO:0005727GO:0004519GO:0004674GO:0009405GO:0004713GO:0005515GO:0005524</v>
          </cell>
        </row>
        <row r="6439">
          <cell r="A6439" t="str">
            <v>GRMZM2G402341</v>
          </cell>
          <cell r="B6439" t="str">
            <v>GO:0008270GO:0005515</v>
          </cell>
        </row>
        <row r="6440">
          <cell r="A6440" t="str">
            <v>GRMZM2G436947</v>
          </cell>
          <cell r="B6440" t="str">
            <v>GO:0005509</v>
          </cell>
        </row>
        <row r="6441">
          <cell r="A6441" t="str">
            <v>GRMZM2G173967</v>
          </cell>
          <cell r="B6441" t="str">
            <v>GO:0003824GO:0005488GO:0008152</v>
          </cell>
        </row>
        <row r="6442">
          <cell r="A6442" t="str">
            <v>GRMZM2G092112</v>
          </cell>
          <cell r="B6442" t="str">
            <v>GO:0006914</v>
          </cell>
        </row>
        <row r="6443">
          <cell r="A6443" t="str">
            <v>AC217947.4_FG002</v>
          </cell>
          <cell r="B6443" t="str">
            <v>GO:0016491GO:0005506GO:0010181GO:0009055</v>
          </cell>
        </row>
        <row r="6444">
          <cell r="A6444" t="str">
            <v>GRMZM2G137864</v>
          </cell>
          <cell r="B6444" t="str">
            <v>GO:0005840GO:0005634GO:0003677GO:0003735GO:0006355GO:0050825GO:0042309GO:0050826GO:0006412GO:0004879</v>
          </cell>
        </row>
        <row r="6445">
          <cell r="A6445" t="str">
            <v>GRMZM2G096412</v>
          </cell>
          <cell r="B6445" t="str">
            <v>GO:0016758GO:0008152</v>
          </cell>
        </row>
        <row r="6446">
          <cell r="A6446" t="str">
            <v>GRMZM2G072034</v>
          </cell>
          <cell r="B6446" t="str">
            <v>GO:0005215GO:0006810GO:0008289</v>
          </cell>
        </row>
        <row r="6447">
          <cell r="A6447" t="str">
            <v>GRMZM2G007907</v>
          </cell>
          <cell r="B6447" t="str">
            <v>GO:0006508GO:0004222</v>
          </cell>
        </row>
        <row r="6448">
          <cell r="A6448" t="str">
            <v>GRMZM2G024993</v>
          </cell>
          <cell r="B6448" t="str">
            <v>GO:0009250GO:0009011</v>
          </cell>
        </row>
        <row r="6449">
          <cell r="A6449" t="str">
            <v>GRMZM2G427087</v>
          </cell>
          <cell r="B6449" t="str">
            <v>GO:0050826GO:0050825GO:0042309GO:0003677</v>
          </cell>
        </row>
        <row r="6450">
          <cell r="A6450" t="str">
            <v>GRMZM2G024996</v>
          </cell>
          <cell r="B6450" t="str">
            <v>GO:0051260GO:0016021GO:0007186GO:0004930</v>
          </cell>
        </row>
        <row r="6451">
          <cell r="A6451" t="str">
            <v>GRMZM2G168858</v>
          </cell>
          <cell r="B6451" t="str">
            <v>GO:0016491GO:0005506GO:0010181GO:0009055</v>
          </cell>
        </row>
        <row r="6452">
          <cell r="A6452" t="str">
            <v>GRMZM2G339699</v>
          </cell>
          <cell r="B6452" t="str">
            <v>GO:0009113GO:0004044GO:0009116</v>
          </cell>
        </row>
        <row r="6453">
          <cell r="A6453" t="str">
            <v>GRMZM2G443843</v>
          </cell>
          <cell r="B6453" t="str">
            <v>GO:0004674GO:0006468GO:0005529GO:0004713GO:0005524</v>
          </cell>
        </row>
        <row r="6454">
          <cell r="A6454" t="str">
            <v>GRMZM2G011253</v>
          </cell>
          <cell r="B6454" t="str">
            <v>GO:0003735GO:0006412GO:0005840</v>
          </cell>
        </row>
        <row r="6455">
          <cell r="A6455" t="str">
            <v>GRMZM2G099765</v>
          </cell>
          <cell r="B6455" t="str">
            <v>GO:0006508GO:0004197</v>
          </cell>
        </row>
        <row r="6456">
          <cell r="A6456" t="str">
            <v>GRMZM2G070429</v>
          </cell>
          <cell r="B6456" t="str">
            <v>GO:0004806GO:0006629</v>
          </cell>
        </row>
        <row r="6457">
          <cell r="A6457" t="str">
            <v>GRMZM2G322618</v>
          </cell>
          <cell r="B6457" t="str">
            <v>GO:0004965GO:0016021GO:0007186</v>
          </cell>
        </row>
        <row r="6458">
          <cell r="A6458" t="str">
            <v>GRMZM2G125072</v>
          </cell>
          <cell r="B6458" t="str">
            <v>GO:0031072GO:0005506GO:0009055</v>
          </cell>
        </row>
        <row r="6459">
          <cell r="A6459" t="str">
            <v>GRMZM2G062499</v>
          </cell>
          <cell r="B6459" t="str">
            <v>GO:0016567GO:0004842GO:0000151</v>
          </cell>
        </row>
        <row r="6460">
          <cell r="A6460" t="str">
            <v>AC187262.4_FG007</v>
          </cell>
          <cell r="B6460" t="str">
            <v>GO:0050825GO:0042309GO:0050826</v>
          </cell>
        </row>
        <row r="6461">
          <cell r="A6461" t="str">
            <v>GRMZM2G099491</v>
          </cell>
          <cell r="B6461" t="str">
            <v>GO:0005515</v>
          </cell>
        </row>
        <row r="6462">
          <cell r="A6462" t="str">
            <v>GRMZM2G033926</v>
          </cell>
          <cell r="B6462" t="str">
            <v>GO:0008415GO:0008152</v>
          </cell>
        </row>
        <row r="6463">
          <cell r="A6463" t="str">
            <v>GRMZM2G100288</v>
          </cell>
          <cell r="B6463" t="str">
            <v>GO:0004674GO:0006468GO:0004713GO:0005524</v>
          </cell>
        </row>
        <row r="6464">
          <cell r="A6464" t="str">
            <v>GRMZM2G093736</v>
          </cell>
          <cell r="B6464" t="str">
            <v>GO:0004674GO:0006468GO:0005529GO:0004713GO:0005524</v>
          </cell>
        </row>
        <row r="6465">
          <cell r="A6465" t="str">
            <v>GRMZM2G125656</v>
          </cell>
          <cell r="B6465" t="str">
            <v>GO:0008601GO:0007165GO:0000159</v>
          </cell>
        </row>
        <row r="6466">
          <cell r="A6466" t="str">
            <v>GRMZM2G125653</v>
          </cell>
          <cell r="B6466" t="str">
            <v>GO:0003700GO:0043565GO:0005634GO:0045449</v>
          </cell>
        </row>
        <row r="6467">
          <cell r="A6467" t="str">
            <v>GRMZM2G024668</v>
          </cell>
          <cell r="B6467" t="str">
            <v>GO:0006457GO:0051082GO:0005524</v>
          </cell>
        </row>
        <row r="6468">
          <cell r="A6468" t="str">
            <v>GRMZM2G124701</v>
          </cell>
          <cell r="B6468" t="str">
            <v>GO:0008270GO:0005515</v>
          </cell>
        </row>
        <row r="6469">
          <cell r="A6469" t="str">
            <v>GRMZM2G086964</v>
          </cell>
          <cell r="B6469" t="str">
            <v>GO:0031072GO:0006457GO:0051082</v>
          </cell>
        </row>
        <row r="6470">
          <cell r="A6470" t="str">
            <v>GRMZM2G047409</v>
          </cell>
          <cell r="B6470" t="str">
            <v>GO:0046872GO:0009055</v>
          </cell>
        </row>
        <row r="6471">
          <cell r="A6471" t="str">
            <v>GRMZM2G004128</v>
          </cell>
          <cell r="B6471" t="str">
            <v>GO:0004497GO:0008152</v>
          </cell>
        </row>
        <row r="6472">
          <cell r="A6472" t="str">
            <v>GRMZM2G047404</v>
          </cell>
          <cell r="B6472" t="str">
            <v>GO:0005215GO:0016021GO:0006810</v>
          </cell>
        </row>
        <row r="6473">
          <cell r="A6473" t="str">
            <v>GRMZM2G395114</v>
          </cell>
          <cell r="B6473" t="str">
            <v>GO:0016021GO:0008271GO:0008272</v>
          </cell>
        </row>
        <row r="6474">
          <cell r="A6474" t="str">
            <v>GRMZM2G053315</v>
          </cell>
          <cell r="B6474" t="str">
            <v>GO:0050661GO:0050660GO:0004499GO:0031227GO:0009055</v>
          </cell>
        </row>
        <row r="6475">
          <cell r="A6475" t="str">
            <v>AC206642.4_FG001</v>
          </cell>
          <cell r="B6475" t="str">
            <v>GO:0003735GO:0006412GO:0005840</v>
          </cell>
        </row>
        <row r="6476">
          <cell r="A6476" t="str">
            <v>GRMZM2G366778</v>
          </cell>
          <cell r="B6476" t="str">
            <v>GO:0019904</v>
          </cell>
        </row>
        <row r="6477">
          <cell r="A6477" t="str">
            <v>GRMZM2G003252</v>
          </cell>
          <cell r="B6477" t="str">
            <v>GO:0005199</v>
          </cell>
        </row>
        <row r="6478">
          <cell r="A6478" t="str">
            <v>GRMZM2G359566</v>
          </cell>
          <cell r="B6478" t="str">
            <v>GO:0003779GO:0007010</v>
          </cell>
        </row>
        <row r="6479">
          <cell r="A6479" t="str">
            <v>GRMZM2G017941</v>
          </cell>
          <cell r="B6479" t="str">
            <v>GO:0050825GO:0042309GO:0050826</v>
          </cell>
        </row>
        <row r="6480">
          <cell r="A6480" t="str">
            <v>GRMZM2G148099</v>
          </cell>
          <cell r="B6480" t="str">
            <v>GO:0050825GO:0042309GO:0050826</v>
          </cell>
        </row>
        <row r="6481">
          <cell r="A6481" t="str">
            <v>AC199541.4_FG001</v>
          </cell>
          <cell r="B6481" t="str">
            <v>GO:0016758GO:0008152</v>
          </cell>
        </row>
        <row r="6482">
          <cell r="A6482" t="str">
            <v>GRMZM2G058472</v>
          </cell>
          <cell r="B6482" t="str">
            <v>GO:0016757</v>
          </cell>
        </row>
        <row r="6483">
          <cell r="A6483" t="str">
            <v>GRMZM2G094017</v>
          </cell>
          <cell r="B6483" t="str">
            <v>GO:0016747</v>
          </cell>
        </row>
        <row r="6484">
          <cell r="A6484" t="str">
            <v>GRMZM2G114998</v>
          </cell>
          <cell r="B6484" t="str">
            <v>GO:0005840GO:0003735GO:0045449GO:0008270GO:0003677GO:0006412</v>
          </cell>
        </row>
        <row r="6485">
          <cell r="A6485" t="str">
            <v>GRMZM2G136139</v>
          </cell>
          <cell r="B6485" t="str">
            <v>GO:0003796GO:0009253GO:0016998</v>
          </cell>
        </row>
        <row r="6486">
          <cell r="A6486" t="str">
            <v>GRMZM2G441029</v>
          </cell>
          <cell r="B6486" t="str">
            <v>GO:0008270GO:0005515</v>
          </cell>
        </row>
        <row r="6487">
          <cell r="A6487" t="str">
            <v>GRMZM2G310158</v>
          </cell>
          <cell r="B6487" t="str">
            <v>GO:0004969GO:0016021GO:0007186</v>
          </cell>
        </row>
        <row r="6488">
          <cell r="A6488" t="str">
            <v>GRMZM2G412470</v>
          </cell>
          <cell r="B6488" t="str">
            <v>GO:0016021GO:0007186GO:0004930</v>
          </cell>
        </row>
        <row r="6489">
          <cell r="A6489" t="str">
            <v>GRMZM2G042865</v>
          </cell>
          <cell r="B6489" t="str">
            <v>GO:0016758GO:0008152</v>
          </cell>
        </row>
        <row r="6490">
          <cell r="A6490" t="str">
            <v>GRMZM2G429940</v>
          </cell>
          <cell r="B6490" t="str">
            <v>GO:0004674GO:0006468GO:0004713GO:0005524GO:0007165</v>
          </cell>
        </row>
        <row r="6491">
          <cell r="A6491" t="str">
            <v>GRMZM2G167868</v>
          </cell>
          <cell r="B6491" t="str">
            <v>GO:0006457GO:0031072GO:0016020GO:0051082GO:0006835GO:0017153</v>
          </cell>
        </row>
        <row r="6492">
          <cell r="A6492" t="str">
            <v>AC196475.3_FG004</v>
          </cell>
          <cell r="B6492" t="str">
            <v>GO:0046983GO:0008171</v>
          </cell>
        </row>
        <row r="6493">
          <cell r="A6493" t="str">
            <v>GRMZM2G019807</v>
          </cell>
          <cell r="B6493" t="str">
            <v>GO:0016021GO:0007186GO:0005199</v>
          </cell>
        </row>
        <row r="6494">
          <cell r="A6494" t="str">
            <v>GRMZM2G012758</v>
          </cell>
          <cell r="B6494" t="str">
            <v>GO:0005975GO:0004553</v>
          </cell>
        </row>
        <row r="6495">
          <cell r="A6495" t="str">
            <v>GRMZM2G401664</v>
          </cell>
          <cell r="B6495" t="str">
            <v>GO:0004629GO:0006629GO:0007242</v>
          </cell>
        </row>
        <row r="6496">
          <cell r="A6496" t="str">
            <v>GRMZM2G039365</v>
          </cell>
          <cell r="B6496" t="str">
            <v>GO:0050825GO:0042309GO:0050826</v>
          </cell>
        </row>
        <row r="6497">
          <cell r="A6497" t="str">
            <v>GRMZM2G102572</v>
          </cell>
          <cell r="B6497" t="str">
            <v>GO:0006629GO:0016788</v>
          </cell>
        </row>
        <row r="6498">
          <cell r="A6498" t="str">
            <v>GRMZM2G100120</v>
          </cell>
          <cell r="B6498" t="str">
            <v>GO:0005488</v>
          </cell>
        </row>
        <row r="6499">
          <cell r="A6499" t="str">
            <v>GRMZM2G172032</v>
          </cell>
          <cell r="B6499" t="str">
            <v>GO:0003824GO:0008299</v>
          </cell>
        </row>
        <row r="6500">
          <cell r="A6500" t="str">
            <v>GRMZM2G038108</v>
          </cell>
          <cell r="B6500" t="str">
            <v>GO:0005737GO:0006950GO:0051087GO:0001671</v>
          </cell>
        </row>
        <row r="6501">
          <cell r="A6501" t="str">
            <v>GRMZM2G085198</v>
          </cell>
          <cell r="B6501" t="str">
            <v>GO:0004601GO:0006979GO:0020037GO:0009055</v>
          </cell>
        </row>
        <row r="6502">
          <cell r="A6502" t="str">
            <v>GRMZM2G133781</v>
          </cell>
          <cell r="B6502" t="str">
            <v>GO:0005975GO:0004553</v>
          </cell>
        </row>
        <row r="6503">
          <cell r="A6503" t="str">
            <v>GRMZM2G132968</v>
          </cell>
          <cell r="B6503" t="str">
            <v>GO:0003735GO:0006412GO:0005840</v>
          </cell>
        </row>
        <row r="6504">
          <cell r="A6504" t="str">
            <v>GRMZM2G007160</v>
          </cell>
          <cell r="B6504" t="str">
            <v>GO:0003824</v>
          </cell>
        </row>
        <row r="6505">
          <cell r="A6505" t="str">
            <v>GRMZM2G094123</v>
          </cell>
          <cell r="B6505" t="str">
            <v>GO:0004812GO:0006412GO:0005524</v>
          </cell>
        </row>
        <row r="6506">
          <cell r="A6506" t="str">
            <v>GRMZM2G423169</v>
          </cell>
          <cell r="B6506" t="str">
            <v>GO:0003735GO:0008097GO:0006412GO:0005840</v>
          </cell>
        </row>
        <row r="6507">
          <cell r="A6507" t="str">
            <v>GRMZM2G320269</v>
          </cell>
          <cell r="B6507" t="str">
            <v>GO:0004601GO:0006979GO:0020037GO:0009055</v>
          </cell>
        </row>
        <row r="6508">
          <cell r="A6508" t="str">
            <v>GRMZM2G021725</v>
          </cell>
          <cell r="B6508" t="str">
            <v>GO:0006813GO:0016020GO:0015079</v>
          </cell>
        </row>
        <row r="6509">
          <cell r="A6509" t="str">
            <v>GRMZM2G306079</v>
          </cell>
          <cell r="B6509" t="str">
            <v>GO:0008270GO:0005515</v>
          </cell>
        </row>
        <row r="6510">
          <cell r="A6510" t="str">
            <v>GRMZM2G114772</v>
          </cell>
          <cell r="B6510" t="str">
            <v>GO:0016757</v>
          </cell>
        </row>
        <row r="6511">
          <cell r="A6511" t="str">
            <v>GRMZM2G362413</v>
          </cell>
          <cell r="B6511" t="str">
            <v>GO:0009058GO:0008908</v>
          </cell>
        </row>
        <row r="6512">
          <cell r="A6512" t="str">
            <v>GRMZM2G336824</v>
          </cell>
          <cell r="B6512" t="str">
            <v>GO:0046983GO:0008171</v>
          </cell>
        </row>
        <row r="6513">
          <cell r="A6513" t="str">
            <v>GRMZM2G085336</v>
          </cell>
          <cell r="B6513" t="str">
            <v>GO:0003735GO:0015934GO:0006412</v>
          </cell>
        </row>
        <row r="6514">
          <cell r="A6514" t="str">
            <v>GRMZM2G162764</v>
          </cell>
          <cell r="B6514" t="str">
            <v>GO:0004519GO:0003676</v>
          </cell>
        </row>
        <row r="6515">
          <cell r="A6515" t="str">
            <v>GRMZM2G408038</v>
          </cell>
          <cell r="B6515" t="str">
            <v>GO:0006508GO:0004185GO:0004177</v>
          </cell>
        </row>
        <row r="6516">
          <cell r="A6516" t="str">
            <v>GRMZM2G129540</v>
          </cell>
          <cell r="B6516" t="str">
            <v>GO:0016787</v>
          </cell>
        </row>
        <row r="6517">
          <cell r="A6517" t="str">
            <v>GRMZM2G136106</v>
          </cell>
          <cell r="B6517" t="str">
            <v>GO:0042545GO:0005618GO:0030599GO:0050825GO:0042309GO:0050826GO:0004857</v>
          </cell>
        </row>
        <row r="6518">
          <cell r="A6518" t="str">
            <v>GRMZM2G339122</v>
          </cell>
          <cell r="B6518" t="str">
            <v>GO:0009306GO:0009664GO:0015450GO:0005576GO:0016021</v>
          </cell>
        </row>
        <row r="6519">
          <cell r="A6519" t="str">
            <v>GRMZM2G095611</v>
          </cell>
          <cell r="B6519" t="str">
            <v>GO:0005215GO:0016020GO:0006810</v>
          </cell>
        </row>
        <row r="6520">
          <cell r="A6520" t="str">
            <v>GRMZM2G450659</v>
          </cell>
          <cell r="B6520" t="str">
            <v>GO:0006508GO:0004222</v>
          </cell>
        </row>
        <row r="6521">
          <cell r="A6521" t="str">
            <v>GRMZM2G168833</v>
          </cell>
          <cell r="B6521" t="str">
            <v>GO:0008289GO:0006869</v>
          </cell>
        </row>
        <row r="6522">
          <cell r="A6522" t="str">
            <v>GRMZM2G132898</v>
          </cell>
          <cell r="B6522" t="str">
            <v>GO:0009058GO:0016779</v>
          </cell>
        </row>
        <row r="6523">
          <cell r="A6523" t="str">
            <v>GRMZM2G163141</v>
          </cell>
          <cell r="B6523" t="str">
            <v>GO:0006468GO:0006522GO:0008784GO:0004674GO:0004713GO:0005524</v>
          </cell>
        </row>
        <row r="6524">
          <cell r="A6524" t="str">
            <v>GRMZM2G118104</v>
          </cell>
          <cell r="B6524" t="str">
            <v>GO:0016787</v>
          </cell>
        </row>
        <row r="6525">
          <cell r="A6525" t="str">
            <v>GRMZM2G176394</v>
          </cell>
          <cell r="B6525" t="str">
            <v>GO:0005515</v>
          </cell>
        </row>
        <row r="6526">
          <cell r="A6526" t="str">
            <v>GRMZM2G444034</v>
          </cell>
          <cell r="B6526" t="str">
            <v>GO:0016818GO:0005524</v>
          </cell>
        </row>
        <row r="6527">
          <cell r="A6527" t="str">
            <v>GRMZM2G041369</v>
          </cell>
          <cell r="B6527" t="str">
            <v>GO:0004607GO:0006629</v>
          </cell>
        </row>
        <row r="6528">
          <cell r="A6528" t="str">
            <v>GRMZM2G153208</v>
          </cell>
          <cell r="B6528" t="str">
            <v>GO:0008962GO:0006629GO:0045735</v>
          </cell>
        </row>
        <row r="6529">
          <cell r="A6529" t="str">
            <v>AC233893.1_FG003</v>
          </cell>
          <cell r="B6529" t="str">
            <v>GO:0006633GO:0016020GO:0008415</v>
          </cell>
        </row>
        <row r="6530">
          <cell r="A6530" t="str">
            <v>GRMZM2G164405</v>
          </cell>
          <cell r="B6530" t="str">
            <v>GO:0016847GO:0009058GO:0030170GO:0016769</v>
          </cell>
        </row>
        <row r="6531">
          <cell r="A6531" t="str">
            <v>GRMZM2G014560</v>
          </cell>
          <cell r="B6531" t="str">
            <v>GO:0004674GO:0006468GO:0004713GO:0005524</v>
          </cell>
        </row>
        <row r="6532">
          <cell r="A6532" t="str">
            <v>GRMZM2G051753</v>
          </cell>
          <cell r="B6532" t="str">
            <v>GO:0005452GO:0016021GO:0016491GO:0006820GO:0009055</v>
          </cell>
        </row>
        <row r="6533">
          <cell r="A6533" t="str">
            <v>GRMZM2G471529</v>
          </cell>
          <cell r="B6533" t="str">
            <v>GO:0016310GO:0000156GO:0016020GO:0006355GO:0006821GO:0000160GO:0000155GO:0005247GO:0005524</v>
          </cell>
        </row>
        <row r="6534">
          <cell r="A6534" t="str">
            <v>GRMZM2G103628</v>
          </cell>
          <cell r="B6534" t="str">
            <v>GO:0016020GO:0015018</v>
          </cell>
        </row>
        <row r="6535">
          <cell r="A6535" t="str">
            <v>GRMZM2G409128</v>
          </cell>
          <cell r="B6535" t="str">
            <v>GO:0008168GO:0008152</v>
          </cell>
        </row>
        <row r="6536">
          <cell r="A6536" t="str">
            <v>GRMZM2G027166</v>
          </cell>
          <cell r="B6536" t="str">
            <v>GO:0016787GO:0008152</v>
          </cell>
        </row>
        <row r="6537">
          <cell r="A6537" t="str">
            <v>GRMZM2G181194</v>
          </cell>
          <cell r="B6537" t="str">
            <v>GO:0003723GO:0006396</v>
          </cell>
        </row>
        <row r="6538">
          <cell r="A6538" t="str">
            <v>GRMZM2G141607</v>
          </cell>
          <cell r="B6538" t="str">
            <v>GO:0009239GO:0005488GO:0008667</v>
          </cell>
        </row>
        <row r="6539">
          <cell r="A6539" t="str">
            <v>GRMZM2G071771</v>
          </cell>
          <cell r="B6539" t="str">
            <v>GO:0008289GO:0006869</v>
          </cell>
        </row>
        <row r="6540">
          <cell r="A6540" t="str">
            <v>GRMZM2G081812</v>
          </cell>
          <cell r="B6540" t="str">
            <v>GO:0008270GO:0005622</v>
          </cell>
        </row>
        <row r="6541">
          <cell r="A6541" t="str">
            <v>GRMZM2G063220</v>
          </cell>
          <cell r="B6541" t="str">
            <v>GO:0050825GO:0042309GO:0050826</v>
          </cell>
        </row>
        <row r="6542">
          <cell r="A6542" t="str">
            <v>GRMZM2G154437</v>
          </cell>
          <cell r="B6542" t="str">
            <v>GO:0005515</v>
          </cell>
        </row>
        <row r="6543">
          <cell r="A6543" t="str">
            <v>GRMZM2G172491</v>
          </cell>
          <cell r="B6543" t="str">
            <v>GO:0004497GO:0020037GO:0009055</v>
          </cell>
        </row>
        <row r="6544">
          <cell r="A6544" t="str">
            <v>GRMZM2G158045</v>
          </cell>
          <cell r="B6544" t="str">
            <v>GO:0004674GO:0006468GO:0004713GO:0005524</v>
          </cell>
        </row>
        <row r="6545">
          <cell r="A6545" t="str">
            <v>GRMZM2G163561</v>
          </cell>
          <cell r="B6545" t="str">
            <v>GO:0003735GO:0006412GO:0015935</v>
          </cell>
        </row>
        <row r="6546">
          <cell r="A6546" t="str">
            <v>GRMZM2G074898</v>
          </cell>
          <cell r="B6546" t="str">
            <v>GO:0003735GO:0006412GO:0005840</v>
          </cell>
        </row>
        <row r="6547">
          <cell r="A6547" t="str">
            <v>AC148152.3_FG008</v>
          </cell>
          <cell r="B6547" t="str">
            <v>GO:0005975GO:0004553</v>
          </cell>
        </row>
        <row r="6548">
          <cell r="A6548" t="str">
            <v>GRMZM2G074896</v>
          </cell>
          <cell r="B6548" t="str">
            <v>GO:0016757</v>
          </cell>
        </row>
        <row r="6549">
          <cell r="A6549" t="str">
            <v>GRMZM2G130314</v>
          </cell>
          <cell r="B6549" t="str">
            <v>GO:0003735GO:0006412GO:0005840</v>
          </cell>
        </row>
        <row r="6550">
          <cell r="A6550" t="str">
            <v>GRMZM2G116670</v>
          </cell>
          <cell r="B6550" t="str">
            <v>GO:0016021</v>
          </cell>
        </row>
        <row r="6551">
          <cell r="A6551" t="str">
            <v>GRMZM2G116292</v>
          </cell>
          <cell r="B6551" t="str">
            <v>GO:0003735GO:0006412GO:0006464GO:0005840</v>
          </cell>
        </row>
        <row r="6552">
          <cell r="A6552" t="str">
            <v>GRMZM2G424577</v>
          </cell>
          <cell r="B6552" t="str">
            <v>GO:0006508GO:0004177</v>
          </cell>
        </row>
        <row r="6553">
          <cell r="A6553" t="str">
            <v>GRMZM2G351941</v>
          </cell>
          <cell r="B6553" t="str">
            <v>GO:0004674GO:0006468GO:0004713GO:0005524</v>
          </cell>
        </row>
        <row r="6554">
          <cell r="A6554" t="str">
            <v>GRMZM2G049091</v>
          </cell>
          <cell r="B6554" t="str">
            <v>GO:0003824GO:0003702GO:0005674GO:0005524GO:0006367</v>
          </cell>
        </row>
        <row r="6555">
          <cell r="A6555" t="str">
            <v>GRMZM2G164088</v>
          </cell>
          <cell r="B6555" t="str">
            <v>GO:0003676</v>
          </cell>
        </row>
        <row r="6556">
          <cell r="A6556" t="str">
            <v>GRMZM2G116053</v>
          </cell>
          <cell r="B6556" t="str">
            <v>GO:0009405GO:0009289</v>
          </cell>
        </row>
        <row r="6557">
          <cell r="A6557" t="str">
            <v>GRMZM2G181227</v>
          </cell>
          <cell r="B6557" t="str">
            <v>GO:0003796GO:0016998</v>
          </cell>
        </row>
        <row r="6558">
          <cell r="A6558" t="str">
            <v>GRMZM2G131683</v>
          </cell>
          <cell r="B6558" t="str">
            <v>GO:0045454GO:0007242GO:0015035GO:0009055</v>
          </cell>
        </row>
        <row r="6559">
          <cell r="A6559" t="str">
            <v>GRMZM2G045275</v>
          </cell>
          <cell r="B6559" t="str">
            <v>GO:0006364</v>
          </cell>
        </row>
        <row r="6560">
          <cell r="A6560" t="str">
            <v>GRMZM2G171139</v>
          </cell>
          <cell r="B6560" t="str">
            <v>GO:0004497GO:0020037GO:0009055</v>
          </cell>
        </row>
        <row r="6561">
          <cell r="A6561" t="str">
            <v>GRMZM2G150337</v>
          </cell>
          <cell r="B6561" t="str">
            <v>GO:0006457GO:0016021GO:0006810GO:0005234GO:0030288GO:0004965GO:0007186GO:0004970</v>
          </cell>
        </row>
        <row r="6562">
          <cell r="A6562" t="str">
            <v>GRMZM2G381739</v>
          </cell>
          <cell r="B6562" t="str">
            <v>GO:0006508GO:0004190</v>
          </cell>
        </row>
        <row r="6563">
          <cell r="A6563" t="str">
            <v>GRMZM2G165426</v>
          </cell>
          <cell r="B6563" t="str">
            <v>GO:0008270GO:0005515</v>
          </cell>
        </row>
        <row r="6564">
          <cell r="A6564" t="str">
            <v>GRMZM2G025833</v>
          </cell>
          <cell r="B6564" t="str">
            <v>GO:0016161GO:0000272</v>
          </cell>
        </row>
        <row r="6565">
          <cell r="A6565" t="str">
            <v>GRMZM2G165422</v>
          </cell>
          <cell r="B6565" t="str">
            <v>GO:0004674GO:0006468GO:0004713GO:0005524</v>
          </cell>
        </row>
        <row r="6566">
          <cell r="A6566" t="str">
            <v>AC210013.4_FG019</v>
          </cell>
          <cell r="B6566" t="str">
            <v>GO:0003735GO:0015935GO:0006412GO:0003723</v>
          </cell>
        </row>
        <row r="6567">
          <cell r="A6567" t="str">
            <v>GRMZM2G390967</v>
          </cell>
          <cell r="B6567" t="str">
            <v>GO:0003824</v>
          </cell>
        </row>
        <row r="6568">
          <cell r="A6568" t="str">
            <v>GRMZM2G068917</v>
          </cell>
          <cell r="B6568" t="str">
            <v>GO:0003824GO:0044237GO:0050662</v>
          </cell>
        </row>
        <row r="6569">
          <cell r="A6569" t="str">
            <v>GRMZM2G098667</v>
          </cell>
          <cell r="B6569" t="str">
            <v>GO:0009058</v>
          </cell>
        </row>
        <row r="6570">
          <cell r="A6570" t="str">
            <v>GRMZM2G165208</v>
          </cell>
          <cell r="B6570" t="str">
            <v>GO:0003735GO:0006412GO:0005840</v>
          </cell>
        </row>
        <row r="6571">
          <cell r="A6571" t="str">
            <v>GRMZM2G301885</v>
          </cell>
          <cell r="B6571" t="str">
            <v>GO:0022891GO:0016021GO:0055085</v>
          </cell>
        </row>
        <row r="6572">
          <cell r="A6572" t="str">
            <v>GRMZM2G148200</v>
          </cell>
          <cell r="B6572" t="str">
            <v>GO:0016020GO:0015992GO:0009678GO:0004427</v>
          </cell>
        </row>
        <row r="6573">
          <cell r="A6573" t="str">
            <v>GRMZM2G072808</v>
          </cell>
          <cell r="B6573" t="str">
            <v>GO:0048046GO:0005507GO:0046274GO:0008471GO:0055114</v>
          </cell>
        </row>
        <row r="6574">
          <cell r="A6574" t="str">
            <v>GRMZM2G141277</v>
          </cell>
          <cell r="B6574" t="str">
            <v>GO:0003993</v>
          </cell>
        </row>
        <row r="6575">
          <cell r="A6575" t="str">
            <v>GRMZM2G145280</v>
          </cell>
          <cell r="B6575" t="str">
            <v>GO:0003735GO:0006412GO:0005840</v>
          </cell>
        </row>
        <row r="6576">
          <cell r="A6576" t="str">
            <v>GRMZM2G471733</v>
          </cell>
          <cell r="B6576" t="str">
            <v>GO:0016567GO:0004842GO:0000151GO:0005488</v>
          </cell>
        </row>
        <row r="6577">
          <cell r="A6577" t="str">
            <v>GRMZM2G083526</v>
          </cell>
          <cell r="B6577" t="str">
            <v>GO:0006633GO:0005506GO:0005783GO:0055114GO:0016491</v>
          </cell>
        </row>
        <row r="6578">
          <cell r="A6578" t="str">
            <v>GRMZM2G059225</v>
          </cell>
          <cell r="B6578" t="str">
            <v>GO:0005737GO:0032312GO:0008060GO:0008270GO:0005515</v>
          </cell>
        </row>
        <row r="6579">
          <cell r="A6579" t="str">
            <v>GRMZM2G399320</v>
          </cell>
          <cell r="B6579" t="str">
            <v>GO:0005634GO:0042254</v>
          </cell>
        </row>
        <row r="6580">
          <cell r="A6580" t="str">
            <v>GRMZM2G058310</v>
          </cell>
          <cell r="B6580" t="str">
            <v>GO:0016161GO:0000272</v>
          </cell>
        </row>
        <row r="6581">
          <cell r="A6581" t="str">
            <v>GRMZM2G009530</v>
          </cell>
          <cell r="B6581" t="str">
            <v>GO:0003700GO:0006355GO:0005634GO:0008270GO:0043565</v>
          </cell>
        </row>
        <row r="6582">
          <cell r="A6582" t="str">
            <v>GRMZM2G180080</v>
          </cell>
          <cell r="B6582" t="str">
            <v>GO:0017111GO:0005524</v>
          </cell>
        </row>
        <row r="6583">
          <cell r="A6583" t="str">
            <v>GRMZM2G099003</v>
          </cell>
          <cell r="B6583" t="str">
            <v>GO:0006950</v>
          </cell>
        </row>
        <row r="6584">
          <cell r="A6584" t="str">
            <v>GRMZM2G422644</v>
          </cell>
          <cell r="B6584" t="str">
            <v>GO:0008270GO:0005622</v>
          </cell>
        </row>
        <row r="6585">
          <cell r="A6585" t="str">
            <v>GRMZM2G366077</v>
          </cell>
          <cell r="B6585" t="str">
            <v>GO:0003735GO:0006412GO:0005840</v>
          </cell>
        </row>
        <row r="6586">
          <cell r="A6586" t="str">
            <v>GRMZM2G130953</v>
          </cell>
          <cell r="B6586" t="str">
            <v>GO:0005634GO:0045449</v>
          </cell>
        </row>
        <row r="6587">
          <cell r="A6587" t="str">
            <v>GRMZM2G123544</v>
          </cell>
          <cell r="B6587" t="str">
            <v>GO:0016773GO:0017111GO:0005524</v>
          </cell>
        </row>
        <row r="6588">
          <cell r="A6588" t="str">
            <v>GRMZM2G419239</v>
          </cell>
          <cell r="B6588" t="str">
            <v>GO:0050826GO:0050825GO:0042309GO:0003677</v>
          </cell>
        </row>
        <row r="6589">
          <cell r="A6589" t="str">
            <v>GRMZM2G457415</v>
          </cell>
          <cell r="B6589" t="str">
            <v>GO:0000059GO:0005737GO:0005643GO:0004519GO:0008565GO:0006289GO:0003697</v>
          </cell>
        </row>
        <row r="6590">
          <cell r="A6590" t="str">
            <v>GRMZM2G301089</v>
          </cell>
          <cell r="B6590" t="str">
            <v>GO:0005634GO:0045449GO:0030528</v>
          </cell>
        </row>
        <row r="6591">
          <cell r="A6591" t="str">
            <v>GRMZM2G447785</v>
          </cell>
          <cell r="B6591" t="str">
            <v>GO:0005576GO:0004867</v>
          </cell>
        </row>
        <row r="6592">
          <cell r="A6592" t="str">
            <v>GRMZM2G161306</v>
          </cell>
          <cell r="B6592" t="str">
            <v>GO:0046872GO:0009055</v>
          </cell>
        </row>
        <row r="6593">
          <cell r="A6593" t="str">
            <v>GRMZM2G139467</v>
          </cell>
          <cell r="B6593" t="str">
            <v>GO:0004497GO:0020037GO:0009055</v>
          </cell>
        </row>
        <row r="6594">
          <cell r="A6594" t="str">
            <v>GRMZM2G026943</v>
          </cell>
          <cell r="B6594" t="str">
            <v>GO:0006468GO:0004674GO:0004713GO:0005515GO:0005524GO:0031177</v>
          </cell>
        </row>
        <row r="6595">
          <cell r="A6595" t="str">
            <v>GRMZM2G516301</v>
          </cell>
          <cell r="B6595" t="str">
            <v>GO:0003700GO:0043565GO:0005634GO:0045449</v>
          </cell>
        </row>
        <row r="6596">
          <cell r="A6596" t="str">
            <v>GRMZM2G052650</v>
          </cell>
          <cell r="B6596" t="str">
            <v>GO:0004674GO:0006468GO:0004713GO:0005524</v>
          </cell>
        </row>
        <row r="6597">
          <cell r="A6597" t="str">
            <v>GRMZM2G030915</v>
          </cell>
          <cell r="B6597" t="str">
            <v>GO:0003735GO:0006412GO:0005840</v>
          </cell>
        </row>
        <row r="6598">
          <cell r="A6598" t="str">
            <v>GRMZM2G134476</v>
          </cell>
          <cell r="B6598" t="str">
            <v>GO:0031072</v>
          </cell>
        </row>
        <row r="6599">
          <cell r="A6599" t="str">
            <v>GRMZM2G137788</v>
          </cell>
          <cell r="B6599" t="str">
            <v>GO:0004674GO:0006468GO:0005524GO:0005515GO:0004713</v>
          </cell>
        </row>
        <row r="6600">
          <cell r="A6600" t="str">
            <v>GRMZM2G111208</v>
          </cell>
          <cell r="B6600" t="str">
            <v>GO:0046488GO:0008270GO:0016307</v>
          </cell>
        </row>
        <row r="6601">
          <cell r="A6601" t="str">
            <v>GRMZM2G052658</v>
          </cell>
          <cell r="B6601" t="str">
            <v>GO:0004674GO:0006468GO:0004713GO:0005524</v>
          </cell>
        </row>
        <row r="6602">
          <cell r="A6602" t="str">
            <v>GRMZM2G160541</v>
          </cell>
          <cell r="B6602" t="str">
            <v>GO:0005737GO:0009058GO:0016841GO:0016211GO:0006559</v>
          </cell>
        </row>
        <row r="6603">
          <cell r="A6603" t="str">
            <v>GRMZM2G312434</v>
          </cell>
          <cell r="B6603" t="str">
            <v>GO:0006468GO:0005524GO:0004672</v>
          </cell>
        </row>
        <row r="6604">
          <cell r="A6604" t="str">
            <v>GRMZM2G158147</v>
          </cell>
          <cell r="B6604" t="str">
            <v>GO:0000103GO:0004781</v>
          </cell>
        </row>
        <row r="6605">
          <cell r="A6605" t="str">
            <v>GRMZM2G006937</v>
          </cell>
          <cell r="B6605" t="str">
            <v>GO:0016866</v>
          </cell>
        </row>
        <row r="6606">
          <cell r="A6606" t="str">
            <v>GRMZM2G025109</v>
          </cell>
          <cell r="B6606" t="str">
            <v>GO:0008270</v>
          </cell>
        </row>
        <row r="6607">
          <cell r="A6607" t="str">
            <v>GRMZM2G015804</v>
          </cell>
          <cell r="B6607" t="str">
            <v>GO:0005975GO:0004553</v>
          </cell>
        </row>
        <row r="6608">
          <cell r="A6608" t="str">
            <v>GRMZM2G064640</v>
          </cell>
          <cell r="B6608" t="str">
            <v>GO:0003735GO:0019843GO:0006412GO:0015935</v>
          </cell>
        </row>
        <row r="6609">
          <cell r="A6609" t="str">
            <v>GRMZM2G088819</v>
          </cell>
          <cell r="B6609" t="str">
            <v>GO:0005509</v>
          </cell>
        </row>
        <row r="6610">
          <cell r="A6610" t="str">
            <v>GRMZM2G136306</v>
          </cell>
          <cell r="B6610" t="str">
            <v>GO:0005737</v>
          </cell>
        </row>
        <row r="6611">
          <cell r="A6611" t="str">
            <v>GRMZM2G060886</v>
          </cell>
          <cell r="B6611" t="str">
            <v>GO:0008825GO:0008610</v>
          </cell>
        </row>
        <row r="6612">
          <cell r="A6612" t="str">
            <v>GRMZM2G103197</v>
          </cell>
          <cell r="B6612" t="str">
            <v>GO:0015996GO:0047746GO:0016491GO:0009055</v>
          </cell>
        </row>
        <row r="6613">
          <cell r="A6613" t="str">
            <v>GRMZM2G128577</v>
          </cell>
          <cell r="B6613" t="str">
            <v>GO:0009239GO:0005488GO:0004022GO:0008667</v>
          </cell>
        </row>
        <row r="6614">
          <cell r="A6614" t="str">
            <v>GRMZM2G099984</v>
          </cell>
          <cell r="B6614" t="str">
            <v>GO:0016021</v>
          </cell>
        </row>
        <row r="6615">
          <cell r="A6615" t="str">
            <v>GRMZM2G542272</v>
          </cell>
          <cell r="B6615" t="str">
            <v>GO:0050825GO:0042309GO:0050826</v>
          </cell>
        </row>
        <row r="6616">
          <cell r="A6616" t="str">
            <v>GRMZM2G151193</v>
          </cell>
          <cell r="B6616" t="str">
            <v>GO:0005737GO:0003746GO:0006414GO:0003924GO:0005525</v>
          </cell>
        </row>
        <row r="6617">
          <cell r="A6617" t="str">
            <v>GRMZM2G066067</v>
          </cell>
          <cell r="B6617" t="str">
            <v>GO:0016758GO:0008152</v>
          </cell>
        </row>
        <row r="6618">
          <cell r="A6618" t="str">
            <v>GRMZM2G166176</v>
          </cell>
          <cell r="B6618" t="str">
            <v>GO:0005215GO:0016020GO:0006810GO:0008415GO:0008152</v>
          </cell>
        </row>
        <row r="6619">
          <cell r="A6619" t="str">
            <v>GRMZM2G175265</v>
          </cell>
          <cell r="B6619" t="str">
            <v>GO:0003677</v>
          </cell>
        </row>
        <row r="6620">
          <cell r="A6620" t="str">
            <v>GRMZM2G079616</v>
          </cell>
          <cell r="B6620" t="str">
            <v>GO:0016747</v>
          </cell>
        </row>
        <row r="6621">
          <cell r="A6621" t="str">
            <v>GRMZM2G407825</v>
          </cell>
          <cell r="B6621" t="str">
            <v>GO:0004012GO:0015914GO:0000287GO:0015662GO:0006754GO:0016021GO:0005524</v>
          </cell>
        </row>
        <row r="6622">
          <cell r="A6622" t="str">
            <v>GRMZM2G152777</v>
          </cell>
          <cell r="B6622" t="str">
            <v>GO:0006629GO:0016788</v>
          </cell>
        </row>
        <row r="6623">
          <cell r="A6623" t="str">
            <v>GRMZM2G128880</v>
          </cell>
          <cell r="B6623" t="str">
            <v>GO:0003824GO:0008152</v>
          </cell>
        </row>
        <row r="6624">
          <cell r="A6624" t="str">
            <v>GRMZM2G069215</v>
          </cell>
          <cell r="B6624" t="str">
            <v>GO:0016567GO:0004842GO:0008270GO:0005515GO:0000151</v>
          </cell>
        </row>
        <row r="6625">
          <cell r="A6625" t="str">
            <v>GRMZM2G168833</v>
          </cell>
          <cell r="B6625" t="str">
            <v>GO:0008289GO:0006869</v>
          </cell>
        </row>
        <row r="6626">
          <cell r="A6626" t="str">
            <v>GRMZM2G160710</v>
          </cell>
          <cell r="B6626" t="str">
            <v>GO:0046872GO:0030001</v>
          </cell>
        </row>
        <row r="6627">
          <cell r="A6627" t="str">
            <v>GRMZM2G141299</v>
          </cell>
          <cell r="B6627" t="str">
            <v>GO:0003700GO:0043565GO:0005634GO:0045449</v>
          </cell>
        </row>
        <row r="6628">
          <cell r="A6628" t="str">
            <v>GRMZM2G117942</v>
          </cell>
          <cell r="B6628" t="str">
            <v>GO:0050832GO:0042742</v>
          </cell>
        </row>
        <row r="6629">
          <cell r="A6629" t="str">
            <v>GRMZM2G477491</v>
          </cell>
          <cell r="B6629" t="str">
            <v>GO:0006468GO:0005524GO:0004672</v>
          </cell>
        </row>
        <row r="6630">
          <cell r="A6630" t="str">
            <v>GRMZM2G119802</v>
          </cell>
          <cell r="B6630" t="str">
            <v>GO:0005634GO:0003677</v>
          </cell>
        </row>
        <row r="6631">
          <cell r="A6631" t="str">
            <v>GRMZM2G151567</v>
          </cell>
          <cell r="B6631" t="str">
            <v>GO:0006468GO:0005524GO:0005515GO:0004713</v>
          </cell>
        </row>
        <row r="6632">
          <cell r="A6632" t="str">
            <v>GRMZM2G437912</v>
          </cell>
          <cell r="B6632" t="str">
            <v>GO:0004664GO:0009094</v>
          </cell>
        </row>
        <row r="6633">
          <cell r="A6633" t="str">
            <v>GRMZM2G079343</v>
          </cell>
          <cell r="B6633" t="str">
            <v>GO:0008270</v>
          </cell>
        </row>
        <row r="6634">
          <cell r="A6634" t="str">
            <v>GRMZM2G101245</v>
          </cell>
          <cell r="B6634" t="str">
            <v>GO:0004674GO:0006468GO:0004713GO:0005524</v>
          </cell>
        </row>
        <row r="6635">
          <cell r="A6635" t="str">
            <v>GRMZM2G169149</v>
          </cell>
          <cell r="B6635" t="str">
            <v>GO:0003700GO:0043565GO:0005634GO:0045449</v>
          </cell>
        </row>
        <row r="6636">
          <cell r="A6636" t="str">
            <v>GRMZM2G113967</v>
          </cell>
          <cell r="B6636" t="str">
            <v>GO:0004674GO:0006468GO:0004713GO:0005524GO:0007165</v>
          </cell>
        </row>
        <row r="6637">
          <cell r="A6637" t="str">
            <v>GRMZM2G085504</v>
          </cell>
          <cell r="B6637" t="str">
            <v>GO:0005507GO:0050825GO:0050826GO:0042309GO:0009055</v>
          </cell>
        </row>
        <row r="6638">
          <cell r="A6638" t="str">
            <v>GRMZM2G050307</v>
          </cell>
          <cell r="B6638" t="str">
            <v>GO:0008168</v>
          </cell>
        </row>
        <row r="6639">
          <cell r="A6639" t="str">
            <v>GRMZM2G163807</v>
          </cell>
          <cell r="B6639" t="str">
            <v>GO:0006355GO:0005634GO:0004879GO:0003677</v>
          </cell>
        </row>
        <row r="6640">
          <cell r="A6640" t="str">
            <v>GRMZM2G044027</v>
          </cell>
          <cell r="B6640" t="str">
            <v>GO:0016857GO:0050662GO:0006694GO:0003854GO:0045226GO:0008831</v>
          </cell>
        </row>
        <row r="6641">
          <cell r="A6641" t="str">
            <v>GRMZM2G329434</v>
          </cell>
          <cell r="B6641" t="str">
            <v>GO:0006355GO:0005634GO:0004879GO:0003677</v>
          </cell>
        </row>
        <row r="6642">
          <cell r="A6642" t="str">
            <v>GRMZM2G380561</v>
          </cell>
          <cell r="B6642" t="str">
            <v>GO:0005975GO:0004553</v>
          </cell>
        </row>
        <row r="6643">
          <cell r="A6643" t="str">
            <v>GRMZM2G438202</v>
          </cell>
          <cell r="B6643" t="str">
            <v>GO:0003700GO:0006355</v>
          </cell>
        </row>
        <row r="6644">
          <cell r="A6644" t="str">
            <v>GRMZM2G108615</v>
          </cell>
          <cell r="B6644" t="str">
            <v>GO:0005737GO:0006813GO:0051260GO:0008076GO:0005249GO:0005525</v>
          </cell>
        </row>
        <row r="6645">
          <cell r="A6645" t="str">
            <v>GRMZM2G031280</v>
          </cell>
          <cell r="B6645" t="str">
            <v>GO:0008270GO:0050825GO:0042309GO:0005515GO:0050826</v>
          </cell>
        </row>
        <row r="6646">
          <cell r="A6646" t="str">
            <v>GRMZM2G029546</v>
          </cell>
          <cell r="B6646" t="str">
            <v>GO:0006457GO:0031072GO:0051536GO:0051082GO:0005506GO:0009055</v>
          </cell>
        </row>
        <row r="6647">
          <cell r="A6647" t="str">
            <v>GRMZM2G014832</v>
          </cell>
          <cell r="B6647" t="str">
            <v>GO:0015629GO:0005198GO:0007155GO:0045454GO:0015035GO:0009055</v>
          </cell>
        </row>
        <row r="6648">
          <cell r="A6648" t="str">
            <v>GRMZM2G053111</v>
          </cell>
          <cell r="B6648" t="str">
            <v>GO:0004674GO:0006468GO:0004713GO:0005524</v>
          </cell>
        </row>
        <row r="6649">
          <cell r="A6649" t="str">
            <v>GRMZM2G113340</v>
          </cell>
          <cell r="B6649" t="str">
            <v>GO:0031072GO:0006457GO:0051082</v>
          </cell>
        </row>
        <row r="6650">
          <cell r="A6650" t="str">
            <v>GRMZM2G154881</v>
          </cell>
          <cell r="B6650" t="str">
            <v>GO:0016787</v>
          </cell>
        </row>
        <row r="6651">
          <cell r="A6651" t="str">
            <v>GRMZM2G033952</v>
          </cell>
          <cell r="B6651" t="str">
            <v>GO:0008171</v>
          </cell>
        </row>
        <row r="6652">
          <cell r="A6652" t="str">
            <v>GRMZM2G107839</v>
          </cell>
          <cell r="B6652" t="str">
            <v>GO:0008289GO:0006869</v>
          </cell>
        </row>
        <row r="6653">
          <cell r="A6653" t="str">
            <v>GRMZM2G143883</v>
          </cell>
          <cell r="B6653" t="str">
            <v>GO:0050660GO:0016614</v>
          </cell>
        </row>
        <row r="6654">
          <cell r="A6654" t="str">
            <v>GRMZM2G105400</v>
          </cell>
          <cell r="B6654" t="str">
            <v>GO:0009416GO:0005515GO:0004871</v>
          </cell>
        </row>
        <row r="6655">
          <cell r="A6655" t="str">
            <v>GRMZM2G414047</v>
          </cell>
          <cell r="B6655" t="str">
            <v>GO:0006629</v>
          </cell>
        </row>
        <row r="6656">
          <cell r="A6656" t="str">
            <v>GRMZM2G114861</v>
          </cell>
          <cell r="B6656" t="str">
            <v>GO:0007018GO:0003777GO:0005524GO:0005875</v>
          </cell>
        </row>
        <row r="6657">
          <cell r="A6657" t="str">
            <v>GRMZM2G102760</v>
          </cell>
          <cell r="B6657" t="str">
            <v>GO:0005506GO:0016165GO:0009055</v>
          </cell>
        </row>
        <row r="6658">
          <cell r="A6658" t="str">
            <v>GRMZM2G144275</v>
          </cell>
          <cell r="B6658" t="str">
            <v>GO:0005634GO:0045449GO:0030528</v>
          </cell>
        </row>
        <row r="6659">
          <cell r="A6659" t="str">
            <v>GRMZM2G392125</v>
          </cell>
          <cell r="B6659" t="str">
            <v>GO:0006073GO:0020037GO:0005618GO:0048046GO:0031361GO:0016762GO:0004553GO:0015979GO:0009055</v>
          </cell>
        </row>
        <row r="6660">
          <cell r="A6660" t="str">
            <v>GRMZM2G174855</v>
          </cell>
          <cell r="B6660" t="str">
            <v>GO:0005618GO:0048046GO:0016762GO:0006073GO:0004553</v>
          </cell>
        </row>
        <row r="6661">
          <cell r="A6661" t="str">
            <v>GRMZM2G010987</v>
          </cell>
          <cell r="B6661" t="str">
            <v>GO:0016758GO:0008152</v>
          </cell>
        </row>
        <row r="6662">
          <cell r="A6662" t="str">
            <v>GRMZM2G066636</v>
          </cell>
          <cell r="B6662" t="str">
            <v>GO:0003824GO:0008152</v>
          </cell>
        </row>
        <row r="6663">
          <cell r="A6663" t="str">
            <v>GRMZM2G363554</v>
          </cell>
          <cell r="B6663" t="str">
            <v>GO:0016758GO:0008152</v>
          </cell>
        </row>
        <row r="6664">
          <cell r="A6664" t="str">
            <v>GRMZM2G177077</v>
          </cell>
          <cell r="B6664" t="str">
            <v>GO:0004345GO:0006006</v>
          </cell>
        </row>
        <row r="6665">
          <cell r="A6665" t="str">
            <v>GRMZM2G313184</v>
          </cell>
          <cell r="B6665" t="str">
            <v>GO:0004601GO:0006979GO:0020037GO:0009055</v>
          </cell>
        </row>
        <row r="6666">
          <cell r="A6666" t="str">
            <v>GRMZM2G131340</v>
          </cell>
          <cell r="B6666" t="str">
            <v>GO:0006355GO:0005634GO:0004879GO:0003677</v>
          </cell>
        </row>
        <row r="6667">
          <cell r="A6667" t="str">
            <v>GRMZM2G058197</v>
          </cell>
          <cell r="B6667" t="str">
            <v>GO:0008270GO:0005622</v>
          </cell>
        </row>
        <row r="6668">
          <cell r="A6668" t="str">
            <v>GRMZM2G122231</v>
          </cell>
          <cell r="B6668" t="str">
            <v>GO:0005737GO:0004812GO:0005992GO:0005524GO:0006418</v>
          </cell>
        </row>
        <row r="6669">
          <cell r="A6669" t="str">
            <v>GRMZM2G175071</v>
          </cell>
          <cell r="B6669" t="str">
            <v>GO:0004419</v>
          </cell>
        </row>
        <row r="6670">
          <cell r="A6670" t="str">
            <v>GRMZM2G305007</v>
          </cell>
          <cell r="B6670" t="str">
            <v>GO:0004674GO:0006468GO:0005524</v>
          </cell>
        </row>
        <row r="6671">
          <cell r="A6671" t="str">
            <v>GRMZM2G063880</v>
          </cell>
          <cell r="B6671" t="str">
            <v>GO:0003700GO:0043565GO:0005634GO:0045449</v>
          </cell>
        </row>
        <row r="6672">
          <cell r="A6672" t="str">
            <v>GRMZM2G126586</v>
          </cell>
          <cell r="B6672" t="str">
            <v>GO:0016020</v>
          </cell>
        </row>
        <row r="6673">
          <cell r="A6673" t="str">
            <v>GRMZM2G029713</v>
          </cell>
          <cell r="B6673" t="str">
            <v>GO:0005488</v>
          </cell>
        </row>
        <row r="6674">
          <cell r="A6674" t="str">
            <v>GRMZM2G114503</v>
          </cell>
          <cell r="B6674" t="str">
            <v>GO:0003677</v>
          </cell>
        </row>
        <row r="6675">
          <cell r="A6675" t="str">
            <v>GRMZM2G067235</v>
          </cell>
          <cell r="B6675" t="str">
            <v>GO:0005160GO:0016020GO:0016049GO:0006816</v>
          </cell>
        </row>
        <row r="6676">
          <cell r="A6676" t="str">
            <v>GRMZM2G099666</v>
          </cell>
          <cell r="B6676" t="str">
            <v>GO:0003995GO:0003997GO:0050660GO:0005777GO:0006635</v>
          </cell>
        </row>
        <row r="6677">
          <cell r="A6677" t="str">
            <v>GRMZM2G479110</v>
          </cell>
          <cell r="B6677" t="str">
            <v>GO:0006355GO:0000156GO:0000160</v>
          </cell>
        </row>
        <row r="6678">
          <cell r="A6678" t="str">
            <v>GRMZM2G030688</v>
          </cell>
          <cell r="B6678" t="str">
            <v>GO:0050825GO:0042309GO:0050826</v>
          </cell>
        </row>
        <row r="6679">
          <cell r="A6679" t="str">
            <v>GRMZM2G117164</v>
          </cell>
          <cell r="B6679" t="str">
            <v>GO:0043565GO:0006265GO:0003700GO:0005634GO:0006355GO:0003690</v>
          </cell>
        </row>
        <row r="6680">
          <cell r="A6680" t="str">
            <v>GRMZM2G147867</v>
          </cell>
          <cell r="B6680" t="str">
            <v>GO:0045449GO:0003677GO:0050825GO:0042309GO:0050826</v>
          </cell>
        </row>
        <row r="6681">
          <cell r="A6681" t="str">
            <v>GRMZM2G339122</v>
          </cell>
          <cell r="B6681" t="str">
            <v>GO:0009306GO:0009664GO:0015450GO:0005576GO:0016021</v>
          </cell>
        </row>
        <row r="6682">
          <cell r="A6682" t="str">
            <v>GRMZM2G326707</v>
          </cell>
          <cell r="B6682" t="str">
            <v>GO:0005315GO:0016021GO:0006817</v>
          </cell>
        </row>
        <row r="6683">
          <cell r="A6683" t="str">
            <v>GRMZM2G358059</v>
          </cell>
          <cell r="B6683" t="str">
            <v>GO:0006457GO:0005509GO:0051082GO:0005783</v>
          </cell>
        </row>
        <row r="6684">
          <cell r="A6684" t="str">
            <v>GRMZM2G324999</v>
          </cell>
          <cell r="B6684" t="str">
            <v>GO:0003700GO:0043565GO:0005634GO:0045449</v>
          </cell>
        </row>
        <row r="6685">
          <cell r="A6685" t="str">
            <v>GRMZM2G012724</v>
          </cell>
          <cell r="B6685" t="str">
            <v>GO:0003700GO:0043565GO:0005634GO:0045449</v>
          </cell>
        </row>
        <row r="6686">
          <cell r="A6686" t="str">
            <v>GRMZM2G106303</v>
          </cell>
          <cell r="B6686" t="str">
            <v>GO:0010181GO:0016491</v>
          </cell>
        </row>
        <row r="6687">
          <cell r="A6687" t="str">
            <v>GRMZM2G130055</v>
          </cell>
          <cell r="B6687" t="str">
            <v>GO:0050825GO:0042309GO:0050826</v>
          </cell>
        </row>
        <row r="6688">
          <cell r="A6688" t="str">
            <v>GRMZM2G046583</v>
          </cell>
          <cell r="B6688" t="str">
            <v>GO:0004516GO:0019363</v>
          </cell>
        </row>
        <row r="6689">
          <cell r="A6689" t="str">
            <v>GRMZM2G068557</v>
          </cell>
          <cell r="B6689" t="str">
            <v>GO:0050660GO:0016021GO:0015662GO:0009055GO:0006754GO:0005506GO:0016491</v>
          </cell>
        </row>
        <row r="6690">
          <cell r="A6690" t="str">
            <v>GRMZM2G109056</v>
          </cell>
          <cell r="B6690" t="str">
            <v>GO:0005506GO:0016165GO:0009055</v>
          </cell>
        </row>
        <row r="6691">
          <cell r="A6691" t="str">
            <v>GRMZM2G130053</v>
          </cell>
          <cell r="B6691" t="str">
            <v>GO:0006508GO:0004197GO:0050825GO:0042309GO:0050826</v>
          </cell>
        </row>
        <row r="6692">
          <cell r="A6692" t="str">
            <v>GRMZM2G114484</v>
          </cell>
          <cell r="B6692" t="str">
            <v>GO:0008430</v>
          </cell>
        </row>
        <row r="6693">
          <cell r="A6693" t="str">
            <v>GRMZM2G027958</v>
          </cell>
          <cell r="B6693" t="str">
            <v>GO:0004674GO:0006468GO:0004713GO:0005524</v>
          </cell>
        </row>
        <row r="6694">
          <cell r="A6694" t="str">
            <v>GRMZM2G135722</v>
          </cell>
          <cell r="B6694" t="str">
            <v>GO:0016758GO:0008152</v>
          </cell>
        </row>
        <row r="6695">
          <cell r="A6695" t="str">
            <v>GRMZM2G091490</v>
          </cell>
          <cell r="B6695" t="str">
            <v>GO:0003677GO:0045449GO:0042309GO:0050826GO:0050825GO:0004618GO:0006096</v>
          </cell>
        </row>
        <row r="6696">
          <cell r="A6696" t="str">
            <v>GRMZM2G029243</v>
          </cell>
          <cell r="B6696" t="str">
            <v>GO:0005975GO:0004553</v>
          </cell>
        </row>
        <row r="6697">
          <cell r="A6697" t="str">
            <v>GRMZM2G085939</v>
          </cell>
          <cell r="B6697" t="str">
            <v>GO:0004806GO:0016042</v>
          </cell>
        </row>
        <row r="6698">
          <cell r="A6698" t="str">
            <v>GRMZM2G153058</v>
          </cell>
          <cell r="B6698" t="str">
            <v>GO:0006541GO:0003883GO:0006221</v>
          </cell>
        </row>
        <row r="6699">
          <cell r="A6699" t="str">
            <v>GRMZM2G121753</v>
          </cell>
          <cell r="B6699" t="str">
            <v>GO:0003677</v>
          </cell>
        </row>
        <row r="6700">
          <cell r="A6700" t="str">
            <v>GRMZM2G121840</v>
          </cell>
          <cell r="B6700" t="str">
            <v>GO:0008168GO:0032259GO:0003676</v>
          </cell>
        </row>
        <row r="6701">
          <cell r="A6701" t="str">
            <v>GRMZM2G043338</v>
          </cell>
          <cell r="B6701" t="str">
            <v>GO:0006355GO:0005634GO:0004879GO:0003677</v>
          </cell>
        </row>
        <row r="6702">
          <cell r="A6702" t="str">
            <v>GRMZM2G180724</v>
          </cell>
          <cell r="B6702" t="str">
            <v>GO:0003735GO:0006412GO:0005840</v>
          </cell>
        </row>
        <row r="6703">
          <cell r="A6703" t="str">
            <v>AC217050.4_FG007</v>
          </cell>
          <cell r="B6703" t="str">
            <v>GO:0016829GO:0000287GO:0008152</v>
          </cell>
        </row>
        <row r="6704">
          <cell r="A6704" t="str">
            <v>GRMZM2G180720</v>
          </cell>
          <cell r="B6704" t="str">
            <v>GO:0005215GO:0016021GO:0006810</v>
          </cell>
        </row>
        <row r="6705">
          <cell r="A6705" t="str">
            <v>GRMZM2G002555</v>
          </cell>
          <cell r="B6705" t="str">
            <v>GO:0004674GO:0006468GO:0004713GO:0005524</v>
          </cell>
        </row>
        <row r="6706">
          <cell r="A6706" t="str">
            <v>GRMZM2G031447</v>
          </cell>
          <cell r="B6706" t="str">
            <v>GO:0016787GO:0008152</v>
          </cell>
        </row>
        <row r="6707">
          <cell r="A6707" t="str">
            <v>GRMZM2G159643</v>
          </cell>
          <cell r="B6707" t="str">
            <v>GO:0016491GO:0016481GO:0010181</v>
          </cell>
        </row>
        <row r="6708">
          <cell r="A6708" t="str">
            <v>GRMZM2G149847</v>
          </cell>
          <cell r="B6708" t="str">
            <v>GO:0008134GO:0003924GO:0006913GO:0005622GO:0006355GO:0007264GO:0006886GO:0005524GO:0005525</v>
          </cell>
        </row>
        <row r="6709">
          <cell r="A6709" t="str">
            <v>GRMZM2G148904</v>
          </cell>
          <cell r="B6709" t="str">
            <v>GO:0008168GO:0008152</v>
          </cell>
        </row>
        <row r="6710">
          <cell r="A6710" t="str">
            <v>GRMZM2G022799</v>
          </cell>
          <cell r="B6710" t="str">
            <v>GO:0006508GO:0004197</v>
          </cell>
        </row>
        <row r="6711">
          <cell r="A6711" t="str">
            <v>GRMZM2G118345</v>
          </cell>
          <cell r="B6711" t="str">
            <v>GO:0005737GO:0009058GO:0016841GO:0016211GO:0006559</v>
          </cell>
        </row>
        <row r="6712">
          <cell r="A6712" t="str">
            <v>GRMZM2G028535</v>
          </cell>
          <cell r="B6712" t="str">
            <v>GO:0005737GO:0004349GO:0004350GO:0006561</v>
          </cell>
        </row>
        <row r="6713">
          <cell r="A6713" t="str">
            <v>GRMZM2G148908</v>
          </cell>
          <cell r="B6713" t="str">
            <v>GO:0008270GO:0005515</v>
          </cell>
        </row>
        <row r="6714">
          <cell r="A6714" t="str">
            <v>GRMZM2G130904</v>
          </cell>
          <cell r="B6714" t="str">
            <v>GO:0004601GO:0006979GO:0020037GO:0009055</v>
          </cell>
        </row>
        <row r="6715">
          <cell r="A6715" t="str">
            <v>GRMZM2G028438</v>
          </cell>
          <cell r="B6715" t="str">
            <v>GO:0050825GO:0042309GO:0050826</v>
          </cell>
        </row>
        <row r="6716">
          <cell r="A6716" t="str">
            <v>GRMZM2G085117</v>
          </cell>
          <cell r="B6716" t="str">
            <v>GO:0006571GO:0004665GO:0005488</v>
          </cell>
        </row>
        <row r="6717">
          <cell r="A6717" t="str">
            <v>GRMZM2G136453</v>
          </cell>
          <cell r="B6717" t="str">
            <v>GO:0046872GO:0003993</v>
          </cell>
        </row>
        <row r="6718">
          <cell r="A6718" t="str">
            <v>GRMZM2G104147</v>
          </cell>
          <cell r="B6718" t="str">
            <v>GO:0005923GO:0005198</v>
          </cell>
        </row>
        <row r="6719">
          <cell r="A6719" t="str">
            <v>GRMZM2G087625</v>
          </cell>
          <cell r="B6719" t="str">
            <v>GO:0004674GO:0006468GO:0004713GO:0005524</v>
          </cell>
        </row>
        <row r="6720">
          <cell r="A6720" t="str">
            <v>GRMZM2G391794</v>
          </cell>
          <cell r="B6720" t="str">
            <v>GO:0004674GO:0006468GO:0005524GO:0005515GO:0004713</v>
          </cell>
        </row>
        <row r="6721">
          <cell r="A6721" t="str">
            <v>GRMZM2G441903</v>
          </cell>
          <cell r="B6721" t="str">
            <v>GO:0008270GO:0003677</v>
          </cell>
        </row>
        <row r="6722">
          <cell r="A6722" t="str">
            <v>GRMZM2G118884</v>
          </cell>
          <cell r="B6722" t="str">
            <v>GO:0008270GO:0005622</v>
          </cell>
        </row>
        <row r="6723">
          <cell r="A6723" t="str">
            <v>GRMZM2G003411</v>
          </cell>
          <cell r="B6723" t="str">
            <v>GO:0016020GO:0016887GO:0005524</v>
          </cell>
        </row>
        <row r="6724">
          <cell r="A6724" t="str">
            <v>GRMZM2G135385</v>
          </cell>
          <cell r="B6724" t="str">
            <v>GO:0020037</v>
          </cell>
        </row>
        <row r="6725">
          <cell r="A6725" t="str">
            <v>AC211349.4_FG001</v>
          </cell>
          <cell r="B6725" t="str">
            <v>GO:0005737GO:0004826GO:0000049GO:0008033GO:0006432GO:0000287GO:0005524</v>
          </cell>
        </row>
        <row r="6726">
          <cell r="A6726" t="str">
            <v>GRMZM2G144346</v>
          </cell>
          <cell r="B6726" t="str">
            <v>GO:0008270GO:0005622</v>
          </cell>
        </row>
        <row r="6727">
          <cell r="A6727" t="str">
            <v>GRMZM2G004377</v>
          </cell>
          <cell r="B6727" t="str">
            <v>GO:0003824</v>
          </cell>
        </row>
        <row r="6728">
          <cell r="A6728" t="str">
            <v>GRMZM2G059637</v>
          </cell>
          <cell r="B6728" t="str">
            <v>GO:0008415GO:0008152</v>
          </cell>
        </row>
        <row r="6729">
          <cell r="A6729" t="str">
            <v>GRMZM2G025783</v>
          </cell>
          <cell r="B6729" t="str">
            <v>GO:0005000GO:0016021GO:0007186</v>
          </cell>
        </row>
        <row r="6730">
          <cell r="A6730" t="str">
            <v>GRMZM2G043198</v>
          </cell>
          <cell r="B6730" t="str">
            <v>GO:0003824GO:0008152</v>
          </cell>
        </row>
        <row r="6731">
          <cell r="A6731" t="str">
            <v>GRMZM2G071042</v>
          </cell>
          <cell r="B6731" t="str">
            <v>GO:0008270GO:0003677</v>
          </cell>
        </row>
        <row r="6732">
          <cell r="A6732" t="str">
            <v>GRMZM2G136580</v>
          </cell>
          <cell r="B6732" t="str">
            <v>GO:0016757</v>
          </cell>
        </row>
        <row r="6733">
          <cell r="A6733" t="str">
            <v>GRMZM2G365160</v>
          </cell>
          <cell r="B6733" t="str">
            <v>GO:0003849GO:0009073</v>
          </cell>
        </row>
        <row r="6734">
          <cell r="A6734" t="str">
            <v>GRMZM2G074401</v>
          </cell>
          <cell r="B6734" t="str">
            <v>GO:0006629GO:0016491</v>
          </cell>
        </row>
        <row r="6735">
          <cell r="A6735" t="str">
            <v>GRMZM2G026470</v>
          </cell>
          <cell r="B6735" t="str">
            <v>GO:0005737GO:0006796GO:0000287GO:0004427</v>
          </cell>
        </row>
        <row r="6736">
          <cell r="A6736" t="str">
            <v>GRMZM2G099944</v>
          </cell>
          <cell r="B6736" t="str">
            <v>GO:0005737GO:0051258GO:0007018GO:0003924GO:0005198GO:0005874GO:0005525</v>
          </cell>
        </row>
        <row r="6737">
          <cell r="A6737" t="str">
            <v>GRMZM2G140078</v>
          </cell>
          <cell r="B6737" t="str">
            <v>GO:0003824GO:0005992</v>
          </cell>
        </row>
        <row r="6738">
          <cell r="A6738" t="str">
            <v>GRMZM2G441888</v>
          </cell>
          <cell r="B6738" t="str">
            <v>GO:0050825GO:0042309GO:0050826</v>
          </cell>
        </row>
        <row r="6739">
          <cell r="A6739" t="str">
            <v>GRMZM2G073427</v>
          </cell>
          <cell r="B6739" t="str">
            <v>GO:0003700GO:0006355GO:0046983GO:0005634GO:0043565</v>
          </cell>
        </row>
        <row r="6740">
          <cell r="A6740" t="str">
            <v>GRMZM2G018108</v>
          </cell>
          <cell r="B6740" t="str">
            <v>GO:0006508GO:0004190</v>
          </cell>
        </row>
        <row r="6741">
          <cell r="A6741" t="str">
            <v>GRMZM2G084739</v>
          </cell>
          <cell r="B6741" t="str">
            <v>GO:0003735GO:0006412GO:0005840</v>
          </cell>
        </row>
        <row r="6742">
          <cell r="A6742" t="str">
            <v>GRMZM2G088601</v>
          </cell>
          <cell r="B6742" t="str">
            <v>GO:0006813GO:0008324GO:0008152GO:0016491</v>
          </cell>
        </row>
        <row r="6743">
          <cell r="A6743" t="str">
            <v>GRMZM2G332522</v>
          </cell>
          <cell r="B6743" t="str">
            <v>GO:0008171</v>
          </cell>
        </row>
        <row r="6744">
          <cell r="A6744" t="str">
            <v>GRMZM2G430849</v>
          </cell>
          <cell r="B6744" t="str">
            <v>GO:0045449GO:0003677</v>
          </cell>
        </row>
        <row r="6745">
          <cell r="A6745" t="str">
            <v>GRMZM2G085236</v>
          </cell>
          <cell r="B6745" t="str">
            <v>GO:0042626GO:0016021GO:0006810GO:0019001GO:0004871GO:0007186GO:0005524</v>
          </cell>
        </row>
        <row r="6746">
          <cell r="A6746" t="str">
            <v>GRMZM2G156516</v>
          </cell>
          <cell r="B6746" t="str">
            <v>GO:0003824GO:0008152</v>
          </cell>
        </row>
        <row r="6747">
          <cell r="A6747" t="str">
            <v>GRMZM2G417072</v>
          </cell>
          <cell r="B6747" t="str">
            <v>GO:0003824GO:0015969</v>
          </cell>
        </row>
        <row r="6748">
          <cell r="A6748" t="str">
            <v>GRMZM2G028393</v>
          </cell>
          <cell r="B6748" t="str">
            <v>GO:0009611GO:0004867</v>
          </cell>
        </row>
        <row r="6749">
          <cell r="A6749" t="str">
            <v>GRMZM2G115105</v>
          </cell>
          <cell r="B6749" t="str">
            <v>GO:0015297GO:0016020GO:0006855GO:0015238</v>
          </cell>
        </row>
        <row r="6750">
          <cell r="A6750" t="str">
            <v>GRMZM2G162505</v>
          </cell>
          <cell r="B6750" t="str">
            <v>GO:0004568GO:0006032</v>
          </cell>
        </row>
        <row r="6751">
          <cell r="A6751" t="str">
            <v>GRMZM2G080044</v>
          </cell>
          <cell r="B6751" t="str">
            <v>GO:0016787GO:0016491GO:0050660GO:0008152GO:0009055</v>
          </cell>
        </row>
        <row r="6752">
          <cell r="A6752" t="str">
            <v>GRMZM2G031317</v>
          </cell>
          <cell r="B6752" t="str">
            <v>GO:0005576GO:0008083GO:0008283</v>
          </cell>
        </row>
        <row r="6753">
          <cell r="A6753" t="str">
            <v>GRMZM2G060919</v>
          </cell>
          <cell r="B6753" t="str">
            <v>GO:0005634</v>
          </cell>
        </row>
        <row r="6754">
          <cell r="A6754" t="str">
            <v>GRMZM2G003526</v>
          </cell>
          <cell r="B6754" t="str">
            <v>GO:0006633GO:0005506GO:0005783GO:0055114GO:0016491</v>
          </cell>
        </row>
        <row r="6755">
          <cell r="A6755" t="str">
            <v>GRMZM2G092752</v>
          </cell>
          <cell r="B6755" t="str">
            <v>GO:0015629GO:0005634GO:0003677GO:0005199GO:0006355GO:0000785GO:0042309GO:0050826GO:0007155GO:0050825GO:0007186GO:0016021GO:0004879</v>
          </cell>
        </row>
        <row r="6756">
          <cell r="A6756" t="str">
            <v>GRMZM2G168898</v>
          </cell>
          <cell r="B6756" t="str">
            <v>GO:0019825GO:0020037GO:0005833GO:0005576GO:0050825GO:0042309GO:0050826GO:0015671</v>
          </cell>
        </row>
        <row r="6757">
          <cell r="A6757" t="str">
            <v>GRMZM2G112538</v>
          </cell>
          <cell r="B6757" t="str">
            <v>GO:0006952GO:0009607</v>
          </cell>
        </row>
        <row r="6758">
          <cell r="A6758" t="str">
            <v>GRMZM2G071294</v>
          </cell>
          <cell r="B6758" t="str">
            <v>GO:0009058GO:0016779</v>
          </cell>
        </row>
        <row r="6759">
          <cell r="A6759" t="str">
            <v>GRMZM2G123407</v>
          </cell>
          <cell r="B6759" t="str">
            <v>GO:0005507GO:0009055</v>
          </cell>
        </row>
        <row r="6760">
          <cell r="A6760" t="str">
            <v>GRMZM2G138074</v>
          </cell>
          <cell r="B6760" t="str">
            <v>GO:0004497GO:0020037GO:0009055</v>
          </cell>
        </row>
        <row r="6761">
          <cell r="A6761" t="str">
            <v>GRMZM2G151993</v>
          </cell>
          <cell r="B6761" t="str">
            <v>GO:0016021GO:0006355GO:0004956GO:0003677GO:0007186GO:0005634GO:0004879</v>
          </cell>
        </row>
        <row r="6762">
          <cell r="A6762" t="str">
            <v>GRMZM2G421033</v>
          </cell>
          <cell r="B6762" t="str">
            <v>GO:0003700GO:0006355GO:0050825GO:0042309GO:0050826</v>
          </cell>
        </row>
        <row r="6763">
          <cell r="A6763" t="str">
            <v>GRMZM2G154036</v>
          </cell>
          <cell r="B6763" t="str">
            <v>GO:0005509</v>
          </cell>
        </row>
        <row r="6764">
          <cell r="A6764" t="str">
            <v>GRMZM2G000219</v>
          </cell>
          <cell r="B6764" t="str">
            <v>GO:0046872GO:0030001</v>
          </cell>
        </row>
        <row r="6765">
          <cell r="A6765" t="str">
            <v>GRMZM2G397684</v>
          </cell>
          <cell r="B6765" t="str">
            <v>GO:0008270GO:0005515</v>
          </cell>
        </row>
        <row r="6766">
          <cell r="A6766" t="str">
            <v>GRMZM2G420684</v>
          </cell>
          <cell r="B6766" t="str">
            <v>GO:0003824GO:0016020</v>
          </cell>
        </row>
        <row r="6767">
          <cell r="A6767" t="str">
            <v>GRMZM2G024823</v>
          </cell>
          <cell r="B6767" t="str">
            <v>GO:0006839GO:0005743GO:0005488GO:0005215</v>
          </cell>
        </row>
        <row r="6768">
          <cell r="A6768" t="str">
            <v>GRMZM2G154523</v>
          </cell>
          <cell r="B6768" t="str">
            <v>GO:0006629</v>
          </cell>
        </row>
        <row r="6769">
          <cell r="A6769" t="str">
            <v>GRMZM2G027375</v>
          </cell>
          <cell r="B6769" t="str">
            <v>GO:0016567GO:0004842GO:0000151GO:0005488</v>
          </cell>
        </row>
        <row r="6770">
          <cell r="A6770" t="str">
            <v>GRMZM2G304712</v>
          </cell>
          <cell r="B6770" t="str">
            <v>GO:0016758GO:0008152</v>
          </cell>
        </row>
        <row r="6771">
          <cell r="A6771" t="str">
            <v>GRMZM2G011526</v>
          </cell>
          <cell r="B6771" t="str">
            <v>GO:0004674GO:0006468GO:0004713GO:0005524</v>
          </cell>
        </row>
        <row r="6772">
          <cell r="A6772" t="str">
            <v>GRMZM2G104626</v>
          </cell>
          <cell r="B6772" t="str">
            <v>GO:0006633GO:0016020GO:0008415</v>
          </cell>
        </row>
        <row r="6773">
          <cell r="A6773" t="str">
            <v>GRMZM2G105901</v>
          </cell>
          <cell r="B6773" t="str">
            <v>GO:0050825GO:0042309GO:0050826</v>
          </cell>
        </row>
        <row r="6774">
          <cell r="A6774" t="str">
            <v>GRMZM2G121573</v>
          </cell>
          <cell r="B6774" t="str">
            <v>GO:0004674GO:0006468GO:0005524GO:0005515GO:0004713</v>
          </cell>
        </row>
        <row r="6775">
          <cell r="A6775" t="str">
            <v>GRMZM2G051288</v>
          </cell>
          <cell r="B6775" t="str">
            <v>GO:0006470GO:0004725GO:0008138</v>
          </cell>
        </row>
        <row r="6776">
          <cell r="A6776" t="str">
            <v>GRMZM2G008263</v>
          </cell>
          <cell r="B6776" t="str">
            <v>GO:0009250GO:0009011</v>
          </cell>
        </row>
        <row r="6777">
          <cell r="A6777" t="str">
            <v>GRMZM2G140352</v>
          </cell>
          <cell r="B6777" t="str">
            <v>GO:0003676</v>
          </cell>
        </row>
        <row r="6778">
          <cell r="A6778" t="str">
            <v>GRMZM2G347043</v>
          </cell>
          <cell r="B6778" t="str">
            <v>GO:0045449GO:0003677</v>
          </cell>
        </row>
        <row r="6779">
          <cell r="A6779" t="str">
            <v>GRMZM2G071907</v>
          </cell>
          <cell r="B6779" t="str">
            <v>GO:0003700GO:0043565GO:0005634GO:0045449</v>
          </cell>
        </row>
        <row r="6780">
          <cell r="A6780" t="str">
            <v>AC210669.3_FG001</v>
          </cell>
          <cell r="B6780" t="str">
            <v>GO:0005618GO:0048046GO:0016762GO:0006073GO:0004553</v>
          </cell>
        </row>
        <row r="6781">
          <cell r="A6781" t="str">
            <v>GRMZM2G059302</v>
          </cell>
          <cell r="B6781" t="str">
            <v>GO:0008080GO:0008152</v>
          </cell>
        </row>
        <row r="6782">
          <cell r="A6782" t="str">
            <v>GRMZM2G315121</v>
          </cell>
          <cell r="B6782" t="str">
            <v>GO:0009428GO:0001539GO:0030288GO:0005198</v>
          </cell>
        </row>
        <row r="6783">
          <cell r="A6783" t="str">
            <v>GRMZM2G078887</v>
          </cell>
          <cell r="B6783" t="str">
            <v>GO:0003735GO:0006412GO:0005840</v>
          </cell>
        </row>
        <row r="6784">
          <cell r="A6784" t="str">
            <v>GRMZM2G151738</v>
          </cell>
          <cell r="B6784" t="str">
            <v>GO:0005515</v>
          </cell>
        </row>
        <row r="6785">
          <cell r="A6785" t="str">
            <v>GRMZM2G083836</v>
          </cell>
          <cell r="B6785" t="str">
            <v>GO:0005737GO:0006422GO:0003676GO:0004816GO:0006421GO:0050825GO:0042309GO:0050826GO:0004815GO:0005524</v>
          </cell>
        </row>
        <row r="6786">
          <cell r="A6786" t="str">
            <v>GRMZM2G018627</v>
          </cell>
          <cell r="B6786" t="str">
            <v>GO:0016020GO:0009765</v>
          </cell>
        </row>
        <row r="6787">
          <cell r="A6787" t="str">
            <v>GRMZM2G333980</v>
          </cell>
          <cell r="B6787" t="str">
            <v>GO:0005515</v>
          </cell>
        </row>
        <row r="6788">
          <cell r="A6788" t="str">
            <v>GRMZM2G308619</v>
          </cell>
          <cell r="B6788" t="str">
            <v>GO:0004674GO:0006468GO:0004713GO:0005524</v>
          </cell>
        </row>
        <row r="6789">
          <cell r="A6789" t="str">
            <v>GRMZM2G051103</v>
          </cell>
          <cell r="B6789" t="str">
            <v>GO:0004674GO:0006468GO:0004713GO:0005524GO:0007165</v>
          </cell>
        </row>
        <row r="6790">
          <cell r="A6790" t="str">
            <v>GRMZM2G381404</v>
          </cell>
          <cell r="B6790" t="str">
            <v>GO:0008270GO:0005622</v>
          </cell>
        </row>
        <row r="6791">
          <cell r="A6791" t="str">
            <v>GRMZM2G122277</v>
          </cell>
          <cell r="B6791" t="str">
            <v>GO:0016020GO:0016760GO:0030244</v>
          </cell>
        </row>
        <row r="6792">
          <cell r="A6792" t="str">
            <v>GRMZM2G340065</v>
          </cell>
          <cell r="B6792" t="str">
            <v>GO:0006644GO:0005840GO:0016042GO:0003735GO:0004197GO:0006508GO:0004623GO:0006412</v>
          </cell>
        </row>
        <row r="6793">
          <cell r="A6793" t="str">
            <v>GRMZM2G127948</v>
          </cell>
          <cell r="B6793" t="str">
            <v>GO:0008171</v>
          </cell>
        </row>
        <row r="6794">
          <cell r="A6794" t="str">
            <v>GRMZM2G424491</v>
          </cell>
          <cell r="B6794" t="str">
            <v>GO:0003824GO:0016020GO:0005488GO:0008152GO:0017004</v>
          </cell>
        </row>
        <row r="6795">
          <cell r="A6795" t="str">
            <v>GRMZM2G465833</v>
          </cell>
          <cell r="B6795" t="str">
            <v>GO:0004674GO:0006468GO:0016597GO:0004713GO:0005524</v>
          </cell>
        </row>
        <row r="6796">
          <cell r="A6796" t="str">
            <v>GRMZM2G034404</v>
          </cell>
          <cell r="B6796" t="str">
            <v>GO:0016597GO:0008152</v>
          </cell>
        </row>
        <row r="6797">
          <cell r="A6797" t="str">
            <v>GRMZM2G010348</v>
          </cell>
          <cell r="B6797" t="str">
            <v>GO:0020037GO:0009055</v>
          </cell>
        </row>
        <row r="6798">
          <cell r="A6798" t="str">
            <v>AC188838.3_FG005</v>
          </cell>
          <cell r="B6798" t="str">
            <v>GO:0009113GO:0004044GO:0009116</v>
          </cell>
        </row>
        <row r="6799">
          <cell r="A6799" t="str">
            <v>GRMZM2G467086</v>
          </cell>
          <cell r="B6799" t="str">
            <v>GO:0042254GO:0005622</v>
          </cell>
        </row>
        <row r="6800">
          <cell r="A6800" t="str">
            <v>GRMZM2G119705</v>
          </cell>
          <cell r="B6800" t="str">
            <v>GO:0004983GO:0016021GO:0030598GO:0007186GO:0017148</v>
          </cell>
        </row>
        <row r="6801">
          <cell r="A6801" t="str">
            <v>GRMZM2G003385</v>
          </cell>
          <cell r="B6801" t="str">
            <v>GO:0005737GO:0004619GO:0006007GO:0030145</v>
          </cell>
        </row>
        <row r="6802">
          <cell r="A6802" t="str">
            <v>GRMZM2G135044</v>
          </cell>
          <cell r="B6802" t="str">
            <v>GO:0016020GO:0008152GO:0016491</v>
          </cell>
        </row>
        <row r="6803">
          <cell r="A6803" t="str">
            <v>GRMZM2G123719</v>
          </cell>
          <cell r="B6803" t="str">
            <v>GO:0003746GO:0006414GO:0003924GO:0005622GO:0005525</v>
          </cell>
        </row>
        <row r="6804">
          <cell r="A6804" t="str">
            <v>GRMZM2G315726</v>
          </cell>
          <cell r="B6804" t="str">
            <v>GO:0016021</v>
          </cell>
        </row>
        <row r="6805">
          <cell r="A6805" t="str">
            <v>GRMZM2G083497</v>
          </cell>
          <cell r="B6805" t="str">
            <v>GO:0003735GO:0006412GO:0005840</v>
          </cell>
        </row>
        <row r="6806">
          <cell r="A6806" t="str">
            <v>GRMZM2G117971</v>
          </cell>
          <cell r="B6806" t="str">
            <v>GO:0050832GO:0042742</v>
          </cell>
        </row>
        <row r="6807">
          <cell r="A6807" t="str">
            <v>GRMZM2G048584</v>
          </cell>
          <cell r="B6807" t="str">
            <v>GO:0003676</v>
          </cell>
        </row>
        <row r="6808">
          <cell r="A6808" t="str">
            <v>GRMZM2G455075</v>
          </cell>
          <cell r="B6808" t="str">
            <v>GO:0016758GO:0008152</v>
          </cell>
        </row>
        <row r="6809">
          <cell r="A6809" t="str">
            <v>GRMZM2G045287</v>
          </cell>
          <cell r="B6809" t="str">
            <v>GO:0005794GO:0030244GO:0007047GO:0016758GO:0009505GO:0030054</v>
          </cell>
        </row>
        <row r="6810">
          <cell r="A6810" t="str">
            <v>GRMZM2G070011</v>
          </cell>
          <cell r="B6810" t="str">
            <v>GO:0006508GO:0004197</v>
          </cell>
        </row>
        <row r="6811">
          <cell r="A6811" t="str">
            <v>GRMZM2G143782</v>
          </cell>
          <cell r="B6811" t="str">
            <v>GO:0005515</v>
          </cell>
        </row>
        <row r="6812">
          <cell r="A6812" t="str">
            <v>GRMZM2G077942</v>
          </cell>
          <cell r="B6812" t="str">
            <v>GO:0003779GO:0005622</v>
          </cell>
        </row>
        <row r="6813">
          <cell r="A6813" t="str">
            <v>GRMZM2G017414</v>
          </cell>
          <cell r="B6813" t="str">
            <v>GO:0005634GO:0046872GO:0045449GO:0030528</v>
          </cell>
        </row>
        <row r="6814">
          <cell r="A6814" t="str">
            <v>GRMZM2G466833</v>
          </cell>
          <cell r="B6814" t="str">
            <v>GO:0030060GO:0005975GO:0006108GO:0005488</v>
          </cell>
        </row>
        <row r="6815">
          <cell r="A6815" t="str">
            <v>GRMZM2G093246</v>
          </cell>
          <cell r="B6815" t="str">
            <v>GO:0004674GO:0006468GO:0005529GO:0004713GO:0005524</v>
          </cell>
        </row>
        <row r="6816">
          <cell r="A6816" t="str">
            <v>GRMZM2G143917</v>
          </cell>
          <cell r="B6816" t="str">
            <v>GO:0003824GO:0016564GO:0006808GO:0044237GO:0050662</v>
          </cell>
        </row>
        <row r="6817">
          <cell r="A6817" t="str">
            <v>GRMZM2G321033</v>
          </cell>
          <cell r="B6817" t="str">
            <v>GO:0004497GO:0020037GO:0009055</v>
          </cell>
        </row>
        <row r="6818">
          <cell r="A6818" t="str">
            <v>GRMZM2G453805</v>
          </cell>
          <cell r="B6818" t="str">
            <v>GO:0004568GO:0006032</v>
          </cell>
        </row>
        <row r="6819">
          <cell r="A6819" t="str">
            <v>GRMZM2G111579</v>
          </cell>
          <cell r="B6819" t="str">
            <v>GO:0006750GO:0004357</v>
          </cell>
        </row>
        <row r="6820">
          <cell r="A6820" t="str">
            <v>GRMZM2G111477</v>
          </cell>
          <cell r="B6820" t="str">
            <v>GO:0005737GO:0006457GO:0005524GO:0005515</v>
          </cell>
        </row>
        <row r="6821">
          <cell r="A6821" t="str">
            <v>GRMZM2G364748</v>
          </cell>
          <cell r="B6821" t="str">
            <v>GO:0005618GO:0048046GO:0016762GO:0006073GO:0004553</v>
          </cell>
        </row>
        <row r="6822">
          <cell r="A6822" t="str">
            <v>GRMZM2G073755</v>
          </cell>
          <cell r="B6822" t="str">
            <v>GO:0006355GO:0005634GO:0004879GO:0003677</v>
          </cell>
        </row>
        <row r="6823">
          <cell r="A6823" t="str">
            <v>GRMZM2G417107</v>
          </cell>
          <cell r="B6823" t="str">
            <v>GO:0005634GO:0045449GO:0030528</v>
          </cell>
        </row>
        <row r="6824">
          <cell r="A6824" t="str">
            <v>GRMZM2G097706</v>
          </cell>
          <cell r="B6824" t="str">
            <v>GO:0008152GO:0016491</v>
          </cell>
        </row>
        <row r="6825">
          <cell r="A6825" t="str">
            <v>GRMZM2G037327</v>
          </cell>
          <cell r="B6825" t="str">
            <v>GO:0005215GO:0016020GO:0006810</v>
          </cell>
        </row>
        <row r="6826">
          <cell r="A6826" t="str">
            <v>GRMZM2G408598</v>
          </cell>
          <cell r="B6826" t="str">
            <v>GO:0005488</v>
          </cell>
        </row>
        <row r="6827">
          <cell r="A6827" t="str">
            <v>AC235540.1_FG002</v>
          </cell>
          <cell r="B6827" t="str">
            <v>GO:0004674GO:0006468GO:0005524GO:0005515GO:0004713</v>
          </cell>
        </row>
        <row r="6828">
          <cell r="A6828" t="str">
            <v>GRMZM2G060079</v>
          </cell>
          <cell r="B6828" t="str">
            <v>GO:0005506GO:0009058GO:0016491</v>
          </cell>
        </row>
        <row r="6829">
          <cell r="A6829" t="str">
            <v>GRMZM2G169951</v>
          </cell>
          <cell r="B6829" t="str">
            <v>GO:0016021</v>
          </cell>
        </row>
        <row r="6830">
          <cell r="A6830" t="str">
            <v>GRMZM2G159171</v>
          </cell>
          <cell r="B6830" t="str">
            <v>GO:0006508GO:0008233</v>
          </cell>
        </row>
        <row r="6831">
          <cell r="A6831" t="str">
            <v>GRMZM2G137329</v>
          </cell>
          <cell r="B6831" t="str">
            <v>GO:0050825GO:0042309GO:0050826</v>
          </cell>
        </row>
        <row r="6832">
          <cell r="A6832" t="str">
            <v>AC203909.3_FG003</v>
          </cell>
          <cell r="B6832" t="str">
            <v>GO:0019882GO:0050660GO:0016020GO:0006955GO:0009055GO:0016491</v>
          </cell>
        </row>
        <row r="6833">
          <cell r="A6833" t="str">
            <v>GRMZM2G351330</v>
          </cell>
          <cell r="B6833" t="str">
            <v>GO:0043565GO:0006265GO:0003700GO:0005634GO:0006355GO:0003690</v>
          </cell>
        </row>
        <row r="6834">
          <cell r="A6834" t="str">
            <v>GRMZM2G171118</v>
          </cell>
          <cell r="B6834" t="str">
            <v>GO:0004497GO:0020037GO:0009055</v>
          </cell>
        </row>
        <row r="6835">
          <cell r="A6835" t="str">
            <v>GRMZM2G122618</v>
          </cell>
          <cell r="B6835" t="str">
            <v>GO:0009405GO:0009289</v>
          </cell>
        </row>
        <row r="6836">
          <cell r="A6836" t="str">
            <v>GRMZM2G369839</v>
          </cell>
          <cell r="B6836" t="str">
            <v>GO:0005634GO:0003677GO:0006355GO:0050825GO:0042309GO:0050826GO:0004879</v>
          </cell>
        </row>
        <row r="6837">
          <cell r="A6837" t="str">
            <v>GRMZM2G082830</v>
          </cell>
          <cell r="B6837" t="str">
            <v>GO:0004674GO:0006468GO:0005529GO:0004713GO:0005524</v>
          </cell>
        </row>
        <row r="6838">
          <cell r="A6838" t="str">
            <v>GRMZM2G082384</v>
          </cell>
          <cell r="B6838" t="str">
            <v>GO:0043565GO:0007018GO:0003777GO:0005524GO:0005875</v>
          </cell>
        </row>
        <row r="6839">
          <cell r="A6839" t="str">
            <v>GRMZM2G015709</v>
          </cell>
          <cell r="B6839" t="str">
            <v>GO:0005874GO:0005198GO:0007018GO:0005525</v>
          </cell>
        </row>
        <row r="6840">
          <cell r="A6840" t="str">
            <v>GRMZM2G166719</v>
          </cell>
          <cell r="B6840" t="str">
            <v>GO:0004674GO:0006468GO:0004713GO:0005524</v>
          </cell>
        </row>
        <row r="6841">
          <cell r="A6841" t="str">
            <v>AC191048.2_FG006</v>
          </cell>
          <cell r="B6841" t="str">
            <v>GO:0050825GO:0042309GO:0050826</v>
          </cell>
        </row>
        <row r="6842">
          <cell r="A6842" t="str">
            <v>GRMZM2G103465</v>
          </cell>
          <cell r="B6842" t="str">
            <v>GO:0008270</v>
          </cell>
        </row>
        <row r="6843">
          <cell r="A6843" t="str">
            <v>GRMZM2G053669</v>
          </cell>
          <cell r="B6843" t="str">
            <v>GO:0006529GO:0004066</v>
          </cell>
        </row>
        <row r="6844">
          <cell r="A6844" t="str">
            <v>GRMZM2G145461</v>
          </cell>
          <cell r="B6844" t="str">
            <v>GO:0004568GO:0006032GO:0008061GO:0016998</v>
          </cell>
        </row>
        <row r="6845">
          <cell r="A6845" t="str">
            <v>AC182482.3_FG003</v>
          </cell>
          <cell r="B6845" t="str">
            <v>GO:0006812GO:0016020GO:0008324</v>
          </cell>
        </row>
        <row r="6846">
          <cell r="A6846" t="str">
            <v>GRMZM2G322817</v>
          </cell>
          <cell r="B6846" t="str">
            <v>GO:0008270</v>
          </cell>
        </row>
        <row r="6847">
          <cell r="A6847" t="str">
            <v>GRMZM2G005522</v>
          </cell>
          <cell r="B6847" t="str">
            <v>GO:0015886GO:0016020GO:0016747GO:0017004GO:0015232</v>
          </cell>
        </row>
        <row r="6848">
          <cell r="A6848" t="str">
            <v>GRMZM2G053707</v>
          </cell>
          <cell r="B6848" t="str">
            <v>GO:0008270GO:0005515</v>
          </cell>
        </row>
        <row r="6849">
          <cell r="A6849" t="str">
            <v>GRMZM2G003246</v>
          </cell>
          <cell r="B6849" t="str">
            <v>GO:0016787GO:0008152</v>
          </cell>
        </row>
        <row r="6850">
          <cell r="A6850" t="str">
            <v>GRMZM2G034876</v>
          </cell>
          <cell r="B6850" t="str">
            <v>GO:0016818GO:0005634GO:0006355GO:0005524GO:0003677GO:0004879</v>
          </cell>
        </row>
        <row r="6851">
          <cell r="A6851" t="str">
            <v>GRMZM2G082205</v>
          </cell>
          <cell r="B6851" t="str">
            <v>GO:0003676GO:0008026GO:0005524GO:0006464</v>
          </cell>
        </row>
        <row r="6852">
          <cell r="A6852" t="str">
            <v>GRMZM2G115660</v>
          </cell>
          <cell r="B6852" t="str">
            <v>GO:0005509</v>
          </cell>
        </row>
        <row r="6853">
          <cell r="A6853" t="str">
            <v>GRMZM2G015436</v>
          </cell>
          <cell r="B6853" t="str">
            <v>GO:0004834GO:0006568</v>
          </cell>
        </row>
        <row r="6854">
          <cell r="A6854" t="str">
            <v>GRMZM2G095492</v>
          </cell>
          <cell r="B6854" t="str">
            <v>GO:0016020</v>
          </cell>
        </row>
        <row r="6855">
          <cell r="A6855" t="str">
            <v>GRMZM2G004519</v>
          </cell>
          <cell r="B6855" t="str">
            <v>GO:0008270GO:0005515</v>
          </cell>
        </row>
        <row r="6856">
          <cell r="A6856" t="str">
            <v>GRMZM2G153208</v>
          </cell>
          <cell r="B6856" t="str">
            <v>GO:0008962GO:0006629GO:0045735</v>
          </cell>
        </row>
        <row r="6857">
          <cell r="A6857" t="str">
            <v>GRMZM2G140032</v>
          </cell>
          <cell r="B6857" t="str">
            <v>GO:0004969GO:0016021GO:0007186</v>
          </cell>
        </row>
        <row r="6858">
          <cell r="A6858" t="str">
            <v>GRMZM2G135743</v>
          </cell>
          <cell r="B6858" t="str">
            <v>GO:0016757</v>
          </cell>
        </row>
        <row r="6859">
          <cell r="A6859" t="str">
            <v>GRMZM2G121151</v>
          </cell>
          <cell r="B6859" t="str">
            <v>GO:0008270GO:0005622</v>
          </cell>
        </row>
        <row r="6860">
          <cell r="A6860" t="str">
            <v>GRMZM2G047727</v>
          </cell>
          <cell r="B6860" t="str">
            <v>GO:0003735GO:0006412GO:0006464GO:0005840</v>
          </cell>
        </row>
        <row r="6861">
          <cell r="A6861" t="str">
            <v>AC149829.2_FG003</v>
          </cell>
          <cell r="B6861" t="str">
            <v>GO:0005643GO:0006810</v>
          </cell>
        </row>
        <row r="6862">
          <cell r="A6862" t="str">
            <v>GRMZM2G131205</v>
          </cell>
          <cell r="B6862" t="str">
            <v>GO:0003854GO:0050662GO:0006694</v>
          </cell>
        </row>
        <row r="6863">
          <cell r="A6863" t="str">
            <v>GRMZM2G092813</v>
          </cell>
          <cell r="B6863" t="str">
            <v>GO:0003824GO:0008152</v>
          </cell>
        </row>
        <row r="6864">
          <cell r="A6864" t="str">
            <v>GRMZM2G147014</v>
          </cell>
          <cell r="B6864" t="str">
            <v>GO:0006950GO:0009415</v>
          </cell>
        </row>
        <row r="6865">
          <cell r="A6865" t="str">
            <v>GRMZM2G059129</v>
          </cell>
          <cell r="B6865" t="str">
            <v>GO:0006071GO:0006629GO:0008889</v>
          </cell>
        </row>
        <row r="6866">
          <cell r="A6866" t="str">
            <v>GRMZM2G057186</v>
          </cell>
          <cell r="B6866" t="str">
            <v>GO:0003824</v>
          </cell>
        </row>
        <row r="6867">
          <cell r="A6867" t="str">
            <v>GRMZM2G162605</v>
          </cell>
          <cell r="B6867" t="str">
            <v>GO:0016787</v>
          </cell>
        </row>
        <row r="6868">
          <cell r="A6868" t="str">
            <v>GRMZM2G166548</v>
          </cell>
          <cell r="B6868" t="str">
            <v>GO:0050825GO:0042309GO:0050826</v>
          </cell>
        </row>
        <row r="6869">
          <cell r="A6869" t="str">
            <v>GRMZM2G081529</v>
          </cell>
          <cell r="B6869" t="str">
            <v>GO:0016021GO:0005840GO:0005634GO:0003677GO:0005199GO:0003735GO:0006355GO:0050825GO:0042309GO:0050826GO:0007186GO:0006412GO:0004879</v>
          </cell>
        </row>
        <row r="6870">
          <cell r="A6870" t="str">
            <v>GRMZM2G042893</v>
          </cell>
          <cell r="B6870" t="str">
            <v>GO:0005634GO:0045449GO:0030528</v>
          </cell>
        </row>
        <row r="6871">
          <cell r="A6871" t="str">
            <v>GRMZM2G175499</v>
          </cell>
          <cell r="B6871" t="str">
            <v>GO:0005618GO:0042545GO:0004857GO:0030599</v>
          </cell>
        </row>
        <row r="6872">
          <cell r="A6872" t="str">
            <v>GRMZM2G379540</v>
          </cell>
          <cell r="B6872" t="str">
            <v>GO:0008137GO:0016021GO:0042773</v>
          </cell>
        </row>
        <row r="6873">
          <cell r="A6873" t="str">
            <v>GRMZM2G340807</v>
          </cell>
          <cell r="B6873" t="str">
            <v>GO:0005509</v>
          </cell>
        </row>
        <row r="6874">
          <cell r="A6874" t="str">
            <v>GRMZM2G143480</v>
          </cell>
          <cell r="B6874" t="str">
            <v>GO:0009349GO:0009231</v>
          </cell>
        </row>
        <row r="6875">
          <cell r="A6875" t="str">
            <v>GRMZM2G158131</v>
          </cell>
          <cell r="B6875" t="str">
            <v>GO:0045261GO:0015986GO:0046961GO:0046933</v>
          </cell>
        </row>
        <row r="6876">
          <cell r="A6876" t="str">
            <v>GRMZM2G092363</v>
          </cell>
          <cell r="B6876" t="str">
            <v>GO:0008270GO:0005622</v>
          </cell>
        </row>
        <row r="6877">
          <cell r="A6877" t="str">
            <v>GRMZM2G022242</v>
          </cell>
          <cell r="B6877" t="str">
            <v>GO:0016758GO:0008152</v>
          </cell>
        </row>
        <row r="6878">
          <cell r="A6878" t="str">
            <v>GRMZM2G074085</v>
          </cell>
          <cell r="B6878" t="str">
            <v>GO:0003735GO:0006412GO:0005840</v>
          </cell>
        </row>
        <row r="6879">
          <cell r="A6879" t="str">
            <v>GRMZM2G416632</v>
          </cell>
          <cell r="B6879" t="str">
            <v>GO:0005737GO:0004364GO:0008152</v>
          </cell>
        </row>
        <row r="6880">
          <cell r="A6880" t="str">
            <v>GRMZM2G322506</v>
          </cell>
          <cell r="B6880" t="str">
            <v>GO:0006508GO:0004197GO:0017111GO:0000166</v>
          </cell>
        </row>
        <row r="6881">
          <cell r="A6881" t="str">
            <v>GRMZM2G443509</v>
          </cell>
          <cell r="B6881" t="str">
            <v>GO:0003824</v>
          </cell>
        </row>
        <row r="6882">
          <cell r="A6882" t="str">
            <v>AC226248.1_FG002</v>
          </cell>
          <cell r="B6882" t="str">
            <v>GO:0006468GO:0004879GO:0004674GO:0005634GO:0006355GO:0004713GO:0003677GO:0005524</v>
          </cell>
        </row>
        <row r="6883">
          <cell r="A6883" t="str">
            <v>GRMZM2G099522</v>
          </cell>
          <cell r="B6883" t="str">
            <v>GO:0003700GO:0006355GO:0005634GO:0043565</v>
          </cell>
        </row>
        <row r="6884">
          <cell r="A6884" t="str">
            <v>GRMZM2G010000</v>
          </cell>
          <cell r="B6884" t="str">
            <v>GO:0031072</v>
          </cell>
        </row>
        <row r="6885">
          <cell r="A6885" t="str">
            <v>GRMZM2G312521</v>
          </cell>
          <cell r="B6885" t="str">
            <v>GO:0005737GO:0004812GO:0005992GO:0005524GO:0006418</v>
          </cell>
        </row>
        <row r="6886">
          <cell r="A6886" t="str">
            <v>GRMZM2G121612</v>
          </cell>
          <cell r="B6886" t="str">
            <v>GO:0009250GO:0009011</v>
          </cell>
        </row>
        <row r="6887">
          <cell r="A6887" t="str">
            <v>GRMZM2G171387</v>
          </cell>
          <cell r="B6887" t="str">
            <v>GO:0006334GO:0003677GO:0005634GO:0000786</v>
          </cell>
        </row>
        <row r="6888">
          <cell r="A6888" t="str">
            <v>GRMZM2G085467</v>
          </cell>
          <cell r="B6888" t="str">
            <v>GO:0005634GO:0045449GO:0030528</v>
          </cell>
        </row>
        <row r="6889">
          <cell r="A6889" t="str">
            <v>GRMZM2G017022</v>
          </cell>
          <cell r="B6889" t="str">
            <v>GO:0006468GO:0004713GO:0005524</v>
          </cell>
        </row>
        <row r="6890">
          <cell r="A6890" t="str">
            <v>GRMZM2G452896</v>
          </cell>
          <cell r="B6890" t="str">
            <v>GO:0006508GO:0008236</v>
          </cell>
        </row>
        <row r="6891">
          <cell r="A6891" t="str">
            <v>GRMZM2G005146</v>
          </cell>
          <cell r="B6891" t="str">
            <v>GO:0005634GO:0003677GO:0006355GO:0050825GO:0042309GO:0050826GO:0004879</v>
          </cell>
        </row>
        <row r="6892">
          <cell r="A6892" t="str">
            <v>GRMZM2G178025</v>
          </cell>
          <cell r="B6892" t="str">
            <v>GO:0005975GO:0004553</v>
          </cell>
        </row>
        <row r="6893">
          <cell r="A6893" t="str">
            <v>GRMZM2G056014</v>
          </cell>
          <cell r="B6893" t="str">
            <v>GO:0005388GO:0016021GO:0006754GO:0006816GO:0005524</v>
          </cell>
        </row>
        <row r="6894">
          <cell r="A6894" t="str">
            <v>GRMZM2G173882</v>
          </cell>
          <cell r="B6894" t="str">
            <v>GO:0006355GO:0005634GO:0004879GO:0003677</v>
          </cell>
        </row>
        <row r="6895">
          <cell r="A6895" t="str">
            <v>GRMZM2G414192</v>
          </cell>
          <cell r="B6895" t="str">
            <v>GO:0016020GO:0009765</v>
          </cell>
        </row>
        <row r="6896">
          <cell r="A6896" t="str">
            <v>GRMZM2G147840</v>
          </cell>
          <cell r="B6896" t="str">
            <v>GO:0050825GO:0042309GO:0050826</v>
          </cell>
        </row>
        <row r="6897">
          <cell r="A6897" t="str">
            <v>GRMZM2G147752</v>
          </cell>
          <cell r="B6897" t="str">
            <v>GO:0004497GO:0020037GO:0009055</v>
          </cell>
        </row>
        <row r="6898">
          <cell r="A6898" t="str">
            <v>GRMZM2G159756</v>
          </cell>
          <cell r="B6898" t="str">
            <v>GO:0004674GO:0006468GO:0004713GO:0005524</v>
          </cell>
        </row>
        <row r="6899">
          <cell r="A6899" t="str">
            <v>GRMZM2G176506</v>
          </cell>
          <cell r="B6899" t="str">
            <v>GO:0006355GO:0007165GO:0004871</v>
          </cell>
        </row>
        <row r="6900">
          <cell r="A6900" t="str">
            <v>GRMZM2G096412</v>
          </cell>
          <cell r="B6900" t="str">
            <v>GO:0016758GO:0008152</v>
          </cell>
        </row>
        <row r="6901">
          <cell r="A6901" t="str">
            <v>GRMZM2G115504</v>
          </cell>
          <cell r="B6901" t="str">
            <v>GO:0003824</v>
          </cell>
        </row>
        <row r="6902">
          <cell r="A6902" t="str">
            <v>GRMZM2G037379</v>
          </cell>
          <cell r="B6902" t="str">
            <v>GO:0016787</v>
          </cell>
        </row>
        <row r="6903">
          <cell r="A6903" t="str">
            <v>GRMZM2G104843</v>
          </cell>
          <cell r="B6903" t="str">
            <v>GO:0005506GO:0016165GO:0005515GO:0009055</v>
          </cell>
        </row>
        <row r="6904">
          <cell r="A6904" t="str">
            <v>GRMZM2G170047</v>
          </cell>
          <cell r="B6904" t="str">
            <v>GO:0004497GO:0020037GO:0009055</v>
          </cell>
        </row>
        <row r="6905">
          <cell r="A6905" t="str">
            <v>GRMZM2G175543</v>
          </cell>
          <cell r="B6905" t="str">
            <v>GO:0003700GO:0006355GO:0050825GO:0042309GO:0050826</v>
          </cell>
        </row>
        <row r="6906">
          <cell r="A6906" t="str">
            <v>GRMZM2G170044</v>
          </cell>
          <cell r="B6906" t="str">
            <v>GO:0006869GO:0050825GO:0008289GO:0042309GO:0050826</v>
          </cell>
        </row>
        <row r="6907">
          <cell r="A6907" t="str">
            <v>GRMZM2G101958</v>
          </cell>
          <cell r="B6907" t="str">
            <v>GO:0008289GO:0006869</v>
          </cell>
        </row>
        <row r="6908">
          <cell r="A6908" t="str">
            <v>GRMZM2G432390</v>
          </cell>
          <cell r="B6908" t="str">
            <v>GO:0016773GO:0016021GO:0006810GO:0042626GO:0005524</v>
          </cell>
        </row>
        <row r="6909">
          <cell r="A6909" t="str">
            <v>GRMZM2G131266</v>
          </cell>
          <cell r="B6909" t="str">
            <v>GO:0003700GO:0006355</v>
          </cell>
        </row>
        <row r="6910">
          <cell r="A6910" t="str">
            <v>GRMZM2G041991</v>
          </cell>
          <cell r="B6910" t="str">
            <v>GO:0008270GO:0005622</v>
          </cell>
        </row>
        <row r="6911">
          <cell r="A6911" t="str">
            <v>GRMZM2G125635</v>
          </cell>
          <cell r="B6911" t="str">
            <v>GO:0004014GO:0008295GO:0006597</v>
          </cell>
        </row>
        <row r="6912">
          <cell r="A6912" t="str">
            <v>GRMZM2G092804</v>
          </cell>
          <cell r="B6912" t="str">
            <v>GO:0051260GO:0016021GO:0007186</v>
          </cell>
        </row>
        <row r="6913">
          <cell r="A6913" t="str">
            <v>GRMZM2G154090</v>
          </cell>
          <cell r="B6913" t="str">
            <v>GO:0005315GO:0016021GO:0006817</v>
          </cell>
        </row>
        <row r="6914">
          <cell r="A6914" t="str">
            <v>GRMZM2G010460</v>
          </cell>
          <cell r="B6914" t="str">
            <v>GO:0019787GO:0043687GO:0051246</v>
          </cell>
        </row>
        <row r="6915">
          <cell r="A6915" t="str">
            <v>GRMZM2G111657</v>
          </cell>
          <cell r="B6915" t="str">
            <v>GO:0006887GO:0000145</v>
          </cell>
        </row>
        <row r="6916">
          <cell r="A6916" t="str">
            <v>GRMZM2G173124</v>
          </cell>
          <cell r="B6916" t="str">
            <v>GO:0008270GO:0003676</v>
          </cell>
        </row>
        <row r="6917">
          <cell r="A6917" t="str">
            <v>GRMZM2G098875</v>
          </cell>
          <cell r="B6917" t="str">
            <v>GO:0006536GO:0030170GO:0004351</v>
          </cell>
        </row>
        <row r="6918">
          <cell r="A6918" t="str">
            <v>GRMZM2G127350</v>
          </cell>
          <cell r="B6918" t="str">
            <v>GO:0008483GO:0030170</v>
          </cell>
        </row>
        <row r="6919">
          <cell r="A6919" t="str">
            <v>GRMZM2G154936</v>
          </cell>
          <cell r="B6919" t="str">
            <v>GO:0005737GO:0005525</v>
          </cell>
        </row>
        <row r="6920">
          <cell r="A6920" t="str">
            <v>GRMZM2G118610</v>
          </cell>
          <cell r="B6920" t="str">
            <v>GO:0008270GO:0055114GO:0016491</v>
          </cell>
        </row>
        <row r="6921">
          <cell r="A6921" t="str">
            <v>GRMZM2G396527</v>
          </cell>
          <cell r="B6921" t="str">
            <v>GO:0043565GO:0006265GO:0003700GO:0005634GO:0006355GO:0003690</v>
          </cell>
        </row>
        <row r="6922">
          <cell r="A6922" t="str">
            <v>GRMZM2G167463</v>
          </cell>
          <cell r="B6922" t="str">
            <v>GO:0015031GO:0005743GO:0008565</v>
          </cell>
        </row>
        <row r="6923">
          <cell r="A6923" t="str">
            <v>GRMZM2G000268</v>
          </cell>
          <cell r="B6923" t="str">
            <v>GO:0007155GO:0055114GO:0016491</v>
          </cell>
        </row>
        <row r="6924">
          <cell r="A6924" t="str">
            <v>GRMZM2G112284</v>
          </cell>
          <cell r="B6924" t="str">
            <v>GO:0046914GO:0016491</v>
          </cell>
        </row>
        <row r="6925">
          <cell r="A6925" t="str">
            <v>GRMZM2G075315</v>
          </cell>
          <cell r="B6925" t="str">
            <v>GO:0005576GO:0004867</v>
          </cell>
        </row>
        <row r="6926">
          <cell r="A6926" t="str">
            <v>GRMZM2G126975</v>
          </cell>
          <cell r="B6926" t="str">
            <v>GO:0005576</v>
          </cell>
        </row>
        <row r="6927">
          <cell r="A6927" t="str">
            <v>GRMZM2G093962</v>
          </cell>
          <cell r="B6927" t="str">
            <v>GO:0016021</v>
          </cell>
        </row>
        <row r="6928">
          <cell r="A6928" t="str">
            <v>AC215201.3_FG005</v>
          </cell>
          <cell r="B6928" t="str">
            <v>GO:0005737GO:0006457GO:0005524GO:0005515</v>
          </cell>
        </row>
        <row r="6929">
          <cell r="A6929" t="str">
            <v>GRMZM2G018716</v>
          </cell>
          <cell r="B6929" t="str">
            <v>GO:0006508GO:0005975GO:0004252GO:0004553</v>
          </cell>
        </row>
        <row r="6930">
          <cell r="A6930" t="str">
            <v>GRMZM2G017966</v>
          </cell>
          <cell r="B6930" t="str">
            <v>GO:0006413GO:0003743</v>
          </cell>
        </row>
        <row r="6931">
          <cell r="A6931" t="str">
            <v>GRMZM2G106133</v>
          </cell>
          <cell r="B6931" t="str">
            <v>GO:0006936GO:0006334GO:0000786GO:0017022GO:0003779GO:0006355GO:0005516GO:0003677GO:0005634</v>
          </cell>
        </row>
        <row r="6932">
          <cell r="A6932" t="str">
            <v>GRMZM2G434203</v>
          </cell>
          <cell r="B6932" t="str">
            <v>GO:0003700GO:0006355GO:0050825GO:0042309GO:0050826</v>
          </cell>
        </row>
        <row r="6933">
          <cell r="A6933" t="str">
            <v>GRMZM2G355316</v>
          </cell>
          <cell r="B6933" t="str">
            <v>GO:0016021GO:0003677GO:0005199GO:0006355GO:0050825GO:0042309GO:0050826GO:0007186GO:0005634GO:0004879</v>
          </cell>
        </row>
        <row r="6934">
          <cell r="A6934" t="str">
            <v>GRMZM2G108219</v>
          </cell>
          <cell r="B6934" t="str">
            <v>GO:0004601GO:0006979GO:0020037GO:0009055</v>
          </cell>
        </row>
        <row r="6935">
          <cell r="A6935" t="str">
            <v>GRMZM2G359986</v>
          </cell>
          <cell r="B6935" t="str">
            <v>GO:0004674GO:0006468GO:0004713GO:0005524</v>
          </cell>
        </row>
        <row r="6936">
          <cell r="A6936" t="str">
            <v>GRMZM2G057158</v>
          </cell>
          <cell r="B6936" t="str">
            <v>GO:0006464</v>
          </cell>
        </row>
        <row r="6937">
          <cell r="A6937" t="str">
            <v>GRMZM2G108138</v>
          </cell>
          <cell r="B6937" t="str">
            <v>GO:0000062</v>
          </cell>
        </row>
        <row r="6938">
          <cell r="A6938" t="str">
            <v>GRMZM2G467576</v>
          </cell>
          <cell r="B6938" t="str">
            <v>GO:0008270GO:0005515</v>
          </cell>
        </row>
        <row r="6939">
          <cell r="A6939" t="str">
            <v>GRMZM2G102079</v>
          </cell>
          <cell r="B6939" t="str">
            <v>GO:0004497GO:0020037GO:0009055</v>
          </cell>
        </row>
        <row r="6940">
          <cell r="A6940" t="str">
            <v>GRMZM2G024996</v>
          </cell>
          <cell r="B6940" t="str">
            <v>GO:0051260GO:0016021GO:0007186GO:0004930</v>
          </cell>
        </row>
        <row r="6941">
          <cell r="A6941" t="str">
            <v>GRMZM2G090865</v>
          </cell>
          <cell r="B6941" t="str">
            <v>GO:0007049GO:0005525</v>
          </cell>
        </row>
        <row r="6942">
          <cell r="A6942" t="str">
            <v>GRMZM2G065088</v>
          </cell>
          <cell r="B6942" t="str">
            <v>GO:0048046GO:0030145GO:0045735</v>
          </cell>
        </row>
        <row r="6943">
          <cell r="A6943" t="str">
            <v>GRMZM2G005849</v>
          </cell>
          <cell r="B6943" t="str">
            <v>GO:0005737GO:0004360GO:0005529GO:0016051</v>
          </cell>
        </row>
        <row r="6944">
          <cell r="A6944" t="str">
            <v>GRMZM2G116079</v>
          </cell>
          <cell r="B6944" t="str">
            <v>GO:0008270GO:0005622</v>
          </cell>
        </row>
        <row r="6945">
          <cell r="A6945" t="str">
            <v>GRMZM2G155253</v>
          </cell>
          <cell r="B6945" t="str">
            <v>GO:0006096GO:0004332</v>
          </cell>
        </row>
        <row r="6946">
          <cell r="A6946" t="str">
            <v>GRMZM2G413829</v>
          </cell>
          <cell r="B6946" t="str">
            <v>GO:0050825GO:0042309GO:0050826</v>
          </cell>
        </row>
        <row r="6947">
          <cell r="A6947" t="str">
            <v>GRMZM2G081957</v>
          </cell>
          <cell r="B6947" t="str">
            <v>GO:0006468GO:0004674GO:0030001GO:0004713GO:0046872GO:0005524</v>
          </cell>
        </row>
        <row r="6948">
          <cell r="A6948" t="str">
            <v>GRMZM2G066489</v>
          </cell>
          <cell r="B6948" t="str">
            <v>GO:0016021GO:0006810GO:0005234GO:0030288GO:0004965GO:0007186GO:0004970</v>
          </cell>
        </row>
        <row r="6949">
          <cell r="A6949" t="str">
            <v>GRMZM2G179462</v>
          </cell>
          <cell r="B6949" t="str">
            <v>GO:0016021</v>
          </cell>
        </row>
        <row r="6950">
          <cell r="A6950" t="str">
            <v>GRMZM2G074107</v>
          </cell>
          <cell r="B6950" t="str">
            <v>GO:0006355GO:0005634GO:0000785GO:0003677</v>
          </cell>
        </row>
        <row r="6951">
          <cell r="A6951" t="str">
            <v>GRMZM2G072820</v>
          </cell>
          <cell r="B6951" t="str">
            <v>GO:0005634GO:0045449GO:0030528</v>
          </cell>
        </row>
        <row r="6952">
          <cell r="A6952" t="str">
            <v>GRMZM2G405459</v>
          </cell>
          <cell r="B6952" t="str">
            <v>GO:0004601GO:0006979GO:0020037GO:0009055</v>
          </cell>
        </row>
        <row r="6953">
          <cell r="A6953" t="str">
            <v>GRMZM2G031637</v>
          </cell>
          <cell r="B6953" t="str">
            <v>GO:0031072</v>
          </cell>
        </row>
        <row r="6954">
          <cell r="A6954" t="str">
            <v>GRMZM2G339091</v>
          </cell>
          <cell r="B6954" t="str">
            <v>GO:0003779GO:0006508GO:0004185</v>
          </cell>
        </row>
        <row r="6955">
          <cell r="A6955" t="str">
            <v>GRMZM2G477872</v>
          </cell>
          <cell r="B6955" t="str">
            <v>GO:0016020GO:0016887GO:0005524</v>
          </cell>
        </row>
        <row r="6956">
          <cell r="A6956" t="str">
            <v>GRMZM2G179703</v>
          </cell>
          <cell r="B6956" t="str">
            <v>GO:0050825GO:0016747GO:0042309GO:0050826</v>
          </cell>
        </row>
        <row r="6957">
          <cell r="A6957" t="str">
            <v>GRMZM2G071277</v>
          </cell>
          <cell r="B6957" t="str">
            <v>GO:0008270GO:0005515GO:0009055</v>
          </cell>
        </row>
        <row r="6958">
          <cell r="A6958" t="str">
            <v>GRMZM2G150187</v>
          </cell>
          <cell r="B6958" t="str">
            <v>GO:0006629GO:0016788</v>
          </cell>
        </row>
        <row r="6959">
          <cell r="A6959" t="str">
            <v>GRMZM2G114575</v>
          </cell>
          <cell r="B6959" t="str">
            <v>GO:0004674GO:0006468GO:0004713GO:0005524GO:0007165</v>
          </cell>
        </row>
        <row r="6960">
          <cell r="A6960" t="str">
            <v>GRMZM2G042602</v>
          </cell>
          <cell r="B6960" t="str">
            <v>GO:0050825GO:0042309GO:0050826</v>
          </cell>
        </row>
        <row r="6961">
          <cell r="A6961" t="str">
            <v>GRMZM2G328309</v>
          </cell>
          <cell r="B6961" t="str">
            <v>GO:0030246</v>
          </cell>
        </row>
        <row r="6962">
          <cell r="A6962" t="str">
            <v>GRMZM2G053206</v>
          </cell>
          <cell r="B6962" t="str">
            <v>GO:0006508GO:0004190</v>
          </cell>
        </row>
        <row r="6963">
          <cell r="A6963" t="str">
            <v>GRMZM2G144581</v>
          </cell>
          <cell r="B6963" t="str">
            <v>GO:0016021GO:0007186</v>
          </cell>
        </row>
        <row r="6964">
          <cell r="A6964" t="str">
            <v>GRMZM2G037614</v>
          </cell>
          <cell r="B6964" t="str">
            <v>GO:0003824GO:0020037GO:0008152GO:0009055</v>
          </cell>
        </row>
        <row r="6965">
          <cell r="A6965" t="str">
            <v>GRMZM2G132531</v>
          </cell>
          <cell r="B6965" t="str">
            <v>GO:0008270GO:0005515</v>
          </cell>
        </row>
        <row r="6966">
          <cell r="A6966" t="str">
            <v>GRMZM2G103825</v>
          </cell>
          <cell r="B6966" t="str">
            <v>GO:0016884</v>
          </cell>
        </row>
        <row r="6967">
          <cell r="A6967" t="str">
            <v>GRMZM2G107073</v>
          </cell>
          <cell r="B6967" t="str">
            <v>GO:0005975GO:0004650</v>
          </cell>
        </row>
        <row r="6968">
          <cell r="A6968" t="str">
            <v>GRMZM2G136508</v>
          </cell>
          <cell r="B6968" t="str">
            <v>GO:0006813GO:0016020GO:0006865GO:0015171GO:0005249</v>
          </cell>
        </row>
        <row r="6969">
          <cell r="A6969" t="str">
            <v>GRMZM2G095299</v>
          </cell>
          <cell r="B6969" t="str">
            <v>GO:0008270GO:0005622</v>
          </cell>
        </row>
        <row r="6970">
          <cell r="A6970" t="str">
            <v>GRMZM2G120296</v>
          </cell>
          <cell r="B6970" t="str">
            <v>GO:0005634GO:0045449GO:0030528</v>
          </cell>
        </row>
        <row r="6971">
          <cell r="A6971" t="str">
            <v>GRMZM2G133434</v>
          </cell>
          <cell r="B6971" t="str">
            <v>GO:0004601GO:0006979GO:0020037GO:0009055</v>
          </cell>
        </row>
        <row r="6972">
          <cell r="A6972" t="str">
            <v>GRMZM2G377589</v>
          </cell>
          <cell r="B6972" t="str">
            <v>GO:0004518GO:0006310GO:0003677GO:0000150GO:0006281</v>
          </cell>
        </row>
        <row r="6973">
          <cell r="A6973" t="str">
            <v>GRMZM2G426200</v>
          </cell>
          <cell r="B6973" t="str">
            <v>GO:0016021GO:0051205</v>
          </cell>
        </row>
        <row r="6974">
          <cell r="A6974" t="str">
            <v>GRMZM2G165387</v>
          </cell>
          <cell r="B6974" t="str">
            <v>GO:0004674GO:0006468GO:0005524GO:0005515GO:0004713</v>
          </cell>
        </row>
        <row r="6975">
          <cell r="A6975" t="str">
            <v>GRMZM2G321290</v>
          </cell>
          <cell r="B6975" t="str">
            <v>GO:0004806GO:0006629</v>
          </cell>
        </row>
        <row r="6976">
          <cell r="A6976" t="str">
            <v>GRMZM2G145655</v>
          </cell>
          <cell r="B6976" t="str">
            <v>GO:0016301GO:0008152GO:0005524</v>
          </cell>
        </row>
        <row r="6977">
          <cell r="A6977" t="str">
            <v>GRMZM2G318213</v>
          </cell>
          <cell r="B6977" t="str">
            <v>GO:0050825GO:0042309GO:0050826GO:0045454GO:0015035GO:0009055</v>
          </cell>
        </row>
        <row r="6978">
          <cell r="A6978" t="str">
            <v>GRMZM2G084806</v>
          </cell>
          <cell r="B6978" t="str">
            <v>GO:0004674GO:0006468GO:0004713GO:0005524</v>
          </cell>
        </row>
        <row r="6979">
          <cell r="A6979" t="str">
            <v>GRMZM2G177668</v>
          </cell>
          <cell r="B6979" t="str">
            <v>GO:0004497GO:0020037GO:0009055</v>
          </cell>
        </row>
        <row r="6980">
          <cell r="A6980" t="str">
            <v>GRMZM2G154987</v>
          </cell>
          <cell r="B6980" t="str">
            <v>GO:0006952GO:0009607</v>
          </cell>
        </row>
        <row r="6981">
          <cell r="A6981" t="str">
            <v>GRMZM2G072091</v>
          </cell>
          <cell r="B6981" t="str">
            <v>GO:0004001GO:0006166GO:0004747GO:0006014</v>
          </cell>
        </row>
        <row r="6982">
          <cell r="A6982" t="str">
            <v>GRMZM2G124335</v>
          </cell>
          <cell r="B6982" t="str">
            <v>GO:0006633GO:0016747</v>
          </cell>
        </row>
        <row r="6983">
          <cell r="A6983" t="str">
            <v>GRMZM2G012861</v>
          </cell>
          <cell r="B6983" t="str">
            <v>GO:0006468GO:0042309GO:0006355GO:0005634GO:0003677GO:0004674GO:0050825GO:0005524GO:0005515GO:0050826GO:0004879GO:0004713</v>
          </cell>
        </row>
        <row r="6984">
          <cell r="A6984" t="str">
            <v>GRMZM2G109627</v>
          </cell>
          <cell r="B6984" t="str">
            <v>GO:0045449GO:0003677</v>
          </cell>
        </row>
        <row r="6985">
          <cell r="A6985" t="str">
            <v>GRMZM2G133262</v>
          </cell>
          <cell r="B6985" t="str">
            <v>GO:0006355GO:0000156GO:0000160</v>
          </cell>
        </row>
        <row r="6986">
          <cell r="A6986" t="str">
            <v>GRMZM2G054465</v>
          </cell>
          <cell r="B6986" t="str">
            <v>GO:0000162GO:0030170GO:0004834</v>
          </cell>
        </row>
        <row r="6987">
          <cell r="A6987" t="str">
            <v>AC233888.1_FG002</v>
          </cell>
          <cell r="B6987" t="str">
            <v>GO:0008270GO:0005622</v>
          </cell>
        </row>
        <row r="6988">
          <cell r="A6988" t="str">
            <v>GRMZM2G060940</v>
          </cell>
          <cell r="B6988" t="str">
            <v>GO:0005506GO:0016491</v>
          </cell>
        </row>
        <row r="6989">
          <cell r="A6989" t="str">
            <v>GRMZM2G057116</v>
          </cell>
          <cell r="B6989" t="str">
            <v>GO:0003700GO:0043565GO:0005634GO:0045449</v>
          </cell>
        </row>
        <row r="6990">
          <cell r="A6990" t="str">
            <v>GRMZM2G114793</v>
          </cell>
          <cell r="B6990" t="str">
            <v>GO:0005524</v>
          </cell>
        </row>
        <row r="6991">
          <cell r="A6991" t="str">
            <v>GRMZM2G106344</v>
          </cell>
          <cell r="B6991" t="str">
            <v>GO:0007242</v>
          </cell>
        </row>
        <row r="6992">
          <cell r="A6992" t="str">
            <v>GRMZM2G019056</v>
          </cell>
          <cell r="B6992" t="str">
            <v>GO:0031072GO:0006457GO:0051082</v>
          </cell>
        </row>
        <row r="6993">
          <cell r="A6993" t="str">
            <v>GRMZM2G023711</v>
          </cell>
          <cell r="B6993" t="str">
            <v>GO:0045454</v>
          </cell>
        </row>
        <row r="6994">
          <cell r="A6994" t="str">
            <v>GRMZM2G022782</v>
          </cell>
          <cell r="B6994" t="str">
            <v>GO:0005978GO:0004135</v>
          </cell>
        </row>
        <row r="6995">
          <cell r="A6995" t="str">
            <v>GRMZM2G006894</v>
          </cell>
          <cell r="B6995" t="str">
            <v>GO:0006812GO:0016021GO:0006754GO:0015662GO:0005524</v>
          </cell>
        </row>
        <row r="6996">
          <cell r="A6996" t="str">
            <v>GRMZM2G135013</v>
          </cell>
          <cell r="B6996" t="str">
            <v>GO:0004252GO:0006468GO:0005529GO:0007596GO:0004674GO:0005576GO:0004713GO:0006508GO:0005524GO:0048544</v>
          </cell>
        </row>
        <row r="6997">
          <cell r="A6997" t="str">
            <v>GRMZM2G056039</v>
          </cell>
          <cell r="B6997" t="str">
            <v>GO:0005524</v>
          </cell>
        </row>
        <row r="6998">
          <cell r="A6998" t="str">
            <v>GRMZM2G021589</v>
          </cell>
          <cell r="B6998" t="str">
            <v>GO:0016021</v>
          </cell>
        </row>
        <row r="6999">
          <cell r="A6999" t="str">
            <v>GRMZM2G087590</v>
          </cell>
          <cell r="B6999" t="str">
            <v>GO:0050825GO:0042309GO:0050826</v>
          </cell>
        </row>
        <row r="7000">
          <cell r="A7000" t="str">
            <v>GRMZM2G067315</v>
          </cell>
          <cell r="B7000" t="str">
            <v>GO:0004937GO:0006813GO:0016021GO:0051260GO:0005249GO:0007186</v>
          </cell>
        </row>
        <row r="7001">
          <cell r="A7001" t="str">
            <v>GRMZM2G081886</v>
          </cell>
          <cell r="B7001" t="str">
            <v>GO:0006564GO:0006813GO:0051287GO:0008324GO:0004617GO:0016597</v>
          </cell>
        </row>
        <row r="7002">
          <cell r="A7002" t="str">
            <v>GRMZM2G117007</v>
          </cell>
          <cell r="B7002" t="str">
            <v>GO:0016301GO:0008152GO:0005524</v>
          </cell>
        </row>
        <row r="7003">
          <cell r="A7003" t="str">
            <v>GRMZM2G050450</v>
          </cell>
          <cell r="B7003" t="str">
            <v>GO:0016747</v>
          </cell>
        </row>
        <row r="7004">
          <cell r="A7004" t="str">
            <v>GRMZM2G012546</v>
          </cell>
          <cell r="B7004" t="str">
            <v>GO:0016787GO:0008152</v>
          </cell>
        </row>
        <row r="7005">
          <cell r="A7005" t="str">
            <v>GRMZM2G036783</v>
          </cell>
          <cell r="B7005" t="str">
            <v>GO:0003824GO:0009058GO:0006541</v>
          </cell>
        </row>
        <row r="7006">
          <cell r="A7006" t="str">
            <v>GRMZM2G099467</v>
          </cell>
          <cell r="B7006" t="str">
            <v>GO:0005506GO:0016491</v>
          </cell>
        </row>
        <row r="7007">
          <cell r="A7007" t="str">
            <v>GRMZM2G427815</v>
          </cell>
          <cell r="B7007" t="str">
            <v>GO:0004601GO:0006979GO:0020037GO:0009055</v>
          </cell>
        </row>
        <row r="7008">
          <cell r="A7008" t="str">
            <v>GRMZM2G136571</v>
          </cell>
          <cell r="B7008" t="str">
            <v>GO:0003824GO:0016021GO:0004969GO:0007186</v>
          </cell>
        </row>
        <row r="7009">
          <cell r="A7009" t="str">
            <v>GRMZM2G063961</v>
          </cell>
          <cell r="B7009" t="str">
            <v>GO:0004674GO:0006468GO:0004713GO:0005524</v>
          </cell>
        </row>
        <row r="7010">
          <cell r="A7010" t="str">
            <v>GRMZM2G353734</v>
          </cell>
          <cell r="B7010" t="str">
            <v>GO:0005840GO:0003735GO:0050825GO:0042309GO:0050826GO:0006412</v>
          </cell>
        </row>
        <row r="7011">
          <cell r="A7011" t="str">
            <v>GRMZM2G048192</v>
          </cell>
          <cell r="B7011" t="str">
            <v>GO:0005515</v>
          </cell>
        </row>
        <row r="7012">
          <cell r="A7012" t="str">
            <v>GRMZM2G062613</v>
          </cell>
          <cell r="B7012" t="str">
            <v>GO:0003824</v>
          </cell>
        </row>
        <row r="7013">
          <cell r="A7013" t="str">
            <v>GRMZM2G101852</v>
          </cell>
          <cell r="B7013" t="str">
            <v>GO:0005634GO:0006511GO:0008270GO:0005515GO:0007275</v>
          </cell>
        </row>
        <row r="7014">
          <cell r="A7014" t="str">
            <v>GRMZM2G025885</v>
          </cell>
          <cell r="B7014" t="str">
            <v>GO:0009239GO:0005488GO:0004022GO:0008667</v>
          </cell>
        </row>
        <row r="7015">
          <cell r="A7015" t="str">
            <v>GRMZM2G414315</v>
          </cell>
          <cell r="B7015" t="str">
            <v>GO:0003700GO:0043565GO:0005634GO:0045449</v>
          </cell>
        </row>
        <row r="7016">
          <cell r="A7016" t="str">
            <v>GRMZM2G025491</v>
          </cell>
          <cell r="B7016" t="str">
            <v>GO:0006835GO:0016020GO:0017153GO:0004190GO:0006508</v>
          </cell>
        </row>
        <row r="7017">
          <cell r="A7017" t="str">
            <v>GRMZM2G360023</v>
          </cell>
          <cell r="B7017" t="str">
            <v>GO:0005840GO:0003735GO:0050825GO:0042309GO:0050826GO:0006412</v>
          </cell>
        </row>
        <row r="7018">
          <cell r="A7018" t="str">
            <v>GRMZM2G010044</v>
          </cell>
          <cell r="B7018" t="str">
            <v>GO:0008652GO:0016836GO:0051539</v>
          </cell>
        </row>
        <row r="7019">
          <cell r="A7019" t="str">
            <v>GRMZM2G177104</v>
          </cell>
          <cell r="B7019" t="str">
            <v>GO:0016491</v>
          </cell>
        </row>
        <row r="7020">
          <cell r="A7020" t="str">
            <v>GRMZM2G076987</v>
          </cell>
          <cell r="B7020" t="str">
            <v>GO:0004674GO:0006468GO:0004713GO:0005524</v>
          </cell>
        </row>
        <row r="7021">
          <cell r="A7021" t="str">
            <v>GRMZM2G124421</v>
          </cell>
          <cell r="B7021" t="str">
            <v>GO:0043565GO:0005622</v>
          </cell>
        </row>
        <row r="7022">
          <cell r="A7022" t="str">
            <v>GRMZM2G135498</v>
          </cell>
          <cell r="B7022" t="str">
            <v>GO:0006633GO:0016747</v>
          </cell>
        </row>
        <row r="7023">
          <cell r="A7023" t="str">
            <v>GRMZM2G349665</v>
          </cell>
          <cell r="B7023" t="str">
            <v>GO:0004674GO:0006468GO:0005524GO:0005515GO:0004713</v>
          </cell>
        </row>
        <row r="7024">
          <cell r="A7024" t="str">
            <v>GRMZM2G073535</v>
          </cell>
          <cell r="B7024" t="str">
            <v>GO:0006413GO:0003743</v>
          </cell>
        </row>
        <row r="7025">
          <cell r="A7025" t="str">
            <v>GRMZM2G166218</v>
          </cell>
          <cell r="B7025" t="str">
            <v>GO:0016021GO:0007186GO:0005199</v>
          </cell>
        </row>
        <row r="7026">
          <cell r="A7026" t="str">
            <v>GRMZM2G177242</v>
          </cell>
          <cell r="B7026" t="str">
            <v>GO:0050825GO:0042309GO:0050826</v>
          </cell>
        </row>
        <row r="7027">
          <cell r="A7027" t="str">
            <v>GRMZM2G099363</v>
          </cell>
          <cell r="B7027" t="str">
            <v>GO:0008171</v>
          </cell>
        </row>
        <row r="7028">
          <cell r="A7028" t="str">
            <v>GRMZM2G170120</v>
          </cell>
          <cell r="B7028" t="str">
            <v>GO:0004674GO:0006468GO:0004713GO:0005524GO:0007165</v>
          </cell>
        </row>
        <row r="7029">
          <cell r="A7029" t="str">
            <v>GRMZM2G145374</v>
          </cell>
          <cell r="B7029" t="str">
            <v>GO:0008270GO:0005515</v>
          </cell>
        </row>
        <row r="7030">
          <cell r="A7030" t="str">
            <v>GRMZM2G048904</v>
          </cell>
          <cell r="B7030" t="str">
            <v>GO:0006629GO:0016788</v>
          </cell>
        </row>
        <row r="7031">
          <cell r="A7031" t="str">
            <v>GRMZM2G055802</v>
          </cell>
          <cell r="B7031" t="str">
            <v>GO:0005576GO:0004867</v>
          </cell>
        </row>
        <row r="7032">
          <cell r="A7032" t="str">
            <v>GRMZM2G430362</v>
          </cell>
          <cell r="B7032" t="str">
            <v>GO:0003676GO:0005524GO:0004386</v>
          </cell>
        </row>
        <row r="7033">
          <cell r="A7033" t="str">
            <v>GRMZM2G303419</v>
          </cell>
          <cell r="B7033" t="str">
            <v>GO:0008168</v>
          </cell>
        </row>
        <row r="7034">
          <cell r="A7034" t="str">
            <v>GRMZM2G142383</v>
          </cell>
          <cell r="B7034" t="str">
            <v>GO:0016773GO:0005524</v>
          </cell>
        </row>
        <row r="7035">
          <cell r="A7035" t="str">
            <v>GRMZM2G033846</v>
          </cell>
          <cell r="B7035" t="str">
            <v>GO:0005509</v>
          </cell>
        </row>
        <row r="7036">
          <cell r="A7036" t="str">
            <v>GRMZM2G049057</v>
          </cell>
          <cell r="B7036" t="str">
            <v>GO:0050825GO:0042309GO:0050826</v>
          </cell>
        </row>
        <row r="7037">
          <cell r="A7037" t="str">
            <v>GRMZM2G164036</v>
          </cell>
          <cell r="B7037" t="str">
            <v>GO:0004497GO:0020037GO:0009055</v>
          </cell>
        </row>
        <row r="7038">
          <cell r="A7038" t="str">
            <v>GRMZM2G467756</v>
          </cell>
          <cell r="B7038" t="str">
            <v>GO:0008270GO:0005515</v>
          </cell>
        </row>
        <row r="7039">
          <cell r="A7039" t="str">
            <v>GRMZM2G303149</v>
          </cell>
          <cell r="B7039" t="str">
            <v>GO:0031072GO:0006457GO:0051082</v>
          </cell>
        </row>
        <row r="7040">
          <cell r="A7040" t="str">
            <v>GRMZM2G112524</v>
          </cell>
          <cell r="B7040" t="str">
            <v>GO:0006952GO:0009607</v>
          </cell>
        </row>
        <row r="7041">
          <cell r="A7041" t="str">
            <v>GRMZM2G126062</v>
          </cell>
          <cell r="B7041" t="str">
            <v>GO:0055114GO:0016491</v>
          </cell>
        </row>
        <row r="7042">
          <cell r="A7042" t="str">
            <v>GRMZM2G084576</v>
          </cell>
          <cell r="B7042" t="str">
            <v>GO:0005634GO:0045449GO:0030528</v>
          </cell>
        </row>
        <row r="7043">
          <cell r="A7043" t="str">
            <v>GRMZM2G355752</v>
          </cell>
          <cell r="B7043" t="str">
            <v>GO:0016020GO:0009765</v>
          </cell>
        </row>
        <row r="7044">
          <cell r="A7044" t="str">
            <v>GRMZM2G007939</v>
          </cell>
          <cell r="B7044" t="str">
            <v>GO:0016161GO:0000272</v>
          </cell>
        </row>
        <row r="7045">
          <cell r="A7045" t="str">
            <v>GRMZM2G337706</v>
          </cell>
          <cell r="B7045" t="str">
            <v>GO:0045454GO:0015035GO:0009055</v>
          </cell>
        </row>
        <row r="7046">
          <cell r="A7046" t="str">
            <v>GRMZM2G181030</v>
          </cell>
          <cell r="B7046" t="str">
            <v>GO:0003677</v>
          </cell>
        </row>
        <row r="7047">
          <cell r="A7047" t="str">
            <v>GRMZM2G345622</v>
          </cell>
          <cell r="B7047" t="str">
            <v>GO:0006508GO:0043086GO:0042802GO:0004252</v>
          </cell>
        </row>
        <row r="7048">
          <cell r="A7048" t="str">
            <v>GRMZM2G126541</v>
          </cell>
          <cell r="B7048" t="str">
            <v>GO:0006508GO:0004185</v>
          </cell>
        </row>
        <row r="7049">
          <cell r="A7049" t="str">
            <v>GRMZM2G440208</v>
          </cell>
          <cell r="B7049" t="str">
            <v>GO:0050661GO:0006098GO:0004616</v>
          </cell>
        </row>
        <row r="7050">
          <cell r="A7050" t="str">
            <v>GRMZM2G050216</v>
          </cell>
          <cell r="B7050" t="str">
            <v>GO:0008270GO:0005515</v>
          </cell>
        </row>
        <row r="7051">
          <cell r="A7051" t="str">
            <v>GRMZM2G044074</v>
          </cell>
          <cell r="B7051" t="str">
            <v>GO:0004853GO:0006779</v>
          </cell>
        </row>
        <row r="7052">
          <cell r="A7052" t="str">
            <v>GRMZM2G362298</v>
          </cell>
          <cell r="B7052" t="str">
            <v>GO:0016747</v>
          </cell>
        </row>
        <row r="7053">
          <cell r="A7053" t="str">
            <v>GRMZM2G181607</v>
          </cell>
          <cell r="B7053" t="str">
            <v>GO:0045454</v>
          </cell>
        </row>
        <row r="7054">
          <cell r="A7054" t="str">
            <v>GRMZM2G139284</v>
          </cell>
          <cell r="B7054" t="str">
            <v>GO:0003677</v>
          </cell>
        </row>
        <row r="7055">
          <cell r="A7055" t="str">
            <v>GRMZM2G121360</v>
          </cell>
          <cell r="B7055" t="str">
            <v>GO:0046872GO:0030001</v>
          </cell>
        </row>
        <row r="7056">
          <cell r="A7056" t="str">
            <v>GRMZM2G036861</v>
          </cell>
          <cell r="B7056" t="str">
            <v>GO:0004107GO:0009073</v>
          </cell>
        </row>
        <row r="7057">
          <cell r="A7057" t="str">
            <v>GRMZM2G000093</v>
          </cell>
          <cell r="B7057" t="str">
            <v>GO:0005975GO:0004518GO:0004553GO:0005515GO:0003677GO:0006259</v>
          </cell>
        </row>
        <row r="7058">
          <cell r="A7058" t="str">
            <v>GRMZM2G176430</v>
          </cell>
          <cell r="B7058" t="str">
            <v>GO:0016021GO:0006814GO:0006835GO:0015137GO:0015746GO:0017153</v>
          </cell>
        </row>
        <row r="7059">
          <cell r="A7059" t="str">
            <v>GRMZM2G310947</v>
          </cell>
          <cell r="B7059" t="str">
            <v>GO:0006281GO:0003684GO:0005524GO:0017111</v>
          </cell>
        </row>
        <row r="7060">
          <cell r="A7060" t="str">
            <v>GRMZM2G063244</v>
          </cell>
          <cell r="B7060" t="str">
            <v>GO:0003755</v>
          </cell>
        </row>
        <row r="7061">
          <cell r="A7061" t="str">
            <v>GRMZM2G348846</v>
          </cell>
          <cell r="B7061" t="str">
            <v>GO:0050660GO:0016491</v>
          </cell>
        </row>
        <row r="7062">
          <cell r="A7062" t="str">
            <v>GRMZM2G004699</v>
          </cell>
          <cell r="B7062" t="str">
            <v>GO:0005618GO:0048046GO:0016762GO:0006073GO:0004553</v>
          </cell>
        </row>
        <row r="7063">
          <cell r="A7063" t="str">
            <v>GRMZM2G134976</v>
          </cell>
          <cell r="B7063" t="str">
            <v>GO:0050825GO:0042309GO:0050826</v>
          </cell>
        </row>
        <row r="7064">
          <cell r="A7064" t="str">
            <v>GRMZM2G157027</v>
          </cell>
          <cell r="B7064" t="str">
            <v>GO:0046872GO:0003993</v>
          </cell>
        </row>
        <row r="7065">
          <cell r="A7065" t="str">
            <v>GRMZM2G367650</v>
          </cell>
          <cell r="B7065" t="str">
            <v>GO:0008270GO:0005515</v>
          </cell>
        </row>
        <row r="7066">
          <cell r="A7066" t="str">
            <v>GRMZM2G025832</v>
          </cell>
          <cell r="B7066" t="str">
            <v>GO:0004497GO:0020037GO:0009055</v>
          </cell>
        </row>
        <row r="7067">
          <cell r="A7067" t="str">
            <v>GRMZM2G149535</v>
          </cell>
          <cell r="B7067" t="str">
            <v>GO:0033862GO:0006207GO:0004349GO:0006561GO:0005737</v>
          </cell>
        </row>
        <row r="7068">
          <cell r="A7068" t="str">
            <v>GRMZM2G007801</v>
          </cell>
          <cell r="B7068" t="str">
            <v>GO:0004674GO:0006468GO:0004713GO:0005524</v>
          </cell>
        </row>
        <row r="7069">
          <cell r="A7069" t="str">
            <v>GRMZM2G390436</v>
          </cell>
          <cell r="B7069" t="str">
            <v>GO:0008270GO:0005515</v>
          </cell>
        </row>
        <row r="7070">
          <cell r="A7070" t="str">
            <v>GRMZM2G039993</v>
          </cell>
          <cell r="B7070" t="str">
            <v>GO:0008168</v>
          </cell>
        </row>
        <row r="7071">
          <cell r="A7071" t="str">
            <v>GRMZM2G305280</v>
          </cell>
          <cell r="B7071" t="str">
            <v>GO:0005840GO:0003735GO:0050825GO:0042309GO:0050826GO:0006412</v>
          </cell>
        </row>
        <row r="7072">
          <cell r="A7072" t="str">
            <v>GRMZM2G317386</v>
          </cell>
          <cell r="B7072" t="str">
            <v>GO:0006508GO:0004222GO:0005578</v>
          </cell>
        </row>
        <row r="7073">
          <cell r="A7073" t="str">
            <v>GRMZM2G129189</v>
          </cell>
          <cell r="B7073" t="str">
            <v>GO:0004568GO:0006032GO:0008061GO:0016998</v>
          </cell>
        </row>
        <row r="7074">
          <cell r="A7074" t="str">
            <v>GRMZM2G115422</v>
          </cell>
          <cell r="B7074" t="str">
            <v>GO:0050825GO:0016747GO:0042309GO:0050826</v>
          </cell>
        </row>
        <row r="7075">
          <cell r="A7075" t="str">
            <v>GRMZM2G102737</v>
          </cell>
          <cell r="B7075" t="str">
            <v>GO:0016020</v>
          </cell>
        </row>
        <row r="7076">
          <cell r="A7076" t="str">
            <v>GRMZM2G125653</v>
          </cell>
          <cell r="B7076" t="str">
            <v>GO:0003700GO:0043565GO:0005634GO:0045449</v>
          </cell>
        </row>
        <row r="7077">
          <cell r="A7077" t="str">
            <v>GRMZM2G105518</v>
          </cell>
          <cell r="B7077" t="str">
            <v>GO:0016020GO:0009765</v>
          </cell>
        </row>
        <row r="7078">
          <cell r="A7078" t="str">
            <v>GRMZM2G173372</v>
          </cell>
          <cell r="B7078" t="str">
            <v>GO:0005634GO:0045449GO:0030528</v>
          </cell>
        </row>
        <row r="7079">
          <cell r="A7079" t="str">
            <v>GRMZM2G124175</v>
          </cell>
          <cell r="B7079" t="str">
            <v>GO:0016491GO:0009055</v>
          </cell>
        </row>
        <row r="7080">
          <cell r="A7080" t="str">
            <v>GRMZM2G055320</v>
          </cell>
          <cell r="B7080" t="str">
            <v>GO:0003824GO:0008152</v>
          </cell>
        </row>
        <row r="7081">
          <cell r="A7081" t="str">
            <v>GRMZM2G009103</v>
          </cell>
          <cell r="B7081" t="str">
            <v>GO:0016020</v>
          </cell>
        </row>
        <row r="7082">
          <cell r="A7082" t="str">
            <v>GRMZM2G304010</v>
          </cell>
          <cell r="B7082" t="str">
            <v>GO:0016567GO:0004842GO:0008270GO:0005515GO:0000151</v>
          </cell>
        </row>
        <row r="7083">
          <cell r="A7083" t="str">
            <v>GRMZM2G341934</v>
          </cell>
          <cell r="B7083" t="str">
            <v>GO:0006879GO:0020037GO:0006979GO:0008199GO:0005576GO:0006826GO:0004601GO:0009055</v>
          </cell>
        </row>
        <row r="7084">
          <cell r="A7084" t="str">
            <v>GRMZM2G112149</v>
          </cell>
          <cell r="B7084" t="str">
            <v>GO:0009086GO:0003871GO:0008270</v>
          </cell>
        </row>
        <row r="7085">
          <cell r="A7085" t="str">
            <v>GRMZM2G469499</v>
          </cell>
          <cell r="B7085" t="str">
            <v>GO:0005488</v>
          </cell>
        </row>
        <row r="7086">
          <cell r="A7086" t="str">
            <v>GRMZM2G087870</v>
          </cell>
          <cell r="B7086" t="str">
            <v>GO:0006464</v>
          </cell>
        </row>
        <row r="7087">
          <cell r="A7087" t="str">
            <v>GRMZM2G092433</v>
          </cell>
          <cell r="B7087" t="str">
            <v>GO:0006865GO:0005840GO:0016020GO:0006412GO:0003735GO:0015171</v>
          </cell>
        </row>
        <row r="7088">
          <cell r="A7088" t="str">
            <v>GRMZM2G074053</v>
          </cell>
          <cell r="B7088" t="str">
            <v>GO:0016020GO:0006865GO:0031177</v>
          </cell>
        </row>
        <row r="7089">
          <cell r="A7089" t="str">
            <v>GRMZM2G098460</v>
          </cell>
          <cell r="B7089" t="str">
            <v>GO:0031072GO:0006457GO:0051082</v>
          </cell>
        </row>
        <row r="7090">
          <cell r="A7090" t="str">
            <v>GRMZM2G127147</v>
          </cell>
          <cell r="B7090" t="str">
            <v>GO:0006468GO:0005524GO:0004672</v>
          </cell>
        </row>
        <row r="7091">
          <cell r="A7091" t="str">
            <v>GRMZM2G034471</v>
          </cell>
          <cell r="B7091" t="str">
            <v>GO:0004497GO:0020037GO:0009055</v>
          </cell>
        </row>
        <row r="7092">
          <cell r="A7092" t="str">
            <v>GRMZM2G174917</v>
          </cell>
          <cell r="B7092" t="str">
            <v>GO:0003700GO:0006355GO:0050825GO:0042309GO:0050826</v>
          </cell>
        </row>
        <row r="7093">
          <cell r="A7093" t="str">
            <v>GRMZM2G125241</v>
          </cell>
          <cell r="B7093" t="str">
            <v>GO:0006566GO:0005524GO:0004413</v>
          </cell>
        </row>
        <row r="7094">
          <cell r="A7094" t="str">
            <v>GRMZM2G136794</v>
          </cell>
          <cell r="B7094" t="str">
            <v>GO:0006865GO:0015904GO:0016021GO:0015520GO:0046677</v>
          </cell>
        </row>
        <row r="7095">
          <cell r="A7095" t="str">
            <v>GRMZM2G090738</v>
          </cell>
          <cell r="B7095" t="str">
            <v>GO:0003735GO:0008097GO:0006412GO:0005840</v>
          </cell>
        </row>
        <row r="7096">
          <cell r="A7096" t="str">
            <v>GRMZM2G104489</v>
          </cell>
          <cell r="B7096" t="str">
            <v>GO:0008270GO:0005622</v>
          </cell>
        </row>
        <row r="7097">
          <cell r="A7097" t="str">
            <v>GRMZM2G039811</v>
          </cell>
          <cell r="B7097" t="str">
            <v>GO:0016021</v>
          </cell>
        </row>
        <row r="7098">
          <cell r="A7098" t="str">
            <v>GRMZM2G171390</v>
          </cell>
          <cell r="B7098" t="str">
            <v>GO:0051537GO:0016705GO:0016740GO:0005506GO:0055114GO:0009055</v>
          </cell>
        </row>
        <row r="7099">
          <cell r="A7099" t="str">
            <v>GRMZM2G106673</v>
          </cell>
          <cell r="B7099" t="str">
            <v>GO:0006355GO:0003677</v>
          </cell>
        </row>
        <row r="7100">
          <cell r="A7100" t="str">
            <v>GRMZM2G093736</v>
          </cell>
          <cell r="B7100" t="str">
            <v>GO:0004674GO:0006468GO:0005529GO:0004713GO:0005524</v>
          </cell>
        </row>
        <row r="7101">
          <cell r="A7101" t="str">
            <v>GRMZM2G171395</v>
          </cell>
          <cell r="B7101" t="str">
            <v>GO:0045449GO:0003677</v>
          </cell>
        </row>
        <row r="7102">
          <cell r="A7102" t="str">
            <v>GRMZM2G093526</v>
          </cell>
          <cell r="B7102" t="str">
            <v>GO:0016829GO:0000287GO:0008152</v>
          </cell>
        </row>
        <row r="7103">
          <cell r="A7103" t="str">
            <v>GRMZM2G121312</v>
          </cell>
          <cell r="B7103" t="str">
            <v>GO:0005515</v>
          </cell>
        </row>
        <row r="7104">
          <cell r="A7104" t="str">
            <v>AC209987.4_FG010</v>
          </cell>
          <cell r="B7104" t="str">
            <v>GO:0005507GO:0009055</v>
          </cell>
        </row>
        <row r="7105">
          <cell r="A7105" t="str">
            <v>GRMZM2G095826</v>
          </cell>
          <cell r="B7105" t="str">
            <v>GO:0022900GO:0051537GO:0009055</v>
          </cell>
        </row>
        <row r="7106">
          <cell r="A7106" t="str">
            <v>GRMZM2G128971</v>
          </cell>
          <cell r="B7106" t="str">
            <v>GO:0006629GO:0016491</v>
          </cell>
        </row>
        <row r="7107">
          <cell r="A7107" t="str">
            <v>GRMZM2G106950</v>
          </cell>
          <cell r="B7107" t="str">
            <v>GO:0004425GO:0006568</v>
          </cell>
        </row>
        <row r="7108">
          <cell r="A7108" t="str">
            <v>GRMZM2G066867</v>
          </cell>
          <cell r="B7108" t="str">
            <v>GO:0004674GO:0006468GO:0004713GO:0005524</v>
          </cell>
        </row>
        <row r="7109">
          <cell r="A7109" t="str">
            <v>GRMZM2G337191</v>
          </cell>
          <cell r="B7109" t="str">
            <v>GO:0050825GO:0042309GO:0050826</v>
          </cell>
        </row>
        <row r="7110">
          <cell r="A7110" t="str">
            <v>GRMZM2G085078</v>
          </cell>
          <cell r="B7110" t="str">
            <v>GO:0050661GO:0050660GO:0004499GO:0006537GO:0045181GO:0010181GO:0005506GO:0009055</v>
          </cell>
        </row>
        <row r="7111">
          <cell r="A7111" t="str">
            <v>GRMZM2G175995</v>
          </cell>
          <cell r="B7111" t="str">
            <v>GO:0050825GO:0042309GO:0050826</v>
          </cell>
        </row>
        <row r="7112">
          <cell r="A7112" t="str">
            <v>GRMZM2G146437</v>
          </cell>
          <cell r="B7112" t="str">
            <v>GO:0016765</v>
          </cell>
        </row>
        <row r="7113">
          <cell r="A7113" t="str">
            <v>GRMZM2G014729</v>
          </cell>
          <cell r="B7113" t="str">
            <v>GO:0003824GO:0005992</v>
          </cell>
        </row>
        <row r="7114">
          <cell r="A7114" t="str">
            <v>GRMZM2G037386</v>
          </cell>
          <cell r="B7114" t="str">
            <v>GO:0004674GO:0006468GO:0004713GO:0005524</v>
          </cell>
        </row>
        <row r="7115">
          <cell r="A7115" t="str">
            <v>GRMZM2G121700</v>
          </cell>
          <cell r="B7115" t="str">
            <v>GO:0016491</v>
          </cell>
        </row>
        <row r="7116">
          <cell r="A7116" t="str">
            <v>GRMZM2G468661</v>
          </cell>
          <cell r="B7116" t="str">
            <v>GO:0016757</v>
          </cell>
        </row>
        <row r="7117">
          <cell r="A7117" t="str">
            <v>GRMZM2G065928</v>
          </cell>
          <cell r="B7117" t="str">
            <v>GO:0004497GO:0020037GO:0009055</v>
          </cell>
        </row>
        <row r="7118">
          <cell r="A7118" t="str">
            <v>GRMZM2G163809</v>
          </cell>
          <cell r="B7118" t="str">
            <v>GO:0016765GO:0008299GO:0009842GO:0015979</v>
          </cell>
        </row>
        <row r="7119">
          <cell r="A7119" t="str">
            <v>GRMZM2G076239</v>
          </cell>
          <cell r="B7119" t="str">
            <v>GO:0016491GO:0010181GO:0009228GO:0009055</v>
          </cell>
        </row>
        <row r="7120">
          <cell r="A7120" t="str">
            <v>GRMZM2G145756</v>
          </cell>
          <cell r="B7120" t="str">
            <v>GO:0004674GO:0006468GO:0004713GO:0005524</v>
          </cell>
        </row>
        <row r="7121">
          <cell r="A7121" t="str">
            <v>GRMZM2G170400</v>
          </cell>
          <cell r="B7121" t="str">
            <v>GO:0008825GO:0008610</v>
          </cell>
        </row>
        <row r="7122">
          <cell r="A7122" t="str">
            <v>GRMZM2G177050</v>
          </cell>
          <cell r="B7122" t="str">
            <v>GO:0004674GO:0006468GO:0004713GO:0005524GO:0007165</v>
          </cell>
        </row>
        <row r="7123">
          <cell r="A7123" t="str">
            <v>GRMZM2G171279</v>
          </cell>
          <cell r="B7123" t="str">
            <v>GO:0006813GO:0016020GO:0005249</v>
          </cell>
        </row>
        <row r="7124">
          <cell r="A7124" t="str">
            <v>GRMZM2G113761</v>
          </cell>
          <cell r="B7124" t="str">
            <v>GO:0005618GO:0048046GO:0016762GO:0006073GO:0004553</v>
          </cell>
        </row>
        <row r="7125">
          <cell r="A7125" t="str">
            <v>GRMZM2G410991</v>
          </cell>
          <cell r="B7125" t="str">
            <v>GO:0016998</v>
          </cell>
        </row>
        <row r="7126">
          <cell r="A7126" t="str">
            <v>GRMZM2G364982</v>
          </cell>
          <cell r="B7126" t="str">
            <v>GO:0008168GO:0008152</v>
          </cell>
        </row>
        <row r="7127">
          <cell r="A7127" t="str">
            <v>GRMZM2G316030</v>
          </cell>
          <cell r="B7127" t="str">
            <v>GO:0016758GO:0008152</v>
          </cell>
        </row>
        <row r="7128">
          <cell r="A7128" t="str">
            <v>GRMZM2G403076</v>
          </cell>
          <cell r="B7128" t="str">
            <v>GO:0050660GO:0016491</v>
          </cell>
        </row>
        <row r="7129">
          <cell r="A7129" t="str">
            <v>GRMZM2G167613</v>
          </cell>
          <cell r="B7129" t="str">
            <v>GO:0008270GO:0055114GO:0016491</v>
          </cell>
        </row>
        <row r="7130">
          <cell r="A7130" t="str">
            <v>GRMZM2G044359</v>
          </cell>
          <cell r="B7130" t="str">
            <v>GO:0009416GO:0005515GO:0004871</v>
          </cell>
        </row>
        <row r="7131">
          <cell r="A7131" t="str">
            <v>GRMZM2G129954</v>
          </cell>
          <cell r="B7131" t="str">
            <v>GO:0006355GO:0000156GO:0000160</v>
          </cell>
        </row>
        <row r="7132">
          <cell r="A7132" t="str">
            <v>GRMZM2G467184</v>
          </cell>
          <cell r="B7132" t="str">
            <v>GO:0005509</v>
          </cell>
        </row>
        <row r="7133">
          <cell r="A7133" t="str">
            <v>GRMZM2G070315</v>
          </cell>
          <cell r="B7133" t="str">
            <v>GO:0016311GO:0004725</v>
          </cell>
        </row>
        <row r="7134">
          <cell r="A7134" t="str">
            <v>GRMZM2G412846</v>
          </cell>
          <cell r="B7134" t="str">
            <v>GO:0042302</v>
          </cell>
        </row>
        <row r="7135">
          <cell r="A7135" t="str">
            <v>GRMZM2G156729</v>
          </cell>
          <cell r="B7135" t="str">
            <v>GO:0008415GO:0016021GO:0007186GO:0008152</v>
          </cell>
        </row>
        <row r="7136">
          <cell r="A7136" t="str">
            <v>GRMZM2G156861</v>
          </cell>
          <cell r="B7136" t="str">
            <v>GO:0005506GO:0016165GO:0009055</v>
          </cell>
        </row>
        <row r="7137">
          <cell r="A7137" t="str">
            <v>GRMZM2G035103</v>
          </cell>
          <cell r="B7137" t="str">
            <v>GO:0008270GO:0005622</v>
          </cell>
        </row>
        <row r="7138">
          <cell r="A7138" t="str">
            <v>GRMZM2G084757</v>
          </cell>
          <cell r="B7138" t="str">
            <v>GO:0003735GO:0006412GO:0005840</v>
          </cell>
        </row>
        <row r="7139">
          <cell r="A7139" t="str">
            <v>GRMZM2G167253</v>
          </cell>
          <cell r="B7139" t="str">
            <v>GO:0004674GO:0006468GO:0005524GO:0005515GO:0004713</v>
          </cell>
        </row>
        <row r="7140">
          <cell r="A7140" t="str">
            <v>GRMZM2G094353</v>
          </cell>
          <cell r="B7140" t="str">
            <v>GO:0008270GO:0005622</v>
          </cell>
        </row>
        <row r="7141">
          <cell r="A7141" t="str">
            <v>GRMZM2G039278</v>
          </cell>
          <cell r="B7141" t="str">
            <v>GO:0004497GO:0020037GO:0009055</v>
          </cell>
        </row>
        <row r="7142">
          <cell r="A7142" t="str">
            <v>GRMZM2G033644</v>
          </cell>
          <cell r="B7142" t="str">
            <v>GO:0008415GO:0005515GO:0008152</v>
          </cell>
        </row>
        <row r="7143">
          <cell r="A7143" t="str">
            <v>GRMZM2G136534</v>
          </cell>
          <cell r="B7143" t="str">
            <v>GO:0004601GO:0006979GO:0020037GO:0009055</v>
          </cell>
        </row>
        <row r="7144">
          <cell r="A7144" t="str">
            <v>GRMZM2G391042</v>
          </cell>
          <cell r="B7144" t="str">
            <v>GO:0005388GO:0016020GO:0006754GO:0006816GO:0005524</v>
          </cell>
        </row>
        <row r="7145">
          <cell r="A7145" t="str">
            <v>GRMZM2G170281</v>
          </cell>
          <cell r="B7145" t="str">
            <v>GO:0016021</v>
          </cell>
        </row>
        <row r="7146">
          <cell r="A7146" t="str">
            <v>GRMZM2G102560</v>
          </cell>
          <cell r="B7146" t="str">
            <v>GO:0003824</v>
          </cell>
        </row>
        <row r="7147">
          <cell r="A7147" t="str">
            <v>GRMZM2G082191</v>
          </cell>
          <cell r="B7147" t="str">
            <v>GO:0006468GO:0004674GO:0009058GO:0004713GO:0005515GO:0005524GO:0030170</v>
          </cell>
        </row>
        <row r="7148">
          <cell r="A7148" t="str">
            <v>GRMZM2G075974</v>
          </cell>
          <cell r="B7148" t="str">
            <v>GO:0006541GO:0003824GO:0009058GO:0050825GO:0042309GO:0050826</v>
          </cell>
        </row>
        <row r="7149">
          <cell r="A7149" t="str">
            <v>GRMZM2G130375</v>
          </cell>
          <cell r="B7149" t="str">
            <v>GO:0004565GO:0009341GO:0005975GO:0005529</v>
          </cell>
        </row>
        <row r="7150">
          <cell r="A7150" t="str">
            <v>GRMZM2G005433</v>
          </cell>
          <cell r="B7150" t="str">
            <v>GO:0009654GO:0015979</v>
          </cell>
        </row>
        <row r="7151">
          <cell r="A7151" t="str">
            <v>GRMZM2G053779</v>
          </cell>
          <cell r="B7151" t="str">
            <v>GO:0005507GO:0009055</v>
          </cell>
        </row>
        <row r="7152">
          <cell r="A7152" t="str">
            <v>GRMZM2G105221</v>
          </cell>
          <cell r="B7152" t="str">
            <v>GO:0016757</v>
          </cell>
        </row>
        <row r="7153">
          <cell r="A7153" t="str">
            <v>GRMZM2G134023</v>
          </cell>
          <cell r="B7153" t="str">
            <v>GO:0008270GO:0005515</v>
          </cell>
        </row>
        <row r="7154">
          <cell r="A7154" t="str">
            <v>GRMZM2G032766</v>
          </cell>
          <cell r="B7154" t="str">
            <v>GO:0016020GO:0051260</v>
          </cell>
        </row>
        <row r="7155">
          <cell r="A7155" t="str">
            <v>GRMZM2G046601</v>
          </cell>
          <cell r="B7155" t="str">
            <v>GO:0004356GO:0006542</v>
          </cell>
        </row>
        <row r="7156">
          <cell r="A7156" t="str">
            <v>GRMZM2G168108</v>
          </cell>
          <cell r="B7156" t="str">
            <v>GO:0016021</v>
          </cell>
        </row>
        <row r="7157">
          <cell r="A7157" t="str">
            <v>GRMZM2G032763</v>
          </cell>
          <cell r="B7157" t="str">
            <v>GO:0006413GO:0045454GO:0009055GO:0015035GO:0003743</v>
          </cell>
        </row>
        <row r="7158">
          <cell r="A7158" t="str">
            <v>GRMZM2G051952</v>
          </cell>
          <cell r="B7158" t="str">
            <v>GO:0006355GO:0005634GO:0004879GO:0003677</v>
          </cell>
        </row>
        <row r="7159">
          <cell r="A7159" t="str">
            <v>GRMZM2G157749</v>
          </cell>
          <cell r="B7159" t="str">
            <v>GO:0004932GO:0016020</v>
          </cell>
        </row>
        <row r="7160">
          <cell r="A7160" t="str">
            <v>GRMZM2G177812</v>
          </cell>
          <cell r="B7160" t="str">
            <v>GO:0016887GO:0005328GO:0005524GO:0005887GO:0006836</v>
          </cell>
        </row>
        <row r="7161">
          <cell r="A7161" t="str">
            <v>GRMZM2G057386</v>
          </cell>
          <cell r="B7161" t="str">
            <v>GO:0003700GO:0006355</v>
          </cell>
        </row>
        <row r="7162">
          <cell r="A7162" t="str">
            <v>GRMZM2G128333</v>
          </cell>
          <cell r="B7162" t="str">
            <v>GO:0006508GO:0004190</v>
          </cell>
        </row>
        <row r="7163">
          <cell r="A7163" t="str">
            <v>GRMZM2G337048</v>
          </cell>
          <cell r="B7163" t="str">
            <v>GO:0016758GO:0008152</v>
          </cell>
        </row>
        <row r="7164">
          <cell r="A7164" t="str">
            <v>GRMZM2G012891</v>
          </cell>
          <cell r="B7164" t="str">
            <v>GO:0050825GO:0042309GO:0050826</v>
          </cell>
        </row>
        <row r="7165">
          <cell r="A7165" t="str">
            <v>GRMZM2G055698</v>
          </cell>
          <cell r="B7165" t="str">
            <v>GO:0016021</v>
          </cell>
        </row>
        <row r="7166">
          <cell r="A7166" t="str">
            <v>GRMZM2G055699</v>
          </cell>
          <cell r="B7166" t="str">
            <v>GO:0005975GO:0004553</v>
          </cell>
        </row>
        <row r="7167">
          <cell r="A7167" t="str">
            <v>GRMZM2G172491</v>
          </cell>
          <cell r="B7167" t="str">
            <v>GO:0004497GO:0020037GO:0009055</v>
          </cell>
        </row>
        <row r="7168">
          <cell r="A7168" t="str">
            <v>GRMZM2G139250</v>
          </cell>
          <cell r="B7168" t="str">
            <v>GO:0005634GO:0003677GO:0006355GO:0050825GO:0042309GO:0050826GO:0004879</v>
          </cell>
        </row>
        <row r="7169">
          <cell r="A7169" t="str">
            <v>GRMZM2G398055</v>
          </cell>
          <cell r="B7169" t="str">
            <v>GO:0016021GO:0007186GO:0004930</v>
          </cell>
        </row>
        <row r="7170">
          <cell r="A7170" t="str">
            <v>GRMZM2G004528</v>
          </cell>
          <cell r="B7170" t="str">
            <v>GO:0004512GO:0006021GO:0005488GO:0008654</v>
          </cell>
        </row>
        <row r="7171">
          <cell r="A7171" t="str">
            <v>GRMZM2G072518</v>
          </cell>
          <cell r="B7171" t="str">
            <v>GO:0005515</v>
          </cell>
        </row>
        <row r="7172">
          <cell r="A7172" t="str">
            <v>GRMZM2G085176</v>
          </cell>
          <cell r="B7172" t="str">
            <v>GO:0006629GO:0016788</v>
          </cell>
        </row>
        <row r="7173">
          <cell r="A7173" t="str">
            <v>GRMZM2G098643</v>
          </cell>
          <cell r="B7173" t="str">
            <v>GO:0016021GO:0050825GO:0042309GO:0050826</v>
          </cell>
        </row>
        <row r="7174">
          <cell r="A7174" t="str">
            <v>GRMZM2G123843</v>
          </cell>
          <cell r="B7174" t="str">
            <v>GO:0015031GO:0007030GO:0016020</v>
          </cell>
        </row>
        <row r="7175">
          <cell r="A7175" t="str">
            <v>GRMZM2G100583</v>
          </cell>
          <cell r="B7175" t="str">
            <v>GO:0045449GO:0003677</v>
          </cell>
        </row>
        <row r="7176">
          <cell r="A7176" t="str">
            <v>GRMZM2G085854</v>
          </cell>
          <cell r="B7176" t="str">
            <v>GO:0016758GO:0008152</v>
          </cell>
        </row>
        <row r="7177">
          <cell r="A7177" t="str">
            <v>GRMZM2G035749</v>
          </cell>
          <cell r="B7177" t="str">
            <v>GO:0003735GO:0016161GO:0000272GO:0006412GO:0005840</v>
          </cell>
        </row>
        <row r="7178">
          <cell r="A7178" t="str">
            <v>GRMZM2G093776</v>
          </cell>
          <cell r="B7178" t="str">
            <v>GO:0006508GO:0004197</v>
          </cell>
        </row>
        <row r="7179">
          <cell r="A7179" t="str">
            <v>GRMZM2G099454</v>
          </cell>
          <cell r="B7179" t="str">
            <v>GO:0004568GO:0006032GO:0016998</v>
          </cell>
        </row>
        <row r="7180">
          <cell r="A7180" t="str">
            <v>GRMZM2G178917</v>
          </cell>
          <cell r="B7180" t="str">
            <v>GO:0016491GO:0009055GO:0008825GO:0008610</v>
          </cell>
        </row>
        <row r="7181">
          <cell r="A7181" t="str">
            <v>GRMZM2G103647</v>
          </cell>
          <cell r="B7181" t="str">
            <v>GO:0003700GO:0006355GO:0046983GO:0005634GO:0043565</v>
          </cell>
        </row>
        <row r="7182">
          <cell r="A7182" t="str">
            <v>GRMZM2G441347</v>
          </cell>
          <cell r="B7182" t="str">
            <v>GO:0005737GO:0009058GO:0016841GO:0016211GO:0006559</v>
          </cell>
        </row>
        <row r="7183">
          <cell r="A7183" t="str">
            <v>GRMZM2G157113</v>
          </cell>
          <cell r="B7183" t="str">
            <v>GO:0003824GO:0008152</v>
          </cell>
        </row>
        <row r="7184">
          <cell r="A7184" t="str">
            <v>GRMZM2G127546</v>
          </cell>
          <cell r="B7184" t="str">
            <v>GO:0003824GO:0050825GO:0042309GO:0008152GO:0050826</v>
          </cell>
        </row>
        <row r="7185">
          <cell r="A7185" t="str">
            <v>GRMZM2G081907</v>
          </cell>
          <cell r="B7185" t="str">
            <v>GO:0005488</v>
          </cell>
        </row>
        <row r="7186">
          <cell r="A7186" t="str">
            <v>GRMZM2G019335</v>
          </cell>
          <cell r="B7186" t="str">
            <v>GO:0008270GO:0005622</v>
          </cell>
        </row>
        <row r="7187">
          <cell r="A7187" t="str">
            <v>GRMZM2G142870</v>
          </cell>
          <cell r="B7187" t="str">
            <v>GO:0016021GO:0006810GO:0042626GO:0005524</v>
          </cell>
        </row>
        <row r="7188">
          <cell r="A7188" t="str">
            <v>GRMZM2G100090</v>
          </cell>
          <cell r="B7188" t="str">
            <v>GO:0000151GO:0016567GO:0006807GO:0004086GO:0005488GO:0004842</v>
          </cell>
        </row>
        <row r="7189">
          <cell r="A7189" t="str">
            <v>GRMZM2G176085</v>
          </cell>
          <cell r="B7189" t="str">
            <v>GO:0004601GO:0006979GO:0020037GO:0009055</v>
          </cell>
        </row>
        <row r="7190">
          <cell r="A7190" t="str">
            <v>AC208221.3_FG002</v>
          </cell>
          <cell r="B7190" t="str">
            <v>GO:0005576GO:0004867</v>
          </cell>
        </row>
        <row r="7191">
          <cell r="A7191" t="str">
            <v>GRMZM2G051683</v>
          </cell>
          <cell r="B7191" t="str">
            <v>GO:0016758GO:0008152</v>
          </cell>
        </row>
        <row r="7192">
          <cell r="A7192" t="str">
            <v>GRMZM2G091540</v>
          </cell>
          <cell r="B7192" t="str">
            <v>GO:0006508GO:0046983GO:0016020GO:0051260GO:0008237</v>
          </cell>
        </row>
        <row r="7193">
          <cell r="A7193" t="str">
            <v>GRMZM2G079632</v>
          </cell>
          <cell r="B7193" t="str">
            <v>GO:0045449GO:0003677</v>
          </cell>
        </row>
        <row r="7194">
          <cell r="A7194" t="str">
            <v>GRMZM2G127123</v>
          </cell>
          <cell r="B7194" t="str">
            <v>GO:0004565GO:0009341GO:0005975GO:0005529</v>
          </cell>
        </row>
        <row r="7195">
          <cell r="A7195" t="str">
            <v>GRMZM2G179170</v>
          </cell>
          <cell r="B7195" t="str">
            <v>GO:0004775GO:0003878GO:0008152</v>
          </cell>
        </row>
        <row r="7196">
          <cell r="A7196" t="str">
            <v>GRMZM2G084583</v>
          </cell>
          <cell r="B7196" t="str">
            <v>GO:0050826GO:0050825GO:0042309GO:0003677</v>
          </cell>
        </row>
        <row r="7197">
          <cell r="A7197" t="str">
            <v>GRMZM2G057930</v>
          </cell>
          <cell r="B7197" t="str">
            <v>GO:0016757</v>
          </cell>
        </row>
        <row r="7198">
          <cell r="A7198" t="str">
            <v>GRMZM2G084587</v>
          </cell>
          <cell r="B7198" t="str">
            <v>GO:0005515</v>
          </cell>
        </row>
        <row r="7199">
          <cell r="A7199" t="str">
            <v>GRMZM2G097827</v>
          </cell>
          <cell r="B7199" t="str">
            <v>GO:0005509</v>
          </cell>
        </row>
        <row r="7200">
          <cell r="A7200" t="str">
            <v>GRMZM2G117968</v>
          </cell>
          <cell r="B7200" t="str">
            <v>GO:0003755</v>
          </cell>
        </row>
        <row r="7201">
          <cell r="A7201" t="str">
            <v>GRMZM2G430039</v>
          </cell>
          <cell r="B7201" t="str">
            <v>GO:0006508GO:0043086GO:0042802GO:0004252</v>
          </cell>
        </row>
        <row r="7202">
          <cell r="A7202" t="str">
            <v>GRMZM2G144648</v>
          </cell>
          <cell r="B7202" t="str">
            <v>GO:0004601GO:0006979GO:0020037GO:0009055</v>
          </cell>
        </row>
        <row r="7203">
          <cell r="A7203" t="str">
            <v>GRMZM2G346133</v>
          </cell>
          <cell r="B7203" t="str">
            <v>GO:0007017GO:0005875GO:0003777</v>
          </cell>
        </row>
        <row r="7204">
          <cell r="A7204" t="str">
            <v>GRMZM2G173710</v>
          </cell>
          <cell r="B7204" t="str">
            <v>GO:0000160GO:0004871</v>
          </cell>
        </row>
        <row r="7205">
          <cell r="A7205" t="str">
            <v>GRMZM2G332505</v>
          </cell>
          <cell r="B7205" t="str">
            <v>GO:0006865GO:0006334GO:0016020GO:0003677GO:0000786GO:0005634</v>
          </cell>
        </row>
        <row r="7206">
          <cell r="A7206" t="str">
            <v>GRMZM2G346138</v>
          </cell>
          <cell r="B7206" t="str">
            <v>GO:0015629GO:0005198GO:0050825GO:0042309GO:0050826GO:0007155</v>
          </cell>
        </row>
        <row r="7207">
          <cell r="A7207" t="str">
            <v>GRMZM2G175576</v>
          </cell>
          <cell r="B7207" t="str">
            <v>GO:0004008GO:0016021GO:0006825GO:0046872GO:0006754GO:0005524</v>
          </cell>
        </row>
        <row r="7208">
          <cell r="A7208" t="str">
            <v>GRMZM2G003789</v>
          </cell>
          <cell r="B7208" t="str">
            <v>GO:0006508GO:0046983GO:0008237</v>
          </cell>
        </row>
        <row r="7209">
          <cell r="A7209" t="str">
            <v>GRMZM2G133169</v>
          </cell>
          <cell r="B7209" t="str">
            <v>GO:0006355GO:0005634GO:0004879GO:0003677</v>
          </cell>
        </row>
        <row r="7210">
          <cell r="A7210" t="str">
            <v>GRMZM2G134235</v>
          </cell>
          <cell r="B7210" t="str">
            <v>GO:0050825GO:0042309GO:0050826</v>
          </cell>
        </row>
        <row r="7211">
          <cell r="A7211" t="str">
            <v>GRMZM2G144782</v>
          </cell>
          <cell r="B7211" t="str">
            <v>GO:0008270GO:0005515</v>
          </cell>
        </row>
        <row r="7212">
          <cell r="A7212" t="str">
            <v>GRMZM2G006480</v>
          </cell>
          <cell r="B7212" t="str">
            <v>GO:0008483GO:0009058GO:0006520GO:0016847GO:0030170</v>
          </cell>
        </row>
        <row r="7213">
          <cell r="A7213" t="str">
            <v>GRMZM2G134334</v>
          </cell>
          <cell r="B7213" t="str">
            <v>GO:0003677GO:0050825GO:0008270GO:0042309GO:0050826</v>
          </cell>
        </row>
        <row r="7214">
          <cell r="A7214" t="str">
            <v>GRMZM2G060837</v>
          </cell>
          <cell r="B7214" t="str">
            <v>GO:0016762GO:0005618GO:0016021GO:0048046GO:0005000GO:0006073GO:0004553GO:0007186</v>
          </cell>
        </row>
        <row r="7215">
          <cell r="A7215" t="str">
            <v>GRMZM2G017957</v>
          </cell>
          <cell r="B7215" t="str">
            <v>GO:0008094GO:0015935GO:0003735GO:0003723GO:0003677GO:0006259GO:0006412GO:0005524</v>
          </cell>
        </row>
        <row r="7216">
          <cell r="A7216" t="str">
            <v>GRMZM2G059428</v>
          </cell>
          <cell r="B7216" t="str">
            <v>GO:0045449GO:0003677</v>
          </cell>
        </row>
        <row r="7217">
          <cell r="A7217" t="str">
            <v>GRMZM2G429322</v>
          </cell>
          <cell r="B7217" t="str">
            <v>GO:0016020GO:0006865GO:0008152GO:0016491</v>
          </cell>
        </row>
        <row r="7218">
          <cell r="A7218" t="str">
            <v>GRMZM2G026980</v>
          </cell>
          <cell r="B7218" t="str">
            <v>GO:0005618GO:0048046GO:0016762GO:0006073GO:0004553</v>
          </cell>
        </row>
        <row r="7219">
          <cell r="A7219" t="str">
            <v>GRMZM2G153569</v>
          </cell>
          <cell r="B7219" t="str">
            <v>GO:0003746GO:0006414GO:0005853</v>
          </cell>
        </row>
        <row r="7220">
          <cell r="A7220" t="str">
            <v>GRMZM2G330049</v>
          </cell>
          <cell r="B7220" t="str">
            <v>GO:0006468GO:0005840GO:0003735GO:0004674GO:0004713GO:0006412GO:0005524GO:0007165</v>
          </cell>
        </row>
        <row r="7221">
          <cell r="A7221" t="str">
            <v>GRMZM2G161459</v>
          </cell>
          <cell r="B7221" t="str">
            <v>GO:0006857GO:0005737GO:0004812GO:0005215GO:0016020GO:0006418GO:0005524</v>
          </cell>
        </row>
        <row r="7222">
          <cell r="A7222" t="str">
            <v>GRMZM2G095126</v>
          </cell>
          <cell r="B7222" t="str">
            <v>GO:0005975GO:0016020GO:0006835GO:0005515GO:0004553GO:0017153</v>
          </cell>
        </row>
        <row r="7223">
          <cell r="A7223" t="str">
            <v>GRMZM2G126900</v>
          </cell>
          <cell r="B7223" t="str">
            <v>GO:0005737GO:0050113GO:0019310GO:0005506</v>
          </cell>
        </row>
        <row r="7224">
          <cell r="A7224" t="str">
            <v>GRMZM2G050325</v>
          </cell>
          <cell r="B7224" t="str">
            <v>GO:0003824GO:0009058</v>
          </cell>
        </row>
        <row r="7225">
          <cell r="A7225" t="str">
            <v>GRMZM2G164074</v>
          </cell>
          <cell r="B7225" t="str">
            <v>GO:0004497GO:0020037GO:0009055</v>
          </cell>
        </row>
        <row r="7226">
          <cell r="A7226" t="str">
            <v>GRMZM2G052100</v>
          </cell>
          <cell r="B7226" t="str">
            <v>GO:0006950</v>
          </cell>
        </row>
        <row r="7227">
          <cell r="A7227" t="str">
            <v>GRMZM2G340527</v>
          </cell>
          <cell r="B7227" t="str">
            <v>GO:0005971GO:0004748GO:0006260</v>
          </cell>
        </row>
        <row r="7228">
          <cell r="A7228" t="str">
            <v>GRMZM2G020054</v>
          </cell>
          <cell r="B7228" t="str">
            <v>GO:0003700GO:0006355</v>
          </cell>
        </row>
        <row r="7229">
          <cell r="A7229" t="str">
            <v>GRMZM2G122302</v>
          </cell>
          <cell r="B7229" t="str">
            <v>GO:0005507GO:0009055</v>
          </cell>
        </row>
        <row r="7230">
          <cell r="A7230" t="str">
            <v>GRMZM2G147268</v>
          </cell>
          <cell r="B7230" t="str">
            <v>GO:0016829GO:0009058GO:0006520GO:0016769GO:0030170</v>
          </cell>
        </row>
        <row r="7231">
          <cell r="A7231" t="str">
            <v>GRMZM2G049882</v>
          </cell>
          <cell r="B7231" t="str">
            <v>GO:0006508GO:0008234</v>
          </cell>
        </row>
        <row r="7232">
          <cell r="A7232" t="str">
            <v>GRMZM2G133720</v>
          </cell>
          <cell r="B7232" t="str">
            <v>GO:0004497GO:0020037GO:0009055</v>
          </cell>
        </row>
        <row r="7233">
          <cell r="A7233" t="str">
            <v>GRMZM2G131591</v>
          </cell>
          <cell r="B7233" t="str">
            <v>GO:0008270GO:0005515</v>
          </cell>
        </row>
        <row r="7234">
          <cell r="A7234" t="str">
            <v>GRMZM2G106363</v>
          </cell>
          <cell r="B7234" t="str">
            <v>GO:0006355GO:0007165</v>
          </cell>
        </row>
        <row r="7235">
          <cell r="A7235" t="str">
            <v>GRMZM2G127789</v>
          </cell>
          <cell r="B7235" t="str">
            <v>GO:0005737GO:0004364GO:0008152</v>
          </cell>
        </row>
        <row r="7236">
          <cell r="A7236" t="str">
            <v>GRMZM2G440259</v>
          </cell>
          <cell r="B7236" t="str">
            <v>GO:0008270GO:0005515</v>
          </cell>
        </row>
        <row r="7237">
          <cell r="A7237" t="str">
            <v>GRMZM2G163200</v>
          </cell>
          <cell r="B7237" t="str">
            <v>GO:0003700GO:0006355GO:0005634GO:0008270GO:0043565</v>
          </cell>
        </row>
        <row r="7238">
          <cell r="A7238" t="str">
            <v>GRMZM2G079256</v>
          </cell>
          <cell r="B7238" t="str">
            <v>GO:0005488GO:0008152GO:0016491</v>
          </cell>
        </row>
        <row r="7239">
          <cell r="A7239" t="str">
            <v>GRMZM2G159937</v>
          </cell>
          <cell r="B7239" t="str">
            <v>GO:0005634GO:0045449GO:0030528</v>
          </cell>
        </row>
        <row r="7240">
          <cell r="A7240" t="str">
            <v>GRMZM2G104549</v>
          </cell>
          <cell r="B7240" t="str">
            <v>GO:0016020GO:0009765</v>
          </cell>
        </row>
        <row r="7241">
          <cell r="A7241" t="str">
            <v>GRMZM2G005939</v>
          </cell>
          <cell r="B7241" t="str">
            <v>GO:0005634GO:0045449GO:0030528</v>
          </cell>
        </row>
        <row r="7242">
          <cell r="A7242" t="str">
            <v>GRMZM2G087901</v>
          </cell>
          <cell r="B7242" t="str">
            <v>GO:0008515GO:0015770GO:0005887</v>
          </cell>
        </row>
        <row r="7243">
          <cell r="A7243" t="str">
            <v>GRMZM2G156296</v>
          </cell>
          <cell r="B7243" t="str">
            <v>GO:0016747</v>
          </cell>
        </row>
        <row r="7244">
          <cell r="A7244" t="str">
            <v>GRMZM2G021055</v>
          </cell>
          <cell r="B7244" t="str">
            <v>GO:0015297GO:0016020GO:0006855GO:0015238</v>
          </cell>
        </row>
        <row r="7245">
          <cell r="A7245" t="str">
            <v>GRMZM2G098890</v>
          </cell>
          <cell r="B7245" t="str">
            <v>GO:0016758GO:0008152</v>
          </cell>
        </row>
        <row r="7246">
          <cell r="A7246" t="str">
            <v>GRMZM2G136106</v>
          </cell>
          <cell r="B7246" t="str">
            <v>GO:0042545GO:0005618GO:0030599GO:0050825GO:0042309GO:0050826GO:0004857</v>
          </cell>
        </row>
        <row r="7247">
          <cell r="A7247" t="str">
            <v>GRMZM2G152040</v>
          </cell>
          <cell r="B7247" t="str">
            <v>GO:0015969GO:0005509</v>
          </cell>
        </row>
        <row r="7248">
          <cell r="A7248" t="str">
            <v>GRMZM2G058173</v>
          </cell>
          <cell r="B7248" t="str">
            <v>GO:0016765</v>
          </cell>
        </row>
        <row r="7249">
          <cell r="A7249" t="str">
            <v>GRMZM2G007695</v>
          </cell>
          <cell r="B7249" t="str">
            <v>GO:0003735GO:0006412GO:0005840</v>
          </cell>
        </row>
        <row r="7250">
          <cell r="A7250" t="str">
            <v>GRMZM2G179454</v>
          </cell>
          <cell r="B7250" t="str">
            <v>GO:0004106GO:0009073</v>
          </cell>
        </row>
        <row r="7251">
          <cell r="A7251" t="str">
            <v>GRMZM2G118104</v>
          </cell>
          <cell r="B7251" t="str">
            <v>GO:0016787</v>
          </cell>
        </row>
        <row r="7252">
          <cell r="A7252" t="str">
            <v>GRMZM2G015285</v>
          </cell>
          <cell r="B7252" t="str">
            <v>GO:0005215GO:0006810GO:0005488GO:0005198</v>
          </cell>
        </row>
        <row r="7253">
          <cell r="A7253" t="str">
            <v>GRMZM2G031065</v>
          </cell>
          <cell r="B7253" t="str">
            <v>GO:0016787GO:0008152</v>
          </cell>
        </row>
        <row r="7254">
          <cell r="A7254" t="str">
            <v>GRMZM2G091226</v>
          </cell>
          <cell r="B7254" t="str">
            <v>GO:0005515</v>
          </cell>
        </row>
        <row r="7255">
          <cell r="A7255" t="str">
            <v>GRMZM2G061626</v>
          </cell>
          <cell r="B7255" t="str">
            <v>GO:0008270GO:0005622</v>
          </cell>
        </row>
        <row r="7256">
          <cell r="A7256" t="str">
            <v>GRMZM2G061230</v>
          </cell>
          <cell r="B7256" t="str">
            <v>GO:0005179GO:0020037GO:0006979GO:0005576GO:0004601GO:0009055</v>
          </cell>
        </row>
        <row r="7257">
          <cell r="A7257" t="str">
            <v>GRMZM2G138382</v>
          </cell>
          <cell r="B7257" t="str">
            <v>GO:0009058GO:0016833</v>
          </cell>
        </row>
        <row r="7258">
          <cell r="A7258" t="str">
            <v>GRMZM2G070218</v>
          </cell>
          <cell r="B7258" t="str">
            <v>GO:0004765GO:0005524</v>
          </cell>
        </row>
        <row r="7259">
          <cell r="A7259" t="str">
            <v>GRMZM2G119823</v>
          </cell>
          <cell r="B7259" t="str">
            <v>GO:0005634GO:0045449GO:0030528</v>
          </cell>
        </row>
        <row r="7260">
          <cell r="A7260" t="str">
            <v>AC210204.3_FG002</v>
          </cell>
          <cell r="B7260" t="str">
            <v>GO:0051260GO:0016021GO:0007186</v>
          </cell>
        </row>
        <row r="7261">
          <cell r="A7261" t="str">
            <v>GRMZM2G117064</v>
          </cell>
          <cell r="B7261" t="str">
            <v>GO:0003824GO:0008152</v>
          </cell>
        </row>
        <row r="7262">
          <cell r="A7262" t="str">
            <v>GRMZM2G133988</v>
          </cell>
          <cell r="B7262" t="str">
            <v>GO:0008152</v>
          </cell>
        </row>
        <row r="7263">
          <cell r="A7263" t="str">
            <v>GRMZM2G078566</v>
          </cell>
          <cell r="B7263" t="str">
            <v>GO:0005975GO:0004553</v>
          </cell>
        </row>
        <row r="7264">
          <cell r="A7264" t="str">
            <v>GRMZM2G399921</v>
          </cell>
          <cell r="B7264" t="str">
            <v>GO:0050825GO:0042309GO:0050826</v>
          </cell>
        </row>
        <row r="7265">
          <cell r="A7265" t="str">
            <v>GRMZM2G098676</v>
          </cell>
          <cell r="B7265" t="str">
            <v>GO:0016810</v>
          </cell>
        </row>
        <row r="7266">
          <cell r="A7266" t="str">
            <v>GRMZM2G132686</v>
          </cell>
          <cell r="B7266" t="str">
            <v>GO:0007018GO:0003777GO:0005524GO:0005875</v>
          </cell>
        </row>
        <row r="7267">
          <cell r="A7267" t="str">
            <v>GRMZM2G025659</v>
          </cell>
          <cell r="B7267" t="str">
            <v>GO:0003824</v>
          </cell>
        </row>
        <row r="7268">
          <cell r="A7268" t="str">
            <v>GRMZM2G132936</v>
          </cell>
          <cell r="B7268" t="str">
            <v>GO:0008270GO:0050825GO:0003676GO:0042309GO:0050826</v>
          </cell>
        </row>
        <row r="7269">
          <cell r="A7269" t="str">
            <v>GRMZM2G438871</v>
          </cell>
          <cell r="B7269" t="str">
            <v>GO:0004674GO:0006468GO:0005529GO:0004713GO:0005524</v>
          </cell>
        </row>
        <row r="7270">
          <cell r="A7270" t="str">
            <v>GRMZM2G001508</v>
          </cell>
          <cell r="B7270" t="str">
            <v>GO:0003993</v>
          </cell>
        </row>
        <row r="7271">
          <cell r="A7271" t="str">
            <v>GRMZM2G358153</v>
          </cell>
          <cell r="B7271" t="str">
            <v>GO:0004568GO:0006032</v>
          </cell>
        </row>
        <row r="7272">
          <cell r="A7272" t="str">
            <v>AC212728.3_FG001</v>
          </cell>
          <cell r="B7272" t="str">
            <v>GO:0005576GO:0004867</v>
          </cell>
        </row>
        <row r="7273">
          <cell r="A7273" t="str">
            <v>GRMZM2G109130</v>
          </cell>
          <cell r="B7273" t="str">
            <v>GO:0005506GO:0016165GO:0009055</v>
          </cell>
        </row>
        <row r="7274">
          <cell r="A7274" t="str">
            <v>GRMZM2G161969</v>
          </cell>
          <cell r="B7274" t="str">
            <v>GO:0008415GO:0005515GO:0008152</v>
          </cell>
        </row>
        <row r="7275">
          <cell r="A7275" t="str">
            <v>GRMZM2G041699</v>
          </cell>
          <cell r="B7275" t="str">
            <v>GO:0016758GO:0008152</v>
          </cell>
        </row>
        <row r="7276">
          <cell r="A7276" t="str">
            <v>GRMZM2G475948</v>
          </cell>
          <cell r="B7276" t="str">
            <v>GO:0004674GO:0006468GO:0005529GO:0004713GO:0005524</v>
          </cell>
        </row>
        <row r="7277">
          <cell r="A7277" t="str">
            <v>GRMZM2G044317</v>
          </cell>
          <cell r="B7277" t="str">
            <v>GO:0005658GO:0006269GO:0003896</v>
          </cell>
        </row>
        <row r="7278">
          <cell r="A7278" t="str">
            <v>GRMZM2G007012</v>
          </cell>
          <cell r="B7278" t="str">
            <v>GO:0016758GO:0008152</v>
          </cell>
        </row>
        <row r="7279">
          <cell r="A7279" t="str">
            <v>GRMZM2G009282</v>
          </cell>
          <cell r="B7279" t="str">
            <v>GO:0005975GO:0004553</v>
          </cell>
        </row>
        <row r="7280">
          <cell r="A7280" t="str">
            <v>GRMZM2G163172</v>
          </cell>
          <cell r="B7280" t="str">
            <v>GO:0006887GO:0000145</v>
          </cell>
        </row>
        <row r="7281">
          <cell r="A7281" t="str">
            <v>GRMZM2G363116</v>
          </cell>
          <cell r="B7281" t="str">
            <v>GO:0016787GO:0008152</v>
          </cell>
        </row>
        <row r="7282">
          <cell r="A7282" t="str">
            <v>GRMZM2G175232</v>
          </cell>
          <cell r="B7282" t="str">
            <v>GO:0003677</v>
          </cell>
        </row>
        <row r="7283">
          <cell r="A7283" t="str">
            <v>GRMZM2G105604</v>
          </cell>
          <cell r="B7283" t="str">
            <v>GO:0008168GO:0006779</v>
          </cell>
        </row>
        <row r="7284">
          <cell r="A7284" t="str">
            <v>GRMZM2G140614</v>
          </cell>
          <cell r="B7284" t="str">
            <v>GO:0004347GO:0005576GO:0006096GO:0006094</v>
          </cell>
        </row>
        <row r="7285">
          <cell r="A7285" t="str">
            <v>GRMZM2G166459</v>
          </cell>
          <cell r="B7285" t="str">
            <v>GO:0015297GO:0016020GO:0006855GO:0015238GO:0003824GO:0006835GO:0005488GO:0008152GO:0017153</v>
          </cell>
        </row>
        <row r="7286">
          <cell r="A7286" t="str">
            <v>GRMZM2G056329</v>
          </cell>
          <cell r="B7286" t="str">
            <v>GO:0005524</v>
          </cell>
        </row>
        <row r="7287">
          <cell r="A7287" t="str">
            <v>GRMZM2G076263</v>
          </cell>
          <cell r="B7287" t="str">
            <v>GO:0003735GO:0006412GO:0005840</v>
          </cell>
        </row>
        <row r="7288">
          <cell r="A7288" t="str">
            <v>GRMZM2G159500</v>
          </cell>
          <cell r="B7288" t="str">
            <v>GO:0045449GO:0003677</v>
          </cell>
        </row>
        <row r="7289">
          <cell r="A7289" t="str">
            <v>GRMZM2G123558</v>
          </cell>
          <cell r="B7289" t="str">
            <v>GO:0016021GO:0004969GO:0042309GO:0050826GO:0050825GO:0007186</v>
          </cell>
        </row>
        <row r="7290">
          <cell r="A7290" t="str">
            <v>GRMZM2G028516</v>
          </cell>
          <cell r="B7290" t="str">
            <v>GO:0006457GO:0005509GO:0051082GO:0005783</v>
          </cell>
        </row>
        <row r="7291">
          <cell r="A7291" t="str">
            <v>GRMZM2G153582</v>
          </cell>
          <cell r="B7291" t="str">
            <v>GO:0004518GO:0003677GO:0006289</v>
          </cell>
        </row>
        <row r="7292">
          <cell r="A7292" t="str">
            <v>GRMZM2G121128</v>
          </cell>
          <cell r="B7292" t="str">
            <v>GO:0004747GO:0006014</v>
          </cell>
        </row>
        <row r="7293">
          <cell r="A7293" t="str">
            <v>GRMZM2G021879</v>
          </cell>
          <cell r="B7293" t="str">
            <v>GO:0008270GO:0005515</v>
          </cell>
        </row>
        <row r="7294">
          <cell r="A7294" t="str">
            <v>GRMZM2G099657</v>
          </cell>
          <cell r="B7294" t="str">
            <v>GO:0003735GO:0006412GO:0015935</v>
          </cell>
        </row>
        <row r="7295">
          <cell r="A7295" t="str">
            <v>GRMZM2G057328</v>
          </cell>
          <cell r="B7295" t="str">
            <v>GO:0003854GO:0050662GO:0006694</v>
          </cell>
        </row>
        <row r="7296">
          <cell r="A7296" t="str">
            <v>GRMZM2G400714</v>
          </cell>
          <cell r="B7296" t="str">
            <v>GO:0008270GO:0005622</v>
          </cell>
        </row>
        <row r="7297">
          <cell r="A7297" t="str">
            <v>GRMZM2G162690</v>
          </cell>
          <cell r="B7297" t="str">
            <v>GO:0004555GO:0005991</v>
          </cell>
        </row>
        <row r="7298">
          <cell r="A7298" t="str">
            <v>GRMZM2G080274</v>
          </cell>
          <cell r="B7298" t="str">
            <v>GO:0006334GO:0003677GO:0050826GO:0050825GO:0042309GO:0000786GO:0005634</v>
          </cell>
        </row>
        <row r="7299">
          <cell r="A7299" t="str">
            <v>GRMZM2G154595</v>
          </cell>
          <cell r="B7299" t="str">
            <v>GO:0005488GO:0030060GO:0006108GO:0006096</v>
          </cell>
        </row>
        <row r="7300">
          <cell r="A7300" t="str">
            <v>GRMZM2G138624</v>
          </cell>
          <cell r="B7300" t="str">
            <v>GO:0003824GO:0008152</v>
          </cell>
        </row>
        <row r="7301">
          <cell r="A7301" t="str">
            <v>GRMZM2G161315</v>
          </cell>
          <cell r="B7301" t="str">
            <v>GO:0005737GO:0004812GO:0005524GO:0006418</v>
          </cell>
        </row>
        <row r="7302">
          <cell r="A7302" t="str">
            <v>GRMZM2G471733</v>
          </cell>
          <cell r="B7302" t="str">
            <v>GO:0016567GO:0004842GO:0000151GO:0005488</v>
          </cell>
        </row>
        <row r="7303">
          <cell r="A7303" t="str">
            <v>GRMZM2G053720</v>
          </cell>
          <cell r="B7303" t="str">
            <v>GO:0004657GO:0006537GO:0006562</v>
          </cell>
        </row>
        <row r="7304">
          <cell r="A7304" t="str">
            <v>GRMZM2G431288</v>
          </cell>
          <cell r="B7304" t="str">
            <v>GO:0004497GO:0020037GO:0009055</v>
          </cell>
        </row>
        <row r="7305">
          <cell r="A7305" t="str">
            <v>GRMZM2G321239</v>
          </cell>
          <cell r="B7305" t="str">
            <v>GO:0004674GO:0006468GO:0004713GO:0005524GO:0005509</v>
          </cell>
        </row>
        <row r="7306">
          <cell r="A7306" t="str">
            <v>GRMZM2G140116</v>
          </cell>
          <cell r="B7306" t="str">
            <v>GO:0003735GO:0006412GO:0005840</v>
          </cell>
        </row>
        <row r="7307">
          <cell r="A7307" t="str">
            <v>GRMZM2G176206</v>
          </cell>
          <cell r="B7307" t="str">
            <v>GO:0004674GO:0006468GO:0005524GO:0005515GO:0004713</v>
          </cell>
        </row>
        <row r="7308">
          <cell r="A7308" t="str">
            <v>AC195860.3_FG006</v>
          </cell>
          <cell r="B7308" t="str">
            <v>GO:0003723GO:0006396</v>
          </cell>
        </row>
        <row r="7309">
          <cell r="A7309" t="str">
            <v>GRMZM2G132212</v>
          </cell>
          <cell r="B7309" t="str">
            <v>GO:0004674GO:0006468GO:0005524GO:0005515GO:0004713</v>
          </cell>
        </row>
        <row r="7310">
          <cell r="A7310" t="str">
            <v>GRMZM2G094165</v>
          </cell>
          <cell r="B7310" t="str">
            <v>GO:0015976GO:0004089GO:0008270</v>
          </cell>
        </row>
        <row r="7311">
          <cell r="A7311" t="str">
            <v>GRMZM2G101900</v>
          </cell>
          <cell r="B7311" t="str">
            <v>GO:0006207GO:0006520GO:0009348GO:0016597GO:0004585GO:0004070</v>
          </cell>
        </row>
        <row r="7312">
          <cell r="A7312" t="str">
            <v>GRMZM2G011598</v>
          </cell>
          <cell r="B7312" t="str">
            <v>GO:0045449GO:0003677</v>
          </cell>
        </row>
        <row r="7313">
          <cell r="A7313" t="str">
            <v>GRMZM2G134708</v>
          </cell>
          <cell r="B7313" t="str">
            <v>GO:0006813GO:0016491GO:0008324GO:0050660GO:0009055</v>
          </cell>
        </row>
        <row r="7314">
          <cell r="A7314" t="str">
            <v>GRMZM2G429842</v>
          </cell>
          <cell r="B7314" t="str">
            <v>GO:0006508GO:0043086GO:0042802GO:0004252</v>
          </cell>
        </row>
        <row r="7315">
          <cell r="A7315" t="str">
            <v>GRMZM2G008226</v>
          </cell>
          <cell r="B7315" t="str">
            <v>GO:0003824GO:0005992</v>
          </cell>
        </row>
        <row r="7316">
          <cell r="A7316" t="str">
            <v>GRMZM2G076417</v>
          </cell>
          <cell r="B7316" t="str">
            <v>GO:0006508GO:0043086GO:0042802GO:0004252</v>
          </cell>
        </row>
        <row r="7317">
          <cell r="A7317" t="str">
            <v>GRMZM2G000221</v>
          </cell>
          <cell r="B7317" t="str">
            <v>GO:0008289GO:0006869</v>
          </cell>
        </row>
        <row r="7318">
          <cell r="A7318" t="str">
            <v>GRMZM2G479423</v>
          </cell>
          <cell r="B7318" t="str">
            <v>GO:0055114GO:0016491</v>
          </cell>
        </row>
        <row r="7319">
          <cell r="A7319" t="str">
            <v>GRMZM2G117706</v>
          </cell>
          <cell r="B7319" t="str">
            <v>GO:0020037GO:0005576GO:0004601GO:0006979GO:0009055</v>
          </cell>
        </row>
        <row r="7320">
          <cell r="A7320" t="str">
            <v>AC217947.4_FG002</v>
          </cell>
          <cell r="B7320" t="str">
            <v>GO:0016491GO:0005506GO:0010181GO:0009055</v>
          </cell>
        </row>
        <row r="7321">
          <cell r="A7321" t="str">
            <v>GRMZM2G137864</v>
          </cell>
          <cell r="B7321" t="str">
            <v>GO:0005840GO:0005634GO:0003677GO:0003735GO:0006355GO:0050825GO:0042309GO:0050826GO:0006412GO:0004879</v>
          </cell>
        </row>
        <row r="7322">
          <cell r="A7322" t="str">
            <v>GRMZM2G327206</v>
          </cell>
          <cell r="B7322" t="str">
            <v>GO:0006355GO:0005634GO:0004879GO:0003677</v>
          </cell>
        </row>
        <row r="7323">
          <cell r="A7323" t="str">
            <v>GRMZM2G428518</v>
          </cell>
          <cell r="B7323" t="str">
            <v>GO:0005975GO:0004553</v>
          </cell>
        </row>
        <row r="7324">
          <cell r="A7324" t="str">
            <v>GRMZM2G158013</v>
          </cell>
          <cell r="B7324" t="str">
            <v>GO:0016021GO:0008271GO:0008272</v>
          </cell>
        </row>
        <row r="7325">
          <cell r="A7325" t="str">
            <v>GRMZM2G041356</v>
          </cell>
          <cell r="B7325" t="str">
            <v>GO:0005975GO:0030246GO:0016853</v>
          </cell>
        </row>
        <row r="7326">
          <cell r="A7326" t="str">
            <v>GRMZM2G308687</v>
          </cell>
          <cell r="B7326" t="str">
            <v>GO:0005737GO:0004364GO:0008152</v>
          </cell>
        </row>
        <row r="7327">
          <cell r="A7327" t="str">
            <v>GRMZM2G024993</v>
          </cell>
          <cell r="B7327" t="str">
            <v>GO:0009250GO:0009011</v>
          </cell>
        </row>
        <row r="7328">
          <cell r="A7328" t="str">
            <v>AC177946.2_FG004</v>
          </cell>
          <cell r="B7328" t="str">
            <v>GO:0000015GO:0016020GO:0051260GO:0006096GO:0050825GO:0042309GO:0050826GO:0004634</v>
          </cell>
        </row>
        <row r="7329">
          <cell r="A7329" t="str">
            <v>GRMZM2G058026</v>
          </cell>
          <cell r="B7329" t="str">
            <v>GO:0006508GO:0004190</v>
          </cell>
        </row>
        <row r="7330">
          <cell r="A7330" t="str">
            <v>GRMZM2G471594</v>
          </cell>
          <cell r="B7330" t="str">
            <v>GO:0008107GO:0016020GO:0042546</v>
          </cell>
        </row>
        <row r="7331">
          <cell r="A7331" t="str">
            <v>GRMZM2G362281</v>
          </cell>
          <cell r="B7331" t="str">
            <v>GO:0045454GO:0015035GO:0009055</v>
          </cell>
        </row>
        <row r="7332">
          <cell r="A7332" t="str">
            <v>GRMZM2G368411</v>
          </cell>
          <cell r="B7332" t="str">
            <v>GO:0005506GO:0016491</v>
          </cell>
        </row>
        <row r="7333">
          <cell r="A7333" t="str">
            <v>GRMZM2G363813</v>
          </cell>
          <cell r="B7333" t="str">
            <v>GO:0003824</v>
          </cell>
        </row>
        <row r="7334">
          <cell r="A7334" t="str">
            <v>GRMZM2G443843</v>
          </cell>
          <cell r="B7334" t="str">
            <v>GO:0004674GO:0006468GO:0005529GO:0004713GO:0005524</v>
          </cell>
        </row>
        <row r="7335">
          <cell r="A7335" t="str">
            <v>GRMZM2G016928</v>
          </cell>
          <cell r="B7335" t="str">
            <v>GO:0003735GO:0006412GO:0005840</v>
          </cell>
        </row>
        <row r="7336">
          <cell r="A7336" t="str">
            <v>GRMZM2G044247</v>
          </cell>
          <cell r="B7336" t="str">
            <v>GO:0005737GO:0009089GO:0005488GO:0008839</v>
          </cell>
        </row>
        <row r="7337">
          <cell r="A7337" t="str">
            <v>GRMZM2G166639</v>
          </cell>
          <cell r="B7337" t="str">
            <v>GO:0005506GO:0016491</v>
          </cell>
        </row>
        <row r="7338">
          <cell r="A7338" t="str">
            <v>GRMZM2G099765</v>
          </cell>
          <cell r="B7338" t="str">
            <v>GO:0006508GO:0004197</v>
          </cell>
        </row>
        <row r="7339">
          <cell r="A7339" t="str">
            <v>GRMZM2G082034</v>
          </cell>
          <cell r="B7339" t="str">
            <v>GO:0016161GO:0000272</v>
          </cell>
        </row>
        <row r="7340">
          <cell r="A7340" t="str">
            <v>GRMZM2G159811</v>
          </cell>
          <cell r="B7340" t="str">
            <v>GO:0006470GO:0008287GO:0004722</v>
          </cell>
        </row>
        <row r="7341">
          <cell r="A7341" t="str">
            <v>GRMZM2G112728</v>
          </cell>
          <cell r="B7341" t="str">
            <v>GO:0016765GO:0008299GO:0009842GO:0015979</v>
          </cell>
        </row>
        <row r="7342">
          <cell r="A7342" t="str">
            <v>GRMZM2G082032</v>
          </cell>
          <cell r="B7342" t="str">
            <v>GO:0016787</v>
          </cell>
        </row>
        <row r="7343">
          <cell r="A7343" t="str">
            <v>GRMZM2G322618</v>
          </cell>
          <cell r="B7343" t="str">
            <v>GO:0004965GO:0016021GO:0007186</v>
          </cell>
        </row>
        <row r="7344">
          <cell r="A7344" t="str">
            <v>GRMZM2G147221</v>
          </cell>
          <cell r="B7344" t="str">
            <v>GO:0005975GO:0004553</v>
          </cell>
        </row>
        <row r="7345">
          <cell r="A7345" t="str">
            <v>GRMZM2G387360</v>
          </cell>
          <cell r="B7345" t="str">
            <v>GO:0050825GO:0042309GO:0050826</v>
          </cell>
        </row>
        <row r="7346">
          <cell r="A7346" t="str">
            <v>GRMZM2G102230</v>
          </cell>
          <cell r="B7346" t="str">
            <v>GO:0003735GO:0006412GO:0005840</v>
          </cell>
        </row>
        <row r="7347">
          <cell r="A7347" t="str">
            <v>GRMZM2G125072</v>
          </cell>
          <cell r="B7347" t="str">
            <v>GO:0031072GO:0005506GO:0009055</v>
          </cell>
        </row>
        <row r="7348">
          <cell r="A7348" t="str">
            <v>GRMZM2G176446</v>
          </cell>
          <cell r="B7348" t="str">
            <v>GO:0016747</v>
          </cell>
        </row>
        <row r="7349">
          <cell r="A7349" t="str">
            <v>GRMZM2G135165</v>
          </cell>
          <cell r="B7349" t="str">
            <v>GO:0005840GO:0016021GO:0003735GO:0050825GO:0042309GO:0050826GO:0007186GO:0006412</v>
          </cell>
        </row>
        <row r="7350">
          <cell r="A7350" t="str">
            <v>GRMZM2G178829</v>
          </cell>
          <cell r="B7350" t="str">
            <v>GO:0005488</v>
          </cell>
        </row>
        <row r="7351">
          <cell r="A7351" t="str">
            <v>GRMZM2G476699</v>
          </cell>
          <cell r="B7351" t="str">
            <v>GO:0016757</v>
          </cell>
        </row>
        <row r="7352">
          <cell r="A7352" t="str">
            <v>GRMZM2G129860</v>
          </cell>
          <cell r="B7352" t="str">
            <v>GO:0004497GO:0020037GO:0009055</v>
          </cell>
        </row>
        <row r="7353">
          <cell r="A7353" t="str">
            <v>GRMZM2G471635</v>
          </cell>
          <cell r="B7353" t="str">
            <v>GO:0005634GO:0045449GO:0030528GO:0019028GO:0005198</v>
          </cell>
        </row>
        <row r="7354">
          <cell r="A7354" t="str">
            <v>GRMZM2G155058</v>
          </cell>
          <cell r="B7354" t="str">
            <v>GO:0016787</v>
          </cell>
        </row>
        <row r="7355">
          <cell r="A7355" t="str">
            <v>GRMZM2G177340</v>
          </cell>
          <cell r="B7355" t="str">
            <v>GO:0005634GO:0003676</v>
          </cell>
        </row>
        <row r="7356">
          <cell r="A7356" t="str">
            <v>GRMZM2G166944</v>
          </cell>
          <cell r="B7356" t="str">
            <v>GO:0005618GO:0048046GO:0016762GO:0006073GO:0004553</v>
          </cell>
        </row>
        <row r="7357">
          <cell r="A7357" t="str">
            <v>GRMZM2G064360</v>
          </cell>
          <cell r="B7357" t="str">
            <v>GO:0004568GO:0006032GO:0008061GO:0016998</v>
          </cell>
        </row>
        <row r="7358">
          <cell r="A7358" t="str">
            <v>GRMZM2G079219</v>
          </cell>
          <cell r="B7358" t="str">
            <v>GO:0004674GO:0006468GO:0004713GO:0005524</v>
          </cell>
        </row>
        <row r="7359">
          <cell r="A7359" t="str">
            <v>GRMZM2G059845</v>
          </cell>
          <cell r="B7359" t="str">
            <v>GO:0016020</v>
          </cell>
        </row>
        <row r="7360">
          <cell r="A7360" t="str">
            <v>GRMZM2G042789</v>
          </cell>
          <cell r="B7360" t="str">
            <v>GO:0009611GO:0004867</v>
          </cell>
        </row>
        <row r="7361">
          <cell r="A7361" t="str">
            <v>GRMZM2G174347</v>
          </cell>
          <cell r="B7361" t="str">
            <v>GO:0003700GO:0006355GO:0050825GO:0042309GO:0050826</v>
          </cell>
        </row>
        <row r="7362">
          <cell r="A7362" t="str">
            <v>GRMZM2G064406</v>
          </cell>
          <cell r="B7362" t="str">
            <v>GO:0016829GO:0000287GO:0008152</v>
          </cell>
        </row>
        <row r="7363">
          <cell r="A7363" t="str">
            <v>GRMZM2G032218</v>
          </cell>
          <cell r="B7363" t="str">
            <v>GO:0016021GO:0006810GO:0042626GO:0005524</v>
          </cell>
        </row>
        <row r="7364">
          <cell r="A7364" t="str">
            <v>GRMZM2G127379</v>
          </cell>
          <cell r="B7364" t="str">
            <v>GO:0045449GO:0003677</v>
          </cell>
        </row>
        <row r="7365">
          <cell r="A7365" t="str">
            <v>AC199541.4_FG007</v>
          </cell>
          <cell r="B7365" t="str">
            <v>GO:0016758GO:0008152</v>
          </cell>
        </row>
        <row r="7366">
          <cell r="A7366" t="str">
            <v>GRMZM2G428027</v>
          </cell>
          <cell r="B7366" t="str">
            <v>GO:0050660GO:0020037GO:0003677GO:0030151GO:0042128GO:0005665GO:0006366GO:0046857GO:0055114GO:0009055</v>
          </cell>
        </row>
        <row r="7367">
          <cell r="A7367" t="str">
            <v>GRMZM2G013206</v>
          </cell>
          <cell r="B7367" t="str">
            <v>GO:0005840GO:0003735GO:0050825GO:0042309GO:0050826GO:0005507GO:0006412GO:0009055</v>
          </cell>
        </row>
        <row r="7368">
          <cell r="A7368" t="str">
            <v>GRMZM2G401848</v>
          </cell>
          <cell r="B7368" t="str">
            <v>GO:0003755</v>
          </cell>
        </row>
        <row r="7369">
          <cell r="A7369" t="str">
            <v>GRMZM2G174896</v>
          </cell>
          <cell r="B7369" t="str">
            <v>GO:0004674GO:0006468GO:0004713GO:0005524GO:0007165</v>
          </cell>
        </row>
        <row r="7370">
          <cell r="A7370" t="str">
            <v>GRMZM2G410916</v>
          </cell>
          <cell r="B7370" t="str">
            <v>GO:0016757</v>
          </cell>
        </row>
        <row r="7371">
          <cell r="A7371" t="str">
            <v>GRMZM2G111672</v>
          </cell>
          <cell r="B7371" t="str">
            <v>GO:0020037GO:0009055</v>
          </cell>
        </row>
        <row r="7372">
          <cell r="A7372" t="str">
            <v>GRMZM2G111017</v>
          </cell>
          <cell r="B7372" t="str">
            <v>GO:0005743GO:0006810GO:0005488GO:0005215</v>
          </cell>
        </row>
        <row r="7373">
          <cell r="A7373" t="str">
            <v>GRMZM2G474153</v>
          </cell>
          <cell r="B7373" t="str">
            <v>GO:0004674GO:0006468GO:0005529GO:0004713GO:0005524</v>
          </cell>
        </row>
        <row r="7374">
          <cell r="A7374" t="str">
            <v>GRMZM2G124759</v>
          </cell>
          <cell r="B7374" t="str">
            <v>GO:0004806GO:0006629</v>
          </cell>
        </row>
        <row r="7375">
          <cell r="A7375" t="str">
            <v>GRMZM2G392863</v>
          </cell>
          <cell r="B7375" t="str">
            <v>GO:0006952</v>
          </cell>
        </row>
        <row r="7376">
          <cell r="A7376" t="str">
            <v>GRMZM2G125923</v>
          </cell>
          <cell r="B7376" t="str">
            <v>GO:0004664GO:0009094</v>
          </cell>
        </row>
        <row r="7377">
          <cell r="A7377" t="str">
            <v>GRMZM2G096806</v>
          </cell>
          <cell r="B7377" t="str">
            <v>GO:0005737GO:0004812GO:0005524GO:0006418</v>
          </cell>
        </row>
        <row r="7378">
          <cell r="A7378" t="str">
            <v>GRMZM2G137535</v>
          </cell>
          <cell r="B7378" t="str">
            <v>GO:0005975GO:0004553</v>
          </cell>
        </row>
        <row r="7379">
          <cell r="A7379" t="str">
            <v>GRMZM2G127072</v>
          </cell>
          <cell r="B7379" t="str">
            <v>GO:0005576</v>
          </cell>
        </row>
        <row r="7380">
          <cell r="A7380" t="str">
            <v>GRMZM2G459663</v>
          </cell>
          <cell r="B7380" t="str">
            <v>GO:0050825GO:0005509GO:0042309GO:0050826</v>
          </cell>
        </row>
        <row r="7381">
          <cell r="A7381" t="str">
            <v>GRMZM2G153920</v>
          </cell>
          <cell r="B7381" t="str">
            <v>GO:0022891GO:0016021GO:0055085</v>
          </cell>
        </row>
        <row r="7382">
          <cell r="A7382" t="str">
            <v>GRMZM2G440918</v>
          </cell>
          <cell r="B7382" t="str">
            <v>GO:0019787GO:0043687GO:0051246</v>
          </cell>
        </row>
        <row r="7383">
          <cell r="A7383" t="str">
            <v>GRMZM2G078500</v>
          </cell>
          <cell r="B7383" t="str">
            <v>GO:0006725GO:0016701GO:0008198GO:0008270GO:0055114GO:0009055</v>
          </cell>
        </row>
        <row r="7384">
          <cell r="A7384" t="str">
            <v>GRMZM2G077214</v>
          </cell>
          <cell r="B7384" t="str">
            <v>GO:0055114GO:0016491</v>
          </cell>
        </row>
        <row r="7385">
          <cell r="A7385" t="str">
            <v>GRMZM2G074358</v>
          </cell>
          <cell r="B7385" t="str">
            <v>GO:0045449GO:0003677</v>
          </cell>
        </row>
        <row r="7386">
          <cell r="A7386" t="str">
            <v>GRMZM2G095873</v>
          </cell>
          <cell r="B7386" t="str">
            <v>GO:0008270GO:0005515</v>
          </cell>
        </row>
        <row r="7387">
          <cell r="A7387" t="str">
            <v>GRMZM2G119865</v>
          </cell>
          <cell r="B7387" t="str">
            <v>GO:0003700GO:0006355GO:0003735GO:0006412GO:0005840</v>
          </cell>
        </row>
        <row r="7388">
          <cell r="A7388" t="str">
            <v>GRMZM2G052562</v>
          </cell>
          <cell r="B7388" t="str">
            <v>GO:0006629GO:0016788</v>
          </cell>
        </row>
        <row r="7389">
          <cell r="A7389" t="str">
            <v>GRMZM2G130868</v>
          </cell>
          <cell r="B7389" t="str">
            <v>GO:0050825GO:0042309GO:0050826</v>
          </cell>
        </row>
        <row r="7390">
          <cell r="A7390" t="str">
            <v>GRMZM2G150058</v>
          </cell>
          <cell r="B7390" t="str">
            <v>GO:0003735GO:0006412GO:0005840</v>
          </cell>
        </row>
        <row r="7391">
          <cell r="A7391" t="str">
            <v>GRMZM2G063566</v>
          </cell>
          <cell r="B7391" t="str">
            <v>GO:0005618GO:0048046GO:0016762GO:0006073GO:0004553</v>
          </cell>
        </row>
        <row r="7392">
          <cell r="A7392" t="str">
            <v>GRMZM2G336533</v>
          </cell>
          <cell r="B7392" t="str">
            <v>GO:0045449GO:0003677</v>
          </cell>
        </row>
        <row r="7393">
          <cell r="A7393" t="str">
            <v>AC234155.1_FG002</v>
          </cell>
          <cell r="B7393" t="str">
            <v>GO:0006508GO:0004222</v>
          </cell>
        </row>
        <row r="7394">
          <cell r="A7394" t="str">
            <v>AC206951.3_FG017</v>
          </cell>
          <cell r="B7394" t="str">
            <v>GO:0003700GO:0006355</v>
          </cell>
        </row>
        <row r="7395">
          <cell r="A7395" t="str">
            <v>GRMZM2G471517</v>
          </cell>
          <cell r="B7395" t="str">
            <v>GO:0050825GO:0042309GO:0050826</v>
          </cell>
        </row>
        <row r="7396">
          <cell r="A7396" t="str">
            <v>GRMZM2G380286</v>
          </cell>
          <cell r="B7396" t="str">
            <v>GO:0016614GO:0050660GO:0043087</v>
          </cell>
        </row>
        <row r="7397">
          <cell r="A7397" t="str">
            <v>GRMZM2G111415</v>
          </cell>
          <cell r="B7397" t="str">
            <v>GO:0003700GO:0006355GO:0050825GO:0042309GO:0050826</v>
          </cell>
        </row>
        <row r="7398">
          <cell r="A7398" t="str">
            <v>GRMZM2G105189</v>
          </cell>
          <cell r="B7398" t="str">
            <v>GO:0006629GO:0016788</v>
          </cell>
        </row>
        <row r="7399">
          <cell r="A7399" t="str">
            <v>GRMZM2G325019</v>
          </cell>
          <cell r="B7399" t="str">
            <v>GO:0004519GO:0005515</v>
          </cell>
        </row>
        <row r="7400">
          <cell r="A7400" t="str">
            <v>GRMZM2G317938</v>
          </cell>
          <cell r="B7400" t="str">
            <v>GO:0004674GO:0006468GO:0004713GO:0005524</v>
          </cell>
        </row>
        <row r="7401">
          <cell r="A7401" t="str">
            <v>GRMZM2G303915</v>
          </cell>
          <cell r="B7401" t="str">
            <v>GO:0003676</v>
          </cell>
        </row>
        <row r="7402">
          <cell r="A7402" t="str">
            <v>GRMZM2G167497</v>
          </cell>
          <cell r="B7402" t="str">
            <v>GO:0030246</v>
          </cell>
        </row>
        <row r="7403">
          <cell r="A7403" t="str">
            <v>GRMZM2G431039</v>
          </cell>
          <cell r="B7403" t="str">
            <v>GO:0005975GO:0004553</v>
          </cell>
        </row>
        <row r="7404">
          <cell r="A7404" t="str">
            <v>GRMZM2G181542</v>
          </cell>
          <cell r="B7404" t="str">
            <v>GO:0006633GO:0000036GO:0048037GO:0031177</v>
          </cell>
        </row>
        <row r="7405">
          <cell r="A7405" t="str">
            <v>GRMZM2G058227</v>
          </cell>
          <cell r="B7405" t="str">
            <v>GO:0006810GO:0006629GO:0008889GO:0005215GO:0016020GO:0006071</v>
          </cell>
        </row>
        <row r="7406">
          <cell r="A7406" t="str">
            <v>GRMZM2G136139</v>
          </cell>
          <cell r="B7406" t="str">
            <v>GO:0003796GO:0009253GO:0016998</v>
          </cell>
        </row>
        <row r="7407">
          <cell r="A7407" t="str">
            <v>GRMZM2G163081</v>
          </cell>
          <cell r="B7407" t="str">
            <v>GO:0003735GO:0008097GO:0006412GO:0005840</v>
          </cell>
        </row>
        <row r="7408">
          <cell r="A7408" t="str">
            <v>GRMZM2G099036</v>
          </cell>
          <cell r="B7408" t="str">
            <v>GO:0015629GO:0005198GO:0006265GO:0050825GO:0042309GO:0050826GO:0007155GO:0005694GO:0003918GO:0005524</v>
          </cell>
        </row>
        <row r="7409">
          <cell r="A7409" t="str">
            <v>GRMZM2G148800</v>
          </cell>
          <cell r="B7409" t="str">
            <v>GO:0006857GO:0005215GO:0016020</v>
          </cell>
        </row>
        <row r="7410">
          <cell r="A7410" t="str">
            <v>GRMZM2G178486</v>
          </cell>
          <cell r="B7410" t="str">
            <v>GO:0008270GO:0005515</v>
          </cell>
        </row>
        <row r="7411">
          <cell r="A7411" t="str">
            <v>GRMZM2G132367</v>
          </cell>
          <cell r="B7411" t="str">
            <v>GO:0003700GO:0006355GO:0005634GO:0043565</v>
          </cell>
        </row>
        <row r="7412">
          <cell r="A7412" t="str">
            <v>GRMZM2G125850</v>
          </cell>
          <cell r="B7412" t="str">
            <v>GO:0005215GO:0016021GO:0006810GO:0050825GO:0042309GO:0050826</v>
          </cell>
        </row>
        <row r="7413">
          <cell r="A7413" t="str">
            <v>GRMZM2G327189</v>
          </cell>
          <cell r="B7413" t="str">
            <v>GO:0005179GO:0005840GO:0006813GO:0008076GO:0003735GO:0005576GO:0045449GO:0008270GO:0005249GO:0003677GO:0006412</v>
          </cell>
        </row>
        <row r="7414">
          <cell r="A7414" t="str">
            <v>GRMZM2G429940</v>
          </cell>
          <cell r="B7414" t="str">
            <v>GO:0004674GO:0006468GO:0004713GO:0005524GO:0007165</v>
          </cell>
        </row>
        <row r="7415">
          <cell r="A7415" t="str">
            <v>GRMZM2G004694</v>
          </cell>
          <cell r="B7415" t="str">
            <v>GO:0022891GO:0016021GO:0055085</v>
          </cell>
        </row>
        <row r="7416">
          <cell r="A7416" t="str">
            <v>GRMZM2G007489</v>
          </cell>
          <cell r="B7416" t="str">
            <v>GO:0006633GO:0000036</v>
          </cell>
        </row>
        <row r="7417">
          <cell r="A7417" t="str">
            <v>GRMZM2G081048</v>
          </cell>
          <cell r="B7417" t="str">
            <v>GO:0016491</v>
          </cell>
        </row>
        <row r="7418">
          <cell r="A7418" t="str">
            <v>AC196475.3_FG004</v>
          </cell>
          <cell r="B7418" t="str">
            <v>GO:0046983GO:0008171</v>
          </cell>
        </row>
        <row r="7419">
          <cell r="A7419" t="str">
            <v>GRMZM2G071253</v>
          </cell>
          <cell r="B7419" t="str">
            <v>GO:0008270GO:0003676</v>
          </cell>
        </row>
        <row r="7420">
          <cell r="A7420" t="str">
            <v>GRMZM2G127857</v>
          </cell>
          <cell r="B7420" t="str">
            <v>GO:0003677</v>
          </cell>
        </row>
        <row r="7421">
          <cell r="A7421" t="str">
            <v>GRMZM2G026065</v>
          </cell>
          <cell r="B7421" t="str">
            <v>GO:0004674GO:0006468GO:0004713GO:0005524</v>
          </cell>
        </row>
        <row r="7422">
          <cell r="A7422" t="str">
            <v>GRMZM2G159237</v>
          </cell>
          <cell r="B7422" t="str">
            <v>GO:0003735GO:0006412GO:0015935</v>
          </cell>
        </row>
        <row r="7423">
          <cell r="A7423" t="str">
            <v>GRMZM2G026147</v>
          </cell>
          <cell r="B7423" t="str">
            <v>GO:0005576GO:0019953</v>
          </cell>
        </row>
        <row r="7424">
          <cell r="A7424" t="str">
            <v>GRMZM2G069542</v>
          </cell>
          <cell r="B7424" t="str">
            <v>GO:0006099GO:0008964</v>
          </cell>
        </row>
        <row r="7425">
          <cell r="A7425" t="str">
            <v>GRMZM2G039365</v>
          </cell>
          <cell r="B7425" t="str">
            <v>GO:0050825GO:0042309GO:0050826</v>
          </cell>
        </row>
        <row r="7426">
          <cell r="A7426" t="str">
            <v>GRMZM2G095333</v>
          </cell>
          <cell r="B7426" t="str">
            <v>GO:0006457</v>
          </cell>
        </row>
        <row r="7427">
          <cell r="A7427" t="str">
            <v>AC193632.2_FG002</v>
          </cell>
          <cell r="B7427" t="str">
            <v>GO:0006468GO:0004674GO:0004713GO:0004568GO:0006032GO:0005524</v>
          </cell>
        </row>
        <row r="7428">
          <cell r="A7428" t="str">
            <v>GRMZM2G095331</v>
          </cell>
          <cell r="B7428" t="str">
            <v>GO:0008270GO:0005515</v>
          </cell>
        </row>
        <row r="7429">
          <cell r="A7429" t="str">
            <v>GRMZM2G049418</v>
          </cell>
          <cell r="B7429" t="str">
            <v>GO:0005506GO:0016491</v>
          </cell>
        </row>
        <row r="7430">
          <cell r="A7430" t="str">
            <v>GRMZM2G168651</v>
          </cell>
          <cell r="B7430" t="str">
            <v>GO:0005576GO:0005199</v>
          </cell>
        </row>
        <row r="7431">
          <cell r="A7431" t="str">
            <v>GRMZM2G172032</v>
          </cell>
          <cell r="B7431" t="str">
            <v>GO:0003824GO:0008299</v>
          </cell>
        </row>
        <row r="7432">
          <cell r="A7432" t="str">
            <v>GRMZM2G108847</v>
          </cell>
          <cell r="B7432" t="str">
            <v>GO:0004867</v>
          </cell>
        </row>
        <row r="7433">
          <cell r="A7433" t="str">
            <v>GRMZM2G046615</v>
          </cell>
          <cell r="B7433" t="str">
            <v>GO:0016829GO:0000287GO:0008152</v>
          </cell>
        </row>
        <row r="7434">
          <cell r="A7434" t="str">
            <v>GRMZM2G170299</v>
          </cell>
          <cell r="B7434" t="str">
            <v>GO:0003824</v>
          </cell>
        </row>
        <row r="7435">
          <cell r="A7435" t="str">
            <v>GRMZM2G133781</v>
          </cell>
          <cell r="B7435" t="str">
            <v>GO:0005975GO:0004553</v>
          </cell>
        </row>
        <row r="7436">
          <cell r="A7436" t="str">
            <v>GRMZM2G435338</v>
          </cell>
          <cell r="B7436" t="str">
            <v>GO:0003735GO:0006412GO:0005840</v>
          </cell>
        </row>
        <row r="7437">
          <cell r="A7437" t="str">
            <v>GRMZM2G098397</v>
          </cell>
          <cell r="B7437" t="str">
            <v>GO:0006508GO:0016020GO:0016798GO:0004252</v>
          </cell>
        </row>
        <row r="7438">
          <cell r="A7438" t="str">
            <v>GRMZM2G134426</v>
          </cell>
          <cell r="B7438" t="str">
            <v>GO:0005737GO:0004042GO:0006526</v>
          </cell>
        </row>
        <row r="7439">
          <cell r="A7439" t="str">
            <v>GRMZM2G320269</v>
          </cell>
          <cell r="B7439" t="str">
            <v>GO:0004601GO:0006979GO:0020037GO:0009055</v>
          </cell>
        </row>
        <row r="7440">
          <cell r="A7440" t="str">
            <v>GRMZM2G097900</v>
          </cell>
          <cell r="B7440" t="str">
            <v>GO:0005509</v>
          </cell>
        </row>
        <row r="7441">
          <cell r="A7441" t="str">
            <v>GRMZM2G055507</v>
          </cell>
          <cell r="B7441" t="str">
            <v>GO:0003852GO:0009098</v>
          </cell>
        </row>
        <row r="7442">
          <cell r="A7442" t="str">
            <v>GRMZM2G138770</v>
          </cell>
          <cell r="B7442" t="str">
            <v>GO:0017111GO:0005524</v>
          </cell>
        </row>
        <row r="7443">
          <cell r="A7443" t="str">
            <v>GRMZM2G028353</v>
          </cell>
          <cell r="B7443" t="str">
            <v>GO:0016020GO:0016760GO:0008270GO:0005515GO:0030244</v>
          </cell>
        </row>
        <row r="7444">
          <cell r="A7444" t="str">
            <v>GRMZM2G320506</v>
          </cell>
          <cell r="B7444" t="str">
            <v>GO:0004674GO:0006468GO:0004713GO:0005524GO:0005509</v>
          </cell>
        </row>
        <row r="7445">
          <cell r="A7445" t="str">
            <v>GRMZM2G022645</v>
          </cell>
          <cell r="B7445" t="str">
            <v>GO:0004674GO:0006468GO:0004713GO:0005524GO:0016998</v>
          </cell>
        </row>
        <row r="7446">
          <cell r="A7446" t="str">
            <v>GRMZM2G416817</v>
          </cell>
          <cell r="B7446" t="str">
            <v>GO:0004806GO:0006629</v>
          </cell>
        </row>
        <row r="7447">
          <cell r="A7447" t="str">
            <v>GRMZM2G055667</v>
          </cell>
          <cell r="B7447" t="str">
            <v>GO:0005737GO:0006633GO:0016836</v>
          </cell>
        </row>
        <row r="7448">
          <cell r="A7448" t="str">
            <v>GRMZM2G169994</v>
          </cell>
          <cell r="B7448" t="str">
            <v>GO:0008270GO:0005515</v>
          </cell>
        </row>
        <row r="7449">
          <cell r="A7449" t="str">
            <v>GRMZM2G374475</v>
          </cell>
          <cell r="B7449" t="str">
            <v>GO:0006629GO:0016788</v>
          </cell>
        </row>
        <row r="7450">
          <cell r="A7450" t="str">
            <v>GRMZM2G011098</v>
          </cell>
          <cell r="B7450" t="str">
            <v>GO:0017089GO:0005737GO:0046836GO:0051861</v>
          </cell>
        </row>
        <row r="7451">
          <cell r="A7451" t="str">
            <v>AC207309.3_FG007</v>
          </cell>
          <cell r="B7451" t="str">
            <v>GO:0005840GO:0003735GO:0050825GO:0042309GO:0050826GO:0006412</v>
          </cell>
        </row>
        <row r="7452">
          <cell r="A7452" t="str">
            <v>GRMZM2G088964</v>
          </cell>
          <cell r="B7452" t="str">
            <v>GO:0006813GO:0016020GO:0015079</v>
          </cell>
        </row>
        <row r="7453">
          <cell r="A7453" t="str">
            <v>GRMZM2G438673</v>
          </cell>
          <cell r="B7453" t="str">
            <v>GO:0008168GO:0008152</v>
          </cell>
        </row>
        <row r="7454">
          <cell r="A7454" t="str">
            <v>GRMZM2G449950</v>
          </cell>
          <cell r="B7454" t="str">
            <v>GO:0045449GO:0008270GO:0003677</v>
          </cell>
        </row>
        <row r="7455">
          <cell r="A7455" t="str">
            <v>GRMZM2G320325</v>
          </cell>
          <cell r="B7455" t="str">
            <v>GO:0016773GO:0006810GO:0016887GO:0005524</v>
          </cell>
        </row>
        <row r="7456">
          <cell r="A7456" t="str">
            <v>GRMZM2G301089</v>
          </cell>
          <cell r="B7456" t="str">
            <v>GO:0005634GO:0045449GO:0030528</v>
          </cell>
        </row>
        <row r="7457">
          <cell r="A7457" t="str">
            <v>GRMZM2G136353</v>
          </cell>
          <cell r="B7457" t="str">
            <v>GO:0004674GO:0006468GO:0005524GO:0005515GO:0004713</v>
          </cell>
        </row>
        <row r="7458">
          <cell r="A7458" t="str">
            <v>GRMZM2G173067</v>
          </cell>
          <cell r="B7458" t="str">
            <v>GO:0016020GO:0017153GO:0006835</v>
          </cell>
        </row>
        <row r="7459">
          <cell r="A7459" t="str">
            <v>GRMZM2G007249</v>
          </cell>
          <cell r="B7459" t="str">
            <v>GO:0005506GO:0016491</v>
          </cell>
        </row>
        <row r="7460">
          <cell r="A7460" t="str">
            <v>GRMZM2G127336</v>
          </cell>
          <cell r="B7460" t="str">
            <v>GO:0016829GO:0000287GO:0008152</v>
          </cell>
        </row>
        <row r="7461">
          <cell r="A7461" t="str">
            <v>GRMZM2G004060</v>
          </cell>
          <cell r="B7461" t="str">
            <v>GO:0003700GO:0043565GO:0005634GO:0045449</v>
          </cell>
        </row>
        <row r="7462">
          <cell r="A7462" t="str">
            <v>GRMZM2G044128</v>
          </cell>
          <cell r="B7462" t="str">
            <v>GO:0001522GO:0003723GO:0009982</v>
          </cell>
        </row>
        <row r="7463">
          <cell r="A7463" t="str">
            <v>GRMZM2G093826</v>
          </cell>
          <cell r="B7463" t="str">
            <v>GO:0005247GO:0006813GO:0006821GO:0016020GO:0015079</v>
          </cell>
        </row>
        <row r="7464">
          <cell r="A7464" t="str">
            <v>GRMZM2G052720</v>
          </cell>
          <cell r="B7464" t="str">
            <v>GO:0003700GO:0006355GO:0050825GO:0042309GO:0050826</v>
          </cell>
        </row>
        <row r="7465">
          <cell r="A7465" t="str">
            <v>GRMZM2G018416</v>
          </cell>
          <cell r="B7465" t="str">
            <v>GO:0006071GO:0006629GO:0008889</v>
          </cell>
        </row>
        <row r="7466">
          <cell r="A7466" t="str">
            <v>GRMZM2G016236</v>
          </cell>
          <cell r="B7466" t="str">
            <v>GO:0055114GO:0016491</v>
          </cell>
        </row>
        <row r="7467">
          <cell r="A7467" t="str">
            <v>GRMZM2G147775</v>
          </cell>
          <cell r="B7467" t="str">
            <v>GO:0003779GO:0005622</v>
          </cell>
        </row>
        <row r="7468">
          <cell r="A7468" t="str">
            <v>GRMZM2G140160</v>
          </cell>
          <cell r="B7468" t="str">
            <v>GO:0008270GO:0005515</v>
          </cell>
        </row>
        <row r="7469">
          <cell r="A7469" t="str">
            <v>GRMZM2G310368</v>
          </cell>
          <cell r="B7469" t="str">
            <v>GO:0003700GO:0006355</v>
          </cell>
        </row>
        <row r="7470">
          <cell r="A7470" t="str">
            <v>GRMZM2G368886</v>
          </cell>
          <cell r="B7470" t="str">
            <v>GO:0009664GO:0005576</v>
          </cell>
        </row>
        <row r="7471">
          <cell r="A7471" t="str">
            <v>GRMZM2G000209</v>
          </cell>
          <cell r="B7471" t="str">
            <v>GO:0016020</v>
          </cell>
        </row>
        <row r="7472">
          <cell r="A7472" t="str">
            <v>GRMZM2G006452</v>
          </cell>
          <cell r="B7472" t="str">
            <v>GO:0016887GO:0005694GO:0051276GO:0005515GO:0005524</v>
          </cell>
        </row>
        <row r="7473">
          <cell r="A7473" t="str">
            <v>GRMZM2G020938</v>
          </cell>
          <cell r="B7473" t="str">
            <v>GO:0004674GO:0006468GO:0004713GO:0005524</v>
          </cell>
        </row>
        <row r="7474">
          <cell r="A7474" t="str">
            <v>GRMZM2G136859</v>
          </cell>
          <cell r="B7474" t="str">
            <v>GO:0046872GO:0015097GO:0015694</v>
          </cell>
        </row>
        <row r="7475">
          <cell r="A7475" t="str">
            <v>GRMZM2G047055</v>
          </cell>
          <cell r="B7475" t="str">
            <v>GO:0005524GO:0005515</v>
          </cell>
        </row>
        <row r="7476">
          <cell r="A7476" t="str">
            <v>GRMZM2G176394</v>
          </cell>
          <cell r="B7476" t="str">
            <v>GO:0005515</v>
          </cell>
        </row>
        <row r="7477">
          <cell r="A7477" t="str">
            <v>GRMZM2G176397</v>
          </cell>
          <cell r="B7477" t="str">
            <v>GO:0051539GO:0008152</v>
          </cell>
        </row>
        <row r="7478">
          <cell r="A7478" t="str">
            <v>GRMZM2G013530</v>
          </cell>
          <cell r="B7478" t="str">
            <v>GO:0016747</v>
          </cell>
        </row>
        <row r="7479">
          <cell r="A7479" t="str">
            <v>GRMZM2G049229</v>
          </cell>
          <cell r="B7479" t="str">
            <v>GO:0005634GO:0045449GO:0030528</v>
          </cell>
        </row>
        <row r="7480">
          <cell r="A7480" t="str">
            <v>GRMZM2G093849</v>
          </cell>
          <cell r="B7480" t="str">
            <v>GO:0016020</v>
          </cell>
        </row>
        <row r="7481">
          <cell r="A7481" t="str">
            <v>GRMZM2G099598</v>
          </cell>
          <cell r="B7481" t="str">
            <v>GO:0004674GO:0006468GO:0004713GO:0005524</v>
          </cell>
        </row>
        <row r="7482">
          <cell r="A7482" t="str">
            <v>GRMZM2G104041</v>
          </cell>
          <cell r="B7482" t="str">
            <v>GO:0046872GO:0030001</v>
          </cell>
        </row>
        <row r="7483">
          <cell r="A7483" t="str">
            <v>GRMZM2G029912</v>
          </cell>
          <cell r="B7483" t="str">
            <v>GO:0006633GO:0005506GO:0005783GO:0055114GO:0016491</v>
          </cell>
        </row>
        <row r="7484">
          <cell r="A7484" t="str">
            <v>GRMZM2G046297</v>
          </cell>
          <cell r="B7484" t="str">
            <v>GO:0004674GO:0006468GO:0004713GO:0005524</v>
          </cell>
        </row>
        <row r="7485">
          <cell r="A7485" t="str">
            <v>GRMZM2G115705</v>
          </cell>
          <cell r="B7485" t="str">
            <v>GO:0006468GO:0004674GO:0005529GO:0004713GO:0005524GO:0048544</v>
          </cell>
        </row>
        <row r="7486">
          <cell r="A7486" t="str">
            <v>GRMZM2G355572</v>
          </cell>
          <cell r="B7486" t="str">
            <v>GO:0004623GO:0006644GO:0016042</v>
          </cell>
        </row>
        <row r="7487">
          <cell r="A7487" t="str">
            <v>GRMZM2G049070</v>
          </cell>
          <cell r="B7487" t="str">
            <v>GO:0008270GO:0005515</v>
          </cell>
        </row>
        <row r="7488">
          <cell r="A7488" t="str">
            <v>GRMZM2G036448</v>
          </cell>
          <cell r="B7488" t="str">
            <v>GO:0006865GO:0007186GO:0016021GO:0017153GO:0006835</v>
          </cell>
        </row>
        <row r="7489">
          <cell r="A7489" t="str">
            <v>GRMZM2G164405</v>
          </cell>
          <cell r="B7489" t="str">
            <v>GO:0016847GO:0009058GO:0030170GO:0016769</v>
          </cell>
        </row>
        <row r="7490">
          <cell r="A7490" t="str">
            <v>GRMZM2G075502</v>
          </cell>
          <cell r="B7490" t="str">
            <v>GO:0006334GO:0050826GO:0030001GO:0042309GO:0000786GO:0050825GO:0046872GO:0003677</v>
          </cell>
        </row>
        <row r="7491">
          <cell r="A7491" t="str">
            <v>GRMZM2G014560</v>
          </cell>
          <cell r="B7491" t="str">
            <v>GO:0004674GO:0006468GO:0004713GO:0005524</v>
          </cell>
        </row>
        <row r="7492">
          <cell r="A7492" t="str">
            <v>GRMZM2G051619</v>
          </cell>
          <cell r="B7492" t="str">
            <v>GO:0005506GO:0050826GO:0050825GO:0042309GO:0016491</v>
          </cell>
        </row>
        <row r="7493">
          <cell r="A7493" t="str">
            <v>GRMZM2G002704</v>
          </cell>
          <cell r="B7493" t="str">
            <v>GO:0016491</v>
          </cell>
        </row>
        <row r="7494">
          <cell r="A7494" t="str">
            <v>GRMZM2G042895</v>
          </cell>
          <cell r="B7494" t="str">
            <v>GO:0005634GO:0045449GO:0030528</v>
          </cell>
        </row>
        <row r="7495">
          <cell r="A7495" t="str">
            <v>GRMZM2G002178</v>
          </cell>
          <cell r="B7495" t="str">
            <v>GO:0004497GO:0020037GO:0009055</v>
          </cell>
        </row>
        <row r="7496">
          <cell r="A7496" t="str">
            <v>GRMZM2G013324</v>
          </cell>
          <cell r="B7496" t="str">
            <v>GO:0006071GO:0006629GO:0008889</v>
          </cell>
        </row>
        <row r="7497">
          <cell r="A7497" t="str">
            <v>GRMZM2G438438</v>
          </cell>
          <cell r="B7497" t="str">
            <v>GO:0005634GO:0003677GO:0006355GO:0050825GO:0042309GO:0050826GO:0004879</v>
          </cell>
        </row>
        <row r="7498">
          <cell r="A7498" t="str">
            <v>GRMZM2G031790</v>
          </cell>
          <cell r="B7498" t="str">
            <v>GO:0006633GO:0016020GO:0008415</v>
          </cell>
        </row>
        <row r="7499">
          <cell r="A7499" t="str">
            <v>GRMZM2G010321</v>
          </cell>
          <cell r="B7499" t="str">
            <v>GO:0005960GO:0006546</v>
          </cell>
        </row>
        <row r="7500">
          <cell r="A7500" t="str">
            <v>GRMZM2G012758</v>
          </cell>
          <cell r="B7500" t="str">
            <v>GO:0005975GO:0004553</v>
          </cell>
        </row>
        <row r="7501">
          <cell r="A7501" t="str">
            <v>GRMZM2G042758</v>
          </cell>
          <cell r="B7501" t="str">
            <v>GO:0016887GO:0006629GO:0016788GO:0005524</v>
          </cell>
        </row>
        <row r="7502">
          <cell r="A7502" t="str">
            <v>GRMZM2G053833</v>
          </cell>
          <cell r="B7502" t="str">
            <v>GO:0005509</v>
          </cell>
        </row>
        <row r="7503">
          <cell r="A7503" t="str">
            <v>GRMZM2G141607</v>
          </cell>
          <cell r="B7503" t="str">
            <v>GO:0009239GO:0005488GO:0008667</v>
          </cell>
        </row>
        <row r="7504">
          <cell r="A7504" t="str">
            <v>GRMZM2G071771</v>
          </cell>
          <cell r="B7504" t="str">
            <v>GO:0008289GO:0006869</v>
          </cell>
        </row>
        <row r="7505">
          <cell r="A7505" t="str">
            <v>GRMZM2G142898</v>
          </cell>
          <cell r="B7505" t="str">
            <v>GO:0016020GO:0016760GO:0008270GO:0005515GO:0030244</v>
          </cell>
        </row>
        <row r="7506">
          <cell r="A7506" t="str">
            <v>GRMZM2G322723</v>
          </cell>
          <cell r="B7506" t="str">
            <v>GO:0006468GO:0004674GO:0005529GO:0004713GO:0005524GO:0048544</v>
          </cell>
        </row>
        <row r="7507">
          <cell r="A7507" t="str">
            <v>GRMZM2G139467</v>
          </cell>
          <cell r="B7507" t="str">
            <v>GO:0004497GO:0020037GO:0009055</v>
          </cell>
        </row>
        <row r="7508">
          <cell r="A7508" t="str">
            <v>GRMZM2G378452</v>
          </cell>
          <cell r="B7508" t="str">
            <v>GO:0006468GO:0004674GO:0050825GO:0004713GO:0042309GO:0050826GO:0005524</v>
          </cell>
        </row>
        <row r="7509">
          <cell r="A7509" t="str">
            <v>GRMZM2G063717</v>
          </cell>
          <cell r="B7509" t="str">
            <v>GO:0005509</v>
          </cell>
        </row>
        <row r="7510">
          <cell r="A7510" t="str">
            <v>AC148152.3_FG008</v>
          </cell>
          <cell r="B7510" t="str">
            <v>GO:0005975GO:0004553</v>
          </cell>
        </row>
        <row r="7511">
          <cell r="A7511" t="str">
            <v>GRMZM2G074896</v>
          </cell>
          <cell r="B7511" t="str">
            <v>GO:0016757</v>
          </cell>
        </row>
        <row r="7512">
          <cell r="A7512" t="str">
            <v>GRMZM2G078143</v>
          </cell>
          <cell r="B7512" t="str">
            <v>GO:0006544GO:0004372GO:0006563</v>
          </cell>
        </row>
        <row r="7513">
          <cell r="A7513" t="str">
            <v>GRMZM2G312910</v>
          </cell>
          <cell r="B7513" t="str">
            <v>GO:0005515</v>
          </cell>
        </row>
        <row r="7514">
          <cell r="A7514" t="str">
            <v>GRMZM2G063897</v>
          </cell>
          <cell r="B7514" t="str">
            <v>GO:0004674GO:0006468GO:0004713GO:0005524</v>
          </cell>
        </row>
        <row r="7515">
          <cell r="A7515" t="str">
            <v>GRMZM2G135132</v>
          </cell>
          <cell r="B7515" t="str">
            <v>GO:0005945GO:0004001GO:0006166GO:0006014GO:0003872GO:0006096GO:0004747</v>
          </cell>
        </row>
        <row r="7516">
          <cell r="A7516" t="str">
            <v>GRMZM2G079949</v>
          </cell>
          <cell r="B7516" t="str">
            <v>GO:0016787GO:0008152</v>
          </cell>
        </row>
        <row r="7517">
          <cell r="A7517" t="str">
            <v>GRMZM2G178645</v>
          </cell>
          <cell r="B7517" t="str">
            <v>GO:0017111GO:0005524</v>
          </cell>
        </row>
        <row r="7518">
          <cell r="A7518" t="str">
            <v>GRMZM2G396553</v>
          </cell>
          <cell r="B7518" t="str">
            <v>GO:0008792GO:0006527GO:0008295</v>
          </cell>
        </row>
        <row r="7519">
          <cell r="A7519" t="str">
            <v>GRMZM2G038335</v>
          </cell>
          <cell r="B7519" t="str">
            <v>GO:0008270GO:0005515</v>
          </cell>
        </row>
        <row r="7520">
          <cell r="A7520" t="str">
            <v>GRMZM2G069722</v>
          </cell>
          <cell r="B7520" t="str">
            <v>GO:0004497GO:0020037GO:0009055</v>
          </cell>
        </row>
        <row r="7521">
          <cell r="A7521" t="str">
            <v>GRMZM2G114137</v>
          </cell>
          <cell r="B7521" t="str">
            <v>GO:0008270GO:0005622</v>
          </cell>
        </row>
        <row r="7522">
          <cell r="A7522" t="str">
            <v>GRMZM2G121868</v>
          </cell>
          <cell r="B7522" t="str">
            <v>GO:0016021GO:0006334GO:0000786GO:0005199GO:0006355GO:0004969GO:0003677GO:0007186GO:0005634GO:0004879</v>
          </cell>
        </row>
        <row r="7523">
          <cell r="A7523" t="str">
            <v>GRMZM2G090432</v>
          </cell>
          <cell r="B7523" t="str">
            <v>GO:0004497GO:0020037GO:0009055</v>
          </cell>
        </row>
        <row r="7524">
          <cell r="A7524" t="str">
            <v>GRMZM2G450233</v>
          </cell>
          <cell r="B7524" t="str">
            <v>GO:0004601GO:0006979GO:0020037GO:0009055</v>
          </cell>
        </row>
        <row r="7525">
          <cell r="A7525" t="str">
            <v>GRMZM2G105570</v>
          </cell>
          <cell r="B7525" t="str">
            <v>GO:0016887GO:0005524</v>
          </cell>
        </row>
        <row r="7526">
          <cell r="A7526" t="str">
            <v>GRMZM2G052844</v>
          </cell>
          <cell r="B7526" t="str">
            <v>GO:0003872GO:0005945GO:0006096GO:0004650</v>
          </cell>
        </row>
        <row r="7527">
          <cell r="A7527" t="str">
            <v>GRMZM2G155437</v>
          </cell>
          <cell r="B7527" t="str">
            <v>GO:0042254GO:0005622</v>
          </cell>
        </row>
        <row r="7528">
          <cell r="A7528" t="str">
            <v>GRMZM2G074687</v>
          </cell>
          <cell r="B7528" t="str">
            <v>GO:0006457GO:0005509GO:0051082GO:0005783</v>
          </cell>
        </row>
        <row r="7529">
          <cell r="A7529" t="str">
            <v>GRMZM2G178769</v>
          </cell>
          <cell r="B7529" t="str">
            <v>GO:0016747</v>
          </cell>
        </row>
        <row r="7530">
          <cell r="A7530" t="str">
            <v>GRMZM2G075562</v>
          </cell>
          <cell r="B7530" t="str">
            <v>GO:0008270GO:0005622</v>
          </cell>
        </row>
        <row r="7531">
          <cell r="A7531" t="str">
            <v>GRMZM2G124365</v>
          </cell>
          <cell r="B7531" t="str">
            <v>GO:0004106GO:0009073</v>
          </cell>
        </row>
        <row r="7532">
          <cell r="A7532" t="str">
            <v>GRMZM2G396477</v>
          </cell>
          <cell r="B7532" t="str">
            <v>GO:0005488</v>
          </cell>
        </row>
        <row r="7533">
          <cell r="A7533" t="str">
            <v>GRMZM2G074122</v>
          </cell>
          <cell r="B7533" t="str">
            <v>GO:0006099GO:0008964</v>
          </cell>
        </row>
        <row r="7534">
          <cell r="A7534" t="str">
            <v>GRMZM2G145075</v>
          </cell>
          <cell r="B7534" t="str">
            <v>GO:0004674GO:0006468GO:0004713GO:0005524GO:0005509</v>
          </cell>
        </row>
        <row r="7535">
          <cell r="A7535" t="str">
            <v>GRMZM2G121293</v>
          </cell>
          <cell r="B7535" t="str">
            <v>GO:0006508GO:0043086GO:0042802GO:0004252</v>
          </cell>
        </row>
        <row r="7536">
          <cell r="A7536" t="str">
            <v>GRMZM2G060742</v>
          </cell>
          <cell r="B7536" t="str">
            <v>GO:0015105GO:0015746GO:0016021GO:0015137</v>
          </cell>
        </row>
        <row r="7537">
          <cell r="A7537" t="str">
            <v>GRMZM2G301860</v>
          </cell>
          <cell r="B7537" t="str">
            <v>GO:0003700GO:0006355GO:0050825GO:0042309GO:0050826</v>
          </cell>
        </row>
        <row r="7538">
          <cell r="A7538" t="str">
            <v>GRMZM2G158359</v>
          </cell>
          <cell r="B7538" t="str">
            <v>GO:0004674GO:0006468GO:0005524GO:0005515GO:0004713</v>
          </cell>
        </row>
        <row r="7539">
          <cell r="A7539" t="str">
            <v>GRMZM2G058149</v>
          </cell>
          <cell r="B7539" t="str">
            <v>GO:0004806GO:0006629</v>
          </cell>
        </row>
        <row r="7540">
          <cell r="A7540" t="str">
            <v>GRMZM2G379005</v>
          </cell>
          <cell r="B7540" t="str">
            <v>GO:0043565GO:0003700GO:0005634GO:0006355GO:0050825GO:0008270GO:0042309GO:0050826</v>
          </cell>
        </row>
        <row r="7541">
          <cell r="A7541" t="str">
            <v>GRMZM2G072529</v>
          </cell>
          <cell r="B7541" t="str">
            <v>GO:0005506GO:0016491</v>
          </cell>
        </row>
        <row r="7542">
          <cell r="A7542" t="str">
            <v>GRMZM2G015295</v>
          </cell>
          <cell r="B7542" t="str">
            <v>GO:0004013GO:0048037GO:0006730GO:0016616</v>
          </cell>
        </row>
        <row r="7543">
          <cell r="A7543" t="str">
            <v>GRMZM2G009353</v>
          </cell>
          <cell r="B7543" t="str">
            <v>GO:0006813GO:0016020GO:0015079</v>
          </cell>
        </row>
        <row r="7544">
          <cell r="A7544" t="str">
            <v>GRMZM2G078569</v>
          </cell>
          <cell r="B7544" t="str">
            <v>GO:0006629GO:0016491</v>
          </cell>
        </row>
        <row r="7545">
          <cell r="A7545" t="str">
            <v>GRMZM2G083894</v>
          </cell>
          <cell r="B7545" t="str">
            <v>GO:0008270GO:0003677</v>
          </cell>
        </row>
        <row r="7546">
          <cell r="A7546" t="str">
            <v>EF517601.1_FG010</v>
          </cell>
          <cell r="B7546" t="str">
            <v>GO:0003677</v>
          </cell>
        </row>
        <row r="7547">
          <cell r="A7547" t="str">
            <v>GRMZM2G114552</v>
          </cell>
          <cell r="B7547" t="str">
            <v>GO:0005576GO:0004867</v>
          </cell>
        </row>
        <row r="7548">
          <cell r="A7548" t="str">
            <v>GRMZM2G153675</v>
          </cell>
          <cell r="B7548" t="str">
            <v>GO:0003824</v>
          </cell>
        </row>
        <row r="7549">
          <cell r="A7549" t="str">
            <v>GRMZM2G019926</v>
          </cell>
          <cell r="B7549" t="str">
            <v>GO:0006807GO:0004086GO:0005524GO:0009374</v>
          </cell>
        </row>
        <row r="7550">
          <cell r="A7550" t="str">
            <v>AC210013.4_FG019</v>
          </cell>
          <cell r="B7550" t="str">
            <v>GO:0003735GO:0015935GO:0006412GO:0003723</v>
          </cell>
        </row>
        <row r="7551">
          <cell r="A7551" t="str">
            <v>GRMZM2G082959</v>
          </cell>
          <cell r="B7551" t="str">
            <v>GO:0016787GO:0008152</v>
          </cell>
        </row>
        <row r="7552">
          <cell r="A7552" t="str">
            <v>GRMZM2G442387</v>
          </cell>
          <cell r="B7552" t="str">
            <v>GO:0005488</v>
          </cell>
        </row>
        <row r="7553">
          <cell r="A7553" t="str">
            <v>GRMZM2G023748</v>
          </cell>
          <cell r="B7553" t="str">
            <v>GO:0003723GO:0006396</v>
          </cell>
        </row>
        <row r="7554">
          <cell r="A7554" t="str">
            <v>GRMZM2G068917</v>
          </cell>
          <cell r="B7554" t="str">
            <v>GO:0003824GO:0044237GO:0050662</v>
          </cell>
        </row>
        <row r="7555">
          <cell r="A7555" t="str">
            <v>GRMZM2G301885</v>
          </cell>
          <cell r="B7555" t="str">
            <v>GO:0022891GO:0016021GO:0055085</v>
          </cell>
        </row>
        <row r="7556">
          <cell r="A7556" t="str">
            <v>GRMZM2G152417</v>
          </cell>
          <cell r="B7556" t="str">
            <v>GO:0003824GO:0008152</v>
          </cell>
        </row>
        <row r="7557">
          <cell r="A7557" t="str">
            <v>GRMZM2G124815</v>
          </cell>
          <cell r="B7557" t="str">
            <v>GO:0016747</v>
          </cell>
        </row>
        <row r="7558">
          <cell r="A7558" t="str">
            <v>GRMZM2G072808</v>
          </cell>
          <cell r="B7558" t="str">
            <v>GO:0048046GO:0005507GO:0046274GO:0008471GO:0055114</v>
          </cell>
        </row>
        <row r="7559">
          <cell r="A7559" t="str">
            <v>GRMZM2G375504</v>
          </cell>
          <cell r="B7559" t="str">
            <v>GO:0005737GO:0004349GO:0004350GO:0006561</v>
          </cell>
        </row>
        <row r="7560">
          <cell r="A7560" t="str">
            <v>GRMZM2G152555</v>
          </cell>
          <cell r="B7560" t="str">
            <v>GO:0008137GO:0042773GO:0006364</v>
          </cell>
        </row>
        <row r="7561">
          <cell r="A7561" t="str">
            <v>GRMZM2G399136</v>
          </cell>
          <cell r="B7561" t="str">
            <v>GO:0031072GO:0006457GO:0051082</v>
          </cell>
        </row>
        <row r="7562">
          <cell r="A7562" t="str">
            <v>GRMZM2G005298</v>
          </cell>
          <cell r="B7562" t="str">
            <v>GO:0008198GO:0005975GO:0006725GO:0004553</v>
          </cell>
        </row>
        <row r="7563">
          <cell r="A7563" t="str">
            <v>GRMZM2G379686</v>
          </cell>
          <cell r="B7563" t="str">
            <v>GO:0006812GO:0016020GO:0008324</v>
          </cell>
        </row>
        <row r="7564">
          <cell r="A7564" t="str">
            <v>GRMZM2G083526</v>
          </cell>
          <cell r="B7564" t="str">
            <v>GO:0006633GO:0005506GO:0005783GO:0055114GO:0016491</v>
          </cell>
        </row>
        <row r="7565">
          <cell r="A7565" t="str">
            <v>GRMZM2G124473</v>
          </cell>
          <cell r="B7565" t="str">
            <v>GO:0005198</v>
          </cell>
        </row>
        <row r="7566">
          <cell r="A7566" t="str">
            <v>GRMZM2G040890</v>
          </cell>
          <cell r="B7566" t="str">
            <v>GO:0016740GO:0008152</v>
          </cell>
        </row>
        <row r="7567">
          <cell r="A7567" t="str">
            <v>GRMZM2G065585</v>
          </cell>
          <cell r="B7567" t="str">
            <v>GO:0016020GO:0005975GO:0004553</v>
          </cell>
        </row>
        <row r="7568">
          <cell r="A7568" t="str">
            <v>GRMZM2G083130</v>
          </cell>
          <cell r="B7568" t="str">
            <v>GO:0016758GO:0008152</v>
          </cell>
        </row>
        <row r="7569">
          <cell r="A7569" t="str">
            <v>GRMZM2G159285</v>
          </cell>
          <cell r="B7569" t="str">
            <v>GO:0005634GO:0045449</v>
          </cell>
        </row>
        <row r="7570">
          <cell r="A7570" t="str">
            <v>GRMZM2G058310</v>
          </cell>
          <cell r="B7570" t="str">
            <v>GO:0016161GO:0000272</v>
          </cell>
        </row>
        <row r="7571">
          <cell r="A7571" t="str">
            <v>GRMZM2G180080</v>
          </cell>
          <cell r="B7571" t="str">
            <v>GO:0017111GO:0005524</v>
          </cell>
        </row>
        <row r="7572">
          <cell r="A7572" t="str">
            <v>GRMZM2G083091</v>
          </cell>
          <cell r="B7572" t="str">
            <v>GO:0016020</v>
          </cell>
        </row>
        <row r="7573">
          <cell r="A7573" t="str">
            <v>GRMZM2G139600</v>
          </cell>
          <cell r="B7573" t="str">
            <v>GO:0006813GO:0003840GO:0008076GO:0005249</v>
          </cell>
        </row>
        <row r="7574">
          <cell r="A7574" t="str">
            <v>GRMZM2G105330</v>
          </cell>
          <cell r="B7574" t="str">
            <v>GO:0003824GO:0008152</v>
          </cell>
        </row>
        <row r="7575">
          <cell r="A7575" t="str">
            <v>AC199487.4_FG002</v>
          </cell>
          <cell r="B7575" t="str">
            <v>GO:0009611GO:0004867</v>
          </cell>
        </row>
        <row r="7576">
          <cell r="A7576" t="str">
            <v>AC195914.2_FG002</v>
          </cell>
          <cell r="B7576" t="str">
            <v>GO:0006355GO:0005634GO:0004879GO:0003677</v>
          </cell>
        </row>
        <row r="7577">
          <cell r="A7577" t="str">
            <v>GRMZM2G081173</v>
          </cell>
          <cell r="B7577" t="str">
            <v>GO:0022891GO:0016021GO:0050825GO:0042309GO:0050826GO:0055085</v>
          </cell>
        </row>
        <row r="7578">
          <cell r="A7578" t="str">
            <v>GRMZM2G106479</v>
          </cell>
          <cell r="B7578" t="str">
            <v>GO:0004888GO:0007606GO:0016021</v>
          </cell>
        </row>
        <row r="7579">
          <cell r="A7579" t="str">
            <v>GRMZM2G361475</v>
          </cell>
          <cell r="B7579" t="str">
            <v>GO:0004601GO:0006979GO:0020037GO:0009055</v>
          </cell>
        </row>
        <row r="7580">
          <cell r="A7580" t="str">
            <v>GRMZM2G113332</v>
          </cell>
          <cell r="B7580" t="str">
            <v>GO:0005840GO:0003735GO:0050825GO:0015694GO:0042309GO:0050826GO:0046872GO:0015097GO:0006412</v>
          </cell>
        </row>
        <row r="7581">
          <cell r="A7581" t="str">
            <v>GRMZM2G010868</v>
          </cell>
          <cell r="B7581" t="str">
            <v>GO:0008289GO:0006869</v>
          </cell>
        </row>
        <row r="7582">
          <cell r="A7582" t="str">
            <v>GRMZM2G026203</v>
          </cell>
          <cell r="B7582" t="str">
            <v>GO:0004674GO:0006468GO:0004713GO:0005524</v>
          </cell>
        </row>
        <row r="7583">
          <cell r="A7583" t="str">
            <v>GRMZM2G050997</v>
          </cell>
          <cell r="B7583" t="str">
            <v>GO:0050660GO:0009690GO:0019139GO:0009055</v>
          </cell>
        </row>
        <row r="7584">
          <cell r="A7584" t="str">
            <v>GRMZM2G419239</v>
          </cell>
          <cell r="B7584" t="str">
            <v>GO:0050826GO:0050825GO:0042309GO:0003677</v>
          </cell>
        </row>
        <row r="7585">
          <cell r="A7585" t="str">
            <v>GRMZM2G157369</v>
          </cell>
          <cell r="B7585" t="str">
            <v>GO:0004674GO:0006468GO:0005524</v>
          </cell>
        </row>
        <row r="7586">
          <cell r="A7586" t="str">
            <v>GRMZM2G149636</v>
          </cell>
          <cell r="B7586" t="str">
            <v>GO:0006633GO:0016020GO:0008415</v>
          </cell>
        </row>
        <row r="7587">
          <cell r="A7587" t="str">
            <v>GRMZM2G054936</v>
          </cell>
          <cell r="B7587" t="str">
            <v>GO:0004437</v>
          </cell>
        </row>
        <row r="7588">
          <cell r="A7588" t="str">
            <v>GRMZM2G068350</v>
          </cell>
          <cell r="B7588" t="str">
            <v>GO:0016020GO:0015018</v>
          </cell>
        </row>
        <row r="7589">
          <cell r="A7589" t="str">
            <v>GRMZM2G099305</v>
          </cell>
          <cell r="B7589" t="str">
            <v>GO:0008080GO:0008152</v>
          </cell>
        </row>
        <row r="7590">
          <cell r="A7590" t="str">
            <v>GRMZM2G137802</v>
          </cell>
          <cell r="B7590" t="str">
            <v>GO:0003700GO:0043565GO:0005634GO:0045449</v>
          </cell>
        </row>
        <row r="7591">
          <cell r="A7591" t="str">
            <v>GRMZM2G040452</v>
          </cell>
          <cell r="B7591" t="str">
            <v>GO:0003824</v>
          </cell>
        </row>
        <row r="7592">
          <cell r="A7592" t="str">
            <v>GRMZM2G030762</v>
          </cell>
          <cell r="B7592" t="str">
            <v>GO:0005634GO:0030528GO:0045449GO:0008270GO:0006508GO:0004181</v>
          </cell>
        </row>
        <row r="7593">
          <cell r="A7593" t="str">
            <v>GRMZM2G447785</v>
          </cell>
          <cell r="B7593" t="str">
            <v>GO:0005576GO:0004867</v>
          </cell>
        </row>
        <row r="7594">
          <cell r="A7594" t="str">
            <v>GRMZM2G436448</v>
          </cell>
          <cell r="B7594" t="str">
            <v>GO:0004674GO:0006468GO:0004713GO:0005524</v>
          </cell>
        </row>
        <row r="7595">
          <cell r="A7595" t="str">
            <v>GRMZM2G081268</v>
          </cell>
          <cell r="B7595" t="str">
            <v>GO:0046872GO:0004462</v>
          </cell>
        </row>
        <row r="7596">
          <cell r="A7596" t="str">
            <v>GRMZM2G001869</v>
          </cell>
          <cell r="B7596" t="str">
            <v>GO:0006310GO:0005634GO:0006302GO:0005515GO:0003677</v>
          </cell>
        </row>
        <row r="7597">
          <cell r="A7597" t="str">
            <v>GRMZM2G059740</v>
          </cell>
          <cell r="B7597" t="str">
            <v>GO:0004674GO:0006468GO:0004713GO:0005524</v>
          </cell>
        </row>
        <row r="7598">
          <cell r="A7598" t="str">
            <v>GRMZM2G079682</v>
          </cell>
          <cell r="B7598" t="str">
            <v>GO:0016020GO:0003830GO:0006487</v>
          </cell>
        </row>
        <row r="7599">
          <cell r="A7599" t="str">
            <v>GRMZM2G113060</v>
          </cell>
          <cell r="B7599" t="str">
            <v>GO:0003700GO:0006355</v>
          </cell>
        </row>
        <row r="7600">
          <cell r="A7600" t="str">
            <v>GRMZM2G161306</v>
          </cell>
          <cell r="B7600" t="str">
            <v>GO:0046872GO:0009055</v>
          </cell>
        </row>
        <row r="7601">
          <cell r="A7601" t="str">
            <v>GRMZM2G160417</v>
          </cell>
          <cell r="B7601" t="str">
            <v>GO:0006633GO:0016020GO:0008415</v>
          </cell>
        </row>
        <row r="7602">
          <cell r="A7602" t="str">
            <v>GRMZM2G110287</v>
          </cell>
          <cell r="B7602" t="str">
            <v>GO:0003824GO:0016020</v>
          </cell>
        </row>
        <row r="7603">
          <cell r="A7603" t="str">
            <v>GRMZM2G026943</v>
          </cell>
          <cell r="B7603" t="str">
            <v>GO:0006468GO:0004674GO:0004713GO:0005515GO:0005524GO:0031177</v>
          </cell>
        </row>
        <row r="7604">
          <cell r="A7604" t="str">
            <v>GRMZM2G075153</v>
          </cell>
          <cell r="B7604" t="str">
            <v>GO:0006520GO:0030170</v>
          </cell>
        </row>
        <row r="7605">
          <cell r="A7605" t="str">
            <v>GRMZM2G140047</v>
          </cell>
          <cell r="B7605" t="str">
            <v>GO:0009966GO:0009607</v>
          </cell>
        </row>
        <row r="7606">
          <cell r="A7606" t="str">
            <v>GRMZM2G070271</v>
          </cell>
          <cell r="B7606" t="str">
            <v>GO:0005618GO:0048046GO:0016762GO:0006073GO:0004553</v>
          </cell>
        </row>
        <row r="7607">
          <cell r="A7607" t="str">
            <v>GRMZM2G039961</v>
          </cell>
          <cell r="B7607" t="str">
            <v>GO:0015904GO:0016021GO:0015520GO:0051260GO:0050825GO:0042309GO:0050826GO:0046677</v>
          </cell>
        </row>
        <row r="7608">
          <cell r="A7608" t="str">
            <v>GRMZM2G466044</v>
          </cell>
          <cell r="B7608" t="str">
            <v>GO:0003700GO:0006355GO:0050825GO:0042309GO:0050826</v>
          </cell>
        </row>
        <row r="7609">
          <cell r="A7609" t="str">
            <v>GRMZM2G444560</v>
          </cell>
          <cell r="B7609" t="str">
            <v>GO:0017111GO:0005524</v>
          </cell>
        </row>
        <row r="7610">
          <cell r="A7610" t="str">
            <v>GRMZM2G052658</v>
          </cell>
          <cell r="B7610" t="str">
            <v>GO:0004674GO:0006468GO:0004713GO:0005524</v>
          </cell>
        </row>
        <row r="7611">
          <cell r="A7611" t="str">
            <v>GRMZM2G179301</v>
          </cell>
          <cell r="B7611" t="str">
            <v>GO:0016787</v>
          </cell>
        </row>
        <row r="7612">
          <cell r="A7612" t="str">
            <v>GRMZM2G160541</v>
          </cell>
          <cell r="B7612" t="str">
            <v>GO:0005737GO:0009058GO:0016841GO:0016211GO:0006559</v>
          </cell>
        </row>
        <row r="7613">
          <cell r="A7613" t="str">
            <v>GRMZM2G044383</v>
          </cell>
          <cell r="B7613" t="str">
            <v>GO:0005737GO:0004364GO:0008152</v>
          </cell>
        </row>
        <row r="7614">
          <cell r="A7614" t="str">
            <v>GRMZM2G177631</v>
          </cell>
          <cell r="B7614" t="str">
            <v>GO:0016020GO:0016760GO:0008270GO:0005515GO:0030244</v>
          </cell>
        </row>
        <row r="7615">
          <cell r="A7615" t="str">
            <v>GRMZM2G174799</v>
          </cell>
          <cell r="B7615" t="str">
            <v>GO:0006355GO:0005634GO:0004879GO:0003677</v>
          </cell>
        </row>
        <row r="7616">
          <cell r="A7616" t="str">
            <v>GRMZM2G009223</v>
          </cell>
          <cell r="B7616" t="str">
            <v>GO:0005215GO:0016021GO:0006810</v>
          </cell>
        </row>
        <row r="7617">
          <cell r="A7617" t="str">
            <v>GRMZM2G156937</v>
          </cell>
          <cell r="B7617" t="str">
            <v>GO:0032968GO:0003711</v>
          </cell>
        </row>
        <row r="7618">
          <cell r="A7618" t="str">
            <v>GRMZM2G478553</v>
          </cell>
          <cell r="B7618" t="str">
            <v>GO:0008270GO:0005515</v>
          </cell>
        </row>
        <row r="7619">
          <cell r="A7619" t="str">
            <v>GRMZM2G045720</v>
          </cell>
          <cell r="B7619" t="str">
            <v>GO:0005737GO:0006415GO:0016149</v>
          </cell>
        </row>
        <row r="7620">
          <cell r="A7620" t="str">
            <v>GRMZM2G085872</v>
          </cell>
          <cell r="B7620" t="str">
            <v>GO:0016021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始差异数据"/>
      <sheetName val="选择处理行"/>
      <sheetName val="倍数&gt;2"/>
      <sheetName val="up"/>
      <sheetName val="down"/>
      <sheetName val="Sheet1"/>
      <sheetName val="大于2"/>
      <sheetName val="大于2 加注释"/>
      <sheetName val="修饰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gene</v>
          </cell>
          <cell r="B1" t="str">
            <v>GO term</v>
          </cell>
          <cell r="C1" t="str">
            <v>Description</v>
          </cell>
          <cell r="D1" t="str">
            <v>sample_1</v>
          </cell>
          <cell r="E1" t="str">
            <v>sample_2</v>
          </cell>
          <cell r="F1" t="str">
            <v>value_1</v>
          </cell>
          <cell r="G1" t="str">
            <v>value_2</v>
          </cell>
          <cell r="H1" t="str">
            <v>log2(fold_change)</v>
          </cell>
        </row>
        <row r="2">
          <cell r="A2" t="str">
            <v>GRMZM2G055698</v>
          </cell>
          <cell r="B2" t="str">
            <v>GO:0016021</v>
          </cell>
          <cell r="C2" t="str">
            <v>membrane protein</v>
          </cell>
          <cell r="D2" t="str">
            <v>BT0</v>
          </cell>
          <cell r="E2" t="str">
            <v>BT6</v>
          </cell>
          <cell r="F2">
            <v>12.1189</v>
          </cell>
          <cell r="G2">
            <v>4.75237</v>
          </cell>
          <cell r="H2">
            <v>-1.3505400000000001</v>
          </cell>
        </row>
        <row r="3">
          <cell r="A3" t="str">
            <v>GRMZM2G030567</v>
          </cell>
          <cell r="B3" t="str">
            <v>NA</v>
          </cell>
          <cell r="C3" t="str">
            <v>hypothetical protein SORBIDRAFT_01g049390</v>
          </cell>
          <cell r="D3" t="str">
            <v>BT0</v>
          </cell>
          <cell r="E3" t="str">
            <v>BT6</v>
          </cell>
          <cell r="F3">
            <v>3.2798500000000002</v>
          </cell>
          <cell r="G3">
            <v>1.21058</v>
          </cell>
          <cell r="H3">
            <v>-1.4379299999999999</v>
          </cell>
        </row>
        <row r="4">
          <cell r="A4" t="str">
            <v>GRMZM2G092813</v>
          </cell>
          <cell r="B4" t="str">
            <v>GO:0003824GO:0008152</v>
          </cell>
          <cell r="C4" t="str">
            <v>acyl:coa ligase acetate-coa synthetase-like protein</v>
          </cell>
          <cell r="D4" t="str">
            <v>BT0</v>
          </cell>
          <cell r="E4" t="str">
            <v>BT6</v>
          </cell>
          <cell r="F4">
            <v>6.5333800000000002</v>
          </cell>
          <cell r="G4">
            <v>14.4376</v>
          </cell>
          <cell r="H4">
            <v>1.1439299999999999</v>
          </cell>
        </row>
        <row r="5">
          <cell r="A5" t="str">
            <v>GRMZM2G018579</v>
          </cell>
          <cell r="B5" t="str">
            <v>NA</v>
          </cell>
          <cell r="C5" t="str">
            <v>protein</v>
          </cell>
          <cell r="D5" t="str">
            <v>BT0</v>
          </cell>
          <cell r="E5" t="str">
            <v>BT6</v>
          </cell>
          <cell r="F5">
            <v>21.8294</v>
          </cell>
          <cell r="G5">
            <v>10.573399999999999</v>
          </cell>
          <cell r="H5">
            <v>-1.04583</v>
          </cell>
        </row>
        <row r="6">
          <cell r="A6" t="str">
            <v>GRMZM2G132367</v>
          </cell>
          <cell r="B6" t="str">
            <v>GO:0003700GO:0006355GO:0005634GO:0043565</v>
          </cell>
          <cell r="C6" t="str">
            <v>homeodomain-leucine zipper transcription factor ipi-1</v>
          </cell>
          <cell r="D6" t="str">
            <v>BT0</v>
          </cell>
          <cell r="E6" t="str">
            <v>BT6</v>
          </cell>
          <cell r="F6">
            <v>5.4785700000000004</v>
          </cell>
          <cell r="G6">
            <v>2.6592600000000002</v>
          </cell>
          <cell r="H6">
            <v>-1.04277</v>
          </cell>
        </row>
        <row r="7">
          <cell r="A7" t="str">
            <v>GRMZM2G075712</v>
          </cell>
          <cell r="B7" t="str">
            <v>NA</v>
          </cell>
          <cell r="C7" t="str">
            <v>uncharacterized protein LOC100303821</v>
          </cell>
          <cell r="D7" t="str">
            <v>BT0</v>
          </cell>
          <cell r="E7" t="str">
            <v>BT6</v>
          </cell>
          <cell r="F7">
            <v>22.555399999999999</v>
          </cell>
          <cell r="G7">
            <v>11.0549</v>
          </cell>
          <cell r="H7">
            <v>-1.0287900000000001</v>
          </cell>
        </row>
        <row r="8">
          <cell r="A8" t="str">
            <v>GRMZM2G331638</v>
          </cell>
          <cell r="B8" t="str">
            <v>NA</v>
          </cell>
          <cell r="C8" t="str">
            <v>dopamine beta-monooxygenase</v>
          </cell>
          <cell r="D8" t="str">
            <v>BT0</v>
          </cell>
          <cell r="E8" t="str">
            <v>BT6</v>
          </cell>
          <cell r="F8">
            <v>1.2079200000000001</v>
          </cell>
          <cell r="G8">
            <v>0.33419900000000002</v>
          </cell>
          <cell r="H8">
            <v>-1.85375</v>
          </cell>
        </row>
        <row r="9">
          <cell r="A9" t="str">
            <v>GRMZM2G180452</v>
          </cell>
          <cell r="B9" t="str">
            <v>GO:0005634GO:0045449GO:0030528</v>
          </cell>
          <cell r="C9" t="str">
            <v>helix-loop-helix dna-binding domain containing expressed</v>
          </cell>
          <cell r="D9" t="str">
            <v>BT0</v>
          </cell>
          <cell r="E9" t="str">
            <v>BT6</v>
          </cell>
          <cell r="F9">
            <v>1.2195199999999999</v>
          </cell>
          <cell r="G9">
            <v>0.588337</v>
          </cell>
          <cell r="H9">
            <v>-1.05159</v>
          </cell>
        </row>
        <row r="10">
          <cell r="A10" t="str">
            <v>GRMZM2G001079</v>
          </cell>
          <cell r="B10" t="str">
            <v>GO:0016020GO:0015018GO:0050825GO:0042309GO:0050826</v>
          </cell>
          <cell r="C10" t="str">
            <v>glycosyl transferase</v>
          </cell>
          <cell r="D10" t="str">
            <v>BT0</v>
          </cell>
          <cell r="E10" t="str">
            <v>BT6</v>
          </cell>
          <cell r="F10">
            <v>2.3612799999999998</v>
          </cell>
          <cell r="G10">
            <v>1.1736800000000001</v>
          </cell>
          <cell r="H10">
            <v>-1.0085200000000001</v>
          </cell>
        </row>
        <row r="11">
          <cell r="A11" t="str">
            <v>AC208201.3_FG003</v>
          </cell>
          <cell r="B11" t="str">
            <v>NA</v>
          </cell>
          <cell r="C11" t="str">
            <v>NA</v>
          </cell>
          <cell r="D11" t="str">
            <v>BT0</v>
          </cell>
          <cell r="E11" t="str">
            <v>BT6</v>
          </cell>
          <cell r="F11">
            <v>3.9942299999999999</v>
          </cell>
          <cell r="G11">
            <v>1.11087</v>
          </cell>
          <cell r="H11">
            <v>-1.84622</v>
          </cell>
        </row>
        <row r="12">
          <cell r="A12" t="str">
            <v>GRMZM2G112538</v>
          </cell>
          <cell r="B12" t="str">
            <v>GO:0006952GO:0009607</v>
          </cell>
          <cell r="C12" t="str">
            <v>pathogenesis-related protein 1</v>
          </cell>
          <cell r="D12" t="str">
            <v>BT0</v>
          </cell>
          <cell r="E12" t="str">
            <v>BT6</v>
          </cell>
          <cell r="F12">
            <v>13.486599999999999</v>
          </cell>
          <cell r="G12">
            <v>28.3658</v>
          </cell>
          <cell r="H12">
            <v>1.07263</v>
          </cell>
        </row>
        <row r="13">
          <cell r="A13" t="str">
            <v>GRMZM2G318652</v>
          </cell>
          <cell r="B13" t="str">
            <v>GO:0050825GO:0042309GO:0050826</v>
          </cell>
          <cell r="C13" t="str">
            <v>sigma factor binding protein</v>
          </cell>
          <cell r="D13" t="str">
            <v>BT0</v>
          </cell>
          <cell r="E13" t="str">
            <v>BT6</v>
          </cell>
          <cell r="F13">
            <v>8.2099299999999999</v>
          </cell>
          <cell r="G13">
            <v>3.4771700000000001</v>
          </cell>
          <cell r="H13">
            <v>-1.23946</v>
          </cell>
        </row>
        <row r="14">
          <cell r="A14" t="str">
            <v>GRMZM2G107597</v>
          </cell>
          <cell r="B14" t="str">
            <v>NA</v>
          </cell>
          <cell r="C14" t="str">
            <v>bidirectional sugar transporter sweet16-like</v>
          </cell>
          <cell r="D14" t="str">
            <v>BT0</v>
          </cell>
          <cell r="E14" t="str">
            <v>BT6</v>
          </cell>
          <cell r="F14">
            <v>0.94581199999999999</v>
          </cell>
          <cell r="G14">
            <v>0.44248300000000002</v>
          </cell>
          <cell r="H14">
            <v>-1.0959300000000001</v>
          </cell>
        </row>
        <row r="15">
          <cell r="A15" t="str">
            <v>GRMZM2G038153</v>
          </cell>
          <cell r="B15" t="str">
            <v>GO:0016829GO:0000287GO:0008152</v>
          </cell>
          <cell r="C15" t="str">
            <v>terpene synthase 7</v>
          </cell>
          <cell r="D15" t="str">
            <v>BT0</v>
          </cell>
          <cell r="E15" t="str">
            <v>BT6</v>
          </cell>
          <cell r="F15">
            <v>1.19275</v>
          </cell>
          <cell r="G15">
            <v>3.5014500000000002</v>
          </cell>
          <cell r="H15">
            <v>1.55366</v>
          </cell>
        </row>
        <row r="16">
          <cell r="A16" t="str">
            <v>GRMZM2G442387</v>
          </cell>
          <cell r="B16" t="str">
            <v>GO:0005488</v>
          </cell>
          <cell r="C16" t="str">
            <v>binding protein</v>
          </cell>
          <cell r="D16" t="str">
            <v>BT0</v>
          </cell>
          <cell r="E16" t="str">
            <v>BT6</v>
          </cell>
          <cell r="F16">
            <v>5.3591499999999996</v>
          </cell>
          <cell r="G16">
            <v>2.6564299999999998</v>
          </cell>
          <cell r="H16">
            <v>-1.01251</v>
          </cell>
        </row>
        <row r="17">
          <cell r="A17" t="str">
            <v>GRMZM2G311036</v>
          </cell>
          <cell r="B17" t="str">
            <v>GO:0046983GO:0008171</v>
          </cell>
          <cell r="C17" t="str">
            <v>o-methyltransferase zrp4</v>
          </cell>
          <cell r="D17" t="str">
            <v>BT0</v>
          </cell>
          <cell r="E17" t="str">
            <v>BT6</v>
          </cell>
          <cell r="F17">
            <v>6.3867399999999996</v>
          </cell>
          <cell r="G17">
            <v>1.2709900000000001</v>
          </cell>
          <cell r="H17">
            <v>-2.3291300000000001</v>
          </cell>
        </row>
        <row r="18">
          <cell r="A18" t="str">
            <v>GRMZM2G336824</v>
          </cell>
          <cell r="B18" t="str">
            <v>GO:0046983GO:0008171</v>
          </cell>
          <cell r="C18" t="str">
            <v>o-methyltransferase zrp4</v>
          </cell>
          <cell r="D18" t="str">
            <v>BT0</v>
          </cell>
          <cell r="E18" t="str">
            <v>BT6</v>
          </cell>
          <cell r="F18">
            <v>4.0636299999999999</v>
          </cell>
          <cell r="G18">
            <v>0.82154400000000005</v>
          </cell>
          <cell r="H18">
            <v>-2.3063600000000002</v>
          </cell>
        </row>
        <row r="19">
          <cell r="A19" t="str">
            <v>GRMZM2G135913</v>
          </cell>
          <cell r="B19" t="str">
            <v>GO:0016020GO:0017153GO:0006835</v>
          </cell>
          <cell r="C19" t="str">
            <v>auxin-induced protein 5ng4</v>
          </cell>
          <cell r="D19" t="str">
            <v>BT0</v>
          </cell>
          <cell r="E19" t="str">
            <v>BT6</v>
          </cell>
          <cell r="F19">
            <v>1.36585</v>
          </cell>
          <cell r="G19">
            <v>0.50004499999999996</v>
          </cell>
          <cell r="H19">
            <v>-1.44967</v>
          </cell>
        </row>
        <row r="20">
          <cell r="A20" t="str">
            <v>GRMZM2G025190</v>
          </cell>
          <cell r="B20" t="str">
            <v>GO:0005737GO:0004364GO:0008152</v>
          </cell>
          <cell r="C20" t="str">
            <v>probable glutathione s-transferase gstu6-like</v>
          </cell>
          <cell r="D20" t="str">
            <v>BT0</v>
          </cell>
          <cell r="E20" t="str">
            <v>BT6</v>
          </cell>
          <cell r="F20">
            <v>5.7308899999999996</v>
          </cell>
          <cell r="G20">
            <v>19.993600000000001</v>
          </cell>
          <cell r="H20">
            <v>1.80271</v>
          </cell>
        </row>
        <row r="21">
          <cell r="A21" t="str">
            <v>GRMZM2G053720</v>
          </cell>
          <cell r="B21" t="str">
            <v>GO:0004657GO:0006537GO:0006562</v>
          </cell>
          <cell r="C21" t="str">
            <v>proline dehydrogenase</v>
          </cell>
          <cell r="D21" t="str">
            <v>BT0</v>
          </cell>
          <cell r="E21" t="str">
            <v>BT6</v>
          </cell>
          <cell r="F21">
            <v>47.871000000000002</v>
          </cell>
          <cell r="G21">
            <v>22.6873</v>
          </cell>
          <cell r="H21">
            <v>-1.0772699999999999</v>
          </cell>
        </row>
        <row r="22">
          <cell r="A22" t="str">
            <v>GRMZM5G846082</v>
          </cell>
          <cell r="B22" t="str">
            <v>NA</v>
          </cell>
          <cell r="C22" t="str">
            <v>NA</v>
          </cell>
          <cell r="D22" t="str">
            <v>BT0</v>
          </cell>
          <cell r="E22" t="str">
            <v>BT6</v>
          </cell>
          <cell r="F22">
            <v>14.8834</v>
          </cell>
          <cell r="G22">
            <v>30.135200000000001</v>
          </cell>
          <cell r="H22">
            <v>1.0177400000000001</v>
          </cell>
        </row>
        <row r="23">
          <cell r="A23" t="str">
            <v>GRMZM5G855014</v>
          </cell>
          <cell r="B23" t="str">
            <v>NA</v>
          </cell>
          <cell r="C23" t="str">
            <v>unknown</v>
          </cell>
          <cell r="D23" t="str">
            <v>BT0</v>
          </cell>
          <cell r="E23" t="str">
            <v>BT6</v>
          </cell>
          <cell r="F23">
            <v>0</v>
          </cell>
          <cell r="G23">
            <v>1.36839</v>
          </cell>
          <cell r="H23" t="str">
            <v>BD</v>
          </cell>
        </row>
        <row r="24">
          <cell r="A24" t="str">
            <v>GRMZM2G428216</v>
          </cell>
          <cell r="B24" t="str">
            <v>NA</v>
          </cell>
          <cell r="C24" t="str">
            <v>uncharacterized protein LOC100276732</v>
          </cell>
          <cell r="D24" t="str">
            <v>BT0</v>
          </cell>
          <cell r="E24" t="str">
            <v>BT6</v>
          </cell>
          <cell r="F24">
            <v>983.79899999999998</v>
          </cell>
          <cell r="G24">
            <v>491.03800000000001</v>
          </cell>
          <cell r="H24">
            <v>-1.0025299999999999</v>
          </cell>
        </row>
        <row r="25">
          <cell r="A25" t="str">
            <v>GRMZM2G024927</v>
          </cell>
          <cell r="B25" t="str">
            <v>NA</v>
          </cell>
          <cell r="C25" t="str">
            <v>uncharacterized protein LOC100383747</v>
          </cell>
          <cell r="D25" t="str">
            <v>BT0</v>
          </cell>
          <cell r="E25" t="str">
            <v>BT6</v>
          </cell>
          <cell r="F25">
            <v>0.63086699999999996</v>
          </cell>
          <cell r="G25">
            <v>1.3561799999999999</v>
          </cell>
          <cell r="H25">
            <v>1.1041399999999999</v>
          </cell>
        </row>
        <row r="26">
          <cell r="A26" t="str">
            <v>GRMZM2G037265</v>
          </cell>
          <cell r="B26" t="str">
            <v>NA</v>
          </cell>
          <cell r="C26" t="str">
            <v>alkaline alpha-galactosidase seed imbibition protein</v>
          </cell>
          <cell r="D26" t="str">
            <v>BT0</v>
          </cell>
          <cell r="E26" t="str">
            <v>BT6</v>
          </cell>
          <cell r="F26">
            <v>71.504800000000003</v>
          </cell>
          <cell r="G26">
            <v>30.607299999999999</v>
          </cell>
          <cell r="H26">
            <v>-1.22417</v>
          </cell>
        </row>
        <row r="27">
          <cell r="A27" t="str">
            <v>GRMZM2G050177</v>
          </cell>
          <cell r="B27" t="str">
            <v>NA</v>
          </cell>
          <cell r="C27" t="str">
            <v>alkaline alpha-galactosidase seed imbibition protein</v>
          </cell>
          <cell r="D27" t="str">
            <v>BT0</v>
          </cell>
          <cell r="E27" t="str">
            <v>BT6</v>
          </cell>
          <cell r="F27">
            <v>39.959400000000002</v>
          </cell>
          <cell r="G27">
            <v>17.9422</v>
          </cell>
          <cell r="H27">
            <v>-1.1551800000000001</v>
          </cell>
        </row>
        <row r="28">
          <cell r="A28" t="str">
            <v>GRMZM2G309731</v>
          </cell>
          <cell r="B28" t="str">
            <v>GO:0003700GO:0006355</v>
          </cell>
          <cell r="C28" t="str">
            <v>ethylene-responsive transcription factor</v>
          </cell>
          <cell r="D28" t="str">
            <v>BT0</v>
          </cell>
          <cell r="E28" t="str">
            <v>BT6</v>
          </cell>
          <cell r="F28">
            <v>4.7065599999999996</v>
          </cell>
          <cell r="G28">
            <v>2.1154799999999998</v>
          </cell>
          <cell r="H28">
            <v>-1.1536900000000001</v>
          </cell>
        </row>
        <row r="29">
          <cell r="A29" t="str">
            <v>GRMZM2G101245</v>
          </cell>
          <cell r="B29" t="str">
            <v>GO:0004674GO:0006468GO:0004713GO:0005524</v>
          </cell>
          <cell r="C29" t="str">
            <v>avr9 cf-9 rapidly elicited protein</v>
          </cell>
          <cell r="D29" t="str">
            <v>BT0</v>
          </cell>
          <cell r="E29" t="str">
            <v>BT6</v>
          </cell>
          <cell r="F29">
            <v>6.2652000000000001</v>
          </cell>
          <cell r="G29">
            <v>2.33569</v>
          </cell>
          <cell r="H29">
            <v>-1.4235100000000001</v>
          </cell>
        </row>
        <row r="30">
          <cell r="A30" t="str">
            <v>GRMZM2G401147</v>
          </cell>
          <cell r="B30" t="str">
            <v>GO:0006334GO:0003677GO:0005634GO:0000786</v>
          </cell>
          <cell r="C30" t="str">
            <v>histone</v>
          </cell>
          <cell r="D30" t="str">
            <v>BT0</v>
          </cell>
          <cell r="E30" t="str">
            <v>BT6</v>
          </cell>
          <cell r="F30">
            <v>22.2803</v>
          </cell>
          <cell r="G30">
            <v>9.3444400000000005</v>
          </cell>
          <cell r="H30">
            <v>-1.25359</v>
          </cell>
        </row>
        <row r="31">
          <cell r="A31" t="str">
            <v>GRMZM2G450498</v>
          </cell>
          <cell r="B31" t="str">
            <v>GO:0006520GO:0030170</v>
          </cell>
          <cell r="C31" t="str">
            <v>o-succinylhomoserine sulfhydrylase</v>
          </cell>
          <cell r="D31" t="str">
            <v>BT0</v>
          </cell>
          <cell r="E31" t="str">
            <v>BT6</v>
          </cell>
          <cell r="F31">
            <v>81.445899999999995</v>
          </cell>
          <cell r="G31">
            <v>26.928100000000001</v>
          </cell>
          <cell r="H31">
            <v>-1.59673</v>
          </cell>
        </row>
        <row r="32">
          <cell r="A32" t="str">
            <v>AC212023.4_FG004</v>
          </cell>
          <cell r="B32" t="str">
            <v>GO:0004857GO:0030599</v>
          </cell>
          <cell r="C32" t="str">
            <v>NA</v>
          </cell>
          <cell r="D32" t="str">
            <v>BT0</v>
          </cell>
          <cell r="E32" t="str">
            <v>BT6</v>
          </cell>
          <cell r="F32">
            <v>222.816</v>
          </cell>
          <cell r="G32">
            <v>468.31900000000002</v>
          </cell>
          <cell r="H32">
            <v>1.0716399999999999</v>
          </cell>
        </row>
        <row r="33">
          <cell r="A33" t="str">
            <v>GRMZM2G154090</v>
          </cell>
          <cell r="B33" t="str">
            <v>GO:0005315GO:0016021GO:0006817</v>
          </cell>
          <cell r="C33" t="str">
            <v>phosphate transporter 4</v>
          </cell>
          <cell r="D33" t="str">
            <v>BT0</v>
          </cell>
          <cell r="E33" t="str">
            <v>BT6</v>
          </cell>
          <cell r="F33">
            <v>0.23900299999999999</v>
          </cell>
          <cell r="G33">
            <v>1.0455700000000001</v>
          </cell>
          <cell r="H33">
            <v>2.1291899999999999</v>
          </cell>
        </row>
        <row r="34">
          <cell r="A34" t="str">
            <v>GRMZM5G827939</v>
          </cell>
          <cell r="B34" t="str">
            <v>NA</v>
          </cell>
          <cell r="C34" t="str">
            <v>-dihydroxy-3-keto-5-methylthiopentene dioxygenase 4</v>
          </cell>
          <cell r="D34" t="str">
            <v>BT0</v>
          </cell>
          <cell r="E34" t="str">
            <v>BT6</v>
          </cell>
          <cell r="F34">
            <v>1.17746</v>
          </cell>
          <cell r="G34">
            <v>12.6069</v>
          </cell>
          <cell r="H34">
            <v>3.4204599999999998</v>
          </cell>
        </row>
        <row r="35">
          <cell r="A35" t="str">
            <v>GRMZM2G162505</v>
          </cell>
          <cell r="B35" t="str">
            <v>GO:0004568GO:0006032</v>
          </cell>
          <cell r="C35" t="str">
            <v>chitinase 2-like</v>
          </cell>
          <cell r="D35" t="str">
            <v>BT0</v>
          </cell>
          <cell r="E35" t="str">
            <v>BT6</v>
          </cell>
          <cell r="F35">
            <v>2.0632700000000002</v>
          </cell>
          <cell r="G35">
            <v>8.9163999999999994</v>
          </cell>
          <cell r="H35">
            <v>2.1115300000000001</v>
          </cell>
        </row>
        <row r="36">
          <cell r="A36" t="str">
            <v>GRMZM2G081554</v>
          </cell>
          <cell r="B36" t="str">
            <v>GO:0016829GO:0000287GO:0008152</v>
          </cell>
          <cell r="C36" t="str">
            <v>ent-copalyl diphosphate synthase</v>
          </cell>
          <cell r="D36" t="str">
            <v>BT0</v>
          </cell>
          <cell r="E36" t="str">
            <v>BT6</v>
          </cell>
          <cell r="F36">
            <v>0.364124</v>
          </cell>
          <cell r="G36">
            <v>1.16787</v>
          </cell>
          <cell r="H36">
            <v>1.68137</v>
          </cell>
        </row>
        <row r="37">
          <cell r="A37" t="str">
            <v>GRMZM2G138455</v>
          </cell>
          <cell r="B37" t="str">
            <v>GO:0045449GO:0008270GO:0003677</v>
          </cell>
          <cell r="C37" t="str">
            <v>dof-type zinc finger protein</v>
          </cell>
          <cell r="D37" t="str">
            <v>BT0</v>
          </cell>
          <cell r="E37" t="str">
            <v>BT6</v>
          </cell>
          <cell r="F37">
            <v>1.1084400000000001</v>
          </cell>
          <cell r="G37">
            <v>0.54420800000000003</v>
          </cell>
          <cell r="H37">
            <v>-1.0262899999999999</v>
          </cell>
        </row>
        <row r="38">
          <cell r="A38" t="str">
            <v>GRMZM2G171118</v>
          </cell>
          <cell r="B38" t="str">
            <v>GO:0004497GO:0020037GO:0009055</v>
          </cell>
          <cell r="C38" t="str">
            <v>cytochrome p450 family expressed</v>
          </cell>
          <cell r="D38" t="str">
            <v>BT0</v>
          </cell>
          <cell r="E38" t="str">
            <v>BT6</v>
          </cell>
          <cell r="F38">
            <v>1.8273999999999999</v>
          </cell>
          <cell r="G38">
            <v>4.7256900000000002</v>
          </cell>
          <cell r="H38">
            <v>1.37073</v>
          </cell>
        </row>
        <row r="39">
          <cell r="A39" t="str">
            <v>GRMZM5G859316</v>
          </cell>
          <cell r="B39" t="str">
            <v>NA</v>
          </cell>
          <cell r="C39" t="str">
            <v>beta-expansin 4 precursor</v>
          </cell>
          <cell r="D39" t="str">
            <v>BT0</v>
          </cell>
          <cell r="E39" t="str">
            <v>BT6</v>
          </cell>
          <cell r="F39">
            <v>17.822399999999998</v>
          </cell>
          <cell r="G39">
            <v>6.1206899999999997</v>
          </cell>
          <cell r="H39">
            <v>-1.54192</v>
          </cell>
        </row>
        <row r="40">
          <cell r="A40" t="str">
            <v>GRMZM5G872578</v>
          </cell>
          <cell r="B40" t="str">
            <v>NA</v>
          </cell>
          <cell r="C40" t="str">
            <v>f-box domain containing expressed</v>
          </cell>
          <cell r="D40" t="str">
            <v>BT0</v>
          </cell>
          <cell r="E40" t="str">
            <v>BT6</v>
          </cell>
          <cell r="F40">
            <v>2.3613400000000002</v>
          </cell>
          <cell r="G40">
            <v>0.97677000000000003</v>
          </cell>
          <cell r="H40">
            <v>-1.2735099999999999</v>
          </cell>
        </row>
        <row r="41">
          <cell r="A41" t="str">
            <v>GRMZM2G341410</v>
          </cell>
          <cell r="B41" t="str">
            <v>GO:0005515</v>
          </cell>
          <cell r="C41" t="str">
            <v>leucine-rich repeat extensin-like protein 6-like</v>
          </cell>
          <cell r="D41" t="str">
            <v>BT0</v>
          </cell>
          <cell r="E41" t="str">
            <v>BT6</v>
          </cell>
          <cell r="F41">
            <v>1.26651</v>
          </cell>
          <cell r="G41">
            <v>0.52339999999999998</v>
          </cell>
          <cell r="H41">
            <v>-1.2748699999999999</v>
          </cell>
        </row>
        <row r="42">
          <cell r="A42" t="str">
            <v>GRMZM2G149219</v>
          </cell>
          <cell r="B42" t="str">
            <v>GO:0003700GO:0043565GO:0005634GO:0045449</v>
          </cell>
          <cell r="C42" t="str">
            <v>dna-binding protein</v>
          </cell>
          <cell r="D42" t="str">
            <v>BT0</v>
          </cell>
          <cell r="E42" t="str">
            <v>BT6</v>
          </cell>
          <cell r="F42">
            <v>4.0621799999999997</v>
          </cell>
          <cell r="G42">
            <v>0.99835700000000005</v>
          </cell>
          <cell r="H42">
            <v>-2.0246300000000002</v>
          </cell>
        </row>
        <row r="43">
          <cell r="A43" t="str">
            <v>GRMZM2G143142</v>
          </cell>
          <cell r="B43" t="str">
            <v>NA</v>
          </cell>
          <cell r="C43" t="str">
            <v>NA</v>
          </cell>
          <cell r="D43" t="str">
            <v>BT0</v>
          </cell>
          <cell r="E43" t="str">
            <v>BT6</v>
          </cell>
          <cell r="F43">
            <v>0</v>
          </cell>
          <cell r="G43">
            <v>1.47512</v>
          </cell>
          <cell r="H43" t="str">
            <v>BD</v>
          </cell>
        </row>
        <row r="44">
          <cell r="A44" t="str">
            <v>GRMZM2G090043</v>
          </cell>
          <cell r="B44" t="str">
            <v>NA</v>
          </cell>
          <cell r="C44" t="str">
            <v>hypothetical protein</v>
          </cell>
          <cell r="D44" t="str">
            <v>BT0</v>
          </cell>
          <cell r="E44" t="str">
            <v>BT6</v>
          </cell>
          <cell r="F44">
            <v>1.7916399999999999</v>
          </cell>
          <cell r="G44">
            <v>11.158899999999999</v>
          </cell>
          <cell r="H44">
            <v>2.6388400000000001</v>
          </cell>
        </row>
        <row r="45">
          <cell r="A45" t="str">
            <v>GRMZM2G010034</v>
          </cell>
          <cell r="B45" t="str">
            <v>NA</v>
          </cell>
          <cell r="C45" t="str">
            <v>protein</v>
          </cell>
          <cell r="D45" t="str">
            <v>BT0</v>
          </cell>
          <cell r="E45" t="str">
            <v>BT6</v>
          </cell>
          <cell r="F45">
            <v>104.093</v>
          </cell>
          <cell r="G45">
            <v>219.78299999999999</v>
          </cell>
          <cell r="H45">
            <v>1.0782099999999999</v>
          </cell>
        </row>
        <row r="46">
          <cell r="A46" t="str">
            <v>GRMZM2G004036</v>
          </cell>
          <cell r="B46" t="str">
            <v>GO:0003824GO:0016564GO:0006808GO:0044237GO:0050662</v>
          </cell>
          <cell r="C46" t="str">
            <v>isoflavone reductase homolog a622-like</v>
          </cell>
          <cell r="D46" t="str">
            <v>BT0</v>
          </cell>
          <cell r="E46" t="str">
            <v>BT6</v>
          </cell>
          <cell r="F46">
            <v>0.47378100000000001</v>
          </cell>
          <cell r="G46">
            <v>4.6431300000000002</v>
          </cell>
          <cell r="H46">
            <v>3.2928099999999998</v>
          </cell>
        </row>
        <row r="47">
          <cell r="A47" t="str">
            <v>GRMZM2G464393</v>
          </cell>
          <cell r="B47" t="str">
            <v>GO:0005515</v>
          </cell>
          <cell r="C47" t="str">
            <v>protein binding protein</v>
          </cell>
          <cell r="D47" t="str">
            <v>BT0</v>
          </cell>
          <cell r="E47" t="str">
            <v>BT6</v>
          </cell>
          <cell r="F47">
            <v>2.21008</v>
          </cell>
          <cell r="G47">
            <v>1.03877</v>
          </cell>
          <cell r="H47">
            <v>-1.0892200000000001</v>
          </cell>
        </row>
        <row r="48">
          <cell r="A48" t="str">
            <v>GRMZM2G380789</v>
          </cell>
          <cell r="B48" t="str">
            <v>GO:0016021</v>
          </cell>
          <cell r="C48" t="str">
            <v>heptahelical protein 4</v>
          </cell>
          <cell r="D48" t="str">
            <v>BT0</v>
          </cell>
          <cell r="E48" t="str">
            <v>BT6</v>
          </cell>
          <cell r="F48">
            <v>7.9632499999999995E-2</v>
          </cell>
          <cell r="G48">
            <v>1.1493899999999999</v>
          </cell>
          <cell r="H48">
            <v>3.8513700000000002</v>
          </cell>
        </row>
        <row r="49">
          <cell r="A49" t="str">
            <v>GRMZM2G003506</v>
          </cell>
          <cell r="B49" t="str">
            <v>NA</v>
          </cell>
          <cell r="C49" t="str">
            <v>membrane protein</v>
          </cell>
          <cell r="D49" t="str">
            <v>BT0</v>
          </cell>
          <cell r="E49" t="str">
            <v>BT6</v>
          </cell>
          <cell r="F49">
            <v>1.9734700000000001</v>
          </cell>
          <cell r="G49">
            <v>0.83375200000000005</v>
          </cell>
          <cell r="H49">
            <v>-1.2430399999999999</v>
          </cell>
        </row>
        <row r="50">
          <cell r="A50" t="str">
            <v>GRMZM2G116902</v>
          </cell>
          <cell r="B50" t="str">
            <v>GO:0004601GO:0006979GO:0020037GO:0009055</v>
          </cell>
          <cell r="C50" t="str">
            <v>peroxidase n-like</v>
          </cell>
          <cell r="D50" t="str">
            <v>BT0</v>
          </cell>
          <cell r="E50" t="str">
            <v>BT6</v>
          </cell>
          <cell r="F50">
            <v>0.54042000000000001</v>
          </cell>
          <cell r="G50">
            <v>2.0803199999999999</v>
          </cell>
          <cell r="H50">
            <v>1.94465</v>
          </cell>
        </row>
        <row r="51">
          <cell r="A51" t="str">
            <v>GRMZM2G321033</v>
          </cell>
          <cell r="B51" t="str">
            <v>GO:0004497GO:0020037GO:0009055</v>
          </cell>
          <cell r="C51" t="str">
            <v>cytochrome p450 family expressed</v>
          </cell>
          <cell r="D51" t="str">
            <v>BT0</v>
          </cell>
          <cell r="E51" t="str">
            <v>BT6</v>
          </cell>
          <cell r="F51">
            <v>0.88974699999999995</v>
          </cell>
          <cell r="G51">
            <v>0.390121</v>
          </cell>
          <cell r="H51">
            <v>-1.18947</v>
          </cell>
        </row>
        <row r="52">
          <cell r="A52" t="str">
            <v>GRMZM2G377647</v>
          </cell>
          <cell r="B52" t="str">
            <v>NA</v>
          </cell>
          <cell r="C52" t="str">
            <v>uncharacterized protein LOC100276586</v>
          </cell>
          <cell r="D52" t="str">
            <v>BT0</v>
          </cell>
          <cell r="E52" t="str">
            <v>BT6</v>
          </cell>
          <cell r="F52">
            <v>2.5895899999999998</v>
          </cell>
          <cell r="G52">
            <v>1.2499400000000001</v>
          </cell>
          <cell r="H52">
            <v>-1.0508599999999999</v>
          </cell>
        </row>
        <row r="53">
          <cell r="A53" t="str">
            <v>GRMZM2G305526</v>
          </cell>
          <cell r="B53" t="str">
            <v>GO:0048046GO:0005507GO:0046274GO:0008471GO:0055114</v>
          </cell>
          <cell r="C53" t="str">
            <v>lac10_orysj ame: full=laccase-10 ame: full=benzenediol:oxygen oxidoreductase 10 ame: full=diphenol oxidase 10 ame: full=urishiol oxidase 10 flags: precursor</v>
          </cell>
          <cell r="D53" t="str">
            <v>BT0</v>
          </cell>
          <cell r="E53" t="str">
            <v>BT6</v>
          </cell>
          <cell r="F53">
            <v>2.8573599999999999</v>
          </cell>
          <cell r="G53">
            <v>0.17336199999999999</v>
          </cell>
          <cell r="H53">
            <v>-4.0428199999999999</v>
          </cell>
        </row>
        <row r="54">
          <cell r="A54" t="str">
            <v>GRMZM2G043878</v>
          </cell>
          <cell r="B54" t="str">
            <v>NA</v>
          </cell>
          <cell r="C54" t="str">
            <v>33-kda secretory protein</v>
          </cell>
          <cell r="D54" t="str">
            <v>BT0</v>
          </cell>
          <cell r="E54" t="str">
            <v>BT6</v>
          </cell>
          <cell r="F54">
            <v>0.43479699999999999</v>
          </cell>
          <cell r="G54">
            <v>3.1589</v>
          </cell>
          <cell r="H54">
            <v>2.8610099999999998</v>
          </cell>
        </row>
        <row r="55">
          <cell r="A55" t="str">
            <v>GRMZM2G338037</v>
          </cell>
          <cell r="B55" t="str">
            <v>NA</v>
          </cell>
          <cell r="C55" t="str">
            <v>protein</v>
          </cell>
          <cell r="D55" t="str">
            <v>BT0</v>
          </cell>
          <cell r="E55" t="str">
            <v>BT6</v>
          </cell>
          <cell r="F55">
            <v>0.459146</v>
          </cell>
          <cell r="G55">
            <v>1.78216</v>
          </cell>
          <cell r="H55">
            <v>1.9565999999999999</v>
          </cell>
        </row>
        <row r="56">
          <cell r="A56" t="str">
            <v>GRMZM2G053669</v>
          </cell>
          <cell r="B56" t="str">
            <v>GO:0006529GO:0004066</v>
          </cell>
          <cell r="C56" t="str">
            <v>asparagine synthetase</v>
          </cell>
          <cell r="D56" t="str">
            <v>BT0</v>
          </cell>
          <cell r="E56" t="str">
            <v>BT6</v>
          </cell>
          <cell r="F56">
            <v>91.526200000000003</v>
          </cell>
          <cell r="G56">
            <v>200.28399999999999</v>
          </cell>
          <cell r="H56">
            <v>1.1297900000000001</v>
          </cell>
        </row>
        <row r="57">
          <cell r="A57" t="str">
            <v>GRMZM2G327199</v>
          </cell>
          <cell r="B57" t="str">
            <v>NA</v>
          </cell>
          <cell r="C57" t="str">
            <v>NA</v>
          </cell>
          <cell r="D57" t="str">
            <v>BT0</v>
          </cell>
          <cell r="E57" t="str">
            <v>BT6</v>
          </cell>
          <cell r="F57">
            <v>0</v>
          </cell>
          <cell r="G57">
            <v>4.8413399999999998</v>
          </cell>
          <cell r="H57" t="str">
            <v>BD</v>
          </cell>
        </row>
        <row r="58">
          <cell r="A58" t="str">
            <v>GRMZM2G073969</v>
          </cell>
          <cell r="B58" t="str">
            <v>NA</v>
          </cell>
          <cell r="C58" t="str">
            <v>hypothetical protein SORBIDRAFT_01g035830</v>
          </cell>
          <cell r="D58" t="str">
            <v>BT0</v>
          </cell>
          <cell r="E58" t="str">
            <v>BT6</v>
          </cell>
          <cell r="F58">
            <v>8.4427800000000008</v>
          </cell>
          <cell r="G58">
            <v>18.3919</v>
          </cell>
          <cell r="H58">
            <v>1.1232800000000001</v>
          </cell>
        </row>
        <row r="59">
          <cell r="A59" t="str">
            <v>GRMZM5G862467</v>
          </cell>
          <cell r="B59" t="str">
            <v>NA</v>
          </cell>
          <cell r="C59" t="str">
            <v>mps one binder kinase activator-like 1a</v>
          </cell>
          <cell r="D59" t="str">
            <v>BT0</v>
          </cell>
          <cell r="E59" t="str">
            <v>BT6</v>
          </cell>
          <cell r="F59">
            <v>6.4114699999999996</v>
          </cell>
          <cell r="G59">
            <v>2.1083599999999998</v>
          </cell>
          <cell r="H59">
            <v>-1.6045400000000001</v>
          </cell>
        </row>
        <row r="60">
          <cell r="A60" t="str">
            <v>GRMZM2G125241</v>
          </cell>
          <cell r="B60" t="str">
            <v>GO:0006566GO:0005524GO:0004413</v>
          </cell>
          <cell r="C60" t="str">
            <v>glucan endo- -beta-glucosidase 3 precursor</v>
          </cell>
          <cell r="D60" t="str">
            <v>BT0</v>
          </cell>
          <cell r="E60" t="str">
            <v>BT6</v>
          </cell>
          <cell r="F60">
            <v>2.9787499999999998</v>
          </cell>
          <cell r="G60">
            <v>1.0975999999999999</v>
          </cell>
          <cell r="H60">
            <v>-1.44035</v>
          </cell>
        </row>
        <row r="61">
          <cell r="A61" t="str">
            <v>GRMZM2G028821</v>
          </cell>
          <cell r="B61" t="str">
            <v>GO:0005737GO:0004364GO:0008152</v>
          </cell>
          <cell r="C61" t="str">
            <v>glutathione s-transferase</v>
          </cell>
          <cell r="D61" t="str">
            <v>BT0</v>
          </cell>
          <cell r="E61" t="str">
            <v>BT6</v>
          </cell>
          <cell r="F61">
            <v>21.9374</v>
          </cell>
          <cell r="G61">
            <v>44.572200000000002</v>
          </cell>
          <cell r="H61">
            <v>1.02275</v>
          </cell>
        </row>
        <row r="62">
          <cell r="A62" t="str">
            <v>GRMZM2G373607</v>
          </cell>
          <cell r="B62" t="str">
            <v>GO:0006508GO:0004185</v>
          </cell>
          <cell r="C62" t="str">
            <v>serine carboxypeptidase-like 34-like</v>
          </cell>
          <cell r="D62" t="str">
            <v>BT0</v>
          </cell>
          <cell r="E62" t="str">
            <v>BT6</v>
          </cell>
          <cell r="F62">
            <v>0.38508999999999999</v>
          </cell>
          <cell r="G62">
            <v>1.4740500000000001</v>
          </cell>
          <cell r="H62">
            <v>1.93652</v>
          </cell>
        </row>
        <row r="63">
          <cell r="A63" t="str">
            <v>GRMZM2G176595</v>
          </cell>
          <cell r="B63" t="str">
            <v>GO:0005576GO:0019953</v>
          </cell>
          <cell r="C63" t="str">
            <v>beta-expansin 1a precursor</v>
          </cell>
          <cell r="D63" t="str">
            <v>BT0</v>
          </cell>
          <cell r="E63" t="str">
            <v>BT6</v>
          </cell>
          <cell r="F63">
            <v>1.6789400000000001</v>
          </cell>
          <cell r="G63">
            <v>4.4612600000000002</v>
          </cell>
          <cell r="H63">
            <v>1.4098999999999999</v>
          </cell>
        </row>
        <row r="64">
          <cell r="A64" t="str">
            <v>GRMZM2G344279</v>
          </cell>
          <cell r="B64" t="str">
            <v>GO:0003735GO:0015934GO:0006412GO:0030528</v>
          </cell>
          <cell r="C64" t="str">
            <v>60s ribosomal protein l7-1</v>
          </cell>
          <cell r="D64" t="str">
            <v>BT0</v>
          </cell>
          <cell r="E64" t="str">
            <v>BT6</v>
          </cell>
          <cell r="F64">
            <v>0</v>
          </cell>
          <cell r="G64">
            <v>1.0642400000000001</v>
          </cell>
          <cell r="H64" t="str">
            <v>BD</v>
          </cell>
        </row>
        <row r="65">
          <cell r="A65" t="str">
            <v>GRMZM2G179528</v>
          </cell>
          <cell r="B65" t="str">
            <v>GO:0006508GO:0004185</v>
          </cell>
          <cell r="C65" t="str">
            <v>serine carboxypeptidase family expressed</v>
          </cell>
          <cell r="D65" t="str">
            <v>BT0</v>
          </cell>
          <cell r="E65" t="str">
            <v>BT6</v>
          </cell>
          <cell r="F65">
            <v>3.9356200000000001</v>
          </cell>
          <cell r="G65">
            <v>9.4811200000000007</v>
          </cell>
          <cell r="H65">
            <v>1.26847</v>
          </cell>
        </row>
        <row r="66">
          <cell r="A66" t="str">
            <v>GRMZM2G371462</v>
          </cell>
          <cell r="B66" t="str">
            <v>NA</v>
          </cell>
          <cell r="C66" t="str">
            <v>Os10g0364900</v>
          </cell>
          <cell r="D66" t="str">
            <v>BT0</v>
          </cell>
          <cell r="E66" t="str">
            <v>BT6</v>
          </cell>
          <cell r="F66">
            <v>17.191099999999999</v>
          </cell>
          <cell r="G66">
            <v>4.23956</v>
          </cell>
          <cell r="H66">
            <v>-2.0196700000000001</v>
          </cell>
        </row>
        <row r="67">
          <cell r="A67" t="str">
            <v>GRMZM2G130232</v>
          </cell>
          <cell r="B67" t="str">
            <v>NA</v>
          </cell>
          <cell r="C67" t="str">
            <v>cold regulated protein 27</v>
          </cell>
          <cell r="D67" t="str">
            <v>BT0</v>
          </cell>
          <cell r="E67" t="str">
            <v>BT6</v>
          </cell>
          <cell r="F67">
            <v>7.9776300000000004</v>
          </cell>
          <cell r="G67">
            <v>3.5743900000000002</v>
          </cell>
          <cell r="H67">
            <v>-1.1582600000000001</v>
          </cell>
        </row>
        <row r="68">
          <cell r="A68" t="str">
            <v>GRMZM2G004572</v>
          </cell>
          <cell r="B68" t="str">
            <v>GO:0006468GO:0004674GO:0004713GO:0005515GO:0005524GO:0031177</v>
          </cell>
          <cell r="C68" t="str">
            <v>strubbelig-receptor family 6</v>
          </cell>
          <cell r="D68" t="str">
            <v>BT0</v>
          </cell>
          <cell r="E68" t="str">
            <v>BT6</v>
          </cell>
          <cell r="F68">
            <v>1.9359599999999999</v>
          </cell>
          <cell r="G68">
            <v>0.63763400000000003</v>
          </cell>
          <cell r="H68">
            <v>-1.60225</v>
          </cell>
        </row>
        <row r="69">
          <cell r="A69" t="str">
            <v>GRMZM2G136372</v>
          </cell>
          <cell r="B69" t="str">
            <v>NA</v>
          </cell>
          <cell r="C69" t="str">
            <v>pathogenesis-related protein 5</v>
          </cell>
          <cell r="D69" t="str">
            <v>BT0</v>
          </cell>
          <cell r="E69" t="str">
            <v>BT6</v>
          </cell>
          <cell r="F69">
            <v>17.7075</v>
          </cell>
          <cell r="G69">
            <v>8.6252999999999993</v>
          </cell>
          <cell r="H69">
            <v>-1.0377099999999999</v>
          </cell>
        </row>
        <row r="70">
          <cell r="A70" t="str">
            <v>GRMZM2G392791</v>
          </cell>
          <cell r="B70" t="str">
            <v>GO:0006508GO:0004177</v>
          </cell>
          <cell r="C70" t="str">
            <v>epoxide hydrolase 2</v>
          </cell>
          <cell r="D70" t="str">
            <v>BT0</v>
          </cell>
          <cell r="E70" t="str">
            <v>BT6</v>
          </cell>
          <cell r="F70">
            <v>11.491300000000001</v>
          </cell>
          <cell r="G70">
            <v>4.9334499999999997</v>
          </cell>
          <cell r="H70">
            <v>-1.21987</v>
          </cell>
        </row>
        <row r="71">
          <cell r="A71" t="str">
            <v>GRMZM5G893912</v>
          </cell>
          <cell r="B71" t="str">
            <v>NA</v>
          </cell>
          <cell r="C71" t="str">
            <v>cell division protein aaa atpase family</v>
          </cell>
          <cell r="D71" t="str">
            <v>BT0</v>
          </cell>
          <cell r="E71" t="str">
            <v>BT6</v>
          </cell>
          <cell r="F71">
            <v>13.694800000000001</v>
          </cell>
          <cell r="G71">
            <v>4.9959899999999999</v>
          </cell>
          <cell r="H71">
            <v>-1.45478</v>
          </cell>
        </row>
        <row r="72">
          <cell r="A72" t="str">
            <v>GRMZM5G840852</v>
          </cell>
          <cell r="B72" t="str">
            <v>NA</v>
          </cell>
          <cell r="C72" t="str">
            <v>ribonuclease p protein subunit p25</v>
          </cell>
          <cell r="D72" t="str">
            <v>BT0</v>
          </cell>
          <cell r="E72" t="str">
            <v>BT6</v>
          </cell>
          <cell r="F72">
            <v>0.26200299999999999</v>
          </cell>
          <cell r="G72">
            <v>0.82860199999999995</v>
          </cell>
          <cell r="H72">
            <v>1.6611</v>
          </cell>
        </row>
        <row r="73">
          <cell r="A73" t="str">
            <v>GRMZM2G059138</v>
          </cell>
          <cell r="B73" t="str">
            <v>NA</v>
          </cell>
          <cell r="C73" t="str">
            <v>saur33 - auxin-responsive saur family member</v>
          </cell>
          <cell r="D73" t="str">
            <v>BT0</v>
          </cell>
          <cell r="E73" t="str">
            <v>BT6</v>
          </cell>
          <cell r="F73">
            <v>1.90184</v>
          </cell>
          <cell r="G73">
            <v>0.439998</v>
          </cell>
          <cell r="H73">
            <v>-2.1118299999999999</v>
          </cell>
        </row>
        <row r="74">
          <cell r="A74" t="str">
            <v>GRMZM2G161245</v>
          </cell>
          <cell r="B74" t="str">
            <v>NA</v>
          </cell>
          <cell r="C74" t="str">
            <v>nad-malate dehydrogenase</v>
          </cell>
          <cell r="D74" t="str">
            <v>BT0</v>
          </cell>
          <cell r="E74" t="str">
            <v>BT6</v>
          </cell>
          <cell r="F74">
            <v>3.3832800000000001</v>
          </cell>
          <cell r="G74">
            <v>1.3814500000000001</v>
          </cell>
          <cell r="H74">
            <v>-1.2922400000000001</v>
          </cell>
        </row>
        <row r="75">
          <cell r="A75" t="str">
            <v>GRMZM2G536825</v>
          </cell>
          <cell r="B75" t="str">
            <v>NA</v>
          </cell>
          <cell r="C75" t="str">
            <v>Os08g0432000</v>
          </cell>
          <cell r="D75" t="str">
            <v>BT0</v>
          </cell>
          <cell r="E75" t="str">
            <v>BT6</v>
          </cell>
          <cell r="F75">
            <v>3.51186</v>
          </cell>
          <cell r="G75">
            <v>1.4528700000000001</v>
          </cell>
          <cell r="H75">
            <v>-1.2733300000000001</v>
          </cell>
        </row>
        <row r="76">
          <cell r="A76" t="str">
            <v>GRMZM2G466563</v>
          </cell>
          <cell r="B76" t="str">
            <v>NA</v>
          </cell>
          <cell r="C76" t="str">
            <v>calmodulin-binding protein</v>
          </cell>
          <cell r="D76" t="str">
            <v>BT0</v>
          </cell>
          <cell r="E76" t="str">
            <v>BT6</v>
          </cell>
          <cell r="F76">
            <v>0.70366899999999999</v>
          </cell>
          <cell r="G76">
            <v>1.56884</v>
          </cell>
          <cell r="H76">
            <v>1.15673</v>
          </cell>
        </row>
        <row r="77">
          <cell r="A77" t="str">
            <v>GRMZM2G129266</v>
          </cell>
          <cell r="B77" t="str">
            <v>GO:0016747</v>
          </cell>
          <cell r="C77" t="str">
            <v>10-deacetylbaccatin iii 10-o-acetyltransferase</v>
          </cell>
          <cell r="D77" t="str">
            <v>BT0</v>
          </cell>
          <cell r="E77" t="str">
            <v>BT6</v>
          </cell>
          <cell r="F77">
            <v>14.688000000000001</v>
          </cell>
          <cell r="G77">
            <v>31.571300000000001</v>
          </cell>
          <cell r="H77">
            <v>1.1039699999999999</v>
          </cell>
        </row>
        <row r="78">
          <cell r="A78" t="str">
            <v>GRMZM2G350225</v>
          </cell>
          <cell r="B78" t="str">
            <v>NA</v>
          </cell>
          <cell r="C78" t="str">
            <v>cbs domain-containing protein cbsx5-like</v>
          </cell>
          <cell r="D78" t="str">
            <v>BT0</v>
          </cell>
          <cell r="E78" t="str">
            <v>BT6</v>
          </cell>
          <cell r="F78">
            <v>14.674899999999999</v>
          </cell>
          <cell r="G78">
            <v>7.31785</v>
          </cell>
          <cell r="H78">
            <v>-1.00386</v>
          </cell>
        </row>
        <row r="79">
          <cell r="A79" t="str">
            <v>GRMZM2G009735</v>
          </cell>
          <cell r="B79" t="str">
            <v>NA</v>
          </cell>
          <cell r="C79" t="str">
            <v>cbs domain-containing protein cbsx5-like</v>
          </cell>
          <cell r="D79" t="str">
            <v>BT0</v>
          </cell>
          <cell r="E79" t="str">
            <v>BT6</v>
          </cell>
          <cell r="F79">
            <v>10.6622</v>
          </cell>
          <cell r="G79">
            <v>3.6695099999999998</v>
          </cell>
          <cell r="H79">
            <v>-1.5388500000000001</v>
          </cell>
        </row>
        <row r="80">
          <cell r="A80" t="str">
            <v>GRMZM2G001764</v>
          </cell>
          <cell r="B80" t="str">
            <v>GO:0006857GO:0005215GO:0016020</v>
          </cell>
          <cell r="C80" t="str">
            <v>protein</v>
          </cell>
          <cell r="D80" t="str">
            <v>BT0</v>
          </cell>
          <cell r="E80" t="str">
            <v>BT6</v>
          </cell>
          <cell r="F80">
            <v>1.72461</v>
          </cell>
          <cell r="G80">
            <v>0.78071199999999996</v>
          </cell>
          <cell r="H80">
            <v>-1.14341</v>
          </cell>
        </row>
        <row r="81">
          <cell r="A81" t="str">
            <v>GRMZM5G891371</v>
          </cell>
          <cell r="B81" t="str">
            <v>NA</v>
          </cell>
          <cell r="C81" t="str">
            <v>subtilase family protein</v>
          </cell>
          <cell r="D81" t="str">
            <v>BT0</v>
          </cell>
          <cell r="E81" t="str">
            <v>BT6</v>
          </cell>
          <cell r="F81">
            <v>0.19189600000000001</v>
          </cell>
          <cell r="G81">
            <v>5.8318300000000001</v>
          </cell>
          <cell r="H81">
            <v>4.9255599999999999</v>
          </cell>
        </row>
        <row r="82">
          <cell r="A82" t="str">
            <v>GRMZM2G060742</v>
          </cell>
          <cell r="B82" t="str">
            <v>GO:0015105GO:0015746GO:0016021GO:0015137</v>
          </cell>
          <cell r="C82" t="str">
            <v>transmembrane expressed</v>
          </cell>
          <cell r="D82" t="str">
            <v>BT0</v>
          </cell>
          <cell r="E82" t="str">
            <v>BT6</v>
          </cell>
          <cell r="F82">
            <v>6.4335599999999999</v>
          </cell>
          <cell r="G82">
            <v>13.573600000000001</v>
          </cell>
          <cell r="H82">
            <v>1.0771200000000001</v>
          </cell>
        </row>
        <row r="83">
          <cell r="A83" t="str">
            <v>GRMZM2G164761</v>
          </cell>
          <cell r="B83" t="str">
            <v>GO:0016020GO:0016760GO:0030244</v>
          </cell>
          <cell r="C83" t="str">
            <v>cellulose synthase-like protein slf1</v>
          </cell>
          <cell r="D83" t="str">
            <v>BT0</v>
          </cell>
          <cell r="E83" t="str">
            <v>BT6</v>
          </cell>
          <cell r="F83">
            <v>0</v>
          </cell>
          <cell r="G83">
            <v>0.99543999999999999</v>
          </cell>
          <cell r="H83" t="str">
            <v>BD</v>
          </cell>
        </row>
        <row r="84">
          <cell r="A84" t="str">
            <v>GRMZM2G324390</v>
          </cell>
          <cell r="B84" t="str">
            <v>GO:0003700GO:0006355GO:0005634GO:0043565</v>
          </cell>
          <cell r="C84" t="str">
            <v>kinase-interacting protein 1</v>
          </cell>
          <cell r="D84" t="str">
            <v>BT0</v>
          </cell>
          <cell r="E84" t="str">
            <v>BT6</v>
          </cell>
          <cell r="F84">
            <v>0.41171799999999997</v>
          </cell>
          <cell r="G84">
            <v>1.12395</v>
          </cell>
          <cell r="H84">
            <v>1.4488399999999999</v>
          </cell>
        </row>
        <row r="85">
          <cell r="A85" t="str">
            <v>GRMZM2G145412</v>
          </cell>
          <cell r="B85" t="str">
            <v>NA</v>
          </cell>
          <cell r="C85" t="str">
            <v>zim motif family protein</v>
          </cell>
          <cell r="D85" t="str">
            <v>BT0</v>
          </cell>
          <cell r="E85" t="str">
            <v>BT6</v>
          </cell>
          <cell r="F85">
            <v>3.9297599999999999</v>
          </cell>
          <cell r="G85">
            <v>1.6311199999999999</v>
          </cell>
          <cell r="H85">
            <v>-1.26858</v>
          </cell>
        </row>
        <row r="86">
          <cell r="A86" t="str">
            <v>GRMZM2G105189</v>
          </cell>
          <cell r="B86" t="str">
            <v>GO:0006629GO:0016788</v>
          </cell>
          <cell r="C86" t="str">
            <v>zinc finger</v>
          </cell>
          <cell r="D86" t="str">
            <v>BT0</v>
          </cell>
          <cell r="E86" t="str">
            <v>BT6</v>
          </cell>
          <cell r="F86">
            <v>5.93818</v>
          </cell>
          <cell r="G86">
            <v>13.8779</v>
          </cell>
          <cell r="H86">
            <v>1.2246999999999999</v>
          </cell>
        </row>
        <row r="87">
          <cell r="A87" t="str">
            <v>GRMZM2G120621</v>
          </cell>
          <cell r="B87" t="str">
            <v>GO:0004497GO:0020037GO:0009055</v>
          </cell>
          <cell r="C87" t="str">
            <v>cytochrome p450 family expressed</v>
          </cell>
          <cell r="D87" t="str">
            <v>BT0</v>
          </cell>
          <cell r="E87" t="str">
            <v>BT6</v>
          </cell>
          <cell r="F87">
            <v>0.39899600000000002</v>
          </cell>
          <cell r="G87">
            <v>1.21532</v>
          </cell>
          <cell r="H87">
            <v>1.6068899999999999</v>
          </cell>
        </row>
        <row r="88">
          <cell r="A88" t="str">
            <v>GRMZM2G129540</v>
          </cell>
          <cell r="B88" t="str">
            <v>GO:0016787</v>
          </cell>
          <cell r="C88" t="str">
            <v>transposon protein</v>
          </cell>
          <cell r="D88" t="str">
            <v>BT0</v>
          </cell>
          <cell r="E88" t="str">
            <v>BT6</v>
          </cell>
          <cell r="F88">
            <v>1.4203300000000001</v>
          </cell>
          <cell r="G88">
            <v>0.62872399999999995</v>
          </cell>
          <cell r="H88">
            <v>-1.1757299999999999</v>
          </cell>
        </row>
        <row r="89">
          <cell r="A89" t="str">
            <v>GRMZM2G118172</v>
          </cell>
          <cell r="B89" t="str">
            <v>GO:0050825GO:0042309GO:0050826</v>
          </cell>
          <cell r="C89" t="str">
            <v>vq motif family protein</v>
          </cell>
          <cell r="D89" t="str">
            <v>BT0</v>
          </cell>
          <cell r="E89" t="str">
            <v>BT6</v>
          </cell>
          <cell r="F89">
            <v>29.628499999999999</v>
          </cell>
          <cell r="G89">
            <v>4.8104699999999996</v>
          </cell>
          <cell r="H89">
            <v>-2.6227399999999998</v>
          </cell>
        </row>
        <row r="90">
          <cell r="A90" t="str">
            <v>GRMZM2G341959</v>
          </cell>
          <cell r="B90" t="str">
            <v>GO:0008146</v>
          </cell>
          <cell r="C90" t="str">
            <v>sulfotransferase 17-like</v>
          </cell>
          <cell r="D90" t="str">
            <v>BT0</v>
          </cell>
          <cell r="E90" t="str">
            <v>BT6</v>
          </cell>
          <cell r="F90">
            <v>0.81844799999999995</v>
          </cell>
          <cell r="G90">
            <v>0.16173000000000001</v>
          </cell>
          <cell r="H90">
            <v>-2.3393000000000002</v>
          </cell>
        </row>
        <row r="91">
          <cell r="A91" t="str">
            <v>GRMZM2G467893</v>
          </cell>
          <cell r="B91" t="str">
            <v>NA</v>
          </cell>
          <cell r="C91" t="str">
            <v>nodule-specific protein</v>
          </cell>
          <cell r="D91" t="str">
            <v>BT0</v>
          </cell>
          <cell r="E91" t="str">
            <v>BT6</v>
          </cell>
          <cell r="F91">
            <v>2.25888</v>
          </cell>
          <cell r="G91">
            <v>0.74527399999999999</v>
          </cell>
          <cell r="H91">
            <v>-1.5997600000000001</v>
          </cell>
        </row>
        <row r="92">
          <cell r="A92" t="str">
            <v>GRMZM2G075974</v>
          </cell>
          <cell r="B92" t="str">
            <v>GO:0006541GO:0003824GO:0009058GO:0050825GO:0042309GO:0050826</v>
          </cell>
          <cell r="C92" t="str">
            <v>gmp synthase</v>
          </cell>
          <cell r="D92" t="str">
            <v>BT0</v>
          </cell>
          <cell r="E92" t="str">
            <v>BT6</v>
          </cell>
          <cell r="F92">
            <v>11.1389</v>
          </cell>
          <cell r="G92">
            <v>4.3109200000000003</v>
          </cell>
          <cell r="H92">
            <v>-1.3695299999999999</v>
          </cell>
        </row>
        <row r="93">
          <cell r="A93" t="str">
            <v>GRMZM2G457346</v>
          </cell>
          <cell r="B93" t="str">
            <v>NA</v>
          </cell>
          <cell r="C93" t="str">
            <v>seed maturation protein pm41</v>
          </cell>
          <cell r="D93" t="str">
            <v>BT0</v>
          </cell>
          <cell r="E93" t="str">
            <v>BT6</v>
          </cell>
          <cell r="F93">
            <v>2.2109899999999998</v>
          </cell>
          <cell r="G93">
            <v>0.73630300000000004</v>
          </cell>
          <cell r="H93">
            <v>-1.58632</v>
          </cell>
        </row>
        <row r="94">
          <cell r="A94" t="str">
            <v>GRMZM2G054361</v>
          </cell>
          <cell r="B94" t="str">
            <v>GO:0016847GO:0009058GO:0030170GO:0016769</v>
          </cell>
          <cell r="C94" t="str">
            <v>NA</v>
          </cell>
          <cell r="D94" t="str">
            <v>BT0</v>
          </cell>
          <cell r="E94" t="str">
            <v>BT6</v>
          </cell>
          <cell r="F94">
            <v>4.4525699999999997</v>
          </cell>
          <cell r="G94">
            <v>10.7476</v>
          </cell>
          <cell r="H94">
            <v>1.2713000000000001</v>
          </cell>
        </row>
        <row r="95">
          <cell r="A95" t="str">
            <v>GRMZM2G049349</v>
          </cell>
          <cell r="B95" t="str">
            <v>NA</v>
          </cell>
          <cell r="C95" t="str">
            <v>sterol regulatory element-binding protein site 2</v>
          </cell>
          <cell r="D95" t="str">
            <v>BT0</v>
          </cell>
          <cell r="E95" t="str">
            <v>BT6</v>
          </cell>
          <cell r="F95">
            <v>13.3531</v>
          </cell>
          <cell r="G95">
            <v>27.1234</v>
          </cell>
          <cell r="H95">
            <v>1.0223599999999999</v>
          </cell>
        </row>
        <row r="96">
          <cell r="A96" t="str">
            <v>GRMZM2G039278</v>
          </cell>
          <cell r="B96" t="str">
            <v>GO:0004497GO:0020037GO:0009055</v>
          </cell>
          <cell r="C96" t="str">
            <v>cytochrome p450</v>
          </cell>
          <cell r="D96" t="str">
            <v>BT0</v>
          </cell>
          <cell r="E96" t="str">
            <v>BT6</v>
          </cell>
          <cell r="F96">
            <v>3.1176300000000001</v>
          </cell>
          <cell r="G96">
            <v>7.0826399999999996</v>
          </cell>
          <cell r="H96">
            <v>1.18384</v>
          </cell>
        </row>
        <row r="97">
          <cell r="A97" t="str">
            <v>GRMZM2G091578</v>
          </cell>
          <cell r="B97" t="str">
            <v>GO:0006508GO:0043086GO:0042802GO:0004252</v>
          </cell>
          <cell r="C97" t="str">
            <v>subtilisin-like protease</v>
          </cell>
          <cell r="D97" t="str">
            <v>BT0</v>
          </cell>
          <cell r="E97" t="str">
            <v>BT6</v>
          </cell>
          <cell r="F97">
            <v>1.0370299999999999</v>
          </cell>
          <cell r="G97">
            <v>2.24438</v>
          </cell>
          <cell r="H97">
            <v>1.1138600000000001</v>
          </cell>
        </row>
        <row r="98">
          <cell r="A98" t="str">
            <v>GRMZM2G427697</v>
          </cell>
          <cell r="B98" t="str">
            <v>NA</v>
          </cell>
          <cell r="C98" t="str">
            <v>unknown</v>
          </cell>
          <cell r="D98" t="str">
            <v>BT0</v>
          </cell>
          <cell r="E98" t="str">
            <v>BT6</v>
          </cell>
          <cell r="F98">
            <v>7.5447199999999999</v>
          </cell>
          <cell r="G98">
            <v>3.5121000000000002</v>
          </cell>
          <cell r="H98">
            <v>-1.1031299999999999</v>
          </cell>
        </row>
        <row r="99">
          <cell r="A99" t="str">
            <v>AC235547.1_FG005</v>
          </cell>
          <cell r="B99" t="str">
            <v>GO:0004674GO:0006468GO:0005524GO:0005515GO:0004713</v>
          </cell>
          <cell r="C99" t="str">
            <v>NA</v>
          </cell>
          <cell r="D99" t="str">
            <v>BT0</v>
          </cell>
          <cell r="E99" t="str">
            <v>BT6</v>
          </cell>
          <cell r="F99">
            <v>9.5347799999999996</v>
          </cell>
          <cell r="G99">
            <v>4.1205400000000001</v>
          </cell>
          <cell r="H99">
            <v>-1.2103699999999999</v>
          </cell>
        </row>
        <row r="100">
          <cell r="A100" t="str">
            <v>GRMZM2G006047</v>
          </cell>
          <cell r="B100" t="str">
            <v>GO:0006869GO:0050825GO:0008289GO:0042309GO:0050826</v>
          </cell>
          <cell r="C100" t="str">
            <v>protein</v>
          </cell>
          <cell r="D100" t="str">
            <v>BT0</v>
          </cell>
          <cell r="E100" t="str">
            <v>BT6</v>
          </cell>
          <cell r="F100">
            <v>2.29921</v>
          </cell>
          <cell r="G100">
            <v>0.49436099999999999</v>
          </cell>
          <cell r="H100">
            <v>-2.2174999999999998</v>
          </cell>
        </row>
        <row r="101">
          <cell r="A101" t="str">
            <v>GRMZM2G015892</v>
          </cell>
          <cell r="B101" t="str">
            <v>GO:0004834GO:0006568</v>
          </cell>
          <cell r="C101" t="str">
            <v>indole synthase</v>
          </cell>
          <cell r="D101" t="str">
            <v>BT0</v>
          </cell>
          <cell r="E101" t="str">
            <v>BT6</v>
          </cell>
          <cell r="F101">
            <v>11.5449</v>
          </cell>
          <cell r="G101">
            <v>5.5135500000000004</v>
          </cell>
          <cell r="H101">
            <v>-1.0662100000000001</v>
          </cell>
        </row>
        <row r="102">
          <cell r="A102" t="str">
            <v>AC206201.3_FG004</v>
          </cell>
          <cell r="B102" t="str">
            <v>GO:0009058</v>
          </cell>
          <cell r="C102" t="str">
            <v>NA</v>
          </cell>
          <cell r="D102" t="str">
            <v>BT0</v>
          </cell>
          <cell r="E102" t="str">
            <v>BT6</v>
          </cell>
          <cell r="F102">
            <v>54.093699999999998</v>
          </cell>
          <cell r="G102">
            <v>18.5306</v>
          </cell>
          <cell r="H102">
            <v>-1.54555</v>
          </cell>
        </row>
        <row r="103">
          <cell r="A103" t="str">
            <v>GRMZM2G138382</v>
          </cell>
          <cell r="B103" t="str">
            <v>GO:0009058GO:0016833</v>
          </cell>
          <cell r="C103" t="str">
            <v>anthranilate synthase alpha subunit</v>
          </cell>
          <cell r="D103" t="str">
            <v>BT0</v>
          </cell>
          <cell r="E103" t="str">
            <v>BT6</v>
          </cell>
          <cell r="F103">
            <v>10.1632</v>
          </cell>
          <cell r="G103">
            <v>3.3848799999999999</v>
          </cell>
          <cell r="H103">
            <v>-1.5861799999999999</v>
          </cell>
        </row>
        <row r="104">
          <cell r="A104" t="str">
            <v>GRMZM2G340257</v>
          </cell>
          <cell r="B104" t="str">
            <v>NA</v>
          </cell>
          <cell r="C104" t="str">
            <v>(1-4)-beta-mannan endohydrolase</v>
          </cell>
          <cell r="D104" t="str">
            <v>BT0</v>
          </cell>
          <cell r="E104" t="str">
            <v>BT6</v>
          </cell>
          <cell r="F104">
            <v>1.3225899999999999</v>
          </cell>
          <cell r="G104">
            <v>0.55396199999999995</v>
          </cell>
          <cell r="H104">
            <v>-1.2555099999999999</v>
          </cell>
        </row>
        <row r="105">
          <cell r="A105" t="str">
            <v>AC191575.2_FG001</v>
          </cell>
          <cell r="B105" t="str">
            <v>GO:0006508GO:0004190</v>
          </cell>
          <cell r="C105" t="str">
            <v>NA</v>
          </cell>
          <cell r="D105" t="str">
            <v>BT0</v>
          </cell>
          <cell r="E105" t="str">
            <v>BT6</v>
          </cell>
          <cell r="F105">
            <v>0.39915200000000001</v>
          </cell>
          <cell r="G105">
            <v>2.5778099999999999</v>
          </cell>
          <cell r="H105">
            <v>2.6911299999999998</v>
          </cell>
        </row>
        <row r="106">
          <cell r="A106" t="str">
            <v>GRMZM2G366681</v>
          </cell>
          <cell r="B106" t="str">
            <v>NA</v>
          </cell>
          <cell r="C106" t="str">
            <v>unknown</v>
          </cell>
          <cell r="D106" t="str">
            <v>BT0</v>
          </cell>
          <cell r="E106" t="str">
            <v>BT6</v>
          </cell>
          <cell r="F106">
            <v>35.443800000000003</v>
          </cell>
          <cell r="G106">
            <v>16.334299999999999</v>
          </cell>
          <cell r="H106">
            <v>-1.1176299999999999</v>
          </cell>
        </row>
        <row r="107">
          <cell r="A107" t="str">
            <v>GRMZM2G381441</v>
          </cell>
          <cell r="B107" t="str">
            <v>GO:0003700GO:0006355</v>
          </cell>
          <cell r="C107" t="str">
            <v>ethylene-responsive transcription factor</v>
          </cell>
          <cell r="D107" t="str">
            <v>BT0</v>
          </cell>
          <cell r="E107" t="str">
            <v>BT6</v>
          </cell>
          <cell r="F107">
            <v>2.34788</v>
          </cell>
          <cell r="G107">
            <v>0.333399</v>
          </cell>
          <cell r="H107">
            <v>-2.81603</v>
          </cell>
        </row>
        <row r="108">
          <cell r="A108" t="str">
            <v>GRMZM2G005207</v>
          </cell>
          <cell r="B108" t="str">
            <v>GO:0003700GO:0043565GO:0005634GO:0045449</v>
          </cell>
          <cell r="C108" t="str">
            <v>wrky dna binding domain containing expressed</v>
          </cell>
          <cell r="D108" t="str">
            <v>BT0</v>
          </cell>
          <cell r="E108" t="str">
            <v>BT6</v>
          </cell>
          <cell r="F108">
            <v>0.87856100000000004</v>
          </cell>
          <cell r="G108">
            <v>0.20307700000000001</v>
          </cell>
          <cell r="H108">
            <v>-2.1131099999999998</v>
          </cell>
        </row>
        <row r="109">
          <cell r="A109" t="str">
            <v>AC202107.3_FG001</v>
          </cell>
          <cell r="B109" t="str">
            <v>NA</v>
          </cell>
          <cell r="C109" t="str">
            <v>NA</v>
          </cell>
          <cell r="D109" t="str">
            <v>BT0</v>
          </cell>
          <cell r="E109" t="str">
            <v>BT6</v>
          </cell>
          <cell r="F109">
            <v>6.3486799999999999</v>
          </cell>
          <cell r="G109">
            <v>3.1510500000000001</v>
          </cell>
          <cell r="H109">
            <v>-1.0106200000000001</v>
          </cell>
        </row>
        <row r="110">
          <cell r="A110" t="str">
            <v>GRMZM2G044317</v>
          </cell>
          <cell r="B110" t="str">
            <v>GO:0005658GO:0006269GO:0003896</v>
          </cell>
          <cell r="C110" t="str">
            <v>dna primase large subunit</v>
          </cell>
          <cell r="D110" t="str">
            <v>BT0</v>
          </cell>
          <cell r="E110" t="str">
            <v>BT6</v>
          </cell>
          <cell r="F110">
            <v>6.7115900000000002</v>
          </cell>
          <cell r="G110">
            <v>2.3137799999999999</v>
          </cell>
          <cell r="H110">
            <v>-1.5364</v>
          </cell>
        </row>
        <row r="111">
          <cell r="A111" t="str">
            <v>GRMZM2G031624</v>
          </cell>
          <cell r="B111" t="str">
            <v>NA</v>
          </cell>
          <cell r="C111" t="str">
            <v>e3 ubiquitin-protein ligase pub23-like</v>
          </cell>
          <cell r="D111" t="str">
            <v>BT0</v>
          </cell>
          <cell r="E111" t="str">
            <v>BT6</v>
          </cell>
          <cell r="F111">
            <v>0.27961999999999998</v>
          </cell>
          <cell r="G111">
            <v>1.1974800000000001</v>
          </cell>
          <cell r="H111">
            <v>2.0984600000000002</v>
          </cell>
        </row>
        <row r="112">
          <cell r="A112" t="str">
            <v>GRMZM2G048175</v>
          </cell>
          <cell r="B112" t="str">
            <v>GO:0015629GO:0016021GO:0005198GO:0004969GO:0007155GO:0007186</v>
          </cell>
          <cell r="C112" t="str">
            <v>transposon en spm sub- expressed</v>
          </cell>
          <cell r="D112" t="str">
            <v>BT0</v>
          </cell>
          <cell r="E112" t="str">
            <v>BT6</v>
          </cell>
          <cell r="F112">
            <v>0.72375800000000001</v>
          </cell>
          <cell r="G112">
            <v>1.9766300000000001</v>
          </cell>
          <cell r="H112">
            <v>1.44946</v>
          </cell>
        </row>
        <row r="113">
          <cell r="A113" t="str">
            <v>GRMZM2G406108</v>
          </cell>
          <cell r="B113" t="str">
            <v>GO:0005576</v>
          </cell>
          <cell r="C113" t="str">
            <v>membrane protein</v>
          </cell>
          <cell r="D113" t="str">
            <v>BT0</v>
          </cell>
          <cell r="E113" t="str">
            <v>BT6</v>
          </cell>
          <cell r="F113">
            <v>1.8475999999999999</v>
          </cell>
          <cell r="G113">
            <v>0.84043400000000001</v>
          </cell>
          <cell r="H113">
            <v>-1.1364399999999999</v>
          </cell>
        </row>
        <row r="114">
          <cell r="A114" t="str">
            <v>SPP2</v>
          </cell>
          <cell r="B114" t="str">
            <v>NA</v>
          </cell>
          <cell r="C114" t="str">
            <v>NA</v>
          </cell>
          <cell r="D114" t="str">
            <v>BT0</v>
          </cell>
          <cell r="E114" t="str">
            <v>BT6</v>
          </cell>
          <cell r="F114">
            <v>8.6670700000000007</v>
          </cell>
          <cell r="G114">
            <v>4.2822500000000003</v>
          </cell>
          <cell r="H114">
            <v>-1.0171699999999999</v>
          </cell>
        </row>
        <row r="115">
          <cell r="A115" t="str">
            <v>GRMZM5G871827</v>
          </cell>
          <cell r="B115" t="str">
            <v>NA</v>
          </cell>
          <cell r="C115" t="str">
            <v>NA</v>
          </cell>
          <cell r="D115" t="str">
            <v>BT0</v>
          </cell>
          <cell r="E115" t="str">
            <v>BT6</v>
          </cell>
          <cell r="F115">
            <v>1.44875</v>
          </cell>
          <cell r="G115">
            <v>0.46772399999999997</v>
          </cell>
          <cell r="H115">
            <v>-1.6310800000000001</v>
          </cell>
        </row>
        <row r="116">
          <cell r="A116" t="str">
            <v>GRMZM2G148441</v>
          </cell>
          <cell r="B116" t="str">
            <v>GO:0004497GO:0020037GO:0009055</v>
          </cell>
          <cell r="C116" t="str">
            <v>cytochrome p450 93a1-like</v>
          </cell>
          <cell r="D116" t="str">
            <v>BT0</v>
          </cell>
          <cell r="E116" t="str">
            <v>BT6</v>
          </cell>
          <cell r="F116">
            <v>1.56504</v>
          </cell>
          <cell r="G116">
            <v>0.75849100000000003</v>
          </cell>
          <cell r="H116">
            <v>-1.0449999999999999</v>
          </cell>
        </row>
        <row r="117">
          <cell r="A117" t="str">
            <v>GRMZM5G897005</v>
          </cell>
          <cell r="B117" t="str">
            <v>NA</v>
          </cell>
          <cell r="C117" t="str">
            <v>rust resistance kinase lr10</v>
          </cell>
          <cell r="D117" t="str">
            <v>BT0</v>
          </cell>
          <cell r="E117" t="str">
            <v>BT6</v>
          </cell>
          <cell r="F117">
            <v>0.89725999999999995</v>
          </cell>
          <cell r="G117">
            <v>2.0748000000000002</v>
          </cell>
          <cell r="H117">
            <v>1.2093700000000001</v>
          </cell>
        </row>
        <row r="118">
          <cell r="A118" t="str">
            <v>GRMZM2G177203</v>
          </cell>
          <cell r="B118" t="str">
            <v>NA</v>
          </cell>
          <cell r="C118" t="str">
            <v>protein</v>
          </cell>
          <cell r="D118" t="str">
            <v>BT0</v>
          </cell>
          <cell r="E118" t="str">
            <v>BT6</v>
          </cell>
          <cell r="F118">
            <v>0.57696999999999998</v>
          </cell>
          <cell r="G118">
            <v>2.8422399999999999</v>
          </cell>
          <cell r="H118">
            <v>2.3004600000000002</v>
          </cell>
        </row>
        <row r="119">
          <cell r="A119" t="str">
            <v>GRMZM2G159811</v>
          </cell>
          <cell r="B119" t="str">
            <v>GO:0006470GO:0008287GO:0004722</v>
          </cell>
          <cell r="C119" t="str">
            <v>protein phosphatase 2c</v>
          </cell>
          <cell r="D119" t="str">
            <v>BT0</v>
          </cell>
          <cell r="E119" t="str">
            <v>BT6</v>
          </cell>
          <cell r="F119">
            <v>2.6640000000000001</v>
          </cell>
          <cell r="G119">
            <v>0.49523099999999998</v>
          </cell>
          <cell r="H119">
            <v>-2.4274200000000001</v>
          </cell>
        </row>
        <row r="120">
          <cell r="A120" t="str">
            <v>GRMZM2G034206</v>
          </cell>
          <cell r="B120" t="str">
            <v>GO:0007155</v>
          </cell>
          <cell r="C120" t="str">
            <v>lgc1 precursor</v>
          </cell>
          <cell r="D120" t="str">
            <v>BT0</v>
          </cell>
          <cell r="E120" t="str">
            <v>BT6</v>
          </cell>
          <cell r="F120">
            <v>4.6795900000000001</v>
          </cell>
          <cell r="G120">
            <v>10.8682</v>
          </cell>
          <cell r="H120">
            <v>1.21566</v>
          </cell>
        </row>
        <row r="121">
          <cell r="A121" t="str">
            <v>GRMZM2G046583</v>
          </cell>
          <cell r="B121" t="str">
            <v>GO:0004516GO:0019363</v>
          </cell>
          <cell r="C121" t="str">
            <v>nicotinate phosphoribosyltransferase</v>
          </cell>
          <cell r="D121" t="str">
            <v>BT0</v>
          </cell>
          <cell r="E121" t="str">
            <v>BT6</v>
          </cell>
          <cell r="F121">
            <v>8.0376100000000008</v>
          </cell>
          <cell r="G121">
            <v>3.1284700000000001</v>
          </cell>
          <cell r="H121">
            <v>-1.36131</v>
          </cell>
        </row>
        <row r="122">
          <cell r="A122" t="str">
            <v>AC233888.1_FG001</v>
          </cell>
          <cell r="B122" t="str">
            <v>NA</v>
          </cell>
          <cell r="C122" t="str">
            <v>NA</v>
          </cell>
          <cell r="D122" t="str">
            <v>BT0</v>
          </cell>
          <cell r="E122" t="str">
            <v>BT6</v>
          </cell>
          <cell r="F122">
            <v>2.2997200000000002</v>
          </cell>
          <cell r="G122">
            <v>6.3407099999999996</v>
          </cell>
          <cell r="H122">
            <v>1.46319</v>
          </cell>
        </row>
        <row r="123">
          <cell r="A123" t="str">
            <v>GRMZM2G043813</v>
          </cell>
          <cell r="B123" t="str">
            <v>GO:0045449GO:0003677</v>
          </cell>
          <cell r="C123" t="str">
            <v>nac domain ipr003441</v>
          </cell>
          <cell r="D123" t="str">
            <v>BT0</v>
          </cell>
          <cell r="E123" t="str">
            <v>BT6</v>
          </cell>
          <cell r="F123">
            <v>0.47484399999999999</v>
          </cell>
          <cell r="G123">
            <v>0.95695600000000003</v>
          </cell>
          <cell r="H123">
            <v>1.0109999999999999</v>
          </cell>
        </row>
        <row r="124">
          <cell r="A124" t="str">
            <v>GRMZM2G397684</v>
          </cell>
          <cell r="B124" t="str">
            <v>GO:0008270GO:0005515</v>
          </cell>
          <cell r="C124" t="str">
            <v>ring zinc finger</v>
          </cell>
          <cell r="D124" t="str">
            <v>BT0</v>
          </cell>
          <cell r="E124" t="str">
            <v>BT6</v>
          </cell>
          <cell r="F124">
            <v>3.15699</v>
          </cell>
          <cell r="G124">
            <v>1.20122</v>
          </cell>
          <cell r="H124">
            <v>-1.3940399999999999</v>
          </cell>
        </row>
        <row r="125">
          <cell r="A125" t="str">
            <v>GRMZM2G098676</v>
          </cell>
          <cell r="B125" t="str">
            <v>GO:0016810</v>
          </cell>
          <cell r="C125" t="str">
            <v>transferring glycosyl groups</v>
          </cell>
          <cell r="D125" t="str">
            <v>BT0</v>
          </cell>
          <cell r="E125" t="str">
            <v>BT6</v>
          </cell>
          <cell r="F125">
            <v>0.92893899999999996</v>
          </cell>
          <cell r="G125">
            <v>1.92018</v>
          </cell>
          <cell r="H125">
            <v>1.04758</v>
          </cell>
        </row>
        <row r="126">
          <cell r="A126" t="str">
            <v>GRMZM2G077036</v>
          </cell>
          <cell r="B126" t="str">
            <v>NA</v>
          </cell>
          <cell r="C126" t="str">
            <v>probable methyltransferase pmt15-like</v>
          </cell>
          <cell r="D126" t="str">
            <v>BT0</v>
          </cell>
          <cell r="E126" t="str">
            <v>BT6</v>
          </cell>
          <cell r="F126">
            <v>19.813400000000001</v>
          </cell>
          <cell r="G126">
            <v>9.8368800000000007</v>
          </cell>
          <cell r="H126">
            <v>-1.0102</v>
          </cell>
        </row>
        <row r="127">
          <cell r="A127" t="str">
            <v>GRMZM2G405662</v>
          </cell>
          <cell r="B127" t="str">
            <v>GO:0046872GO:0030001</v>
          </cell>
          <cell r="C127" t="str">
            <v>protein</v>
          </cell>
          <cell r="D127" t="str">
            <v>BT0</v>
          </cell>
          <cell r="E127" t="str">
            <v>BT6</v>
          </cell>
          <cell r="F127">
            <v>5.8588399999999998</v>
          </cell>
          <cell r="G127">
            <v>2.7317499999999999</v>
          </cell>
          <cell r="H127">
            <v>-1.1007899999999999</v>
          </cell>
        </row>
        <row r="128">
          <cell r="A128" t="str">
            <v>GRMZM2G177340</v>
          </cell>
          <cell r="B128" t="str">
            <v>GO:0005634GO:0003676</v>
          </cell>
          <cell r="C128" t="str">
            <v>probable ccr4-associated factor 1 homolog 11-like</v>
          </cell>
          <cell r="D128" t="str">
            <v>BT0</v>
          </cell>
          <cell r="E128" t="str">
            <v>BT6</v>
          </cell>
          <cell r="F128">
            <v>4.0017699999999996</v>
          </cell>
          <cell r="G128">
            <v>1.2899400000000001</v>
          </cell>
          <cell r="H128">
            <v>-1.6333299999999999</v>
          </cell>
        </row>
        <row r="129">
          <cell r="A129" t="str">
            <v>GRMZM2G173724</v>
          </cell>
          <cell r="B129" t="str">
            <v>GO:0003993</v>
          </cell>
          <cell r="C129" t="str">
            <v>uncharacterized protein LOC100382355</v>
          </cell>
          <cell r="D129" t="str">
            <v>BT0</v>
          </cell>
          <cell r="E129" t="str">
            <v>BT6</v>
          </cell>
          <cell r="F129">
            <v>0.185561</v>
          </cell>
          <cell r="G129">
            <v>1.6388199999999999</v>
          </cell>
          <cell r="H129">
            <v>3.14269</v>
          </cell>
        </row>
        <row r="130">
          <cell r="A130" t="str">
            <v>GRMZM2G173742</v>
          </cell>
          <cell r="B130" t="str">
            <v>NA</v>
          </cell>
          <cell r="C130" t="str">
            <v>retrotransposon expressed</v>
          </cell>
          <cell r="D130" t="str">
            <v>BT0</v>
          </cell>
          <cell r="E130" t="str">
            <v>BT6</v>
          </cell>
          <cell r="F130">
            <v>0.58876300000000004</v>
          </cell>
          <cell r="G130">
            <v>1.4310799999999999</v>
          </cell>
          <cell r="H130">
            <v>1.28135</v>
          </cell>
        </row>
        <row r="131">
          <cell r="A131" t="str">
            <v>AC152495.1_FG017</v>
          </cell>
          <cell r="B131" t="str">
            <v>GO:0006915GO:0005524</v>
          </cell>
          <cell r="C131" t="str">
            <v>NA</v>
          </cell>
          <cell r="D131" t="str">
            <v>BT0</v>
          </cell>
          <cell r="E131" t="str">
            <v>BT6</v>
          </cell>
          <cell r="F131">
            <v>0.982734</v>
          </cell>
          <cell r="G131">
            <v>3.0369999999999999</v>
          </cell>
          <cell r="H131">
            <v>1.6277699999999999</v>
          </cell>
        </row>
        <row r="132">
          <cell r="A132" t="str">
            <v>GRMZM2G003762</v>
          </cell>
          <cell r="B132" t="str">
            <v>NA</v>
          </cell>
          <cell r="C132" t="str">
            <v>stem-specific protein expressed</v>
          </cell>
          <cell r="D132" t="str">
            <v>BT0</v>
          </cell>
          <cell r="E132" t="str">
            <v>BT6</v>
          </cell>
          <cell r="F132">
            <v>964.51700000000005</v>
          </cell>
          <cell r="G132">
            <v>2042.64</v>
          </cell>
          <cell r="H132">
            <v>1.08256</v>
          </cell>
        </row>
        <row r="133">
          <cell r="A133" t="str">
            <v>GRMZM2G180596</v>
          </cell>
          <cell r="B133" t="str">
            <v>NA</v>
          </cell>
          <cell r="C133" t="str">
            <v>protein</v>
          </cell>
          <cell r="D133" t="str">
            <v>BT0</v>
          </cell>
          <cell r="E133" t="str">
            <v>BT6</v>
          </cell>
          <cell r="F133">
            <v>4.1532200000000001</v>
          </cell>
          <cell r="G133">
            <v>2.05715</v>
          </cell>
          <cell r="H133">
            <v>-1.01359</v>
          </cell>
        </row>
        <row r="134">
          <cell r="A134" t="str">
            <v>GRMZM5G831224</v>
          </cell>
          <cell r="B134" t="str">
            <v>NA</v>
          </cell>
          <cell r="C134" t="str">
            <v>uncharacterized protein LOC100275796</v>
          </cell>
          <cell r="D134" t="str">
            <v>BT0</v>
          </cell>
          <cell r="E134" t="str">
            <v>BT6</v>
          </cell>
          <cell r="F134">
            <v>4.7435600000000004</v>
          </cell>
          <cell r="G134">
            <v>2.0251399999999999</v>
          </cell>
          <cell r="H134">
            <v>-1.2279500000000001</v>
          </cell>
        </row>
        <row r="135">
          <cell r="A135" t="str">
            <v>GRMZM2G056697</v>
          </cell>
          <cell r="B135" t="str">
            <v>NA</v>
          </cell>
          <cell r="C135" t="str">
            <v>uncharacterized protein LOC100272757</v>
          </cell>
          <cell r="D135" t="str">
            <v>BT0</v>
          </cell>
          <cell r="E135" t="str">
            <v>BT6</v>
          </cell>
          <cell r="F135">
            <v>0.103158</v>
          </cell>
          <cell r="G135">
            <v>1.08331</v>
          </cell>
          <cell r="H135">
            <v>3.3925200000000002</v>
          </cell>
        </row>
        <row r="136">
          <cell r="A136" t="str">
            <v>GRMZM2G336859</v>
          </cell>
          <cell r="B136" t="str">
            <v>NA</v>
          </cell>
          <cell r="C136" t="str">
            <v>NA</v>
          </cell>
          <cell r="D136" t="str">
            <v>BT0</v>
          </cell>
          <cell r="E136" t="str">
            <v>BT6</v>
          </cell>
          <cell r="F136">
            <v>0.88197700000000001</v>
          </cell>
          <cell r="G136">
            <v>0</v>
          </cell>
          <cell r="H136" t="str">
            <v>BD</v>
          </cell>
        </row>
        <row r="137">
          <cell r="A137" t="str">
            <v>GRMZM2G049930</v>
          </cell>
          <cell r="B137" t="str">
            <v>GO:0048046GO:0030145GO:0045735</v>
          </cell>
          <cell r="C137" t="str">
            <v>germin-like protein subfamily 1 member 8 expressed</v>
          </cell>
          <cell r="D137" t="str">
            <v>BT0</v>
          </cell>
          <cell r="E137" t="str">
            <v>BT6</v>
          </cell>
          <cell r="F137">
            <v>0.48676599999999998</v>
          </cell>
          <cell r="G137">
            <v>1.14205</v>
          </cell>
          <cell r="H137">
            <v>1.2303200000000001</v>
          </cell>
        </row>
        <row r="138">
          <cell r="A138" t="str">
            <v>GRMZM2G407495</v>
          </cell>
          <cell r="B138" t="str">
            <v>NA</v>
          </cell>
          <cell r="C138" t="str">
            <v>hypothetical protein</v>
          </cell>
          <cell r="D138" t="str">
            <v>BT0</v>
          </cell>
          <cell r="E138" t="str">
            <v>BT6</v>
          </cell>
          <cell r="F138">
            <v>7.7205899999999996</v>
          </cell>
          <cell r="G138">
            <v>23.229800000000001</v>
          </cell>
          <cell r="H138">
            <v>1.5891900000000001</v>
          </cell>
        </row>
        <row r="139">
          <cell r="A139" t="str">
            <v>GRMZM2G148316</v>
          </cell>
          <cell r="B139" t="str">
            <v>NA</v>
          </cell>
          <cell r="C139" t="str">
            <v>cytokinin-o-glucosyltransferase 2</v>
          </cell>
          <cell r="D139" t="str">
            <v>BT0</v>
          </cell>
          <cell r="E139" t="str">
            <v>BT6</v>
          </cell>
          <cell r="F139">
            <v>0</v>
          </cell>
          <cell r="G139">
            <v>1.20052</v>
          </cell>
          <cell r="H139" t="str">
            <v>BD</v>
          </cell>
        </row>
        <row r="140">
          <cell r="A140" t="str">
            <v>TPS10</v>
          </cell>
          <cell r="B140" t="str">
            <v>NA</v>
          </cell>
          <cell r="C140" t="str">
            <v>NA</v>
          </cell>
          <cell r="D140" t="str">
            <v>BT0</v>
          </cell>
          <cell r="E140" t="str">
            <v>BT6</v>
          </cell>
          <cell r="F140">
            <v>3.1799300000000001</v>
          </cell>
          <cell r="G140">
            <v>0.50944800000000001</v>
          </cell>
          <cell r="H140">
            <v>-2.6419899999999998</v>
          </cell>
        </row>
        <row r="141">
          <cell r="A141" t="str">
            <v>GRMZM2G165757</v>
          </cell>
          <cell r="B141" t="str">
            <v>GO:0016887GO:0016020GO:0031177GO:0005524</v>
          </cell>
          <cell r="C141" t="str">
            <v>abc transporter g family member 14-like</v>
          </cell>
          <cell r="D141" t="str">
            <v>BT0</v>
          </cell>
          <cell r="E141" t="str">
            <v>BT6</v>
          </cell>
          <cell r="F141">
            <v>2.8717700000000002</v>
          </cell>
          <cell r="G141">
            <v>0.919157</v>
          </cell>
          <cell r="H141">
            <v>-1.6435500000000001</v>
          </cell>
        </row>
        <row r="142">
          <cell r="A142" t="str">
            <v>GRMZM2G332423</v>
          </cell>
          <cell r="B142" t="str">
            <v>GO:0005506GO:0016491</v>
          </cell>
          <cell r="C142" t="str">
            <v>acc oxidase</v>
          </cell>
          <cell r="D142" t="str">
            <v>BT0</v>
          </cell>
          <cell r="E142" t="str">
            <v>BT6</v>
          </cell>
          <cell r="F142">
            <v>0.91518100000000002</v>
          </cell>
          <cell r="G142">
            <v>0</v>
          </cell>
          <cell r="H142" t="str">
            <v>BD</v>
          </cell>
        </row>
        <row r="143">
          <cell r="A143" t="str">
            <v>GRMZM2G066961</v>
          </cell>
          <cell r="B143" t="str">
            <v>GO:0006950</v>
          </cell>
          <cell r="C143" t="str">
            <v>universal stress protein</v>
          </cell>
          <cell r="D143" t="str">
            <v>BT0</v>
          </cell>
          <cell r="E143" t="str">
            <v>BT6</v>
          </cell>
          <cell r="F143">
            <v>52.3384</v>
          </cell>
          <cell r="G143">
            <v>16.386700000000001</v>
          </cell>
          <cell r="H143">
            <v>-1.6753499999999999</v>
          </cell>
        </row>
        <row r="144">
          <cell r="A144" t="str">
            <v>GRMZM2G087809</v>
          </cell>
          <cell r="B144" t="str">
            <v>GO:0005199GO:0045735</v>
          </cell>
          <cell r="C144" t="str">
            <v>NA</v>
          </cell>
          <cell r="D144" t="str">
            <v>BT0</v>
          </cell>
          <cell r="E144" t="str">
            <v>BT6</v>
          </cell>
          <cell r="F144">
            <v>2.6390799999999999</v>
          </cell>
          <cell r="G144">
            <v>0.61499300000000001</v>
          </cell>
          <cell r="H144">
            <v>-2.1013899999999999</v>
          </cell>
        </row>
        <row r="145">
          <cell r="A145" t="str">
            <v>GRMZM2G005939</v>
          </cell>
          <cell r="B145" t="str">
            <v>GO:0005634GO:0045449GO:0030528</v>
          </cell>
          <cell r="C145" t="str">
            <v>basic helix-loop-helix domain-containing protein</v>
          </cell>
          <cell r="D145" t="str">
            <v>BT0</v>
          </cell>
          <cell r="E145" t="str">
            <v>BT6</v>
          </cell>
          <cell r="F145">
            <v>18.391300000000001</v>
          </cell>
          <cell r="G145">
            <v>8.4800599999999999</v>
          </cell>
          <cell r="H145">
            <v>-1.1168800000000001</v>
          </cell>
        </row>
        <row r="146">
          <cell r="A146" t="str">
            <v>GRMZM2G005633</v>
          </cell>
          <cell r="B146" t="str">
            <v>GO:0016491GO:0004568GO:0006032GO:0008061GO:0016998</v>
          </cell>
          <cell r="C146" t="str">
            <v>chitinase</v>
          </cell>
          <cell r="D146" t="str">
            <v>BT0</v>
          </cell>
          <cell r="E146" t="str">
            <v>BT6</v>
          </cell>
          <cell r="F146">
            <v>2.37799</v>
          </cell>
          <cell r="G146">
            <v>0.21177199999999999</v>
          </cell>
          <cell r="H146">
            <v>-3.48916</v>
          </cell>
        </row>
        <row r="147">
          <cell r="A147" t="str">
            <v>GRMZM2G031660</v>
          </cell>
          <cell r="B147" t="str">
            <v>GO:0005975GO:0004553</v>
          </cell>
          <cell r="C147" t="str">
            <v>beta-glucosidase precursor</v>
          </cell>
          <cell r="D147" t="str">
            <v>BT0</v>
          </cell>
          <cell r="E147" t="str">
            <v>BT6</v>
          </cell>
          <cell r="F147">
            <v>17.8552</v>
          </cell>
          <cell r="G147">
            <v>8.7517899999999997</v>
          </cell>
          <cell r="H147">
            <v>-1.0286900000000001</v>
          </cell>
        </row>
        <row r="148">
          <cell r="A148" t="str">
            <v>H4C7</v>
          </cell>
          <cell r="B148" t="str">
            <v>NA</v>
          </cell>
          <cell r="C148" t="str">
            <v>NA</v>
          </cell>
          <cell r="D148" t="str">
            <v>BT0</v>
          </cell>
          <cell r="E148" t="str">
            <v>BT6</v>
          </cell>
          <cell r="F148">
            <v>3.0423200000000001</v>
          </cell>
          <cell r="G148">
            <v>0.95230999999999999</v>
          </cell>
          <cell r="H148">
            <v>-1.67567</v>
          </cell>
        </row>
        <row r="149">
          <cell r="A149" t="str">
            <v>GRMZM2G181030</v>
          </cell>
          <cell r="B149" t="str">
            <v>GO:0003677</v>
          </cell>
          <cell r="C149" t="str">
            <v>late elongated hypocoty</v>
          </cell>
          <cell r="D149" t="str">
            <v>BT0</v>
          </cell>
          <cell r="E149" t="str">
            <v>BT6</v>
          </cell>
          <cell r="F149">
            <v>2.7602500000000001</v>
          </cell>
          <cell r="G149">
            <v>0.86114900000000005</v>
          </cell>
          <cell r="H149">
            <v>-1.6804600000000001</v>
          </cell>
        </row>
        <row r="150">
          <cell r="A150" t="str">
            <v>GRMZM2G006212</v>
          </cell>
          <cell r="B150" t="str">
            <v>GO:0015297GO:0016020GO:0006855GO:0015238</v>
          </cell>
          <cell r="C150" t="str">
            <v>multidrug resistance</v>
          </cell>
          <cell r="D150" t="str">
            <v>BT0</v>
          </cell>
          <cell r="E150" t="str">
            <v>BT6</v>
          </cell>
          <cell r="F150">
            <v>0.37081500000000001</v>
          </cell>
          <cell r="G150">
            <v>1.0354399999999999</v>
          </cell>
          <cell r="H150">
            <v>1.4814700000000001</v>
          </cell>
        </row>
        <row r="151">
          <cell r="A151" t="str">
            <v>GRMZM5G802365</v>
          </cell>
          <cell r="B151" t="str">
            <v>NA</v>
          </cell>
          <cell r="C151" t="str">
            <v>NA</v>
          </cell>
          <cell r="D151" t="str">
            <v>BT0</v>
          </cell>
          <cell r="E151" t="str">
            <v>BT6</v>
          </cell>
          <cell r="F151">
            <v>0.80547599999999997</v>
          </cell>
          <cell r="G151">
            <v>0.36484699999999998</v>
          </cell>
          <cell r="H151">
            <v>-1.14255</v>
          </cell>
        </row>
        <row r="152">
          <cell r="A152" t="str">
            <v>GRMZM2G474039</v>
          </cell>
          <cell r="B152" t="str">
            <v>NA</v>
          </cell>
          <cell r="C152" t="str">
            <v>hypothetical protein SORBIDRAFT_06g030720</v>
          </cell>
          <cell r="D152" t="str">
            <v>BT0</v>
          </cell>
          <cell r="E152" t="str">
            <v>BT6</v>
          </cell>
          <cell r="F152">
            <v>0.45131300000000002</v>
          </cell>
          <cell r="G152">
            <v>15.3552</v>
          </cell>
          <cell r="H152">
            <v>5.0884499999999999</v>
          </cell>
        </row>
        <row r="153">
          <cell r="A153" t="str">
            <v>GRMZM5G882427</v>
          </cell>
          <cell r="B153" t="str">
            <v>NA</v>
          </cell>
          <cell r="C153" t="str">
            <v>anthocyanin 5-aromatic acyltransferase-like</v>
          </cell>
          <cell r="D153" t="str">
            <v>BT0</v>
          </cell>
          <cell r="E153" t="str">
            <v>BT6</v>
          </cell>
          <cell r="F153">
            <v>1.8548100000000001</v>
          </cell>
          <cell r="G153">
            <v>0.90556899999999996</v>
          </cell>
          <cell r="H153">
            <v>-1.03437</v>
          </cell>
        </row>
        <row r="154">
          <cell r="A154" t="str">
            <v>GRMZM2G045849</v>
          </cell>
          <cell r="B154" t="str">
            <v>GO:0006829GO:0016021GO:0017153GO:0006835GO:0005385</v>
          </cell>
          <cell r="C154" t="str">
            <v>zinc transporter zip1</v>
          </cell>
          <cell r="D154" t="str">
            <v>BT0</v>
          </cell>
          <cell r="E154" t="str">
            <v>BT6</v>
          </cell>
          <cell r="F154">
            <v>1.0102100000000001</v>
          </cell>
          <cell r="G154">
            <v>0.41486699999999999</v>
          </cell>
          <cell r="H154">
            <v>-1.2839400000000001</v>
          </cell>
        </row>
        <row r="155">
          <cell r="A155" t="str">
            <v>GRMZM2G093526</v>
          </cell>
          <cell r="B155" t="str">
            <v>GO:0016829GO:0000287GO:0008152</v>
          </cell>
          <cell r="C155" t="str">
            <v>ent-kaurene synthase b</v>
          </cell>
          <cell r="D155" t="str">
            <v>BT0</v>
          </cell>
          <cell r="E155" t="str">
            <v>BT6</v>
          </cell>
          <cell r="F155">
            <v>23.2804</v>
          </cell>
          <cell r="G155">
            <v>9.9021500000000007</v>
          </cell>
          <cell r="H155">
            <v>-1.2333000000000001</v>
          </cell>
        </row>
        <row r="156">
          <cell r="A156" t="str">
            <v>GRMZM2G477063</v>
          </cell>
          <cell r="B156" t="str">
            <v>NA</v>
          </cell>
          <cell r="C156" t="str">
            <v>unknown</v>
          </cell>
          <cell r="D156" t="str">
            <v>BT0</v>
          </cell>
          <cell r="E156" t="str">
            <v>BT6</v>
          </cell>
          <cell r="F156">
            <v>1.48085</v>
          </cell>
          <cell r="G156">
            <v>0.190247</v>
          </cell>
          <cell r="H156">
            <v>-2.9604699999999999</v>
          </cell>
        </row>
        <row r="157">
          <cell r="A157" t="str">
            <v>GRMZM2G074743</v>
          </cell>
          <cell r="B157" t="str">
            <v>GO:0005740GO:0007585</v>
          </cell>
          <cell r="C157" t="str">
            <v>alternative oxidase</v>
          </cell>
          <cell r="D157" t="str">
            <v>BT0</v>
          </cell>
          <cell r="E157" t="str">
            <v>BT6</v>
          </cell>
          <cell r="F157">
            <v>3.6669900000000002</v>
          </cell>
          <cell r="G157">
            <v>0.80324300000000004</v>
          </cell>
          <cell r="H157">
            <v>-2.19069</v>
          </cell>
        </row>
        <row r="158">
          <cell r="A158" t="str">
            <v>GRMZM2G038722</v>
          </cell>
          <cell r="B158" t="str">
            <v>GO:0005737GO:0006796GO:0000287GO:0003677GO:0004427</v>
          </cell>
          <cell r="C158" t="str">
            <v>myb-related protein zm1</v>
          </cell>
          <cell r="D158" t="str">
            <v>BT0</v>
          </cell>
          <cell r="E158" t="str">
            <v>BT6</v>
          </cell>
          <cell r="F158">
            <v>1.2837000000000001</v>
          </cell>
          <cell r="G158">
            <v>0.41604600000000003</v>
          </cell>
          <cell r="H158">
            <v>-1.6254900000000001</v>
          </cell>
        </row>
        <row r="159">
          <cell r="A159" t="str">
            <v>GRMZM2G163067</v>
          </cell>
          <cell r="B159" t="str">
            <v>NA</v>
          </cell>
          <cell r="C159" t="str">
            <v>uncharacterized protein LOC100277698</v>
          </cell>
          <cell r="D159" t="str">
            <v>BT0</v>
          </cell>
          <cell r="E159" t="str">
            <v>BT6</v>
          </cell>
          <cell r="F159">
            <v>10.2959</v>
          </cell>
          <cell r="G159">
            <v>4.6576399999999998</v>
          </cell>
          <cell r="H159">
            <v>-1.1444000000000001</v>
          </cell>
        </row>
        <row r="160">
          <cell r="A160" t="str">
            <v>GRMZM2G066489</v>
          </cell>
          <cell r="B160" t="str">
            <v>GO:0016021GO:0006810GO:0005234GO:0030288GO:0004965GO:0007186GO:0004970</v>
          </cell>
          <cell r="C160" t="str">
            <v>glutamate-gated kainate-type ion channel receptor subunit 5</v>
          </cell>
          <cell r="D160" t="str">
            <v>BT0</v>
          </cell>
          <cell r="E160" t="str">
            <v>BT6</v>
          </cell>
          <cell r="F160">
            <v>2.1866500000000002</v>
          </cell>
          <cell r="G160">
            <v>5.49892</v>
          </cell>
          <cell r="H160">
            <v>1.3304199999999999</v>
          </cell>
        </row>
        <row r="161">
          <cell r="A161" t="str">
            <v>GRMZM2G050234</v>
          </cell>
          <cell r="B161" t="str">
            <v>GO:0005506GO:0016491</v>
          </cell>
          <cell r="C161" t="str">
            <v>protein</v>
          </cell>
          <cell r="D161" t="str">
            <v>BT0</v>
          </cell>
          <cell r="E161" t="str">
            <v>BT6</v>
          </cell>
          <cell r="F161">
            <v>1.2150399999999999</v>
          </cell>
          <cell r="G161">
            <v>2.8657499999999998</v>
          </cell>
          <cell r="H161">
            <v>1.2379100000000001</v>
          </cell>
        </row>
        <row r="162">
          <cell r="A162" t="str">
            <v>GRMZM2G045398</v>
          </cell>
          <cell r="B162" t="str">
            <v>GO:0008270GO:0005515</v>
          </cell>
          <cell r="C162" t="str">
            <v>ring-h2 finger protein atl2l</v>
          </cell>
          <cell r="D162" t="str">
            <v>BT0</v>
          </cell>
          <cell r="E162" t="str">
            <v>BT6</v>
          </cell>
          <cell r="F162">
            <v>1.2719400000000001</v>
          </cell>
          <cell r="G162">
            <v>0.41779300000000003</v>
          </cell>
          <cell r="H162">
            <v>-1.6061700000000001</v>
          </cell>
        </row>
        <row r="163">
          <cell r="A163" t="str">
            <v>GRMZM2G120016</v>
          </cell>
          <cell r="B163" t="str">
            <v>GO:0016758GO:0008152</v>
          </cell>
          <cell r="C163" t="str">
            <v>cis-zeatin o-glucosyltransferase</v>
          </cell>
          <cell r="D163" t="str">
            <v>BT0</v>
          </cell>
          <cell r="E163" t="str">
            <v>BT6</v>
          </cell>
          <cell r="F163">
            <v>4.3836199999999996</v>
          </cell>
          <cell r="G163">
            <v>16.9499</v>
          </cell>
          <cell r="H163">
            <v>1.9510799999999999</v>
          </cell>
        </row>
        <row r="164">
          <cell r="A164" t="str">
            <v>GRMZM2G048366</v>
          </cell>
          <cell r="B164" t="str">
            <v>NA</v>
          </cell>
          <cell r="C164" t="str">
            <v>meiosis 5 precursor</v>
          </cell>
          <cell r="D164" t="str">
            <v>BT0</v>
          </cell>
          <cell r="E164" t="str">
            <v>BT6</v>
          </cell>
          <cell r="F164">
            <v>0.45937499999999998</v>
          </cell>
          <cell r="G164">
            <v>1.16384</v>
          </cell>
          <cell r="H164">
            <v>1.3411500000000001</v>
          </cell>
        </row>
        <row r="165">
          <cell r="A165" t="str">
            <v>GRMZM2G051943</v>
          </cell>
          <cell r="B165" t="str">
            <v>GO:0016998GO:0016021GO:0008061GO:0004994GO:0004568GO:0006032GO:0007186</v>
          </cell>
          <cell r="C165" t="str">
            <v>chitinase</v>
          </cell>
          <cell r="D165" t="str">
            <v>BT0</v>
          </cell>
          <cell r="E165" t="str">
            <v>BT6</v>
          </cell>
          <cell r="F165">
            <v>9.9013500000000008</v>
          </cell>
          <cell r="G165">
            <v>4.6725399999999997</v>
          </cell>
          <cell r="H165">
            <v>-1.08342</v>
          </cell>
        </row>
        <row r="166">
          <cell r="A166" t="str">
            <v>GRMZM2G112072</v>
          </cell>
          <cell r="B166" t="str">
            <v>GO:0007067</v>
          </cell>
          <cell r="C166" t="str">
            <v>mitotic spindle checkpoint protein mad2</v>
          </cell>
          <cell r="D166" t="str">
            <v>BT0</v>
          </cell>
          <cell r="E166" t="str">
            <v>BT6</v>
          </cell>
          <cell r="F166">
            <v>1.15181</v>
          </cell>
          <cell r="G166">
            <v>0.31417600000000001</v>
          </cell>
          <cell r="H166">
            <v>-1.87426</v>
          </cell>
        </row>
        <row r="167">
          <cell r="A167" t="str">
            <v>GRMZM2G135387</v>
          </cell>
          <cell r="B167" t="str">
            <v>GO:0004497GO:0020037GO:0009055</v>
          </cell>
          <cell r="C167" t="str">
            <v>cytochrome p450</v>
          </cell>
          <cell r="D167" t="str">
            <v>BT0</v>
          </cell>
          <cell r="E167" t="str">
            <v>BT6</v>
          </cell>
          <cell r="F167">
            <v>1.00288</v>
          </cell>
          <cell r="G167">
            <v>0.23069400000000001</v>
          </cell>
          <cell r="H167">
            <v>-2.1200899999999998</v>
          </cell>
        </row>
        <row r="168">
          <cell r="A168" t="str">
            <v>AC208221.3_FG002</v>
          </cell>
          <cell r="B168" t="str">
            <v>GO:0005576GO:0004867</v>
          </cell>
          <cell r="C168" t="str">
            <v>NA</v>
          </cell>
          <cell r="D168" t="str">
            <v>BT0</v>
          </cell>
          <cell r="E168" t="str">
            <v>BT6</v>
          </cell>
          <cell r="F168">
            <v>1.0129300000000001</v>
          </cell>
          <cell r="G168">
            <v>20.145700000000001</v>
          </cell>
          <cell r="H168">
            <v>4.3138699999999996</v>
          </cell>
        </row>
        <row r="169">
          <cell r="A169" t="str">
            <v>GRMZM2G071996</v>
          </cell>
          <cell r="B169" t="str">
            <v>GO:0031072GO:0006457GO:0051082</v>
          </cell>
          <cell r="C169" t="str">
            <v>hsp40 cysteine-rich domain-containing protein</v>
          </cell>
          <cell r="D169" t="str">
            <v>BT0</v>
          </cell>
          <cell r="E169" t="str">
            <v>BT6</v>
          </cell>
          <cell r="F169">
            <v>11.0479</v>
          </cell>
          <cell r="G169">
            <v>31.525700000000001</v>
          </cell>
          <cell r="H169">
            <v>1.5127600000000001</v>
          </cell>
        </row>
        <row r="170">
          <cell r="A170" t="str">
            <v>GRMZM2G028640</v>
          </cell>
          <cell r="B170" t="str">
            <v>NA</v>
          </cell>
          <cell r="C170" t="str">
            <v>enzyme of the cupin superfamily</v>
          </cell>
          <cell r="D170" t="str">
            <v>BT0</v>
          </cell>
          <cell r="E170" t="str">
            <v>BT6</v>
          </cell>
          <cell r="F170">
            <v>0.62646100000000005</v>
          </cell>
          <cell r="G170">
            <v>12.7577</v>
          </cell>
          <cell r="H170">
            <v>4.3479999999999999</v>
          </cell>
        </row>
        <row r="171">
          <cell r="A171" t="str">
            <v>GRMZM2G406196</v>
          </cell>
          <cell r="B171" t="str">
            <v>GO:0050825GO:0042309GO:0050826</v>
          </cell>
          <cell r="C171" t="str">
            <v>protein</v>
          </cell>
          <cell r="D171" t="str">
            <v>BT0</v>
          </cell>
          <cell r="E171" t="str">
            <v>BT6</v>
          </cell>
          <cell r="F171">
            <v>1.2693399999999999</v>
          </cell>
          <cell r="G171">
            <v>2.61503</v>
          </cell>
          <cell r="H171">
            <v>1.0427500000000001</v>
          </cell>
        </row>
        <row r="172">
          <cell r="A172" t="str">
            <v>GRMZM2G178486</v>
          </cell>
          <cell r="B172" t="str">
            <v>GO:0008270GO:0005515</v>
          </cell>
          <cell r="C172" t="str">
            <v>protein</v>
          </cell>
          <cell r="D172" t="str">
            <v>BT0</v>
          </cell>
          <cell r="E172" t="str">
            <v>BT6</v>
          </cell>
          <cell r="F172">
            <v>3.7075300000000002</v>
          </cell>
          <cell r="G172">
            <v>0.79546700000000004</v>
          </cell>
          <cell r="H172">
            <v>-2.2205900000000001</v>
          </cell>
        </row>
        <row r="173">
          <cell r="A173" t="str">
            <v>GRMZM2G074083</v>
          </cell>
          <cell r="B173" t="str">
            <v>NA</v>
          </cell>
          <cell r="C173" t="str">
            <v>protein</v>
          </cell>
          <cell r="D173" t="str">
            <v>BT0</v>
          </cell>
          <cell r="E173" t="str">
            <v>BT6</v>
          </cell>
          <cell r="F173">
            <v>10.777100000000001</v>
          </cell>
          <cell r="G173">
            <v>29.012599999999999</v>
          </cell>
          <cell r="H173">
            <v>1.4287000000000001</v>
          </cell>
        </row>
        <row r="174">
          <cell r="A174" t="str">
            <v>GRMZM2G147491</v>
          </cell>
          <cell r="B174" t="str">
            <v>GO:0046983GO:0008171</v>
          </cell>
          <cell r="C174" t="str">
            <v>o-methyltransferase family expressed</v>
          </cell>
          <cell r="D174" t="str">
            <v>BT0</v>
          </cell>
          <cell r="E174" t="str">
            <v>BT6</v>
          </cell>
          <cell r="F174">
            <v>16.901199999999999</v>
          </cell>
          <cell r="G174">
            <v>6.5565100000000003</v>
          </cell>
          <cell r="H174">
            <v>-1.3661300000000001</v>
          </cell>
        </row>
        <row r="175">
          <cell r="A175" t="str">
            <v>GRMZM2G108597</v>
          </cell>
          <cell r="B175" t="str">
            <v>NA</v>
          </cell>
          <cell r="C175" t="str">
            <v>amino acid transporter</v>
          </cell>
          <cell r="D175" t="str">
            <v>BT0</v>
          </cell>
          <cell r="E175" t="str">
            <v>BT6</v>
          </cell>
          <cell r="F175">
            <v>0.92411299999999996</v>
          </cell>
          <cell r="G175">
            <v>0.14496700000000001</v>
          </cell>
          <cell r="H175">
            <v>-2.6723400000000002</v>
          </cell>
        </row>
        <row r="176">
          <cell r="A176" t="str">
            <v>GRMZM2G088778</v>
          </cell>
          <cell r="B176" t="str">
            <v>NA</v>
          </cell>
          <cell r="C176" t="str">
            <v>ankyrin repeat family expressed</v>
          </cell>
          <cell r="D176" t="str">
            <v>BT0</v>
          </cell>
          <cell r="E176" t="str">
            <v>BT6</v>
          </cell>
          <cell r="F176">
            <v>1.0440799999999999</v>
          </cell>
          <cell r="G176">
            <v>0.28086299999999997</v>
          </cell>
          <cell r="H176">
            <v>-1.89429</v>
          </cell>
        </row>
        <row r="177">
          <cell r="A177" t="str">
            <v>GRMZM2G115451</v>
          </cell>
          <cell r="B177" t="str">
            <v>GO:0005978GO:0004135</v>
          </cell>
          <cell r="C177" t="str">
            <v>neutral alkaline expressed</v>
          </cell>
          <cell r="D177" t="str">
            <v>BT0</v>
          </cell>
          <cell r="E177" t="str">
            <v>BT6</v>
          </cell>
          <cell r="F177">
            <v>5.4650999999999996</v>
          </cell>
          <cell r="G177">
            <v>1.46767</v>
          </cell>
          <cell r="H177">
            <v>-1.89672</v>
          </cell>
        </row>
        <row r="178">
          <cell r="A178" t="str">
            <v>GRMZM2G113033</v>
          </cell>
          <cell r="B178" t="str">
            <v>GO:0015977GO:0016984</v>
          </cell>
          <cell r="C178" t="str">
            <v>ribulose- -bisphosphate carboxylase oxygenase small subunit</v>
          </cell>
          <cell r="D178" t="str">
            <v>BT0</v>
          </cell>
          <cell r="E178" t="str">
            <v>BT6</v>
          </cell>
          <cell r="F178">
            <v>938.846</v>
          </cell>
          <cell r="G178">
            <v>1896.46</v>
          </cell>
          <cell r="H178">
            <v>1.0143500000000001</v>
          </cell>
        </row>
        <row r="179">
          <cell r="A179" t="str">
            <v>GRMZM2G042677</v>
          </cell>
          <cell r="B179" t="str">
            <v>NA</v>
          </cell>
          <cell r="C179" t="str">
            <v>acyltransferase ( kd)</v>
          </cell>
          <cell r="D179" t="str">
            <v>BT0</v>
          </cell>
          <cell r="E179" t="str">
            <v>BT6</v>
          </cell>
          <cell r="F179">
            <v>2.4778600000000002</v>
          </cell>
          <cell r="G179">
            <v>1.04382</v>
          </cell>
          <cell r="H179">
            <v>-1.24722</v>
          </cell>
        </row>
        <row r="180">
          <cell r="A180" t="str">
            <v>GRMZM6G654251</v>
          </cell>
          <cell r="B180" t="str">
            <v>NA</v>
          </cell>
          <cell r="C180" t="str">
            <v>NA</v>
          </cell>
          <cell r="D180" t="str">
            <v>BT0</v>
          </cell>
          <cell r="E180" t="str">
            <v>BT6</v>
          </cell>
          <cell r="F180">
            <v>23.9984</v>
          </cell>
          <cell r="G180">
            <v>9.5113299999999992</v>
          </cell>
          <cell r="H180">
            <v>-1.3352200000000001</v>
          </cell>
        </row>
        <row r="181">
          <cell r="A181" t="str">
            <v>GRMZM2G002131</v>
          </cell>
          <cell r="B181" t="str">
            <v>GO:0003700GO:0006355GO:0005634GO:0043565</v>
          </cell>
          <cell r="C181" t="str">
            <v>heat shock transcription factor hsf4</v>
          </cell>
          <cell r="D181" t="str">
            <v>BT0</v>
          </cell>
          <cell r="E181" t="str">
            <v>BT6</v>
          </cell>
          <cell r="F181">
            <v>2.7786</v>
          </cell>
          <cell r="G181">
            <v>1.3164</v>
          </cell>
          <cell r="H181">
            <v>-1.0777600000000001</v>
          </cell>
        </row>
        <row r="182">
          <cell r="A182" t="str">
            <v>GRMZM2G138468</v>
          </cell>
          <cell r="B182" t="str">
            <v>GO:0004556GO:0005975GO:0005509</v>
          </cell>
          <cell r="C182" t="str">
            <v>alpha-amylase isozyme 3e precursor</v>
          </cell>
          <cell r="D182" t="str">
            <v>BT0</v>
          </cell>
          <cell r="E182" t="str">
            <v>BT6</v>
          </cell>
          <cell r="F182">
            <v>1.8429</v>
          </cell>
          <cell r="G182">
            <v>0.59233899999999995</v>
          </cell>
          <cell r="H182">
            <v>-1.63748</v>
          </cell>
        </row>
        <row r="183">
          <cell r="A183" t="str">
            <v>GRMZM2G052908</v>
          </cell>
          <cell r="B183" t="str">
            <v>NA</v>
          </cell>
          <cell r="C183" t="str">
            <v>transcription factor jumonji domain-containing protein</v>
          </cell>
          <cell r="D183" t="str">
            <v>BT0</v>
          </cell>
          <cell r="E183" t="str">
            <v>BT6</v>
          </cell>
          <cell r="F183">
            <v>2.8870399999999998</v>
          </cell>
          <cell r="G183">
            <v>1.0282899999999999</v>
          </cell>
          <cell r="H183">
            <v>-1.4893400000000001</v>
          </cell>
        </row>
        <row r="184">
          <cell r="A184" t="str">
            <v>GRMZM2G013781</v>
          </cell>
          <cell r="B184" t="str">
            <v>GO:0005488GO:0008152GO:0016491</v>
          </cell>
          <cell r="C184" t="str">
            <v>chloroplastic quinone-oxidoreductase</v>
          </cell>
          <cell r="D184" t="str">
            <v>BT0</v>
          </cell>
          <cell r="E184" t="str">
            <v>BT6</v>
          </cell>
          <cell r="F184">
            <v>1.4880599999999999</v>
          </cell>
          <cell r="G184">
            <v>0.62072400000000005</v>
          </cell>
          <cell r="H184">
            <v>-1.2614099999999999</v>
          </cell>
        </row>
        <row r="185">
          <cell r="A185" t="str">
            <v>GRMZM5G803981</v>
          </cell>
          <cell r="B185" t="str">
            <v>NA</v>
          </cell>
          <cell r="C185" t="str">
            <v>beta-amylase</v>
          </cell>
          <cell r="D185" t="str">
            <v>BT0</v>
          </cell>
          <cell r="E185" t="str">
            <v>BT6</v>
          </cell>
          <cell r="F185">
            <v>0.56625999999999999</v>
          </cell>
          <cell r="G185">
            <v>1.87077</v>
          </cell>
          <cell r="H185">
            <v>1.7241</v>
          </cell>
        </row>
        <row r="186">
          <cell r="A186" t="str">
            <v>GRMZM2G177110</v>
          </cell>
          <cell r="B186" t="str">
            <v>NA</v>
          </cell>
          <cell r="C186" t="str">
            <v>lob domain-containing protein 38-like</v>
          </cell>
          <cell r="D186" t="str">
            <v>BT0</v>
          </cell>
          <cell r="E186" t="str">
            <v>BT6</v>
          </cell>
          <cell r="F186">
            <v>2.54827</v>
          </cell>
          <cell r="G186">
            <v>5.4491100000000001</v>
          </cell>
          <cell r="H186">
            <v>1.0965</v>
          </cell>
        </row>
        <row r="187">
          <cell r="A187" t="str">
            <v>GRMZM2G125196</v>
          </cell>
          <cell r="B187" t="str">
            <v>GO:0008270GO:0055114GO:0016491</v>
          </cell>
          <cell r="C187" t="str">
            <v>nadp-dependent oxidoreductase expressed</v>
          </cell>
          <cell r="D187" t="str">
            <v>BT0</v>
          </cell>
          <cell r="E187" t="str">
            <v>BT6</v>
          </cell>
          <cell r="F187">
            <v>0.58928599999999998</v>
          </cell>
          <cell r="G187">
            <v>5.5100100000000003</v>
          </cell>
          <cell r="H187">
            <v>3.2250200000000002</v>
          </cell>
        </row>
        <row r="188">
          <cell r="A188" t="str">
            <v>GRMZM2G349839</v>
          </cell>
          <cell r="B188" t="str">
            <v>NA</v>
          </cell>
          <cell r="C188" t="str">
            <v>gda1 cd39 family expressed</v>
          </cell>
          <cell r="D188" t="str">
            <v>BT0</v>
          </cell>
          <cell r="E188" t="str">
            <v>BT6</v>
          </cell>
          <cell r="F188">
            <v>2.23847</v>
          </cell>
          <cell r="G188">
            <v>6.1475999999999997</v>
          </cell>
          <cell r="H188">
            <v>1.4575100000000001</v>
          </cell>
        </row>
        <row r="189">
          <cell r="A189" t="str">
            <v>GRMZM5G892308</v>
          </cell>
          <cell r="B189" t="str">
            <v>NA</v>
          </cell>
          <cell r="C189" t="str">
            <v>glutaredoxin family protein</v>
          </cell>
          <cell r="D189" t="str">
            <v>BT0</v>
          </cell>
          <cell r="E189" t="str">
            <v>BT6</v>
          </cell>
          <cell r="F189">
            <v>35.8322</v>
          </cell>
          <cell r="G189">
            <v>116.60599999999999</v>
          </cell>
          <cell r="H189">
            <v>1.70231</v>
          </cell>
        </row>
        <row r="190">
          <cell r="A190" t="str">
            <v>GRMZM2G139467</v>
          </cell>
          <cell r="B190" t="str">
            <v>GO:0004497GO:0020037GO:0009055</v>
          </cell>
          <cell r="C190" t="str">
            <v>elicitor-inducible cytochrome p450</v>
          </cell>
          <cell r="D190" t="str">
            <v>BT0</v>
          </cell>
          <cell r="E190" t="str">
            <v>BT6</v>
          </cell>
          <cell r="F190">
            <v>13.856999999999999</v>
          </cell>
          <cell r="G190">
            <v>58.524700000000003</v>
          </cell>
          <cell r="H190">
            <v>2.07843</v>
          </cell>
        </row>
        <row r="191">
          <cell r="A191" t="str">
            <v>GRMZM2G042933</v>
          </cell>
          <cell r="B191" t="str">
            <v>GO:0033179GO:0015986GO:0015078</v>
          </cell>
          <cell r="C191" t="str">
            <v>probable amino acid permease 7-like</v>
          </cell>
          <cell r="D191" t="str">
            <v>BT0</v>
          </cell>
          <cell r="E191" t="str">
            <v>BT6</v>
          </cell>
          <cell r="F191">
            <v>4.1264099999999999</v>
          </cell>
          <cell r="G191">
            <v>1.9676</v>
          </cell>
          <cell r="H191">
            <v>-1.0684499999999999</v>
          </cell>
        </row>
        <row r="192">
          <cell r="A192" t="str">
            <v>GRMZM2G115705</v>
          </cell>
          <cell r="B192" t="str">
            <v>GO:0006468GO:0004674GO:0005529GO:0004713GO:0005524GO:0048544</v>
          </cell>
          <cell r="C192" t="str">
            <v>receptor-like serine threonine-protein kinase sd1-8-like</v>
          </cell>
          <cell r="D192" t="str">
            <v>BT0</v>
          </cell>
          <cell r="E192" t="str">
            <v>BT6</v>
          </cell>
          <cell r="F192">
            <v>0.32039299999999998</v>
          </cell>
          <cell r="G192">
            <v>0.97678200000000004</v>
          </cell>
          <cell r="H192">
            <v>1.60819</v>
          </cell>
        </row>
        <row r="193">
          <cell r="A193" t="str">
            <v>GRMZM2G107711</v>
          </cell>
          <cell r="B193" t="str">
            <v>GO:0050825GO:0042309GO:0050826</v>
          </cell>
          <cell r="C193" t="str">
            <v>uncharacterized protein LOC100277187 precursor</v>
          </cell>
          <cell r="D193" t="str">
            <v>BT0</v>
          </cell>
          <cell r="E193" t="str">
            <v>BT6</v>
          </cell>
          <cell r="F193">
            <v>1.7499400000000001</v>
          </cell>
          <cell r="G193">
            <v>0.65745600000000004</v>
          </cell>
          <cell r="H193">
            <v>-1.4123399999999999</v>
          </cell>
        </row>
        <row r="194">
          <cell r="A194" t="str">
            <v>GRMZM2G421256</v>
          </cell>
          <cell r="B194" t="str">
            <v>GO:0003677</v>
          </cell>
          <cell r="C194" t="str">
            <v>late elongated hypocoty</v>
          </cell>
          <cell r="D194" t="str">
            <v>BT0</v>
          </cell>
          <cell r="E194" t="str">
            <v>BT6</v>
          </cell>
          <cell r="F194">
            <v>1.49472</v>
          </cell>
          <cell r="G194">
            <v>0.33613900000000002</v>
          </cell>
          <cell r="H194">
            <v>-2.1527400000000001</v>
          </cell>
        </row>
        <row r="195">
          <cell r="A195" t="str">
            <v>GRMZM2G076771</v>
          </cell>
          <cell r="B195" t="str">
            <v>NA</v>
          </cell>
          <cell r="C195" t="str">
            <v>pentatricopeptide repeat-containing protein chloroplastic-like</v>
          </cell>
          <cell r="D195" t="str">
            <v>BT0</v>
          </cell>
          <cell r="E195" t="str">
            <v>BT6</v>
          </cell>
          <cell r="F195">
            <v>6.3260800000000001</v>
          </cell>
          <cell r="G195">
            <v>20.378900000000002</v>
          </cell>
          <cell r="H195">
            <v>1.6876899999999999</v>
          </cell>
        </row>
        <row r="196">
          <cell r="A196" t="str">
            <v>GRMZM2G153378</v>
          </cell>
          <cell r="B196" t="str">
            <v>NA</v>
          </cell>
          <cell r="C196" t="str">
            <v>uncharacterized protein LOC100274721</v>
          </cell>
          <cell r="D196" t="str">
            <v>BT0</v>
          </cell>
          <cell r="E196" t="str">
            <v>BT6</v>
          </cell>
          <cell r="F196">
            <v>1.40516</v>
          </cell>
          <cell r="G196">
            <v>0.61458599999999997</v>
          </cell>
          <cell r="H196">
            <v>-1.1930499999999999</v>
          </cell>
        </row>
        <row r="197">
          <cell r="A197" t="str">
            <v>GRMZM2G080274</v>
          </cell>
          <cell r="B197" t="str">
            <v>GO:0006334GO:0003677GO:0050826GO:0050825GO:0042309GO:0000786GO:0005634</v>
          </cell>
          <cell r="C197" t="str">
            <v>histone h1</v>
          </cell>
          <cell r="D197" t="str">
            <v>BT0</v>
          </cell>
          <cell r="E197" t="str">
            <v>BT6</v>
          </cell>
          <cell r="F197">
            <v>259.18</v>
          </cell>
          <cell r="G197">
            <v>117.413</v>
          </cell>
          <cell r="H197">
            <v>-1.14236</v>
          </cell>
        </row>
        <row r="198">
          <cell r="A198" t="str">
            <v>GRMZM2G042756</v>
          </cell>
          <cell r="B198" t="str">
            <v>GO:0003700GO:0006355</v>
          </cell>
          <cell r="C198" t="str">
            <v>cbf protein 1</v>
          </cell>
          <cell r="D198" t="str">
            <v>BT0</v>
          </cell>
          <cell r="E198" t="str">
            <v>BT6</v>
          </cell>
          <cell r="F198">
            <v>1.56128</v>
          </cell>
          <cell r="G198">
            <v>3.19055</v>
          </cell>
          <cell r="H198">
            <v>1.03108</v>
          </cell>
        </row>
        <row r="199">
          <cell r="A199" t="str">
            <v>GRMZM2G322819</v>
          </cell>
          <cell r="B199" t="str">
            <v>GO:0006508GO:0004252</v>
          </cell>
          <cell r="C199" t="str">
            <v>prolyl endopeptidase-like</v>
          </cell>
          <cell r="D199" t="str">
            <v>BT0</v>
          </cell>
          <cell r="E199" t="str">
            <v>BT6</v>
          </cell>
          <cell r="F199">
            <v>1.3244800000000001</v>
          </cell>
          <cell r="G199">
            <v>0.51022699999999999</v>
          </cell>
          <cell r="H199">
            <v>-1.3762099999999999</v>
          </cell>
        </row>
        <row r="200">
          <cell r="A200" t="str">
            <v>AC212835.3_FG008</v>
          </cell>
          <cell r="B200" t="str">
            <v>GO:0006468GO:0005840GO:0003735GO:0004674GO:0050825GO:0004713GO:0042309GO:0050826GO:0006412GO:0005524</v>
          </cell>
          <cell r="C200" t="str">
            <v>NA</v>
          </cell>
          <cell r="D200" t="str">
            <v>BT0</v>
          </cell>
          <cell r="E200" t="str">
            <v>BT6</v>
          </cell>
          <cell r="F200">
            <v>0.32389600000000002</v>
          </cell>
          <cell r="G200">
            <v>1.11111</v>
          </cell>
          <cell r="H200">
            <v>1.7784</v>
          </cell>
        </row>
        <row r="201">
          <cell r="A201" t="str">
            <v>GRMZM2G177866</v>
          </cell>
          <cell r="B201" t="str">
            <v>NA</v>
          </cell>
          <cell r="C201" t="str">
            <v>uncharacterized protein LOC100277206 precursor</v>
          </cell>
          <cell r="D201" t="str">
            <v>BT0</v>
          </cell>
          <cell r="E201" t="str">
            <v>BT6</v>
          </cell>
          <cell r="F201">
            <v>1.6164499999999999</v>
          </cell>
          <cell r="G201">
            <v>4.2753300000000003</v>
          </cell>
          <cell r="H201">
            <v>1.4032100000000001</v>
          </cell>
        </row>
        <row r="202">
          <cell r="A202" t="str">
            <v>GRMZM2G108153</v>
          </cell>
          <cell r="B202" t="str">
            <v>GO:0004601GO:0006979GO:0020037GO:0009055</v>
          </cell>
          <cell r="C202" t="str">
            <v>protein</v>
          </cell>
          <cell r="D202" t="str">
            <v>BT0</v>
          </cell>
          <cell r="E202" t="str">
            <v>BT6</v>
          </cell>
          <cell r="F202">
            <v>0.26123499999999999</v>
          </cell>
          <cell r="G202">
            <v>2.2105800000000002</v>
          </cell>
          <cell r="H202">
            <v>3.08101</v>
          </cell>
        </row>
        <row r="203">
          <cell r="A203" t="str">
            <v>GRMZM2G108123</v>
          </cell>
          <cell r="B203" t="str">
            <v>GO:0004601GO:0006979GO:0020037GO:0009055</v>
          </cell>
          <cell r="C203" t="str">
            <v>protein</v>
          </cell>
          <cell r="D203" t="str">
            <v>BT0</v>
          </cell>
          <cell r="E203" t="str">
            <v>BT6</v>
          </cell>
          <cell r="F203">
            <v>0.22845099999999999</v>
          </cell>
          <cell r="G203">
            <v>1.1794</v>
          </cell>
          <cell r="H203">
            <v>2.3681000000000001</v>
          </cell>
        </row>
        <row r="204">
          <cell r="A204" t="str">
            <v>GRMZM2G138190</v>
          </cell>
          <cell r="B204" t="str">
            <v>NA</v>
          </cell>
          <cell r="C204" t="str">
            <v>non-yellowing protein 1</v>
          </cell>
          <cell r="D204" t="str">
            <v>BT0</v>
          </cell>
          <cell r="E204" t="str">
            <v>BT6</v>
          </cell>
          <cell r="F204">
            <v>5.6394900000000003</v>
          </cell>
          <cell r="G204">
            <v>11.7193</v>
          </cell>
          <cell r="H204">
            <v>1.05525</v>
          </cell>
        </row>
        <row r="205">
          <cell r="A205" t="str">
            <v>GRMZM2G147268</v>
          </cell>
          <cell r="B205" t="str">
            <v>GO:0016829GO:0009058GO:0006520GO:0016769GO:0030170</v>
          </cell>
          <cell r="C205" t="str">
            <v>l-allo-threonine aldolase</v>
          </cell>
          <cell r="D205" t="str">
            <v>BT0</v>
          </cell>
          <cell r="E205" t="str">
            <v>BT6</v>
          </cell>
          <cell r="F205">
            <v>0.91765699999999994</v>
          </cell>
          <cell r="G205">
            <v>2.4175300000000002</v>
          </cell>
          <cell r="H205">
            <v>1.3975</v>
          </cell>
        </row>
        <row r="206">
          <cell r="A206" t="str">
            <v>GRMZM2G051952</v>
          </cell>
          <cell r="B206" t="str">
            <v>GO:0006355GO:0005634GO:0004879GO:0003677</v>
          </cell>
          <cell r="C206" t="str">
            <v>at4g28740 f16a16_150</v>
          </cell>
          <cell r="D206" t="str">
            <v>BT0</v>
          </cell>
          <cell r="E206" t="str">
            <v>BT6</v>
          </cell>
          <cell r="F206">
            <v>1.83968</v>
          </cell>
          <cell r="G206">
            <v>5.48651</v>
          </cell>
          <cell r="H206">
            <v>1.5764400000000001</v>
          </cell>
        </row>
        <row r="207">
          <cell r="A207" t="str">
            <v>GRMZM2G121264</v>
          </cell>
          <cell r="B207" t="str">
            <v>GO:0004497GO:0020037GO:0009055</v>
          </cell>
          <cell r="C207" t="str">
            <v>protein</v>
          </cell>
          <cell r="D207" t="str">
            <v>BT0</v>
          </cell>
          <cell r="E207" t="str">
            <v>BT6</v>
          </cell>
          <cell r="F207">
            <v>0</v>
          </cell>
          <cell r="G207">
            <v>1.5365899999999999</v>
          </cell>
          <cell r="H207" t="str">
            <v>BD</v>
          </cell>
        </row>
        <row r="208">
          <cell r="A208" t="str">
            <v>GRMZM2G068557</v>
          </cell>
          <cell r="B208" t="str">
            <v>GO:0050660GO:0016021GO:0015662GO:0009055GO:0006754GO:0005506GO:0016491</v>
          </cell>
          <cell r="C208" t="str">
            <v>ferric reductase-like transmembrane component</v>
          </cell>
          <cell r="D208" t="str">
            <v>BT0</v>
          </cell>
          <cell r="E208" t="str">
            <v>BT6</v>
          </cell>
          <cell r="F208">
            <v>15.4533</v>
          </cell>
          <cell r="G208">
            <v>49.073399999999999</v>
          </cell>
          <cell r="H208">
            <v>1.6670199999999999</v>
          </cell>
        </row>
        <row r="209">
          <cell r="A209" t="str">
            <v>GRMZM2G168651</v>
          </cell>
          <cell r="B209" t="str">
            <v>GO:0005576GO:0005199</v>
          </cell>
          <cell r="C209" t="str">
            <v>NA</v>
          </cell>
          <cell r="D209" t="str">
            <v>BT0</v>
          </cell>
          <cell r="E209" t="str">
            <v>BT6</v>
          </cell>
          <cell r="F209">
            <v>9.1706900000000005</v>
          </cell>
          <cell r="G209">
            <v>2.0082300000000002</v>
          </cell>
          <cell r="H209">
            <v>-2.1911</v>
          </cell>
        </row>
        <row r="210">
          <cell r="A210" t="str">
            <v>GRMZM2G437912</v>
          </cell>
          <cell r="B210" t="str">
            <v>GO:0004664GO:0009094</v>
          </cell>
          <cell r="C210" t="str">
            <v>arogenate dehydratase prephenate dehydratase chloroplastic-like</v>
          </cell>
          <cell r="D210" t="str">
            <v>BT0</v>
          </cell>
          <cell r="E210" t="str">
            <v>BT6</v>
          </cell>
          <cell r="F210">
            <v>12.7761</v>
          </cell>
          <cell r="G210">
            <v>6.2094500000000004</v>
          </cell>
          <cell r="H210">
            <v>-1.04091</v>
          </cell>
        </row>
        <row r="211">
          <cell r="A211" t="str">
            <v>GRMZM2G479546</v>
          </cell>
          <cell r="B211" t="str">
            <v>NA</v>
          </cell>
          <cell r="C211" t="str">
            <v>nodulin-like protein</v>
          </cell>
          <cell r="D211" t="str">
            <v>BT0</v>
          </cell>
          <cell r="E211" t="str">
            <v>BT6</v>
          </cell>
          <cell r="F211">
            <v>1.6221699999999999</v>
          </cell>
          <cell r="G211">
            <v>3.3071299999999999</v>
          </cell>
          <cell r="H211">
            <v>1.02766</v>
          </cell>
        </row>
        <row r="212">
          <cell r="A212" t="str">
            <v>GRMZM2G119272</v>
          </cell>
          <cell r="B212" t="str">
            <v>NA</v>
          </cell>
          <cell r="C212" t="str">
            <v>hypothetical protein SORBIDRAFT_06g012300</v>
          </cell>
          <cell r="D212" t="str">
            <v>BT0</v>
          </cell>
          <cell r="E212" t="str">
            <v>BT6</v>
          </cell>
          <cell r="F212">
            <v>0.92621600000000004</v>
          </cell>
          <cell r="G212">
            <v>2.1843900000000001</v>
          </cell>
          <cell r="H212">
            <v>1.2378100000000001</v>
          </cell>
        </row>
        <row r="213">
          <cell r="A213" t="str">
            <v>GRMZM2G097802</v>
          </cell>
          <cell r="B213" t="str">
            <v>GO:0005737GO:0004812GO:0005524GO:0006418</v>
          </cell>
          <cell r="C213" t="str">
            <v>amino acid permease</v>
          </cell>
          <cell r="D213" t="str">
            <v>BT0</v>
          </cell>
          <cell r="E213" t="str">
            <v>BT6</v>
          </cell>
          <cell r="F213">
            <v>0.83150299999999999</v>
          </cell>
          <cell r="G213">
            <v>1.7698199999999999</v>
          </cell>
          <cell r="H213">
            <v>1.0898099999999999</v>
          </cell>
        </row>
        <row r="214">
          <cell r="A214" t="str">
            <v>GRMZM2G041493</v>
          </cell>
          <cell r="B214" t="str">
            <v>GO:0004969GO:0016021GO:0007186</v>
          </cell>
          <cell r="C214" t="str">
            <v>NA</v>
          </cell>
          <cell r="D214" t="str">
            <v>BT0</v>
          </cell>
          <cell r="E214" t="str">
            <v>BT6</v>
          </cell>
          <cell r="F214">
            <v>8.3036999999999992</v>
          </cell>
          <cell r="G214">
            <v>2.6521400000000002</v>
          </cell>
          <cell r="H214">
            <v>-1.64659</v>
          </cell>
        </row>
        <row r="215">
          <cell r="A215" t="str">
            <v>GRMZM2G703156</v>
          </cell>
          <cell r="B215" t="str">
            <v>NA</v>
          </cell>
          <cell r="C215" t="str">
            <v>NA</v>
          </cell>
          <cell r="D215" t="str">
            <v>BT0</v>
          </cell>
          <cell r="E215" t="str">
            <v>BT6</v>
          </cell>
          <cell r="F215">
            <v>0</v>
          </cell>
          <cell r="G215">
            <v>3.7902</v>
          </cell>
          <cell r="H215" t="str">
            <v>BD</v>
          </cell>
        </row>
        <row r="216">
          <cell r="A216" t="str">
            <v>GRMZM2G143403</v>
          </cell>
          <cell r="B216" t="str">
            <v>GO:0008270GO:0003676</v>
          </cell>
          <cell r="C216" t="str">
            <v>protein</v>
          </cell>
          <cell r="D216" t="str">
            <v>BT0</v>
          </cell>
          <cell r="E216" t="str">
            <v>BT6</v>
          </cell>
          <cell r="F216">
            <v>0.44957799999999998</v>
          </cell>
          <cell r="G216">
            <v>2.4007100000000001</v>
          </cell>
          <cell r="H216">
            <v>2.4168099999999999</v>
          </cell>
        </row>
        <row r="217">
          <cell r="A217" t="str">
            <v>GRMZM2G460138</v>
          </cell>
          <cell r="B217" t="str">
            <v>NA</v>
          </cell>
          <cell r="C217" t="str">
            <v>hypothetical protein</v>
          </cell>
          <cell r="D217" t="str">
            <v>BT0</v>
          </cell>
          <cell r="E217" t="str">
            <v>BT6</v>
          </cell>
          <cell r="F217">
            <v>68.805400000000006</v>
          </cell>
          <cell r="G217">
            <v>33.066699999999997</v>
          </cell>
          <cell r="H217">
            <v>-1.05714</v>
          </cell>
        </row>
        <row r="218">
          <cell r="A218" t="str">
            <v>GRMZM2G164440</v>
          </cell>
          <cell r="B218" t="str">
            <v>GO:0050825GO:0042309GO:0050826</v>
          </cell>
          <cell r="C218" t="str">
            <v>pvr3-like protein</v>
          </cell>
          <cell r="D218" t="str">
            <v>BT0</v>
          </cell>
          <cell r="E218" t="str">
            <v>BT6</v>
          </cell>
          <cell r="F218">
            <v>14.196099999999999</v>
          </cell>
          <cell r="G218">
            <v>32.954099999999997</v>
          </cell>
          <cell r="H218">
            <v>1.21496</v>
          </cell>
        </row>
        <row r="219">
          <cell r="A219" t="str">
            <v>GRMZM2G333095</v>
          </cell>
          <cell r="B219" t="str">
            <v>NA</v>
          </cell>
          <cell r="C219" t="str">
            <v>uncharacterized protein LOC100277591</v>
          </cell>
          <cell r="D219" t="str">
            <v>BT0</v>
          </cell>
          <cell r="E219" t="str">
            <v>BT6</v>
          </cell>
          <cell r="F219">
            <v>10.125400000000001</v>
          </cell>
          <cell r="G219">
            <v>4.7801799999999997</v>
          </cell>
          <cell r="H219">
            <v>-1.08284</v>
          </cell>
        </row>
        <row r="220">
          <cell r="A220" t="str">
            <v>GRMZM2G136042</v>
          </cell>
          <cell r="B220" t="str">
            <v>GO:0004601GO:0006979GO:0020037GO:0009055</v>
          </cell>
          <cell r="C220" t="str">
            <v>peroxidase 73</v>
          </cell>
          <cell r="D220" t="str">
            <v>BT0</v>
          </cell>
          <cell r="E220" t="str">
            <v>BT6</v>
          </cell>
          <cell r="F220">
            <v>0.49642900000000001</v>
          </cell>
          <cell r="G220">
            <v>1.1128</v>
          </cell>
          <cell r="H220">
            <v>1.1645399999999999</v>
          </cell>
        </row>
        <row r="221">
          <cell r="A221" t="str">
            <v>GRMZM2G034848</v>
          </cell>
          <cell r="B221" t="str">
            <v>GO:0000015GO:0004634GO:0006096</v>
          </cell>
          <cell r="C221" t="str">
            <v>enolase chloroplastic-like</v>
          </cell>
          <cell r="D221" t="str">
            <v>BT0</v>
          </cell>
          <cell r="E221" t="str">
            <v>BT6</v>
          </cell>
          <cell r="F221">
            <v>0.59132899999999999</v>
          </cell>
          <cell r="G221">
            <v>1.55864</v>
          </cell>
          <cell r="H221">
            <v>1.3982600000000001</v>
          </cell>
        </row>
        <row r="222">
          <cell r="A222" t="str">
            <v>GRMZM2G110412</v>
          </cell>
          <cell r="B222" t="str">
            <v>GO:0004674GO:0006468GO:0004713GO:0005524</v>
          </cell>
          <cell r="C222" t="str">
            <v>serine threonine-protein kinase pbs1-like</v>
          </cell>
          <cell r="D222" t="str">
            <v>BT0</v>
          </cell>
          <cell r="E222" t="str">
            <v>BT6</v>
          </cell>
          <cell r="F222">
            <v>1.9012500000000001</v>
          </cell>
          <cell r="G222">
            <v>0.84974000000000005</v>
          </cell>
          <cell r="H222">
            <v>-1.1618599999999999</v>
          </cell>
        </row>
        <row r="223">
          <cell r="A223" t="str">
            <v>GRMZM2G176352</v>
          </cell>
          <cell r="B223" t="str">
            <v>NA</v>
          </cell>
          <cell r="C223" t="str">
            <v>NA</v>
          </cell>
          <cell r="D223" t="str">
            <v>BT0</v>
          </cell>
          <cell r="E223" t="str">
            <v>BT6</v>
          </cell>
          <cell r="F223">
            <v>0.71620300000000003</v>
          </cell>
          <cell r="G223">
            <v>1.6185799999999999</v>
          </cell>
          <cell r="H223">
            <v>1.1762900000000001</v>
          </cell>
        </row>
        <row r="224">
          <cell r="A224" t="str">
            <v>AC233910.1_FG003</v>
          </cell>
          <cell r="B224" t="str">
            <v>GO:0003735GO:0006412GO:0006464GO:0005840</v>
          </cell>
          <cell r="C224" t="str">
            <v>NA</v>
          </cell>
          <cell r="D224" t="str">
            <v>BT0</v>
          </cell>
          <cell r="E224" t="str">
            <v>BT6</v>
          </cell>
          <cell r="F224">
            <v>0.77188000000000001</v>
          </cell>
          <cell r="G224">
            <v>12.0535</v>
          </cell>
          <cell r="H224">
            <v>3.9649399999999999</v>
          </cell>
        </row>
        <row r="225">
          <cell r="A225" t="str">
            <v>GRMZM5G834303</v>
          </cell>
          <cell r="B225" t="str">
            <v>NA</v>
          </cell>
          <cell r="C225" t="str">
            <v>cytokinin-o-glucosyltransferase 2</v>
          </cell>
          <cell r="D225" t="str">
            <v>BT0</v>
          </cell>
          <cell r="E225" t="str">
            <v>BT6</v>
          </cell>
          <cell r="F225">
            <v>21.107800000000001</v>
          </cell>
          <cell r="G225">
            <v>9.7601600000000008</v>
          </cell>
          <cell r="H225">
            <v>-1.1128</v>
          </cell>
        </row>
        <row r="226">
          <cell r="A226" t="str">
            <v>GRMZM2G180283</v>
          </cell>
          <cell r="B226" t="str">
            <v>GO:0016758GO:0008152</v>
          </cell>
          <cell r="C226" t="str">
            <v>udp-glycosyltransferase 91c1-like</v>
          </cell>
          <cell r="D226" t="str">
            <v>BT0</v>
          </cell>
          <cell r="E226" t="str">
            <v>BT6</v>
          </cell>
          <cell r="F226">
            <v>2.4043800000000002</v>
          </cell>
          <cell r="G226">
            <v>0.98197900000000005</v>
          </cell>
          <cell r="H226">
            <v>-1.2919</v>
          </cell>
        </row>
        <row r="227">
          <cell r="A227" t="str">
            <v>GRMZM2G121868</v>
          </cell>
          <cell r="B227" t="str">
            <v>GO:0016021GO:0006334GO:0000786GO:0005199GO:0006355GO:0004969GO:0003677GO:0007186GO:0005634GO:0004879</v>
          </cell>
          <cell r="C227" t="str">
            <v>NA</v>
          </cell>
          <cell r="D227" t="str">
            <v>BT0</v>
          </cell>
          <cell r="E227" t="str">
            <v>BT6</v>
          </cell>
          <cell r="F227">
            <v>5.3722799999999999</v>
          </cell>
          <cell r="G227">
            <v>1.75054</v>
          </cell>
          <cell r="H227">
            <v>-1.6177299999999999</v>
          </cell>
        </row>
        <row r="228">
          <cell r="A228" t="str">
            <v>GRMZM2G007324</v>
          </cell>
          <cell r="B228" t="str">
            <v>NA</v>
          </cell>
          <cell r="C228" t="str">
            <v>at3g19540 t31j18_4</v>
          </cell>
          <cell r="D228" t="str">
            <v>BT0</v>
          </cell>
          <cell r="E228" t="str">
            <v>BT6</v>
          </cell>
          <cell r="F228">
            <v>4.1937199999999999</v>
          </cell>
          <cell r="G228">
            <v>1.7515700000000001</v>
          </cell>
          <cell r="H228">
            <v>-1.25959</v>
          </cell>
        </row>
        <row r="229">
          <cell r="A229" t="str">
            <v>GRMZM2G365160</v>
          </cell>
          <cell r="B229" t="str">
            <v>GO:0003849GO:0009073</v>
          </cell>
          <cell r="C229" t="str">
            <v>3-deoxy-d-arabino heptulosonate-7-phosphate synthase</v>
          </cell>
          <cell r="D229" t="str">
            <v>BT0</v>
          </cell>
          <cell r="E229" t="str">
            <v>BT6</v>
          </cell>
          <cell r="F229">
            <v>42.749299999999998</v>
          </cell>
          <cell r="G229">
            <v>14.090299999999999</v>
          </cell>
          <cell r="H229">
            <v>-1.6012</v>
          </cell>
        </row>
        <row r="230">
          <cell r="A230" t="str">
            <v>GRMZM2G322618</v>
          </cell>
          <cell r="B230" t="str">
            <v>GO:0004965GO:0016021GO:0007186</v>
          </cell>
          <cell r="C230" t="str">
            <v>glycoprotein membrane precursor gpi-anchored protein</v>
          </cell>
          <cell r="D230" t="str">
            <v>BT0</v>
          </cell>
          <cell r="E230" t="str">
            <v>BT6</v>
          </cell>
          <cell r="F230">
            <v>13.690300000000001</v>
          </cell>
          <cell r="G230">
            <v>5.69468</v>
          </cell>
          <cell r="H230">
            <v>-1.2654700000000001</v>
          </cell>
        </row>
        <row r="231">
          <cell r="A231" t="str">
            <v>GRMZM2G003558</v>
          </cell>
          <cell r="B231" t="str">
            <v>GO:0005634GO:0030528</v>
          </cell>
          <cell r="C231" t="str">
            <v>ethylene-insensitive3-like 1 expressed</v>
          </cell>
          <cell r="D231" t="str">
            <v>BT0</v>
          </cell>
          <cell r="E231" t="str">
            <v>BT6</v>
          </cell>
          <cell r="F231">
            <v>0.51770099999999997</v>
          </cell>
          <cell r="G231">
            <v>1.5575000000000001</v>
          </cell>
          <cell r="H231">
            <v>1.58904</v>
          </cell>
        </row>
        <row r="232">
          <cell r="A232" t="str">
            <v>GRMZM2G176433</v>
          </cell>
          <cell r="B232" t="str">
            <v>NA</v>
          </cell>
          <cell r="C232" t="str">
            <v>uncharacterized protein LOC100275307 precursor</v>
          </cell>
          <cell r="D232" t="str">
            <v>BT0</v>
          </cell>
          <cell r="E232" t="str">
            <v>BT6</v>
          </cell>
          <cell r="F232">
            <v>65.758600000000001</v>
          </cell>
          <cell r="G232">
            <v>30.567299999999999</v>
          </cell>
          <cell r="H232">
            <v>-1.1051899999999999</v>
          </cell>
        </row>
        <row r="233">
          <cell r="A233" t="str">
            <v>GRMZM2G173377</v>
          </cell>
          <cell r="B233" t="str">
            <v>NA</v>
          </cell>
          <cell r="C233" t="str">
            <v>protein</v>
          </cell>
          <cell r="D233" t="str">
            <v>BT0</v>
          </cell>
          <cell r="E233" t="str">
            <v>BT6</v>
          </cell>
          <cell r="F233">
            <v>0.86500299999999997</v>
          </cell>
          <cell r="G233">
            <v>0.28790199999999999</v>
          </cell>
          <cell r="H233">
            <v>-1.5871299999999999</v>
          </cell>
        </row>
        <row r="234">
          <cell r="A234" t="str">
            <v>GRMZM2G372068</v>
          </cell>
          <cell r="B234" t="str">
            <v>GO:0016758GO:0008152</v>
          </cell>
          <cell r="C234" t="str">
            <v>hydroquinone glucosyltransferase</v>
          </cell>
          <cell r="D234" t="str">
            <v>BT0</v>
          </cell>
          <cell r="E234" t="str">
            <v>BT6</v>
          </cell>
          <cell r="F234">
            <v>6.5645899999999999</v>
          </cell>
          <cell r="G234">
            <v>2.8257300000000001</v>
          </cell>
          <cell r="H234">
            <v>-1.21608</v>
          </cell>
        </row>
        <row r="235">
          <cell r="A235" t="str">
            <v>GRMZM2G176347</v>
          </cell>
          <cell r="B235" t="str">
            <v>GO:0050825GO:0042309GO:0050826</v>
          </cell>
          <cell r="C235" t="str">
            <v>lipid binding protein precursor</v>
          </cell>
          <cell r="D235" t="str">
            <v>BT0</v>
          </cell>
          <cell r="E235" t="str">
            <v>BT6</v>
          </cell>
          <cell r="F235">
            <v>1.79139</v>
          </cell>
          <cell r="G235">
            <v>0.27483299999999999</v>
          </cell>
          <cell r="H235">
            <v>-2.70445</v>
          </cell>
        </row>
        <row r="236">
          <cell r="A236" t="str">
            <v>GRMZM2G068322</v>
          </cell>
          <cell r="B236" t="str">
            <v>GO:0050825GO:0042309GO:0050826</v>
          </cell>
          <cell r="C236" t="str">
            <v>harpin-induced protein</v>
          </cell>
          <cell r="D236" t="str">
            <v>BT0</v>
          </cell>
          <cell r="E236" t="str">
            <v>BT6</v>
          </cell>
          <cell r="F236">
            <v>1.50359</v>
          </cell>
          <cell r="G236">
            <v>0.58696599999999999</v>
          </cell>
          <cell r="H236">
            <v>-1.35707</v>
          </cell>
        </row>
        <row r="237">
          <cell r="A237" t="str">
            <v>GRMZM2G305900</v>
          </cell>
          <cell r="B237" t="str">
            <v>GO:0016747</v>
          </cell>
          <cell r="C237" t="str">
            <v>3 -n-debenzoyl-2 -deoxytaxol n-benzoyltransferase-like</v>
          </cell>
          <cell r="D237" t="str">
            <v>BT0</v>
          </cell>
          <cell r="E237" t="str">
            <v>BT6</v>
          </cell>
          <cell r="F237">
            <v>2.2351700000000001</v>
          </cell>
          <cell r="G237">
            <v>0.74752200000000002</v>
          </cell>
          <cell r="H237">
            <v>-1.58019</v>
          </cell>
        </row>
        <row r="238">
          <cell r="A238" t="str">
            <v>GRMZM2G048022</v>
          </cell>
          <cell r="B238" t="str">
            <v>NA</v>
          </cell>
          <cell r="C238" t="str">
            <v>hypothetical protein</v>
          </cell>
          <cell r="D238" t="str">
            <v>BT0</v>
          </cell>
          <cell r="E238" t="str">
            <v>BT6</v>
          </cell>
          <cell r="F238">
            <v>3.22315</v>
          </cell>
          <cell r="G238">
            <v>1.08077</v>
          </cell>
          <cell r="H238">
            <v>-1.5764100000000001</v>
          </cell>
        </row>
        <row r="239">
          <cell r="A239" t="str">
            <v>GRMZM2G065471</v>
          </cell>
          <cell r="B239" t="str">
            <v>GO:0016787GO:0008152</v>
          </cell>
          <cell r="C239" t="str">
            <v>probable carboxylesterase 15-like</v>
          </cell>
          <cell r="D239" t="str">
            <v>BT0</v>
          </cell>
          <cell r="E239" t="str">
            <v>BT6</v>
          </cell>
          <cell r="F239">
            <v>2.3631000000000002</v>
          </cell>
          <cell r="G239">
            <v>1.06863</v>
          </cell>
          <cell r="H239">
            <v>-1.1449199999999999</v>
          </cell>
        </row>
        <row r="240">
          <cell r="A240" t="str">
            <v>GRMZM2G422782</v>
          </cell>
          <cell r="B240" t="str">
            <v>NA</v>
          </cell>
          <cell r="C240" t="str">
            <v>uncharacterized protein LOC100272680</v>
          </cell>
          <cell r="D240" t="str">
            <v>BT0</v>
          </cell>
          <cell r="E240" t="str">
            <v>BT6</v>
          </cell>
          <cell r="F240">
            <v>6.4118199999999996</v>
          </cell>
          <cell r="G240">
            <v>2.3714499999999998</v>
          </cell>
          <cell r="H240">
            <v>-1.43496</v>
          </cell>
        </row>
        <row r="241">
          <cell r="A241" t="str">
            <v>GRMZM2G108847</v>
          </cell>
          <cell r="B241" t="str">
            <v>GO:0004867</v>
          </cell>
          <cell r="C241" t="str">
            <v>serine-type endopeptidase inhibitor</v>
          </cell>
          <cell r="D241" t="str">
            <v>BT0</v>
          </cell>
          <cell r="E241" t="str">
            <v>BT6</v>
          </cell>
          <cell r="F241">
            <v>3.75535</v>
          </cell>
          <cell r="G241">
            <v>9.9888999999999992</v>
          </cell>
          <cell r="H241">
            <v>1.4113800000000001</v>
          </cell>
        </row>
        <row r="242">
          <cell r="A242" t="str">
            <v>GRMZM2G072298</v>
          </cell>
          <cell r="B242" t="str">
            <v>GO:0008415GO:0008152</v>
          </cell>
          <cell r="C242" t="str">
            <v>er glycerol-phosphate acyltransferase</v>
          </cell>
          <cell r="D242" t="str">
            <v>BT0</v>
          </cell>
          <cell r="E242" t="str">
            <v>BT6</v>
          </cell>
          <cell r="F242">
            <v>0.39381100000000002</v>
          </cell>
          <cell r="G242">
            <v>1.61511</v>
          </cell>
          <cell r="H242">
            <v>2.03606</v>
          </cell>
        </row>
        <row r="243">
          <cell r="A243" t="str">
            <v>GRMZM5G801307</v>
          </cell>
          <cell r="B243" t="str">
            <v>NA</v>
          </cell>
          <cell r="C243" t="str">
            <v>uncharacterized protein LOC100275640 precursor</v>
          </cell>
          <cell r="D243" t="str">
            <v>BT0</v>
          </cell>
          <cell r="E243" t="str">
            <v>BT6</v>
          </cell>
          <cell r="F243">
            <v>3.0101499999999999</v>
          </cell>
          <cell r="G243">
            <v>12.058</v>
          </cell>
          <cell r="H243">
            <v>2.0020799999999999</v>
          </cell>
        </row>
        <row r="244">
          <cell r="A244" t="str">
            <v>GRMZM2G454056</v>
          </cell>
          <cell r="B244" t="str">
            <v>NA</v>
          </cell>
          <cell r="C244" t="str">
            <v>uncharacterized protein LOC100274968</v>
          </cell>
          <cell r="D244" t="str">
            <v>BT0</v>
          </cell>
          <cell r="E244" t="str">
            <v>BT6</v>
          </cell>
          <cell r="F244">
            <v>2.2618100000000001</v>
          </cell>
          <cell r="G244">
            <v>5.7110200000000004</v>
          </cell>
          <cell r="H244">
            <v>1.3362700000000001</v>
          </cell>
        </row>
        <row r="245">
          <cell r="A245" t="str">
            <v>GRMZM2G174975</v>
          </cell>
          <cell r="B245" t="str">
            <v>GO:0006629GO:0016788</v>
          </cell>
          <cell r="C245" t="str">
            <v>gdsl-motif lipase hydrolase family protein</v>
          </cell>
          <cell r="D245" t="str">
            <v>BT0</v>
          </cell>
          <cell r="E245" t="str">
            <v>BT6</v>
          </cell>
          <cell r="F245">
            <v>0.91369800000000001</v>
          </cell>
          <cell r="G245">
            <v>2.2955999999999999</v>
          </cell>
          <cell r="H245">
            <v>1.32908</v>
          </cell>
        </row>
        <row r="246">
          <cell r="A246" t="str">
            <v>GRMZM2G461566</v>
          </cell>
          <cell r="B246" t="str">
            <v>NA</v>
          </cell>
          <cell r="C246" t="str">
            <v>NA</v>
          </cell>
          <cell r="D246" t="str">
            <v>BT0</v>
          </cell>
          <cell r="E246" t="str">
            <v>BT6</v>
          </cell>
          <cell r="F246">
            <v>0.39205699999999999</v>
          </cell>
          <cell r="G246">
            <v>0.99755799999999994</v>
          </cell>
          <cell r="H246">
            <v>1.34734</v>
          </cell>
        </row>
        <row r="247">
          <cell r="A247" t="str">
            <v>GRMZM2G311811</v>
          </cell>
          <cell r="B247" t="str">
            <v>NA</v>
          </cell>
          <cell r="C247" t="str">
            <v>NA</v>
          </cell>
          <cell r="D247" t="str">
            <v>BT0</v>
          </cell>
          <cell r="E247" t="str">
            <v>BT6</v>
          </cell>
          <cell r="F247">
            <v>8.1166800000000006</v>
          </cell>
          <cell r="G247">
            <v>2.0994600000000001</v>
          </cell>
          <cell r="H247">
            <v>-1.9508700000000001</v>
          </cell>
        </row>
        <row r="248">
          <cell r="A248" t="str">
            <v>GRMZM2G434572</v>
          </cell>
          <cell r="B248" t="str">
            <v>GO:0046872GO:0019509GO:0051213</v>
          </cell>
          <cell r="C248" t="str">
            <v>-dihydroxy-3-keto-5-methylthiopentene dioxygenase 4</v>
          </cell>
          <cell r="D248" t="str">
            <v>BT0</v>
          </cell>
          <cell r="E248" t="str">
            <v>BT6</v>
          </cell>
          <cell r="F248">
            <v>0</v>
          </cell>
          <cell r="G248">
            <v>1.88209</v>
          </cell>
          <cell r="H248" t="str">
            <v>BD</v>
          </cell>
        </row>
        <row r="249">
          <cell r="A249" t="str">
            <v>GRMZM2G033767</v>
          </cell>
          <cell r="B249" t="str">
            <v>NA</v>
          </cell>
          <cell r="C249" t="str">
            <v>probable glycerol-3-phosphate acyltransferase 3-like</v>
          </cell>
          <cell r="D249" t="str">
            <v>BT0</v>
          </cell>
          <cell r="E249" t="str">
            <v>BT6</v>
          </cell>
          <cell r="F249">
            <v>1.46</v>
          </cell>
          <cell r="G249">
            <v>4.2748299999999997</v>
          </cell>
          <cell r="H249">
            <v>1.5499000000000001</v>
          </cell>
        </row>
        <row r="250">
          <cell r="A250" t="str">
            <v>GRMZM2G324157</v>
          </cell>
          <cell r="B250" t="str">
            <v>GO:0004674GO:0006468GO:0004713GO:0005524</v>
          </cell>
          <cell r="C250" t="str">
            <v>cell division cycle 2-like protein</v>
          </cell>
          <cell r="D250" t="str">
            <v>BT0</v>
          </cell>
          <cell r="E250" t="str">
            <v>BT6</v>
          </cell>
          <cell r="F250">
            <v>1.50061</v>
          </cell>
          <cell r="G250">
            <v>0.73831400000000003</v>
          </cell>
          <cell r="H250">
            <v>-1.0232399999999999</v>
          </cell>
        </row>
        <row r="251">
          <cell r="A251" t="str">
            <v>GRMZM2G031167</v>
          </cell>
          <cell r="B251" t="str">
            <v>NA</v>
          </cell>
          <cell r="C251" t="str">
            <v>amino acid expressed</v>
          </cell>
          <cell r="D251" t="str">
            <v>BT0</v>
          </cell>
          <cell r="E251" t="str">
            <v>BT6</v>
          </cell>
          <cell r="F251">
            <v>0.295597</v>
          </cell>
          <cell r="G251">
            <v>1.41212</v>
          </cell>
          <cell r="H251">
            <v>2.2561599999999999</v>
          </cell>
        </row>
        <row r="252">
          <cell r="A252" t="str">
            <v>GRMZM2G010925</v>
          </cell>
          <cell r="B252" t="str">
            <v>NA</v>
          </cell>
          <cell r="C252" t="str">
            <v>NA</v>
          </cell>
          <cell r="D252" t="str">
            <v>BT0</v>
          </cell>
          <cell r="E252" t="str">
            <v>BT6</v>
          </cell>
          <cell r="F252">
            <v>0.95647199999999999</v>
          </cell>
          <cell r="G252">
            <v>0.30928800000000001</v>
          </cell>
          <cell r="H252">
            <v>-1.6287700000000001</v>
          </cell>
        </row>
        <row r="253">
          <cell r="A253" t="str">
            <v>GRMZM2G701791</v>
          </cell>
          <cell r="B253" t="str">
            <v>NA</v>
          </cell>
          <cell r="C253" t="str">
            <v>NA</v>
          </cell>
          <cell r="D253" t="str">
            <v>BT0</v>
          </cell>
          <cell r="E253" t="str">
            <v>BT6</v>
          </cell>
          <cell r="F253">
            <v>0</v>
          </cell>
          <cell r="G253">
            <v>1.5880399999999999</v>
          </cell>
          <cell r="H253" t="str">
            <v>BD</v>
          </cell>
        </row>
        <row r="254">
          <cell r="A254" t="str">
            <v>GRMZM2G125032</v>
          </cell>
          <cell r="B254" t="str">
            <v>GO:0005975GO:0004553</v>
          </cell>
          <cell r="C254" t="str">
            <v>beta- -glucanase</v>
          </cell>
          <cell r="D254" t="str">
            <v>BT0</v>
          </cell>
          <cell r="E254" t="str">
            <v>BT6</v>
          </cell>
          <cell r="F254">
            <v>4.9986300000000004</v>
          </cell>
          <cell r="G254">
            <v>2.33962</v>
          </cell>
          <cell r="H254">
            <v>-1.0952599999999999</v>
          </cell>
        </row>
        <row r="255">
          <cell r="A255" t="str">
            <v>GRMZM2G366607</v>
          </cell>
          <cell r="B255" t="str">
            <v>GO:0016787</v>
          </cell>
          <cell r="C255" t="str">
            <v>probable inactive purple acid phosphatase 16-like</v>
          </cell>
          <cell r="D255" t="str">
            <v>BT0</v>
          </cell>
          <cell r="E255" t="str">
            <v>BT6</v>
          </cell>
          <cell r="F255">
            <v>5.6101799999999997</v>
          </cell>
          <cell r="G255">
            <v>1.94157</v>
          </cell>
          <cell r="H255">
            <v>-1.5308200000000001</v>
          </cell>
        </row>
        <row r="256">
          <cell r="A256" t="str">
            <v>GRMZM2G156861</v>
          </cell>
          <cell r="B256" t="str">
            <v>GO:0005506GO:0016165GO:0009055</v>
          </cell>
          <cell r="C256" t="str">
            <v>lipoxygenase</v>
          </cell>
          <cell r="D256" t="str">
            <v>BT0</v>
          </cell>
          <cell r="E256" t="str">
            <v>BT6</v>
          </cell>
          <cell r="F256">
            <v>16.747900000000001</v>
          </cell>
          <cell r="G256">
            <v>7.1173500000000001</v>
          </cell>
          <cell r="H256">
            <v>-1.2345699999999999</v>
          </cell>
        </row>
        <row r="257">
          <cell r="A257" t="str">
            <v>GRMZM2G007928</v>
          </cell>
          <cell r="B257" t="str">
            <v>GO:0005576GO:0004867</v>
          </cell>
          <cell r="C257" t="str">
            <v>bowman-birk trypsin inhibitor-like protein</v>
          </cell>
          <cell r="D257" t="str">
            <v>BT0</v>
          </cell>
          <cell r="E257" t="str">
            <v>BT6</v>
          </cell>
          <cell r="F257">
            <v>92.739599999999996</v>
          </cell>
          <cell r="G257">
            <v>206.048</v>
          </cell>
          <cell r="H257">
            <v>1.1517200000000001</v>
          </cell>
        </row>
        <row r="258">
          <cell r="A258" t="str">
            <v>GRMZM2G072808</v>
          </cell>
          <cell r="B258" t="str">
            <v>GO:0048046GO:0005507GO:0046274GO:0008471GO:0055114</v>
          </cell>
          <cell r="C258" t="str">
            <v>l-ascorbate oxidase precursor</v>
          </cell>
          <cell r="D258" t="str">
            <v>BT0</v>
          </cell>
          <cell r="E258" t="str">
            <v>BT6</v>
          </cell>
          <cell r="F258">
            <v>6.9451999999999998</v>
          </cell>
          <cell r="G258">
            <v>1.7853699999999999</v>
          </cell>
          <cell r="H258">
            <v>-1.9597899999999999</v>
          </cell>
        </row>
        <row r="259">
          <cell r="A259" t="str">
            <v>GRMZM2G023279</v>
          </cell>
          <cell r="B259" t="str">
            <v>NA</v>
          </cell>
          <cell r="C259" t="str">
            <v>atp binding</v>
          </cell>
          <cell r="D259" t="str">
            <v>BT0</v>
          </cell>
          <cell r="E259" t="str">
            <v>BT6</v>
          </cell>
          <cell r="F259">
            <v>0.91733600000000004</v>
          </cell>
          <cell r="G259">
            <v>0.40487800000000002</v>
          </cell>
          <cell r="H259">
            <v>-1.1799599999999999</v>
          </cell>
        </row>
        <row r="260">
          <cell r="A260" t="str">
            <v>GRMZM2G099036</v>
          </cell>
          <cell r="B260" t="str">
            <v>GO:0015629GO:0005198GO:0006265GO:0050825GO:0042309GO:0050826GO:0007155GO:0005694GO:0003918GO:0005524</v>
          </cell>
          <cell r="C260" t="str">
            <v>chloroplast lumen common protein family</v>
          </cell>
          <cell r="D260" t="str">
            <v>BT0</v>
          </cell>
          <cell r="E260" t="str">
            <v>BT6</v>
          </cell>
          <cell r="F260">
            <v>5.1953800000000001</v>
          </cell>
          <cell r="G260">
            <v>16.1738</v>
          </cell>
          <cell r="H260">
            <v>1.63836</v>
          </cell>
        </row>
        <row r="261">
          <cell r="A261" t="str">
            <v>GRMZM2G312201</v>
          </cell>
          <cell r="B261" t="str">
            <v>GO:0045449GO:0003677</v>
          </cell>
          <cell r="C261" t="str">
            <v>pentatricopeptide repeat-containing protein mitochondrial-like</v>
          </cell>
          <cell r="D261" t="str">
            <v>BT0</v>
          </cell>
          <cell r="E261" t="str">
            <v>BT6</v>
          </cell>
          <cell r="F261">
            <v>8.0118899999999993</v>
          </cell>
          <cell r="G261">
            <v>3.5531299999999999</v>
          </cell>
          <cell r="H261">
            <v>-1.1730499999999999</v>
          </cell>
        </row>
        <row r="262">
          <cell r="A262" t="str">
            <v>GRMZM5G888860</v>
          </cell>
          <cell r="B262" t="str">
            <v>NA</v>
          </cell>
          <cell r="C262" t="str">
            <v>NA</v>
          </cell>
          <cell r="D262" t="str">
            <v>BT0</v>
          </cell>
          <cell r="E262" t="str">
            <v>BT6</v>
          </cell>
          <cell r="F262">
            <v>2.8628999999999998</v>
          </cell>
          <cell r="G262">
            <v>5.7714800000000004</v>
          </cell>
          <cell r="H262">
            <v>1.01146</v>
          </cell>
        </row>
        <row r="263">
          <cell r="A263" t="str">
            <v>GRMZM2G156877</v>
          </cell>
          <cell r="B263" t="str">
            <v>NA</v>
          </cell>
          <cell r="C263" t="str">
            <v>glutathione transferase f4</v>
          </cell>
          <cell r="D263" t="str">
            <v>BT0</v>
          </cell>
          <cell r="E263" t="str">
            <v>BT6</v>
          </cell>
          <cell r="F263">
            <v>0.55498800000000004</v>
          </cell>
          <cell r="G263">
            <v>2.7637100000000001</v>
          </cell>
          <cell r="H263">
            <v>2.3160799999999999</v>
          </cell>
        </row>
        <row r="264">
          <cell r="A264" t="str">
            <v>GRMZM2G323622</v>
          </cell>
          <cell r="B264" t="str">
            <v>GO:0007018GO:0003777GO:0005524GO:0005875</v>
          </cell>
          <cell r="C264" t="str">
            <v>kinesin calponin homology and calcium binding and coiled-coil domain-containing protein</v>
          </cell>
          <cell r="D264" t="str">
            <v>BT0</v>
          </cell>
          <cell r="E264" t="str">
            <v>BT6</v>
          </cell>
          <cell r="F264">
            <v>0.84477599999999997</v>
          </cell>
          <cell r="G264">
            <v>0.39743400000000001</v>
          </cell>
          <cell r="H264">
            <v>-1.08785</v>
          </cell>
        </row>
        <row r="265">
          <cell r="A265" t="str">
            <v>GRMZM2G091540</v>
          </cell>
          <cell r="B265" t="str">
            <v>GO:0006508GO:0046983GO:0016020GO:0051260GO:0008237</v>
          </cell>
          <cell r="C265" t="str">
            <v>iaa-amino acid hydrolase ilr1-like 4 precursor</v>
          </cell>
          <cell r="D265" t="str">
            <v>BT0</v>
          </cell>
          <cell r="E265" t="str">
            <v>BT6</v>
          </cell>
          <cell r="F265">
            <v>1.1167400000000001</v>
          </cell>
          <cell r="G265">
            <v>0.39197300000000002</v>
          </cell>
          <cell r="H265">
            <v>-1.51047</v>
          </cell>
        </row>
        <row r="266">
          <cell r="A266" t="str">
            <v>GRMZM2G146913</v>
          </cell>
          <cell r="B266" t="str">
            <v>GO:0005737GO:0004364GO:0008152</v>
          </cell>
          <cell r="C266" t="str">
            <v>glutathione s-transferase gstu6</v>
          </cell>
          <cell r="D266" t="str">
            <v>BT0</v>
          </cell>
          <cell r="E266" t="str">
            <v>BT6</v>
          </cell>
          <cell r="F266">
            <v>2.6913900000000002</v>
          </cell>
          <cell r="G266">
            <v>0.44365100000000002</v>
          </cell>
          <cell r="H266">
            <v>-2.6008499999999999</v>
          </cell>
        </row>
        <row r="267">
          <cell r="A267" t="str">
            <v>GRMZM2G434541</v>
          </cell>
          <cell r="B267" t="str">
            <v>NA</v>
          </cell>
          <cell r="C267" t="str">
            <v>glutathione s-transferase gstu6</v>
          </cell>
          <cell r="D267" t="str">
            <v>BT0</v>
          </cell>
          <cell r="E267" t="str">
            <v>BT6</v>
          </cell>
          <cell r="F267">
            <v>11.267099999999999</v>
          </cell>
          <cell r="G267">
            <v>4.6474000000000002</v>
          </cell>
          <cell r="H267">
            <v>-1.27762</v>
          </cell>
        </row>
        <row r="268">
          <cell r="A268" t="str">
            <v>GRMZM2G056388</v>
          </cell>
          <cell r="B268" t="str">
            <v>NA</v>
          </cell>
          <cell r="C268" t="str">
            <v>glutathione s-transferase gstu6</v>
          </cell>
          <cell r="D268" t="str">
            <v>BT0</v>
          </cell>
          <cell r="E268" t="str">
            <v>BT6</v>
          </cell>
          <cell r="F268">
            <v>1.00464</v>
          </cell>
          <cell r="G268">
            <v>2.7046299999999999</v>
          </cell>
          <cell r="H268">
            <v>1.42876</v>
          </cell>
        </row>
        <row r="269">
          <cell r="A269" t="str">
            <v>GRMZM2G447632</v>
          </cell>
          <cell r="B269" t="str">
            <v>NA</v>
          </cell>
          <cell r="C269" t="str">
            <v>glutathione s-transferase gstu6</v>
          </cell>
          <cell r="D269" t="str">
            <v>BT0</v>
          </cell>
          <cell r="E269" t="str">
            <v>BT6</v>
          </cell>
          <cell r="F269">
            <v>9.9960799999999992</v>
          </cell>
          <cell r="G269">
            <v>3.98752</v>
          </cell>
          <cell r="H269">
            <v>-1.3258700000000001</v>
          </cell>
        </row>
        <row r="270">
          <cell r="A270" t="str">
            <v>GRMZM2G058518</v>
          </cell>
          <cell r="B270" t="str">
            <v>GO:0045449GO:0003677</v>
          </cell>
          <cell r="C270" t="str">
            <v>nac domain-containing protein 8-like</v>
          </cell>
          <cell r="D270" t="str">
            <v>BT0</v>
          </cell>
          <cell r="E270" t="str">
            <v>BT6</v>
          </cell>
          <cell r="F270">
            <v>1.51708</v>
          </cell>
          <cell r="G270">
            <v>0.44758599999999998</v>
          </cell>
          <cell r="H270">
            <v>-1.7610600000000001</v>
          </cell>
        </row>
        <row r="271">
          <cell r="A271" t="str">
            <v>GRMZM2G121753</v>
          </cell>
          <cell r="B271" t="str">
            <v>GO:0003677</v>
          </cell>
          <cell r="C271" t="str">
            <v>sant myb protein</v>
          </cell>
          <cell r="D271" t="str">
            <v>BT0</v>
          </cell>
          <cell r="E271" t="str">
            <v>BT6</v>
          </cell>
          <cell r="F271">
            <v>9.0958199999999998</v>
          </cell>
          <cell r="G271">
            <v>2.1496</v>
          </cell>
          <cell r="H271">
            <v>-2.08114</v>
          </cell>
        </row>
        <row r="272">
          <cell r="A272" t="str">
            <v>GRMZM2G408462</v>
          </cell>
          <cell r="B272" t="str">
            <v>NA</v>
          </cell>
          <cell r="C272" t="str">
            <v>transcription factor wrky08-like</v>
          </cell>
          <cell r="D272" t="str">
            <v>BT0</v>
          </cell>
          <cell r="E272" t="str">
            <v>BT6</v>
          </cell>
          <cell r="F272">
            <v>2.1421100000000002</v>
          </cell>
          <cell r="G272">
            <v>0.90865899999999999</v>
          </cell>
          <cell r="H272">
            <v>-1.23722</v>
          </cell>
        </row>
        <row r="273">
          <cell r="A273" t="str">
            <v>GRMZM2G364528</v>
          </cell>
          <cell r="B273" t="str">
            <v>NA</v>
          </cell>
          <cell r="C273" t="str">
            <v>phy rapidly regulated 2 protein</v>
          </cell>
          <cell r="D273" t="str">
            <v>BT0</v>
          </cell>
          <cell r="E273" t="str">
            <v>BT6</v>
          </cell>
          <cell r="F273">
            <v>16.1647</v>
          </cell>
          <cell r="G273">
            <v>6.7198599999999997</v>
          </cell>
          <cell r="H273">
            <v>-1.26634</v>
          </cell>
        </row>
        <row r="274">
          <cell r="A274" t="str">
            <v>GRMZM2G125571</v>
          </cell>
          <cell r="B274" t="str">
            <v>NA</v>
          </cell>
          <cell r="C274" t="str">
            <v>l-type lectin-domain containing receptor kinase -like</v>
          </cell>
          <cell r="D274" t="str">
            <v>BT0</v>
          </cell>
          <cell r="E274" t="str">
            <v>BT6</v>
          </cell>
          <cell r="F274">
            <v>2.8269799999999998</v>
          </cell>
          <cell r="G274">
            <v>6.4980200000000004</v>
          </cell>
          <cell r="H274">
            <v>1.2007399999999999</v>
          </cell>
        </row>
        <row r="275">
          <cell r="A275" t="str">
            <v>GRMZM2G087769</v>
          </cell>
          <cell r="B275" t="str">
            <v>GO:0008168GO:0008152</v>
          </cell>
          <cell r="C275" t="str">
            <v>s-adenosyl-l-methionine-dependent methyltransferase domain-containing protein</v>
          </cell>
          <cell r="D275" t="str">
            <v>BT0</v>
          </cell>
          <cell r="E275" t="str">
            <v>BT6</v>
          </cell>
          <cell r="F275">
            <v>1.03884</v>
          </cell>
          <cell r="G275">
            <v>3.54759</v>
          </cell>
          <cell r="H275">
            <v>1.7718700000000001</v>
          </cell>
        </row>
        <row r="276">
          <cell r="A276" t="str">
            <v>CAB48</v>
          </cell>
          <cell r="B276" t="str">
            <v>NA</v>
          </cell>
          <cell r="C276" t="str">
            <v>NA</v>
          </cell>
          <cell r="D276" t="str">
            <v>BT0</v>
          </cell>
          <cell r="E276" t="str">
            <v>BT6</v>
          </cell>
          <cell r="F276">
            <v>969.59900000000005</v>
          </cell>
          <cell r="G276">
            <v>2122.85</v>
          </cell>
          <cell r="H276">
            <v>1.1305400000000001</v>
          </cell>
        </row>
        <row r="277">
          <cell r="A277" t="str">
            <v>GRMZM2G429955</v>
          </cell>
          <cell r="B277" t="str">
            <v>GO:0016020GO:0009765</v>
          </cell>
          <cell r="C277" t="str">
            <v>chlorophyll a-b binding protein 2</v>
          </cell>
          <cell r="D277" t="str">
            <v>BT0</v>
          </cell>
          <cell r="E277" t="str">
            <v>BT6</v>
          </cell>
          <cell r="F277">
            <v>86.625299999999996</v>
          </cell>
          <cell r="G277">
            <v>455.86399999999998</v>
          </cell>
          <cell r="H277">
            <v>2.39574</v>
          </cell>
        </row>
        <row r="278">
          <cell r="A278" t="str">
            <v>AC208915.3_FG010</v>
          </cell>
          <cell r="B278" t="str">
            <v>GO:0016020GO:0009765</v>
          </cell>
          <cell r="C278" t="str">
            <v>NA</v>
          </cell>
          <cell r="D278" t="str">
            <v>BT0</v>
          </cell>
          <cell r="E278" t="str">
            <v>BT6</v>
          </cell>
          <cell r="F278">
            <v>360.56200000000001</v>
          </cell>
          <cell r="G278">
            <v>1214.1600000000001</v>
          </cell>
          <cell r="H278">
            <v>1.7516400000000001</v>
          </cell>
        </row>
        <row r="279">
          <cell r="A279" t="str">
            <v>GRMZM2G104549</v>
          </cell>
          <cell r="B279" t="str">
            <v>GO:0016020GO:0009765</v>
          </cell>
          <cell r="C279" t="str">
            <v>protein</v>
          </cell>
          <cell r="D279" t="str">
            <v>BT0</v>
          </cell>
          <cell r="E279" t="str">
            <v>BT6</v>
          </cell>
          <cell r="F279">
            <v>326.73700000000002</v>
          </cell>
          <cell r="G279">
            <v>1090.46</v>
          </cell>
          <cell r="H279">
            <v>1.73874</v>
          </cell>
        </row>
        <row r="280">
          <cell r="A280" t="str">
            <v>GRMZM2G005849</v>
          </cell>
          <cell r="B280" t="str">
            <v>GO:0005737GO:0004360GO:0005529GO:0016051</v>
          </cell>
          <cell r="C280" t="str">
            <v>glucosamine-fructose-6-phosphate aminotransferase</v>
          </cell>
          <cell r="D280" t="str">
            <v>BT0</v>
          </cell>
          <cell r="E280" t="str">
            <v>BT6</v>
          </cell>
          <cell r="F280">
            <v>26.4116</v>
          </cell>
          <cell r="G280">
            <v>7.88727</v>
          </cell>
          <cell r="H280">
            <v>-1.7435700000000001</v>
          </cell>
        </row>
        <row r="281">
          <cell r="A281" t="str">
            <v>AC233880.1_FG009</v>
          </cell>
          <cell r="B281" t="str">
            <v>GO:0003735GO:0004812GO:0005840GO:0005524GO:0006418</v>
          </cell>
          <cell r="C281" t="str">
            <v>NA</v>
          </cell>
          <cell r="D281" t="str">
            <v>BT0</v>
          </cell>
          <cell r="E281" t="str">
            <v>BT6</v>
          </cell>
          <cell r="F281">
            <v>0</v>
          </cell>
          <cell r="G281">
            <v>0.82311900000000005</v>
          </cell>
          <cell r="H281" t="str">
            <v>BD</v>
          </cell>
        </row>
        <row r="282">
          <cell r="A282" t="str">
            <v>GRMZM2G087103</v>
          </cell>
          <cell r="B282" t="str">
            <v>GO:0003824GO:0003676GO:0008152</v>
          </cell>
          <cell r="C282" t="str">
            <v>branched-chain-amino-acid aminotransferase-like protein chloroplastic-like</v>
          </cell>
          <cell r="D282" t="str">
            <v>BT0</v>
          </cell>
          <cell r="E282" t="str">
            <v>BT6</v>
          </cell>
          <cell r="F282">
            <v>4.5028600000000001</v>
          </cell>
          <cell r="G282">
            <v>12.1997</v>
          </cell>
          <cell r="H282">
            <v>1.4379299999999999</v>
          </cell>
        </row>
        <row r="283">
          <cell r="A283" t="str">
            <v>GRMZM2G308619</v>
          </cell>
          <cell r="B283" t="str">
            <v>GO:0004674GO:0006468GO:0004713GO:0005524</v>
          </cell>
          <cell r="C283" t="str">
            <v>protein kinase g11a-like</v>
          </cell>
          <cell r="D283" t="str">
            <v>BT0</v>
          </cell>
          <cell r="E283" t="str">
            <v>BT6</v>
          </cell>
          <cell r="F283">
            <v>6.15478E-2</v>
          </cell>
          <cell r="G283">
            <v>1.0560400000000001</v>
          </cell>
          <cell r="H283">
            <v>4.1008100000000001</v>
          </cell>
        </row>
        <row r="284">
          <cell r="A284" t="str">
            <v>GRMZM2G153138</v>
          </cell>
          <cell r="B284" t="str">
            <v>GO:0006886GO:0005622</v>
          </cell>
          <cell r="C284" t="str">
            <v>thioesterase family protein</v>
          </cell>
          <cell r="D284" t="str">
            <v>BT0</v>
          </cell>
          <cell r="E284" t="str">
            <v>BT6</v>
          </cell>
          <cell r="F284">
            <v>16.833100000000002</v>
          </cell>
          <cell r="G284">
            <v>8.0335999999999999</v>
          </cell>
          <cell r="H284">
            <v>-1.06718</v>
          </cell>
        </row>
        <row r="285">
          <cell r="A285" t="str">
            <v>GRMZM2G170047</v>
          </cell>
          <cell r="B285" t="str">
            <v>GO:0004497GO:0020037GO:0009055</v>
          </cell>
          <cell r="C285" t="str">
            <v>cytochrome p450 71a1</v>
          </cell>
          <cell r="D285" t="str">
            <v>BT0</v>
          </cell>
          <cell r="E285" t="str">
            <v>BT6</v>
          </cell>
          <cell r="F285">
            <v>8.6323699999999999</v>
          </cell>
          <cell r="G285">
            <v>18.130500000000001</v>
          </cell>
          <cell r="H285">
            <v>1.0705899999999999</v>
          </cell>
        </row>
        <row r="286">
          <cell r="A286" t="str">
            <v>GRMZM2G169951</v>
          </cell>
          <cell r="B286" t="str">
            <v>GO:0016021</v>
          </cell>
          <cell r="C286" t="str">
            <v>s-type anion channel slah3-like</v>
          </cell>
          <cell r="D286" t="str">
            <v>BT0</v>
          </cell>
          <cell r="E286" t="str">
            <v>BT6</v>
          </cell>
          <cell r="F286">
            <v>0.374946</v>
          </cell>
          <cell r="G286">
            <v>0.96774199999999999</v>
          </cell>
          <cell r="H286">
            <v>1.3679399999999999</v>
          </cell>
        </row>
        <row r="287">
          <cell r="A287" t="str">
            <v>GRMZM2G083810</v>
          </cell>
          <cell r="B287" t="str">
            <v>GO:0006508GO:0004252</v>
          </cell>
          <cell r="C287" t="str">
            <v>heat-shock protein</v>
          </cell>
          <cell r="D287" t="str">
            <v>BT0</v>
          </cell>
          <cell r="E287" t="str">
            <v>BT6</v>
          </cell>
          <cell r="F287">
            <v>1.51247</v>
          </cell>
          <cell r="G287">
            <v>0.70413599999999998</v>
          </cell>
          <cell r="H287">
            <v>-1.1029800000000001</v>
          </cell>
        </row>
        <row r="288">
          <cell r="A288" t="str">
            <v>GRMZM2G100349</v>
          </cell>
          <cell r="B288" t="str">
            <v>NA</v>
          </cell>
          <cell r="C288" t="str">
            <v>60s ribosomal protein</v>
          </cell>
          <cell r="D288" t="str">
            <v>BT0</v>
          </cell>
          <cell r="E288" t="str">
            <v>BT6</v>
          </cell>
          <cell r="F288">
            <v>4.1602499999999996</v>
          </cell>
          <cell r="G288">
            <v>2.05545</v>
          </cell>
          <cell r="H288">
            <v>-1.01722</v>
          </cell>
        </row>
        <row r="289">
          <cell r="A289" t="str">
            <v>GRMZM2G052442</v>
          </cell>
          <cell r="B289" t="str">
            <v>NA</v>
          </cell>
          <cell r="C289" t="str">
            <v>hypothetical protein SORBIDRAFT_03g032060</v>
          </cell>
          <cell r="D289" t="str">
            <v>BT0</v>
          </cell>
          <cell r="E289" t="str">
            <v>BT6</v>
          </cell>
          <cell r="F289">
            <v>1.68692</v>
          </cell>
          <cell r="G289">
            <v>4.4829600000000003</v>
          </cell>
          <cell r="H289">
            <v>1.4100600000000001</v>
          </cell>
        </row>
        <row r="290">
          <cell r="A290" t="str">
            <v>GRMZM2G176446</v>
          </cell>
          <cell r="B290" t="str">
            <v>GO:0016747</v>
          </cell>
          <cell r="C290" t="str">
            <v>anthranilate n-benzoyltransferase protein 1</v>
          </cell>
          <cell r="D290" t="str">
            <v>BT0</v>
          </cell>
          <cell r="E290" t="str">
            <v>BT6</v>
          </cell>
          <cell r="F290">
            <v>9.4695099999999996</v>
          </cell>
          <cell r="G290">
            <v>4.0667799999999996</v>
          </cell>
          <cell r="H290">
            <v>-1.2194</v>
          </cell>
        </row>
        <row r="291">
          <cell r="A291" t="str">
            <v>GRMZM2G161154</v>
          </cell>
          <cell r="B291" t="str">
            <v>GO:0046872</v>
          </cell>
          <cell r="C291" t="str">
            <v>metallothionein-like protein type 2</v>
          </cell>
          <cell r="D291" t="str">
            <v>BT0</v>
          </cell>
          <cell r="E291" t="str">
            <v>BT6</v>
          </cell>
          <cell r="F291">
            <v>389.113</v>
          </cell>
          <cell r="G291">
            <v>94.306399999999996</v>
          </cell>
          <cell r="H291">
            <v>-2.0447600000000001</v>
          </cell>
        </row>
        <row r="292">
          <cell r="A292" t="str">
            <v>GRMZM2G071666</v>
          </cell>
          <cell r="B292" t="str">
            <v>NA</v>
          </cell>
          <cell r="C292" t="str">
            <v>NA</v>
          </cell>
          <cell r="D292" t="str">
            <v>BT0</v>
          </cell>
          <cell r="E292" t="str">
            <v>BT6</v>
          </cell>
          <cell r="F292">
            <v>1.3376999999999999</v>
          </cell>
          <cell r="G292">
            <v>3.3021400000000001</v>
          </cell>
          <cell r="H292">
            <v>1.3036399999999999</v>
          </cell>
        </row>
        <row r="293">
          <cell r="A293" t="str">
            <v>GRMZM2G011523</v>
          </cell>
          <cell r="B293" t="str">
            <v>GO:0005576GO:0004867</v>
          </cell>
          <cell r="C293" t="str">
            <v>bowman-birk type wound-induced proteinase inhibitor wip1 precursor</v>
          </cell>
          <cell r="D293" t="str">
            <v>BT0</v>
          </cell>
          <cell r="E293" t="str">
            <v>BT6</v>
          </cell>
          <cell r="F293">
            <v>79.824399999999997</v>
          </cell>
          <cell r="G293">
            <v>37.282200000000003</v>
          </cell>
          <cell r="H293">
            <v>-1.0983400000000001</v>
          </cell>
        </row>
        <row r="294">
          <cell r="A294" t="str">
            <v>GRMZM5G883759</v>
          </cell>
          <cell r="B294" t="str">
            <v>NA</v>
          </cell>
          <cell r="C294" t="str">
            <v>uncharacterized protein LOC100275537 precursor</v>
          </cell>
          <cell r="D294" t="str">
            <v>BT0</v>
          </cell>
          <cell r="E294" t="str">
            <v>BT6</v>
          </cell>
          <cell r="F294">
            <v>9.4544499999999996</v>
          </cell>
          <cell r="G294">
            <v>3.9007000000000001</v>
          </cell>
          <cell r="H294">
            <v>-1.2772600000000001</v>
          </cell>
        </row>
        <row r="295">
          <cell r="A295" t="str">
            <v>GRMZM2G122656</v>
          </cell>
          <cell r="B295" t="str">
            <v>NA</v>
          </cell>
          <cell r="C295" t="str">
            <v>pollen-specific protein like</v>
          </cell>
          <cell r="D295" t="str">
            <v>BT0</v>
          </cell>
          <cell r="E295" t="str">
            <v>BT6</v>
          </cell>
          <cell r="F295">
            <v>0.94986999999999999</v>
          </cell>
          <cell r="G295">
            <v>3.0189400000000002</v>
          </cell>
          <cell r="H295">
            <v>1.6682399999999999</v>
          </cell>
        </row>
        <row r="296">
          <cell r="A296" t="str">
            <v>GRMZM2G161310</v>
          </cell>
          <cell r="B296" t="str">
            <v>GO:0015904GO:0016021GO:0015520GO:0046677</v>
          </cell>
          <cell r="C296" t="str">
            <v>probable peptide nitrate transporter at3g43790-like</v>
          </cell>
          <cell r="D296" t="str">
            <v>BT0</v>
          </cell>
          <cell r="E296" t="str">
            <v>BT6</v>
          </cell>
          <cell r="F296">
            <v>22.780999999999999</v>
          </cell>
          <cell r="G296">
            <v>11.3866</v>
          </cell>
          <cell r="H296">
            <v>-1.0004900000000001</v>
          </cell>
        </row>
        <row r="297">
          <cell r="A297" t="str">
            <v>GRMZM2G341366</v>
          </cell>
          <cell r="B297" t="str">
            <v>NA</v>
          </cell>
          <cell r="C297" t="str">
            <v>plant if-like protein</v>
          </cell>
          <cell r="D297" t="str">
            <v>BT0</v>
          </cell>
          <cell r="E297" t="str">
            <v>BT6</v>
          </cell>
          <cell r="F297">
            <v>7.7536300000000002</v>
          </cell>
          <cell r="G297">
            <v>16.366399999999999</v>
          </cell>
          <cell r="H297">
            <v>1.0778000000000001</v>
          </cell>
        </row>
        <row r="298">
          <cell r="A298" t="str">
            <v>GRMZM2G170388</v>
          </cell>
          <cell r="B298" t="str">
            <v>GO:0003735GO:0004650GO:0005975GO:0006412GO:0005840</v>
          </cell>
          <cell r="C298" t="str">
            <v>polygalacturonase at1g48100-like</v>
          </cell>
          <cell r="D298" t="str">
            <v>BT0</v>
          </cell>
          <cell r="E298" t="str">
            <v>BT6</v>
          </cell>
          <cell r="F298">
            <v>0.37391600000000003</v>
          </cell>
          <cell r="G298">
            <v>0.880826</v>
          </cell>
          <cell r="H298">
            <v>1.23614</v>
          </cell>
        </row>
        <row r="299">
          <cell r="A299" t="str">
            <v>GRMZM5G864903</v>
          </cell>
          <cell r="B299" t="str">
            <v>NA</v>
          </cell>
          <cell r="C299" t="str">
            <v>cytochrome p450</v>
          </cell>
          <cell r="D299" t="str">
            <v>BT0</v>
          </cell>
          <cell r="E299" t="str">
            <v>BT6</v>
          </cell>
          <cell r="F299">
            <v>1.01553</v>
          </cell>
          <cell r="G299">
            <v>0.44936399999999999</v>
          </cell>
          <cell r="H299">
            <v>-1.17628</v>
          </cell>
        </row>
        <row r="300">
          <cell r="A300" t="str">
            <v>GRMZM2G175761</v>
          </cell>
          <cell r="B300" t="str">
            <v>GO:0008270</v>
          </cell>
          <cell r="C300" t="str">
            <v>pollen-specific protein sf3</v>
          </cell>
          <cell r="D300" t="str">
            <v>BT0</v>
          </cell>
          <cell r="E300" t="str">
            <v>BT6</v>
          </cell>
          <cell r="F300">
            <v>3.1817299999999999</v>
          </cell>
          <cell r="G300">
            <v>1.49875</v>
          </cell>
          <cell r="H300">
            <v>-1.08605</v>
          </cell>
        </row>
        <row r="301">
          <cell r="A301" t="str">
            <v>GRMZM2G455676</v>
          </cell>
          <cell r="B301" t="str">
            <v>GO:0009654GO:0015979</v>
          </cell>
          <cell r="C301" t="str">
            <v>photosystem ii reaction center w protein</v>
          </cell>
          <cell r="D301" t="str">
            <v>BT0</v>
          </cell>
          <cell r="E301" t="str">
            <v>BT6</v>
          </cell>
          <cell r="F301">
            <v>0.87570499999999996</v>
          </cell>
          <cell r="G301">
            <v>3.2721200000000001</v>
          </cell>
          <cell r="H301">
            <v>1.90171</v>
          </cell>
        </row>
        <row r="302">
          <cell r="A302" t="str">
            <v>GRMZM2G078667</v>
          </cell>
          <cell r="B302" t="str">
            <v>NA</v>
          </cell>
          <cell r="C302" t="str">
            <v>disease resistance response protein</v>
          </cell>
          <cell r="D302" t="str">
            <v>BT0</v>
          </cell>
          <cell r="E302" t="str">
            <v>BT6</v>
          </cell>
          <cell r="F302">
            <v>8.7289999999999992</v>
          </cell>
          <cell r="G302">
            <v>1.81507</v>
          </cell>
          <cell r="H302">
            <v>-2.26579</v>
          </cell>
        </row>
        <row r="303">
          <cell r="A303" t="str">
            <v>GRMZM2G078314</v>
          </cell>
          <cell r="B303" t="str">
            <v>GO:0006334GO:0003677GO:0005634GO:0000786</v>
          </cell>
          <cell r="C303" t="str">
            <v>histone h3</v>
          </cell>
          <cell r="D303" t="str">
            <v>BT0</v>
          </cell>
          <cell r="E303" t="str">
            <v>BT6</v>
          </cell>
          <cell r="F303">
            <v>9.6453000000000007</v>
          </cell>
          <cell r="G303">
            <v>2.4267500000000002</v>
          </cell>
          <cell r="H303">
            <v>-1.9907999999999999</v>
          </cell>
        </row>
        <row r="304">
          <cell r="A304" t="str">
            <v>GRMZM5G837822</v>
          </cell>
          <cell r="B304" t="str">
            <v>NA</v>
          </cell>
          <cell r="C304" t="str">
            <v>hevamine-a precursor</v>
          </cell>
          <cell r="D304" t="str">
            <v>BT0</v>
          </cell>
          <cell r="E304" t="str">
            <v>BT6</v>
          </cell>
          <cell r="F304">
            <v>1.3284100000000001</v>
          </cell>
          <cell r="G304">
            <v>8.0682899999999993</v>
          </cell>
          <cell r="H304">
            <v>2.60256</v>
          </cell>
        </row>
        <row r="305">
          <cell r="A305" t="str">
            <v>GRMZM2G119322</v>
          </cell>
          <cell r="B305" t="str">
            <v>NA</v>
          </cell>
          <cell r="C305" t="str">
            <v>uncharacterized protein LOC100275056</v>
          </cell>
          <cell r="D305" t="str">
            <v>BT0</v>
          </cell>
          <cell r="E305" t="str">
            <v>BT6</v>
          </cell>
          <cell r="F305">
            <v>15.450100000000001</v>
          </cell>
          <cell r="G305">
            <v>4.4669699999999999</v>
          </cell>
          <cell r="H305">
            <v>-1.7902499999999999</v>
          </cell>
        </row>
        <row r="306">
          <cell r="A306" t="str">
            <v>GRMZM2G092474</v>
          </cell>
          <cell r="B306" t="str">
            <v>NA</v>
          </cell>
          <cell r="C306" t="str">
            <v>p21 expressed</v>
          </cell>
          <cell r="D306" t="str">
            <v>BT0</v>
          </cell>
          <cell r="E306" t="str">
            <v>BT6</v>
          </cell>
          <cell r="F306">
            <v>0.79222899999999996</v>
          </cell>
          <cell r="G306">
            <v>1.8449199999999999</v>
          </cell>
          <cell r="H306">
            <v>1.21957</v>
          </cell>
        </row>
        <row r="307">
          <cell r="A307" t="str">
            <v>GRMZM2G144936</v>
          </cell>
          <cell r="B307" t="str">
            <v>NA</v>
          </cell>
          <cell r="C307" t="str">
            <v>serine protease kazal-type family protein</v>
          </cell>
          <cell r="D307" t="str">
            <v>BT0</v>
          </cell>
          <cell r="E307" t="str">
            <v>BT6</v>
          </cell>
          <cell r="F307">
            <v>1.6633800000000001</v>
          </cell>
          <cell r="G307">
            <v>0.72975900000000005</v>
          </cell>
          <cell r="H307">
            <v>-1.1886300000000001</v>
          </cell>
        </row>
        <row r="308">
          <cell r="A308" t="str">
            <v>GRMZM2G173654</v>
          </cell>
          <cell r="B308" t="str">
            <v>GO:0006810GO:0005622</v>
          </cell>
          <cell r="C308" t="str">
            <v>nuclear transport factor 2</v>
          </cell>
          <cell r="D308" t="str">
            <v>BT0</v>
          </cell>
          <cell r="E308" t="str">
            <v>BT6</v>
          </cell>
          <cell r="F308">
            <v>1.3246</v>
          </cell>
          <cell r="G308">
            <v>2.9032300000000002</v>
          </cell>
          <cell r="H308">
            <v>1.1321000000000001</v>
          </cell>
        </row>
        <row r="309">
          <cell r="A309" t="str">
            <v>GRMZM2G563190</v>
          </cell>
          <cell r="B309" t="str">
            <v>NA</v>
          </cell>
          <cell r="C309" t="str">
            <v>nadph dehydrogenase</v>
          </cell>
          <cell r="D309" t="str">
            <v>BT0</v>
          </cell>
          <cell r="E309" t="str">
            <v>BT6</v>
          </cell>
          <cell r="F309">
            <v>0.51229999999999998</v>
          </cell>
          <cell r="G309">
            <v>1.09744</v>
          </cell>
          <cell r="H309">
            <v>1.0990899999999999</v>
          </cell>
        </row>
        <row r="310">
          <cell r="A310" t="str">
            <v>GRMZM2G054905</v>
          </cell>
          <cell r="B310" t="str">
            <v>NA</v>
          </cell>
          <cell r="C310" t="str">
            <v>insulin degrading enzyme</v>
          </cell>
          <cell r="D310" t="str">
            <v>BT0</v>
          </cell>
          <cell r="E310" t="str">
            <v>BT6</v>
          </cell>
          <cell r="F310">
            <v>3.4392999999999998</v>
          </cell>
          <cell r="G310">
            <v>9.0251599999999996</v>
          </cell>
          <cell r="H310">
            <v>1.39184</v>
          </cell>
        </row>
        <row r="311">
          <cell r="A311" t="str">
            <v>GRMZM2G446220</v>
          </cell>
          <cell r="B311" t="str">
            <v>NA</v>
          </cell>
          <cell r="C311" t="str">
            <v>delay of germination 1</v>
          </cell>
          <cell r="D311" t="str">
            <v>BT0</v>
          </cell>
          <cell r="E311" t="str">
            <v>BT6</v>
          </cell>
          <cell r="F311">
            <v>2.2652600000000001</v>
          </cell>
          <cell r="G311">
            <v>1.10632</v>
          </cell>
          <cell r="H311">
            <v>-1.0339100000000001</v>
          </cell>
        </row>
        <row r="312">
          <cell r="A312" t="str">
            <v>GRMZM2G022679</v>
          </cell>
          <cell r="B312" t="str">
            <v>GO:0005506GO:0016491</v>
          </cell>
          <cell r="C312" t="str">
            <v>gibberellin 2-oxidase</v>
          </cell>
          <cell r="D312" t="str">
            <v>BT0</v>
          </cell>
          <cell r="E312" t="str">
            <v>BT6</v>
          </cell>
          <cell r="F312">
            <v>3.22445</v>
          </cell>
          <cell r="G312">
            <v>7.44794</v>
          </cell>
          <cell r="H312">
            <v>1.2077899999999999</v>
          </cell>
        </row>
        <row r="313">
          <cell r="A313" t="str">
            <v>GRMZM2G078210</v>
          </cell>
          <cell r="B313" t="str">
            <v>NA</v>
          </cell>
          <cell r="C313" t="str">
            <v>protein</v>
          </cell>
          <cell r="D313" t="str">
            <v>BT0</v>
          </cell>
          <cell r="E313" t="str">
            <v>BT6</v>
          </cell>
          <cell r="F313">
            <v>2.05965</v>
          </cell>
          <cell r="G313">
            <v>0.55950800000000001</v>
          </cell>
          <cell r="H313">
            <v>-1.8801699999999999</v>
          </cell>
        </row>
        <row r="314">
          <cell r="A314" t="str">
            <v>GRMZM2G078771</v>
          </cell>
          <cell r="B314" t="str">
            <v>GO:0050825GO:0042309GO:0050826</v>
          </cell>
          <cell r="C314" t="str">
            <v>harpin-induced protein</v>
          </cell>
          <cell r="D314" t="str">
            <v>BT0</v>
          </cell>
          <cell r="E314" t="str">
            <v>BT6</v>
          </cell>
          <cell r="F314">
            <v>0.79614300000000005</v>
          </cell>
          <cell r="G314">
            <v>2.2957999999999998</v>
          </cell>
          <cell r="H314">
            <v>1.5279</v>
          </cell>
        </row>
        <row r="315">
          <cell r="A315" t="str">
            <v>GRMZM2G468111</v>
          </cell>
          <cell r="B315" t="str">
            <v>NA</v>
          </cell>
          <cell r="C315" t="str">
            <v>uncharacterized protein LOC100277849</v>
          </cell>
          <cell r="D315" t="str">
            <v>BT0</v>
          </cell>
          <cell r="E315" t="str">
            <v>BT6</v>
          </cell>
          <cell r="F315">
            <v>35.1813</v>
          </cell>
          <cell r="G315">
            <v>107.474</v>
          </cell>
          <cell r="H315">
            <v>1.61111</v>
          </cell>
        </row>
        <row r="316">
          <cell r="A316" t="str">
            <v>GRMZM5G863596</v>
          </cell>
          <cell r="B316" t="str">
            <v>NA</v>
          </cell>
          <cell r="C316" t="str">
            <v>plastid alpha-amylase</v>
          </cell>
          <cell r="D316" t="str">
            <v>BT0</v>
          </cell>
          <cell r="E316" t="str">
            <v>BT6</v>
          </cell>
          <cell r="F316">
            <v>18.740300000000001</v>
          </cell>
          <cell r="G316">
            <v>8.1801600000000008</v>
          </cell>
          <cell r="H316">
            <v>-1.19594</v>
          </cell>
        </row>
        <row r="317">
          <cell r="A317" t="str">
            <v>GRMZM2G051683</v>
          </cell>
          <cell r="B317" t="str">
            <v>GO:0016758GO:0008152</v>
          </cell>
          <cell r="C317" t="str">
            <v>anthocyanidin -o-glucosyltransferase-like</v>
          </cell>
          <cell r="D317" t="str">
            <v>BT0</v>
          </cell>
          <cell r="E317" t="str">
            <v>BT6</v>
          </cell>
          <cell r="F317">
            <v>7.7516100000000003</v>
          </cell>
          <cell r="G317">
            <v>3.6825800000000002</v>
          </cell>
          <cell r="H317">
            <v>-1.07378</v>
          </cell>
        </row>
        <row r="318">
          <cell r="A318" t="str">
            <v>GRMZM2G055450</v>
          </cell>
          <cell r="B318" t="str">
            <v>GO:0005543</v>
          </cell>
          <cell r="C318" t="str">
            <v>clathrin assembly protein at2g01600-like isoform 1</v>
          </cell>
          <cell r="D318" t="str">
            <v>BT0</v>
          </cell>
          <cell r="E318" t="str">
            <v>BT6</v>
          </cell>
          <cell r="F318">
            <v>0.95196199999999997</v>
          </cell>
          <cell r="G318">
            <v>0.43587500000000001</v>
          </cell>
          <cell r="H318">
            <v>-1.1269899999999999</v>
          </cell>
        </row>
        <row r="319">
          <cell r="A319" t="str">
            <v>GRMZM2G062121</v>
          </cell>
          <cell r="B319" t="str">
            <v>NA</v>
          </cell>
          <cell r="C319" t="str">
            <v>hypothetical protein SORBIDRAFT_03g030900</v>
          </cell>
          <cell r="D319" t="str">
            <v>BT0</v>
          </cell>
          <cell r="E319" t="str">
            <v>BT6</v>
          </cell>
          <cell r="F319">
            <v>2.4866899999999998</v>
          </cell>
          <cell r="G319">
            <v>5.8740399999999999</v>
          </cell>
          <cell r="H319">
            <v>1.2401199999999999</v>
          </cell>
        </row>
        <row r="320">
          <cell r="A320" t="str">
            <v>GRMZM2G055585</v>
          </cell>
          <cell r="B320" t="str">
            <v>GO:0003840</v>
          </cell>
          <cell r="C320" t="str">
            <v>mannan endo- -beta-mannosidase 7</v>
          </cell>
          <cell r="D320" t="str">
            <v>BT0</v>
          </cell>
          <cell r="E320" t="str">
            <v>BT6</v>
          </cell>
          <cell r="F320">
            <v>0.39847100000000002</v>
          </cell>
          <cell r="G320">
            <v>1.18543</v>
          </cell>
          <cell r="H320">
            <v>1.5728599999999999</v>
          </cell>
        </row>
        <row r="321">
          <cell r="A321" t="str">
            <v>GRMZM2G121878</v>
          </cell>
          <cell r="B321" t="str">
            <v>GO:0015976GO:0004089GO:0008270</v>
          </cell>
          <cell r="C321" t="str">
            <v>carbonic anhydrase</v>
          </cell>
          <cell r="D321" t="str">
            <v>BT0</v>
          </cell>
          <cell r="E321" t="str">
            <v>BT6</v>
          </cell>
          <cell r="F321">
            <v>714.84199999999998</v>
          </cell>
          <cell r="G321">
            <v>1536.66</v>
          </cell>
          <cell r="H321">
            <v>1.1041099999999999</v>
          </cell>
        </row>
        <row r="322">
          <cell r="A322" t="str">
            <v>GRMZM2G177384</v>
          </cell>
          <cell r="B322" t="str">
            <v>GO:0004497GO:0020037GO:0009055</v>
          </cell>
          <cell r="C322" t="str">
            <v>obtusifoliol 14-alpha demethylase-like</v>
          </cell>
          <cell r="D322" t="str">
            <v>BT0</v>
          </cell>
          <cell r="E322" t="str">
            <v>BT6</v>
          </cell>
          <cell r="F322">
            <v>0.82557199999999997</v>
          </cell>
          <cell r="G322">
            <v>0.28521999999999997</v>
          </cell>
          <cell r="H322">
            <v>-1.53332</v>
          </cell>
        </row>
        <row r="323">
          <cell r="A323" t="str">
            <v>GRMZM2G089525</v>
          </cell>
          <cell r="B323" t="str">
            <v>GO:0003700GO:0006355GO:0005634GO:0043565</v>
          </cell>
          <cell r="C323" t="str">
            <v>protein</v>
          </cell>
          <cell r="D323" t="str">
            <v>BT0</v>
          </cell>
          <cell r="E323" t="str">
            <v>BT6</v>
          </cell>
          <cell r="F323">
            <v>0.55276400000000003</v>
          </cell>
          <cell r="G323">
            <v>1.21946</v>
          </cell>
          <cell r="H323">
            <v>1.1415</v>
          </cell>
        </row>
        <row r="324">
          <cell r="A324" t="str">
            <v>GRMZM2G111112</v>
          </cell>
          <cell r="B324" t="str">
            <v>NA</v>
          </cell>
          <cell r="C324" t="str">
            <v>uncharacterized protein LOC100274720</v>
          </cell>
          <cell r="D324" t="str">
            <v>BT0</v>
          </cell>
          <cell r="E324" t="str">
            <v>BT6</v>
          </cell>
          <cell r="F324">
            <v>1.87077</v>
          </cell>
          <cell r="G324">
            <v>0.81402200000000002</v>
          </cell>
          <cell r="H324">
            <v>-1.2004900000000001</v>
          </cell>
        </row>
        <row r="325">
          <cell r="A325" t="str">
            <v>GRMZM5G874955</v>
          </cell>
          <cell r="B325" t="str">
            <v>NA</v>
          </cell>
          <cell r="C325" t="str">
            <v>pdr-like abc transporter</v>
          </cell>
          <cell r="D325" t="str">
            <v>BT0</v>
          </cell>
          <cell r="E325" t="str">
            <v>BT6</v>
          </cell>
          <cell r="F325">
            <v>6.4826899999999998</v>
          </cell>
          <cell r="G325">
            <v>1.4261999999999999</v>
          </cell>
          <cell r="H325">
            <v>-2.1844199999999998</v>
          </cell>
        </row>
        <row r="326">
          <cell r="A326" t="str">
            <v>GRMZM2G005834</v>
          </cell>
          <cell r="B326" t="str">
            <v>GO:0008270</v>
          </cell>
          <cell r="C326" t="str">
            <v>palmitoyltransferase akr1</v>
          </cell>
          <cell r="D326" t="str">
            <v>BT0</v>
          </cell>
          <cell r="E326" t="str">
            <v>BT6</v>
          </cell>
          <cell r="F326">
            <v>2.17096</v>
          </cell>
          <cell r="G326">
            <v>0.95725199999999999</v>
          </cell>
          <cell r="H326">
            <v>-1.18136</v>
          </cell>
        </row>
        <row r="327">
          <cell r="A327" t="str">
            <v>GRMZM2G175076</v>
          </cell>
          <cell r="B327" t="str">
            <v>GO:0045430GO:0009813</v>
          </cell>
          <cell r="C327" t="str">
            <v>chalcone--flavonone isomerase</v>
          </cell>
          <cell r="D327" t="str">
            <v>BT0</v>
          </cell>
          <cell r="E327" t="str">
            <v>BT6</v>
          </cell>
          <cell r="F327">
            <v>1.17815</v>
          </cell>
          <cell r="G327">
            <v>0.37748100000000001</v>
          </cell>
          <cell r="H327">
            <v>-1.64205</v>
          </cell>
        </row>
        <row r="328">
          <cell r="A328" t="str">
            <v>GRMZM2G162200</v>
          </cell>
          <cell r="B328" t="str">
            <v>GO:0005524</v>
          </cell>
          <cell r="C328" t="str">
            <v>isco activase small isoform precursor</v>
          </cell>
          <cell r="D328" t="str">
            <v>BT0</v>
          </cell>
          <cell r="E328" t="str">
            <v>BT6</v>
          </cell>
          <cell r="F328">
            <v>186.999</v>
          </cell>
          <cell r="G328">
            <v>426.11099999999999</v>
          </cell>
          <cell r="H328">
            <v>1.1881999999999999</v>
          </cell>
        </row>
        <row r="329">
          <cell r="A329" t="str">
            <v>GRMZM2G131442</v>
          </cell>
          <cell r="B329" t="str">
            <v>GO:0050826GO:0050825GO:0042309GO:0003677</v>
          </cell>
          <cell r="C329" t="str">
            <v>myb-like dna-binding domain containing expressed</v>
          </cell>
          <cell r="D329" t="str">
            <v>BT0</v>
          </cell>
          <cell r="E329" t="str">
            <v>BT6</v>
          </cell>
          <cell r="F329">
            <v>14.6564</v>
          </cell>
          <cell r="G329">
            <v>4.9318799999999996</v>
          </cell>
          <cell r="H329">
            <v>-1.5713200000000001</v>
          </cell>
        </row>
        <row r="330">
          <cell r="A330" t="str">
            <v>BX1</v>
          </cell>
          <cell r="B330" t="str">
            <v>NA</v>
          </cell>
          <cell r="C330" t="str">
            <v>NA</v>
          </cell>
          <cell r="D330" t="str">
            <v>BT0</v>
          </cell>
          <cell r="E330" t="str">
            <v>BT6</v>
          </cell>
          <cell r="F330">
            <v>114.264</v>
          </cell>
          <cell r="G330">
            <v>29.545200000000001</v>
          </cell>
          <cell r="H330">
            <v>-1.95137</v>
          </cell>
        </row>
        <row r="331">
          <cell r="A331" t="str">
            <v>CYP71C4</v>
          </cell>
          <cell r="B331" t="str">
            <v>NA</v>
          </cell>
          <cell r="C331" t="str">
            <v>NA</v>
          </cell>
          <cell r="D331" t="str">
            <v>BT0</v>
          </cell>
          <cell r="E331" t="str">
            <v>BT6</v>
          </cell>
          <cell r="F331">
            <v>18.343399999999999</v>
          </cell>
          <cell r="G331">
            <v>4.2271700000000001</v>
          </cell>
          <cell r="H331">
            <v>-2.1175000000000002</v>
          </cell>
        </row>
        <row r="332">
          <cell r="A332" t="str">
            <v>GRMZM2G048801</v>
          </cell>
          <cell r="B332" t="str">
            <v>GO:0004674GO:0006468GO:0005524GO:0005515GO:0004713</v>
          </cell>
          <cell r="C332" t="str">
            <v>leucine rich repeat family protein</v>
          </cell>
          <cell r="D332" t="str">
            <v>BT0</v>
          </cell>
          <cell r="E332" t="str">
            <v>BT6</v>
          </cell>
          <cell r="F332">
            <v>0.81568799999999997</v>
          </cell>
          <cell r="G332">
            <v>0.38871699999999998</v>
          </cell>
          <cell r="H332">
            <v>-1.0692999999999999</v>
          </cell>
        </row>
        <row r="333">
          <cell r="A333" t="str">
            <v>GRMZM2G039630</v>
          </cell>
          <cell r="B333" t="str">
            <v>NA</v>
          </cell>
          <cell r="C333" t="str">
            <v>membrane protein</v>
          </cell>
          <cell r="D333" t="str">
            <v>BT0</v>
          </cell>
          <cell r="E333" t="str">
            <v>BT6</v>
          </cell>
          <cell r="F333">
            <v>14.677199999999999</v>
          </cell>
          <cell r="G333">
            <v>29.789000000000001</v>
          </cell>
          <cell r="H333">
            <v>1.02121</v>
          </cell>
        </row>
        <row r="334">
          <cell r="A334" t="str">
            <v>GRMZM5G836322</v>
          </cell>
          <cell r="B334" t="str">
            <v>NA</v>
          </cell>
          <cell r="C334" t="str">
            <v>uncharacterized protein LOC100274842</v>
          </cell>
          <cell r="D334" t="str">
            <v>BT0</v>
          </cell>
          <cell r="E334" t="str">
            <v>BT6</v>
          </cell>
          <cell r="F334">
            <v>1.74343</v>
          </cell>
          <cell r="G334">
            <v>0.84152499999999997</v>
          </cell>
          <cell r="H334">
            <v>-1.0508500000000001</v>
          </cell>
        </row>
        <row r="335">
          <cell r="A335" t="str">
            <v>GRMZM2G133781</v>
          </cell>
          <cell r="B335" t="str">
            <v>GO:0005975GO:0004553</v>
          </cell>
          <cell r="C335" t="str">
            <v>xylanase inhibitor protein 2 expressed</v>
          </cell>
          <cell r="D335" t="str">
            <v>BT0</v>
          </cell>
          <cell r="E335" t="str">
            <v>BT6</v>
          </cell>
          <cell r="F335">
            <v>0.881525</v>
          </cell>
          <cell r="G335">
            <v>0.244174</v>
          </cell>
          <cell r="H335">
            <v>-1.85209</v>
          </cell>
        </row>
        <row r="336">
          <cell r="A336" t="str">
            <v>GRMZM2G358153</v>
          </cell>
          <cell r="B336" t="str">
            <v>GO:0004568GO:0006032</v>
          </cell>
          <cell r="C336" t="str">
            <v>chitinase 1</v>
          </cell>
          <cell r="D336" t="str">
            <v>BT0</v>
          </cell>
          <cell r="E336" t="str">
            <v>BT6</v>
          </cell>
          <cell r="F336">
            <v>21.0182</v>
          </cell>
          <cell r="G336">
            <v>7.2773099999999999</v>
          </cell>
          <cell r="H336">
            <v>-1.53016</v>
          </cell>
        </row>
        <row r="337">
          <cell r="A337" t="str">
            <v>GRMZM2G545326</v>
          </cell>
          <cell r="B337" t="str">
            <v>NA</v>
          </cell>
          <cell r="C337" t="str">
            <v>sentrin sumo-specific</v>
          </cell>
          <cell r="D337" t="str">
            <v>BT0</v>
          </cell>
          <cell r="E337" t="str">
            <v>BT6</v>
          </cell>
          <cell r="F337">
            <v>2.82239</v>
          </cell>
          <cell r="G337">
            <v>1.3070200000000001</v>
          </cell>
          <cell r="H337">
            <v>-1.1106400000000001</v>
          </cell>
        </row>
        <row r="338">
          <cell r="A338" t="str">
            <v>GRMZM2G070011</v>
          </cell>
          <cell r="B338" t="str">
            <v>GO:0006508GO:0004197</v>
          </cell>
          <cell r="C338" t="str">
            <v>vignain precursor</v>
          </cell>
          <cell r="D338" t="str">
            <v>BT0</v>
          </cell>
          <cell r="E338" t="str">
            <v>BT6</v>
          </cell>
          <cell r="F338">
            <v>53.986800000000002</v>
          </cell>
          <cell r="G338">
            <v>133.63800000000001</v>
          </cell>
          <cell r="H338">
            <v>1.30765</v>
          </cell>
        </row>
        <row r="339">
          <cell r="A339" t="str">
            <v>GRMZM2G007012</v>
          </cell>
          <cell r="B339" t="str">
            <v>GO:0016758GO:0008152</v>
          </cell>
          <cell r="C339" t="str">
            <v>protein</v>
          </cell>
          <cell r="D339" t="str">
            <v>BT0</v>
          </cell>
          <cell r="E339" t="str">
            <v>BT6</v>
          </cell>
          <cell r="F339">
            <v>0.89832699999999999</v>
          </cell>
          <cell r="G339">
            <v>1.91737</v>
          </cell>
          <cell r="H339">
            <v>1.0938099999999999</v>
          </cell>
        </row>
        <row r="340">
          <cell r="A340" t="str">
            <v>GRMZM2G570968</v>
          </cell>
          <cell r="B340" t="str">
            <v>NA</v>
          </cell>
          <cell r="C340" t="str">
            <v>unknown</v>
          </cell>
          <cell r="D340" t="str">
            <v>BT0</v>
          </cell>
          <cell r="E340" t="str">
            <v>BT6</v>
          </cell>
          <cell r="F340">
            <v>13.6821</v>
          </cell>
          <cell r="G340">
            <v>6.2905899999999999</v>
          </cell>
          <cell r="H340">
            <v>-1.1210199999999999</v>
          </cell>
        </row>
        <row r="341">
          <cell r="A341" t="str">
            <v>GRMZM2G568636</v>
          </cell>
          <cell r="B341" t="str">
            <v>NA</v>
          </cell>
          <cell r="C341" t="str">
            <v>nitrate reductase</v>
          </cell>
          <cell r="D341" t="str">
            <v>BT0</v>
          </cell>
          <cell r="E341" t="str">
            <v>BT6</v>
          </cell>
          <cell r="F341">
            <v>24.446300000000001</v>
          </cell>
          <cell r="G341">
            <v>82.249200000000002</v>
          </cell>
          <cell r="H341">
            <v>1.7503899999999999</v>
          </cell>
        </row>
        <row r="342">
          <cell r="A342" t="str">
            <v>GRMZM2G076389</v>
          </cell>
          <cell r="B342" t="str">
            <v>GO:0006887GO:0000145</v>
          </cell>
          <cell r="C342" t="str">
            <v>leucine zipper-containing protein</v>
          </cell>
          <cell r="D342" t="str">
            <v>BT0</v>
          </cell>
          <cell r="E342" t="str">
            <v>BT6</v>
          </cell>
          <cell r="F342">
            <v>1.4227799999999999</v>
          </cell>
          <cell r="G342">
            <v>0.69574899999999995</v>
          </cell>
          <cell r="H342">
            <v>-1.03207</v>
          </cell>
        </row>
        <row r="343">
          <cell r="A343" t="str">
            <v>AC205521.3_FG003</v>
          </cell>
          <cell r="B343" t="str">
            <v>NA</v>
          </cell>
          <cell r="C343" t="str">
            <v>NA</v>
          </cell>
          <cell r="D343" t="str">
            <v>BT0</v>
          </cell>
          <cell r="E343" t="str">
            <v>BT6</v>
          </cell>
          <cell r="F343">
            <v>1.2395700000000001</v>
          </cell>
          <cell r="G343">
            <v>0.59062499999999996</v>
          </cell>
          <cell r="H343">
            <v>-1.0695300000000001</v>
          </cell>
        </row>
        <row r="344">
          <cell r="A344" t="str">
            <v>GRMZM2G076348</v>
          </cell>
          <cell r="B344" t="str">
            <v>GO:0016787</v>
          </cell>
          <cell r="C344" t="str">
            <v>endo- -beta-d-glucanase precursor</v>
          </cell>
          <cell r="D344" t="str">
            <v>BT0</v>
          </cell>
          <cell r="E344" t="str">
            <v>BT6</v>
          </cell>
          <cell r="F344">
            <v>2.2279200000000001</v>
          </cell>
          <cell r="G344">
            <v>1.038</v>
          </cell>
          <cell r="H344">
            <v>-1.10189</v>
          </cell>
        </row>
        <row r="345">
          <cell r="A345" t="str">
            <v>GRMZM2G013214</v>
          </cell>
          <cell r="B345" t="str">
            <v>GO:0050826GO:0050825GO:0042309GO:0008152GO:0016491</v>
          </cell>
          <cell r="C345" t="str">
            <v>betaine aldehyde dehydrogenase</v>
          </cell>
          <cell r="D345" t="str">
            <v>BT0</v>
          </cell>
          <cell r="E345" t="str">
            <v>BT6</v>
          </cell>
          <cell r="F345">
            <v>30.485199999999999</v>
          </cell>
          <cell r="G345">
            <v>14.4595</v>
          </cell>
          <cell r="H345">
            <v>-1.07609</v>
          </cell>
        </row>
        <row r="346">
          <cell r="A346" t="str">
            <v>H3C2</v>
          </cell>
          <cell r="B346" t="str">
            <v>NA</v>
          </cell>
          <cell r="C346" t="str">
            <v>NA</v>
          </cell>
          <cell r="D346" t="str">
            <v>BT0</v>
          </cell>
          <cell r="E346" t="str">
            <v>BT6</v>
          </cell>
          <cell r="F346">
            <v>12.098599999999999</v>
          </cell>
          <cell r="G346">
            <v>5.7658899999999997</v>
          </cell>
          <cell r="H346">
            <v>-1.0692200000000001</v>
          </cell>
        </row>
        <row r="347">
          <cell r="A347" t="str">
            <v>GRMZM2G374302</v>
          </cell>
          <cell r="B347" t="str">
            <v>NA</v>
          </cell>
          <cell r="C347" t="str">
            <v>arginine decarboxylase</v>
          </cell>
          <cell r="D347" t="str">
            <v>BT0</v>
          </cell>
          <cell r="E347" t="str">
            <v>BT6</v>
          </cell>
          <cell r="F347">
            <v>302.04500000000002</v>
          </cell>
          <cell r="G347">
            <v>120.706</v>
          </cell>
          <cell r="H347">
            <v>-1.3232699999999999</v>
          </cell>
        </row>
        <row r="348">
          <cell r="A348" t="str">
            <v>GRMZM2G161696</v>
          </cell>
          <cell r="B348" t="str">
            <v>GO:0006508GO:0004185</v>
          </cell>
          <cell r="C348" t="str">
            <v>carboxypeptidase d</v>
          </cell>
          <cell r="D348" t="str">
            <v>BT0</v>
          </cell>
          <cell r="E348" t="str">
            <v>BT6</v>
          </cell>
          <cell r="F348">
            <v>1.39297</v>
          </cell>
          <cell r="G348">
            <v>4.47872</v>
          </cell>
          <cell r="H348">
            <v>1.68492</v>
          </cell>
        </row>
        <row r="349">
          <cell r="A349" t="str">
            <v>GRMZM2G496770</v>
          </cell>
          <cell r="B349" t="str">
            <v>NA</v>
          </cell>
          <cell r="C349" t="str">
            <v>transcription factor laf1-like</v>
          </cell>
          <cell r="D349" t="str">
            <v>BT0</v>
          </cell>
          <cell r="E349" t="str">
            <v>BT6</v>
          </cell>
          <cell r="F349">
            <v>2.0029499999999998</v>
          </cell>
          <cell r="G349">
            <v>0.95034300000000005</v>
          </cell>
          <cell r="H349">
            <v>-1.07561</v>
          </cell>
        </row>
        <row r="350">
          <cell r="A350" t="str">
            <v>GRMZM2G342515</v>
          </cell>
          <cell r="B350" t="str">
            <v>GO:0006334GO:0003677GO:0005634GO:0000786</v>
          </cell>
          <cell r="C350" t="str">
            <v>histone -like isoform 1</v>
          </cell>
          <cell r="D350" t="str">
            <v>BT0</v>
          </cell>
          <cell r="E350" t="str">
            <v>BT6</v>
          </cell>
          <cell r="F350">
            <v>1.3607400000000001</v>
          </cell>
          <cell r="G350">
            <v>0.56729300000000005</v>
          </cell>
          <cell r="H350">
            <v>-1.2622199999999999</v>
          </cell>
        </row>
        <row r="351">
          <cell r="A351" t="str">
            <v>GRMZM2G105522</v>
          </cell>
          <cell r="B351" t="str">
            <v>NA</v>
          </cell>
          <cell r="C351" t="str">
            <v>protein</v>
          </cell>
          <cell r="D351" t="str">
            <v>BT0</v>
          </cell>
          <cell r="E351" t="str">
            <v>BT6</v>
          </cell>
          <cell r="F351">
            <v>3.1794099999999998</v>
          </cell>
          <cell r="G351">
            <v>1.40276</v>
          </cell>
          <cell r="H351">
            <v>-1.18049</v>
          </cell>
        </row>
        <row r="352">
          <cell r="A352" t="str">
            <v>GRMZM2G125991</v>
          </cell>
          <cell r="B352" t="str">
            <v>GO:0005975GO:0004553</v>
          </cell>
          <cell r="C352" t="str">
            <v>endoglucanase 1 precursor</v>
          </cell>
          <cell r="D352" t="str">
            <v>BT0</v>
          </cell>
          <cell r="E352" t="str">
            <v>BT6</v>
          </cell>
          <cell r="F352">
            <v>1.2364299999999999</v>
          </cell>
          <cell r="G352">
            <v>0.58885799999999999</v>
          </cell>
          <cell r="H352">
            <v>-1.07019</v>
          </cell>
        </row>
        <row r="353">
          <cell r="A353" t="str">
            <v>GRMZM2G099297</v>
          </cell>
          <cell r="B353" t="str">
            <v>GO:0008171</v>
          </cell>
          <cell r="C353" t="str">
            <v>o-methyltransferase zrp4</v>
          </cell>
          <cell r="D353" t="str">
            <v>BT0</v>
          </cell>
          <cell r="E353" t="str">
            <v>BT6</v>
          </cell>
          <cell r="F353">
            <v>0.26356299999999999</v>
          </cell>
          <cell r="G353">
            <v>1.0223100000000001</v>
          </cell>
          <cell r="H353">
            <v>1.9556199999999999</v>
          </cell>
        </row>
        <row r="354">
          <cell r="A354" t="str">
            <v>GRMZM2G139293</v>
          </cell>
          <cell r="B354" t="str">
            <v>NA</v>
          </cell>
          <cell r="C354" t="str">
            <v>protein</v>
          </cell>
          <cell r="D354" t="str">
            <v>BT0</v>
          </cell>
          <cell r="E354" t="str">
            <v>BT6</v>
          </cell>
          <cell r="F354">
            <v>42.276699999999998</v>
          </cell>
          <cell r="G354">
            <v>20.500800000000002</v>
          </cell>
          <cell r="H354">
            <v>-1.0441800000000001</v>
          </cell>
        </row>
        <row r="355">
          <cell r="A355" t="str">
            <v>GRMZM2G126765</v>
          </cell>
          <cell r="B355" t="str">
            <v>GO:0016311GO:0004725</v>
          </cell>
          <cell r="C355" t="str">
            <v>tyrosine specific protein phosphatase family protein</v>
          </cell>
          <cell r="D355" t="str">
            <v>BT0</v>
          </cell>
          <cell r="E355" t="str">
            <v>BT6</v>
          </cell>
          <cell r="F355">
            <v>2.8664800000000001</v>
          </cell>
          <cell r="G355">
            <v>1.1098699999999999</v>
          </cell>
          <cell r="H355">
            <v>-1.3688899999999999</v>
          </cell>
        </row>
        <row r="356">
          <cell r="A356" t="str">
            <v>GRMZM2G428027</v>
          </cell>
          <cell r="B356" t="str">
            <v>GO:0050660GO:0020037GO:0003677GO:0030151GO:0042128GO:0005665GO:0006366GO:0046857GO:0055114GO:0009055</v>
          </cell>
          <cell r="C356" t="str">
            <v>nitrate reductase</v>
          </cell>
          <cell r="D356" t="str">
            <v>BT0</v>
          </cell>
          <cell r="E356" t="str">
            <v>BT6</v>
          </cell>
          <cell r="F356">
            <v>1.0845199999999999</v>
          </cell>
          <cell r="G356">
            <v>4.25976</v>
          </cell>
          <cell r="H356">
            <v>1.9737199999999999</v>
          </cell>
        </row>
        <row r="357">
          <cell r="A357" t="str">
            <v>GRMZM2G475683</v>
          </cell>
          <cell r="B357" t="str">
            <v>NA</v>
          </cell>
          <cell r="C357" t="str">
            <v>saur12 - auxin-responsive saur family member</v>
          </cell>
          <cell r="D357" t="str">
            <v>BT0</v>
          </cell>
          <cell r="E357" t="str">
            <v>BT6</v>
          </cell>
          <cell r="F357">
            <v>2.34761</v>
          </cell>
          <cell r="G357">
            <v>4.8894399999999996</v>
          </cell>
          <cell r="H357">
            <v>1.0584800000000001</v>
          </cell>
        </row>
        <row r="358">
          <cell r="A358" t="str">
            <v>GRMZM2G040548</v>
          </cell>
          <cell r="B358" t="str">
            <v>NA</v>
          </cell>
          <cell r="C358" t="str">
            <v>hypothetical protein</v>
          </cell>
          <cell r="D358" t="str">
            <v>BT0</v>
          </cell>
          <cell r="E358" t="str">
            <v>BT6</v>
          </cell>
          <cell r="F358">
            <v>1.20248</v>
          </cell>
          <cell r="G358">
            <v>0.50843099999999997</v>
          </cell>
          <cell r="H358">
            <v>-1.2418899999999999</v>
          </cell>
        </row>
        <row r="359">
          <cell r="A359" t="str">
            <v>GRMZM2G001953</v>
          </cell>
          <cell r="B359" t="str">
            <v>GO:0006886GO:0003924GO:0006913GO:0005622GO:0005515GO:0007264GO:0005525</v>
          </cell>
          <cell r="C359" t="str">
            <v>small gtp-binding protein ac3</v>
          </cell>
          <cell r="D359" t="str">
            <v>BT0</v>
          </cell>
          <cell r="E359" t="str">
            <v>BT6</v>
          </cell>
          <cell r="F359">
            <v>1.6105</v>
          </cell>
          <cell r="G359">
            <v>0.59039799999999998</v>
          </cell>
          <cell r="H359">
            <v>-1.4477500000000001</v>
          </cell>
        </row>
        <row r="360">
          <cell r="A360" t="str">
            <v>AC190885.4_FG006</v>
          </cell>
          <cell r="B360" t="str">
            <v>NA</v>
          </cell>
          <cell r="C360" t="str">
            <v>NA</v>
          </cell>
          <cell r="D360" t="str">
            <v>BT0</v>
          </cell>
          <cell r="E360" t="str">
            <v>BT6</v>
          </cell>
          <cell r="F360">
            <v>2.3543799999999999</v>
          </cell>
          <cell r="G360">
            <v>5.1345700000000001</v>
          </cell>
          <cell r="H360">
            <v>1.1249</v>
          </cell>
        </row>
        <row r="361">
          <cell r="A361" t="str">
            <v>GRMZM2G055507</v>
          </cell>
          <cell r="B361" t="str">
            <v>GO:0003852GO:0009098</v>
          </cell>
          <cell r="C361" t="str">
            <v>2-isopropylmalate synthase b</v>
          </cell>
          <cell r="D361" t="str">
            <v>BT0</v>
          </cell>
          <cell r="E361" t="str">
            <v>BT6</v>
          </cell>
          <cell r="F361">
            <v>12.7011</v>
          </cell>
          <cell r="G361">
            <v>28.064499999999999</v>
          </cell>
          <cell r="H361">
            <v>1.1437900000000001</v>
          </cell>
        </row>
        <row r="362">
          <cell r="A362" t="str">
            <v>GRMZM2G166218</v>
          </cell>
          <cell r="B362" t="str">
            <v>GO:0016021GO:0007186GO:0005199</v>
          </cell>
          <cell r="C362" t="str">
            <v>pollen ole e 1 allergen and extensin family protein</v>
          </cell>
          <cell r="D362" t="str">
            <v>BT0</v>
          </cell>
          <cell r="E362" t="str">
            <v>BT6</v>
          </cell>
          <cell r="F362">
            <v>10.074400000000001</v>
          </cell>
          <cell r="G362">
            <v>30.608599999999999</v>
          </cell>
          <cell r="H362">
            <v>1.60324</v>
          </cell>
        </row>
        <row r="363">
          <cell r="A363" t="str">
            <v>GRMZM2G097297</v>
          </cell>
          <cell r="B363" t="str">
            <v>GO:0046983GO:0008171</v>
          </cell>
          <cell r="C363" t="str">
            <v>o-methyltransferase zrp4</v>
          </cell>
          <cell r="D363" t="str">
            <v>BT0</v>
          </cell>
          <cell r="E363" t="str">
            <v>BT6</v>
          </cell>
          <cell r="F363">
            <v>0.45652500000000001</v>
          </cell>
          <cell r="G363">
            <v>0.98660599999999998</v>
          </cell>
          <cell r="H363">
            <v>1.11178</v>
          </cell>
        </row>
        <row r="364">
          <cell r="A364" t="str">
            <v>GRMZM2G100754</v>
          </cell>
          <cell r="B364" t="str">
            <v>GO:0046983GO:0008171</v>
          </cell>
          <cell r="C364" t="str">
            <v>o-methyltransferase zrp4</v>
          </cell>
          <cell r="D364" t="str">
            <v>BT0</v>
          </cell>
          <cell r="E364" t="str">
            <v>BT6</v>
          </cell>
          <cell r="F364">
            <v>0.94239200000000001</v>
          </cell>
          <cell r="G364">
            <v>1.98386</v>
          </cell>
          <cell r="H364">
            <v>1.0739099999999999</v>
          </cell>
        </row>
        <row r="365">
          <cell r="A365" t="str">
            <v>GRMZM2G050307</v>
          </cell>
          <cell r="B365" t="str">
            <v>GO:0008168</v>
          </cell>
          <cell r="C365" t="str">
            <v>salicylate o-methyltransferase-like</v>
          </cell>
          <cell r="D365" t="str">
            <v>BT0</v>
          </cell>
          <cell r="E365" t="str">
            <v>BT6</v>
          </cell>
          <cell r="F365">
            <v>25.067900000000002</v>
          </cell>
          <cell r="G365">
            <v>92.595399999999998</v>
          </cell>
          <cell r="H365">
            <v>1.8851</v>
          </cell>
        </row>
        <row r="366">
          <cell r="A366" t="str">
            <v>GRMZM2G071478</v>
          </cell>
          <cell r="B366" t="str">
            <v>GO:0006468GO:0016998GO:0004674GO:0004336GO:0004713GO:0006683GO:0005524</v>
          </cell>
          <cell r="C366" t="str">
            <v>probable receptor-like protein kinase at1g49730-like</v>
          </cell>
          <cell r="D366" t="str">
            <v>BT0</v>
          </cell>
          <cell r="E366" t="str">
            <v>BT6</v>
          </cell>
          <cell r="F366">
            <v>2.7837900000000002</v>
          </cell>
          <cell r="G366">
            <v>1.38131</v>
          </cell>
          <cell r="H366">
            <v>-1.01101</v>
          </cell>
        </row>
        <row r="367">
          <cell r="A367" t="str">
            <v>GRMZM2G118312</v>
          </cell>
          <cell r="B367" t="str">
            <v>GO:0008107GO:0016020GO:0042546</v>
          </cell>
          <cell r="C367" t="str">
            <v>galactoside 2-alpha-l-fucosyltransferase</v>
          </cell>
          <cell r="D367" t="str">
            <v>BT0</v>
          </cell>
          <cell r="E367" t="str">
            <v>BT6</v>
          </cell>
          <cell r="F367">
            <v>1.2992600000000001</v>
          </cell>
          <cell r="G367">
            <v>3.2368700000000001</v>
          </cell>
          <cell r="H367">
            <v>1.31691</v>
          </cell>
        </row>
        <row r="368">
          <cell r="A368" t="str">
            <v>GRMZM5G843584</v>
          </cell>
          <cell r="B368" t="str">
            <v>NA</v>
          </cell>
          <cell r="C368" t="str">
            <v>uncharacterized protein LOC100384657</v>
          </cell>
          <cell r="D368" t="str">
            <v>BT0</v>
          </cell>
          <cell r="E368" t="str">
            <v>BT6</v>
          </cell>
          <cell r="F368">
            <v>1.7931999999999999</v>
          </cell>
          <cell r="G368">
            <v>0.864815</v>
          </cell>
          <cell r="H368">
            <v>-1.0520799999999999</v>
          </cell>
        </row>
        <row r="369">
          <cell r="A369" t="str">
            <v>GRMZM2G027640</v>
          </cell>
          <cell r="B369" t="str">
            <v>NA</v>
          </cell>
          <cell r="C369" t="str">
            <v>lil3 protein</v>
          </cell>
          <cell r="D369" t="str">
            <v>BT0</v>
          </cell>
          <cell r="E369" t="str">
            <v>BT6</v>
          </cell>
          <cell r="F369">
            <v>6.8998400000000002</v>
          </cell>
          <cell r="G369">
            <v>2.92455</v>
          </cell>
          <cell r="H369">
            <v>-1.2383500000000001</v>
          </cell>
        </row>
        <row r="370">
          <cell r="A370" t="str">
            <v>GRMZM2G010044</v>
          </cell>
          <cell r="B370" t="str">
            <v>GO:0008652GO:0016836GO:0051539</v>
          </cell>
          <cell r="C370" t="str">
            <v>3-isopropylmalate dehydratase</v>
          </cell>
          <cell r="D370" t="str">
            <v>BT0</v>
          </cell>
          <cell r="E370" t="str">
            <v>BT6</v>
          </cell>
          <cell r="F370">
            <v>70.599400000000003</v>
          </cell>
          <cell r="G370">
            <v>386.38200000000001</v>
          </cell>
          <cell r="H370">
            <v>2.4523000000000001</v>
          </cell>
        </row>
        <row r="371">
          <cell r="A371" t="str">
            <v>CYP71C2</v>
          </cell>
          <cell r="B371" t="str">
            <v>NA</v>
          </cell>
          <cell r="C371" t="str">
            <v>NA</v>
          </cell>
          <cell r="D371" t="str">
            <v>BT0</v>
          </cell>
          <cell r="E371" t="str">
            <v>BT6</v>
          </cell>
          <cell r="F371">
            <v>273.91300000000001</v>
          </cell>
          <cell r="G371">
            <v>105.904</v>
          </cell>
          <cell r="H371">
            <v>-1.3709499999999999</v>
          </cell>
        </row>
        <row r="372">
          <cell r="A372" t="str">
            <v>GRMZM2G371063</v>
          </cell>
          <cell r="B372" t="str">
            <v>GO:0045454GO:0015035GO:0009055</v>
          </cell>
          <cell r="C372" t="str">
            <v>glutaredoxin-like family protein</v>
          </cell>
          <cell r="D372" t="str">
            <v>BT0</v>
          </cell>
          <cell r="E372" t="str">
            <v>BT6</v>
          </cell>
          <cell r="F372">
            <v>10.6051</v>
          </cell>
          <cell r="G372">
            <v>25.576000000000001</v>
          </cell>
          <cell r="H372">
            <v>1.27003</v>
          </cell>
        </row>
        <row r="373">
          <cell r="A373" t="str">
            <v>GRMZM2G122498</v>
          </cell>
          <cell r="B373" t="str">
            <v>GO:0004497GO:0020037GO:0009055</v>
          </cell>
          <cell r="C373" t="str">
            <v>cytochrome p450 99a2-like</v>
          </cell>
          <cell r="D373" t="str">
            <v>BT0</v>
          </cell>
          <cell r="E373" t="str">
            <v>BT6</v>
          </cell>
          <cell r="F373">
            <v>0.57677999999999996</v>
          </cell>
          <cell r="G373">
            <v>1.2845800000000001</v>
          </cell>
          <cell r="H373">
            <v>1.1552</v>
          </cell>
        </row>
        <row r="374">
          <cell r="A374" t="str">
            <v>GRMZM2G359581</v>
          </cell>
          <cell r="B374" t="str">
            <v>NA</v>
          </cell>
          <cell r="C374" t="str">
            <v>tpa: cystatin</v>
          </cell>
          <cell r="D374" t="str">
            <v>BT0</v>
          </cell>
          <cell r="E374" t="str">
            <v>BT6</v>
          </cell>
          <cell r="F374">
            <v>4.5272600000000001</v>
          </cell>
          <cell r="G374">
            <v>20.1816</v>
          </cell>
          <cell r="H374">
            <v>2.1563300000000001</v>
          </cell>
        </row>
        <row r="375">
          <cell r="A375" t="str">
            <v>GRMZM2G312061</v>
          </cell>
          <cell r="B375" t="str">
            <v>GO:0004869</v>
          </cell>
          <cell r="C375" t="str">
            <v>cysteine proteinase inhibitor</v>
          </cell>
          <cell r="D375" t="str">
            <v>BT0</v>
          </cell>
          <cell r="E375" t="str">
            <v>BT6</v>
          </cell>
          <cell r="F375">
            <v>2.2469299999999999</v>
          </cell>
          <cell r="G375">
            <v>7.4943900000000001</v>
          </cell>
          <cell r="H375">
            <v>1.7378499999999999</v>
          </cell>
        </row>
        <row r="376">
          <cell r="A376" t="str">
            <v>AC204611.4_FG001</v>
          </cell>
          <cell r="B376" t="str">
            <v>NA</v>
          </cell>
          <cell r="C376" t="str">
            <v>NA</v>
          </cell>
          <cell r="D376" t="str">
            <v>BT0</v>
          </cell>
          <cell r="E376" t="str">
            <v>BT6</v>
          </cell>
          <cell r="F376">
            <v>0.33421000000000001</v>
          </cell>
          <cell r="G376">
            <v>0.96025700000000003</v>
          </cell>
          <cell r="H376">
            <v>1.52267</v>
          </cell>
        </row>
        <row r="377">
          <cell r="A377" t="str">
            <v>GRMZM2G070639</v>
          </cell>
          <cell r="B377" t="str">
            <v>GO:0005634GO:0000785GO:0003677</v>
          </cell>
          <cell r="C377" t="str">
            <v>kinesin-like protein</v>
          </cell>
          <cell r="D377" t="str">
            <v>BT0</v>
          </cell>
          <cell r="E377" t="str">
            <v>BT6</v>
          </cell>
          <cell r="F377">
            <v>0.52139899999999995</v>
          </cell>
          <cell r="G377">
            <v>1.06105</v>
          </cell>
          <cell r="H377">
            <v>1.02504</v>
          </cell>
        </row>
        <row r="378">
          <cell r="A378" t="str">
            <v>GRMZM2G092432</v>
          </cell>
          <cell r="B378" t="str">
            <v>GO:0016597GO:0008152</v>
          </cell>
          <cell r="C378" t="str">
            <v>act domain-containing protein</v>
          </cell>
          <cell r="D378" t="str">
            <v>BT0</v>
          </cell>
          <cell r="E378" t="str">
            <v>BT6</v>
          </cell>
          <cell r="F378">
            <v>2.1012900000000001</v>
          </cell>
          <cell r="G378">
            <v>0.58864000000000005</v>
          </cell>
          <cell r="H378">
            <v>-1.83582</v>
          </cell>
        </row>
        <row r="379">
          <cell r="A379" t="str">
            <v>GRMZM2G121494</v>
          </cell>
          <cell r="B379" t="str">
            <v>NA</v>
          </cell>
          <cell r="C379" t="str">
            <v>protein proton gradient regulation</v>
          </cell>
          <cell r="D379" t="str">
            <v>BT0</v>
          </cell>
          <cell r="E379" t="str">
            <v>BT6</v>
          </cell>
          <cell r="F379">
            <v>15.3147</v>
          </cell>
          <cell r="G379">
            <v>34.961599999999997</v>
          </cell>
          <cell r="H379">
            <v>1.19086</v>
          </cell>
        </row>
        <row r="380">
          <cell r="A380" t="str">
            <v>GRMZM2G121928</v>
          </cell>
          <cell r="B380" t="str">
            <v>GO:0016020GO:0016301GO:0051260GO:0005524GO:0008152</v>
          </cell>
          <cell r="C380" t="str">
            <v>NA</v>
          </cell>
          <cell r="D380" t="str">
            <v>BT0</v>
          </cell>
          <cell r="E380" t="str">
            <v>BT6</v>
          </cell>
          <cell r="F380">
            <v>8.3787299999999991</v>
          </cell>
          <cell r="G380">
            <v>1.5503100000000001</v>
          </cell>
          <cell r="H380">
            <v>-2.4341699999999999</v>
          </cell>
        </row>
        <row r="381">
          <cell r="A381" t="str">
            <v>GRMZM2G073079</v>
          </cell>
          <cell r="B381" t="str">
            <v>GO:0016787</v>
          </cell>
          <cell r="C381" t="str">
            <v>endo- -beta-d-glucanase precursor</v>
          </cell>
          <cell r="D381" t="str">
            <v>BT0</v>
          </cell>
          <cell r="E381" t="str">
            <v>BT6</v>
          </cell>
          <cell r="F381">
            <v>3.4403600000000001</v>
          </cell>
          <cell r="G381">
            <v>1.19842</v>
          </cell>
          <cell r="H381">
            <v>-1.52142</v>
          </cell>
        </row>
        <row r="382">
          <cell r="A382" t="str">
            <v>AC198937.4_FG003</v>
          </cell>
          <cell r="B382" t="str">
            <v>GO:0004106GO:0009073</v>
          </cell>
          <cell r="C382" t="str">
            <v>NA</v>
          </cell>
          <cell r="D382" t="str">
            <v>BT0</v>
          </cell>
          <cell r="E382" t="str">
            <v>BT6</v>
          </cell>
          <cell r="F382">
            <v>0.86006499999999997</v>
          </cell>
          <cell r="G382">
            <v>2.2614800000000002</v>
          </cell>
          <cell r="H382">
            <v>1.3947499999999999</v>
          </cell>
        </row>
        <row r="383">
          <cell r="A383" t="str">
            <v>GRMZM2G089698</v>
          </cell>
          <cell r="B383" t="str">
            <v>GO:0016747</v>
          </cell>
          <cell r="C383" t="str">
            <v>anthranilate n-benzoyltransferase protein 1</v>
          </cell>
          <cell r="D383" t="str">
            <v>BT0</v>
          </cell>
          <cell r="E383" t="str">
            <v>BT6</v>
          </cell>
          <cell r="F383">
            <v>4.4676499999999999</v>
          </cell>
          <cell r="G383">
            <v>2.1991999999999998</v>
          </cell>
          <cell r="H383">
            <v>-1.02254</v>
          </cell>
        </row>
        <row r="384">
          <cell r="A384" t="str">
            <v>GRMZM2G047167</v>
          </cell>
          <cell r="B384" t="str">
            <v>GO:0008270GO:0005515</v>
          </cell>
          <cell r="C384" t="str">
            <v>protein binding protein</v>
          </cell>
          <cell r="D384" t="str">
            <v>BT0</v>
          </cell>
          <cell r="E384" t="str">
            <v>BT6</v>
          </cell>
          <cell r="F384">
            <v>1.0299199999999999</v>
          </cell>
          <cell r="G384">
            <v>0.494751</v>
          </cell>
          <cell r="H384">
            <v>-1.05776</v>
          </cell>
        </row>
        <row r="385">
          <cell r="A385" t="str">
            <v>GRMZM2G118766</v>
          </cell>
          <cell r="B385" t="str">
            <v>GO:0005199</v>
          </cell>
          <cell r="C385" t="str">
            <v>embryo sac development arrest 6 protein</v>
          </cell>
          <cell r="D385" t="str">
            <v>BT0</v>
          </cell>
          <cell r="E385" t="str">
            <v>BT6</v>
          </cell>
          <cell r="F385">
            <v>1.4215899999999999</v>
          </cell>
          <cell r="G385">
            <v>0.635162</v>
          </cell>
          <cell r="H385">
            <v>-1.16231</v>
          </cell>
        </row>
        <row r="386">
          <cell r="A386" t="str">
            <v>GRMZM2G127857</v>
          </cell>
          <cell r="B386" t="str">
            <v>GO:0003677</v>
          </cell>
          <cell r="C386" t="str">
            <v>myb-related protein myb4-like</v>
          </cell>
          <cell r="D386" t="str">
            <v>BT0</v>
          </cell>
          <cell r="E386" t="str">
            <v>BT6</v>
          </cell>
          <cell r="F386">
            <v>4.9769500000000004</v>
          </cell>
          <cell r="G386">
            <v>2.3850099999999999</v>
          </cell>
          <cell r="H386">
            <v>-1.0612699999999999</v>
          </cell>
        </row>
        <row r="387">
          <cell r="A387" t="str">
            <v>GRMZM2G038243</v>
          </cell>
          <cell r="B387" t="str">
            <v>GO:0050660GO:0016491</v>
          </cell>
          <cell r="C387" t="str">
            <v>transferase family protein</v>
          </cell>
          <cell r="D387" t="str">
            <v>BT0</v>
          </cell>
          <cell r="E387" t="str">
            <v>BT6</v>
          </cell>
          <cell r="F387">
            <v>2.9726400000000002</v>
          </cell>
          <cell r="G387">
            <v>6.5485100000000003</v>
          </cell>
          <cell r="H387">
            <v>1.1394200000000001</v>
          </cell>
        </row>
        <row r="388">
          <cell r="A388" t="str">
            <v>GRMZM2G028438</v>
          </cell>
          <cell r="B388" t="str">
            <v>GO:0050825GO:0042309GO:0050826</v>
          </cell>
          <cell r="C388" t="str">
            <v>gras family transcription factor</v>
          </cell>
          <cell r="D388" t="str">
            <v>BT0</v>
          </cell>
          <cell r="E388" t="str">
            <v>BT6</v>
          </cell>
          <cell r="F388">
            <v>4.9004899999999996</v>
          </cell>
          <cell r="G388">
            <v>2.4414600000000002</v>
          </cell>
          <cell r="H388">
            <v>-1.00518</v>
          </cell>
        </row>
        <row r="389">
          <cell r="A389" t="str">
            <v>GRMZM2G134023</v>
          </cell>
          <cell r="B389" t="str">
            <v>GO:0008270GO:0005515</v>
          </cell>
          <cell r="C389" t="str">
            <v>ring-h2 finger protein atl2l</v>
          </cell>
          <cell r="D389" t="str">
            <v>BT0</v>
          </cell>
          <cell r="E389" t="str">
            <v>BT6</v>
          </cell>
          <cell r="F389">
            <v>5.0696899999999996</v>
          </cell>
          <cell r="G389">
            <v>2.4751099999999999</v>
          </cell>
          <cell r="H389">
            <v>-1.0344</v>
          </cell>
        </row>
        <row r="390">
          <cell r="A390" t="str">
            <v>GRMZM2G156472</v>
          </cell>
          <cell r="B390" t="str">
            <v>NA</v>
          </cell>
          <cell r="C390" t="str">
            <v>pentatricopeptide repeat-containing protein</v>
          </cell>
          <cell r="D390" t="str">
            <v>BT0</v>
          </cell>
          <cell r="E390" t="str">
            <v>BT6</v>
          </cell>
          <cell r="F390">
            <v>6.4315300000000004</v>
          </cell>
          <cell r="G390">
            <v>13.305099999999999</v>
          </cell>
          <cell r="H390">
            <v>1.0487500000000001</v>
          </cell>
        </row>
        <row r="391">
          <cell r="A391" t="str">
            <v>GRMZM2G309847</v>
          </cell>
          <cell r="B391" t="str">
            <v>NA</v>
          </cell>
          <cell r="C391" t="str">
            <v>NA</v>
          </cell>
          <cell r="D391" t="str">
            <v>BT0</v>
          </cell>
          <cell r="E391" t="str">
            <v>BT6</v>
          </cell>
          <cell r="F391">
            <v>4.11571</v>
          </cell>
          <cell r="G391">
            <v>1.57751</v>
          </cell>
          <cell r="H391">
            <v>-1.3834900000000001</v>
          </cell>
        </row>
        <row r="392">
          <cell r="A392" t="str">
            <v>GRMZM2G007729</v>
          </cell>
          <cell r="B392" t="str">
            <v>NA</v>
          </cell>
          <cell r="C392" t="str">
            <v>heat-shock protein</v>
          </cell>
          <cell r="D392" t="str">
            <v>BT0</v>
          </cell>
          <cell r="E392" t="str">
            <v>BT6</v>
          </cell>
          <cell r="F392">
            <v>2.8349899999999999</v>
          </cell>
          <cell r="G392">
            <v>1.2095899999999999</v>
          </cell>
          <cell r="H392">
            <v>-1.2288300000000001</v>
          </cell>
        </row>
        <row r="393">
          <cell r="A393" t="str">
            <v>GRMZM2G080079</v>
          </cell>
          <cell r="B393" t="str">
            <v>GO:0005247GO:0006821GO:0016020GO:0008270GO:0005515</v>
          </cell>
          <cell r="C393" t="str">
            <v>ring-h2 finger protein atl1q</v>
          </cell>
          <cell r="D393" t="str">
            <v>BT0</v>
          </cell>
          <cell r="E393" t="str">
            <v>BT6</v>
          </cell>
          <cell r="F393">
            <v>9.3573799999999991</v>
          </cell>
          <cell r="G393">
            <v>2.46454</v>
          </cell>
          <cell r="H393">
            <v>-1.9247799999999999</v>
          </cell>
        </row>
        <row r="394">
          <cell r="A394" t="str">
            <v>GRMZM2G025989</v>
          </cell>
          <cell r="B394" t="str">
            <v>NA</v>
          </cell>
          <cell r="C394" t="str">
            <v>lob domain-containing protein 12-like</v>
          </cell>
          <cell r="D394" t="str">
            <v>BT0</v>
          </cell>
          <cell r="E394" t="str">
            <v>BT6</v>
          </cell>
          <cell r="F394">
            <v>2.7395299999999998</v>
          </cell>
          <cell r="G394">
            <v>1.2310099999999999</v>
          </cell>
          <cell r="H394">
            <v>-1.1540900000000001</v>
          </cell>
        </row>
        <row r="395">
          <cell r="A395" t="str">
            <v>GRMZM2G132880</v>
          </cell>
          <cell r="B395" t="str">
            <v>NA</v>
          </cell>
          <cell r="C395" t="str">
            <v>terminal flower 1</v>
          </cell>
          <cell r="D395" t="str">
            <v>BT0</v>
          </cell>
          <cell r="E395" t="str">
            <v>BT6</v>
          </cell>
          <cell r="F395">
            <v>3.9423400000000002</v>
          </cell>
          <cell r="G395">
            <v>0</v>
          </cell>
          <cell r="H395" t="str">
            <v>BD</v>
          </cell>
        </row>
        <row r="396">
          <cell r="A396" t="str">
            <v>GRMZM2G157481</v>
          </cell>
          <cell r="B396" t="str">
            <v>GO:0005515GO:0006915GO:0006464GO:0050825GO:0042309GO:0050826</v>
          </cell>
          <cell r="C396" t="str">
            <v>protein binding protein</v>
          </cell>
          <cell r="D396" t="str">
            <v>BT0</v>
          </cell>
          <cell r="E396" t="str">
            <v>BT6</v>
          </cell>
          <cell r="F396">
            <v>4.0190200000000003</v>
          </cell>
          <cell r="G396">
            <v>1.78376</v>
          </cell>
          <cell r="H396">
            <v>-1.1719200000000001</v>
          </cell>
        </row>
        <row r="397">
          <cell r="A397" t="str">
            <v>GRMZM2G098696</v>
          </cell>
          <cell r="B397" t="str">
            <v>GO:0003700GO:0006355GO:0005634GO:0043565</v>
          </cell>
          <cell r="C397" t="str">
            <v>heat shock factor protein 7</v>
          </cell>
          <cell r="D397" t="str">
            <v>BT0</v>
          </cell>
          <cell r="E397" t="str">
            <v>BT6</v>
          </cell>
          <cell r="F397">
            <v>8.2590800000000009</v>
          </cell>
          <cell r="G397">
            <v>3.90273</v>
          </cell>
          <cell r="H397">
            <v>-1.0814999999999999</v>
          </cell>
        </row>
        <row r="398">
          <cell r="A398" t="str">
            <v>GRMZM2G164781</v>
          </cell>
          <cell r="B398" t="str">
            <v>NA</v>
          </cell>
          <cell r="C398" t="str">
            <v>unknown</v>
          </cell>
          <cell r="D398" t="str">
            <v>BT0</v>
          </cell>
          <cell r="E398" t="str">
            <v>BT6</v>
          </cell>
          <cell r="F398">
            <v>2.3878300000000001</v>
          </cell>
          <cell r="G398">
            <v>1.18574</v>
          </cell>
          <cell r="H398">
            <v>-1.0099100000000001</v>
          </cell>
        </row>
        <row r="399">
          <cell r="A399" t="str">
            <v>GRMZM2G034024</v>
          </cell>
          <cell r="B399" t="str">
            <v>NA</v>
          </cell>
          <cell r="C399" t="str">
            <v>uncharacterized protein LOC100384287</v>
          </cell>
          <cell r="D399" t="str">
            <v>BT0</v>
          </cell>
          <cell r="E399" t="str">
            <v>BT6</v>
          </cell>
          <cell r="F399">
            <v>2.1829100000000001</v>
          </cell>
          <cell r="G399">
            <v>0.61018300000000003</v>
          </cell>
          <cell r="H399">
            <v>-1.83894</v>
          </cell>
        </row>
        <row r="400">
          <cell r="A400" t="str">
            <v>GRMZM2G149739</v>
          </cell>
          <cell r="B400" t="str">
            <v>GO:0050825GO:0042309GO:0050826</v>
          </cell>
          <cell r="C400" t="str">
            <v>hypothetical protein SORBIDRAFT_05g021670</v>
          </cell>
          <cell r="D400" t="str">
            <v>BT0</v>
          </cell>
          <cell r="E400" t="str">
            <v>BT6</v>
          </cell>
          <cell r="F400">
            <v>1.58311</v>
          </cell>
          <cell r="G400">
            <v>3.4241999999999999</v>
          </cell>
          <cell r="H400">
            <v>1.113</v>
          </cell>
        </row>
        <row r="401">
          <cell r="A401" t="str">
            <v>GRMZM2G003411</v>
          </cell>
          <cell r="B401" t="str">
            <v>GO:0016020GO:0016887GO:0005524</v>
          </cell>
          <cell r="C401" t="str">
            <v>pdr-like abc transporter</v>
          </cell>
          <cell r="D401" t="str">
            <v>BT0</v>
          </cell>
          <cell r="E401" t="str">
            <v>BT6</v>
          </cell>
          <cell r="F401">
            <v>0.94500600000000001</v>
          </cell>
          <cell r="G401">
            <v>3.2191399999999999</v>
          </cell>
          <cell r="H401">
            <v>1.7682800000000001</v>
          </cell>
        </row>
        <row r="402">
          <cell r="A402" t="str">
            <v>GRMZM2G363474</v>
          </cell>
          <cell r="B402" t="str">
            <v>NA</v>
          </cell>
          <cell r="C402" t="str">
            <v>protein cypro4-like</v>
          </cell>
          <cell r="D402" t="str">
            <v>BT0</v>
          </cell>
          <cell r="E402" t="str">
            <v>BT6</v>
          </cell>
          <cell r="F402">
            <v>0.43507899999999999</v>
          </cell>
          <cell r="G402">
            <v>0.91546899999999998</v>
          </cell>
          <cell r="H402">
            <v>1.0732299999999999</v>
          </cell>
        </row>
        <row r="403">
          <cell r="A403" t="str">
            <v>GRMZM2G133988</v>
          </cell>
          <cell r="B403" t="str">
            <v>GO:0008152</v>
          </cell>
          <cell r="C403" t="str">
            <v>3-isopropylmalate dehydratase-like</v>
          </cell>
          <cell r="D403" t="str">
            <v>BT0</v>
          </cell>
          <cell r="E403" t="str">
            <v>BT6</v>
          </cell>
          <cell r="F403">
            <v>9.6281999999999996</v>
          </cell>
          <cell r="G403">
            <v>53.067</v>
          </cell>
          <cell r="H403">
            <v>2.4624799999999998</v>
          </cell>
        </row>
        <row r="404">
          <cell r="A404" t="str">
            <v>GRMZM2G313656</v>
          </cell>
          <cell r="B404" t="str">
            <v>GO:0050825GO:0042309GO:0050826</v>
          </cell>
          <cell r="C404" t="str">
            <v>sam domain family protein</v>
          </cell>
          <cell r="D404" t="str">
            <v>BT0</v>
          </cell>
          <cell r="E404" t="str">
            <v>BT6</v>
          </cell>
          <cell r="F404">
            <v>1.72109</v>
          </cell>
          <cell r="G404">
            <v>0.85789899999999997</v>
          </cell>
          <cell r="H404">
            <v>-1.00444</v>
          </cell>
        </row>
        <row r="405">
          <cell r="A405" t="str">
            <v>GRMZM2G003014</v>
          </cell>
          <cell r="B405" t="str">
            <v>NA</v>
          </cell>
          <cell r="C405" t="str">
            <v>nucleotide-diphospho-sugar transferases superfamily protein</v>
          </cell>
          <cell r="D405" t="str">
            <v>BT0</v>
          </cell>
          <cell r="E405" t="str">
            <v>BT6</v>
          </cell>
          <cell r="F405">
            <v>0</v>
          </cell>
          <cell r="G405">
            <v>1.69197</v>
          </cell>
          <cell r="H405" t="str">
            <v>BD</v>
          </cell>
        </row>
        <row r="406">
          <cell r="A406" t="str">
            <v>GRMZM2G129150</v>
          </cell>
          <cell r="B406" t="str">
            <v>GO:0008270GO:0005515</v>
          </cell>
          <cell r="C406" t="str">
            <v>ring finger protein 5</v>
          </cell>
          <cell r="D406" t="str">
            <v>BT0</v>
          </cell>
          <cell r="E406" t="str">
            <v>BT6</v>
          </cell>
          <cell r="F406">
            <v>1.3846499999999999</v>
          </cell>
          <cell r="G406">
            <v>3.0305499999999999</v>
          </cell>
          <cell r="H406">
            <v>1.1300600000000001</v>
          </cell>
        </row>
        <row r="407">
          <cell r="A407" t="str">
            <v>GRMZM2G100412</v>
          </cell>
          <cell r="B407" t="str">
            <v>GO:0004497GO:0020037GO:0009055</v>
          </cell>
          <cell r="C407" t="str">
            <v>cytochrome p450 87a3-like</v>
          </cell>
          <cell r="D407" t="str">
            <v>BT0</v>
          </cell>
          <cell r="E407" t="str">
            <v>BT6</v>
          </cell>
          <cell r="F407">
            <v>7.9981600000000004</v>
          </cell>
          <cell r="G407">
            <v>1.15232</v>
          </cell>
          <cell r="H407">
            <v>-2.7951299999999999</v>
          </cell>
        </row>
        <row r="408">
          <cell r="A408" t="str">
            <v>GRMZM2G001724</v>
          </cell>
          <cell r="B408" t="str">
            <v>GO:0016021</v>
          </cell>
          <cell r="C408" t="str">
            <v>peroxisomal membrane</v>
          </cell>
          <cell r="D408" t="str">
            <v>BT0</v>
          </cell>
          <cell r="E408" t="str">
            <v>BT6</v>
          </cell>
          <cell r="F408">
            <v>40.3874</v>
          </cell>
          <cell r="G408">
            <v>96.847099999999998</v>
          </cell>
          <cell r="H408">
            <v>1.2618</v>
          </cell>
        </row>
        <row r="409">
          <cell r="A409" t="str">
            <v>AC197764.4_FG003</v>
          </cell>
          <cell r="B409" t="str">
            <v>NA</v>
          </cell>
          <cell r="C409" t="str">
            <v>NA</v>
          </cell>
          <cell r="D409" t="str">
            <v>BT0</v>
          </cell>
          <cell r="E409" t="str">
            <v>BT6</v>
          </cell>
          <cell r="F409">
            <v>7.6719099999999996</v>
          </cell>
          <cell r="G409">
            <v>2.2728299999999999</v>
          </cell>
          <cell r="H409">
            <v>-1.7551000000000001</v>
          </cell>
        </row>
        <row r="410">
          <cell r="A410" t="str">
            <v>GRMZM2G427729</v>
          </cell>
          <cell r="B410" t="str">
            <v>GO:0006629</v>
          </cell>
          <cell r="C410" t="str">
            <v>protein</v>
          </cell>
          <cell r="D410" t="str">
            <v>BT0</v>
          </cell>
          <cell r="E410" t="str">
            <v>BT6</v>
          </cell>
          <cell r="F410">
            <v>0.49564200000000003</v>
          </cell>
          <cell r="G410">
            <v>1.0002899999999999</v>
          </cell>
          <cell r="H410">
            <v>1.01305</v>
          </cell>
        </row>
        <row r="411">
          <cell r="A411" t="str">
            <v>GRMZM2G089836</v>
          </cell>
          <cell r="B411" t="str">
            <v>GO:0005975GO:0015232GO:0015886GO:0016020GO:0017004GO:0004553</v>
          </cell>
          <cell r="C411" t="str">
            <v>soluble acid invertase</v>
          </cell>
          <cell r="D411" t="str">
            <v>BT0</v>
          </cell>
          <cell r="E411" t="str">
            <v>BT6</v>
          </cell>
          <cell r="F411">
            <v>39.311999999999998</v>
          </cell>
          <cell r="G411">
            <v>14.004200000000001</v>
          </cell>
          <cell r="H411">
            <v>-1.4891099999999999</v>
          </cell>
        </row>
        <row r="412">
          <cell r="A412" t="str">
            <v>GRMZM2G074896</v>
          </cell>
          <cell r="B412" t="str">
            <v>GO:0016757</v>
          </cell>
          <cell r="C412" t="str">
            <v>glycosyltransferase</v>
          </cell>
          <cell r="D412" t="str">
            <v>BT0</v>
          </cell>
          <cell r="E412" t="str">
            <v>BT6</v>
          </cell>
          <cell r="F412">
            <v>7.4388699999999996</v>
          </cell>
          <cell r="G412">
            <v>2.8691</v>
          </cell>
          <cell r="H412">
            <v>-1.3744799999999999</v>
          </cell>
        </row>
        <row r="413">
          <cell r="A413" t="str">
            <v>GRMZM5G899308</v>
          </cell>
          <cell r="B413" t="str">
            <v>NA</v>
          </cell>
          <cell r="C413" t="str">
            <v>uncharacterized protein LOC100384155</v>
          </cell>
          <cell r="D413" t="str">
            <v>BT0</v>
          </cell>
          <cell r="E413" t="str">
            <v>BT6</v>
          </cell>
          <cell r="F413">
            <v>27.835999999999999</v>
          </cell>
          <cell r="G413">
            <v>13.081099999999999</v>
          </cell>
          <cell r="H413">
            <v>-1.0894699999999999</v>
          </cell>
        </row>
        <row r="414">
          <cell r="A414" t="str">
            <v>GRMZM5G805485</v>
          </cell>
          <cell r="B414" t="str">
            <v>NA</v>
          </cell>
          <cell r="C414" t="str">
            <v>leucine-rich repeat extensin-like protein 1-like</v>
          </cell>
          <cell r="D414" t="str">
            <v>BT0</v>
          </cell>
          <cell r="E414" t="str">
            <v>BT6</v>
          </cell>
          <cell r="F414">
            <v>1.3088900000000001</v>
          </cell>
          <cell r="G414">
            <v>0.55152999999999996</v>
          </cell>
          <cell r="H414">
            <v>-1.2468300000000001</v>
          </cell>
        </row>
        <row r="415">
          <cell r="A415" t="str">
            <v>GRMZM2G388420</v>
          </cell>
          <cell r="B415" t="str">
            <v>NA</v>
          </cell>
          <cell r="C415" t="str">
            <v>protein</v>
          </cell>
          <cell r="D415" t="str">
            <v>BT0</v>
          </cell>
          <cell r="E415" t="str">
            <v>BT6</v>
          </cell>
          <cell r="F415">
            <v>4.8729699999999996</v>
          </cell>
          <cell r="G415">
            <v>12.3597</v>
          </cell>
          <cell r="H415">
            <v>1.34277</v>
          </cell>
        </row>
        <row r="416">
          <cell r="A416" t="str">
            <v>GRMZM2G022181</v>
          </cell>
          <cell r="B416" t="str">
            <v>NA</v>
          </cell>
          <cell r="C416" t="str">
            <v>hypothetical protein SORBIDRAFT_04g005000</v>
          </cell>
          <cell r="D416" t="str">
            <v>BT0</v>
          </cell>
          <cell r="E416" t="str">
            <v>BT6</v>
          </cell>
          <cell r="F416">
            <v>2.0388500000000001</v>
          </cell>
          <cell r="G416">
            <v>8.7523499999999999</v>
          </cell>
          <cell r="H416">
            <v>2.1019199999999998</v>
          </cell>
        </row>
        <row r="417">
          <cell r="A417" t="str">
            <v>GRMZM2G083526</v>
          </cell>
          <cell r="B417" t="str">
            <v>GO:0006633GO:0005506GO:0005783GO:0055114GO:0016491</v>
          </cell>
          <cell r="C417" t="str">
            <v>protein wax2-like isoform 1</v>
          </cell>
          <cell r="D417" t="str">
            <v>BT0</v>
          </cell>
          <cell r="E417" t="str">
            <v>BT6</v>
          </cell>
          <cell r="F417">
            <v>30.337499999999999</v>
          </cell>
          <cell r="G417">
            <v>63.146000000000001</v>
          </cell>
          <cell r="H417">
            <v>1.05759</v>
          </cell>
        </row>
        <row r="418">
          <cell r="A418" t="str">
            <v>GRMZM2G346133</v>
          </cell>
          <cell r="B418" t="str">
            <v>GO:0007017GO:0005875GO:0003777</v>
          </cell>
          <cell r="C418" t="str">
            <v>dynein light chain flagellar outer arm</v>
          </cell>
          <cell r="D418" t="str">
            <v>BT0</v>
          </cell>
          <cell r="E418" t="str">
            <v>BT6</v>
          </cell>
          <cell r="F418">
            <v>230.04300000000001</v>
          </cell>
          <cell r="G418">
            <v>114.30200000000001</v>
          </cell>
          <cell r="H418">
            <v>-1.0090600000000001</v>
          </cell>
        </row>
        <row r="419">
          <cell r="A419" t="str">
            <v>AC214771.3_FG003</v>
          </cell>
          <cell r="B419" t="str">
            <v>NA</v>
          </cell>
          <cell r="C419" t="str">
            <v>NA</v>
          </cell>
          <cell r="D419" t="str">
            <v>BT0</v>
          </cell>
          <cell r="E419" t="str">
            <v>BT6</v>
          </cell>
          <cell r="F419">
            <v>1.47828</v>
          </cell>
          <cell r="G419">
            <v>0.54596500000000003</v>
          </cell>
          <cell r="H419">
            <v>-1.43703</v>
          </cell>
        </row>
        <row r="420">
          <cell r="A420" t="str">
            <v>GRMZM2G366910</v>
          </cell>
          <cell r="B420" t="str">
            <v>NA</v>
          </cell>
          <cell r="C420" t="str">
            <v>NA</v>
          </cell>
          <cell r="D420" t="str">
            <v>BT0</v>
          </cell>
          <cell r="E420" t="str">
            <v>BT6</v>
          </cell>
          <cell r="F420">
            <v>10.4472</v>
          </cell>
          <cell r="G420">
            <v>2.3680500000000002</v>
          </cell>
          <cell r="H420">
            <v>-2.14134</v>
          </cell>
        </row>
        <row r="421">
          <cell r="A421" t="str">
            <v>GRMZM2G412604</v>
          </cell>
          <cell r="B421" t="str">
            <v>GO:0008483GO:0009058GO:0006520GO:0016847GO:0030170</v>
          </cell>
          <cell r="C421" t="str">
            <v>nicotianamine aminotransferase</v>
          </cell>
          <cell r="D421" t="str">
            <v>BT0</v>
          </cell>
          <cell r="E421" t="str">
            <v>BT6</v>
          </cell>
          <cell r="F421">
            <v>28.745100000000001</v>
          </cell>
          <cell r="G421">
            <v>12.4398</v>
          </cell>
          <cell r="H421">
            <v>-1.20835</v>
          </cell>
        </row>
        <row r="422">
          <cell r="A422" t="str">
            <v>GRMZM2G024561</v>
          </cell>
          <cell r="B422" t="str">
            <v>NA</v>
          </cell>
          <cell r="C422" t="str">
            <v>glucan endo- -beta-glucosidase 4 precursor</v>
          </cell>
          <cell r="D422" t="str">
            <v>BT0</v>
          </cell>
          <cell r="E422" t="str">
            <v>BT6</v>
          </cell>
          <cell r="F422">
            <v>1.1596200000000001</v>
          </cell>
          <cell r="G422">
            <v>4.3821399999999997</v>
          </cell>
          <cell r="H422">
            <v>1.9179900000000001</v>
          </cell>
        </row>
        <row r="423">
          <cell r="A423" t="str">
            <v>GRMZM2G115480</v>
          </cell>
          <cell r="B423" t="str">
            <v>NA</v>
          </cell>
          <cell r="C423" t="str">
            <v>af446877_1 at3g52740 f3c22_140</v>
          </cell>
          <cell r="D423" t="str">
            <v>BT0</v>
          </cell>
          <cell r="E423" t="str">
            <v>BT6</v>
          </cell>
          <cell r="F423">
            <v>0.73051600000000005</v>
          </cell>
          <cell r="G423">
            <v>1.46706</v>
          </cell>
          <cell r="H423">
            <v>1.0059400000000001</v>
          </cell>
        </row>
        <row r="424">
          <cell r="A424" t="str">
            <v>GRMZM2G176307</v>
          </cell>
          <cell r="B424" t="str">
            <v>GO:0006813GO:0051287GO:0006006GO:0008324GO:0004365</v>
          </cell>
          <cell r="C424" t="str">
            <v>glyceraldehyde-3-phosphate dehydrogenase</v>
          </cell>
          <cell r="D424" t="str">
            <v>BT0</v>
          </cell>
          <cell r="E424" t="str">
            <v>BT6</v>
          </cell>
          <cell r="F424">
            <v>2.2288199999999998</v>
          </cell>
          <cell r="G424">
            <v>5.5218600000000002</v>
          </cell>
          <cell r="H424">
            <v>1.30888</v>
          </cell>
        </row>
        <row r="425">
          <cell r="A425" t="str">
            <v>GRMZM5G840002</v>
          </cell>
          <cell r="B425" t="str">
            <v>NA</v>
          </cell>
          <cell r="C425" t="str">
            <v>3-isopropylmalate small subunit</v>
          </cell>
          <cell r="D425" t="str">
            <v>BT0</v>
          </cell>
          <cell r="E425" t="str">
            <v>BT6</v>
          </cell>
          <cell r="F425">
            <v>145.02500000000001</v>
          </cell>
          <cell r="G425">
            <v>598.78399999999999</v>
          </cell>
          <cell r="H425">
            <v>2.0457299999999998</v>
          </cell>
        </row>
        <row r="426">
          <cell r="A426" t="str">
            <v>GRMZM2G060919</v>
          </cell>
          <cell r="B426" t="str">
            <v>GO:0005634</v>
          </cell>
          <cell r="C426" t="str">
            <v>jumonji domain protein</v>
          </cell>
          <cell r="D426" t="str">
            <v>BT0</v>
          </cell>
          <cell r="E426" t="str">
            <v>BT6</v>
          </cell>
          <cell r="F426">
            <v>0.82825099999999996</v>
          </cell>
          <cell r="G426">
            <v>0.320627</v>
          </cell>
          <cell r="H426">
            <v>-1.36917</v>
          </cell>
        </row>
        <row r="427">
          <cell r="A427" t="str">
            <v>GRMZM2G170602</v>
          </cell>
          <cell r="B427" t="str">
            <v>GO:0051287GO:0016616GO:0008152</v>
          </cell>
          <cell r="C427" t="str">
            <v>formate mitochondrial precursor</v>
          </cell>
          <cell r="D427" t="str">
            <v>BT0</v>
          </cell>
          <cell r="E427" t="str">
            <v>BT6</v>
          </cell>
          <cell r="F427">
            <v>2.33358</v>
          </cell>
          <cell r="G427">
            <v>9.2895699999999994</v>
          </cell>
          <cell r="H427">
            <v>1.9930600000000001</v>
          </cell>
        </row>
        <row r="428">
          <cell r="A428" t="str">
            <v>GRMZM2G180920</v>
          </cell>
          <cell r="B428" t="str">
            <v>NA</v>
          </cell>
          <cell r="C428" t="str">
            <v>protein</v>
          </cell>
          <cell r="D428" t="str">
            <v>BT0</v>
          </cell>
          <cell r="E428" t="str">
            <v>BT6</v>
          </cell>
          <cell r="F428">
            <v>16.711200000000002</v>
          </cell>
          <cell r="G428">
            <v>8.2843300000000006</v>
          </cell>
          <cell r="H428">
            <v>-1.0123599999999999</v>
          </cell>
        </row>
        <row r="429">
          <cell r="A429" t="str">
            <v>GRMZM2G075562</v>
          </cell>
          <cell r="B429" t="str">
            <v>GO:0008270GO:0005622</v>
          </cell>
          <cell r="C429" t="str">
            <v>zinc finger protein constans-like 9-like</v>
          </cell>
          <cell r="D429" t="str">
            <v>BT0</v>
          </cell>
          <cell r="E429" t="str">
            <v>BT6</v>
          </cell>
          <cell r="F429">
            <v>36.3626</v>
          </cell>
          <cell r="G429">
            <v>17.866</v>
          </cell>
          <cell r="H429">
            <v>-1.0252399999999999</v>
          </cell>
        </row>
        <row r="430">
          <cell r="A430" t="str">
            <v>GRMZM2G468299</v>
          </cell>
          <cell r="B430" t="str">
            <v>GO:0004674GO:0006468GO:0004713GO:0005524</v>
          </cell>
          <cell r="C430" t="str">
            <v>protein kinase g11a</v>
          </cell>
          <cell r="D430" t="str">
            <v>BT0</v>
          </cell>
          <cell r="E430" t="str">
            <v>BT6</v>
          </cell>
          <cell r="F430">
            <v>1.08673</v>
          </cell>
          <cell r="G430">
            <v>0.37110799999999999</v>
          </cell>
          <cell r="H430">
            <v>-1.5500799999999999</v>
          </cell>
        </row>
        <row r="431">
          <cell r="A431" t="str">
            <v>GRMZM2G055150</v>
          </cell>
          <cell r="B431" t="str">
            <v>GO:0003824GO:0005992</v>
          </cell>
          <cell r="C431" t="str">
            <v>trehalose-phosphate phosphatase-like</v>
          </cell>
          <cell r="D431" t="str">
            <v>BT0</v>
          </cell>
          <cell r="E431" t="str">
            <v>BT6</v>
          </cell>
          <cell r="F431">
            <v>0.83784499999999995</v>
          </cell>
          <cell r="G431">
            <v>2.4750800000000002</v>
          </cell>
          <cell r="H431">
            <v>1.5627200000000001</v>
          </cell>
        </row>
        <row r="432">
          <cell r="A432" t="str">
            <v>GRMZM5G847230</v>
          </cell>
          <cell r="B432" t="str">
            <v>NA</v>
          </cell>
          <cell r="C432" t="str">
            <v>NA</v>
          </cell>
          <cell r="D432" t="str">
            <v>BT0</v>
          </cell>
          <cell r="E432" t="str">
            <v>BT6</v>
          </cell>
          <cell r="F432">
            <v>6.05091</v>
          </cell>
          <cell r="G432">
            <v>2.8128099999999998</v>
          </cell>
          <cell r="H432">
            <v>-1.10514</v>
          </cell>
        </row>
        <row r="433">
          <cell r="A433" t="str">
            <v>AC190636.3_FG005</v>
          </cell>
          <cell r="B433" t="str">
            <v>GO:0016491</v>
          </cell>
          <cell r="C433" t="str">
            <v>NA</v>
          </cell>
          <cell r="D433" t="str">
            <v>BT0</v>
          </cell>
          <cell r="E433" t="str">
            <v>BT6</v>
          </cell>
          <cell r="F433">
            <v>1.7057899999999999</v>
          </cell>
          <cell r="G433">
            <v>0.69972699999999999</v>
          </cell>
          <cell r="H433">
            <v>-1.2855799999999999</v>
          </cell>
        </row>
        <row r="434">
          <cell r="A434" t="str">
            <v>GRMZM2G313481</v>
          </cell>
          <cell r="B434" t="str">
            <v>GO:0045449GO:0003677</v>
          </cell>
          <cell r="C434" t="str">
            <v>regulatory protein</v>
          </cell>
          <cell r="D434" t="str">
            <v>BT0</v>
          </cell>
          <cell r="E434" t="str">
            <v>BT6</v>
          </cell>
          <cell r="F434">
            <v>3.46069</v>
          </cell>
          <cell r="G434">
            <v>1.4502600000000001</v>
          </cell>
          <cell r="H434">
            <v>-1.25475</v>
          </cell>
        </row>
        <row r="435">
          <cell r="A435" t="str">
            <v>GRMZM5G839640</v>
          </cell>
          <cell r="B435" t="str">
            <v>NA</v>
          </cell>
          <cell r="C435" t="str">
            <v>verprolin precursor</v>
          </cell>
          <cell r="D435" t="str">
            <v>BT0</v>
          </cell>
          <cell r="E435" t="str">
            <v>BT6</v>
          </cell>
          <cell r="F435">
            <v>9.6047999999999991</v>
          </cell>
          <cell r="G435">
            <v>37.364400000000003</v>
          </cell>
          <cell r="H435">
            <v>1.95984</v>
          </cell>
        </row>
        <row r="436">
          <cell r="A436" t="str">
            <v>GRMZM2G312069</v>
          </cell>
          <cell r="B436" t="str">
            <v>GO:0004497GO:0020037GO:0009055</v>
          </cell>
          <cell r="C436" t="str">
            <v>cytochrome p450</v>
          </cell>
          <cell r="D436" t="str">
            <v>BT0</v>
          </cell>
          <cell r="E436" t="str">
            <v>BT6</v>
          </cell>
          <cell r="F436">
            <v>1.31301</v>
          </cell>
          <cell r="G436">
            <v>2.63123</v>
          </cell>
          <cell r="H436">
            <v>1.0028600000000001</v>
          </cell>
        </row>
        <row r="437">
          <cell r="A437" t="str">
            <v>GRMZM2G317614</v>
          </cell>
          <cell r="B437" t="str">
            <v>NA</v>
          </cell>
          <cell r="C437" t="str">
            <v>protein</v>
          </cell>
          <cell r="D437" t="str">
            <v>BT0</v>
          </cell>
          <cell r="E437" t="str">
            <v>BT6</v>
          </cell>
          <cell r="F437">
            <v>3.3123100000000001</v>
          </cell>
          <cell r="G437">
            <v>1.1816800000000001</v>
          </cell>
          <cell r="H437">
            <v>-1.4870000000000001</v>
          </cell>
        </row>
        <row r="438">
          <cell r="A438" t="str">
            <v>GRMZM2G157172</v>
          </cell>
          <cell r="B438" t="str">
            <v>GO:0008202</v>
          </cell>
          <cell r="C438" t="str">
            <v>osbp(oxysterol binding protein)-related protein 1c</v>
          </cell>
          <cell r="D438" t="str">
            <v>BT0</v>
          </cell>
          <cell r="E438" t="str">
            <v>BT6</v>
          </cell>
          <cell r="F438">
            <v>1.37477</v>
          </cell>
          <cell r="G438">
            <v>0.66997099999999998</v>
          </cell>
          <cell r="H438">
            <v>-1.0370200000000001</v>
          </cell>
        </row>
        <row r="439">
          <cell r="A439" t="str">
            <v>GRMZM2G102760</v>
          </cell>
          <cell r="B439" t="str">
            <v>GO:0005506GO:0016165GO:0009055</v>
          </cell>
          <cell r="C439" t="str">
            <v>lipoxygenase</v>
          </cell>
          <cell r="D439" t="str">
            <v>BT0</v>
          </cell>
          <cell r="E439" t="str">
            <v>BT6</v>
          </cell>
          <cell r="F439">
            <v>25.295500000000001</v>
          </cell>
          <cell r="G439">
            <v>11.281499999999999</v>
          </cell>
          <cell r="H439">
            <v>-1.16493</v>
          </cell>
        </row>
        <row r="440">
          <cell r="A440" t="str">
            <v>GRMZM2G018336</v>
          </cell>
          <cell r="B440" t="str">
            <v>GO:0006355GO:0005634GO:0004879GO:0003677</v>
          </cell>
          <cell r="C440" t="str">
            <v>dna-binding protein rav1</v>
          </cell>
          <cell r="D440" t="str">
            <v>BT0</v>
          </cell>
          <cell r="E440" t="str">
            <v>BT6</v>
          </cell>
          <cell r="F440">
            <v>2.5925099999999999</v>
          </cell>
          <cell r="G440">
            <v>1.14975</v>
          </cell>
          <cell r="H440">
            <v>-1.17303</v>
          </cell>
        </row>
        <row r="441">
          <cell r="A441" t="str">
            <v>GRMZM2G133895</v>
          </cell>
          <cell r="B441" t="str">
            <v>NA</v>
          </cell>
          <cell r="C441" t="str">
            <v>f-box protein</v>
          </cell>
          <cell r="D441" t="str">
            <v>BT0</v>
          </cell>
          <cell r="E441" t="str">
            <v>BT6</v>
          </cell>
          <cell r="F441">
            <v>1.3046599999999999</v>
          </cell>
          <cell r="G441">
            <v>0.43444700000000003</v>
          </cell>
          <cell r="H441">
            <v>-1.5864199999999999</v>
          </cell>
        </row>
        <row r="442">
          <cell r="A442" t="str">
            <v>GRMZM2G080183</v>
          </cell>
          <cell r="B442" t="str">
            <v>GO:0004601GO:0006979GO:0020037GO:0009055</v>
          </cell>
          <cell r="C442" t="str">
            <v>peroxidase 16-like</v>
          </cell>
          <cell r="D442" t="str">
            <v>BT0</v>
          </cell>
          <cell r="E442" t="str">
            <v>BT6</v>
          </cell>
          <cell r="F442">
            <v>2.7762600000000002</v>
          </cell>
          <cell r="G442">
            <v>1.0380400000000001</v>
          </cell>
          <cell r="H442">
            <v>-1.4192800000000001</v>
          </cell>
        </row>
        <row r="443">
          <cell r="A443" t="str">
            <v>GRMZM2G166944</v>
          </cell>
          <cell r="B443" t="str">
            <v>GO:0005618GO:0048046GO:0016762GO:0006073GO:0004553</v>
          </cell>
          <cell r="C443" t="str">
            <v>xyloglucan endotransglycosylase</v>
          </cell>
          <cell r="D443" t="str">
            <v>BT0</v>
          </cell>
          <cell r="E443" t="str">
            <v>BT6</v>
          </cell>
          <cell r="F443">
            <v>15.4168</v>
          </cell>
          <cell r="G443">
            <v>3.8514400000000002</v>
          </cell>
          <cell r="H443">
            <v>-2.0010300000000001</v>
          </cell>
        </row>
        <row r="444">
          <cell r="A444" t="str">
            <v>GRMZM2G050450</v>
          </cell>
          <cell r="B444" t="str">
            <v>GO:0016747</v>
          </cell>
          <cell r="C444" t="str">
            <v>benzyl alcohol o-benzoyltransferase-like</v>
          </cell>
          <cell r="D444" t="str">
            <v>BT0</v>
          </cell>
          <cell r="E444" t="str">
            <v>BT6</v>
          </cell>
          <cell r="F444">
            <v>1.3626799999999999</v>
          </cell>
          <cell r="G444">
            <v>3.8300700000000001</v>
          </cell>
          <cell r="H444">
            <v>1.49092</v>
          </cell>
        </row>
        <row r="445">
          <cell r="A445" t="str">
            <v>GRMZM2G067350</v>
          </cell>
          <cell r="B445" t="str">
            <v>NA</v>
          </cell>
          <cell r="C445" t="str">
            <v>4 1 protein</v>
          </cell>
          <cell r="D445" t="str">
            <v>BT0</v>
          </cell>
          <cell r="E445" t="str">
            <v>BT6</v>
          </cell>
          <cell r="F445">
            <v>1.5114399999999999</v>
          </cell>
          <cell r="G445">
            <v>3.85886</v>
          </cell>
          <cell r="H445">
            <v>1.35225</v>
          </cell>
        </row>
        <row r="446">
          <cell r="A446" t="str">
            <v>GRMZM2G085513</v>
          </cell>
          <cell r="B446" t="str">
            <v>NA</v>
          </cell>
          <cell r="C446" t="str">
            <v>cdc2 protein kinases-like</v>
          </cell>
          <cell r="D446" t="str">
            <v>BT0</v>
          </cell>
          <cell r="E446" t="str">
            <v>BT6</v>
          </cell>
          <cell r="F446">
            <v>2.2369500000000002</v>
          </cell>
          <cell r="G446">
            <v>0.70762199999999997</v>
          </cell>
          <cell r="H446">
            <v>-1.66048</v>
          </cell>
        </row>
        <row r="447">
          <cell r="A447" t="str">
            <v>GRMZM2G148052</v>
          </cell>
          <cell r="B447" t="str">
            <v>GO:0004497GO:0020037GO:0009055</v>
          </cell>
          <cell r="C447" t="str">
            <v>cytochrome p450</v>
          </cell>
          <cell r="D447" t="str">
            <v>BT0</v>
          </cell>
          <cell r="E447" t="str">
            <v>BT6</v>
          </cell>
          <cell r="F447">
            <v>1.5314300000000001</v>
          </cell>
          <cell r="G447">
            <v>3.5863299999999998</v>
          </cell>
          <cell r="H447">
            <v>1.22763</v>
          </cell>
        </row>
        <row r="448">
          <cell r="A448" t="str">
            <v>GRMZM2G452633</v>
          </cell>
          <cell r="B448" t="str">
            <v>NA</v>
          </cell>
          <cell r="C448" t="str">
            <v>tpx2 (targeting protein for xklp2) protein family</v>
          </cell>
          <cell r="D448" t="str">
            <v>BT0</v>
          </cell>
          <cell r="E448" t="str">
            <v>BT6</v>
          </cell>
          <cell r="F448">
            <v>2.0831900000000001</v>
          </cell>
          <cell r="G448">
            <v>0.70018999999999998</v>
          </cell>
          <cell r="H448">
            <v>-1.57298</v>
          </cell>
        </row>
        <row r="449">
          <cell r="A449" t="str">
            <v>GRMZM2G063162</v>
          </cell>
          <cell r="B449" t="str">
            <v>GO:0006915GO:0005515</v>
          </cell>
          <cell r="C449" t="str">
            <v>protein</v>
          </cell>
          <cell r="D449" t="str">
            <v>BT0</v>
          </cell>
          <cell r="E449" t="str">
            <v>BT6</v>
          </cell>
          <cell r="F449">
            <v>397.41</v>
          </cell>
          <cell r="G449">
            <v>180.297</v>
          </cell>
          <cell r="H449">
            <v>-1.1402600000000001</v>
          </cell>
        </row>
        <row r="450">
          <cell r="A450" t="str">
            <v>GRMZM2G455440</v>
          </cell>
          <cell r="B450" t="str">
            <v>NA</v>
          </cell>
          <cell r="C450" t="str">
            <v>uncharacterized protein LOC100276136</v>
          </cell>
          <cell r="D450" t="str">
            <v>BT0</v>
          </cell>
          <cell r="E450" t="str">
            <v>BT6</v>
          </cell>
          <cell r="F450">
            <v>22.814599999999999</v>
          </cell>
          <cell r="G450">
            <v>7.4643600000000001</v>
          </cell>
          <cell r="H450">
            <v>-1.6118699999999999</v>
          </cell>
        </row>
        <row r="451">
          <cell r="A451" t="str">
            <v>GRMZM2G018820</v>
          </cell>
          <cell r="B451" t="str">
            <v>GO:0006071GO:0006629GO:0008889</v>
          </cell>
          <cell r="C451" t="str">
            <v>glycerophosphodiester phosphodiesterase 2</v>
          </cell>
          <cell r="D451" t="str">
            <v>BT0</v>
          </cell>
          <cell r="E451" t="str">
            <v>BT6</v>
          </cell>
          <cell r="F451">
            <v>62.06</v>
          </cell>
          <cell r="G451">
            <v>22.997699999999998</v>
          </cell>
          <cell r="H451">
            <v>-1.4321699999999999</v>
          </cell>
        </row>
        <row r="452">
          <cell r="A452" t="str">
            <v>GRMZM5G860214</v>
          </cell>
          <cell r="B452" t="str">
            <v>NA</v>
          </cell>
          <cell r="C452" t="str">
            <v>protein</v>
          </cell>
          <cell r="D452" t="str">
            <v>BT0</v>
          </cell>
          <cell r="E452" t="str">
            <v>BT6</v>
          </cell>
          <cell r="F452">
            <v>2.2034600000000002</v>
          </cell>
          <cell r="G452">
            <v>4.7262000000000004</v>
          </cell>
          <cell r="H452">
            <v>1.1009100000000001</v>
          </cell>
        </row>
        <row r="453">
          <cell r="A453" t="str">
            <v>GRMZM2G074017</v>
          </cell>
          <cell r="B453" t="str">
            <v>NA</v>
          </cell>
          <cell r="C453" t="str">
            <v>atpase inhibitor</v>
          </cell>
          <cell r="D453" t="str">
            <v>BT0</v>
          </cell>
          <cell r="E453" t="str">
            <v>BT6</v>
          </cell>
          <cell r="F453">
            <v>59.829799999999999</v>
          </cell>
          <cell r="G453">
            <v>190.53700000000001</v>
          </cell>
          <cell r="H453">
            <v>1.67113</v>
          </cell>
        </row>
        <row r="454">
          <cell r="A454" t="str">
            <v>GRMZM2G041141</v>
          </cell>
          <cell r="B454" t="str">
            <v>NA</v>
          </cell>
          <cell r="C454" t="str">
            <v>u-box domain-containing protein 26</v>
          </cell>
          <cell r="D454" t="str">
            <v>BT0</v>
          </cell>
          <cell r="E454" t="str">
            <v>BT6</v>
          </cell>
          <cell r="F454">
            <v>1.65584</v>
          </cell>
          <cell r="G454">
            <v>0.72424699999999997</v>
          </cell>
          <cell r="H454">
            <v>-1.1930099999999999</v>
          </cell>
        </row>
        <row r="455">
          <cell r="A455" t="str">
            <v>GRMZM5G839518</v>
          </cell>
          <cell r="B455" t="str">
            <v>NA</v>
          </cell>
          <cell r="C455" t="str">
            <v>bhlh transcription factor ptf1</v>
          </cell>
          <cell r="D455" t="str">
            <v>BT0</v>
          </cell>
          <cell r="E455" t="str">
            <v>BT6</v>
          </cell>
          <cell r="F455">
            <v>6.0875300000000001</v>
          </cell>
          <cell r="G455">
            <v>1.87673</v>
          </cell>
          <cell r="H455">
            <v>-1.69764</v>
          </cell>
        </row>
        <row r="456">
          <cell r="A456" t="str">
            <v>GRMZM2G146380</v>
          </cell>
          <cell r="B456" t="str">
            <v>GO:0045449GO:0003677GO:0050825GO:0042309GO:0050826</v>
          </cell>
          <cell r="C456" t="str">
            <v>nac domain protein nac5</v>
          </cell>
          <cell r="D456" t="str">
            <v>BT0</v>
          </cell>
          <cell r="E456" t="str">
            <v>BT6</v>
          </cell>
          <cell r="F456">
            <v>8.7713300000000007</v>
          </cell>
          <cell r="G456">
            <v>3.9013399999999998</v>
          </cell>
          <cell r="H456">
            <v>-1.16883</v>
          </cell>
        </row>
        <row r="457">
          <cell r="A457" t="str">
            <v>GRMZM2G056988</v>
          </cell>
          <cell r="B457" t="str">
            <v>GO:0031072GO:0006457GO:0051082</v>
          </cell>
          <cell r="C457" t="str">
            <v>dnaj protein</v>
          </cell>
          <cell r="D457" t="str">
            <v>BT0</v>
          </cell>
          <cell r="E457" t="str">
            <v>BT6</v>
          </cell>
          <cell r="F457">
            <v>6.6232800000000003</v>
          </cell>
          <cell r="G457">
            <v>2.3896000000000002</v>
          </cell>
          <cell r="H457">
            <v>-1.47078</v>
          </cell>
        </row>
        <row r="458">
          <cell r="A458" t="str">
            <v>GRMZM2G095904</v>
          </cell>
          <cell r="B458" t="str">
            <v>GO:0003677</v>
          </cell>
          <cell r="C458" t="str">
            <v>transcription factor myb39</v>
          </cell>
          <cell r="D458" t="str">
            <v>BT0</v>
          </cell>
          <cell r="E458" t="str">
            <v>BT6</v>
          </cell>
          <cell r="F458">
            <v>1.67675</v>
          </cell>
          <cell r="G458">
            <v>0.484346</v>
          </cell>
          <cell r="H458">
            <v>-1.79155</v>
          </cell>
        </row>
        <row r="459">
          <cell r="A459" t="str">
            <v>GRMZM2G074604</v>
          </cell>
          <cell r="B459" t="str">
            <v>GO:0005737GO:0009058GO:0016841GO:0016211GO:0006559</v>
          </cell>
          <cell r="C459" t="str">
            <v>phenylalanine ammonia-lyase</v>
          </cell>
          <cell r="D459" t="str">
            <v>BT0</v>
          </cell>
          <cell r="E459" t="str">
            <v>BT6</v>
          </cell>
          <cell r="F459">
            <v>123.59699999999999</v>
          </cell>
          <cell r="G459">
            <v>61.182899999999997</v>
          </cell>
          <cell r="H459">
            <v>-1.01444</v>
          </cell>
        </row>
        <row r="460">
          <cell r="A460" t="str">
            <v>GRMZM2G057386</v>
          </cell>
          <cell r="B460" t="str">
            <v>GO:0003700GO:0006355</v>
          </cell>
          <cell r="C460" t="str">
            <v>ethylene responsive element binding factor 5</v>
          </cell>
          <cell r="D460" t="str">
            <v>BT0</v>
          </cell>
          <cell r="E460" t="str">
            <v>BT6</v>
          </cell>
          <cell r="F460">
            <v>1.02461</v>
          </cell>
          <cell r="G460">
            <v>2.5386000000000002</v>
          </cell>
          <cell r="H460">
            <v>1.3089500000000001</v>
          </cell>
        </row>
        <row r="461">
          <cell r="A461" t="str">
            <v>GRMZM2G112244</v>
          </cell>
          <cell r="B461" t="str">
            <v>GO:0006813GO:0016021GO:0051260GO:0005249</v>
          </cell>
          <cell r="C461" t="str">
            <v>uncharacterized protein LOC100381739 precursor</v>
          </cell>
          <cell r="D461" t="str">
            <v>BT0</v>
          </cell>
          <cell r="E461" t="str">
            <v>BT6</v>
          </cell>
          <cell r="F461">
            <v>21.617899999999999</v>
          </cell>
          <cell r="G461">
            <v>43.520499999999998</v>
          </cell>
          <cell r="H461">
            <v>1.0094700000000001</v>
          </cell>
        </row>
        <row r="462">
          <cell r="A462" t="str">
            <v>GRMZM2G045154</v>
          </cell>
          <cell r="B462" t="str">
            <v>NA</v>
          </cell>
          <cell r="C462" t="str">
            <v>pentatricopeptide repeat-containing protein</v>
          </cell>
          <cell r="D462" t="str">
            <v>BT0</v>
          </cell>
          <cell r="E462" t="str">
            <v>BT6</v>
          </cell>
          <cell r="F462">
            <v>1.6618299999999999</v>
          </cell>
          <cell r="G462">
            <v>4.3582700000000001</v>
          </cell>
          <cell r="H462">
            <v>1.3909899999999999</v>
          </cell>
        </row>
        <row r="463">
          <cell r="A463" t="str">
            <v>GRMZM2G150363</v>
          </cell>
          <cell r="B463" t="str">
            <v>GO:0009428GO:0001539GO:0030288GO:0005198</v>
          </cell>
          <cell r="C463" t="str">
            <v>carotenoid cleavage dioxygenase 4</v>
          </cell>
          <cell r="D463" t="str">
            <v>BT0</v>
          </cell>
          <cell r="E463" t="str">
            <v>BT6</v>
          </cell>
          <cell r="F463">
            <v>35.938899999999997</v>
          </cell>
          <cell r="G463">
            <v>90.701599999999999</v>
          </cell>
          <cell r="H463">
            <v>1.33558</v>
          </cell>
        </row>
        <row r="464">
          <cell r="A464" t="str">
            <v>GRMZM2G164912</v>
          </cell>
          <cell r="B464" t="str">
            <v>GO:0050825GO:0042309GO:0050826</v>
          </cell>
          <cell r="C464" t="str">
            <v>unknown</v>
          </cell>
          <cell r="D464" t="str">
            <v>BT0</v>
          </cell>
          <cell r="E464" t="str">
            <v>BT6</v>
          </cell>
          <cell r="F464">
            <v>1.82142</v>
          </cell>
          <cell r="G464">
            <v>0.82530700000000001</v>
          </cell>
          <cell r="H464">
            <v>-1.1420600000000001</v>
          </cell>
        </row>
        <row r="465">
          <cell r="A465" t="str">
            <v>GRMZM2G059496</v>
          </cell>
          <cell r="B465" t="str">
            <v>NA</v>
          </cell>
          <cell r="C465" t="str">
            <v>uncharacterized protein LOC100382284</v>
          </cell>
          <cell r="D465" t="str">
            <v>BT0</v>
          </cell>
          <cell r="E465" t="str">
            <v>BT6</v>
          </cell>
          <cell r="F465">
            <v>5.3973699999999996</v>
          </cell>
          <cell r="G465">
            <v>1.42554</v>
          </cell>
          <cell r="H465">
            <v>-1.92075</v>
          </cell>
        </row>
        <row r="466">
          <cell r="A466" t="str">
            <v>GRMZM5G878558</v>
          </cell>
          <cell r="B466" t="str">
            <v>NA</v>
          </cell>
          <cell r="C466" t="str">
            <v>nitrate reductase</v>
          </cell>
          <cell r="D466" t="str">
            <v>BT0</v>
          </cell>
          <cell r="E466" t="str">
            <v>BT6</v>
          </cell>
          <cell r="F466">
            <v>1.0208299999999999</v>
          </cell>
          <cell r="G466">
            <v>4.6105</v>
          </cell>
          <cell r="H466">
            <v>2.17517</v>
          </cell>
        </row>
        <row r="467">
          <cell r="A467" t="str">
            <v>GRMZM2G034404</v>
          </cell>
          <cell r="B467" t="str">
            <v>GO:0016597GO:0008152</v>
          </cell>
          <cell r="C467" t="str">
            <v>act domain-containing protein</v>
          </cell>
          <cell r="D467" t="str">
            <v>BT0</v>
          </cell>
          <cell r="E467" t="str">
            <v>BT6</v>
          </cell>
          <cell r="F467">
            <v>1.76406</v>
          </cell>
          <cell r="G467">
            <v>0.86770099999999994</v>
          </cell>
          <cell r="H467">
            <v>-1.02363</v>
          </cell>
        </row>
        <row r="468">
          <cell r="A468" t="str">
            <v>AC205362.4_FG002</v>
          </cell>
          <cell r="B468" t="str">
            <v>NA</v>
          </cell>
          <cell r="C468" t="str">
            <v>NA</v>
          </cell>
          <cell r="D468" t="str">
            <v>BT0</v>
          </cell>
          <cell r="E468" t="str">
            <v>BT6</v>
          </cell>
          <cell r="F468">
            <v>9.5863499999999995</v>
          </cell>
          <cell r="G468">
            <v>25.397500000000001</v>
          </cell>
          <cell r="H468">
            <v>1.4056299999999999</v>
          </cell>
        </row>
        <row r="469">
          <cell r="A469" t="str">
            <v>GRMZM2G099619</v>
          </cell>
          <cell r="B469" t="str">
            <v>GO:0016020GO:0016887GO:0005524</v>
          </cell>
          <cell r="C469" t="str">
            <v>white-brown-complex abc transporter family</v>
          </cell>
          <cell r="D469" t="str">
            <v>BT0</v>
          </cell>
          <cell r="E469" t="str">
            <v>BT6</v>
          </cell>
          <cell r="F469">
            <v>0.57511199999999996</v>
          </cell>
          <cell r="G469">
            <v>1.4343300000000001</v>
          </cell>
          <cell r="H469">
            <v>1.31846</v>
          </cell>
        </row>
        <row r="470">
          <cell r="A470" t="str">
            <v>GRMZM2G334181</v>
          </cell>
          <cell r="B470" t="str">
            <v>NA</v>
          </cell>
          <cell r="C470" t="str">
            <v>protein</v>
          </cell>
          <cell r="D470" t="str">
            <v>BT0</v>
          </cell>
          <cell r="E470" t="str">
            <v>BT6</v>
          </cell>
          <cell r="F470">
            <v>6.2729999999999997</v>
          </cell>
          <cell r="G470">
            <v>24.3582</v>
          </cell>
          <cell r="H470">
            <v>1.9571799999999999</v>
          </cell>
        </row>
        <row r="471">
          <cell r="A471" t="str">
            <v>GRMZM2G454424</v>
          </cell>
          <cell r="B471" t="str">
            <v>GO:0016020</v>
          </cell>
          <cell r="C471" t="str">
            <v>nodulin-like protein</v>
          </cell>
          <cell r="D471" t="str">
            <v>BT0</v>
          </cell>
          <cell r="E471" t="str">
            <v>BT6</v>
          </cell>
          <cell r="F471">
            <v>0.65553600000000001</v>
          </cell>
          <cell r="G471">
            <v>1.7421500000000001</v>
          </cell>
          <cell r="H471">
            <v>1.41012</v>
          </cell>
        </row>
        <row r="472">
          <cell r="A472" t="str">
            <v>GRMZM2G102737</v>
          </cell>
          <cell r="B472" t="str">
            <v>GO:0016020</v>
          </cell>
          <cell r="C472" t="str">
            <v>nodulin-like protein</v>
          </cell>
          <cell r="D472" t="str">
            <v>BT0</v>
          </cell>
          <cell r="E472" t="str">
            <v>BT6</v>
          </cell>
          <cell r="F472">
            <v>21.859400000000001</v>
          </cell>
          <cell r="G472">
            <v>45.911200000000001</v>
          </cell>
          <cell r="H472">
            <v>1.0705899999999999</v>
          </cell>
        </row>
        <row r="473">
          <cell r="A473" t="str">
            <v>GRMZM2G124815</v>
          </cell>
          <cell r="B473" t="str">
            <v>GO:0016747</v>
          </cell>
          <cell r="C473" t="str">
            <v>uncharacterized acetyltransferase at3g50280-like</v>
          </cell>
          <cell r="D473" t="str">
            <v>BT0</v>
          </cell>
          <cell r="E473" t="str">
            <v>BT6</v>
          </cell>
          <cell r="F473">
            <v>2.4286599999999998</v>
          </cell>
          <cell r="G473">
            <v>1.02867</v>
          </cell>
          <cell r="H473">
            <v>-1.2393799999999999</v>
          </cell>
        </row>
        <row r="474">
          <cell r="A474" t="str">
            <v>GRMZM2G380377</v>
          </cell>
          <cell r="B474" t="str">
            <v>GO:0003700GO:0006355GO:0050825GO:0042309GO:0050826</v>
          </cell>
          <cell r="C474" t="str">
            <v>transcription factor cbf1</v>
          </cell>
          <cell r="D474" t="str">
            <v>BT0</v>
          </cell>
          <cell r="E474" t="str">
            <v>BT6</v>
          </cell>
          <cell r="F474">
            <v>1.78914</v>
          </cell>
          <cell r="G474">
            <v>0.87441500000000005</v>
          </cell>
          <cell r="H474">
            <v>-1.03288</v>
          </cell>
        </row>
        <row r="475">
          <cell r="A475" t="str">
            <v>GRMZM2G091490</v>
          </cell>
          <cell r="B475" t="str">
            <v>GO:0003677GO:0045449GO:0042309GO:0050826GO:0050825GO:0004618GO:0006096</v>
          </cell>
          <cell r="C475" t="str">
            <v>nac domain ipr003441</v>
          </cell>
          <cell r="D475" t="str">
            <v>BT0</v>
          </cell>
          <cell r="E475" t="str">
            <v>BT6</v>
          </cell>
          <cell r="F475">
            <v>2.5004200000000001</v>
          </cell>
          <cell r="G475">
            <v>0.650474</v>
          </cell>
          <cell r="H475">
            <v>-1.9426099999999999</v>
          </cell>
        </row>
        <row r="476">
          <cell r="A476" t="str">
            <v>GRMZM2G056116</v>
          </cell>
          <cell r="B476" t="str">
            <v>NA</v>
          </cell>
          <cell r="C476" t="str">
            <v>pentatricopeptide repeat-containing protein</v>
          </cell>
          <cell r="D476" t="str">
            <v>BT0</v>
          </cell>
          <cell r="E476" t="str">
            <v>BT6</v>
          </cell>
          <cell r="F476">
            <v>1.7181900000000001</v>
          </cell>
          <cell r="G476">
            <v>4.1383900000000002</v>
          </cell>
          <cell r="H476">
            <v>1.2681800000000001</v>
          </cell>
        </row>
        <row r="477">
          <cell r="A477" t="str">
            <v>AC205886.3_FG001</v>
          </cell>
          <cell r="B477" t="str">
            <v>NA</v>
          </cell>
          <cell r="C477" t="str">
            <v>NA</v>
          </cell>
          <cell r="D477" t="str">
            <v>BT0</v>
          </cell>
          <cell r="E477" t="str">
            <v>BT6</v>
          </cell>
          <cell r="F477">
            <v>4.5364699999999996</v>
          </cell>
          <cell r="G477">
            <v>1.4626300000000001</v>
          </cell>
          <cell r="H477">
            <v>-1.6330100000000001</v>
          </cell>
        </row>
        <row r="478">
          <cell r="A478" t="str">
            <v>GRMZM2G349670</v>
          </cell>
          <cell r="B478" t="str">
            <v>NA</v>
          </cell>
          <cell r="C478" t="str">
            <v>NA</v>
          </cell>
          <cell r="D478" t="str">
            <v>BT0</v>
          </cell>
          <cell r="E478" t="str">
            <v>BT6</v>
          </cell>
          <cell r="F478">
            <v>36.808199999999999</v>
          </cell>
          <cell r="G478">
            <v>17.126899999999999</v>
          </cell>
          <cell r="H478">
            <v>-1.1037699999999999</v>
          </cell>
        </row>
        <row r="479">
          <cell r="A479" t="str">
            <v>AC209050.3_FG003</v>
          </cell>
          <cell r="B479" t="str">
            <v>GO:0003700GO:0043565GO:0005634GO:0045449</v>
          </cell>
          <cell r="C479" t="str">
            <v>NA</v>
          </cell>
          <cell r="D479" t="str">
            <v>BT0</v>
          </cell>
          <cell r="E479" t="str">
            <v>BT6</v>
          </cell>
          <cell r="F479">
            <v>5.2603799999999996</v>
          </cell>
          <cell r="G479">
            <v>1.4453800000000001</v>
          </cell>
          <cell r="H479">
            <v>-1.86372</v>
          </cell>
        </row>
        <row r="480">
          <cell r="A480" t="str">
            <v>AC200122.4_FG004</v>
          </cell>
          <cell r="B480" t="str">
            <v>NA</v>
          </cell>
          <cell r="C480" t="str">
            <v>NA</v>
          </cell>
          <cell r="D480" t="str">
            <v>BT0</v>
          </cell>
          <cell r="E480" t="str">
            <v>BT6</v>
          </cell>
          <cell r="F480">
            <v>3.2742</v>
          </cell>
          <cell r="G480">
            <v>6.75474</v>
          </cell>
          <cell r="H480">
            <v>1.0447599999999999</v>
          </cell>
        </row>
        <row r="481">
          <cell r="A481" t="str">
            <v>GRMZM2G012263</v>
          </cell>
          <cell r="B481" t="str">
            <v>GO:0020037GO:0016020GO:0004601GO:0006979GO:0009055</v>
          </cell>
          <cell r="C481" t="str">
            <v>peroxidase 5-like</v>
          </cell>
          <cell r="D481" t="str">
            <v>BT0</v>
          </cell>
          <cell r="E481" t="str">
            <v>BT6</v>
          </cell>
          <cell r="F481">
            <v>0.380523</v>
          </cell>
          <cell r="G481">
            <v>1.07369</v>
          </cell>
          <cell r="H481">
            <v>1.4965200000000001</v>
          </cell>
        </row>
        <row r="482">
          <cell r="A482" t="str">
            <v>GRMZM2G150187</v>
          </cell>
          <cell r="B482" t="str">
            <v>GO:0006629GO:0016788</v>
          </cell>
          <cell r="C482" t="str">
            <v>alpha-l-fucosidase 2 precursor</v>
          </cell>
          <cell r="D482" t="str">
            <v>BT0</v>
          </cell>
          <cell r="E482" t="str">
            <v>BT6</v>
          </cell>
          <cell r="F482">
            <v>6.9001400000000004</v>
          </cell>
          <cell r="G482">
            <v>2.99742</v>
          </cell>
          <cell r="H482">
            <v>-1.2029000000000001</v>
          </cell>
        </row>
        <row r="483">
          <cell r="A483" t="str">
            <v>GRMZM2G108714</v>
          </cell>
          <cell r="B483" t="str">
            <v>GO:0016747</v>
          </cell>
          <cell r="C483" t="str">
            <v>3 -n-debenzoyl-2 -deoxytaxol n-benzoyltransferase-like</v>
          </cell>
          <cell r="D483" t="str">
            <v>BT0</v>
          </cell>
          <cell r="E483" t="str">
            <v>BT6</v>
          </cell>
          <cell r="F483">
            <v>9.6928800000000006</v>
          </cell>
          <cell r="G483">
            <v>4.7767499999999998</v>
          </cell>
          <cell r="H483">
            <v>-1.0208999999999999</v>
          </cell>
        </row>
        <row r="484">
          <cell r="A484" t="str">
            <v>GRMZM2G447795</v>
          </cell>
          <cell r="B484" t="str">
            <v>GO:0005975GO:0004553</v>
          </cell>
          <cell r="C484" t="str">
            <v>class iii chitinase homologue ( hib3h-a)</v>
          </cell>
          <cell r="D484" t="str">
            <v>BT0</v>
          </cell>
          <cell r="E484" t="str">
            <v>BT6</v>
          </cell>
          <cell r="F484">
            <v>1.6951700000000001</v>
          </cell>
          <cell r="G484">
            <v>5.9176200000000003</v>
          </cell>
          <cell r="H484">
            <v>1.80359</v>
          </cell>
        </row>
        <row r="485">
          <cell r="A485" t="str">
            <v>GRMZM2G051806</v>
          </cell>
          <cell r="B485" t="str">
            <v>GO:0004396GO:0006096GO:0005524</v>
          </cell>
          <cell r="C485" t="str">
            <v>hexokinase 2</v>
          </cell>
          <cell r="D485" t="str">
            <v>BT0</v>
          </cell>
          <cell r="E485" t="str">
            <v>BT6</v>
          </cell>
          <cell r="F485">
            <v>10.7218</v>
          </cell>
          <cell r="G485">
            <v>5.0190700000000001</v>
          </cell>
          <cell r="H485">
            <v>-1.0950599999999999</v>
          </cell>
        </row>
        <row r="486">
          <cell r="A486" t="str">
            <v>GRMZM2G317426</v>
          </cell>
          <cell r="B486" t="str">
            <v>NA</v>
          </cell>
          <cell r="C486" t="str">
            <v>NA</v>
          </cell>
          <cell r="D486" t="str">
            <v>BT0</v>
          </cell>
          <cell r="E486" t="str">
            <v>BT6</v>
          </cell>
          <cell r="F486">
            <v>3.50373</v>
          </cell>
          <cell r="G486">
            <v>0.66025800000000001</v>
          </cell>
          <cell r="H486">
            <v>-2.4077899999999999</v>
          </cell>
        </row>
        <row r="487">
          <cell r="A487" t="str">
            <v>GRMZM5G813363</v>
          </cell>
          <cell r="B487" t="str">
            <v>NA</v>
          </cell>
          <cell r="C487" t="str">
            <v>pollen-specific protein sf21-like</v>
          </cell>
          <cell r="D487" t="str">
            <v>BT0</v>
          </cell>
          <cell r="E487" t="str">
            <v>BT6</v>
          </cell>
          <cell r="F487">
            <v>1.67391</v>
          </cell>
          <cell r="G487">
            <v>0.647119</v>
          </cell>
          <cell r="H487">
            <v>-1.3711199999999999</v>
          </cell>
        </row>
        <row r="488">
          <cell r="A488" t="str">
            <v>GRMZM2G148064</v>
          </cell>
          <cell r="B488" t="str">
            <v>GO:0005615</v>
          </cell>
          <cell r="C488" t="str">
            <v>pollen allergen phl p 11</v>
          </cell>
          <cell r="D488" t="str">
            <v>BT0</v>
          </cell>
          <cell r="E488" t="str">
            <v>BT6</v>
          </cell>
          <cell r="F488">
            <v>0.81979900000000006</v>
          </cell>
          <cell r="G488">
            <v>1.87635</v>
          </cell>
          <cell r="H488">
            <v>1.19459</v>
          </cell>
        </row>
        <row r="489">
          <cell r="A489" t="str">
            <v>GRMZM2G147245</v>
          </cell>
          <cell r="B489" t="str">
            <v>GO:0004497GO:0020037GO:0009055</v>
          </cell>
          <cell r="C489" t="str">
            <v>cinnamic acid 4-hydroxylase</v>
          </cell>
          <cell r="D489" t="str">
            <v>BT0</v>
          </cell>
          <cell r="E489" t="str">
            <v>BT6</v>
          </cell>
          <cell r="F489">
            <v>4.4005799999999997</v>
          </cell>
          <cell r="G489">
            <v>0.86180000000000001</v>
          </cell>
          <cell r="H489">
            <v>-2.3522699999999999</v>
          </cell>
        </row>
        <row r="490">
          <cell r="A490" t="str">
            <v>GRMZM2G007195</v>
          </cell>
          <cell r="B490" t="str">
            <v>GO:0016857GO:0050662GO:0006694GO:0003854GO:0045226GO:0008831</v>
          </cell>
          <cell r="C490" t="str">
            <v>udp-glucuronic acid decarboxylase</v>
          </cell>
          <cell r="D490" t="str">
            <v>BT0</v>
          </cell>
          <cell r="E490" t="str">
            <v>BT6</v>
          </cell>
          <cell r="F490">
            <v>39.874600000000001</v>
          </cell>
          <cell r="G490">
            <v>18.736599999999999</v>
          </cell>
          <cell r="H490">
            <v>-1.08961</v>
          </cell>
        </row>
        <row r="491">
          <cell r="A491" t="str">
            <v>GRMZM2G012021</v>
          </cell>
          <cell r="B491" t="str">
            <v>NA</v>
          </cell>
          <cell r="C491" t="str">
            <v>leaf senescence related</v>
          </cell>
          <cell r="D491" t="str">
            <v>BT0</v>
          </cell>
          <cell r="E491" t="str">
            <v>BT6</v>
          </cell>
          <cell r="F491">
            <v>2.3186300000000002</v>
          </cell>
          <cell r="G491">
            <v>1.04728</v>
          </cell>
          <cell r="H491">
            <v>-1.14663</v>
          </cell>
        </row>
        <row r="492">
          <cell r="A492" t="str">
            <v>GRMZM2G121514</v>
          </cell>
          <cell r="B492" t="str">
            <v>GO:0004563GO:0005975</v>
          </cell>
          <cell r="C492" t="str">
            <v>beta-hexosaminidase subunit b2-like</v>
          </cell>
          <cell r="D492" t="str">
            <v>BT0</v>
          </cell>
          <cell r="E492" t="str">
            <v>BT6</v>
          </cell>
          <cell r="F492">
            <v>3.7873999999999999</v>
          </cell>
          <cell r="G492">
            <v>1.43729</v>
          </cell>
          <cell r="H492">
            <v>-1.3978600000000001</v>
          </cell>
        </row>
        <row r="493">
          <cell r="A493" t="str">
            <v>GRMZM2G171139</v>
          </cell>
          <cell r="B493" t="str">
            <v>GO:0004497GO:0020037GO:0009055</v>
          </cell>
          <cell r="C493" t="str">
            <v>cytochrome p450</v>
          </cell>
          <cell r="D493" t="str">
            <v>BT0</v>
          </cell>
          <cell r="E493" t="str">
            <v>BT6</v>
          </cell>
          <cell r="F493">
            <v>0.85572099999999995</v>
          </cell>
          <cell r="G493">
            <v>1.8883799999999999</v>
          </cell>
          <cell r="H493">
            <v>1.14194</v>
          </cell>
        </row>
        <row r="494">
          <cell r="A494" t="str">
            <v>GRMZM2G313078</v>
          </cell>
          <cell r="B494" t="str">
            <v>NA</v>
          </cell>
          <cell r="C494" t="str">
            <v>gras family transcription factor</v>
          </cell>
          <cell r="D494" t="str">
            <v>BT0</v>
          </cell>
          <cell r="E494" t="str">
            <v>BT6</v>
          </cell>
          <cell r="F494">
            <v>0.50096399999999996</v>
          </cell>
          <cell r="G494">
            <v>1.1883999999999999</v>
          </cell>
          <cell r="H494">
            <v>1.24624</v>
          </cell>
        </row>
        <row r="495">
          <cell r="A495" t="str">
            <v>GRMZM2G320373</v>
          </cell>
          <cell r="B495" t="str">
            <v>GO:0050825GO:0042309GO:0050826</v>
          </cell>
          <cell r="C495" t="str">
            <v>nonspecific lipid-transfer protein precursor</v>
          </cell>
          <cell r="D495" t="str">
            <v>BT0</v>
          </cell>
          <cell r="E495" t="str">
            <v>BT6</v>
          </cell>
          <cell r="F495">
            <v>12.791600000000001</v>
          </cell>
          <cell r="G495">
            <v>6.3370300000000004</v>
          </cell>
          <cell r="H495">
            <v>-1.01332</v>
          </cell>
        </row>
        <row r="496">
          <cell r="A496" t="str">
            <v>GRMZM2G318180</v>
          </cell>
          <cell r="B496" t="str">
            <v>GO:0045454GO:0015035GO:0009055</v>
          </cell>
          <cell r="C496" t="str">
            <v>grx_i1 - glutaredoxin subgroup iii</v>
          </cell>
          <cell r="D496" t="str">
            <v>BT0</v>
          </cell>
          <cell r="E496" t="str">
            <v>BT6</v>
          </cell>
          <cell r="F496">
            <v>7.5402300000000002</v>
          </cell>
          <cell r="G496">
            <v>3.3925800000000002</v>
          </cell>
          <cell r="H496">
            <v>-1.1522300000000001</v>
          </cell>
        </row>
        <row r="497">
          <cell r="A497" t="str">
            <v>GRMZM2G059037</v>
          </cell>
          <cell r="B497" t="str">
            <v>GO:0000228</v>
          </cell>
          <cell r="C497" t="str">
            <v>sister chromatid cohesion 1 protein 1</v>
          </cell>
          <cell r="D497" t="str">
            <v>BT0</v>
          </cell>
          <cell r="E497" t="str">
            <v>BT6</v>
          </cell>
          <cell r="F497">
            <v>0.92591900000000005</v>
          </cell>
          <cell r="G497">
            <v>2.6560000000000001</v>
          </cell>
          <cell r="H497">
            <v>1.5203</v>
          </cell>
        </row>
        <row r="498">
          <cell r="A498" t="str">
            <v>GRMZM2G122357</v>
          </cell>
          <cell r="B498" t="str">
            <v>NA</v>
          </cell>
          <cell r="C498" t="str">
            <v>seed maturation protein</v>
          </cell>
          <cell r="D498" t="str">
            <v>BT0</v>
          </cell>
          <cell r="E498" t="str">
            <v>BT6</v>
          </cell>
          <cell r="F498">
            <v>18.849499999999999</v>
          </cell>
          <cell r="G498">
            <v>8.9931900000000002</v>
          </cell>
          <cell r="H498">
            <v>-1.06762</v>
          </cell>
        </row>
        <row r="499">
          <cell r="A499" t="str">
            <v>GRMZM2G313184</v>
          </cell>
          <cell r="B499" t="str">
            <v>GO:0004601GO:0006979GO:0020037GO:0009055</v>
          </cell>
          <cell r="C499" t="str">
            <v>peroxidase 47-like</v>
          </cell>
          <cell r="D499" t="str">
            <v>BT0</v>
          </cell>
          <cell r="E499" t="str">
            <v>BT6</v>
          </cell>
          <cell r="F499">
            <v>2.1947100000000002</v>
          </cell>
          <cell r="G499">
            <v>5.4327399999999999</v>
          </cell>
          <cell r="H499">
            <v>1.30765</v>
          </cell>
        </row>
        <row r="500">
          <cell r="A500" t="str">
            <v>GRMZM2G130728</v>
          </cell>
          <cell r="B500" t="str">
            <v>GO:0016747</v>
          </cell>
          <cell r="C500" t="str">
            <v>3 -n-debenzoyl-2 -deoxytaxol n-benzoyltransferase-like</v>
          </cell>
          <cell r="D500" t="str">
            <v>BT0</v>
          </cell>
          <cell r="E500" t="str">
            <v>BT6</v>
          </cell>
          <cell r="F500">
            <v>4.77834</v>
          </cell>
          <cell r="G500">
            <v>10.790800000000001</v>
          </cell>
          <cell r="H500">
            <v>1.1752199999999999</v>
          </cell>
        </row>
        <row r="501">
          <cell r="A501" t="str">
            <v>GRMZM2G050412</v>
          </cell>
          <cell r="B501" t="str">
            <v>NA</v>
          </cell>
          <cell r="C501" t="str">
            <v>jasmonate-induced protein</v>
          </cell>
          <cell r="D501" t="str">
            <v>BT0</v>
          </cell>
          <cell r="E501" t="str">
            <v>BT6</v>
          </cell>
          <cell r="F501">
            <v>2.0173899999999998</v>
          </cell>
          <cell r="G501">
            <v>0.58014500000000002</v>
          </cell>
          <cell r="H501">
            <v>-1.798</v>
          </cell>
        </row>
        <row r="502">
          <cell r="A502" t="str">
            <v>GRMZM2G163406</v>
          </cell>
          <cell r="B502" t="str">
            <v>NA</v>
          </cell>
          <cell r="C502" t="str">
            <v>jasmonate-induced protein</v>
          </cell>
          <cell r="D502" t="str">
            <v>BT0</v>
          </cell>
          <cell r="E502" t="str">
            <v>BT6</v>
          </cell>
          <cell r="F502">
            <v>17.147099999999998</v>
          </cell>
          <cell r="G502">
            <v>7.2487199999999996</v>
          </cell>
          <cell r="H502">
            <v>-1.24217</v>
          </cell>
        </row>
        <row r="503">
          <cell r="A503" t="str">
            <v>AC194005.3_FG004</v>
          </cell>
          <cell r="B503" t="str">
            <v>NA</v>
          </cell>
          <cell r="C503" t="str">
            <v>NA</v>
          </cell>
          <cell r="D503" t="str">
            <v>BT0</v>
          </cell>
          <cell r="E503" t="str">
            <v>BT6</v>
          </cell>
          <cell r="F503">
            <v>1.13422</v>
          </cell>
          <cell r="G503">
            <v>2.50332</v>
          </cell>
          <cell r="H503">
            <v>1.1421399999999999</v>
          </cell>
        </row>
        <row r="504">
          <cell r="A504" t="str">
            <v>GRMZM2G333875</v>
          </cell>
          <cell r="B504" t="str">
            <v>NA</v>
          </cell>
          <cell r="C504" t="str">
            <v>receptor protein kinase-like</v>
          </cell>
          <cell r="D504" t="str">
            <v>BT0</v>
          </cell>
          <cell r="E504" t="str">
            <v>BT6</v>
          </cell>
          <cell r="F504">
            <v>14.075699999999999</v>
          </cell>
          <cell r="G504">
            <v>7.0112199999999998</v>
          </cell>
          <cell r="H504">
            <v>-1.0054700000000001</v>
          </cell>
        </row>
        <row r="505">
          <cell r="A505" t="str">
            <v>GRMZM2G171028</v>
          </cell>
          <cell r="B505" t="str">
            <v>NA</v>
          </cell>
          <cell r="C505" t="str">
            <v>plant viral-response family expressed</v>
          </cell>
          <cell r="D505" t="str">
            <v>BT0</v>
          </cell>
          <cell r="E505" t="str">
            <v>BT6</v>
          </cell>
          <cell r="F505">
            <v>1.7680400000000001</v>
          </cell>
          <cell r="G505">
            <v>0.79727700000000001</v>
          </cell>
          <cell r="H505">
            <v>-1.149</v>
          </cell>
        </row>
        <row r="506">
          <cell r="A506" t="str">
            <v>GRMZM2G122302</v>
          </cell>
          <cell r="B506" t="str">
            <v>GO:0005507GO:0009055</v>
          </cell>
          <cell r="C506" t="str">
            <v>blue copper protein</v>
          </cell>
          <cell r="D506" t="str">
            <v>BT0</v>
          </cell>
          <cell r="E506" t="str">
            <v>BT6</v>
          </cell>
          <cell r="F506">
            <v>22.359100000000002</v>
          </cell>
          <cell r="G506">
            <v>10.886900000000001</v>
          </cell>
          <cell r="H506">
            <v>-1.03827</v>
          </cell>
        </row>
        <row r="507">
          <cell r="A507" t="str">
            <v>GRMZM2G162755</v>
          </cell>
          <cell r="B507" t="str">
            <v>NA</v>
          </cell>
          <cell r="C507" t="str">
            <v>anthocyanidin 3-o-glucosyltransferase</v>
          </cell>
          <cell r="D507" t="str">
            <v>BT0</v>
          </cell>
          <cell r="E507" t="str">
            <v>BT6</v>
          </cell>
          <cell r="F507">
            <v>27.613</v>
          </cell>
          <cell r="G507">
            <v>9.6977100000000007</v>
          </cell>
          <cell r="H507">
            <v>-1.50963</v>
          </cell>
        </row>
        <row r="508">
          <cell r="A508" t="str">
            <v>GRMZM2G001508</v>
          </cell>
          <cell r="B508" t="str">
            <v>GO:0003993</v>
          </cell>
          <cell r="C508" t="str">
            <v>stem 28 kda glycoprotein precursor</v>
          </cell>
          <cell r="D508" t="str">
            <v>BT0</v>
          </cell>
          <cell r="E508" t="str">
            <v>BT6</v>
          </cell>
          <cell r="F508">
            <v>1.37991</v>
          </cell>
          <cell r="G508">
            <v>5.6384499999999997</v>
          </cell>
          <cell r="H508">
            <v>2.0307200000000001</v>
          </cell>
        </row>
        <row r="509">
          <cell r="A509" t="str">
            <v>GRMZM2G339091</v>
          </cell>
          <cell r="B509" t="str">
            <v>GO:0003779GO:0006508GO:0004185</v>
          </cell>
          <cell r="C509" t="str">
            <v>serine carboxypeptidase ii</v>
          </cell>
          <cell r="D509" t="str">
            <v>BT0</v>
          </cell>
          <cell r="E509" t="str">
            <v>BT6</v>
          </cell>
          <cell r="F509">
            <v>33.7821</v>
          </cell>
          <cell r="G509">
            <v>16.533799999999999</v>
          </cell>
          <cell r="H509">
            <v>-1.03084</v>
          </cell>
        </row>
        <row r="510">
          <cell r="A510" t="str">
            <v>GRMZM2G061469</v>
          </cell>
          <cell r="B510" t="str">
            <v>GO:0016021</v>
          </cell>
          <cell r="C510" t="str">
            <v>s-type anion channel slah3-like</v>
          </cell>
          <cell r="D510" t="str">
            <v>BT0</v>
          </cell>
          <cell r="E510" t="str">
            <v>BT6</v>
          </cell>
          <cell r="F510">
            <v>1.1000700000000001</v>
          </cell>
          <cell r="G510">
            <v>0.350462</v>
          </cell>
          <cell r="H510">
            <v>-1.6502600000000001</v>
          </cell>
        </row>
        <row r="511">
          <cell r="A511" t="str">
            <v>DHN1</v>
          </cell>
          <cell r="B511" t="str">
            <v>NA</v>
          </cell>
          <cell r="C511" t="str">
            <v>NA</v>
          </cell>
          <cell r="D511" t="str">
            <v>BT0</v>
          </cell>
          <cell r="E511" t="str">
            <v>BT6</v>
          </cell>
          <cell r="F511">
            <v>120.504</v>
          </cell>
          <cell r="G511">
            <v>19.938199999999998</v>
          </cell>
          <cell r="H511">
            <v>-2.5954700000000002</v>
          </cell>
        </row>
        <row r="512">
          <cell r="A512" t="str">
            <v>GRMZM2G137535</v>
          </cell>
          <cell r="B512" t="str">
            <v>GO:0005975GO:0004553</v>
          </cell>
          <cell r="C512" t="str">
            <v>lichenase-2 precursor</v>
          </cell>
          <cell r="D512" t="str">
            <v>BT0</v>
          </cell>
          <cell r="E512" t="str">
            <v>BT6</v>
          </cell>
          <cell r="F512">
            <v>197.452</v>
          </cell>
          <cell r="G512">
            <v>82.299599999999998</v>
          </cell>
          <cell r="H512">
            <v>-1.2625500000000001</v>
          </cell>
        </row>
        <row r="513">
          <cell r="A513" t="str">
            <v>GRMZM2G132461</v>
          </cell>
          <cell r="B513" t="str">
            <v>GO:0005544GO:0005509</v>
          </cell>
          <cell r="C513" t="str">
            <v>annexin d4-like</v>
          </cell>
          <cell r="D513" t="str">
            <v>BT0</v>
          </cell>
          <cell r="E513" t="str">
            <v>BT6</v>
          </cell>
          <cell r="F513">
            <v>2.6139999999999999</v>
          </cell>
          <cell r="G513">
            <v>1.1392800000000001</v>
          </cell>
          <cell r="H513">
            <v>-1.1981299999999999</v>
          </cell>
        </row>
        <row r="514">
          <cell r="A514" t="str">
            <v>GRMZM2G175860</v>
          </cell>
          <cell r="B514" t="str">
            <v>GO:0031072GO:0006457GO:0051082</v>
          </cell>
          <cell r="C514" t="str">
            <v>dnaj protein</v>
          </cell>
          <cell r="D514" t="str">
            <v>BT0</v>
          </cell>
          <cell r="E514" t="str">
            <v>BT6</v>
          </cell>
          <cell r="F514">
            <v>1.37148</v>
          </cell>
          <cell r="G514">
            <v>3.0078100000000001</v>
          </cell>
          <cell r="H514">
            <v>1.1329800000000001</v>
          </cell>
        </row>
        <row r="515">
          <cell r="A515" t="str">
            <v>GRMZM2G135165</v>
          </cell>
          <cell r="B515" t="str">
            <v>GO:0005840GO:0016021GO:0003735GO:0050825GO:0042309GO:0050826GO:0007186GO:0006412</v>
          </cell>
          <cell r="C515" t="str">
            <v>uncharacterized protein LOC100384836</v>
          </cell>
          <cell r="D515" t="str">
            <v>BT0</v>
          </cell>
          <cell r="E515" t="str">
            <v>BT6</v>
          </cell>
          <cell r="F515">
            <v>2.8700299999999999</v>
          </cell>
          <cell r="G515">
            <v>19.206499999999998</v>
          </cell>
          <cell r="H515">
            <v>2.7424499999999998</v>
          </cell>
        </row>
        <row r="516">
          <cell r="A516" t="str">
            <v>GRMZM2G067156</v>
          </cell>
          <cell r="B516" t="str">
            <v>NA</v>
          </cell>
          <cell r="C516" t="str">
            <v>unknown</v>
          </cell>
          <cell r="D516" t="str">
            <v>BT0</v>
          </cell>
          <cell r="E516" t="str">
            <v>BT6</v>
          </cell>
          <cell r="F516">
            <v>2.2401900000000001</v>
          </cell>
          <cell r="G516">
            <v>1.11331</v>
          </cell>
          <cell r="H516">
            <v>-1.0087600000000001</v>
          </cell>
        </row>
        <row r="517">
          <cell r="A517" t="str">
            <v>GRMZM2G460617</v>
          </cell>
          <cell r="B517" t="str">
            <v>NA</v>
          </cell>
          <cell r="C517" t="str">
            <v>unknown</v>
          </cell>
          <cell r="D517" t="str">
            <v>BT0</v>
          </cell>
          <cell r="E517" t="str">
            <v>BT6</v>
          </cell>
          <cell r="F517">
            <v>19.196400000000001</v>
          </cell>
          <cell r="G517">
            <v>8.9219600000000003</v>
          </cell>
          <cell r="H517">
            <v>-1.1053999999999999</v>
          </cell>
        </row>
        <row r="518">
          <cell r="A518" t="str">
            <v>GRMZM2G166452</v>
          </cell>
          <cell r="B518" t="str">
            <v>GO:0051260GO:0016020GO:0050825GO:0042309GO:0050826</v>
          </cell>
          <cell r="C518" t="str">
            <v>NA</v>
          </cell>
          <cell r="D518" t="str">
            <v>BT0</v>
          </cell>
          <cell r="E518" t="str">
            <v>BT6</v>
          </cell>
          <cell r="F518">
            <v>4.4848999999999997</v>
          </cell>
          <cell r="G518">
            <v>2.1751</v>
          </cell>
          <cell r="H518">
            <v>-1.04399</v>
          </cell>
        </row>
        <row r="519">
          <cell r="A519" t="str">
            <v>GRMZM2G427618</v>
          </cell>
          <cell r="B519" t="str">
            <v>GO:0005506GO:0016491</v>
          </cell>
          <cell r="C519" t="str">
            <v>gibberellin 2-oxidase</v>
          </cell>
          <cell r="D519" t="str">
            <v>BT0</v>
          </cell>
          <cell r="E519" t="str">
            <v>BT6</v>
          </cell>
          <cell r="F519">
            <v>1.65882</v>
          </cell>
          <cell r="G519">
            <v>3.8776999999999999</v>
          </cell>
          <cell r="H519">
            <v>1.2250399999999999</v>
          </cell>
        </row>
        <row r="520">
          <cell r="A520" t="str">
            <v>GRMZM2G141026</v>
          </cell>
          <cell r="B520" t="str">
            <v>GO:0046983GO:0008171</v>
          </cell>
          <cell r="C520" t="str">
            <v>o-methyltransferase zrp4</v>
          </cell>
          <cell r="D520" t="str">
            <v>BT0</v>
          </cell>
          <cell r="E520" t="str">
            <v>BT6</v>
          </cell>
          <cell r="F520">
            <v>0.741981</v>
          </cell>
          <cell r="G520">
            <v>1.5098199999999999</v>
          </cell>
          <cell r="H520">
            <v>1.0249200000000001</v>
          </cell>
        </row>
        <row r="521">
          <cell r="A521" t="str">
            <v>GRMZM2G124799</v>
          </cell>
          <cell r="B521" t="str">
            <v>GO:0046983GO:0008171</v>
          </cell>
          <cell r="C521" t="str">
            <v>o-methyltransferase zrp4</v>
          </cell>
          <cell r="D521" t="str">
            <v>BT0</v>
          </cell>
          <cell r="E521" t="str">
            <v>BT6</v>
          </cell>
          <cell r="F521">
            <v>0.47121400000000002</v>
          </cell>
          <cell r="G521">
            <v>2.0369199999999998</v>
          </cell>
          <cell r="H521">
            <v>2.1119400000000002</v>
          </cell>
        </row>
        <row r="522">
          <cell r="A522" t="str">
            <v>GRMZM2G168898</v>
          </cell>
          <cell r="B522" t="str">
            <v>GO:0019825GO:0020037GO:0005833GO:0005576GO:0050825GO:0042309GO:0050826GO:0015671</v>
          </cell>
          <cell r="C522" t="str">
            <v>hemoglobin 2</v>
          </cell>
          <cell r="D522" t="str">
            <v>BT0</v>
          </cell>
          <cell r="E522" t="str">
            <v>BT6</v>
          </cell>
          <cell r="F522">
            <v>24.6008</v>
          </cell>
          <cell r="G522">
            <v>54.161799999999999</v>
          </cell>
          <cell r="H522">
            <v>1.1385700000000001</v>
          </cell>
        </row>
        <row r="523">
          <cell r="A523" t="str">
            <v>GRMZM2G159008</v>
          </cell>
          <cell r="B523" t="str">
            <v>GO:0004437</v>
          </cell>
          <cell r="C523" t="str">
            <v>type i inositol- -trisphosphate 5-phosphatase 1-like</v>
          </cell>
          <cell r="D523" t="str">
            <v>BT0</v>
          </cell>
          <cell r="E523" t="str">
            <v>BT6</v>
          </cell>
          <cell r="F523">
            <v>0.71716599999999997</v>
          </cell>
          <cell r="G523">
            <v>1.4530099999999999</v>
          </cell>
          <cell r="H523">
            <v>1.0186599999999999</v>
          </cell>
        </row>
        <row r="524">
          <cell r="A524" t="str">
            <v>GRMZM2G090245</v>
          </cell>
          <cell r="B524" t="str">
            <v>NA</v>
          </cell>
          <cell r="C524" t="str">
            <v>adenosine diphosphate glucose pyrophosphatase</v>
          </cell>
          <cell r="D524" t="str">
            <v>BT0</v>
          </cell>
          <cell r="E524" t="str">
            <v>BT6</v>
          </cell>
          <cell r="F524">
            <v>117.569</v>
          </cell>
          <cell r="G524">
            <v>14.2035</v>
          </cell>
          <cell r="H524">
            <v>-3.0491899999999998</v>
          </cell>
        </row>
        <row r="525">
          <cell r="A525" t="str">
            <v>GRMZM2G090087</v>
          </cell>
          <cell r="B525" t="str">
            <v>GO:0008152GO:0005524GO:0016491</v>
          </cell>
          <cell r="C525" t="str">
            <v>delta-1-pyrroline-5-carboxylate dehydrogenase mitochondrial-like</v>
          </cell>
          <cell r="D525" t="str">
            <v>BT0</v>
          </cell>
          <cell r="E525" t="str">
            <v>BT6</v>
          </cell>
          <cell r="F525">
            <v>19.317799999999998</v>
          </cell>
          <cell r="G525">
            <v>9.4672900000000002</v>
          </cell>
          <cell r="H525">
            <v>-1.02891</v>
          </cell>
        </row>
        <row r="526">
          <cell r="A526" t="str">
            <v>GRMZM5G846057</v>
          </cell>
          <cell r="B526" t="str">
            <v>NA</v>
          </cell>
          <cell r="C526" t="str">
            <v>ap2 erf domain-containing transcription factor</v>
          </cell>
          <cell r="D526" t="str">
            <v>BT0</v>
          </cell>
          <cell r="E526" t="str">
            <v>BT6</v>
          </cell>
          <cell r="F526">
            <v>1.2639</v>
          </cell>
          <cell r="G526">
            <v>3.2515499999999999</v>
          </cell>
          <cell r="H526">
            <v>1.3632500000000001</v>
          </cell>
        </row>
        <row r="527">
          <cell r="A527" t="str">
            <v>GRMZM2G077436</v>
          </cell>
          <cell r="B527" t="str">
            <v>GO:0003700GO:0006355GO:0006352GO:0016987</v>
          </cell>
          <cell r="C527" t="str">
            <v>rna polymerase sigma factor rpod-like</v>
          </cell>
          <cell r="D527" t="str">
            <v>BT0</v>
          </cell>
          <cell r="E527" t="str">
            <v>BT6</v>
          </cell>
          <cell r="F527">
            <v>3.6550099999999999</v>
          </cell>
          <cell r="G527">
            <v>10.0908</v>
          </cell>
          <cell r="H527">
            <v>1.4651000000000001</v>
          </cell>
        </row>
        <row r="528">
          <cell r="A528" t="str">
            <v>GRMZM2G045031</v>
          </cell>
          <cell r="B528" t="str">
            <v>NA</v>
          </cell>
          <cell r="C528" t="str">
            <v>uncharacterized protein LOC100278663</v>
          </cell>
          <cell r="D528" t="str">
            <v>BT0</v>
          </cell>
          <cell r="E528" t="str">
            <v>BT6</v>
          </cell>
          <cell r="F528">
            <v>0.49745699999999998</v>
          </cell>
          <cell r="G528">
            <v>8.3309200000000008</v>
          </cell>
          <cell r="H528">
            <v>4.0658300000000001</v>
          </cell>
        </row>
        <row r="529">
          <cell r="A529" t="str">
            <v>GRMZM2G117281</v>
          </cell>
          <cell r="B529" t="str">
            <v>NA</v>
          </cell>
          <cell r="C529" t="str">
            <v>unknown</v>
          </cell>
          <cell r="D529" t="str">
            <v>BT0</v>
          </cell>
          <cell r="E529" t="str">
            <v>BT6</v>
          </cell>
          <cell r="F529">
            <v>1.93964</v>
          </cell>
          <cell r="G529">
            <v>0.37186000000000002</v>
          </cell>
          <cell r="H529">
            <v>-2.3829600000000002</v>
          </cell>
        </row>
        <row r="530">
          <cell r="A530" t="str">
            <v>GRMZM2G417954</v>
          </cell>
          <cell r="B530" t="str">
            <v>NA</v>
          </cell>
          <cell r="C530" t="str">
            <v>9-cis-epoxycarotenoid dioxygenase</v>
          </cell>
          <cell r="D530" t="str">
            <v>BT0</v>
          </cell>
          <cell r="E530" t="str">
            <v>BT6</v>
          </cell>
          <cell r="F530">
            <v>1.2563800000000001</v>
          </cell>
          <cell r="G530">
            <v>0.44960699999999998</v>
          </cell>
          <cell r="H530">
            <v>-1.48254</v>
          </cell>
        </row>
        <row r="531">
          <cell r="A531" t="str">
            <v>GRMZM2G425728</v>
          </cell>
          <cell r="B531" t="str">
            <v>NA</v>
          </cell>
          <cell r="C531" t="str">
            <v>early light-induced protein</v>
          </cell>
          <cell r="D531" t="str">
            <v>BT0</v>
          </cell>
          <cell r="E531" t="str">
            <v>BT6</v>
          </cell>
          <cell r="F531">
            <v>1.21454</v>
          </cell>
          <cell r="G531">
            <v>0.45195099999999999</v>
          </cell>
          <cell r="H531">
            <v>-1.4261699999999999</v>
          </cell>
        </row>
        <row r="532">
          <cell r="A532" t="str">
            <v>GRMZM2G162359</v>
          </cell>
          <cell r="B532" t="str">
            <v>GO:0005975GO:0004553</v>
          </cell>
          <cell r="C532" t="str">
            <v>xylanase inhibitor protein 1-like</v>
          </cell>
          <cell r="D532" t="str">
            <v>BT0</v>
          </cell>
          <cell r="E532" t="str">
            <v>BT6</v>
          </cell>
          <cell r="F532">
            <v>42.320900000000002</v>
          </cell>
          <cell r="G532">
            <v>15.9556</v>
          </cell>
          <cell r="H532">
            <v>-1.4073100000000001</v>
          </cell>
        </row>
        <row r="533">
          <cell r="A533" t="str">
            <v>GRMZM2G340656</v>
          </cell>
          <cell r="B533" t="str">
            <v>NA</v>
          </cell>
          <cell r="C533" t="str">
            <v>stachyose synthase precursor</v>
          </cell>
          <cell r="D533" t="str">
            <v>BT0</v>
          </cell>
          <cell r="E533" t="str">
            <v>BT6</v>
          </cell>
          <cell r="F533">
            <v>995.572</v>
          </cell>
          <cell r="G533">
            <v>354.11700000000002</v>
          </cell>
          <cell r="H533">
            <v>-1.4913000000000001</v>
          </cell>
        </row>
        <row r="534">
          <cell r="A534" t="str">
            <v>GRMZM2G107065</v>
          </cell>
          <cell r="B534" t="str">
            <v>NA</v>
          </cell>
          <cell r="C534" t="str">
            <v>uncharacterized protein LOC100277591</v>
          </cell>
          <cell r="D534" t="str">
            <v>BT0</v>
          </cell>
          <cell r="E534" t="str">
            <v>BT6</v>
          </cell>
          <cell r="F534">
            <v>2.8201299999999998</v>
          </cell>
          <cell r="G534">
            <v>0.77189200000000002</v>
          </cell>
          <cell r="H534">
            <v>-1.8692899999999999</v>
          </cell>
        </row>
        <row r="535">
          <cell r="A535" t="str">
            <v>GRMZM5G817964</v>
          </cell>
          <cell r="B535" t="str">
            <v>NA</v>
          </cell>
          <cell r="C535" t="str">
            <v>abc transporter g family member 11-like</v>
          </cell>
          <cell r="D535" t="str">
            <v>BT0</v>
          </cell>
          <cell r="E535" t="str">
            <v>BT6</v>
          </cell>
          <cell r="F535">
            <v>0.69544600000000001</v>
          </cell>
          <cell r="G535">
            <v>1.41123</v>
          </cell>
          <cell r="H535">
            <v>1.02094</v>
          </cell>
        </row>
        <row r="536">
          <cell r="A536" t="str">
            <v>GRMZM2G154747</v>
          </cell>
          <cell r="B536" t="str">
            <v>GO:0016020GO:0017153GO:0006835</v>
          </cell>
          <cell r="C536" t="str">
            <v>plasma membrane associated protein</v>
          </cell>
          <cell r="D536" t="str">
            <v>BT0</v>
          </cell>
          <cell r="E536" t="str">
            <v>BT6</v>
          </cell>
          <cell r="F536">
            <v>1.16185</v>
          </cell>
          <cell r="G536">
            <v>0.21334</v>
          </cell>
          <cell r="H536">
            <v>-2.4451999999999998</v>
          </cell>
        </row>
        <row r="537">
          <cell r="A537" t="str">
            <v>GRMZM2G054803</v>
          </cell>
          <cell r="B537" t="str">
            <v>GO:0016765</v>
          </cell>
          <cell r="C537" t="str">
            <v>undecaprenyl pyrophosphate synthetase</v>
          </cell>
          <cell r="D537" t="str">
            <v>BT0</v>
          </cell>
          <cell r="E537" t="str">
            <v>BT6</v>
          </cell>
          <cell r="F537">
            <v>203.636</v>
          </cell>
          <cell r="G537">
            <v>90.444699999999997</v>
          </cell>
          <cell r="H537">
            <v>-1.1708799999999999</v>
          </cell>
        </row>
        <row r="538">
          <cell r="A538" t="str">
            <v>GRMZM2G131836</v>
          </cell>
          <cell r="B538" t="str">
            <v>GO:0003854GO:0050662GO:0016564GO:0006808GO:0006694</v>
          </cell>
          <cell r="C538" t="str">
            <v>cinnamoyl- reductase</v>
          </cell>
          <cell r="D538" t="str">
            <v>BT0</v>
          </cell>
          <cell r="E538" t="str">
            <v>BT6</v>
          </cell>
          <cell r="F538">
            <v>1.8883099999999999</v>
          </cell>
          <cell r="G538">
            <v>0.66045500000000001</v>
          </cell>
          <cell r="H538">
            <v>-1.51556</v>
          </cell>
        </row>
        <row r="539">
          <cell r="A539" t="str">
            <v>GRMZM2G050550</v>
          </cell>
          <cell r="B539" t="str">
            <v>GO:0003677</v>
          </cell>
          <cell r="C539" t="str">
            <v>transcription factor myb44-like</v>
          </cell>
          <cell r="D539" t="str">
            <v>BT0</v>
          </cell>
          <cell r="E539" t="str">
            <v>BT6</v>
          </cell>
          <cell r="F539">
            <v>3.4685199999999998</v>
          </cell>
          <cell r="G539">
            <v>1.45427</v>
          </cell>
          <cell r="H539">
            <v>-1.25403</v>
          </cell>
        </row>
        <row r="540">
          <cell r="A540" t="str">
            <v>GRMZM2G032807</v>
          </cell>
          <cell r="B540" t="str">
            <v>NA</v>
          </cell>
          <cell r="C540" t="str">
            <v>protein</v>
          </cell>
          <cell r="D540" t="str">
            <v>BT0</v>
          </cell>
          <cell r="E540" t="str">
            <v>BT6</v>
          </cell>
          <cell r="F540">
            <v>36.934699999999999</v>
          </cell>
          <cell r="G540">
            <v>18.007999999999999</v>
          </cell>
          <cell r="H540">
            <v>-1.03634</v>
          </cell>
        </row>
        <row r="541">
          <cell r="A541" t="str">
            <v>GRMZM2G109327</v>
          </cell>
          <cell r="B541" t="str">
            <v>NA</v>
          </cell>
          <cell r="C541" t="str">
            <v>uncharacterized protein LOC100279830</v>
          </cell>
          <cell r="D541" t="str">
            <v>BT0</v>
          </cell>
          <cell r="E541" t="str">
            <v>BT6</v>
          </cell>
          <cell r="F541">
            <v>1.5313099999999999</v>
          </cell>
          <cell r="G541">
            <v>3.4393199999999999</v>
          </cell>
          <cell r="H541">
            <v>1.16736</v>
          </cell>
        </row>
        <row r="542">
          <cell r="A542" t="str">
            <v>GRMZM2G086066</v>
          </cell>
          <cell r="B542" t="str">
            <v>GO:0046872GO:0030001</v>
          </cell>
          <cell r="C542" t="str">
            <v>metal ion binding protein</v>
          </cell>
          <cell r="D542" t="str">
            <v>BT0</v>
          </cell>
          <cell r="E542" t="str">
            <v>BT6</v>
          </cell>
          <cell r="F542">
            <v>1.11364</v>
          </cell>
          <cell r="G542">
            <v>0.43279200000000001</v>
          </cell>
          <cell r="H542">
            <v>-1.3635299999999999</v>
          </cell>
        </row>
        <row r="543">
          <cell r="A543" t="str">
            <v>GRMZM2G171408</v>
          </cell>
          <cell r="B543" t="str">
            <v>GO:0005488</v>
          </cell>
          <cell r="C543" t="str">
            <v>armadillo beta-catenin-like repeat-containing protein</v>
          </cell>
          <cell r="D543" t="str">
            <v>BT0</v>
          </cell>
          <cell r="E543" t="str">
            <v>BT6</v>
          </cell>
          <cell r="F543">
            <v>0.96376499999999998</v>
          </cell>
          <cell r="G543">
            <v>0.28293000000000001</v>
          </cell>
          <cell r="H543">
            <v>-1.76824</v>
          </cell>
        </row>
        <row r="544">
          <cell r="A544" t="str">
            <v>GRMZM2G142898</v>
          </cell>
          <cell r="B544" t="str">
            <v>GO:0016020GO:0016760GO:0008270GO:0005515GO:0030244</v>
          </cell>
          <cell r="C544" t="str">
            <v>cellulose synthase</v>
          </cell>
          <cell r="D544" t="str">
            <v>BT0</v>
          </cell>
          <cell r="E544" t="str">
            <v>BT6</v>
          </cell>
          <cell r="F544">
            <v>4.7689500000000002</v>
          </cell>
          <cell r="G544">
            <v>1.8828</v>
          </cell>
          <cell r="H544">
            <v>-1.3407899999999999</v>
          </cell>
        </row>
        <row r="545">
          <cell r="A545" t="str">
            <v>GRMZM2G141219</v>
          </cell>
          <cell r="B545" t="str">
            <v>GO:0003700GO:0006355</v>
          </cell>
          <cell r="C545" t="str">
            <v>ap2-like ethylene-responsive transcription factor at1g16060-like</v>
          </cell>
          <cell r="D545" t="str">
            <v>BT0</v>
          </cell>
          <cell r="E545" t="str">
            <v>BT6</v>
          </cell>
          <cell r="F545">
            <v>0.38727299999999998</v>
          </cell>
          <cell r="G545">
            <v>0.78278700000000001</v>
          </cell>
          <cell r="H545">
            <v>1.0152699999999999</v>
          </cell>
        </row>
        <row r="546">
          <cell r="A546" t="str">
            <v>GRMZM2G147966</v>
          </cell>
          <cell r="B546" t="str">
            <v>GO:0050660GO:0050664GO:0016021GO:0005509GO:0005506GO:0004601GO:0055114GO:0009055</v>
          </cell>
          <cell r="C546" t="str">
            <v>respiratory burst oxidase homolog protein e-like</v>
          </cell>
          <cell r="D546" t="str">
            <v>BT0</v>
          </cell>
          <cell r="E546" t="str">
            <v>BT6</v>
          </cell>
          <cell r="F546">
            <v>3.9114900000000001</v>
          </cell>
          <cell r="G546">
            <v>1.62019</v>
          </cell>
          <cell r="H546">
            <v>-1.27156</v>
          </cell>
        </row>
        <row r="547">
          <cell r="A547" t="str">
            <v>GRMZM2G388045</v>
          </cell>
          <cell r="B547" t="str">
            <v>NA</v>
          </cell>
          <cell r="C547" t="str">
            <v>uncharacterized protein LOC100382002</v>
          </cell>
          <cell r="D547" t="str">
            <v>BT0</v>
          </cell>
          <cell r="E547" t="str">
            <v>BT6</v>
          </cell>
          <cell r="F547">
            <v>0.98852300000000004</v>
          </cell>
          <cell r="G547">
            <v>2.58412</v>
          </cell>
          <cell r="H547">
            <v>1.3863300000000001</v>
          </cell>
        </row>
        <row r="548">
          <cell r="A548" t="str">
            <v>GRMZM2G009045</v>
          </cell>
          <cell r="B548" t="str">
            <v>GO:0016020GO:0006810GO:0005488</v>
          </cell>
          <cell r="C548" t="str">
            <v>mitochondrial phosphate transporter</v>
          </cell>
          <cell r="D548" t="str">
            <v>BT0</v>
          </cell>
          <cell r="E548" t="str">
            <v>BT6</v>
          </cell>
          <cell r="F548">
            <v>9.0080600000000004</v>
          </cell>
          <cell r="G548">
            <v>3.2047099999999999</v>
          </cell>
          <cell r="H548">
            <v>-1.49102</v>
          </cell>
        </row>
        <row r="549">
          <cell r="A549" t="str">
            <v>GRMZM2G176430</v>
          </cell>
          <cell r="B549" t="str">
            <v>GO:0016021GO:0006814GO:0006835GO:0015137GO:0015746GO:0017153</v>
          </cell>
          <cell r="C549" t="str">
            <v>tonoplast dicarboxylate transporter</v>
          </cell>
          <cell r="D549" t="str">
            <v>BT0</v>
          </cell>
          <cell r="E549" t="str">
            <v>BT6</v>
          </cell>
          <cell r="F549">
            <v>4.0568999999999997</v>
          </cell>
          <cell r="G549">
            <v>9.1056600000000003</v>
          </cell>
          <cell r="H549">
            <v>1.16638</v>
          </cell>
        </row>
        <row r="550">
          <cell r="A550" t="str">
            <v>GRMZM2G013530</v>
          </cell>
          <cell r="B550" t="str">
            <v>GO:0016747</v>
          </cell>
          <cell r="C550" t="str">
            <v>agmatine coumaroyltransferase-2-like</v>
          </cell>
          <cell r="D550" t="str">
            <v>BT0</v>
          </cell>
          <cell r="E550" t="str">
            <v>BT6</v>
          </cell>
          <cell r="F550">
            <v>2.8422999999999998</v>
          </cell>
          <cell r="G550">
            <v>0.734043</v>
          </cell>
          <cell r="H550">
            <v>-1.95313</v>
          </cell>
        </row>
        <row r="551">
          <cell r="A551" t="str">
            <v>GRMZM2G050126</v>
          </cell>
          <cell r="B551" t="str">
            <v>NA</v>
          </cell>
          <cell r="C551" t="str">
            <v>spindle and kinetochore-associated protein 1 homolog</v>
          </cell>
          <cell r="D551" t="str">
            <v>BT0</v>
          </cell>
          <cell r="E551" t="str">
            <v>BT6</v>
          </cell>
          <cell r="F551">
            <v>1.68255</v>
          </cell>
          <cell r="G551">
            <v>3.7862399999999998</v>
          </cell>
          <cell r="H551">
            <v>1.17012</v>
          </cell>
        </row>
        <row r="552">
          <cell r="A552" t="str">
            <v>GRMZM2G406643</v>
          </cell>
          <cell r="B552" t="str">
            <v>GO:0003735GO:0006412GO:0006464GO:0005840</v>
          </cell>
          <cell r="C552" t="str">
            <v>ubiquitin fusion protein</v>
          </cell>
          <cell r="D552" t="str">
            <v>BT0</v>
          </cell>
          <cell r="E552" t="str">
            <v>BT6</v>
          </cell>
          <cell r="F552">
            <v>0.35525699999999999</v>
          </cell>
          <cell r="G552">
            <v>2.9161899999999998</v>
          </cell>
          <cell r="H552">
            <v>3.03715</v>
          </cell>
        </row>
        <row r="553">
          <cell r="A553" t="str">
            <v>GRMZM2G108615</v>
          </cell>
          <cell r="B553" t="str">
            <v>GO:0005737GO:0006813GO:0051260GO:0008076GO:0005249GO:0005525</v>
          </cell>
          <cell r="C553" t="str">
            <v>hypothetical protein SORBIDRAFT_02g034435</v>
          </cell>
          <cell r="D553" t="str">
            <v>BT0</v>
          </cell>
          <cell r="E553" t="str">
            <v>BT6</v>
          </cell>
          <cell r="F553">
            <v>2.8285800000000001</v>
          </cell>
          <cell r="G553">
            <v>10.031599999999999</v>
          </cell>
          <cell r="H553">
            <v>1.8264100000000001</v>
          </cell>
        </row>
        <row r="554">
          <cell r="A554" t="str">
            <v>GRMZM2G075794</v>
          </cell>
          <cell r="B554" t="str">
            <v>NA</v>
          </cell>
          <cell r="C554" t="str">
            <v>hypothetical protein SORBIDRAFT_02g034730</v>
          </cell>
          <cell r="D554" t="str">
            <v>BT0</v>
          </cell>
          <cell r="E554" t="str">
            <v>BT6</v>
          </cell>
          <cell r="F554">
            <v>2.6664599999999998</v>
          </cell>
          <cell r="G554">
            <v>1.3170599999999999</v>
          </cell>
          <cell r="H554">
            <v>-1.0176099999999999</v>
          </cell>
        </row>
        <row r="555">
          <cell r="A555" t="str">
            <v>GRMZM2G431039</v>
          </cell>
          <cell r="B555" t="str">
            <v>GO:0005975GO:0004553</v>
          </cell>
          <cell r="C555" t="str">
            <v>beta- -glucanase</v>
          </cell>
          <cell r="D555" t="str">
            <v>BT0</v>
          </cell>
          <cell r="E555" t="str">
            <v>BT6</v>
          </cell>
          <cell r="F555">
            <v>7.8865999999999996</v>
          </cell>
          <cell r="G555">
            <v>18.432500000000001</v>
          </cell>
          <cell r="H555">
            <v>1.22478</v>
          </cell>
        </row>
        <row r="556">
          <cell r="A556" t="str">
            <v>GRMZM2G019974</v>
          </cell>
          <cell r="B556" t="str">
            <v>GO:0005215GO:0016021GO:0006810</v>
          </cell>
          <cell r="C556" t="str">
            <v>organic cation transporter</v>
          </cell>
          <cell r="D556" t="str">
            <v>BT0</v>
          </cell>
          <cell r="E556" t="str">
            <v>BT6</v>
          </cell>
          <cell r="F556">
            <v>4.1473199999999997</v>
          </cell>
          <cell r="G556">
            <v>1.57884</v>
          </cell>
          <cell r="H556">
            <v>-1.39331</v>
          </cell>
        </row>
        <row r="557">
          <cell r="A557" t="str">
            <v>GRMZM2G023346</v>
          </cell>
          <cell r="B557" t="str">
            <v>GO:0009416GO:0005515GO:0004871</v>
          </cell>
          <cell r="C557" t="str">
            <v>protein</v>
          </cell>
          <cell r="D557" t="str">
            <v>BT0</v>
          </cell>
          <cell r="E557" t="str">
            <v>BT6</v>
          </cell>
          <cell r="F557">
            <v>1.11965</v>
          </cell>
          <cell r="G557">
            <v>0.48151100000000002</v>
          </cell>
          <cell r="H557">
            <v>-1.2174100000000001</v>
          </cell>
        </row>
        <row r="558">
          <cell r="A558" t="str">
            <v>GRMZM2G027183</v>
          </cell>
          <cell r="B558" t="str">
            <v>NA</v>
          </cell>
          <cell r="C558" t="str">
            <v>circadian clock coupling factor zgt</v>
          </cell>
          <cell r="D558" t="str">
            <v>BT0</v>
          </cell>
          <cell r="E558" t="str">
            <v>BT6</v>
          </cell>
          <cell r="F558">
            <v>0.85137499999999999</v>
          </cell>
          <cell r="G558">
            <v>1.7514700000000001</v>
          </cell>
          <cell r="H558">
            <v>1.0407</v>
          </cell>
        </row>
        <row r="559">
          <cell r="A559" t="str">
            <v>GRMZM2G459841</v>
          </cell>
          <cell r="B559" t="str">
            <v>NA</v>
          </cell>
          <cell r="C559" t="str">
            <v>uncharacterized protein LOC100501320</v>
          </cell>
          <cell r="D559" t="str">
            <v>BT0</v>
          </cell>
          <cell r="E559" t="str">
            <v>BT6</v>
          </cell>
          <cell r="F559">
            <v>1.76268</v>
          </cell>
          <cell r="G559">
            <v>0.58179199999999998</v>
          </cell>
          <cell r="H559">
            <v>-1.5992</v>
          </cell>
        </row>
        <row r="560">
          <cell r="A560" t="str">
            <v>AC234159.1_FG002</v>
          </cell>
          <cell r="B560" t="str">
            <v>GO:0005743GO:0006810GO:0005488GO:0005215</v>
          </cell>
          <cell r="C560" t="str">
            <v>NA</v>
          </cell>
          <cell r="D560" t="str">
            <v>BT0</v>
          </cell>
          <cell r="E560" t="str">
            <v>BT6</v>
          </cell>
          <cell r="F560">
            <v>1.0250999999999999</v>
          </cell>
          <cell r="G560">
            <v>2.3759999999999999</v>
          </cell>
          <cell r="H560">
            <v>1.2127699999999999</v>
          </cell>
        </row>
        <row r="561">
          <cell r="A561" t="str">
            <v>GRMZM2G027851</v>
          </cell>
          <cell r="B561" t="str">
            <v>GO:0006813GO:0006885GO:0008076GO:0006814GO:0005249GO:0015385</v>
          </cell>
          <cell r="C561" t="str">
            <v>na+ h+ antiporter</v>
          </cell>
          <cell r="D561" t="str">
            <v>BT0</v>
          </cell>
          <cell r="E561" t="str">
            <v>BT6</v>
          </cell>
          <cell r="F561">
            <v>9.0985600000000009</v>
          </cell>
          <cell r="G561">
            <v>18.994599999999998</v>
          </cell>
          <cell r="H561">
            <v>1.0618799999999999</v>
          </cell>
        </row>
        <row r="562">
          <cell r="A562" t="str">
            <v>GRMZM2G348863</v>
          </cell>
          <cell r="B562" t="str">
            <v>NA</v>
          </cell>
          <cell r="C562" t="str">
            <v>protein</v>
          </cell>
          <cell r="D562" t="str">
            <v>BT0</v>
          </cell>
          <cell r="E562" t="str">
            <v>BT6</v>
          </cell>
          <cell r="F562">
            <v>6.6129699999999998</v>
          </cell>
          <cell r="G562">
            <v>41.171399999999998</v>
          </cell>
          <cell r="H562">
            <v>2.6382699999999999</v>
          </cell>
        </row>
        <row r="563">
          <cell r="A563" t="str">
            <v>GRMZM2G427815</v>
          </cell>
          <cell r="B563" t="str">
            <v>GO:0004601GO:0006979GO:0020037GO:0009055</v>
          </cell>
          <cell r="C563" t="str">
            <v>peroxidase</v>
          </cell>
          <cell r="D563" t="str">
            <v>BT0</v>
          </cell>
          <cell r="E563" t="str">
            <v>BT6</v>
          </cell>
          <cell r="F563">
            <v>35.804499999999997</v>
          </cell>
          <cell r="G563">
            <v>11.3049</v>
          </cell>
          <cell r="H563">
            <v>-1.6632</v>
          </cell>
        </row>
        <row r="564">
          <cell r="A564" t="str">
            <v>PER42</v>
          </cell>
          <cell r="B564" t="str">
            <v>NA</v>
          </cell>
          <cell r="C564" t="str">
            <v>NA</v>
          </cell>
          <cell r="D564" t="str">
            <v>BT0</v>
          </cell>
          <cell r="E564" t="str">
            <v>BT6</v>
          </cell>
          <cell r="F564">
            <v>380.42500000000001</v>
          </cell>
          <cell r="G564">
            <v>171.97900000000001</v>
          </cell>
          <cell r="H564">
            <v>-1.1453800000000001</v>
          </cell>
        </row>
        <row r="565">
          <cell r="A565" t="str">
            <v>GRMZM2G181605</v>
          </cell>
          <cell r="B565" t="str">
            <v>GO:0045449GO:0003677</v>
          </cell>
          <cell r="C565" t="str">
            <v>nac transcription factor</v>
          </cell>
          <cell r="D565" t="str">
            <v>BT0</v>
          </cell>
          <cell r="E565" t="str">
            <v>BT6</v>
          </cell>
          <cell r="F565">
            <v>3.7013699999999998</v>
          </cell>
          <cell r="G565">
            <v>1.53155</v>
          </cell>
          <cell r="H565">
            <v>-1.2730699999999999</v>
          </cell>
        </row>
        <row r="566">
          <cell r="A566" t="str">
            <v>AC155434.2_FG003</v>
          </cell>
          <cell r="B566" t="str">
            <v>GO:0005634GO:0006350GO:0030528GO:0005515GO:0003677</v>
          </cell>
          <cell r="C566" t="str">
            <v>NA</v>
          </cell>
          <cell r="D566" t="str">
            <v>BT0</v>
          </cell>
          <cell r="E566" t="str">
            <v>BT6</v>
          </cell>
          <cell r="F566">
            <v>0.46273399999999998</v>
          </cell>
          <cell r="G566">
            <v>0.95488300000000004</v>
          </cell>
          <cell r="H566">
            <v>1.04514</v>
          </cell>
        </row>
        <row r="567">
          <cell r="A567" t="str">
            <v>GRMZM2G177104</v>
          </cell>
          <cell r="B567" t="str">
            <v>GO:0016491</v>
          </cell>
          <cell r="C567" t="str">
            <v>gibberellin 2-beta-dioxygenase 8-like</v>
          </cell>
          <cell r="D567" t="str">
            <v>BT0</v>
          </cell>
          <cell r="E567" t="str">
            <v>BT6</v>
          </cell>
          <cell r="F567">
            <v>3.1970399999999999</v>
          </cell>
          <cell r="G567">
            <v>9.2225699999999993</v>
          </cell>
          <cell r="H567">
            <v>1.52843</v>
          </cell>
        </row>
        <row r="568">
          <cell r="A568" t="str">
            <v>GRMZM2G071436</v>
          </cell>
          <cell r="B568" t="str">
            <v>NA</v>
          </cell>
          <cell r="C568" t="str">
            <v>uncharacterized protein LOC100278663</v>
          </cell>
          <cell r="D568" t="str">
            <v>BT0</v>
          </cell>
          <cell r="E568" t="str">
            <v>BT6</v>
          </cell>
          <cell r="F568">
            <v>1.0554699999999999</v>
          </cell>
          <cell r="G568">
            <v>6.9134200000000003</v>
          </cell>
          <cell r="H568">
            <v>2.7115100000000001</v>
          </cell>
        </row>
        <row r="569">
          <cell r="A569" t="str">
            <v>GRMZM2G015654</v>
          </cell>
          <cell r="B569" t="str">
            <v>GO:0008107GO:0016020GO:0042546</v>
          </cell>
          <cell r="C569" t="str">
            <v>xyloglucan fucosyltransferase</v>
          </cell>
          <cell r="D569" t="str">
            <v>BT0</v>
          </cell>
          <cell r="E569" t="str">
            <v>BT6</v>
          </cell>
          <cell r="F569">
            <v>3.5211000000000001</v>
          </cell>
          <cell r="G569">
            <v>1.17137</v>
          </cell>
          <cell r="H569">
            <v>-1.5878399999999999</v>
          </cell>
        </row>
        <row r="570">
          <cell r="A570" t="str">
            <v>GRMZM2G044194</v>
          </cell>
          <cell r="B570" t="str">
            <v>GO:0008083GO:0008283GO:0005576GO:0050825GO:0042309GO:0050826</v>
          </cell>
          <cell r="C570" t="str">
            <v>phytosulfokines 4 precursor</v>
          </cell>
          <cell r="D570" t="str">
            <v>BT0</v>
          </cell>
          <cell r="E570" t="str">
            <v>BT6</v>
          </cell>
          <cell r="F570">
            <v>1.95082</v>
          </cell>
          <cell r="G570">
            <v>4.2494300000000003</v>
          </cell>
          <cell r="H570">
            <v>1.1231899999999999</v>
          </cell>
        </row>
        <row r="571">
          <cell r="A571" t="str">
            <v>GRMZM2G148831</v>
          </cell>
          <cell r="B571" t="str">
            <v>NA</v>
          </cell>
          <cell r="C571" t="str">
            <v>hypothetical protein SORBIDRAFT_02g002380</v>
          </cell>
          <cell r="D571" t="str">
            <v>BT0</v>
          </cell>
          <cell r="E571" t="str">
            <v>BT6</v>
          </cell>
          <cell r="F571">
            <v>1.06219</v>
          </cell>
          <cell r="G571">
            <v>0.498691</v>
          </cell>
          <cell r="H571">
            <v>-1.09083</v>
          </cell>
        </row>
        <row r="572">
          <cell r="A572" t="str">
            <v>GRMZM2G003306</v>
          </cell>
          <cell r="B572" t="str">
            <v>GO:0006334GO:0003677GO:0005634GO:0000786</v>
          </cell>
          <cell r="C572" t="str">
            <v>histone h2a</v>
          </cell>
          <cell r="D572" t="str">
            <v>BT0</v>
          </cell>
          <cell r="E572" t="str">
            <v>BT6</v>
          </cell>
          <cell r="F572">
            <v>37.823999999999998</v>
          </cell>
          <cell r="G572">
            <v>18.175699999999999</v>
          </cell>
          <cell r="H572">
            <v>-1.0572900000000001</v>
          </cell>
        </row>
        <row r="573">
          <cell r="A573" t="str">
            <v>GRMZM2G122810</v>
          </cell>
          <cell r="B573" t="str">
            <v>GO:0008825GO:0006694</v>
          </cell>
          <cell r="C573" t="str">
            <v>24-sterol c-methyltransferase</v>
          </cell>
          <cell r="D573" t="str">
            <v>BT0</v>
          </cell>
          <cell r="E573" t="str">
            <v>BT6</v>
          </cell>
          <cell r="F573">
            <v>11.429600000000001</v>
          </cell>
          <cell r="G573">
            <v>4.7084999999999999</v>
          </cell>
          <cell r="H573">
            <v>-1.2794300000000001</v>
          </cell>
        </row>
        <row r="574">
          <cell r="A574" t="str">
            <v>GRMZM2G076417</v>
          </cell>
          <cell r="B574" t="str">
            <v>GO:0006508GO:0043086GO:0042802GO:0004252</v>
          </cell>
          <cell r="C574" t="str">
            <v>subtilisin-like protease-like</v>
          </cell>
          <cell r="D574" t="str">
            <v>BT0</v>
          </cell>
          <cell r="E574" t="str">
            <v>BT6</v>
          </cell>
          <cell r="F574">
            <v>1.82369</v>
          </cell>
          <cell r="G574">
            <v>6.0398500000000004</v>
          </cell>
          <cell r="H574">
            <v>1.7276499999999999</v>
          </cell>
        </row>
        <row r="575">
          <cell r="A575" t="str">
            <v>GRMZM2G123119</v>
          </cell>
          <cell r="B575" t="str">
            <v>GO:0003700GO:0006355</v>
          </cell>
          <cell r="C575" t="str">
            <v>ethylene responsive element binding protein</v>
          </cell>
          <cell r="D575" t="str">
            <v>BT0</v>
          </cell>
          <cell r="E575" t="str">
            <v>BT6</v>
          </cell>
          <cell r="F575">
            <v>10.1067</v>
          </cell>
          <cell r="G575">
            <v>2.9230200000000002</v>
          </cell>
          <cell r="H575">
            <v>-1.7897799999999999</v>
          </cell>
        </row>
        <row r="576">
          <cell r="A576" t="str">
            <v>GRMZM2G176721</v>
          </cell>
          <cell r="B576" t="str">
            <v>GO:0015904GO:0016021GO:0015520GO:0046677</v>
          </cell>
          <cell r="C576" t="str">
            <v>protein spinster-like</v>
          </cell>
          <cell r="D576" t="str">
            <v>BT0</v>
          </cell>
          <cell r="E576" t="str">
            <v>BT6</v>
          </cell>
          <cell r="F576">
            <v>1.4432</v>
          </cell>
          <cell r="G576">
            <v>0.71104599999999996</v>
          </cell>
          <cell r="H576">
            <v>-1.0212600000000001</v>
          </cell>
        </row>
        <row r="577">
          <cell r="A577" t="str">
            <v>GRMZM2G155806</v>
          </cell>
          <cell r="B577" t="str">
            <v>GO:0003723</v>
          </cell>
          <cell r="C577" t="str">
            <v>pumilio homolog chloroplastic-like</v>
          </cell>
          <cell r="D577" t="str">
            <v>BT0</v>
          </cell>
          <cell r="E577" t="str">
            <v>BT6</v>
          </cell>
          <cell r="F577">
            <v>0.53645200000000004</v>
          </cell>
          <cell r="G577">
            <v>1.1041099999999999</v>
          </cell>
          <cell r="H577">
            <v>1.0413699999999999</v>
          </cell>
        </row>
        <row r="578">
          <cell r="A578" t="str">
            <v>GRMZM2G169149</v>
          </cell>
          <cell r="B578" t="str">
            <v>GO:0003700GO:0043565GO:0005634GO:0045449</v>
          </cell>
          <cell r="C578" t="str">
            <v>wrky62 - superfamily of tfs having wrky and zinc finger domains</v>
          </cell>
          <cell r="D578" t="str">
            <v>BT0</v>
          </cell>
          <cell r="E578" t="str">
            <v>BT6</v>
          </cell>
          <cell r="F578">
            <v>2.7345100000000002</v>
          </cell>
          <cell r="G578">
            <v>1.31497</v>
          </cell>
          <cell r="H578">
            <v>-1.05626</v>
          </cell>
        </row>
        <row r="579">
          <cell r="A579" t="str">
            <v>GRMZM2G339728</v>
          </cell>
          <cell r="B579" t="str">
            <v>GO:0016020GO:0051260</v>
          </cell>
          <cell r="C579">
            <v>0</v>
          </cell>
          <cell r="D579" t="str">
            <v>BT0</v>
          </cell>
          <cell r="E579" t="str">
            <v>BT6</v>
          </cell>
          <cell r="F579">
            <v>0.97496400000000005</v>
          </cell>
          <cell r="G579">
            <v>2.2490999999999999</v>
          </cell>
          <cell r="H579">
            <v>1.2059299999999999</v>
          </cell>
        </row>
        <row r="580">
          <cell r="A580" t="str">
            <v>GRMZM2G121649</v>
          </cell>
          <cell r="B580" t="str">
            <v>NA</v>
          </cell>
          <cell r="C580" t="str">
            <v>65-kda microtubule-associated protein 7-like</v>
          </cell>
          <cell r="D580" t="str">
            <v>BT0</v>
          </cell>
          <cell r="E580" t="str">
            <v>BT6</v>
          </cell>
          <cell r="F580">
            <v>20.779299999999999</v>
          </cell>
          <cell r="G580">
            <v>9.9425100000000004</v>
          </cell>
          <cell r="H580">
            <v>-1.0634600000000001</v>
          </cell>
        </row>
        <row r="581">
          <cell r="A581" t="str">
            <v>GRMZM2G174799</v>
          </cell>
          <cell r="B581" t="str">
            <v>GO:0006355GO:0005634GO:0004879GO:0003677</v>
          </cell>
          <cell r="C581" t="str">
            <v>fasciclin-like arabinogalactan protein 7 precursor</v>
          </cell>
          <cell r="D581" t="str">
            <v>BT0</v>
          </cell>
          <cell r="E581" t="str">
            <v>BT6</v>
          </cell>
          <cell r="F581">
            <v>12.7454</v>
          </cell>
          <cell r="G581">
            <v>5.5904400000000001</v>
          </cell>
          <cell r="H581">
            <v>-1.1889400000000001</v>
          </cell>
        </row>
        <row r="582">
          <cell r="A582" t="str">
            <v>GRMZM2G054277</v>
          </cell>
          <cell r="B582" t="str">
            <v>GO:0045449GO:0003677</v>
          </cell>
          <cell r="C582" t="str">
            <v>nac domain protein</v>
          </cell>
          <cell r="D582" t="str">
            <v>BT0</v>
          </cell>
          <cell r="E582" t="str">
            <v>BT6</v>
          </cell>
          <cell r="F582">
            <v>8.3671699999999998</v>
          </cell>
          <cell r="G582">
            <v>3.3323</v>
          </cell>
          <cell r="H582">
            <v>-1.32822</v>
          </cell>
        </row>
        <row r="583">
          <cell r="A583" t="str">
            <v>GRMZM2G078465</v>
          </cell>
          <cell r="B583" t="str">
            <v>NA</v>
          </cell>
          <cell r="C583" t="str">
            <v>udp-glucose:salicylic acid glucosyltransferase</v>
          </cell>
          <cell r="D583" t="str">
            <v>BT0</v>
          </cell>
          <cell r="E583" t="str">
            <v>BT6</v>
          </cell>
          <cell r="F583">
            <v>0.93955900000000003</v>
          </cell>
          <cell r="G583">
            <v>3.11496</v>
          </cell>
          <cell r="H583">
            <v>1.72916</v>
          </cell>
        </row>
        <row r="584">
          <cell r="A584" t="str">
            <v>GRMZM2G065617</v>
          </cell>
          <cell r="B584" t="str">
            <v>NA</v>
          </cell>
          <cell r="C584" t="str">
            <v>udp-glucose:salicylic acid glucosyltransferase</v>
          </cell>
          <cell r="D584" t="str">
            <v>BT0</v>
          </cell>
          <cell r="E584" t="str">
            <v>BT6</v>
          </cell>
          <cell r="F584">
            <v>0.990541</v>
          </cell>
          <cell r="G584">
            <v>0.43131799999999998</v>
          </cell>
          <cell r="H584">
            <v>-1.19947</v>
          </cell>
        </row>
        <row r="585">
          <cell r="A585" t="str">
            <v>GRMZM2G109448</v>
          </cell>
          <cell r="B585" t="str">
            <v>GO:0006334GO:0003677GO:0005634GO:0000786</v>
          </cell>
          <cell r="C585" t="str">
            <v>histone h2a</v>
          </cell>
          <cell r="D585" t="str">
            <v>BT0</v>
          </cell>
          <cell r="E585" t="str">
            <v>BT6</v>
          </cell>
          <cell r="F585">
            <v>5.7412299999999998</v>
          </cell>
          <cell r="G585">
            <v>2.6398299999999999</v>
          </cell>
          <cell r="H585">
            <v>-1.1209199999999999</v>
          </cell>
        </row>
        <row r="586">
          <cell r="A586" t="str">
            <v>GRMZM2G162893</v>
          </cell>
          <cell r="B586" t="str">
            <v>GO:0005634GO:0045449GO:0030528</v>
          </cell>
          <cell r="C586" t="str">
            <v>bhlh transcription factor-like protein</v>
          </cell>
          <cell r="D586" t="str">
            <v>BT0</v>
          </cell>
          <cell r="E586" t="str">
            <v>BT6</v>
          </cell>
          <cell r="F586">
            <v>0.38800499999999999</v>
          </cell>
          <cell r="G586">
            <v>0.96561699999999995</v>
          </cell>
          <cell r="H586">
            <v>1.31538</v>
          </cell>
        </row>
        <row r="587">
          <cell r="A587" t="str">
            <v>H4C7</v>
          </cell>
          <cell r="B587" t="str">
            <v>NA</v>
          </cell>
          <cell r="C587" t="str">
            <v>NA</v>
          </cell>
          <cell r="D587" t="str">
            <v>BT0</v>
          </cell>
          <cell r="E587" t="str">
            <v>BT6</v>
          </cell>
          <cell r="F587">
            <v>242.529</v>
          </cell>
          <cell r="G587">
            <v>87.713399999999993</v>
          </cell>
          <cell r="H587">
            <v>-1.46729</v>
          </cell>
        </row>
        <row r="588">
          <cell r="A588" t="str">
            <v>GRMZM2G468657</v>
          </cell>
          <cell r="B588" t="str">
            <v>GO:0016021GO:0001619GO:0006835GO:0006508GO:0004190GO:0017153GO:0007186</v>
          </cell>
          <cell r="C588" t="str">
            <v>aspartic proteinase nepenthesin-1</v>
          </cell>
          <cell r="D588" t="str">
            <v>BT0</v>
          </cell>
          <cell r="E588" t="str">
            <v>BT6</v>
          </cell>
          <cell r="F588">
            <v>1.0944799999999999</v>
          </cell>
          <cell r="G588">
            <v>0.28693600000000002</v>
          </cell>
          <cell r="H588">
            <v>-1.93144</v>
          </cell>
        </row>
        <row r="589">
          <cell r="A589" t="str">
            <v>GRMZM2G179777</v>
          </cell>
          <cell r="B589" t="str">
            <v>NA</v>
          </cell>
          <cell r="C589" t="str">
            <v>gdsl esterase lipase at4g10955-like</v>
          </cell>
          <cell r="D589" t="str">
            <v>BT0</v>
          </cell>
          <cell r="E589" t="str">
            <v>BT6</v>
          </cell>
          <cell r="F589">
            <v>1.6230100000000001</v>
          </cell>
          <cell r="G589">
            <v>0.49054999999999999</v>
          </cell>
          <cell r="H589">
            <v>-1.7262</v>
          </cell>
        </row>
        <row r="590">
          <cell r="A590" t="str">
            <v>GRMZM2G010702</v>
          </cell>
          <cell r="B590" t="str">
            <v>NA</v>
          </cell>
          <cell r="C590" t="str">
            <v>uncharacterized protein LOC100382154</v>
          </cell>
          <cell r="D590" t="str">
            <v>BT0</v>
          </cell>
          <cell r="E590" t="str">
            <v>BT6</v>
          </cell>
          <cell r="F590">
            <v>6.3342799999999997</v>
          </cell>
          <cell r="G590">
            <v>2.0898099999999999</v>
          </cell>
          <cell r="H590">
            <v>-1.59981</v>
          </cell>
        </row>
        <row r="591">
          <cell r="A591" t="str">
            <v>GRMZM2G167497</v>
          </cell>
          <cell r="B591" t="str">
            <v>GO:0030246</v>
          </cell>
          <cell r="C591" t="str">
            <v>cobra-like protein 4</v>
          </cell>
          <cell r="D591" t="str">
            <v>BT0</v>
          </cell>
          <cell r="E591" t="str">
            <v>BT6</v>
          </cell>
          <cell r="F591">
            <v>5.3484499999999997</v>
          </cell>
          <cell r="G591">
            <v>1.8572</v>
          </cell>
          <cell r="H591">
            <v>-1.52599</v>
          </cell>
        </row>
        <row r="592">
          <cell r="A592" t="str">
            <v>GRMZM2G459820</v>
          </cell>
          <cell r="B592" t="str">
            <v>NA</v>
          </cell>
          <cell r="C592" t="str">
            <v>hypothetical protein SORBIDRAFT_02g040030</v>
          </cell>
          <cell r="D592" t="str">
            <v>BT0</v>
          </cell>
          <cell r="E592" t="str">
            <v>BT6</v>
          </cell>
          <cell r="F592">
            <v>1.7861400000000001</v>
          </cell>
          <cell r="G592">
            <v>0.52727900000000005</v>
          </cell>
          <cell r="H592">
            <v>-1.7602</v>
          </cell>
        </row>
        <row r="593">
          <cell r="A593" t="str">
            <v>GRMZM2G066636</v>
          </cell>
          <cell r="B593" t="str">
            <v>GO:0003824GO:0008152</v>
          </cell>
          <cell r="C593" t="str">
            <v>catalytic hydrolase</v>
          </cell>
          <cell r="D593" t="str">
            <v>BT0</v>
          </cell>
          <cell r="E593" t="str">
            <v>BT6</v>
          </cell>
          <cell r="F593">
            <v>11.9543</v>
          </cell>
          <cell r="G593">
            <v>24.328700000000001</v>
          </cell>
          <cell r="H593">
            <v>1.0251300000000001</v>
          </cell>
        </row>
        <row r="594">
          <cell r="A594" t="str">
            <v>GRMZM2G326270</v>
          </cell>
          <cell r="B594" t="str">
            <v>GO:0008967GO:0008152</v>
          </cell>
          <cell r="C594" t="str">
            <v>haloacid dehalogenase-like hydrolase domain-containing protein 3-like</v>
          </cell>
          <cell r="D594" t="str">
            <v>BT0</v>
          </cell>
          <cell r="E594" t="str">
            <v>BT6</v>
          </cell>
          <cell r="F594">
            <v>17.425899999999999</v>
          </cell>
          <cell r="G594">
            <v>55.494100000000003</v>
          </cell>
          <cell r="H594">
            <v>1.6711</v>
          </cell>
        </row>
        <row r="595">
          <cell r="A595" t="str">
            <v>GRMZM2G042347</v>
          </cell>
          <cell r="B595" t="str">
            <v>GO:0004601GO:0006979GO:0020037GO:0009055</v>
          </cell>
          <cell r="C595" t="str">
            <v>peroxidase</v>
          </cell>
          <cell r="D595" t="str">
            <v>BT0</v>
          </cell>
          <cell r="E595" t="str">
            <v>BT6</v>
          </cell>
          <cell r="F595">
            <v>1.1626300000000001</v>
          </cell>
          <cell r="G595">
            <v>0.42072399999999999</v>
          </cell>
          <cell r="H595">
            <v>-1.46645</v>
          </cell>
        </row>
        <row r="596">
          <cell r="A596" t="str">
            <v>GRMZM2G304091</v>
          </cell>
          <cell r="B596" t="str">
            <v>NA</v>
          </cell>
          <cell r="C596" t="str">
            <v>unknown</v>
          </cell>
          <cell r="D596" t="str">
            <v>BT0</v>
          </cell>
          <cell r="E596" t="str">
            <v>BT6</v>
          </cell>
          <cell r="F596">
            <v>0.431475</v>
          </cell>
          <cell r="G596">
            <v>1.0350900000000001</v>
          </cell>
          <cell r="H596">
            <v>1.2624</v>
          </cell>
        </row>
        <row r="597">
          <cell r="A597" t="str">
            <v>GRMZM2G050325</v>
          </cell>
          <cell r="B597" t="str">
            <v>GO:0003824GO:0009058</v>
          </cell>
          <cell r="C597" t="str">
            <v>uncharacterized isomerase bh0283-like</v>
          </cell>
          <cell r="D597" t="str">
            <v>BT0</v>
          </cell>
          <cell r="E597" t="str">
            <v>BT6</v>
          </cell>
          <cell r="F597">
            <v>11.293200000000001</v>
          </cell>
          <cell r="G597">
            <v>23.361499999999999</v>
          </cell>
          <cell r="H597">
            <v>1.0486800000000001</v>
          </cell>
        </row>
        <row r="598">
          <cell r="A598" t="str">
            <v>GRMZM2G015361</v>
          </cell>
          <cell r="B598" t="str">
            <v>GO:0006886GO:0005622GO:0004871GO:0007264GO:0007186GO:0005525</v>
          </cell>
          <cell r="C598" t="str">
            <v>adp-ribosylation factor</v>
          </cell>
          <cell r="D598" t="str">
            <v>BT0</v>
          </cell>
          <cell r="E598" t="str">
            <v>BT6</v>
          </cell>
          <cell r="F598">
            <v>3.66967</v>
          </cell>
          <cell r="G598">
            <v>1.4633</v>
          </cell>
          <cell r="H598">
            <v>-1.32643</v>
          </cell>
        </row>
        <row r="599">
          <cell r="A599" t="str">
            <v>zma-MIR169b</v>
          </cell>
          <cell r="B599" t="str">
            <v>NA</v>
          </cell>
          <cell r="C599" t="str">
            <v>NA</v>
          </cell>
          <cell r="D599" t="str">
            <v>BT0</v>
          </cell>
          <cell r="E599" t="str">
            <v>BT6</v>
          </cell>
          <cell r="F599">
            <v>0</v>
          </cell>
          <cell r="G599">
            <v>28.310500000000001</v>
          </cell>
          <cell r="H599" t="str">
            <v>BD</v>
          </cell>
        </row>
        <row r="600">
          <cell r="A600" t="str">
            <v>GRMZM2G058681</v>
          </cell>
          <cell r="B600" t="str">
            <v>GO:0003735GO:0008270GO:0006412GO:0005840</v>
          </cell>
          <cell r="C600" t="str">
            <v>protein</v>
          </cell>
          <cell r="D600" t="str">
            <v>BT0</v>
          </cell>
          <cell r="E600" t="str">
            <v>BT6</v>
          </cell>
          <cell r="F600">
            <v>0.68254000000000004</v>
          </cell>
          <cell r="G600">
            <v>7.5961400000000001</v>
          </cell>
          <cell r="H600">
            <v>3.47628</v>
          </cell>
        </row>
        <row r="601">
          <cell r="A601" t="str">
            <v>GRMZM2G036290</v>
          </cell>
          <cell r="B601" t="str">
            <v>GO:0008299GO:0046872GO:0030604</v>
          </cell>
          <cell r="C601" t="str">
            <v>1-deoxy-d-xylulose 5-phosphate reductoisomerase</v>
          </cell>
          <cell r="D601" t="str">
            <v>BT0</v>
          </cell>
          <cell r="E601" t="str">
            <v>BT6</v>
          </cell>
          <cell r="F601">
            <v>1.1334599999999999</v>
          </cell>
          <cell r="G601">
            <v>2.64649</v>
          </cell>
          <cell r="H601">
            <v>1.2233400000000001</v>
          </cell>
        </row>
        <row r="602">
          <cell r="A602" t="str">
            <v>GRMZM5G825193</v>
          </cell>
          <cell r="B602" t="str">
            <v>NA</v>
          </cell>
          <cell r="C602" t="str">
            <v>receptor serine threonine kinase pr5k</v>
          </cell>
          <cell r="D602" t="str">
            <v>BT0</v>
          </cell>
          <cell r="E602" t="str">
            <v>BT6</v>
          </cell>
          <cell r="F602">
            <v>0.62778699999999998</v>
          </cell>
          <cell r="G602">
            <v>1.96384</v>
          </cell>
          <cell r="H602">
            <v>1.64533</v>
          </cell>
        </row>
        <row r="603">
          <cell r="A603" t="str">
            <v>GRMZM2G444567</v>
          </cell>
          <cell r="B603" t="str">
            <v>NA</v>
          </cell>
          <cell r="C603" t="str">
            <v>uncharacterized protein LOC100275454</v>
          </cell>
          <cell r="D603" t="str">
            <v>BT0</v>
          </cell>
          <cell r="E603" t="str">
            <v>BT6</v>
          </cell>
          <cell r="F603">
            <v>1.7856099999999999</v>
          </cell>
          <cell r="G603">
            <v>3.6374900000000001</v>
          </cell>
          <cell r="H603">
            <v>1.0265299999999999</v>
          </cell>
        </row>
        <row r="604">
          <cell r="A604" t="str">
            <v>GRMZM2G001721</v>
          </cell>
          <cell r="B604" t="str">
            <v>NA</v>
          </cell>
          <cell r="C604" t="str">
            <v>uncharacterized plant-specific domain tigr01568 family expressed</v>
          </cell>
          <cell r="D604" t="str">
            <v>BT0</v>
          </cell>
          <cell r="E604" t="str">
            <v>BT6</v>
          </cell>
          <cell r="F604">
            <v>4.6582400000000002</v>
          </cell>
          <cell r="G604">
            <v>2.2400500000000001</v>
          </cell>
          <cell r="H604">
            <v>-1.0562499999999999</v>
          </cell>
        </row>
        <row r="605">
          <cell r="A605" t="str">
            <v>GRMZM2G516301</v>
          </cell>
          <cell r="B605" t="str">
            <v>GO:0003700GO:0043565GO:0005634GO:0045449</v>
          </cell>
          <cell r="C605" t="str">
            <v>wrky transcription factor</v>
          </cell>
          <cell r="D605" t="str">
            <v>BT0</v>
          </cell>
          <cell r="E605" t="str">
            <v>BT6</v>
          </cell>
          <cell r="F605">
            <v>8.9835600000000007</v>
          </cell>
          <cell r="G605">
            <v>2.0699399999999999</v>
          </cell>
          <cell r="H605">
            <v>-2.1177000000000001</v>
          </cell>
        </row>
        <row r="606">
          <cell r="A606" t="str">
            <v>GRMZM2G095280</v>
          </cell>
          <cell r="B606" t="str">
            <v>GO:0016758GO:0008152</v>
          </cell>
          <cell r="C606" t="str">
            <v>indole-3-acetate beta-glucosyltransferase</v>
          </cell>
          <cell r="D606" t="str">
            <v>BT0</v>
          </cell>
          <cell r="E606" t="str">
            <v>BT6</v>
          </cell>
          <cell r="F606">
            <v>7.7362399999999996</v>
          </cell>
          <cell r="G606">
            <v>1.27054</v>
          </cell>
          <cell r="H606">
            <v>-2.6061899999999998</v>
          </cell>
        </row>
        <row r="607">
          <cell r="A607" t="str">
            <v>GRMZM2G049695</v>
          </cell>
          <cell r="B607" t="str">
            <v>GO:0003677GO:0050825GO:0008270GO:0042309GO:0050826</v>
          </cell>
          <cell r="C607" t="str">
            <v>mcb2 protein</v>
          </cell>
          <cell r="D607" t="str">
            <v>BT0</v>
          </cell>
          <cell r="E607" t="str">
            <v>BT6</v>
          </cell>
          <cell r="F607">
            <v>10.908799999999999</v>
          </cell>
          <cell r="G607">
            <v>3.3734899999999999</v>
          </cell>
          <cell r="H607">
            <v>-1.6931799999999999</v>
          </cell>
        </row>
        <row r="608">
          <cell r="A608" t="str">
            <v>AC195174.2_FG007</v>
          </cell>
          <cell r="B608" t="str">
            <v>NA</v>
          </cell>
          <cell r="C608" t="str">
            <v>NA</v>
          </cell>
          <cell r="D608" t="str">
            <v>BT0</v>
          </cell>
          <cell r="E608" t="str">
            <v>BT6</v>
          </cell>
          <cell r="F608">
            <v>0</v>
          </cell>
          <cell r="G608">
            <v>21.439699999999998</v>
          </cell>
          <cell r="H608" t="str">
            <v>BD</v>
          </cell>
        </row>
        <row r="609">
          <cell r="A609" t="str">
            <v>GRMZM2G467370</v>
          </cell>
          <cell r="B609" t="str">
            <v>NA</v>
          </cell>
          <cell r="C609" t="str">
            <v>unknown</v>
          </cell>
          <cell r="D609" t="str">
            <v>BT0</v>
          </cell>
          <cell r="E609" t="str">
            <v>BT6</v>
          </cell>
          <cell r="F609">
            <v>21.536100000000001</v>
          </cell>
          <cell r="G609">
            <v>10.6874</v>
          </cell>
          <cell r="H609">
            <v>-1.01085</v>
          </cell>
        </row>
        <row r="610">
          <cell r="A610" t="str">
            <v>GRMZM2G148904</v>
          </cell>
          <cell r="B610" t="str">
            <v>GO:0008168GO:0008152</v>
          </cell>
          <cell r="C610" t="str">
            <v>methyltransferase ddb_g0268948-like</v>
          </cell>
          <cell r="D610" t="str">
            <v>BT0</v>
          </cell>
          <cell r="E610" t="str">
            <v>BT6</v>
          </cell>
          <cell r="F610">
            <v>52.618499999999997</v>
          </cell>
          <cell r="G610">
            <v>25.751999999999999</v>
          </cell>
          <cell r="H610">
            <v>-1.03088</v>
          </cell>
        </row>
        <row r="611">
          <cell r="A611" t="str">
            <v>GRMZM2G010016</v>
          </cell>
          <cell r="B611" t="str">
            <v>NA</v>
          </cell>
          <cell r="C611" t="str">
            <v>uncharacterized protein LOC100279169</v>
          </cell>
          <cell r="D611" t="str">
            <v>BT0</v>
          </cell>
          <cell r="E611" t="str">
            <v>BT6</v>
          </cell>
          <cell r="F611">
            <v>5.0083200000000003</v>
          </cell>
          <cell r="G611">
            <v>10.350300000000001</v>
          </cell>
          <cell r="H611">
            <v>1.04728</v>
          </cell>
        </row>
        <row r="612">
          <cell r="A612" t="str">
            <v>GRMZM2G031827</v>
          </cell>
          <cell r="B612" t="str">
            <v>GO:0005634GO:0008270GO:0003723</v>
          </cell>
          <cell r="C612" t="str">
            <v>splicing factor u2af 38 kda subunit</v>
          </cell>
          <cell r="D612" t="str">
            <v>BT0</v>
          </cell>
          <cell r="E612" t="str">
            <v>BT6</v>
          </cell>
          <cell r="F612">
            <v>2.2209599999999998</v>
          </cell>
          <cell r="G612">
            <v>6.9764499999999998</v>
          </cell>
          <cell r="H612">
            <v>1.6513100000000001</v>
          </cell>
        </row>
        <row r="613">
          <cell r="A613" t="str">
            <v>GRMZM2G157153</v>
          </cell>
          <cell r="B613" t="str">
            <v>NA</v>
          </cell>
          <cell r="C613" t="str">
            <v>uncharacterized protein LOC100275692</v>
          </cell>
          <cell r="D613" t="str">
            <v>BT0</v>
          </cell>
          <cell r="E613" t="str">
            <v>BT6</v>
          </cell>
          <cell r="F613">
            <v>2.1166999999999998</v>
          </cell>
          <cell r="G613">
            <v>6.1545500000000004</v>
          </cell>
          <cell r="H613">
            <v>1.5398400000000001</v>
          </cell>
        </row>
        <row r="614">
          <cell r="A614" t="str">
            <v>GRMZM2G062974</v>
          </cell>
          <cell r="B614" t="str">
            <v>GO:0004568GO:0006032GO:0008061GO:0016998</v>
          </cell>
          <cell r="C614" t="str">
            <v>protein</v>
          </cell>
          <cell r="D614" t="str">
            <v>BT0</v>
          </cell>
          <cell r="E614" t="str">
            <v>BT6</v>
          </cell>
          <cell r="F614">
            <v>8.2205399999999997</v>
          </cell>
          <cell r="G614">
            <v>3.7814700000000001</v>
          </cell>
          <cell r="H614">
            <v>-1.1202799999999999</v>
          </cell>
        </row>
        <row r="615">
          <cell r="A615" t="str">
            <v>GRMZM2G060210</v>
          </cell>
          <cell r="B615" t="str">
            <v>GO:0016747</v>
          </cell>
          <cell r="C615" t="str">
            <v>3 -n-debenzoyl-2 -deoxytaxol n-benzoyltransferase-like</v>
          </cell>
          <cell r="D615" t="str">
            <v>BT0</v>
          </cell>
          <cell r="E615" t="str">
            <v>BT6</v>
          </cell>
          <cell r="F615">
            <v>7.7013999999999996</v>
          </cell>
          <cell r="G615">
            <v>2.4658000000000002</v>
          </cell>
          <cell r="H615">
            <v>-1.64307</v>
          </cell>
        </row>
        <row r="616">
          <cell r="A616" t="str">
            <v>GRMZM2G026470</v>
          </cell>
          <cell r="B616" t="str">
            <v>GO:0005737GO:0006796GO:0000287GO:0004427</v>
          </cell>
          <cell r="C616" t="str">
            <v>soluble inorganic pyrophosphatase</v>
          </cell>
          <cell r="D616" t="str">
            <v>BT0</v>
          </cell>
          <cell r="E616" t="str">
            <v>BT6</v>
          </cell>
          <cell r="F616">
            <v>119.562</v>
          </cell>
          <cell r="G616">
            <v>57.1126</v>
          </cell>
          <cell r="H616">
            <v>-1.0658700000000001</v>
          </cell>
        </row>
        <row r="617">
          <cell r="A617" t="str">
            <v>GRMZM2G033799</v>
          </cell>
          <cell r="B617" t="str">
            <v>GO:0016847GO:0009058GO:0030170GO:0016769</v>
          </cell>
          <cell r="C617" t="str">
            <v>aspartate aminotransferase</v>
          </cell>
          <cell r="D617" t="str">
            <v>BT0</v>
          </cell>
          <cell r="E617" t="str">
            <v>BT6</v>
          </cell>
          <cell r="F617">
            <v>10.387</v>
          </cell>
          <cell r="G617">
            <v>4.9237399999999996</v>
          </cell>
          <cell r="H617">
            <v>-1.0769599999999999</v>
          </cell>
        </row>
        <row r="618">
          <cell r="A618" t="str">
            <v>GRMZM2G167689</v>
          </cell>
          <cell r="B618" t="str">
            <v>NA</v>
          </cell>
          <cell r="C618" t="str">
            <v>NA</v>
          </cell>
          <cell r="D618" t="str">
            <v>BT0</v>
          </cell>
          <cell r="E618" t="str">
            <v>BT6</v>
          </cell>
          <cell r="F618">
            <v>3.89195</v>
          </cell>
          <cell r="G618">
            <v>8.3810099999999998</v>
          </cell>
          <cell r="H618">
            <v>1.10663</v>
          </cell>
        </row>
        <row r="619">
          <cell r="A619" t="str">
            <v>GRMZM2G066041</v>
          </cell>
          <cell r="B619" t="str">
            <v>GO:0006508GO:0004197</v>
          </cell>
          <cell r="C619" t="str">
            <v>latex-abundant protein</v>
          </cell>
          <cell r="D619" t="str">
            <v>BT0</v>
          </cell>
          <cell r="E619" t="str">
            <v>BT6</v>
          </cell>
          <cell r="F619">
            <v>1.17944</v>
          </cell>
          <cell r="G619">
            <v>0.49148999999999998</v>
          </cell>
          <cell r="H619">
            <v>-1.2628699999999999</v>
          </cell>
        </row>
        <row r="620">
          <cell r="A620" t="str">
            <v>GRMZM2G071223</v>
          </cell>
          <cell r="B620" t="str">
            <v>NA</v>
          </cell>
          <cell r="C620" t="str">
            <v>af385698_1 at2g43780</v>
          </cell>
          <cell r="D620" t="str">
            <v>BT0</v>
          </cell>
          <cell r="E620" t="str">
            <v>BT6</v>
          </cell>
          <cell r="F620">
            <v>1.04511</v>
          </cell>
          <cell r="G620">
            <v>2.6480399999999999</v>
          </cell>
          <cell r="H620">
            <v>1.34127</v>
          </cell>
        </row>
        <row r="621">
          <cell r="A621" t="str">
            <v>GRMZM2G420684</v>
          </cell>
          <cell r="B621" t="str">
            <v>GO:0003824GO:0016020</v>
          </cell>
          <cell r="C621" t="str">
            <v>protein</v>
          </cell>
          <cell r="D621" t="str">
            <v>BT0</v>
          </cell>
          <cell r="E621" t="str">
            <v>BT6</v>
          </cell>
          <cell r="F621">
            <v>27.053000000000001</v>
          </cell>
          <cell r="G621">
            <v>58.483199999999997</v>
          </cell>
          <cell r="H621">
            <v>1.1122300000000001</v>
          </cell>
        </row>
        <row r="622">
          <cell r="A622" t="str">
            <v>GRMZM2G013448</v>
          </cell>
          <cell r="B622" t="str">
            <v>NA</v>
          </cell>
          <cell r="C622" t="str">
            <v>1-aminocyclopropane-1-carboxylic acid oxidase</v>
          </cell>
          <cell r="D622" t="str">
            <v>BT0</v>
          </cell>
          <cell r="E622" t="str">
            <v>BT6</v>
          </cell>
          <cell r="F622">
            <v>3.8626299999999998</v>
          </cell>
          <cell r="G622">
            <v>1.2318</v>
          </cell>
          <cell r="H622">
            <v>-1.6488100000000001</v>
          </cell>
        </row>
        <row r="623">
          <cell r="A623" t="str">
            <v>AC187782.4_FG009</v>
          </cell>
          <cell r="B623" t="str">
            <v>NA</v>
          </cell>
          <cell r="C623" t="str">
            <v>NA</v>
          </cell>
          <cell r="D623" t="str">
            <v>BT0</v>
          </cell>
          <cell r="E623" t="str">
            <v>BT6</v>
          </cell>
          <cell r="F623">
            <v>0</v>
          </cell>
          <cell r="G623">
            <v>8.3925999999999998</v>
          </cell>
          <cell r="H623" t="str">
            <v>BD</v>
          </cell>
        </row>
        <row r="624">
          <cell r="A624" t="str">
            <v>GRMZM2G063583</v>
          </cell>
          <cell r="B624" t="str">
            <v>NA</v>
          </cell>
          <cell r="C624" t="str">
            <v>hypothetical protein SORBIDRAFT_03g026630</v>
          </cell>
          <cell r="D624" t="str">
            <v>BT0</v>
          </cell>
          <cell r="E624" t="str">
            <v>BT6</v>
          </cell>
          <cell r="F624">
            <v>0</v>
          </cell>
          <cell r="G624">
            <v>6.3032000000000004</v>
          </cell>
          <cell r="H624" t="str">
            <v>BD</v>
          </cell>
        </row>
        <row r="625">
          <cell r="A625" t="str">
            <v>GRMZM2G022402</v>
          </cell>
          <cell r="B625" t="str">
            <v>GO:0006629GO:0016788</v>
          </cell>
          <cell r="C625" t="str">
            <v>gdsl esterase lipase at4g16230-like</v>
          </cell>
          <cell r="D625" t="str">
            <v>BT0</v>
          </cell>
          <cell r="E625" t="str">
            <v>BT6</v>
          </cell>
          <cell r="F625">
            <v>4.8975200000000001</v>
          </cell>
          <cell r="G625">
            <v>2.2092700000000001</v>
          </cell>
          <cell r="H625">
            <v>-1.1484799999999999</v>
          </cell>
        </row>
        <row r="626">
          <cell r="A626" t="str">
            <v>GRMZM2G065829</v>
          </cell>
          <cell r="B626" t="str">
            <v>GO:0008270GO:0003677</v>
          </cell>
          <cell r="C626" t="str">
            <v>uncharacterized protein LOC100194332</v>
          </cell>
          <cell r="D626" t="str">
            <v>BT0</v>
          </cell>
          <cell r="E626" t="str">
            <v>BT6</v>
          </cell>
          <cell r="F626">
            <v>6.0737199999999998</v>
          </cell>
          <cell r="G626">
            <v>2.8473999999999999</v>
          </cell>
          <cell r="H626">
            <v>-1.09294</v>
          </cell>
        </row>
        <row r="627">
          <cell r="A627" t="str">
            <v>GRMZM2G145554</v>
          </cell>
          <cell r="B627" t="str">
            <v>GO:0003700GO:0043565GO:0005634GO:0045449</v>
          </cell>
          <cell r="C627" t="str">
            <v>wrky11 - superfamily of tfs having wrky and zinc finger domains</v>
          </cell>
          <cell r="D627" t="str">
            <v>BT0</v>
          </cell>
          <cell r="E627" t="str">
            <v>BT6</v>
          </cell>
          <cell r="F627">
            <v>0.86680699999999999</v>
          </cell>
          <cell r="G627">
            <v>0.33582099999999998</v>
          </cell>
          <cell r="H627">
            <v>-1.36802</v>
          </cell>
        </row>
        <row r="628">
          <cell r="A628" t="str">
            <v>GRMZM2G017386</v>
          </cell>
          <cell r="B628" t="str">
            <v>GO:0004674GO:0006468GO:0004713GO:0005524</v>
          </cell>
          <cell r="C628" t="str">
            <v>probable receptor-like protein kinase at2g42960-like</v>
          </cell>
          <cell r="D628" t="str">
            <v>BT0</v>
          </cell>
          <cell r="E628" t="str">
            <v>BT6</v>
          </cell>
          <cell r="F628">
            <v>12.0421</v>
          </cell>
          <cell r="G628">
            <v>3.6397599999999999</v>
          </cell>
          <cell r="H628">
            <v>-1.72617</v>
          </cell>
        </row>
        <row r="629">
          <cell r="A629" t="str">
            <v>GRMZM2G132547</v>
          </cell>
          <cell r="B629" t="str">
            <v>GO:0006221GO:0003883</v>
          </cell>
          <cell r="C629" t="str">
            <v>ctp synthase</v>
          </cell>
          <cell r="D629" t="str">
            <v>BT0</v>
          </cell>
          <cell r="E629" t="str">
            <v>BT6</v>
          </cell>
          <cell r="F629">
            <v>39.926600000000001</v>
          </cell>
          <cell r="G629">
            <v>10.3432</v>
          </cell>
          <cell r="H629">
            <v>-1.9486699999999999</v>
          </cell>
        </row>
        <row r="630">
          <cell r="A630" t="str">
            <v>GRMZM2G147721</v>
          </cell>
          <cell r="B630" t="str">
            <v>GO:0008299</v>
          </cell>
          <cell r="C630" t="str">
            <v>farnesyl pyrophosphate synthetase</v>
          </cell>
          <cell r="D630" t="str">
            <v>BT0</v>
          </cell>
          <cell r="E630" t="str">
            <v>BT6</v>
          </cell>
          <cell r="F630">
            <v>1.6263799999999999</v>
          </cell>
          <cell r="G630">
            <v>3.8686199999999999</v>
          </cell>
          <cell r="H630">
            <v>1.2501500000000001</v>
          </cell>
        </row>
        <row r="631">
          <cell r="A631" t="str">
            <v>GRMZM2G067702</v>
          </cell>
          <cell r="B631" t="str">
            <v>NA</v>
          </cell>
          <cell r="C631" t="str">
            <v>two-component response regulator arr1</v>
          </cell>
          <cell r="D631" t="str">
            <v>BT0</v>
          </cell>
          <cell r="E631" t="str">
            <v>BT6</v>
          </cell>
          <cell r="F631">
            <v>14.9857</v>
          </cell>
          <cell r="G631">
            <v>7.26281</v>
          </cell>
          <cell r="H631">
            <v>-1.0449900000000001</v>
          </cell>
        </row>
        <row r="632">
          <cell r="A632" t="str">
            <v>GRMZM2G000581</v>
          </cell>
          <cell r="B632" t="str">
            <v>GO:0016020</v>
          </cell>
          <cell r="C632" t="str">
            <v>secondary cell wall-related glycosyltransferase family 47</v>
          </cell>
          <cell r="D632" t="str">
            <v>BT0</v>
          </cell>
          <cell r="E632" t="str">
            <v>BT6</v>
          </cell>
          <cell r="F632">
            <v>2.6083400000000001</v>
          </cell>
          <cell r="G632">
            <v>1.2351700000000001</v>
          </cell>
          <cell r="H632">
            <v>-1.07843</v>
          </cell>
        </row>
        <row r="633">
          <cell r="A633" t="str">
            <v>GRMZM2G031204</v>
          </cell>
          <cell r="B633" t="str">
            <v>GO:0006457</v>
          </cell>
          <cell r="C633" t="str">
            <v>fk506 binding-like protein</v>
          </cell>
          <cell r="D633" t="str">
            <v>BT0</v>
          </cell>
          <cell r="E633" t="str">
            <v>BT6</v>
          </cell>
          <cell r="F633">
            <v>0</v>
          </cell>
          <cell r="G633">
            <v>7.9010400000000001</v>
          </cell>
          <cell r="H633" t="str">
            <v>BD</v>
          </cell>
        </row>
        <row r="634">
          <cell r="A634" t="str">
            <v>GRMZM2G112836</v>
          </cell>
          <cell r="B634" t="str">
            <v>NA</v>
          </cell>
          <cell r="C634" t="str">
            <v>auxin-regulated protein</v>
          </cell>
          <cell r="D634" t="str">
            <v>BT0</v>
          </cell>
          <cell r="E634" t="str">
            <v>BT6</v>
          </cell>
          <cell r="F634">
            <v>0.93010700000000002</v>
          </cell>
          <cell r="G634">
            <v>0.387957</v>
          </cell>
          <cell r="H634">
            <v>-1.2615000000000001</v>
          </cell>
        </row>
        <row r="635">
          <cell r="A635" t="str">
            <v>GRMZM2G135362</v>
          </cell>
          <cell r="B635" t="str">
            <v>GO:0006508GO:0004197GO:0005198</v>
          </cell>
          <cell r="C635" t="str">
            <v>protein kinase-like</v>
          </cell>
          <cell r="D635" t="str">
            <v>BT0</v>
          </cell>
          <cell r="E635" t="str">
            <v>BT6</v>
          </cell>
          <cell r="F635">
            <v>1.84158</v>
          </cell>
          <cell r="G635">
            <v>3.7256999999999998</v>
          </cell>
          <cell r="H635">
            <v>1.01657</v>
          </cell>
        </row>
        <row r="636">
          <cell r="A636" t="str">
            <v>GRMZM2G035421</v>
          </cell>
          <cell r="B636" t="str">
            <v>GO:0006629</v>
          </cell>
          <cell r="C636" t="str">
            <v>triacylglycerol lipase sdp1-like</v>
          </cell>
          <cell r="D636" t="str">
            <v>BT0</v>
          </cell>
          <cell r="E636" t="str">
            <v>BT6</v>
          </cell>
          <cell r="F636">
            <v>0.46845700000000001</v>
          </cell>
          <cell r="G636">
            <v>1.0429900000000001</v>
          </cell>
          <cell r="H636">
            <v>1.15473</v>
          </cell>
        </row>
        <row r="637">
          <cell r="A637" t="str">
            <v>GRMZM2G019515</v>
          </cell>
          <cell r="B637" t="str">
            <v>GO:0050661GO:0050660GO:0004499GO:0008152GO:0043087GO:0009055</v>
          </cell>
          <cell r="C637" t="str">
            <v>disulfide oxidoreductase monooxygenase oxidoreductase</v>
          </cell>
          <cell r="D637" t="str">
            <v>BT0</v>
          </cell>
          <cell r="E637" t="str">
            <v>BT6</v>
          </cell>
          <cell r="F637">
            <v>2.74838</v>
          </cell>
          <cell r="G637">
            <v>1.3341000000000001</v>
          </cell>
          <cell r="H637">
            <v>-1.0427200000000001</v>
          </cell>
        </row>
        <row r="638">
          <cell r="A638" t="str">
            <v>GRMZM2G146004</v>
          </cell>
          <cell r="B638" t="str">
            <v>GO:0050825GO:0042309GO:0050826</v>
          </cell>
          <cell r="C638" t="str">
            <v>NA</v>
          </cell>
          <cell r="D638" t="str">
            <v>BT0</v>
          </cell>
          <cell r="E638" t="str">
            <v>BT6</v>
          </cell>
          <cell r="F638">
            <v>38.310400000000001</v>
          </cell>
          <cell r="G638">
            <v>103.691</v>
          </cell>
          <cell r="H638">
            <v>1.43648</v>
          </cell>
        </row>
        <row r="639">
          <cell r="A639" t="str">
            <v>GRMZM2G156632</v>
          </cell>
          <cell r="B639" t="str">
            <v>GO:0005576GO:0004867</v>
          </cell>
          <cell r="C639" t="str">
            <v>wound-induced serine protease inhibitor</v>
          </cell>
          <cell r="D639" t="str">
            <v>BT0</v>
          </cell>
          <cell r="E639" t="str">
            <v>BT6</v>
          </cell>
          <cell r="F639">
            <v>13.4747</v>
          </cell>
          <cell r="G639">
            <v>6.2213000000000003</v>
          </cell>
          <cell r="H639">
            <v>-1.11496</v>
          </cell>
        </row>
        <row r="640">
          <cell r="A640" t="str">
            <v>GRMZM2G176568</v>
          </cell>
          <cell r="B640" t="str">
            <v>GO:0003677</v>
          </cell>
          <cell r="C640" t="str">
            <v>myb transcription factor</v>
          </cell>
          <cell r="D640" t="str">
            <v>BT0</v>
          </cell>
          <cell r="E640" t="str">
            <v>BT6</v>
          </cell>
          <cell r="F640">
            <v>2.1364700000000001</v>
          </cell>
          <cell r="G640">
            <v>0.99824199999999996</v>
          </cell>
          <cell r="H640">
            <v>-1.0977699999999999</v>
          </cell>
        </row>
        <row r="641">
          <cell r="A641" t="str">
            <v>GRMZM2G083328</v>
          </cell>
          <cell r="B641" t="str">
            <v>NA</v>
          </cell>
          <cell r="C641" t="str">
            <v>uncharacterized protein LOC100192776</v>
          </cell>
          <cell r="D641" t="str">
            <v>BT0</v>
          </cell>
          <cell r="E641" t="str">
            <v>BT6</v>
          </cell>
          <cell r="F641">
            <v>1.0489200000000001</v>
          </cell>
          <cell r="G641">
            <v>0.48754799999999998</v>
          </cell>
          <cell r="H641">
            <v>-1.1052999999999999</v>
          </cell>
        </row>
        <row r="642">
          <cell r="A642" t="str">
            <v>GRMZM2G375159</v>
          </cell>
          <cell r="B642" t="str">
            <v>GO:0016747</v>
          </cell>
          <cell r="C642" t="str">
            <v>3 -n-debenzoyl-2 -deoxytaxol n-benzoyltransferase-like</v>
          </cell>
          <cell r="D642" t="str">
            <v>BT0</v>
          </cell>
          <cell r="E642" t="str">
            <v>BT6</v>
          </cell>
          <cell r="F642">
            <v>16.8019</v>
          </cell>
          <cell r="G642">
            <v>6.35344</v>
          </cell>
          <cell r="H642">
            <v>-1.4030100000000001</v>
          </cell>
        </row>
        <row r="643">
          <cell r="A643" t="str">
            <v>GRMZM2G007151</v>
          </cell>
          <cell r="B643" t="str">
            <v>NA</v>
          </cell>
          <cell r="C643" t="str">
            <v>plasma-membrane associated cation-binding protein 1</v>
          </cell>
          <cell r="D643" t="str">
            <v>BT0</v>
          </cell>
          <cell r="E643" t="str">
            <v>BT6</v>
          </cell>
          <cell r="F643">
            <v>1.58857</v>
          </cell>
          <cell r="G643">
            <v>4.6520900000000003</v>
          </cell>
          <cell r="H643">
            <v>1.5501499999999999</v>
          </cell>
        </row>
        <row r="644">
          <cell r="A644" t="str">
            <v>GRMZM2G114588</v>
          </cell>
          <cell r="B644" t="str">
            <v>GO:0003824GO:0016564GO:0006808GO:0005488</v>
          </cell>
          <cell r="C644" t="str">
            <v>isoflavone reductase homolog a622-like</v>
          </cell>
          <cell r="D644" t="str">
            <v>BT0</v>
          </cell>
          <cell r="E644" t="str">
            <v>BT6</v>
          </cell>
          <cell r="F644">
            <v>76.205699999999993</v>
          </cell>
          <cell r="G644">
            <v>205.56299999999999</v>
          </cell>
          <cell r="H644">
            <v>1.43161</v>
          </cell>
        </row>
        <row r="645">
          <cell r="A645" t="str">
            <v>GRMZM2G009719</v>
          </cell>
          <cell r="B645" t="str">
            <v>GO:0006950</v>
          </cell>
          <cell r="C645" t="str">
            <v>universal stress protein</v>
          </cell>
          <cell r="D645" t="str">
            <v>BT0</v>
          </cell>
          <cell r="E645" t="str">
            <v>BT6</v>
          </cell>
          <cell r="F645">
            <v>3.6309100000000001</v>
          </cell>
          <cell r="G645">
            <v>8.2684999999999995</v>
          </cell>
          <cell r="H645">
            <v>1.1873</v>
          </cell>
        </row>
        <row r="646">
          <cell r="A646" t="str">
            <v>GRMZM2G142870</v>
          </cell>
          <cell r="B646" t="str">
            <v>GO:0016021GO:0006810GO:0042626GO:0005524</v>
          </cell>
          <cell r="C646" t="str">
            <v>abc transporter c family member 4-like</v>
          </cell>
          <cell r="D646" t="str">
            <v>BT0</v>
          </cell>
          <cell r="E646" t="str">
            <v>BT6</v>
          </cell>
          <cell r="F646">
            <v>13.5283</v>
          </cell>
          <cell r="G646">
            <v>35.8386</v>
          </cell>
          <cell r="H646">
            <v>1.40554</v>
          </cell>
        </row>
        <row r="647">
          <cell r="A647" t="str">
            <v>GRMZM2G103479</v>
          </cell>
          <cell r="B647" t="str">
            <v>NA</v>
          </cell>
          <cell r="C647" t="str">
            <v>uncharacterized protein LOC100277086</v>
          </cell>
          <cell r="D647" t="str">
            <v>BT0</v>
          </cell>
          <cell r="E647" t="str">
            <v>BT6</v>
          </cell>
          <cell r="F647">
            <v>0</v>
          </cell>
          <cell r="G647">
            <v>3.1293799999999998</v>
          </cell>
          <cell r="H647" t="str">
            <v>BD</v>
          </cell>
        </row>
        <row r="648">
          <cell r="A648" t="str">
            <v>GRMZM2G410352</v>
          </cell>
          <cell r="B648" t="str">
            <v>NA</v>
          </cell>
          <cell r="C648" t="str">
            <v>hypothetical protein</v>
          </cell>
          <cell r="D648" t="str">
            <v>BT0</v>
          </cell>
          <cell r="E648" t="str">
            <v>BT6</v>
          </cell>
          <cell r="F648">
            <v>13.730700000000001</v>
          </cell>
          <cell r="G648">
            <v>34.090699999999998</v>
          </cell>
          <cell r="H648">
            <v>1.3119700000000001</v>
          </cell>
        </row>
        <row r="649">
          <cell r="A649" t="str">
            <v>GRMZM2G063880</v>
          </cell>
          <cell r="B649" t="str">
            <v>GO:0003700GO:0043565GO:0005634GO:0045449</v>
          </cell>
          <cell r="C649" t="str">
            <v>wrky transcription factor</v>
          </cell>
          <cell r="D649" t="str">
            <v>BT0</v>
          </cell>
          <cell r="E649" t="str">
            <v>BT6</v>
          </cell>
          <cell r="F649">
            <v>9.5418099999999999</v>
          </cell>
          <cell r="G649">
            <v>2.8335499999999998</v>
          </cell>
          <cell r="H649">
            <v>-1.7516499999999999</v>
          </cell>
        </row>
        <row r="650">
          <cell r="A650" t="str">
            <v>GRMZM2G141353</v>
          </cell>
          <cell r="B650" t="str">
            <v>NA</v>
          </cell>
          <cell r="C650" t="str">
            <v>unknown</v>
          </cell>
          <cell r="D650" t="str">
            <v>BT0</v>
          </cell>
          <cell r="E650" t="str">
            <v>BT6</v>
          </cell>
          <cell r="F650">
            <v>22.984300000000001</v>
          </cell>
          <cell r="G650">
            <v>8.8755299999999995</v>
          </cell>
          <cell r="H650">
            <v>-1.3727400000000001</v>
          </cell>
        </row>
        <row r="651">
          <cell r="A651" t="str">
            <v>GRMZM5G822426</v>
          </cell>
          <cell r="B651" t="str">
            <v>NA</v>
          </cell>
          <cell r="C651" t="str">
            <v>tpr repeat-containing thioredoxin ttl1-like</v>
          </cell>
          <cell r="D651" t="str">
            <v>BT0</v>
          </cell>
          <cell r="E651" t="str">
            <v>BT6</v>
          </cell>
          <cell r="F651">
            <v>1.1097600000000001</v>
          </cell>
          <cell r="G651">
            <v>0.44972400000000001</v>
          </cell>
          <cell r="H651">
            <v>-1.30314</v>
          </cell>
        </row>
        <row r="652">
          <cell r="A652" t="str">
            <v>GRMZM2G050364</v>
          </cell>
          <cell r="B652" t="str">
            <v>GO:0006508GO:0004190</v>
          </cell>
          <cell r="C652" t="str">
            <v>pepsin a precursor</v>
          </cell>
          <cell r="D652" t="str">
            <v>BT0</v>
          </cell>
          <cell r="E652" t="str">
            <v>BT6</v>
          </cell>
          <cell r="F652">
            <v>0.46106200000000003</v>
          </cell>
          <cell r="G652">
            <v>1.6323399999999999</v>
          </cell>
          <cell r="H652">
            <v>1.8239099999999999</v>
          </cell>
        </row>
        <row r="653">
          <cell r="A653" t="str">
            <v>GRMZM2G008464</v>
          </cell>
          <cell r="B653" t="str">
            <v>NA</v>
          </cell>
          <cell r="C653" t="str">
            <v>nadh-ubiquinone oxidoreductase kda subunit</v>
          </cell>
          <cell r="D653" t="str">
            <v>BT0</v>
          </cell>
          <cell r="E653" t="str">
            <v>BT6</v>
          </cell>
          <cell r="F653">
            <v>0</v>
          </cell>
          <cell r="G653">
            <v>10.190300000000001</v>
          </cell>
          <cell r="H653" t="str">
            <v>BD</v>
          </cell>
        </row>
        <row r="654">
          <cell r="A654" t="str">
            <v>GRMZM2G464244</v>
          </cell>
          <cell r="B654" t="str">
            <v>GO:0005737GO:0004812GO:0005524GO:0006418</v>
          </cell>
          <cell r="C654" t="str">
            <v>unknown</v>
          </cell>
          <cell r="D654" t="str">
            <v>BT0</v>
          </cell>
          <cell r="E654" t="str">
            <v>BT6</v>
          </cell>
          <cell r="F654">
            <v>0.535806</v>
          </cell>
          <cell r="G654">
            <v>2.1802299999999999</v>
          </cell>
          <cell r="H654">
            <v>2.0247000000000002</v>
          </cell>
        </row>
        <row r="655">
          <cell r="A655" t="str">
            <v>GRMZM2G007404</v>
          </cell>
          <cell r="B655" t="str">
            <v>GO:0016857GO:0050662GO:0006694GO:0003854GO:0045226GO:0008831</v>
          </cell>
          <cell r="C655" t="str">
            <v>udp-glucuronic acid decarboxylase</v>
          </cell>
          <cell r="D655" t="str">
            <v>BT0</v>
          </cell>
          <cell r="E655" t="str">
            <v>BT6</v>
          </cell>
          <cell r="F655">
            <v>19.090199999999999</v>
          </cell>
          <cell r="G655">
            <v>8.6034900000000007</v>
          </cell>
          <cell r="H655">
            <v>-1.14984</v>
          </cell>
        </row>
        <row r="656">
          <cell r="A656" t="str">
            <v>GRMZM2G112284</v>
          </cell>
          <cell r="B656" t="str">
            <v>GO:0046914GO:0016491</v>
          </cell>
          <cell r="C656" t="str">
            <v>protein</v>
          </cell>
          <cell r="D656" t="str">
            <v>BT0</v>
          </cell>
          <cell r="E656" t="str">
            <v>BT6</v>
          </cell>
          <cell r="F656">
            <v>24.437200000000001</v>
          </cell>
          <cell r="G656">
            <v>6.6295799999999998</v>
          </cell>
          <cell r="H656">
            <v>-1.88209</v>
          </cell>
        </row>
        <row r="657">
          <cell r="A657" t="str">
            <v>GRMZM2G382035</v>
          </cell>
          <cell r="B657" t="str">
            <v>NA</v>
          </cell>
          <cell r="C657" t="str">
            <v>NA</v>
          </cell>
          <cell r="D657" t="str">
            <v>BT0</v>
          </cell>
          <cell r="E657" t="str">
            <v>BT6</v>
          </cell>
          <cell r="F657">
            <v>2.5510100000000002</v>
          </cell>
          <cell r="G657">
            <v>1.0897300000000001</v>
          </cell>
          <cell r="H657">
            <v>-1.2271000000000001</v>
          </cell>
        </row>
        <row r="658">
          <cell r="A658" t="str">
            <v>GRMZM2G050286</v>
          </cell>
          <cell r="B658" t="str">
            <v>NA</v>
          </cell>
          <cell r="C658" t="str">
            <v>agp16 precursor</v>
          </cell>
          <cell r="D658" t="str">
            <v>BT0</v>
          </cell>
          <cell r="E658" t="str">
            <v>BT6</v>
          </cell>
          <cell r="F658">
            <v>4.4379299999999997</v>
          </cell>
          <cell r="G658">
            <v>1.74892</v>
          </cell>
          <cell r="H658">
            <v>-1.3434200000000001</v>
          </cell>
        </row>
        <row r="659">
          <cell r="A659" t="str">
            <v>AC197705.4_FG003</v>
          </cell>
          <cell r="B659" t="str">
            <v>NA</v>
          </cell>
          <cell r="C659" t="str">
            <v>NA</v>
          </cell>
          <cell r="D659" t="str">
            <v>BT0</v>
          </cell>
          <cell r="E659" t="str">
            <v>BT6</v>
          </cell>
          <cell r="F659">
            <v>11.661799999999999</v>
          </cell>
          <cell r="G659">
            <v>4.3049299999999997</v>
          </cell>
          <cell r="H659">
            <v>-1.4377200000000001</v>
          </cell>
        </row>
        <row r="660">
          <cell r="A660" t="str">
            <v>GRMZM2G095807</v>
          </cell>
          <cell r="B660" t="str">
            <v>NA</v>
          </cell>
          <cell r="C660" t="str">
            <v>anthocyanidin -o-glucosyltransferase-like</v>
          </cell>
          <cell r="D660" t="str">
            <v>BT0</v>
          </cell>
          <cell r="E660" t="str">
            <v>BT6</v>
          </cell>
          <cell r="F660">
            <v>1.49909</v>
          </cell>
          <cell r="G660">
            <v>3.5082900000000001</v>
          </cell>
          <cell r="H660">
            <v>1.22668</v>
          </cell>
        </row>
        <row r="661">
          <cell r="A661" t="str">
            <v>AC205471.4_FG007</v>
          </cell>
          <cell r="B661" t="str">
            <v>NA</v>
          </cell>
          <cell r="C661" t="str">
            <v>NA</v>
          </cell>
          <cell r="D661" t="str">
            <v>BT0</v>
          </cell>
          <cell r="E661" t="str">
            <v>BT6</v>
          </cell>
          <cell r="F661">
            <v>26.915800000000001</v>
          </cell>
          <cell r="G661">
            <v>108.28400000000001</v>
          </cell>
          <cell r="H661">
            <v>2.0083000000000002</v>
          </cell>
        </row>
        <row r="662">
          <cell r="A662" t="str">
            <v>GRMZM2G351937</v>
          </cell>
          <cell r="B662" t="str">
            <v>GO:0006468GO:0004674GO:0005529GO:0050825GO:0004713GO:0042309GO:0050826GO:0005524</v>
          </cell>
          <cell r="C662" t="str">
            <v>concanavalin a-like lectin kinase-like protein</v>
          </cell>
          <cell r="D662" t="str">
            <v>BT0</v>
          </cell>
          <cell r="E662" t="str">
            <v>BT6</v>
          </cell>
          <cell r="F662">
            <v>0.75341000000000002</v>
          </cell>
          <cell r="G662">
            <v>1.5782700000000001</v>
          </cell>
          <cell r="H662">
            <v>1.06684</v>
          </cell>
        </row>
        <row r="663">
          <cell r="A663" t="str">
            <v>GRMZM2G088132</v>
          </cell>
          <cell r="B663" t="str">
            <v>NA</v>
          </cell>
          <cell r="C663" t="str">
            <v>voltage-dependent anion channel</v>
          </cell>
          <cell r="D663" t="str">
            <v>BT0</v>
          </cell>
          <cell r="E663" t="str">
            <v>BT6</v>
          </cell>
          <cell r="F663">
            <v>0</v>
          </cell>
          <cell r="G663">
            <v>2.7535500000000002</v>
          </cell>
          <cell r="H663" t="str">
            <v>BD</v>
          </cell>
        </row>
        <row r="664">
          <cell r="A664" t="str">
            <v>GRMZM5G842645</v>
          </cell>
          <cell r="B664" t="str">
            <v>NA</v>
          </cell>
          <cell r="C664" t="str">
            <v>cytokinin riboside 5 -monophosphate phosphoribohydrolase log7-like</v>
          </cell>
          <cell r="D664" t="str">
            <v>BT0</v>
          </cell>
          <cell r="E664" t="str">
            <v>BT6</v>
          </cell>
          <cell r="F664">
            <v>6.97966</v>
          </cell>
          <cell r="G664">
            <v>2.7517800000000001</v>
          </cell>
          <cell r="H664">
            <v>-1.3427899999999999</v>
          </cell>
        </row>
        <row r="665">
          <cell r="A665" t="str">
            <v>GRMZM2G074540</v>
          </cell>
          <cell r="B665" t="str">
            <v>GO:0016021</v>
          </cell>
          <cell r="C665" t="str">
            <v>s-type anion channel slah3-like</v>
          </cell>
          <cell r="D665" t="str">
            <v>BT0</v>
          </cell>
          <cell r="E665" t="str">
            <v>BT6</v>
          </cell>
          <cell r="F665">
            <v>0.353271</v>
          </cell>
          <cell r="G665">
            <v>0.77896900000000002</v>
          </cell>
          <cell r="H665">
            <v>1.14079</v>
          </cell>
        </row>
        <row r="666">
          <cell r="A666" t="str">
            <v>GRMZM5G830949</v>
          </cell>
          <cell r="B666" t="str">
            <v>NA</v>
          </cell>
          <cell r="C666" t="str">
            <v>zinc finger</v>
          </cell>
          <cell r="D666" t="str">
            <v>BT0</v>
          </cell>
          <cell r="E666" t="str">
            <v>BT6</v>
          </cell>
          <cell r="F666">
            <v>1.31871</v>
          </cell>
          <cell r="G666">
            <v>0.43974400000000002</v>
          </cell>
          <cell r="H666">
            <v>-1.58439</v>
          </cell>
        </row>
        <row r="667">
          <cell r="A667" t="str">
            <v>GRMZM2G321290</v>
          </cell>
          <cell r="B667" t="str">
            <v>GO:0004806GO:0006629</v>
          </cell>
          <cell r="C667" t="str">
            <v>triacylglycerol lipase</v>
          </cell>
          <cell r="D667" t="str">
            <v>BT0</v>
          </cell>
          <cell r="E667" t="str">
            <v>BT6</v>
          </cell>
          <cell r="F667">
            <v>7.4150499999999999</v>
          </cell>
          <cell r="G667">
            <v>15.7661</v>
          </cell>
          <cell r="H667">
            <v>1.0883</v>
          </cell>
        </row>
        <row r="668">
          <cell r="A668" t="str">
            <v>GRMZM5G812272</v>
          </cell>
          <cell r="B668" t="str">
            <v>NA</v>
          </cell>
          <cell r="C668" t="str">
            <v>wrky transcription</v>
          </cell>
          <cell r="D668" t="str">
            <v>BT0</v>
          </cell>
          <cell r="E668" t="str">
            <v>BT6</v>
          </cell>
          <cell r="F668">
            <v>2.59382</v>
          </cell>
          <cell r="G668">
            <v>1.2543899999999999</v>
          </cell>
          <cell r="H668">
            <v>-1.04809</v>
          </cell>
        </row>
        <row r="669">
          <cell r="A669" t="str">
            <v>GRMZM2G126235</v>
          </cell>
          <cell r="B669" t="str">
            <v>GO:0006811GO:0016020GO:0005216</v>
          </cell>
          <cell r="C669" t="str">
            <v>two-pore calcium channel</v>
          </cell>
          <cell r="D669" t="str">
            <v>BT0</v>
          </cell>
          <cell r="E669" t="str">
            <v>BT6</v>
          </cell>
          <cell r="F669">
            <v>3.92008</v>
          </cell>
          <cell r="G669">
            <v>11.9437</v>
          </cell>
          <cell r="H669">
            <v>1.6073</v>
          </cell>
        </row>
        <row r="670">
          <cell r="A670" t="str">
            <v>GRMZM2G080767</v>
          </cell>
          <cell r="B670" t="str">
            <v>GO:0005509</v>
          </cell>
          <cell r="C670" t="str">
            <v>two-pore calcium channel</v>
          </cell>
          <cell r="D670" t="str">
            <v>BT0</v>
          </cell>
          <cell r="E670" t="str">
            <v>BT6</v>
          </cell>
          <cell r="F670">
            <v>3.7312500000000002</v>
          </cell>
          <cell r="G670">
            <v>7.7282200000000003</v>
          </cell>
          <cell r="H670">
            <v>1.0504800000000001</v>
          </cell>
        </row>
        <row r="671">
          <cell r="A671" t="str">
            <v>GRMZM2G014089</v>
          </cell>
          <cell r="B671" t="str">
            <v>GO:0016021GO:0006810GO:0042626GO:0005524</v>
          </cell>
          <cell r="C671" t="str">
            <v>abc transporter b family member 11-like</v>
          </cell>
          <cell r="D671" t="str">
            <v>BT0</v>
          </cell>
          <cell r="E671" t="str">
            <v>BT6</v>
          </cell>
          <cell r="F671">
            <v>1.1397699999999999</v>
          </cell>
          <cell r="G671">
            <v>2.6128800000000001</v>
          </cell>
          <cell r="H671">
            <v>1.19689</v>
          </cell>
        </row>
        <row r="672">
          <cell r="A672" t="str">
            <v>GRMZM2G173965</v>
          </cell>
          <cell r="B672" t="str">
            <v>GO:0004674GO:0006468GO:0004713GO:0005524</v>
          </cell>
          <cell r="C672" t="str">
            <v>mitogen-activated protein kinase kinase kinase a-like</v>
          </cell>
          <cell r="D672" t="str">
            <v>BT0</v>
          </cell>
          <cell r="E672" t="str">
            <v>BT6</v>
          </cell>
          <cell r="F672">
            <v>1.04027</v>
          </cell>
          <cell r="G672">
            <v>0.30686200000000002</v>
          </cell>
          <cell r="H672">
            <v>-1.76129</v>
          </cell>
        </row>
        <row r="673">
          <cell r="A673" t="str">
            <v>GRMZM2G003406</v>
          </cell>
          <cell r="B673" t="str">
            <v>GO:0003677</v>
          </cell>
          <cell r="C673" t="str">
            <v>myb-related protein hv33</v>
          </cell>
          <cell r="D673" t="str">
            <v>BT0</v>
          </cell>
          <cell r="E673" t="str">
            <v>BT6</v>
          </cell>
          <cell r="F673">
            <v>2.3548800000000001</v>
          </cell>
          <cell r="G673">
            <v>0.61653999999999998</v>
          </cell>
          <cell r="H673">
            <v>-1.9333800000000001</v>
          </cell>
        </row>
        <row r="674">
          <cell r="A674" t="str">
            <v>TIP1-2</v>
          </cell>
          <cell r="B674" t="str">
            <v>NA</v>
          </cell>
          <cell r="C674" t="str">
            <v>NA</v>
          </cell>
          <cell r="D674" t="str">
            <v>BT0</v>
          </cell>
          <cell r="E674" t="str">
            <v>BT6</v>
          </cell>
          <cell r="F674">
            <v>2.8442599999999998</v>
          </cell>
          <cell r="G674">
            <v>1.40055</v>
          </cell>
          <cell r="H674">
            <v>-1.02206</v>
          </cell>
        </row>
        <row r="675">
          <cell r="A675" t="str">
            <v>GRMZM2G168375</v>
          </cell>
          <cell r="B675" t="str">
            <v>GO:0003824GO:0008152</v>
          </cell>
          <cell r="C675" t="str">
            <v>catalytic hydrolase</v>
          </cell>
          <cell r="D675" t="str">
            <v>BT0</v>
          </cell>
          <cell r="E675" t="str">
            <v>BT6</v>
          </cell>
          <cell r="F675">
            <v>1.64679</v>
          </cell>
          <cell r="G675">
            <v>0.56609399999999999</v>
          </cell>
          <cell r="H675">
            <v>-1.54054</v>
          </cell>
        </row>
        <row r="676">
          <cell r="A676" t="str">
            <v>GRMZM2G371079</v>
          </cell>
          <cell r="B676" t="str">
            <v>NA</v>
          </cell>
          <cell r="C676" t="str">
            <v>uncharacterized protein LOC100277040</v>
          </cell>
          <cell r="D676" t="str">
            <v>BT0</v>
          </cell>
          <cell r="E676" t="str">
            <v>BT6</v>
          </cell>
          <cell r="F676">
            <v>78.130399999999995</v>
          </cell>
          <cell r="G676">
            <v>38.446899999999999</v>
          </cell>
          <cell r="H676">
            <v>-1.02302</v>
          </cell>
        </row>
        <row r="677">
          <cell r="A677" t="str">
            <v>GRMZM2G371033</v>
          </cell>
          <cell r="B677" t="str">
            <v>NA</v>
          </cell>
          <cell r="C677" t="str">
            <v>squamosa promoter-binding</v>
          </cell>
          <cell r="D677" t="str">
            <v>BT0</v>
          </cell>
          <cell r="E677" t="str">
            <v>BT6</v>
          </cell>
          <cell r="F677">
            <v>6.3592599999999999</v>
          </cell>
          <cell r="G677">
            <v>2.3572199999999999</v>
          </cell>
          <cell r="H677">
            <v>-1.4317800000000001</v>
          </cell>
        </row>
        <row r="678">
          <cell r="A678" t="str">
            <v>GRMZM2G024799</v>
          </cell>
          <cell r="B678" t="str">
            <v>NA</v>
          </cell>
          <cell r="C678" t="str">
            <v>protein</v>
          </cell>
          <cell r="D678" t="str">
            <v>BT0</v>
          </cell>
          <cell r="E678" t="str">
            <v>BT6</v>
          </cell>
          <cell r="F678">
            <v>3.0855399999999999</v>
          </cell>
          <cell r="G678">
            <v>0.70496400000000004</v>
          </cell>
          <cell r="H678">
            <v>-2.1299000000000001</v>
          </cell>
        </row>
        <row r="679">
          <cell r="A679" t="str">
            <v>GRMZM2G405094</v>
          </cell>
          <cell r="B679" t="str">
            <v>GO:0003677</v>
          </cell>
          <cell r="C679" t="str">
            <v>r2r3-myb protein</v>
          </cell>
          <cell r="D679" t="str">
            <v>BT0</v>
          </cell>
          <cell r="E679" t="str">
            <v>BT6</v>
          </cell>
          <cell r="F679">
            <v>15.248799999999999</v>
          </cell>
          <cell r="G679">
            <v>6.4359099999999998</v>
          </cell>
          <cell r="H679">
            <v>-1.24448</v>
          </cell>
        </row>
        <row r="680">
          <cell r="A680" t="str">
            <v>GRMZM2G143640</v>
          </cell>
          <cell r="B680" t="str">
            <v>GO:0003677</v>
          </cell>
          <cell r="C680" t="str">
            <v>myb-like transcription factor</v>
          </cell>
          <cell r="D680" t="str">
            <v>BT0</v>
          </cell>
          <cell r="E680" t="str">
            <v>BT6</v>
          </cell>
          <cell r="F680">
            <v>1.7602599999999999</v>
          </cell>
          <cell r="G680">
            <v>0.46684799999999999</v>
          </cell>
          <cell r="H680">
            <v>-1.91476</v>
          </cell>
        </row>
        <row r="681">
          <cell r="A681" t="str">
            <v>GRMZM2G115422</v>
          </cell>
          <cell r="B681" t="str">
            <v>GO:0050825GO:0016747GO:0042309GO:0050826</v>
          </cell>
          <cell r="C681" t="str">
            <v>protein</v>
          </cell>
          <cell r="D681" t="str">
            <v>BT0</v>
          </cell>
          <cell r="E681" t="str">
            <v>BT6</v>
          </cell>
          <cell r="F681">
            <v>11.9305</v>
          </cell>
          <cell r="G681">
            <v>4.8121799999999997</v>
          </cell>
          <cell r="H681">
            <v>-1.30989</v>
          </cell>
        </row>
        <row r="682">
          <cell r="A682" t="str">
            <v>CISZOG2</v>
          </cell>
          <cell r="B682" t="str">
            <v>NA</v>
          </cell>
          <cell r="C682" t="str">
            <v>NA</v>
          </cell>
          <cell r="D682" t="str">
            <v>BT0</v>
          </cell>
          <cell r="E682" t="str">
            <v>BT6</v>
          </cell>
          <cell r="F682">
            <v>2.9123800000000002</v>
          </cell>
          <cell r="G682">
            <v>1.27295</v>
          </cell>
          <cell r="H682">
            <v>-1.1940200000000001</v>
          </cell>
        </row>
        <row r="683">
          <cell r="A683" t="str">
            <v>GRMZM2G169329</v>
          </cell>
          <cell r="B683" t="str">
            <v>NA</v>
          </cell>
          <cell r="C683" t="str">
            <v>heme-binding-like protein</v>
          </cell>
          <cell r="D683" t="str">
            <v>BT0</v>
          </cell>
          <cell r="E683" t="str">
            <v>BT6</v>
          </cell>
          <cell r="F683">
            <v>22.631</v>
          </cell>
          <cell r="G683">
            <v>102.53700000000001</v>
          </cell>
          <cell r="H683">
            <v>2.17977</v>
          </cell>
        </row>
        <row r="684">
          <cell r="A684" t="str">
            <v>GRMZM2G447271</v>
          </cell>
          <cell r="B684" t="str">
            <v>GO:0048046GO:0005507GO:0046274GO:0008471GO:0055114</v>
          </cell>
          <cell r="C684" t="str">
            <v>laccase lac5-6</v>
          </cell>
          <cell r="D684" t="str">
            <v>BT0</v>
          </cell>
          <cell r="E684" t="str">
            <v>BT6</v>
          </cell>
          <cell r="F684">
            <v>0.75981799999999999</v>
          </cell>
          <cell r="G684">
            <v>0.24716399999999999</v>
          </cell>
          <cell r="H684">
            <v>-1.62018</v>
          </cell>
        </row>
        <row r="685">
          <cell r="A685" t="str">
            <v>GRMZM2G138698</v>
          </cell>
          <cell r="B685" t="str">
            <v>GO:0046872GO:0003993</v>
          </cell>
          <cell r="C685" t="str">
            <v>probable inactive purple acid phosphatase 27-like</v>
          </cell>
          <cell r="D685" t="str">
            <v>BT0</v>
          </cell>
          <cell r="E685" t="str">
            <v>BT6</v>
          </cell>
          <cell r="F685">
            <v>0.251274</v>
          </cell>
          <cell r="G685">
            <v>1.30098</v>
          </cell>
          <cell r="H685">
            <v>2.3722599999999998</v>
          </cell>
        </row>
        <row r="686">
          <cell r="A686" t="str">
            <v>GRMZM2G106344</v>
          </cell>
          <cell r="B686" t="str">
            <v>GO:0007242</v>
          </cell>
          <cell r="C686" t="str">
            <v>probable nucleoredoxin 2-like</v>
          </cell>
          <cell r="D686" t="str">
            <v>BT0</v>
          </cell>
          <cell r="E686" t="str">
            <v>BT6</v>
          </cell>
          <cell r="F686">
            <v>20.3626</v>
          </cell>
          <cell r="G686">
            <v>6.0663</v>
          </cell>
          <cell r="H686">
            <v>-1.7470300000000001</v>
          </cell>
        </row>
        <row r="687">
          <cell r="A687" t="str">
            <v>GRMZM5G812326</v>
          </cell>
          <cell r="B687" t="str">
            <v>NA</v>
          </cell>
          <cell r="C687" t="str">
            <v>PREDICTED: uncharacterized protein LOC100840153</v>
          </cell>
          <cell r="D687" t="str">
            <v>BT0</v>
          </cell>
          <cell r="E687" t="str">
            <v>BT6</v>
          </cell>
          <cell r="F687">
            <v>1.91411</v>
          </cell>
          <cell r="G687">
            <v>0.49096400000000001</v>
          </cell>
          <cell r="H687">
            <v>-1.96299</v>
          </cell>
        </row>
        <row r="688">
          <cell r="A688" t="str">
            <v>NIP2-3</v>
          </cell>
          <cell r="B688" t="str">
            <v>NA</v>
          </cell>
          <cell r="C688" t="str">
            <v>NA</v>
          </cell>
          <cell r="D688" t="str">
            <v>BT0</v>
          </cell>
          <cell r="E688" t="str">
            <v>BT6</v>
          </cell>
          <cell r="F688">
            <v>6.1892199999999997</v>
          </cell>
          <cell r="G688">
            <v>14.1645</v>
          </cell>
          <cell r="H688">
            <v>1.19445</v>
          </cell>
        </row>
        <row r="689">
          <cell r="A689" t="str">
            <v>GRMZM2G140689</v>
          </cell>
          <cell r="B689" t="str">
            <v>NA</v>
          </cell>
          <cell r="C689" t="str">
            <v>rrna-processing protein fcf1-like protein</v>
          </cell>
          <cell r="D689" t="str">
            <v>BT0</v>
          </cell>
          <cell r="E689" t="str">
            <v>BT6</v>
          </cell>
          <cell r="F689">
            <v>0.95049799999999995</v>
          </cell>
          <cell r="G689">
            <v>2.34327</v>
          </cell>
          <cell r="H689">
            <v>1.3017700000000001</v>
          </cell>
        </row>
        <row r="690">
          <cell r="A690" t="str">
            <v>GRMZM2G144173</v>
          </cell>
          <cell r="B690" t="str">
            <v>NA</v>
          </cell>
          <cell r="C690" t="str">
            <v>NA</v>
          </cell>
          <cell r="D690" t="str">
            <v>BT0</v>
          </cell>
          <cell r="E690" t="str">
            <v>BT6</v>
          </cell>
          <cell r="F690">
            <v>0.68766799999999995</v>
          </cell>
          <cell r="G690">
            <v>1.8741699999999999</v>
          </cell>
          <cell r="H690">
            <v>1.4464699999999999</v>
          </cell>
        </row>
        <row r="691">
          <cell r="A691" t="str">
            <v>GRMZM2G408308</v>
          </cell>
          <cell r="B691" t="str">
            <v>NA</v>
          </cell>
          <cell r="C691" t="str">
            <v>kinesin like protein</v>
          </cell>
          <cell r="D691" t="str">
            <v>BT0</v>
          </cell>
          <cell r="E691" t="str">
            <v>BT6</v>
          </cell>
          <cell r="F691">
            <v>0.86277499999999996</v>
          </cell>
          <cell r="G691">
            <v>0.39187699999999998</v>
          </cell>
          <cell r="H691">
            <v>-1.1385799999999999</v>
          </cell>
        </row>
        <row r="692">
          <cell r="A692" t="str">
            <v>GRMZM2G008539</v>
          </cell>
          <cell r="B692" t="str">
            <v>GO:0016758GO:0008152</v>
          </cell>
          <cell r="C692" t="str">
            <v>udp-glycosyltransferase-like protein</v>
          </cell>
          <cell r="D692" t="str">
            <v>BT0</v>
          </cell>
          <cell r="E692" t="str">
            <v>BT6</v>
          </cell>
          <cell r="F692">
            <v>2.6594699999999998</v>
          </cell>
          <cell r="G692">
            <v>1.0932200000000001</v>
          </cell>
          <cell r="H692">
            <v>-1.2825599999999999</v>
          </cell>
        </row>
        <row r="693">
          <cell r="A693" t="str">
            <v>GRMZM2G089506</v>
          </cell>
          <cell r="B693" t="str">
            <v>GO:0006508GO:0004190</v>
          </cell>
          <cell r="C693" t="str">
            <v>aspartic proteinase nepenthesin-2 precursor</v>
          </cell>
          <cell r="D693" t="str">
            <v>BT0</v>
          </cell>
          <cell r="E693" t="str">
            <v>BT6</v>
          </cell>
          <cell r="F693">
            <v>5.6726799999999997</v>
          </cell>
          <cell r="G693">
            <v>1.7147699999999999</v>
          </cell>
          <cell r="H693">
            <v>-1.7260200000000001</v>
          </cell>
        </row>
        <row r="694">
          <cell r="A694" t="str">
            <v>AC206169.3_FG002</v>
          </cell>
          <cell r="B694" t="str">
            <v>NA</v>
          </cell>
          <cell r="C694" t="str">
            <v>NA</v>
          </cell>
          <cell r="D694" t="str">
            <v>BT0</v>
          </cell>
          <cell r="E694" t="str">
            <v>BT6</v>
          </cell>
          <cell r="F694">
            <v>6.6210100000000001</v>
          </cell>
          <cell r="G694">
            <v>3.0596399999999999</v>
          </cell>
          <cell r="H694">
            <v>-1.1136900000000001</v>
          </cell>
        </row>
        <row r="695">
          <cell r="A695" t="str">
            <v>GRMZM2G126900</v>
          </cell>
          <cell r="B695" t="str">
            <v>GO:0005737GO:0050113GO:0019310GO:0005506</v>
          </cell>
          <cell r="C695" t="str">
            <v>myo-inositol oxygenase</v>
          </cell>
          <cell r="D695" t="str">
            <v>BT0</v>
          </cell>
          <cell r="E695" t="str">
            <v>BT6</v>
          </cell>
          <cell r="F695">
            <v>200.76300000000001</v>
          </cell>
          <cell r="G695">
            <v>77.751199999999997</v>
          </cell>
          <cell r="H695">
            <v>-1.36856</v>
          </cell>
        </row>
        <row r="696">
          <cell r="A696" t="str">
            <v>GRMZM2G118047</v>
          </cell>
          <cell r="B696" t="str">
            <v>GO:0003700GO:0006355GO:0005634GO:0043565</v>
          </cell>
          <cell r="C696" t="str">
            <v>protein</v>
          </cell>
          <cell r="D696" t="str">
            <v>BT0</v>
          </cell>
          <cell r="E696" t="str">
            <v>BT6</v>
          </cell>
          <cell r="F696">
            <v>1.2784500000000001</v>
          </cell>
          <cell r="G696">
            <v>0.21523800000000001</v>
          </cell>
          <cell r="H696">
            <v>-2.5703900000000002</v>
          </cell>
        </row>
        <row r="697">
          <cell r="A697" t="str">
            <v>GRMZM2G098988</v>
          </cell>
          <cell r="B697" t="str">
            <v>GO:0005634GO:0045449GO:0030528</v>
          </cell>
          <cell r="C697" t="str">
            <v>transcription factor bhlh144</v>
          </cell>
          <cell r="D697" t="str">
            <v>BT0</v>
          </cell>
          <cell r="E697" t="str">
            <v>BT6</v>
          </cell>
          <cell r="F697">
            <v>0.87746000000000002</v>
          </cell>
          <cell r="G697">
            <v>1.7621899999999999</v>
          </cell>
          <cell r="H697">
            <v>1.00597</v>
          </cell>
        </row>
        <row r="698">
          <cell r="A698" t="str">
            <v>GRMZM2G180122</v>
          </cell>
          <cell r="B698" t="str">
            <v>NA</v>
          </cell>
          <cell r="C698" t="str">
            <v>uncharacterized protein LOC100502256</v>
          </cell>
          <cell r="D698" t="str">
            <v>BT0</v>
          </cell>
          <cell r="E698" t="str">
            <v>BT6</v>
          </cell>
          <cell r="F698">
            <v>1.45929</v>
          </cell>
          <cell r="G698">
            <v>0.59490500000000002</v>
          </cell>
          <cell r="H698">
            <v>-1.29454</v>
          </cell>
        </row>
        <row r="699">
          <cell r="A699" t="str">
            <v>GRMZM2G111711</v>
          </cell>
          <cell r="B699" t="str">
            <v>GO:0003700GO:0043565GO:0005634GO:0045449</v>
          </cell>
          <cell r="C699" t="str">
            <v>wrky transcription factor</v>
          </cell>
          <cell r="D699" t="str">
            <v>BT0</v>
          </cell>
          <cell r="E699" t="str">
            <v>BT6</v>
          </cell>
          <cell r="F699">
            <v>1.00936</v>
          </cell>
          <cell r="G699">
            <v>0.391731</v>
          </cell>
          <cell r="H699">
            <v>-1.36551</v>
          </cell>
        </row>
        <row r="700">
          <cell r="A700" t="str">
            <v>GRMZM2G094990</v>
          </cell>
          <cell r="B700" t="str">
            <v>GO:0005576GO:0019953</v>
          </cell>
          <cell r="C700" t="str">
            <v>beta-expansin 1a precursor</v>
          </cell>
          <cell r="D700" t="str">
            <v>BT0</v>
          </cell>
          <cell r="E700" t="str">
            <v>BT6</v>
          </cell>
          <cell r="F700">
            <v>18.996300000000002</v>
          </cell>
          <cell r="G700">
            <v>43.250399999999999</v>
          </cell>
          <cell r="H700">
            <v>1.1870000000000001</v>
          </cell>
        </row>
        <row r="701">
          <cell r="A701" t="str">
            <v>GRMZM2G093096</v>
          </cell>
          <cell r="B701" t="str">
            <v>NA</v>
          </cell>
          <cell r="C701" t="str">
            <v>uncharacterized protein LOC100276005</v>
          </cell>
          <cell r="D701" t="str">
            <v>BT0</v>
          </cell>
          <cell r="E701" t="str">
            <v>BT6</v>
          </cell>
          <cell r="F701">
            <v>4.6303799999999997</v>
          </cell>
          <cell r="G701">
            <v>9.5002600000000008</v>
          </cell>
          <cell r="H701">
            <v>1.03684</v>
          </cell>
        </row>
        <row r="702">
          <cell r="A702" t="str">
            <v>GRMZM2G149273</v>
          </cell>
          <cell r="B702" t="str">
            <v>GO:0004601GO:0006979GO:0020037GO:0009055</v>
          </cell>
          <cell r="C702" t="str">
            <v>peroxidase 5-like</v>
          </cell>
          <cell r="D702" t="str">
            <v>BT0</v>
          </cell>
          <cell r="E702" t="str">
            <v>BT6</v>
          </cell>
          <cell r="F702">
            <v>4.7833100000000002</v>
          </cell>
          <cell r="G702">
            <v>11.0844</v>
          </cell>
          <cell r="H702">
            <v>1.21245</v>
          </cell>
        </row>
        <row r="703">
          <cell r="A703" t="str">
            <v>GRMZM2G404249</v>
          </cell>
          <cell r="B703" t="str">
            <v>GO:0006508GO:0004252</v>
          </cell>
          <cell r="C703" t="str">
            <v>kda class ii heat shock protein</v>
          </cell>
          <cell r="D703" t="str">
            <v>BT0</v>
          </cell>
          <cell r="E703" t="str">
            <v>BT6</v>
          </cell>
          <cell r="F703">
            <v>1.3565700000000001</v>
          </cell>
          <cell r="G703">
            <v>2.9403000000000001</v>
          </cell>
          <cell r="H703">
            <v>1.1160000000000001</v>
          </cell>
        </row>
        <row r="704">
          <cell r="A704" t="str">
            <v>GRMZM2G145568</v>
          </cell>
          <cell r="B704" t="str">
            <v>NA</v>
          </cell>
          <cell r="C704" t="str">
            <v>lob domain-containing protein 1-like</v>
          </cell>
          <cell r="D704" t="str">
            <v>BT0</v>
          </cell>
          <cell r="E704" t="str">
            <v>BT6</v>
          </cell>
          <cell r="F704">
            <v>1.55291</v>
          </cell>
          <cell r="G704">
            <v>0.51347799999999999</v>
          </cell>
          <cell r="H704">
            <v>-1.59659</v>
          </cell>
        </row>
        <row r="705">
          <cell r="A705" t="str">
            <v>GRMZM2G123107</v>
          </cell>
          <cell r="B705" t="str">
            <v>GO:0005975GO:0004553</v>
          </cell>
          <cell r="C705" t="str">
            <v>beta- -glucanase</v>
          </cell>
          <cell r="D705" t="str">
            <v>BT0</v>
          </cell>
          <cell r="E705" t="str">
            <v>BT6</v>
          </cell>
          <cell r="F705">
            <v>7.9269299999999996</v>
          </cell>
          <cell r="G705">
            <v>2.7083699999999999</v>
          </cell>
          <cell r="H705">
            <v>-1.5493399999999999</v>
          </cell>
        </row>
        <row r="706">
          <cell r="A706" t="str">
            <v>GRMZM2G440918</v>
          </cell>
          <cell r="B706" t="str">
            <v>GO:0019787GO:0043687GO:0051246</v>
          </cell>
          <cell r="C706" t="str">
            <v>probable ubiquitin-conjugating enzyme e2 25-like</v>
          </cell>
          <cell r="D706" t="str">
            <v>BT0</v>
          </cell>
          <cell r="E706" t="str">
            <v>BT6</v>
          </cell>
          <cell r="F706">
            <v>0</v>
          </cell>
          <cell r="G706">
            <v>1.20411</v>
          </cell>
          <cell r="H706" t="str">
            <v>BD</v>
          </cell>
        </row>
        <row r="707">
          <cell r="A707" t="str">
            <v>GRMZM2G084859</v>
          </cell>
          <cell r="B707" t="str">
            <v>GO:0005576GO:0008083GO:0008283</v>
          </cell>
          <cell r="C707" t="str">
            <v>phytosulfokine precursor protein containing protein</v>
          </cell>
          <cell r="D707" t="str">
            <v>BT0</v>
          </cell>
          <cell r="E707" t="str">
            <v>BT6</v>
          </cell>
          <cell r="F707">
            <v>17.3825</v>
          </cell>
          <cell r="G707">
            <v>39.983400000000003</v>
          </cell>
          <cell r="H707">
            <v>1.2017599999999999</v>
          </cell>
        </row>
        <row r="708">
          <cell r="A708" t="str">
            <v>GRMZM2G113060</v>
          </cell>
          <cell r="B708" t="str">
            <v>GO:0003700GO:0006355</v>
          </cell>
          <cell r="C708" t="str">
            <v>dre binding factor</v>
          </cell>
          <cell r="D708" t="str">
            <v>BT0</v>
          </cell>
          <cell r="E708" t="str">
            <v>BT6</v>
          </cell>
          <cell r="F708">
            <v>8.1878200000000003</v>
          </cell>
          <cell r="G708">
            <v>16.377600000000001</v>
          </cell>
          <cell r="H708">
            <v>1.00017</v>
          </cell>
        </row>
        <row r="709">
          <cell r="A709" t="str">
            <v>GRMZM2G051219</v>
          </cell>
          <cell r="B709" t="str">
            <v>GO:0000162GO:0004048</v>
          </cell>
          <cell r="C709" t="str">
            <v>anthranilate phosphoribosyltransferase</v>
          </cell>
          <cell r="D709" t="str">
            <v>BT0</v>
          </cell>
          <cell r="E709" t="str">
            <v>BT6</v>
          </cell>
          <cell r="F709">
            <v>28.628399999999999</v>
          </cell>
          <cell r="G709">
            <v>13.505000000000001</v>
          </cell>
          <cell r="H709">
            <v>-1.08396</v>
          </cell>
        </row>
        <row r="710">
          <cell r="A710" t="str">
            <v>GRMZM2G161905</v>
          </cell>
          <cell r="B710" t="str">
            <v>NA</v>
          </cell>
          <cell r="C710" t="str">
            <v>glutathione s-transferase</v>
          </cell>
          <cell r="D710" t="str">
            <v>BT0</v>
          </cell>
          <cell r="E710" t="str">
            <v>BT6</v>
          </cell>
          <cell r="F710">
            <v>13.6236</v>
          </cell>
          <cell r="G710">
            <v>5.8566200000000004</v>
          </cell>
          <cell r="H710">
            <v>-1.21797</v>
          </cell>
        </row>
        <row r="711">
          <cell r="A711" t="str">
            <v>GRMZM2G057672</v>
          </cell>
          <cell r="B711" t="str">
            <v>NA</v>
          </cell>
          <cell r="C711" t="str">
            <v>protein</v>
          </cell>
          <cell r="D711" t="str">
            <v>BT0</v>
          </cell>
          <cell r="E711" t="str">
            <v>BT6</v>
          </cell>
          <cell r="F711">
            <v>19.0151</v>
          </cell>
          <cell r="G711">
            <v>6.5355299999999996</v>
          </cell>
          <cell r="H711">
            <v>-1.54077</v>
          </cell>
        </row>
        <row r="712">
          <cell r="A712" t="str">
            <v>GRMZM2G026833</v>
          </cell>
          <cell r="B712" t="str">
            <v>NA</v>
          </cell>
          <cell r="C712" t="str">
            <v>golden2-like transcription factor</v>
          </cell>
          <cell r="D712" t="str">
            <v>BT0</v>
          </cell>
          <cell r="E712" t="str">
            <v>BT6</v>
          </cell>
          <cell r="F712">
            <v>13.259499999999999</v>
          </cell>
          <cell r="G712">
            <v>33.621099999999998</v>
          </cell>
          <cell r="H712">
            <v>1.3423400000000001</v>
          </cell>
        </row>
        <row r="713">
          <cell r="A713" t="str">
            <v>GRMZM2G323422</v>
          </cell>
          <cell r="B713" t="str">
            <v>NA</v>
          </cell>
          <cell r="C713" t="str">
            <v>hypothetical protein SORBIDRAFT_10g007730</v>
          </cell>
          <cell r="D713" t="str">
            <v>BT0</v>
          </cell>
          <cell r="E713" t="str">
            <v>BT6</v>
          </cell>
          <cell r="F713">
            <v>10.3756</v>
          </cell>
          <cell r="G713">
            <v>25.9787</v>
          </cell>
          <cell r="H713">
            <v>1.32413</v>
          </cell>
        </row>
        <row r="714">
          <cell r="A714" t="str">
            <v>GRMZM2G038928</v>
          </cell>
          <cell r="B714" t="str">
            <v>GO:0006835GO:0016020GO:0017153GO:0004190GO:0006508</v>
          </cell>
          <cell r="C714" t="str">
            <v>eukaryotic aspartyl protease family expressed</v>
          </cell>
          <cell r="D714" t="str">
            <v>BT0</v>
          </cell>
          <cell r="E714" t="str">
            <v>BT6</v>
          </cell>
          <cell r="F714">
            <v>1.0552600000000001</v>
          </cell>
          <cell r="G714">
            <v>0.313948</v>
          </cell>
          <cell r="H714">
            <v>-1.74899</v>
          </cell>
        </row>
        <row r="715">
          <cell r="A715" t="str">
            <v>GRMZM2G070315</v>
          </cell>
          <cell r="B715" t="str">
            <v>GO:0016311GO:0004725</v>
          </cell>
          <cell r="C715" t="str">
            <v>tyrosine specific protein phosphatase family protein</v>
          </cell>
          <cell r="D715" t="str">
            <v>BT0</v>
          </cell>
          <cell r="E715" t="str">
            <v>BT6</v>
          </cell>
          <cell r="F715">
            <v>25.5382</v>
          </cell>
          <cell r="G715">
            <v>84.9846</v>
          </cell>
          <cell r="H715">
            <v>1.73454</v>
          </cell>
        </row>
        <row r="716">
          <cell r="A716" t="str">
            <v>GRMZM2G160005</v>
          </cell>
          <cell r="B716" t="str">
            <v>GO:0006355GO:0005634GO:0003677GO:0009725</v>
          </cell>
          <cell r="C716" t="str">
            <v>auxin response factor 7</v>
          </cell>
          <cell r="D716" t="str">
            <v>BT0</v>
          </cell>
          <cell r="E716" t="str">
            <v>BT6</v>
          </cell>
          <cell r="F716">
            <v>5.76098</v>
          </cell>
          <cell r="G716">
            <v>13.0199</v>
          </cell>
          <cell r="H716">
            <v>1.1763399999999999</v>
          </cell>
        </row>
        <row r="717">
          <cell r="A717" t="str">
            <v>GRMZM2G074611</v>
          </cell>
          <cell r="B717" t="str">
            <v>NA</v>
          </cell>
          <cell r="C717" t="str">
            <v>dirigent-like protein</v>
          </cell>
          <cell r="D717" t="str">
            <v>BT0</v>
          </cell>
          <cell r="E717" t="str">
            <v>BT6</v>
          </cell>
          <cell r="F717">
            <v>26.3996</v>
          </cell>
          <cell r="G717">
            <v>11.2639</v>
          </cell>
          <cell r="H717">
            <v>-1.22881</v>
          </cell>
        </row>
        <row r="718">
          <cell r="A718" t="str">
            <v>GRMZM2G171395</v>
          </cell>
          <cell r="B718" t="str">
            <v>GO:0045449GO:0003677</v>
          </cell>
          <cell r="C718" t="str">
            <v>7 protein</v>
          </cell>
          <cell r="D718" t="str">
            <v>BT0</v>
          </cell>
          <cell r="E718" t="str">
            <v>BT6</v>
          </cell>
          <cell r="F718">
            <v>8.1259999999999994</v>
          </cell>
          <cell r="G718">
            <v>1.8910499999999999</v>
          </cell>
          <cell r="H718">
            <v>-2.1033599999999999</v>
          </cell>
        </row>
        <row r="719">
          <cell r="A719" t="str">
            <v>GRMZM2G018988</v>
          </cell>
          <cell r="B719" t="str">
            <v>NA</v>
          </cell>
          <cell r="C719" t="str">
            <v>protein</v>
          </cell>
          <cell r="D719" t="str">
            <v>BT0</v>
          </cell>
          <cell r="E719" t="str">
            <v>BT6</v>
          </cell>
          <cell r="F719">
            <v>0.154308</v>
          </cell>
          <cell r="G719">
            <v>2.7341299999999999</v>
          </cell>
          <cell r="H719">
            <v>4.1471900000000002</v>
          </cell>
        </row>
        <row r="720">
          <cell r="A720" t="str">
            <v>GRMZM2G013398</v>
          </cell>
          <cell r="B720" t="str">
            <v>GO:0008270GO:0005622</v>
          </cell>
          <cell r="C720" t="str">
            <v>zinc finger protein constans-like 9-like</v>
          </cell>
          <cell r="D720" t="str">
            <v>BT0</v>
          </cell>
          <cell r="E720" t="str">
            <v>BT6</v>
          </cell>
          <cell r="F720">
            <v>0.81906699999999999</v>
          </cell>
          <cell r="G720">
            <v>0.14380899999999999</v>
          </cell>
          <cell r="H720">
            <v>-2.50983</v>
          </cell>
        </row>
        <row r="721">
          <cell r="A721" t="str">
            <v>GRMZM5G890783</v>
          </cell>
          <cell r="B721" t="str">
            <v>NA</v>
          </cell>
          <cell r="C721" t="str">
            <v>uncharacterized protein LOC100279463</v>
          </cell>
          <cell r="D721" t="str">
            <v>BT0</v>
          </cell>
          <cell r="E721" t="str">
            <v>BT6</v>
          </cell>
          <cell r="F721">
            <v>0</v>
          </cell>
          <cell r="G721">
            <v>6.4357499999999996</v>
          </cell>
          <cell r="H721" t="str">
            <v>BD</v>
          </cell>
        </row>
        <row r="722">
          <cell r="A722" t="str">
            <v>GRMZM2G115698</v>
          </cell>
          <cell r="B722" t="str">
            <v>NA</v>
          </cell>
          <cell r="C722" t="str">
            <v>uncharacterized protein LOC100216778</v>
          </cell>
          <cell r="D722" t="str">
            <v>BT0</v>
          </cell>
          <cell r="E722" t="str">
            <v>BT6</v>
          </cell>
          <cell r="F722">
            <v>0.59982000000000002</v>
          </cell>
          <cell r="G722">
            <v>2.0366599999999999</v>
          </cell>
          <cell r="H722">
            <v>1.7636099999999999</v>
          </cell>
        </row>
        <row r="723">
          <cell r="A723" t="str">
            <v>GRMZM2G480106</v>
          </cell>
          <cell r="B723" t="str">
            <v>GO:0008270GO:0005515</v>
          </cell>
          <cell r="C723" t="str">
            <v>zinc c3hc4 type family protein</v>
          </cell>
          <cell r="D723" t="str">
            <v>BT0</v>
          </cell>
          <cell r="E723" t="str">
            <v>BT6</v>
          </cell>
          <cell r="F723">
            <v>2.6558299999999999</v>
          </cell>
          <cell r="G723">
            <v>1.02077</v>
          </cell>
          <cell r="H723">
            <v>-1.3794999999999999</v>
          </cell>
        </row>
        <row r="724">
          <cell r="A724" t="str">
            <v>GRMZM2G138370</v>
          </cell>
          <cell r="B724" t="str">
            <v>NA</v>
          </cell>
          <cell r="C724" t="str">
            <v>vq motif family protein</v>
          </cell>
          <cell r="D724" t="str">
            <v>BT0</v>
          </cell>
          <cell r="E724" t="str">
            <v>BT6</v>
          </cell>
          <cell r="F724">
            <v>6.87052</v>
          </cell>
          <cell r="G724">
            <v>2.2995100000000002</v>
          </cell>
          <cell r="H724">
            <v>-1.5790900000000001</v>
          </cell>
        </row>
        <row r="725">
          <cell r="A725" t="str">
            <v>GRMZM2G343048</v>
          </cell>
          <cell r="B725" t="str">
            <v>NA</v>
          </cell>
          <cell r="C725" t="str">
            <v>uncharacterized protein LOC100303855</v>
          </cell>
          <cell r="D725" t="str">
            <v>BT0</v>
          </cell>
          <cell r="E725" t="str">
            <v>BT6</v>
          </cell>
          <cell r="F725">
            <v>8.1252499999999994</v>
          </cell>
          <cell r="G725">
            <v>4.0262500000000001</v>
          </cell>
          <cell r="H725">
            <v>-1.01298</v>
          </cell>
        </row>
        <row r="726">
          <cell r="A726" t="str">
            <v>GRMZM2G040838</v>
          </cell>
          <cell r="B726" t="str">
            <v>NA</v>
          </cell>
          <cell r="C726" t="str">
            <v>NA</v>
          </cell>
          <cell r="D726" t="str">
            <v>BT0</v>
          </cell>
          <cell r="E726" t="str">
            <v>BT6</v>
          </cell>
          <cell r="F726">
            <v>2.5340699999999998</v>
          </cell>
          <cell r="G726">
            <v>0.90342500000000003</v>
          </cell>
          <cell r="H726">
            <v>-1.4879800000000001</v>
          </cell>
        </row>
        <row r="727">
          <cell r="A727" t="str">
            <v>GRMZM2G026184</v>
          </cell>
          <cell r="B727" t="str">
            <v>NA</v>
          </cell>
          <cell r="C727" t="str">
            <v>NA</v>
          </cell>
          <cell r="D727" t="str">
            <v>BT0</v>
          </cell>
          <cell r="E727" t="str">
            <v>BT6</v>
          </cell>
          <cell r="F727">
            <v>2.4702199999999999</v>
          </cell>
          <cell r="G727">
            <v>5.2844100000000003</v>
          </cell>
          <cell r="H727">
            <v>1.0971</v>
          </cell>
        </row>
        <row r="728">
          <cell r="A728" t="str">
            <v>GRMZM2G125441</v>
          </cell>
          <cell r="B728" t="str">
            <v>GO:0003735GO:0016020GO:0051260GO:0006412GO:0005840</v>
          </cell>
          <cell r="C728" t="str">
            <v>meiosis 5</v>
          </cell>
          <cell r="D728" t="str">
            <v>BT0</v>
          </cell>
          <cell r="E728" t="str">
            <v>BT6</v>
          </cell>
          <cell r="F728">
            <v>0.173149</v>
          </cell>
          <cell r="G728">
            <v>0.78480499999999997</v>
          </cell>
          <cell r="H728">
            <v>2.18032</v>
          </cell>
        </row>
        <row r="729">
          <cell r="A729" t="str">
            <v>GRMZM2G337594</v>
          </cell>
          <cell r="B729" t="str">
            <v>NA</v>
          </cell>
          <cell r="C729" t="str">
            <v>hypothetical protein</v>
          </cell>
          <cell r="D729" t="str">
            <v>BT0</v>
          </cell>
          <cell r="E729" t="str">
            <v>BT6</v>
          </cell>
          <cell r="F729">
            <v>0</v>
          </cell>
          <cell r="G729">
            <v>1.3425800000000001</v>
          </cell>
          <cell r="H729" t="str">
            <v>BD</v>
          </cell>
        </row>
        <row r="730">
          <cell r="A730" t="str">
            <v>AC202930.4_FG008</v>
          </cell>
          <cell r="B730" t="str">
            <v>NA</v>
          </cell>
          <cell r="C730" t="str">
            <v>NA</v>
          </cell>
          <cell r="D730" t="str">
            <v>BT0</v>
          </cell>
          <cell r="E730" t="str">
            <v>BT6</v>
          </cell>
          <cell r="F730">
            <v>0</v>
          </cell>
          <cell r="G730">
            <v>4.3985399999999997</v>
          </cell>
          <cell r="H730" t="str">
            <v>BD</v>
          </cell>
        </row>
        <row r="731">
          <cell r="A731" t="str">
            <v>GRMZM2G092146</v>
          </cell>
          <cell r="B731" t="str">
            <v>NA</v>
          </cell>
          <cell r="C731" t="str">
            <v>uncharacterized protein LOC100275352</v>
          </cell>
          <cell r="D731" t="str">
            <v>BT0</v>
          </cell>
          <cell r="E731" t="str">
            <v>BT6</v>
          </cell>
          <cell r="F731">
            <v>4.3807</v>
          </cell>
          <cell r="G731">
            <v>0.77404399999999995</v>
          </cell>
          <cell r="H731">
            <v>-2.50068</v>
          </cell>
        </row>
        <row r="732">
          <cell r="A732" t="str">
            <v>AC219190.3_FG002</v>
          </cell>
          <cell r="B732" t="str">
            <v>GO:0009664GO:0005576</v>
          </cell>
          <cell r="C732" t="str">
            <v>NA</v>
          </cell>
          <cell r="D732" t="str">
            <v>BT0</v>
          </cell>
          <cell r="E732" t="str">
            <v>BT6</v>
          </cell>
          <cell r="F732">
            <v>4.3501899999999996</v>
          </cell>
          <cell r="G732">
            <v>2.01674</v>
          </cell>
          <cell r="H732">
            <v>-1.1090599999999999</v>
          </cell>
        </row>
        <row r="733">
          <cell r="A733" t="str">
            <v>GRMZM2G070115</v>
          </cell>
          <cell r="B733" t="str">
            <v>NA</v>
          </cell>
          <cell r="C733" t="str">
            <v>protein cdc2 kinase</v>
          </cell>
          <cell r="D733" t="str">
            <v>BT0</v>
          </cell>
          <cell r="E733" t="str">
            <v>BT6</v>
          </cell>
          <cell r="F733">
            <v>0</v>
          </cell>
          <cell r="G733">
            <v>1.4597899999999999</v>
          </cell>
          <cell r="H733" t="str">
            <v>BD</v>
          </cell>
        </row>
        <row r="734">
          <cell r="A734" t="str">
            <v>GRMZM2G082520</v>
          </cell>
          <cell r="B734" t="str">
            <v>GO:0005576GO:0019953</v>
          </cell>
          <cell r="C734" t="str">
            <v>beta-expansin 1a precursor</v>
          </cell>
          <cell r="D734" t="str">
            <v>BT0</v>
          </cell>
          <cell r="E734" t="str">
            <v>BT6</v>
          </cell>
          <cell r="F734">
            <v>1.12259</v>
          </cell>
          <cell r="G734">
            <v>2.6789700000000001</v>
          </cell>
          <cell r="H734">
            <v>1.25485</v>
          </cell>
        </row>
        <row r="735">
          <cell r="A735" t="str">
            <v>GRMZM2G132238</v>
          </cell>
          <cell r="B735" t="str">
            <v>GO:0005737GO:0004427GO:0000287GO:0006796GO:0004197GO:0006508</v>
          </cell>
          <cell r="C735" t="str">
            <v>having alternative splicing products</v>
          </cell>
          <cell r="D735" t="str">
            <v>BT0</v>
          </cell>
          <cell r="E735" t="str">
            <v>BT6</v>
          </cell>
          <cell r="F735">
            <v>31.058</v>
          </cell>
          <cell r="G735">
            <v>67.571799999999996</v>
          </cell>
          <cell r="H735">
            <v>1.1214500000000001</v>
          </cell>
        </row>
        <row r="736">
          <cell r="A736" t="str">
            <v>GRMZM2G012140</v>
          </cell>
          <cell r="B736" t="str">
            <v>GO:0005975GO:0004553</v>
          </cell>
          <cell r="C736" t="str">
            <v>protein</v>
          </cell>
          <cell r="D736" t="str">
            <v>BT0</v>
          </cell>
          <cell r="E736" t="str">
            <v>BT6</v>
          </cell>
          <cell r="F736">
            <v>13.6281</v>
          </cell>
          <cell r="G736">
            <v>5.8785800000000004</v>
          </cell>
          <cell r="H736">
            <v>-1.2130399999999999</v>
          </cell>
        </row>
        <row r="737">
          <cell r="A737" t="str">
            <v>GRMZM2G112402</v>
          </cell>
          <cell r="B737" t="str">
            <v>NA</v>
          </cell>
          <cell r="C737" t="str">
            <v>NA</v>
          </cell>
          <cell r="D737" t="str">
            <v>BT0</v>
          </cell>
          <cell r="E737" t="str">
            <v>BT6</v>
          </cell>
          <cell r="F737">
            <v>1.4206799999999999</v>
          </cell>
          <cell r="G737">
            <v>0.25152000000000002</v>
          </cell>
          <cell r="H737">
            <v>-2.49783</v>
          </cell>
        </row>
        <row r="738">
          <cell r="A738" t="str">
            <v>GRMZM2G031637</v>
          </cell>
          <cell r="B738" t="str">
            <v>GO:0031072</v>
          </cell>
          <cell r="C738" t="str">
            <v>protein</v>
          </cell>
          <cell r="D738" t="str">
            <v>BT0</v>
          </cell>
          <cell r="E738" t="str">
            <v>BT6</v>
          </cell>
          <cell r="F738">
            <v>2.4814799999999999</v>
          </cell>
          <cell r="G738">
            <v>1.2155100000000001</v>
          </cell>
          <cell r="H738">
            <v>-1.0296400000000001</v>
          </cell>
        </row>
        <row r="739">
          <cell r="A739" t="str">
            <v>GRMZM2G118959</v>
          </cell>
          <cell r="B739" t="str">
            <v>GO:0016020GO:0015018</v>
          </cell>
          <cell r="C739" t="str">
            <v>glycosyl transferase</v>
          </cell>
          <cell r="D739" t="str">
            <v>BT0</v>
          </cell>
          <cell r="E739" t="str">
            <v>BT6</v>
          </cell>
          <cell r="F739">
            <v>1.44103</v>
          </cell>
          <cell r="G739">
            <v>0.59076300000000004</v>
          </cell>
          <cell r="H739">
            <v>-1.2864500000000001</v>
          </cell>
        </row>
        <row r="740">
          <cell r="A740" t="str">
            <v>GRMZM2G161293</v>
          </cell>
          <cell r="B740" t="str">
            <v>GO:0008375GO:0016020</v>
          </cell>
          <cell r="C740" t="str">
            <v>protein</v>
          </cell>
          <cell r="D740" t="str">
            <v>BT0</v>
          </cell>
          <cell r="E740" t="str">
            <v>BT6</v>
          </cell>
          <cell r="F740">
            <v>5.8217100000000004</v>
          </cell>
          <cell r="G740">
            <v>2.6270899999999999</v>
          </cell>
          <cell r="H740">
            <v>-1.14798</v>
          </cell>
        </row>
        <row r="741">
          <cell r="A741" t="str">
            <v>AC233893.1_FG006</v>
          </cell>
          <cell r="B741" t="str">
            <v>GO:0006468GO:0042309GO:0004672GO:0050825GO:0005515GO:0050826GO:0005524</v>
          </cell>
          <cell r="C741" t="str">
            <v>NA</v>
          </cell>
          <cell r="D741" t="str">
            <v>BT0</v>
          </cell>
          <cell r="E741" t="str">
            <v>BT6</v>
          </cell>
          <cell r="F741">
            <v>0.89157600000000004</v>
          </cell>
          <cell r="G741">
            <v>0.40944999999999998</v>
          </cell>
          <cell r="H741">
            <v>-1.1226700000000001</v>
          </cell>
        </row>
        <row r="742">
          <cell r="A742" t="str">
            <v>GRMZM2G472696</v>
          </cell>
          <cell r="B742" t="str">
            <v>GO:0006334GO:0003677GO:0005634GO:0000786</v>
          </cell>
          <cell r="C742" t="str">
            <v>histone -like isoform 1</v>
          </cell>
          <cell r="D742" t="str">
            <v>BT0</v>
          </cell>
          <cell r="E742" t="str">
            <v>BT6</v>
          </cell>
          <cell r="F742">
            <v>1.7441899999999999</v>
          </cell>
          <cell r="G742">
            <v>0.51059200000000005</v>
          </cell>
          <cell r="H742">
            <v>-1.7723100000000001</v>
          </cell>
        </row>
        <row r="743">
          <cell r="A743" t="str">
            <v>GRMZM2G037327</v>
          </cell>
          <cell r="B743" t="str">
            <v>GO:0005215GO:0016020GO:0006810</v>
          </cell>
          <cell r="C743" t="str">
            <v>mip tip subfamily</v>
          </cell>
          <cell r="D743" t="str">
            <v>BT0</v>
          </cell>
          <cell r="E743" t="str">
            <v>BT6</v>
          </cell>
          <cell r="F743">
            <v>0.63185199999999997</v>
          </cell>
          <cell r="G743">
            <v>2.72384</v>
          </cell>
          <cell r="H743">
            <v>2.10798</v>
          </cell>
        </row>
        <row r="744">
          <cell r="A744" t="str">
            <v>RPOA</v>
          </cell>
          <cell r="B744" t="str">
            <v>NA</v>
          </cell>
          <cell r="C744" t="str">
            <v>NA</v>
          </cell>
          <cell r="D744" t="str">
            <v>BT0</v>
          </cell>
          <cell r="E744" t="str">
            <v>BT6</v>
          </cell>
          <cell r="F744">
            <v>0.67841700000000005</v>
          </cell>
          <cell r="G744">
            <v>1.3751800000000001</v>
          </cell>
          <cell r="H744">
            <v>1.01938</v>
          </cell>
        </row>
        <row r="745">
          <cell r="A745" t="str">
            <v>GRMZM6G880411</v>
          </cell>
          <cell r="B745" t="str">
            <v>NA</v>
          </cell>
          <cell r="C745" t="str">
            <v>NA</v>
          </cell>
          <cell r="D745" t="str">
            <v>BT0</v>
          </cell>
          <cell r="E745" t="str">
            <v>BT6</v>
          </cell>
          <cell r="F745">
            <v>4.0791700000000004</v>
          </cell>
          <cell r="G745">
            <v>1.4754</v>
          </cell>
          <cell r="H745">
            <v>-1.4671700000000001</v>
          </cell>
        </row>
        <row r="746">
          <cell r="A746" t="str">
            <v>GRMZM2G164486</v>
          </cell>
          <cell r="B746" t="str">
            <v>NA</v>
          </cell>
          <cell r="C746" t="str">
            <v>NA</v>
          </cell>
          <cell r="D746" t="str">
            <v>BT0</v>
          </cell>
          <cell r="E746" t="str">
            <v>BT6</v>
          </cell>
          <cell r="F746">
            <v>40.900100000000002</v>
          </cell>
          <cell r="G746">
            <v>19.953499999999998</v>
          </cell>
          <cell r="H746">
            <v>-1.03546</v>
          </cell>
        </row>
        <row r="747">
          <cell r="A747" t="str">
            <v>GRMZM2G007025</v>
          </cell>
          <cell r="B747" t="str">
            <v>GO:0016998</v>
          </cell>
          <cell r="C747" t="str">
            <v>lysm domain containing protein</v>
          </cell>
          <cell r="D747" t="str">
            <v>BT0</v>
          </cell>
          <cell r="E747" t="str">
            <v>BT6</v>
          </cell>
          <cell r="F747">
            <v>4.3029999999999999</v>
          </cell>
          <cell r="G747">
            <v>1.7140899999999999</v>
          </cell>
          <cell r="H747">
            <v>-1.3279000000000001</v>
          </cell>
        </row>
      </sheetData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始差异数据"/>
      <sheetName val="选择处理行"/>
      <sheetName val="fold change&gt;2"/>
      <sheetName val="up"/>
      <sheetName val="dow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gene</v>
          </cell>
          <cell r="B1" t="str">
            <v>GO term</v>
          </cell>
          <cell r="C1" t="str">
            <v>Description</v>
          </cell>
          <cell r="D1" t="str">
            <v>sample_1</v>
          </cell>
          <cell r="E1" t="str">
            <v>sample_2</v>
          </cell>
          <cell r="F1" t="str">
            <v>value_1</v>
          </cell>
          <cell r="G1" t="str">
            <v>value_2</v>
          </cell>
          <cell r="H1" t="str">
            <v>log2(fold_change)</v>
          </cell>
        </row>
        <row r="2">
          <cell r="A2" t="str">
            <v>GRMZM2G055698</v>
          </cell>
          <cell r="B2" t="str">
            <v>GO:0016021</v>
          </cell>
          <cell r="C2" t="str">
            <v>membrane protein</v>
          </cell>
          <cell r="D2" t="str">
            <v>MT0</v>
          </cell>
          <cell r="E2" t="str">
            <v>MT6</v>
          </cell>
          <cell r="F2">
            <v>2.3382299999999998</v>
          </cell>
          <cell r="G2">
            <v>0.74075599999999997</v>
          </cell>
          <cell r="H2">
            <v>-1.65835</v>
          </cell>
        </row>
        <row r="3">
          <cell r="A3" t="str">
            <v>GRMZM2G030567</v>
          </cell>
          <cell r="B3" t="e">
            <v>#N/A</v>
          </cell>
          <cell r="C3" t="str">
            <v>hypothetical protein SORBIDRAFT_01g049390</v>
          </cell>
          <cell r="D3" t="str">
            <v>MT0</v>
          </cell>
          <cell r="E3" t="str">
            <v>MT6</v>
          </cell>
          <cell r="F3">
            <v>3.8248500000000001</v>
          </cell>
          <cell r="G3">
            <v>1.8345400000000001</v>
          </cell>
          <cell r="H3">
            <v>-1.0599799999999999</v>
          </cell>
        </row>
        <row r="4">
          <cell r="A4" t="str">
            <v>GRMZM2G099454</v>
          </cell>
          <cell r="B4" t="str">
            <v>GO:0004568GO:0006032GO:0016998</v>
          </cell>
          <cell r="C4" t="str">
            <v>basic endochitinase c precursor</v>
          </cell>
          <cell r="D4" t="str">
            <v>MT0</v>
          </cell>
          <cell r="E4" t="str">
            <v>MT6</v>
          </cell>
          <cell r="F4">
            <v>1.6253299999999999</v>
          </cell>
          <cell r="G4">
            <v>3.4377800000000001</v>
          </cell>
          <cell r="H4">
            <v>1.08074</v>
          </cell>
        </row>
        <row r="5">
          <cell r="A5" t="str">
            <v>GRMZM2G018579</v>
          </cell>
          <cell r="B5" t="e">
            <v>#N/A</v>
          </cell>
          <cell r="C5" t="str">
            <v>protein</v>
          </cell>
          <cell r="D5" t="str">
            <v>MT0</v>
          </cell>
          <cell r="E5" t="str">
            <v>MT6</v>
          </cell>
          <cell r="F5">
            <v>15.9681</v>
          </cell>
          <cell r="G5">
            <v>6.1269299999999998</v>
          </cell>
          <cell r="H5">
            <v>-1.3819600000000001</v>
          </cell>
        </row>
        <row r="6">
          <cell r="A6" t="str">
            <v>GRMZM2G417835</v>
          </cell>
          <cell r="B6" t="str">
            <v>GO:0016021GO:0007186GO:0004937</v>
          </cell>
          <cell r="C6" t="str">
            <v>vq motif family protein</v>
          </cell>
          <cell r="D6" t="str">
            <v>MT0</v>
          </cell>
          <cell r="E6" t="str">
            <v>MT6</v>
          </cell>
          <cell r="F6">
            <v>0.13027</v>
          </cell>
          <cell r="G6">
            <v>0.89085199999999998</v>
          </cell>
          <cell r="H6">
            <v>2.7736800000000001</v>
          </cell>
        </row>
        <row r="7">
          <cell r="A7" t="str">
            <v>GRMZM5G838098</v>
          </cell>
          <cell r="B7" t="e">
            <v>#N/A</v>
          </cell>
          <cell r="C7" t="str">
            <v>protein tify 10a-like</v>
          </cell>
          <cell r="D7" t="str">
            <v>MT0</v>
          </cell>
          <cell r="E7" t="str">
            <v>MT6</v>
          </cell>
          <cell r="F7">
            <v>0.96564899999999998</v>
          </cell>
          <cell r="G7">
            <v>2.7130200000000002</v>
          </cell>
          <cell r="H7">
            <v>1.4903299999999999</v>
          </cell>
        </row>
        <row r="8">
          <cell r="A8" t="str">
            <v>GRMZM5G815358</v>
          </cell>
          <cell r="B8" t="e">
            <v>#N/A</v>
          </cell>
          <cell r="C8" t="str">
            <v>uncharacterized protein LOC100274071</v>
          </cell>
          <cell r="D8" t="str">
            <v>MT0</v>
          </cell>
          <cell r="E8" t="str">
            <v>MT6</v>
          </cell>
          <cell r="F8">
            <v>38.895099999999999</v>
          </cell>
          <cell r="G8">
            <v>16.028199999999998</v>
          </cell>
          <cell r="H8">
            <v>-1.2789699999999999</v>
          </cell>
        </row>
        <row r="9">
          <cell r="A9" t="str">
            <v>GRMZM2G055101</v>
          </cell>
          <cell r="B9" t="str">
            <v>GO:0005975GO:0004553</v>
          </cell>
          <cell r="C9" t="str">
            <v>endo- -beta-xylanase c</v>
          </cell>
          <cell r="D9" t="str">
            <v>MT0</v>
          </cell>
          <cell r="E9" t="str">
            <v>MT6</v>
          </cell>
          <cell r="F9">
            <v>1.35022</v>
          </cell>
          <cell r="G9">
            <v>0.64570399999999994</v>
          </cell>
          <cell r="H9">
            <v>-1.0642499999999999</v>
          </cell>
        </row>
        <row r="10">
          <cell r="A10" t="str">
            <v>GRMZM2G013430</v>
          </cell>
          <cell r="B10" t="str">
            <v>GO:0005737GO:0006535GO:0050825GO:0042309GO:0050826GO:0009001</v>
          </cell>
          <cell r="C10" t="str">
            <v>serine acetyltransferase mitochondrial</v>
          </cell>
          <cell r="D10" t="str">
            <v>MT0</v>
          </cell>
          <cell r="E10" t="str">
            <v>MT6</v>
          </cell>
          <cell r="F10">
            <v>0.98850700000000002</v>
          </cell>
          <cell r="G10">
            <v>2.07043</v>
          </cell>
          <cell r="H10">
            <v>1.0666100000000001</v>
          </cell>
        </row>
        <row r="11">
          <cell r="A11" t="str">
            <v>GRMZM2G155242</v>
          </cell>
          <cell r="B11" t="str">
            <v>GO:0004512GO:0006021GO:0005488GO:0008654</v>
          </cell>
          <cell r="C11" t="str">
            <v>inositol-3-phosphate synthase</v>
          </cell>
          <cell r="D11" t="str">
            <v>MT0</v>
          </cell>
          <cell r="E11" t="str">
            <v>MT6</v>
          </cell>
          <cell r="F11">
            <v>5.0181800000000001</v>
          </cell>
          <cell r="G11">
            <v>12.123699999999999</v>
          </cell>
          <cell r="H11">
            <v>1.2726</v>
          </cell>
        </row>
        <row r="12">
          <cell r="A12" t="str">
            <v>GRMZM2G012758</v>
          </cell>
          <cell r="B12" t="str">
            <v>GO:0005975GO:0004553</v>
          </cell>
          <cell r="C12" t="str">
            <v>glucan endo- -beta-glucosidase 7-like</v>
          </cell>
          <cell r="D12" t="str">
            <v>MT0</v>
          </cell>
          <cell r="E12" t="str">
            <v>MT6</v>
          </cell>
          <cell r="F12">
            <v>11.6166</v>
          </cell>
          <cell r="G12">
            <v>24.296299999999999</v>
          </cell>
          <cell r="H12">
            <v>1.0645500000000001</v>
          </cell>
        </row>
        <row r="13">
          <cell r="A13" t="str">
            <v>GRMZM2G149647</v>
          </cell>
          <cell r="B13" t="e">
            <v>#N/A</v>
          </cell>
          <cell r="C13" t="str">
            <v>heat-shock protein</v>
          </cell>
          <cell r="D13" t="str">
            <v>MT0</v>
          </cell>
          <cell r="E13" t="str">
            <v>MT6</v>
          </cell>
          <cell r="F13">
            <v>1.11351</v>
          </cell>
          <cell r="G13">
            <v>3.3804099999999999</v>
          </cell>
          <cell r="H13">
            <v>1.60209</v>
          </cell>
        </row>
        <row r="14">
          <cell r="A14" t="str">
            <v>RPS20</v>
          </cell>
          <cell r="B14" t="e">
            <v>#N/A</v>
          </cell>
          <cell r="C14" t="e">
            <v>#N/A</v>
          </cell>
          <cell r="D14" t="str">
            <v>MT0</v>
          </cell>
          <cell r="E14" t="str">
            <v>MT6</v>
          </cell>
          <cell r="F14">
            <v>7.3117200000000002</v>
          </cell>
          <cell r="G14">
            <v>14.9939</v>
          </cell>
          <cell r="H14">
            <v>1.03609</v>
          </cell>
        </row>
        <row r="15">
          <cell r="A15" t="str">
            <v>GRMZM2G341309</v>
          </cell>
          <cell r="B15" t="e">
            <v>#N/A</v>
          </cell>
          <cell r="C15" t="str">
            <v>embryogenesis transmembrane</v>
          </cell>
          <cell r="D15" t="str">
            <v>MT0</v>
          </cell>
          <cell r="E15" t="str">
            <v>MT6</v>
          </cell>
          <cell r="F15">
            <v>0.28669899999999998</v>
          </cell>
          <cell r="G15">
            <v>1.0542199999999999</v>
          </cell>
          <cell r="H15">
            <v>1.8785700000000001</v>
          </cell>
        </row>
        <row r="16">
          <cell r="A16" t="str">
            <v>GRMZM2G703561</v>
          </cell>
          <cell r="B16" t="e">
            <v>#N/A</v>
          </cell>
          <cell r="C16">
            <v>0</v>
          </cell>
          <cell r="D16" t="str">
            <v>MT0</v>
          </cell>
          <cell r="E16" t="str">
            <v>MT6</v>
          </cell>
          <cell r="F16">
            <v>1.4095</v>
          </cell>
          <cell r="G16">
            <v>0.35621199999999997</v>
          </cell>
          <cell r="H16">
            <v>-1.98438</v>
          </cell>
        </row>
        <row r="17">
          <cell r="A17" t="str">
            <v>GRMZM2G110000</v>
          </cell>
          <cell r="B17" t="str">
            <v>GO:0005576</v>
          </cell>
          <cell r="C17" t="str">
            <v>uncharacterized protein LOC100502280 precursor</v>
          </cell>
          <cell r="D17" t="str">
            <v>MT0</v>
          </cell>
          <cell r="E17" t="str">
            <v>MT6</v>
          </cell>
          <cell r="F17">
            <v>0.89700599999999997</v>
          </cell>
          <cell r="G17">
            <v>1.8630199999999999</v>
          </cell>
          <cell r="H17">
            <v>1.0544500000000001</v>
          </cell>
        </row>
        <row r="18">
          <cell r="A18" t="str">
            <v>TS2</v>
          </cell>
          <cell r="B18" t="e">
            <v>#N/A</v>
          </cell>
          <cell r="C18" t="e">
            <v>#N/A</v>
          </cell>
          <cell r="D18" t="str">
            <v>MT0</v>
          </cell>
          <cell r="E18" t="str">
            <v>MT6</v>
          </cell>
          <cell r="F18">
            <v>0.938913</v>
          </cell>
          <cell r="G18">
            <v>2.28762</v>
          </cell>
          <cell r="H18">
            <v>1.28478</v>
          </cell>
        </row>
        <row r="19">
          <cell r="A19" t="str">
            <v>GRMZM2G313934</v>
          </cell>
          <cell r="B19" t="e">
            <v>#N/A</v>
          </cell>
          <cell r="C19" t="str">
            <v>uncharacterized protein LOC100501916</v>
          </cell>
          <cell r="D19" t="str">
            <v>MT0</v>
          </cell>
          <cell r="E19" t="str">
            <v>MT6</v>
          </cell>
          <cell r="F19">
            <v>1.7198199999999999</v>
          </cell>
          <cell r="G19">
            <v>4.6197699999999999</v>
          </cell>
          <cell r="H19">
            <v>1.4255599999999999</v>
          </cell>
        </row>
        <row r="20">
          <cell r="A20" t="str">
            <v>GRMZM2G318652</v>
          </cell>
          <cell r="B20" t="str">
            <v>GO:0050825GO:0042309GO:0050826</v>
          </cell>
          <cell r="C20" t="str">
            <v>sigma factor binding protein</v>
          </cell>
          <cell r="D20" t="str">
            <v>MT0</v>
          </cell>
          <cell r="E20" t="str">
            <v>MT6</v>
          </cell>
          <cell r="F20">
            <v>1.22841</v>
          </cell>
          <cell r="G20">
            <v>0.60782599999999998</v>
          </cell>
          <cell r="H20">
            <v>-1.0150600000000001</v>
          </cell>
        </row>
        <row r="21">
          <cell r="A21" t="str">
            <v>GRMZM2G046297</v>
          </cell>
          <cell r="B21" t="str">
            <v>GO:0004674GO:0006468GO:0004713GO:0005524</v>
          </cell>
          <cell r="C21" t="str">
            <v>serine threonine-protein kinase at5g01020-like</v>
          </cell>
          <cell r="D21" t="str">
            <v>MT0</v>
          </cell>
          <cell r="E21" t="str">
            <v>MT6</v>
          </cell>
          <cell r="F21">
            <v>1.65849</v>
          </cell>
          <cell r="G21">
            <v>3.91994</v>
          </cell>
          <cell r="H21">
            <v>1.2409600000000001</v>
          </cell>
        </row>
        <row r="22">
          <cell r="A22" t="str">
            <v>GRMZM5G815369</v>
          </cell>
          <cell r="B22" t="e">
            <v>#N/A</v>
          </cell>
          <cell r="C22" t="str">
            <v>gpi-anchored wall transfer protein</v>
          </cell>
          <cell r="D22" t="str">
            <v>MT0</v>
          </cell>
          <cell r="E22" t="str">
            <v>MT6</v>
          </cell>
          <cell r="F22">
            <v>11.0952</v>
          </cell>
          <cell r="G22">
            <v>4.3097300000000001</v>
          </cell>
          <cell r="H22">
            <v>-1.36426</v>
          </cell>
        </row>
        <row r="23">
          <cell r="A23" t="str">
            <v>GRMZM2G336824</v>
          </cell>
          <cell r="B23" t="str">
            <v>GO:0046983GO:0008171</v>
          </cell>
          <cell r="C23" t="str">
            <v>o-methyltransferase zrp4</v>
          </cell>
          <cell r="D23" t="str">
            <v>MT0</v>
          </cell>
          <cell r="E23" t="str">
            <v>MT6</v>
          </cell>
          <cell r="F23">
            <v>1.06348</v>
          </cell>
          <cell r="G23">
            <v>0.33099800000000001</v>
          </cell>
          <cell r="H23">
            <v>-1.6838900000000001</v>
          </cell>
        </row>
        <row r="24">
          <cell r="A24" t="str">
            <v>GRMZM2G179792</v>
          </cell>
          <cell r="B24" t="str">
            <v>GO:0004630GO:0016020GO:0046470GO:0005509</v>
          </cell>
          <cell r="C24" t="str">
            <v>phospholipase d</v>
          </cell>
          <cell r="D24" t="str">
            <v>MT0</v>
          </cell>
          <cell r="E24" t="str">
            <v>MT6</v>
          </cell>
          <cell r="F24">
            <v>0.84092699999999998</v>
          </cell>
          <cell r="G24">
            <v>2.1631</v>
          </cell>
          <cell r="H24">
            <v>1.3630500000000001</v>
          </cell>
        </row>
        <row r="25">
          <cell r="A25" t="str">
            <v>GRMZM2G703641</v>
          </cell>
          <cell r="B25" t="e">
            <v>#N/A</v>
          </cell>
          <cell r="C25">
            <v>0</v>
          </cell>
          <cell r="D25" t="str">
            <v>MT0</v>
          </cell>
          <cell r="E25" t="str">
            <v>MT6</v>
          </cell>
          <cell r="F25">
            <v>15.2812</v>
          </cell>
          <cell r="G25">
            <v>6.38774</v>
          </cell>
          <cell r="H25">
            <v>-1.2583899999999999</v>
          </cell>
        </row>
        <row r="26">
          <cell r="A26" t="str">
            <v>GRMZM2G025190</v>
          </cell>
          <cell r="B26" t="str">
            <v>GO:0005737GO:0004364GO:0008152</v>
          </cell>
          <cell r="C26" t="str">
            <v>probable glutathione s-transferase gstu6-like</v>
          </cell>
          <cell r="D26" t="str">
            <v>MT0</v>
          </cell>
          <cell r="E26" t="str">
            <v>MT6</v>
          </cell>
          <cell r="F26">
            <v>8.3416099999999993</v>
          </cell>
          <cell r="G26">
            <v>18.156600000000001</v>
          </cell>
          <cell r="H26">
            <v>1.12209</v>
          </cell>
        </row>
        <row r="27">
          <cell r="A27" t="str">
            <v>GRMZM2G099467</v>
          </cell>
          <cell r="B27" t="str">
            <v>GO:0005506GO:0016491</v>
          </cell>
          <cell r="C27" t="str">
            <v>2og-fe oxygenase family expressed</v>
          </cell>
          <cell r="D27" t="str">
            <v>MT0</v>
          </cell>
          <cell r="E27" t="str">
            <v>MT6</v>
          </cell>
          <cell r="F27">
            <v>1.7720800000000001</v>
          </cell>
          <cell r="G27">
            <v>9.49057</v>
          </cell>
          <cell r="H27">
            <v>2.4210500000000001</v>
          </cell>
        </row>
        <row r="28">
          <cell r="A28" t="str">
            <v>GRMZM2G026147</v>
          </cell>
          <cell r="B28" t="str">
            <v>GO:0005576GO:0019953</v>
          </cell>
          <cell r="C28" t="str">
            <v>expansin-like 3 precursor</v>
          </cell>
          <cell r="D28" t="str">
            <v>MT0</v>
          </cell>
          <cell r="E28" t="str">
            <v>MT6</v>
          </cell>
          <cell r="F28">
            <v>19.945</v>
          </cell>
          <cell r="G28">
            <v>9.3629800000000003</v>
          </cell>
          <cell r="H28">
            <v>-1.0909899999999999</v>
          </cell>
        </row>
        <row r="29">
          <cell r="A29" t="str">
            <v>GRMZM2G572198</v>
          </cell>
          <cell r="B29" t="e">
            <v>#N/A</v>
          </cell>
          <cell r="C29" t="str">
            <v>hypothetical protein rf1-C2-g14</v>
          </cell>
          <cell r="D29" t="str">
            <v>MT0</v>
          </cell>
          <cell r="E29" t="str">
            <v>MT6</v>
          </cell>
          <cell r="F29">
            <v>4.4900399999999996</v>
          </cell>
          <cell r="G29">
            <v>1.65961</v>
          </cell>
          <cell r="H29">
            <v>-1.43588</v>
          </cell>
        </row>
        <row r="30">
          <cell r="A30" t="str">
            <v>GRMZM2G154580</v>
          </cell>
          <cell r="B30" t="e">
            <v>#N/A</v>
          </cell>
          <cell r="C30" t="str">
            <v>co-like protein</v>
          </cell>
          <cell r="D30" t="str">
            <v>MT0</v>
          </cell>
          <cell r="E30" t="str">
            <v>MT6</v>
          </cell>
          <cell r="F30">
            <v>0.76190500000000005</v>
          </cell>
          <cell r="G30">
            <v>1.73407</v>
          </cell>
          <cell r="H30">
            <v>1.18648</v>
          </cell>
        </row>
        <row r="31">
          <cell r="A31" t="str">
            <v>GRMZM2G368632</v>
          </cell>
          <cell r="B31" t="e">
            <v>#N/A</v>
          </cell>
          <cell r="C31" t="str">
            <v>cysteine-rich receptor-like protein kinase 20-like</v>
          </cell>
          <cell r="D31" t="str">
            <v>MT0</v>
          </cell>
          <cell r="E31" t="str">
            <v>MT6</v>
          </cell>
          <cell r="F31">
            <v>0.22892100000000001</v>
          </cell>
          <cell r="G31">
            <v>0.91931700000000005</v>
          </cell>
          <cell r="H31">
            <v>2.0057100000000001</v>
          </cell>
        </row>
        <row r="32">
          <cell r="A32" t="str">
            <v>AC177905.2_FG003</v>
          </cell>
          <cell r="B32" t="e">
            <v>#N/A</v>
          </cell>
          <cell r="C32" t="e">
            <v>#N/A</v>
          </cell>
          <cell r="D32" t="str">
            <v>MT0</v>
          </cell>
          <cell r="E32" t="str">
            <v>MT6</v>
          </cell>
          <cell r="F32">
            <v>2.9232</v>
          </cell>
          <cell r="G32">
            <v>1.2066699999999999</v>
          </cell>
          <cell r="H32">
            <v>-1.2765200000000001</v>
          </cell>
        </row>
        <row r="33">
          <cell r="A33" t="str">
            <v>GRMZM5G811095</v>
          </cell>
          <cell r="B33" t="e">
            <v>#N/A</v>
          </cell>
          <cell r="C33" t="str">
            <v>synaptic vesicle 2-related protein</v>
          </cell>
          <cell r="D33" t="str">
            <v>MT0</v>
          </cell>
          <cell r="E33" t="str">
            <v>MT6</v>
          </cell>
          <cell r="F33">
            <v>6.0851499999999996</v>
          </cell>
          <cell r="G33">
            <v>14.311500000000001</v>
          </cell>
          <cell r="H33">
            <v>1.2338100000000001</v>
          </cell>
        </row>
        <row r="34">
          <cell r="A34" t="str">
            <v>GRMZM2G100381</v>
          </cell>
          <cell r="B34" t="e">
            <v>#N/A</v>
          </cell>
          <cell r="C34" t="str">
            <v>hypothetical protein</v>
          </cell>
          <cell r="D34" t="str">
            <v>MT0</v>
          </cell>
          <cell r="E34" t="str">
            <v>MT6</v>
          </cell>
          <cell r="F34">
            <v>2.7822399999999998</v>
          </cell>
          <cell r="G34">
            <v>1.2749299999999999</v>
          </cell>
          <cell r="H34">
            <v>-1.1258300000000001</v>
          </cell>
        </row>
        <row r="35">
          <cell r="A35" t="str">
            <v>GRMZM2G428216</v>
          </cell>
          <cell r="B35" t="e">
            <v>#N/A</v>
          </cell>
          <cell r="C35" t="str">
            <v>uncharacterized protein LOC100276732</v>
          </cell>
          <cell r="D35" t="str">
            <v>MT0</v>
          </cell>
          <cell r="E35" t="str">
            <v>MT6</v>
          </cell>
          <cell r="F35">
            <v>273.589</v>
          </cell>
          <cell r="G35">
            <v>101.982</v>
          </cell>
          <cell r="H35">
            <v>-1.4237</v>
          </cell>
        </row>
        <row r="36">
          <cell r="A36" t="str">
            <v>GRMZM2G423472</v>
          </cell>
          <cell r="B36" t="str">
            <v>GO:0016021GO:0016192</v>
          </cell>
          <cell r="C36" t="str">
            <v>vesicle-associated membrane</v>
          </cell>
          <cell r="D36" t="str">
            <v>MT0</v>
          </cell>
          <cell r="E36" t="str">
            <v>MT6</v>
          </cell>
          <cell r="F36">
            <v>1.10988</v>
          </cell>
          <cell r="G36">
            <v>2.2860200000000002</v>
          </cell>
          <cell r="H36">
            <v>1.04244</v>
          </cell>
        </row>
        <row r="37">
          <cell r="A37" t="str">
            <v>GRMZM2G037265</v>
          </cell>
          <cell r="B37" t="e">
            <v>#N/A</v>
          </cell>
          <cell r="C37" t="str">
            <v>alkaline alpha-galactosidase seed imbibition protein</v>
          </cell>
          <cell r="D37" t="str">
            <v>MT0</v>
          </cell>
          <cell r="E37" t="str">
            <v>MT6</v>
          </cell>
          <cell r="F37">
            <v>66.780900000000003</v>
          </cell>
          <cell r="G37">
            <v>32.059600000000003</v>
          </cell>
          <cell r="H37">
            <v>-1.0586800000000001</v>
          </cell>
        </row>
        <row r="38">
          <cell r="A38" t="str">
            <v>GRMZM2G050177</v>
          </cell>
          <cell r="B38" t="e">
            <v>#N/A</v>
          </cell>
          <cell r="C38" t="str">
            <v>alkaline alpha-galactosidase seed imbibition protein</v>
          </cell>
          <cell r="D38" t="str">
            <v>MT0</v>
          </cell>
          <cell r="E38" t="str">
            <v>MT6</v>
          </cell>
          <cell r="F38">
            <v>14.5718</v>
          </cell>
          <cell r="G38">
            <v>6.7656999999999998</v>
          </cell>
          <cell r="H38">
            <v>-1.10687</v>
          </cell>
        </row>
        <row r="39">
          <cell r="A39" t="str">
            <v>GRMZM2G533147</v>
          </cell>
          <cell r="B39" t="e">
            <v>#N/A</v>
          </cell>
          <cell r="C39" t="str">
            <v>uncharacterized protein LOC100384145</v>
          </cell>
          <cell r="D39" t="str">
            <v>MT0</v>
          </cell>
          <cell r="E39" t="str">
            <v>MT6</v>
          </cell>
          <cell r="F39">
            <v>30.334900000000001</v>
          </cell>
          <cell r="G39">
            <v>14.8789</v>
          </cell>
          <cell r="H39">
            <v>-1.0277099999999999</v>
          </cell>
        </row>
        <row r="40">
          <cell r="A40" t="str">
            <v>GRMZM2G061791</v>
          </cell>
          <cell r="B40" t="e">
            <v>#N/A</v>
          </cell>
          <cell r="C40">
            <v>0</v>
          </cell>
          <cell r="D40" t="str">
            <v>MT0</v>
          </cell>
          <cell r="E40" t="str">
            <v>MT6</v>
          </cell>
          <cell r="F40">
            <v>0.391291</v>
          </cell>
          <cell r="G40">
            <v>0.89585899999999996</v>
          </cell>
          <cell r="H40">
            <v>1.19503</v>
          </cell>
        </row>
        <row r="41">
          <cell r="A41" t="str">
            <v>GRMZM2G059129</v>
          </cell>
          <cell r="B41" t="str">
            <v>GO:0006071GO:0006629GO:0008889</v>
          </cell>
          <cell r="C41" t="str">
            <v>probable glycerophosphoryl diester phosphodiesterase 2-like</v>
          </cell>
          <cell r="D41" t="str">
            <v>MT0</v>
          </cell>
          <cell r="E41" t="str">
            <v>MT6</v>
          </cell>
          <cell r="F41">
            <v>2.1010300000000002</v>
          </cell>
          <cell r="G41">
            <v>5.6729599999999998</v>
          </cell>
          <cell r="H41">
            <v>1.4330000000000001</v>
          </cell>
        </row>
        <row r="42">
          <cell r="A42" t="str">
            <v>GRMZM2G096585</v>
          </cell>
          <cell r="B42" t="str">
            <v>GO:0006457</v>
          </cell>
          <cell r="C42" t="str">
            <v>70 kda peptidyl-prolyl isomerase-like</v>
          </cell>
          <cell r="D42" t="str">
            <v>MT0</v>
          </cell>
          <cell r="E42" t="str">
            <v>MT6</v>
          </cell>
          <cell r="F42">
            <v>19.522400000000001</v>
          </cell>
          <cell r="G42">
            <v>41.346299999999999</v>
          </cell>
          <cell r="H42">
            <v>1.08263</v>
          </cell>
        </row>
        <row r="43">
          <cell r="A43" t="str">
            <v>GRMZM2G309731</v>
          </cell>
          <cell r="B43" t="str">
            <v>GO:0003700GO:0006355</v>
          </cell>
          <cell r="C43" t="str">
            <v>ethylene-responsive transcription factor</v>
          </cell>
          <cell r="D43" t="str">
            <v>MT0</v>
          </cell>
          <cell r="E43" t="str">
            <v>MT6</v>
          </cell>
          <cell r="F43">
            <v>4.2758399999999996</v>
          </cell>
          <cell r="G43">
            <v>1.6566099999999999</v>
          </cell>
          <cell r="H43">
            <v>-1.36798</v>
          </cell>
        </row>
        <row r="44">
          <cell r="A44" t="str">
            <v>GRMZM2G477872</v>
          </cell>
          <cell r="B44" t="str">
            <v>GO:0016020GO:0016887GO:0005524</v>
          </cell>
          <cell r="C44" t="str">
            <v>pleiotropic drug resistance protein 2-like</v>
          </cell>
          <cell r="D44" t="str">
            <v>MT0</v>
          </cell>
          <cell r="E44" t="str">
            <v>MT6</v>
          </cell>
          <cell r="F44">
            <v>1.0187999999999999</v>
          </cell>
          <cell r="G44">
            <v>2.0526399999999998</v>
          </cell>
          <cell r="H44">
            <v>1.0105999999999999</v>
          </cell>
        </row>
        <row r="45">
          <cell r="A45" t="str">
            <v>GRMZM2G141607</v>
          </cell>
          <cell r="B45" t="str">
            <v>GO:0009239GO:0005488GO:0008667</v>
          </cell>
          <cell r="C45" t="str">
            <v>3-ketoacyl- reductase</v>
          </cell>
          <cell r="D45" t="str">
            <v>MT0</v>
          </cell>
          <cell r="E45" t="str">
            <v>MT6</v>
          </cell>
          <cell r="F45">
            <v>1.74996</v>
          </cell>
          <cell r="G45">
            <v>0.57017700000000004</v>
          </cell>
          <cell r="H45">
            <v>-1.6178399999999999</v>
          </cell>
        </row>
        <row r="46">
          <cell r="A46" t="str">
            <v>GRMZM2G131205</v>
          </cell>
          <cell r="B46" t="str">
            <v>GO:0003854GO:0050662GO:0006694</v>
          </cell>
          <cell r="C46" t="str">
            <v>cinnamoyl- reductase</v>
          </cell>
          <cell r="D46" t="str">
            <v>MT0</v>
          </cell>
          <cell r="E46" t="str">
            <v>MT6</v>
          </cell>
          <cell r="F46">
            <v>5.0469600000000003</v>
          </cell>
          <cell r="G46">
            <v>15.788600000000001</v>
          </cell>
          <cell r="H46">
            <v>1.6454</v>
          </cell>
        </row>
        <row r="47">
          <cell r="A47" t="str">
            <v>GRMZM2G324999</v>
          </cell>
          <cell r="B47" t="str">
            <v>GO:0003700GO:0043565GO:0005634GO:0045449</v>
          </cell>
          <cell r="C47" t="str">
            <v>wrky69 - superfamily of tfs having wrky and zinc finger domains</v>
          </cell>
          <cell r="D47" t="str">
            <v>MT0</v>
          </cell>
          <cell r="E47" t="str">
            <v>MT6</v>
          </cell>
          <cell r="F47">
            <v>0.34293400000000002</v>
          </cell>
          <cell r="G47">
            <v>1.7581199999999999</v>
          </cell>
          <cell r="H47">
            <v>2.3580299999999998</v>
          </cell>
        </row>
        <row r="48">
          <cell r="A48" t="str">
            <v>GRMZM5G826174</v>
          </cell>
          <cell r="B48" t="e">
            <v>#N/A</v>
          </cell>
          <cell r="C48" t="str">
            <v>hypothetical protein</v>
          </cell>
          <cell r="D48" t="str">
            <v>MT0</v>
          </cell>
          <cell r="E48" t="str">
            <v>MT6</v>
          </cell>
          <cell r="F48">
            <v>1.6885600000000001</v>
          </cell>
          <cell r="G48">
            <v>3.4856400000000001</v>
          </cell>
          <cell r="H48">
            <v>1.0456300000000001</v>
          </cell>
        </row>
        <row r="49">
          <cell r="A49" t="str">
            <v>GRMZM2G144782</v>
          </cell>
          <cell r="B49" t="str">
            <v>GO:0008270GO:0005515</v>
          </cell>
          <cell r="C49" t="str">
            <v>ring finger and chy zinc finger domain-containing protein 1</v>
          </cell>
          <cell r="D49" t="str">
            <v>MT0</v>
          </cell>
          <cell r="E49" t="str">
            <v>MT6</v>
          </cell>
          <cell r="F49">
            <v>145.559</v>
          </cell>
          <cell r="G49">
            <v>67.088399999999993</v>
          </cell>
          <cell r="H49">
            <v>-1.11747</v>
          </cell>
        </row>
        <row r="50">
          <cell r="A50" t="str">
            <v>GRMZM2G130904</v>
          </cell>
          <cell r="B50" t="str">
            <v>GO:0004601GO:0006979GO:0020037GO:0009055</v>
          </cell>
          <cell r="C50" t="str">
            <v>peroxidase n-like</v>
          </cell>
          <cell r="D50" t="str">
            <v>MT0</v>
          </cell>
          <cell r="E50" t="str">
            <v>MT6</v>
          </cell>
          <cell r="F50">
            <v>0.37637599999999999</v>
          </cell>
          <cell r="G50">
            <v>1.05711</v>
          </cell>
          <cell r="H50">
            <v>1.4898800000000001</v>
          </cell>
        </row>
        <row r="51">
          <cell r="A51" t="str">
            <v>GRMZM2G162505</v>
          </cell>
          <cell r="B51" t="str">
            <v>GO:0004568GO:0006032</v>
          </cell>
          <cell r="C51" t="str">
            <v>chitinase 2-like</v>
          </cell>
          <cell r="D51" t="str">
            <v>MT0</v>
          </cell>
          <cell r="E51" t="str">
            <v>MT6</v>
          </cell>
          <cell r="F51">
            <v>0.49207600000000001</v>
          </cell>
          <cell r="G51">
            <v>8.6511999999999993</v>
          </cell>
          <cell r="H51">
            <v>4.1359500000000002</v>
          </cell>
        </row>
        <row r="52">
          <cell r="A52" t="str">
            <v>GRMZM5G805732</v>
          </cell>
          <cell r="B52" t="e">
            <v>#N/A</v>
          </cell>
          <cell r="C52" t="str">
            <v>cationic amino acid transporter</v>
          </cell>
          <cell r="D52" t="str">
            <v>MT0</v>
          </cell>
          <cell r="E52" t="str">
            <v>MT6</v>
          </cell>
          <cell r="F52">
            <v>0.53334999999999999</v>
          </cell>
          <cell r="G52">
            <v>2.17767</v>
          </cell>
          <cell r="H52">
            <v>2.02963</v>
          </cell>
        </row>
        <row r="53">
          <cell r="A53" t="str">
            <v>GRMZM2G021055</v>
          </cell>
          <cell r="B53" t="str">
            <v>GO:0015297GO:0016020GO:0006855GO:0015238</v>
          </cell>
          <cell r="C53" t="str">
            <v>protein transparent testa 12-like</v>
          </cell>
          <cell r="D53" t="str">
            <v>MT0</v>
          </cell>
          <cell r="E53" t="str">
            <v>MT6</v>
          </cell>
          <cell r="F53">
            <v>0.421456</v>
          </cell>
          <cell r="G53">
            <v>1.0553300000000001</v>
          </cell>
          <cell r="H53">
            <v>1.3242400000000001</v>
          </cell>
        </row>
        <row r="54">
          <cell r="A54" t="str">
            <v>GRMZM2G177947</v>
          </cell>
          <cell r="B54" t="str">
            <v>GO:0004743GO:0000287GO:0006096GO:0030955</v>
          </cell>
          <cell r="C54" t="str">
            <v>protein</v>
          </cell>
          <cell r="D54" t="str">
            <v>MT0</v>
          </cell>
          <cell r="E54" t="str">
            <v>MT6</v>
          </cell>
          <cell r="F54">
            <v>0.95353299999999996</v>
          </cell>
          <cell r="G54">
            <v>0.46943400000000002</v>
          </cell>
          <cell r="H54">
            <v>-1.0223599999999999</v>
          </cell>
        </row>
        <row r="55">
          <cell r="A55" t="str">
            <v>GRMZM2G039639</v>
          </cell>
          <cell r="B55" t="e">
            <v>#N/A</v>
          </cell>
          <cell r="C55" t="str">
            <v>pathogenesis-related thaumatin-like protein</v>
          </cell>
          <cell r="D55" t="str">
            <v>MT0</v>
          </cell>
          <cell r="E55" t="str">
            <v>MT6</v>
          </cell>
          <cell r="F55">
            <v>12.084199999999999</v>
          </cell>
          <cell r="G55">
            <v>28.123899999999999</v>
          </cell>
          <cell r="H55">
            <v>1.2186699999999999</v>
          </cell>
        </row>
        <row r="56">
          <cell r="A56" t="str">
            <v>GRMZM2G363813</v>
          </cell>
          <cell r="B56" t="str">
            <v>GO:0003824</v>
          </cell>
          <cell r="C56" t="str">
            <v>hipl1 protein</v>
          </cell>
          <cell r="D56" t="str">
            <v>MT0</v>
          </cell>
          <cell r="E56" t="str">
            <v>MT6</v>
          </cell>
          <cell r="F56">
            <v>2.01763</v>
          </cell>
          <cell r="G56">
            <v>8.1595300000000002</v>
          </cell>
          <cell r="H56">
            <v>2.0158299999999998</v>
          </cell>
        </row>
        <row r="57">
          <cell r="A57" t="str">
            <v>GRMZM2G059964</v>
          </cell>
          <cell r="B57" t="e">
            <v>#N/A</v>
          </cell>
          <cell r="C57" t="str">
            <v>cortical cell-delineating protein precursor</v>
          </cell>
          <cell r="D57" t="str">
            <v>MT0</v>
          </cell>
          <cell r="E57" t="str">
            <v>MT6</v>
          </cell>
          <cell r="F57">
            <v>4.1367599999999998</v>
          </cell>
          <cell r="G57">
            <v>14.0306</v>
          </cell>
          <cell r="H57">
            <v>1.762</v>
          </cell>
        </row>
        <row r="58">
          <cell r="A58" t="str">
            <v>GRMZM2G090043</v>
          </cell>
          <cell r="B58" t="e">
            <v>#N/A</v>
          </cell>
          <cell r="C58" t="str">
            <v>hypothetical protein</v>
          </cell>
          <cell r="D58" t="str">
            <v>MT0</v>
          </cell>
          <cell r="E58" t="str">
            <v>MT6</v>
          </cell>
          <cell r="F58">
            <v>1.0872599999999999</v>
          </cell>
          <cell r="G58">
            <v>3.03199</v>
          </cell>
          <cell r="H58">
            <v>1.4795700000000001</v>
          </cell>
        </row>
        <row r="59">
          <cell r="A59" t="str">
            <v>GRMZM2G301089</v>
          </cell>
          <cell r="B59" t="str">
            <v>GO:0005634GO:0045449GO:0030528</v>
          </cell>
          <cell r="C59" t="str">
            <v>transcription factor bhlh92</v>
          </cell>
          <cell r="D59" t="str">
            <v>MT0</v>
          </cell>
          <cell r="E59" t="str">
            <v>MT6</v>
          </cell>
          <cell r="F59">
            <v>1.57118</v>
          </cell>
          <cell r="G59">
            <v>3.3333499999999998</v>
          </cell>
          <cell r="H59">
            <v>1.0851299999999999</v>
          </cell>
        </row>
        <row r="60">
          <cell r="A60" t="str">
            <v>GRMZM2G010034</v>
          </cell>
          <cell r="B60" t="e">
            <v>#N/A</v>
          </cell>
          <cell r="C60" t="str">
            <v>protein</v>
          </cell>
          <cell r="D60" t="str">
            <v>MT0</v>
          </cell>
          <cell r="E60" t="str">
            <v>MT6</v>
          </cell>
          <cell r="F60">
            <v>97.059200000000004</v>
          </cell>
          <cell r="G60">
            <v>214.61699999999999</v>
          </cell>
          <cell r="H60">
            <v>1.14483</v>
          </cell>
        </row>
        <row r="61">
          <cell r="A61" t="str">
            <v>GRMZM2G099305</v>
          </cell>
          <cell r="B61" t="str">
            <v>GO:0008080GO:0008152</v>
          </cell>
          <cell r="C61" t="str">
            <v>probable n-acetyltransferase hookless 1</v>
          </cell>
          <cell r="D61" t="str">
            <v>MT0</v>
          </cell>
          <cell r="E61" t="str">
            <v>MT6</v>
          </cell>
          <cell r="F61">
            <v>13.1106</v>
          </cell>
          <cell r="G61">
            <v>32.755000000000003</v>
          </cell>
          <cell r="H61">
            <v>1.32098</v>
          </cell>
        </row>
        <row r="62">
          <cell r="A62" t="str">
            <v>GRMZM2G420108</v>
          </cell>
          <cell r="B62" t="e">
            <v>#N/A</v>
          </cell>
          <cell r="C62">
            <v>0</v>
          </cell>
          <cell r="D62" t="str">
            <v>MT0</v>
          </cell>
          <cell r="E62" t="str">
            <v>MT6</v>
          </cell>
          <cell r="F62">
            <v>4.0717100000000004</v>
          </cell>
          <cell r="G62">
            <v>1.8844000000000001</v>
          </cell>
          <cell r="H62">
            <v>-1.1115299999999999</v>
          </cell>
        </row>
        <row r="63">
          <cell r="A63" t="str">
            <v>GRMZM2G029385</v>
          </cell>
          <cell r="B63" t="str">
            <v>GO:0031072</v>
          </cell>
          <cell r="C63" t="str">
            <v>mitochondrial import inner membrane translocase subunit tim14</v>
          </cell>
          <cell r="D63" t="str">
            <v>MT0</v>
          </cell>
          <cell r="E63" t="str">
            <v>MT6</v>
          </cell>
          <cell r="F63">
            <v>0.707202</v>
          </cell>
          <cell r="G63">
            <v>2.8582399999999999</v>
          </cell>
          <cell r="H63">
            <v>2.0149300000000001</v>
          </cell>
        </row>
        <row r="64">
          <cell r="A64" t="str">
            <v>GRMZM2G168833</v>
          </cell>
          <cell r="B64" t="str">
            <v>GO:0008289GO:0006869</v>
          </cell>
          <cell r="C64" t="str">
            <v>lipid binding protein</v>
          </cell>
          <cell r="D64" t="str">
            <v>MT0</v>
          </cell>
          <cell r="E64" t="str">
            <v>MT6</v>
          </cell>
          <cell r="F64">
            <v>1.50942</v>
          </cell>
          <cell r="G64">
            <v>3.10005</v>
          </cell>
          <cell r="H64">
            <v>1.0383</v>
          </cell>
        </row>
        <row r="65">
          <cell r="A65" t="str">
            <v>GRMZM2G151249</v>
          </cell>
          <cell r="B65" t="str">
            <v>GO:0048046GO:0030145GO:0045735</v>
          </cell>
          <cell r="C65" t="str">
            <v>germin-like protein subfamily t member 1</v>
          </cell>
          <cell r="D65" t="str">
            <v>MT0</v>
          </cell>
          <cell r="E65" t="str">
            <v>MT6</v>
          </cell>
          <cell r="F65">
            <v>0.59479300000000002</v>
          </cell>
          <cell r="G65">
            <v>2.1133600000000001</v>
          </cell>
          <cell r="H65">
            <v>1.82908</v>
          </cell>
        </row>
        <row r="66">
          <cell r="A66" t="str">
            <v>GRMZM5G865162</v>
          </cell>
          <cell r="B66" t="e">
            <v>#N/A</v>
          </cell>
          <cell r="C66" t="str">
            <v>uncharacterized protein LOC100384854</v>
          </cell>
          <cell r="D66" t="str">
            <v>MT0</v>
          </cell>
          <cell r="E66" t="str">
            <v>MT6</v>
          </cell>
          <cell r="F66">
            <v>75.731099999999998</v>
          </cell>
          <cell r="G66">
            <v>31.713200000000001</v>
          </cell>
          <cell r="H66">
            <v>-1.2558</v>
          </cell>
        </row>
        <row r="67">
          <cell r="A67" t="str">
            <v>GRMZM2G159353</v>
          </cell>
          <cell r="B67" t="str">
            <v>GO:0004497GO:0020037GO:0009055</v>
          </cell>
          <cell r="C67" t="str">
            <v>cytochrome p450</v>
          </cell>
          <cell r="D67" t="str">
            <v>MT0</v>
          </cell>
          <cell r="E67" t="str">
            <v>MT6</v>
          </cell>
          <cell r="F67">
            <v>0.54065200000000002</v>
          </cell>
          <cell r="G67">
            <v>1.3278000000000001</v>
          </cell>
          <cell r="H67">
            <v>1.29626</v>
          </cell>
        </row>
        <row r="68">
          <cell r="A68" t="str">
            <v>GRMZM2G100020</v>
          </cell>
          <cell r="B68" t="e">
            <v>#N/A</v>
          </cell>
          <cell r="C68" t="str">
            <v>protein brevis radix-like</v>
          </cell>
          <cell r="D68" t="str">
            <v>MT0</v>
          </cell>
          <cell r="E68" t="str">
            <v>MT6</v>
          </cell>
          <cell r="F68">
            <v>1.2615499999999999</v>
          </cell>
          <cell r="G68">
            <v>0.586511</v>
          </cell>
          <cell r="H68">
            <v>-1.10497</v>
          </cell>
        </row>
        <row r="69">
          <cell r="A69" t="str">
            <v>GRMZM2G325462</v>
          </cell>
          <cell r="B69" t="e">
            <v>#N/A</v>
          </cell>
          <cell r="C69" t="str">
            <v>uncharacterized protein LOC100304120</v>
          </cell>
          <cell r="D69" t="str">
            <v>MT0</v>
          </cell>
          <cell r="E69" t="str">
            <v>MT6</v>
          </cell>
          <cell r="F69">
            <v>1.17777</v>
          </cell>
          <cell r="G69">
            <v>3.61958</v>
          </cell>
          <cell r="H69">
            <v>1.6197600000000001</v>
          </cell>
        </row>
        <row r="70">
          <cell r="A70" t="str">
            <v>GRMZM2G059428</v>
          </cell>
          <cell r="B70" t="str">
            <v>GO:0045449GO:0003677</v>
          </cell>
          <cell r="C70" t="str">
            <v>nac domain ipr003441</v>
          </cell>
          <cell r="D70" t="str">
            <v>MT0</v>
          </cell>
          <cell r="E70" t="str">
            <v>MT6</v>
          </cell>
          <cell r="F70">
            <v>1.36158</v>
          </cell>
          <cell r="G70">
            <v>2.9870199999999998</v>
          </cell>
          <cell r="H70">
            <v>1.1334299999999999</v>
          </cell>
        </row>
        <row r="71">
          <cell r="A71" t="str">
            <v>GRMZM2G062946</v>
          </cell>
          <cell r="B71" t="str">
            <v>GO:0004497GO:0020037GO:0009055</v>
          </cell>
          <cell r="C71" t="str">
            <v>cytochrome p450 family expressed</v>
          </cell>
          <cell r="D71" t="str">
            <v>MT0</v>
          </cell>
          <cell r="E71" t="str">
            <v>MT6</v>
          </cell>
          <cell r="F71">
            <v>0.63804400000000006</v>
          </cell>
          <cell r="G71">
            <v>1.7019299999999999</v>
          </cell>
          <cell r="H71">
            <v>1.4154500000000001</v>
          </cell>
        </row>
        <row r="72">
          <cell r="A72" t="str">
            <v>GRMZM5G849919</v>
          </cell>
          <cell r="B72" t="e">
            <v>#N/A</v>
          </cell>
          <cell r="C72" t="str">
            <v>uncharacterized protein LOC100501809</v>
          </cell>
          <cell r="D72" t="str">
            <v>MT0</v>
          </cell>
          <cell r="E72" t="str">
            <v>MT6</v>
          </cell>
          <cell r="F72">
            <v>0.30820399999999998</v>
          </cell>
          <cell r="G72">
            <v>0.89049400000000001</v>
          </cell>
          <cell r="H72">
            <v>1.5307200000000001</v>
          </cell>
        </row>
        <row r="73">
          <cell r="A73" t="str">
            <v>GRMZM2G178852</v>
          </cell>
          <cell r="B73" t="str">
            <v>GO:0050825GO:0042309GO:0050826</v>
          </cell>
          <cell r="C73" t="str">
            <v>uncharacterized protein LOC100277616</v>
          </cell>
          <cell r="D73" t="str">
            <v>MT0</v>
          </cell>
          <cell r="E73" t="str">
            <v>MT6</v>
          </cell>
          <cell r="F73">
            <v>0.65366900000000006</v>
          </cell>
          <cell r="G73">
            <v>1.3627400000000001</v>
          </cell>
          <cell r="H73">
            <v>1.0598799999999999</v>
          </cell>
        </row>
        <row r="74">
          <cell r="A74" t="str">
            <v>GRMZM2G380789</v>
          </cell>
          <cell r="B74" t="str">
            <v>GO:0016021</v>
          </cell>
          <cell r="C74" t="str">
            <v>heptahelical protein 4</v>
          </cell>
          <cell r="D74" t="str">
            <v>MT0</v>
          </cell>
          <cell r="E74" t="str">
            <v>MT6</v>
          </cell>
          <cell r="F74">
            <v>0</v>
          </cell>
          <cell r="G74">
            <v>0.77295599999999998</v>
          </cell>
          <cell r="H74" t="str">
            <v>inf</v>
          </cell>
        </row>
        <row r="75">
          <cell r="A75" t="str">
            <v>GRMZM2G153920</v>
          </cell>
          <cell r="B75" t="str">
            <v>GO:0022891GO:0016021GO:0055085</v>
          </cell>
          <cell r="C75" t="str">
            <v>sorbitol transporter</v>
          </cell>
          <cell r="D75" t="str">
            <v>MT0</v>
          </cell>
          <cell r="E75" t="str">
            <v>MT6</v>
          </cell>
          <cell r="F75">
            <v>1.6700600000000001</v>
          </cell>
          <cell r="G75">
            <v>4.7575200000000004</v>
          </cell>
          <cell r="H75">
            <v>1.51031</v>
          </cell>
        </row>
        <row r="76">
          <cell r="A76" t="str">
            <v>GRMZM2G139852</v>
          </cell>
          <cell r="B76" t="e">
            <v>#N/A</v>
          </cell>
          <cell r="C76" t="str">
            <v>integral membrane family protein</v>
          </cell>
          <cell r="D76" t="str">
            <v>MT0</v>
          </cell>
          <cell r="E76" t="str">
            <v>MT6</v>
          </cell>
          <cell r="F76">
            <v>1.1763699999999999</v>
          </cell>
          <cell r="G76">
            <v>0.37171399999999999</v>
          </cell>
          <cell r="H76">
            <v>-1.6620699999999999</v>
          </cell>
        </row>
        <row r="77">
          <cell r="A77" t="str">
            <v>GRMZM5G818431</v>
          </cell>
          <cell r="B77" t="e">
            <v>#N/A</v>
          </cell>
          <cell r="C77" t="str">
            <v>atp binding</v>
          </cell>
          <cell r="D77" t="str">
            <v>MT0</v>
          </cell>
          <cell r="E77" t="str">
            <v>MT6</v>
          </cell>
          <cell r="F77">
            <v>4.0961299999999996</v>
          </cell>
          <cell r="G77">
            <v>8.3818699999999993</v>
          </cell>
          <cell r="H77">
            <v>1.03301</v>
          </cell>
        </row>
        <row r="78">
          <cell r="A78" t="str">
            <v>GRMZM2G077942</v>
          </cell>
          <cell r="B78" t="str">
            <v>GO:0003779GO:0005622</v>
          </cell>
          <cell r="C78" t="str">
            <v>actin-depolymerizing factor 5</v>
          </cell>
          <cell r="D78" t="str">
            <v>MT0</v>
          </cell>
          <cell r="E78" t="str">
            <v>MT6</v>
          </cell>
          <cell r="F78">
            <v>25.674299999999999</v>
          </cell>
          <cell r="G78">
            <v>56.570999999999998</v>
          </cell>
          <cell r="H78">
            <v>1.13974</v>
          </cell>
        </row>
        <row r="79">
          <cell r="A79" t="str">
            <v>AC177947.2_FG003</v>
          </cell>
          <cell r="B79" t="e">
            <v>#N/A</v>
          </cell>
          <cell r="C79" t="e">
            <v>#N/A</v>
          </cell>
          <cell r="D79" t="str">
            <v>MT0</v>
          </cell>
          <cell r="E79" t="str">
            <v>MT6</v>
          </cell>
          <cell r="F79">
            <v>1.95966</v>
          </cell>
          <cell r="G79">
            <v>0.74936199999999997</v>
          </cell>
          <cell r="H79">
            <v>-1.38687</v>
          </cell>
        </row>
        <row r="80">
          <cell r="A80" t="str">
            <v>GRMZM2G149636</v>
          </cell>
          <cell r="B80" t="str">
            <v>GO:0006633GO:0016020GO:0008415</v>
          </cell>
          <cell r="C80" t="str">
            <v>3-ketoacyl- synthase 1</v>
          </cell>
          <cell r="D80" t="str">
            <v>MT0</v>
          </cell>
          <cell r="E80" t="str">
            <v>MT6</v>
          </cell>
          <cell r="F80">
            <v>7.3723299999999998</v>
          </cell>
          <cell r="G80">
            <v>19.6144</v>
          </cell>
          <cell r="H80">
            <v>1.4117200000000001</v>
          </cell>
        </row>
        <row r="81">
          <cell r="A81" t="str">
            <v>GRMZM2G042253</v>
          </cell>
          <cell r="B81" t="str">
            <v>GO:0005737GO:0006457GO:0005524GO:0005515</v>
          </cell>
          <cell r="C81" t="str">
            <v>ru large subunit-binding protein subunit chloroplastic-like</v>
          </cell>
          <cell r="D81" t="str">
            <v>MT0</v>
          </cell>
          <cell r="E81" t="str">
            <v>MT6</v>
          </cell>
          <cell r="F81">
            <v>57.593000000000004</v>
          </cell>
          <cell r="G81">
            <v>24.135400000000001</v>
          </cell>
          <cell r="H81">
            <v>-1.25474</v>
          </cell>
        </row>
        <row r="82">
          <cell r="A82" t="str">
            <v>GRMZM2G321033</v>
          </cell>
          <cell r="B82" t="str">
            <v>GO:0004497GO:0020037GO:0009055</v>
          </cell>
          <cell r="C82" t="str">
            <v>cytochrome p450 family expressed</v>
          </cell>
          <cell r="D82" t="str">
            <v>MT0</v>
          </cell>
          <cell r="E82" t="str">
            <v>MT6</v>
          </cell>
          <cell r="F82">
            <v>0.44071100000000002</v>
          </cell>
          <cell r="G82">
            <v>1.2642500000000001</v>
          </cell>
          <cell r="H82">
            <v>1.52037</v>
          </cell>
        </row>
        <row r="83">
          <cell r="A83" t="str">
            <v>GRMZM2G102483</v>
          </cell>
          <cell r="B83" t="e">
            <v>#N/A</v>
          </cell>
          <cell r="C83" t="str">
            <v>39 kda ef-hand containing expressed</v>
          </cell>
          <cell r="D83" t="str">
            <v>MT0</v>
          </cell>
          <cell r="E83" t="str">
            <v>MT6</v>
          </cell>
          <cell r="F83">
            <v>2.3792</v>
          </cell>
          <cell r="G83">
            <v>5.1320600000000001</v>
          </cell>
          <cell r="H83">
            <v>1.1090599999999999</v>
          </cell>
        </row>
        <row r="84">
          <cell r="A84" t="str">
            <v>GRMZM2G136513</v>
          </cell>
          <cell r="B84" t="str">
            <v>GO:0006915GO:0017111GO:0005515GO:0005524</v>
          </cell>
          <cell r="C84" t="str">
            <v>nb-arc domain containing expressed</v>
          </cell>
          <cell r="D84" t="str">
            <v>MT0</v>
          </cell>
          <cell r="E84" t="str">
            <v>MT6</v>
          </cell>
          <cell r="F84">
            <v>0.52422000000000002</v>
          </cell>
          <cell r="G84">
            <v>1.1523600000000001</v>
          </cell>
          <cell r="H84">
            <v>1.13635</v>
          </cell>
        </row>
        <row r="85">
          <cell r="A85" t="str">
            <v>GRMZM5G883632</v>
          </cell>
          <cell r="B85" t="e">
            <v>#N/A</v>
          </cell>
          <cell r="C85" t="str">
            <v>protein faf- chloroplastic-like</v>
          </cell>
          <cell r="D85" t="str">
            <v>MT0</v>
          </cell>
          <cell r="E85" t="str">
            <v>MT6</v>
          </cell>
          <cell r="F85">
            <v>2.2459600000000002</v>
          </cell>
          <cell r="G85">
            <v>1.07226</v>
          </cell>
          <cell r="H85">
            <v>-1.0666800000000001</v>
          </cell>
        </row>
        <row r="86">
          <cell r="A86" t="str">
            <v>GRMZM2G043878</v>
          </cell>
          <cell r="B86" t="e">
            <v>#N/A</v>
          </cell>
          <cell r="C86" t="str">
            <v>33-kda secretory protein</v>
          </cell>
          <cell r="D86" t="str">
            <v>MT0</v>
          </cell>
          <cell r="E86" t="str">
            <v>MT6</v>
          </cell>
          <cell r="F86">
            <v>0.67612799999999995</v>
          </cell>
          <cell r="G86">
            <v>3.7468900000000001</v>
          </cell>
          <cell r="H86">
            <v>2.4703200000000001</v>
          </cell>
        </row>
        <row r="87">
          <cell r="A87" t="str">
            <v>GRMZM2G338037</v>
          </cell>
          <cell r="B87" t="e">
            <v>#N/A</v>
          </cell>
          <cell r="C87" t="str">
            <v>protein</v>
          </cell>
          <cell r="D87" t="str">
            <v>MT0</v>
          </cell>
          <cell r="E87" t="str">
            <v>MT6</v>
          </cell>
          <cell r="F87">
            <v>1.7171799999999999</v>
          </cell>
          <cell r="G87">
            <v>4.4603799999999998</v>
          </cell>
          <cell r="H87">
            <v>1.37713</v>
          </cell>
        </row>
        <row r="88">
          <cell r="A88" t="str">
            <v>GRMZM2G010909</v>
          </cell>
          <cell r="B88" t="e">
            <v>#N/A</v>
          </cell>
          <cell r="C88" t="str">
            <v>wound-induced protein 1-like</v>
          </cell>
          <cell r="D88" t="str">
            <v>MT0</v>
          </cell>
          <cell r="E88" t="str">
            <v>MT6</v>
          </cell>
          <cell r="F88">
            <v>7.6625800000000002</v>
          </cell>
          <cell r="G88">
            <v>18.136500000000002</v>
          </cell>
          <cell r="H88">
            <v>1.2430000000000001</v>
          </cell>
        </row>
        <row r="89">
          <cell r="A89" t="str">
            <v>GRMZM2G089720</v>
          </cell>
          <cell r="B89" t="e">
            <v>#N/A</v>
          </cell>
          <cell r="C89" t="str">
            <v>upf0481 protein at3g47200-like</v>
          </cell>
          <cell r="D89" t="str">
            <v>MT0</v>
          </cell>
          <cell r="E89" t="str">
            <v>MT6</v>
          </cell>
          <cell r="F89">
            <v>0.189944</v>
          </cell>
          <cell r="G89">
            <v>0.79780700000000004</v>
          </cell>
          <cell r="H89">
            <v>2.0704699999999998</v>
          </cell>
        </row>
        <row r="90">
          <cell r="A90" t="str">
            <v>GRMZM2G473036</v>
          </cell>
          <cell r="B90" t="e">
            <v>#N/A</v>
          </cell>
          <cell r="C90">
            <v>0</v>
          </cell>
          <cell r="D90" t="str">
            <v>MT0</v>
          </cell>
          <cell r="E90" t="str">
            <v>MT6</v>
          </cell>
          <cell r="F90">
            <v>1.07138</v>
          </cell>
          <cell r="G90">
            <v>2.53234</v>
          </cell>
          <cell r="H90">
            <v>1.2410000000000001</v>
          </cell>
        </row>
        <row r="91">
          <cell r="A91" t="str">
            <v>GRMZM2G075502</v>
          </cell>
          <cell r="B91" t="str">
            <v>GO:0006334GO:0050826GO:0030001GO:0042309GO:0000786GO:0050825GO:0046872GO:0003677</v>
          </cell>
          <cell r="C91" t="str">
            <v>copper chaperone</v>
          </cell>
          <cell r="D91" t="str">
            <v>MT0</v>
          </cell>
          <cell r="E91" t="str">
            <v>MT6</v>
          </cell>
          <cell r="F91">
            <v>31.8279</v>
          </cell>
          <cell r="G91">
            <v>91.931899999999999</v>
          </cell>
          <cell r="H91">
            <v>1.53027</v>
          </cell>
        </row>
        <row r="92">
          <cell r="A92" t="str">
            <v>GRMZM2G003138</v>
          </cell>
          <cell r="B92" t="str">
            <v>GO:0006633GO:0016020GO:0008415</v>
          </cell>
          <cell r="C92" t="str">
            <v>beta-ketoacyl-coa synthase family protein</v>
          </cell>
          <cell r="D92" t="str">
            <v>MT0</v>
          </cell>
          <cell r="E92" t="str">
            <v>MT6</v>
          </cell>
          <cell r="F92">
            <v>2.4366300000000001</v>
          </cell>
          <cell r="G92">
            <v>5.0093300000000003</v>
          </cell>
          <cell r="H92">
            <v>1.03973</v>
          </cell>
        </row>
        <row r="93">
          <cell r="A93" t="str">
            <v>GRMZM2G396212</v>
          </cell>
          <cell r="B93" t="str">
            <v>GO:0003849GO:0009073</v>
          </cell>
          <cell r="C93" t="str">
            <v>3-deoxy-d-arabino heptulosonate-7-phosphate synthase</v>
          </cell>
          <cell r="D93" t="str">
            <v>MT0</v>
          </cell>
          <cell r="E93" t="str">
            <v>MT6</v>
          </cell>
          <cell r="F93">
            <v>0.436892</v>
          </cell>
          <cell r="G93">
            <v>1.03007</v>
          </cell>
          <cell r="H93">
            <v>1.2374000000000001</v>
          </cell>
        </row>
        <row r="94">
          <cell r="A94" t="str">
            <v>GRMZM2G107499</v>
          </cell>
          <cell r="B94" t="e">
            <v>#N/A</v>
          </cell>
          <cell r="C94" t="str">
            <v>dentin sialophospho protein</v>
          </cell>
          <cell r="D94" t="str">
            <v>MT0</v>
          </cell>
          <cell r="E94" t="str">
            <v>MT6</v>
          </cell>
          <cell r="F94">
            <v>9.8488500000000005</v>
          </cell>
          <cell r="G94">
            <v>21.789000000000001</v>
          </cell>
          <cell r="H94">
            <v>1.14557</v>
          </cell>
        </row>
        <row r="95">
          <cell r="A95" t="str">
            <v>GRMZM5G862467</v>
          </cell>
          <cell r="B95" t="e">
            <v>#N/A</v>
          </cell>
          <cell r="C95" t="str">
            <v>mps one binder kinase activator-like 1a</v>
          </cell>
          <cell r="D95" t="str">
            <v>MT0</v>
          </cell>
          <cell r="E95" t="str">
            <v>MT6</v>
          </cell>
          <cell r="F95">
            <v>2.76356</v>
          </cell>
          <cell r="G95">
            <v>1.1264000000000001</v>
          </cell>
          <cell r="H95">
            <v>-1.29481</v>
          </cell>
        </row>
        <row r="96">
          <cell r="A96" t="str">
            <v>GRMZM5G867121</v>
          </cell>
          <cell r="B96" t="e">
            <v>#N/A</v>
          </cell>
          <cell r="C96" t="str">
            <v>hypothetical protein SORBIDRAFT_01g030610</v>
          </cell>
          <cell r="D96" t="str">
            <v>MT0</v>
          </cell>
          <cell r="E96" t="str">
            <v>MT6</v>
          </cell>
          <cell r="F96">
            <v>1.1134500000000001</v>
          </cell>
          <cell r="G96">
            <v>2.2461700000000002</v>
          </cell>
          <cell r="H96">
            <v>1.0124299999999999</v>
          </cell>
        </row>
        <row r="97">
          <cell r="A97" t="str">
            <v>GRMZM2G052344</v>
          </cell>
          <cell r="B97" t="str">
            <v>GO:0005634GO:0008270GO:0003723GO:0005515GO:0006364</v>
          </cell>
          <cell r="C97" t="str">
            <v>nep1-interacting protein 2</v>
          </cell>
          <cell r="D97" t="str">
            <v>MT0</v>
          </cell>
          <cell r="E97" t="str">
            <v>MT6</v>
          </cell>
          <cell r="F97">
            <v>2.3894500000000001</v>
          </cell>
          <cell r="G97">
            <v>5.4891100000000002</v>
          </cell>
          <cell r="H97">
            <v>1.1999</v>
          </cell>
        </row>
        <row r="98">
          <cell r="A98" t="str">
            <v>GRMZM2G342246</v>
          </cell>
          <cell r="B98" t="str">
            <v>GO:0005576GO:0019953</v>
          </cell>
          <cell r="C98" t="str">
            <v>beta-expansin 1a precursor</v>
          </cell>
          <cell r="D98" t="str">
            <v>MT0</v>
          </cell>
          <cell r="E98" t="str">
            <v>MT6</v>
          </cell>
          <cell r="F98">
            <v>3.3054600000000001</v>
          </cell>
          <cell r="G98">
            <v>1.3873800000000001</v>
          </cell>
          <cell r="H98">
            <v>-1.2524900000000001</v>
          </cell>
        </row>
        <row r="99">
          <cell r="A99" t="str">
            <v>GRMZM2G058149</v>
          </cell>
          <cell r="B99" t="str">
            <v>GO:0004806GO:0006629</v>
          </cell>
          <cell r="C99" t="str">
            <v>triacylglycerol lipase like protein</v>
          </cell>
          <cell r="D99" t="str">
            <v>MT0</v>
          </cell>
          <cell r="E99" t="str">
            <v>MT6</v>
          </cell>
          <cell r="F99">
            <v>0.60361100000000001</v>
          </cell>
          <cell r="G99">
            <v>1.43668</v>
          </cell>
          <cell r="H99">
            <v>1.2510399999999999</v>
          </cell>
        </row>
        <row r="100">
          <cell r="A100" t="str">
            <v>GRMZM2G383631</v>
          </cell>
          <cell r="B100" t="e">
            <v>#N/A</v>
          </cell>
          <cell r="C100">
            <v>0</v>
          </cell>
          <cell r="D100" t="str">
            <v>MT0</v>
          </cell>
          <cell r="E100" t="str">
            <v>MT6</v>
          </cell>
          <cell r="F100">
            <v>2.8146599999999999</v>
          </cell>
          <cell r="G100">
            <v>1.1415</v>
          </cell>
          <cell r="H100">
            <v>-1.30203</v>
          </cell>
        </row>
        <row r="101">
          <cell r="A101" t="str">
            <v>GRMZM2G401848</v>
          </cell>
          <cell r="B101" t="str">
            <v>GO:0003755</v>
          </cell>
          <cell r="C101" t="str">
            <v>peptidyl-prolyl cis-trans isomerase</v>
          </cell>
          <cell r="D101" t="str">
            <v>MT0</v>
          </cell>
          <cell r="E101" t="str">
            <v>MT6</v>
          </cell>
          <cell r="F101">
            <v>0.58434699999999995</v>
          </cell>
          <cell r="G101">
            <v>2.0105499999999998</v>
          </cell>
          <cell r="H101">
            <v>1.7826900000000001</v>
          </cell>
        </row>
        <row r="102">
          <cell r="A102" t="str">
            <v>GRMZM2G172450</v>
          </cell>
          <cell r="B102" t="e">
            <v>#N/A</v>
          </cell>
          <cell r="C102" t="str">
            <v>uncharacterized protein LOC100193017</v>
          </cell>
          <cell r="D102" t="str">
            <v>MT0</v>
          </cell>
          <cell r="E102" t="str">
            <v>MT6</v>
          </cell>
          <cell r="F102">
            <v>2.5672899999999998</v>
          </cell>
          <cell r="G102">
            <v>1.07765</v>
          </cell>
          <cell r="H102">
            <v>-1.2523500000000001</v>
          </cell>
        </row>
        <row r="103">
          <cell r="A103" t="str">
            <v>GRMZM2G130232</v>
          </cell>
          <cell r="B103" t="e">
            <v>#N/A</v>
          </cell>
          <cell r="C103" t="str">
            <v>cold regulated protein 27</v>
          </cell>
          <cell r="D103" t="str">
            <v>MT0</v>
          </cell>
          <cell r="E103" t="str">
            <v>MT6</v>
          </cell>
          <cell r="F103">
            <v>6.0011000000000001</v>
          </cell>
          <cell r="G103">
            <v>1.9975499999999999</v>
          </cell>
          <cell r="H103">
            <v>-1.587</v>
          </cell>
        </row>
        <row r="104">
          <cell r="A104" t="str">
            <v>GRMZM2G703772</v>
          </cell>
          <cell r="B104" t="e">
            <v>#N/A</v>
          </cell>
          <cell r="C104">
            <v>0</v>
          </cell>
          <cell r="D104" t="str">
            <v>MT0</v>
          </cell>
          <cell r="E104" t="str">
            <v>MT6</v>
          </cell>
          <cell r="F104">
            <v>12.424899999999999</v>
          </cell>
          <cell r="G104">
            <v>6.1330200000000001</v>
          </cell>
          <cell r="H104">
            <v>-1.01857</v>
          </cell>
        </row>
        <row r="105">
          <cell r="A105" t="str">
            <v>GRMZM2G093736</v>
          </cell>
          <cell r="B105" t="str">
            <v>GO:0004674GO:0006468GO:0005529GO:0004713GO:0005524</v>
          </cell>
          <cell r="C105" t="str">
            <v>l-type lectin-domain containing receptor kinase -like</v>
          </cell>
          <cell r="D105" t="str">
            <v>MT0</v>
          </cell>
          <cell r="E105" t="str">
            <v>MT6</v>
          </cell>
          <cell r="F105">
            <v>1.1180300000000001</v>
          </cell>
          <cell r="G105">
            <v>2.34552</v>
          </cell>
          <cell r="H105">
            <v>1.0689500000000001</v>
          </cell>
        </row>
        <row r="106">
          <cell r="A106" t="str">
            <v>GRMZM2G402631</v>
          </cell>
          <cell r="B106" t="e">
            <v>#N/A</v>
          </cell>
          <cell r="C106" t="str">
            <v>thaumatin-like protein</v>
          </cell>
          <cell r="D106" t="str">
            <v>MT0</v>
          </cell>
          <cell r="E106" t="str">
            <v>MT6</v>
          </cell>
          <cell r="F106">
            <v>125.63200000000001</v>
          </cell>
          <cell r="G106">
            <v>425.64400000000001</v>
          </cell>
          <cell r="H106">
            <v>1.7604500000000001</v>
          </cell>
        </row>
        <row r="107">
          <cell r="A107" t="str">
            <v>GRMZM5G893912</v>
          </cell>
          <cell r="B107" t="e">
            <v>#N/A</v>
          </cell>
          <cell r="C107" t="str">
            <v>cell division protein aaa atpase family</v>
          </cell>
          <cell r="D107" t="str">
            <v>MT0</v>
          </cell>
          <cell r="E107" t="str">
            <v>MT6</v>
          </cell>
          <cell r="F107">
            <v>0.425844</v>
          </cell>
          <cell r="G107">
            <v>2.30871</v>
          </cell>
          <cell r="H107">
            <v>2.4386899999999998</v>
          </cell>
        </row>
        <row r="108">
          <cell r="A108" t="str">
            <v>GRMZM2G310947</v>
          </cell>
          <cell r="B108" t="str">
            <v>GO:0006281GO:0003684GO:0005524GO:0017111</v>
          </cell>
          <cell r="C108" t="str">
            <v>cell division protein aaa atpase family</v>
          </cell>
          <cell r="D108" t="str">
            <v>MT0</v>
          </cell>
          <cell r="E108" t="str">
            <v>MT6</v>
          </cell>
          <cell r="F108">
            <v>1.1677</v>
          </cell>
          <cell r="G108">
            <v>3.5741000000000001</v>
          </cell>
          <cell r="H108">
            <v>1.61392</v>
          </cell>
        </row>
        <row r="109">
          <cell r="A109" t="str">
            <v>GRMZM2G024668</v>
          </cell>
          <cell r="B109" t="str">
            <v>GO:0006457GO:0051082GO:0005524</v>
          </cell>
          <cell r="C109" t="str">
            <v>heat shock protein 90</v>
          </cell>
          <cell r="D109" t="str">
            <v>MT0</v>
          </cell>
          <cell r="E109" t="str">
            <v>MT6</v>
          </cell>
          <cell r="F109">
            <v>8.1190700000000007</v>
          </cell>
          <cell r="G109">
            <v>18.287099999999999</v>
          </cell>
          <cell r="H109">
            <v>1.17144</v>
          </cell>
        </row>
        <row r="110">
          <cell r="A110" t="str">
            <v>GRMZM2G161579</v>
          </cell>
          <cell r="B110" t="e">
            <v>#N/A</v>
          </cell>
          <cell r="C110" t="str">
            <v>uncharacterized protein LOC100501054</v>
          </cell>
          <cell r="D110" t="str">
            <v>MT0</v>
          </cell>
          <cell r="E110" t="str">
            <v>MT6</v>
          </cell>
          <cell r="F110">
            <v>6.3401699999999996</v>
          </cell>
          <cell r="G110">
            <v>2.36497</v>
          </cell>
          <cell r="H110">
            <v>-1.4227000000000001</v>
          </cell>
        </row>
        <row r="111">
          <cell r="A111" t="str">
            <v>GRMZM2G136534</v>
          </cell>
          <cell r="B111" t="str">
            <v>GO:0004601GO:0006979GO:0020037GO:0009055</v>
          </cell>
          <cell r="C111" t="str">
            <v>tpa: class iii peroxidase 119 precursor</v>
          </cell>
          <cell r="D111" t="str">
            <v>MT0</v>
          </cell>
          <cell r="E111" t="str">
            <v>MT6</v>
          </cell>
          <cell r="F111">
            <v>10.3287</v>
          </cell>
          <cell r="G111">
            <v>5.0537599999999996</v>
          </cell>
          <cell r="H111">
            <v>-1.0312300000000001</v>
          </cell>
        </row>
        <row r="112">
          <cell r="A112" t="str">
            <v>AC209845.4_FG010</v>
          </cell>
          <cell r="B112" t="str">
            <v>GO:0003677</v>
          </cell>
          <cell r="C112" t="e">
            <v>#N/A</v>
          </cell>
          <cell r="D112" t="str">
            <v>MT0</v>
          </cell>
          <cell r="E112" t="str">
            <v>MT6</v>
          </cell>
          <cell r="F112">
            <v>2.5725799999999999</v>
          </cell>
          <cell r="G112">
            <v>1.20614</v>
          </cell>
          <cell r="H112">
            <v>-1.0928199999999999</v>
          </cell>
        </row>
        <row r="113">
          <cell r="A113" t="str">
            <v>GRMZM2G122126</v>
          </cell>
          <cell r="B113" t="str">
            <v>GO:0017057GO:0006098</v>
          </cell>
          <cell r="C113" t="str">
            <v>6-phosphogluconolactonase</v>
          </cell>
          <cell r="D113" t="str">
            <v>MT0</v>
          </cell>
          <cell r="E113" t="str">
            <v>MT6</v>
          </cell>
          <cell r="F113">
            <v>0.831847</v>
          </cell>
          <cell r="G113">
            <v>2.2604799999999998</v>
          </cell>
          <cell r="H113">
            <v>1.44224</v>
          </cell>
        </row>
        <row r="114">
          <cell r="A114" t="str">
            <v>GRMZM2G400156</v>
          </cell>
          <cell r="B114" t="e">
            <v>#N/A</v>
          </cell>
          <cell r="C114" t="str">
            <v>saur33 - auxin-responsive saur family member</v>
          </cell>
          <cell r="D114" t="str">
            <v>MT0</v>
          </cell>
          <cell r="E114" t="str">
            <v>MT6</v>
          </cell>
          <cell r="F114">
            <v>2.9752900000000002</v>
          </cell>
          <cell r="G114">
            <v>1.01637</v>
          </cell>
          <cell r="H114">
            <v>-1.5496099999999999</v>
          </cell>
        </row>
        <row r="115">
          <cell r="A115" t="str">
            <v>GRMZM2G131266</v>
          </cell>
          <cell r="B115" t="str">
            <v>GO:0003700GO:0006355</v>
          </cell>
          <cell r="C115" t="str">
            <v>ap2-like ethylene-responsive transcription factor at1g16060-like</v>
          </cell>
          <cell r="D115" t="str">
            <v>MT0</v>
          </cell>
          <cell r="E115" t="str">
            <v>MT6</v>
          </cell>
          <cell r="F115">
            <v>0.93967500000000004</v>
          </cell>
          <cell r="G115">
            <v>13.369</v>
          </cell>
          <cell r="H115">
            <v>3.8305899999999999</v>
          </cell>
        </row>
        <row r="116">
          <cell r="A116" t="str">
            <v>GRMZM2G429940</v>
          </cell>
          <cell r="B116" t="str">
            <v>GO:0004674GO:0006468GO:0004713GO:0005524GO:0007165</v>
          </cell>
          <cell r="C116" t="str">
            <v>protein</v>
          </cell>
          <cell r="D116" t="str">
            <v>MT0</v>
          </cell>
          <cell r="E116" t="str">
            <v>MT6</v>
          </cell>
          <cell r="F116">
            <v>5.3293799999999996</v>
          </cell>
          <cell r="G116">
            <v>12.057700000000001</v>
          </cell>
          <cell r="H116">
            <v>1.1779200000000001</v>
          </cell>
        </row>
        <row r="117">
          <cell r="A117" t="str">
            <v>GRMZM5G894432</v>
          </cell>
          <cell r="B117" t="e">
            <v>#N/A</v>
          </cell>
          <cell r="C117" t="str">
            <v>vacuolar amino acid transporter 1-like</v>
          </cell>
          <cell r="D117" t="str">
            <v>MT0</v>
          </cell>
          <cell r="E117" t="str">
            <v>MT6</v>
          </cell>
          <cell r="F117">
            <v>0.301068</v>
          </cell>
          <cell r="G117">
            <v>0.81553600000000004</v>
          </cell>
          <cell r="H117">
            <v>1.4376599999999999</v>
          </cell>
        </row>
        <row r="118">
          <cell r="A118" t="str">
            <v>GRMZM2G101116</v>
          </cell>
          <cell r="B118" t="e">
            <v>#N/A</v>
          </cell>
          <cell r="C118" t="str">
            <v>pirin-like protein</v>
          </cell>
          <cell r="D118" t="str">
            <v>MT0</v>
          </cell>
          <cell r="E118" t="str">
            <v>MT6</v>
          </cell>
          <cell r="F118">
            <v>2.4035199999999999</v>
          </cell>
          <cell r="G118">
            <v>6.8044500000000001</v>
          </cell>
          <cell r="H118">
            <v>1.5013300000000001</v>
          </cell>
        </row>
        <row r="119">
          <cell r="A119" t="str">
            <v>GRMZM2G320269</v>
          </cell>
          <cell r="B119" t="str">
            <v>GO:0004601GO:0006979GO:0020037GO:0009055</v>
          </cell>
          <cell r="C119" t="str">
            <v>protein</v>
          </cell>
          <cell r="D119" t="str">
            <v>MT0</v>
          </cell>
          <cell r="E119" t="str">
            <v>MT6</v>
          </cell>
          <cell r="F119">
            <v>4.2119200000000001</v>
          </cell>
          <cell r="G119">
            <v>1.21801</v>
          </cell>
          <cell r="H119">
            <v>-1.7899499999999999</v>
          </cell>
        </row>
        <row r="120">
          <cell r="A120" t="str">
            <v>GRMZM2G153208</v>
          </cell>
          <cell r="B120" t="str">
            <v>GO:0008962GO:0006629GO:0045735</v>
          </cell>
          <cell r="C120" t="str">
            <v>pr17c precursor</v>
          </cell>
          <cell r="D120" t="str">
            <v>MT0</v>
          </cell>
          <cell r="E120" t="str">
            <v>MT6</v>
          </cell>
          <cell r="F120">
            <v>1.6326099999999999</v>
          </cell>
          <cell r="G120">
            <v>9.0201600000000006</v>
          </cell>
          <cell r="H120">
            <v>2.46597</v>
          </cell>
        </row>
        <row r="121">
          <cell r="A121" t="str">
            <v>GRMZM2G164761</v>
          </cell>
          <cell r="B121" t="str">
            <v>GO:0016020GO:0016760GO:0030244</v>
          </cell>
          <cell r="C121" t="str">
            <v>cellulose synthase-like protein slf1</v>
          </cell>
          <cell r="D121" t="str">
            <v>MT0</v>
          </cell>
          <cell r="E121" t="str">
            <v>MT6</v>
          </cell>
          <cell r="F121">
            <v>4.58291</v>
          </cell>
          <cell r="G121">
            <v>9.4649800000000006</v>
          </cell>
          <cell r="H121">
            <v>1.04634</v>
          </cell>
        </row>
        <row r="122">
          <cell r="A122" t="str">
            <v>GRMZM2G108514</v>
          </cell>
          <cell r="B122" t="str">
            <v>GO:0006519GO:0016831GO:0019752GO:0030170</v>
          </cell>
          <cell r="C122" t="str">
            <v>tyrosine decarboxylase</v>
          </cell>
          <cell r="D122" t="str">
            <v>MT0</v>
          </cell>
          <cell r="E122" t="str">
            <v>MT6</v>
          </cell>
          <cell r="F122">
            <v>10.0108</v>
          </cell>
          <cell r="G122">
            <v>22.5809</v>
          </cell>
          <cell r="H122">
            <v>1.1735500000000001</v>
          </cell>
        </row>
        <row r="123">
          <cell r="A123" t="str">
            <v>GRMZM2G145412</v>
          </cell>
          <cell r="B123" t="e">
            <v>#N/A</v>
          </cell>
          <cell r="C123" t="str">
            <v>zim motif family protein</v>
          </cell>
          <cell r="D123" t="str">
            <v>MT0</v>
          </cell>
          <cell r="E123" t="str">
            <v>MT6</v>
          </cell>
          <cell r="F123">
            <v>1.03277</v>
          </cell>
          <cell r="G123">
            <v>2.06914</v>
          </cell>
          <cell r="H123">
            <v>1.00251</v>
          </cell>
        </row>
        <row r="124">
          <cell r="A124" t="str">
            <v>GRMZM2G455817</v>
          </cell>
          <cell r="B124" t="str">
            <v>GO:0006813GO:0016020GO:0015079</v>
          </cell>
          <cell r="C124" t="str">
            <v>potassium transporter</v>
          </cell>
          <cell r="D124" t="str">
            <v>MT0</v>
          </cell>
          <cell r="E124" t="str">
            <v>MT6</v>
          </cell>
          <cell r="F124">
            <v>1.20204</v>
          </cell>
          <cell r="G124">
            <v>3.56819</v>
          </cell>
          <cell r="H124">
            <v>1.5697000000000001</v>
          </cell>
        </row>
        <row r="125">
          <cell r="A125" t="str">
            <v>GRMZM2G084486</v>
          </cell>
          <cell r="B125" t="e">
            <v>#N/A</v>
          </cell>
          <cell r="C125" t="str">
            <v>potassium transporter</v>
          </cell>
          <cell r="D125" t="str">
            <v>MT0</v>
          </cell>
          <cell r="E125" t="str">
            <v>MT6</v>
          </cell>
          <cell r="F125">
            <v>0.62633300000000003</v>
          </cell>
          <cell r="G125">
            <v>3.4843099999999998</v>
          </cell>
          <cell r="H125">
            <v>2.47587</v>
          </cell>
        </row>
        <row r="126">
          <cell r="A126" t="str">
            <v>GRMZM2G000752</v>
          </cell>
          <cell r="B126" t="e">
            <v>#N/A</v>
          </cell>
          <cell r="C126">
            <v>0</v>
          </cell>
          <cell r="D126" t="str">
            <v>MT0</v>
          </cell>
          <cell r="E126" t="str">
            <v>MT6</v>
          </cell>
          <cell r="F126">
            <v>1.4691000000000001</v>
          </cell>
          <cell r="G126">
            <v>0.65602499999999997</v>
          </cell>
          <cell r="H126">
            <v>-1.1631100000000001</v>
          </cell>
        </row>
        <row r="127">
          <cell r="A127" t="str">
            <v>GRMZM2G066067</v>
          </cell>
          <cell r="B127" t="str">
            <v>GO:0016758GO:0008152</v>
          </cell>
          <cell r="C127" t="str">
            <v>protein</v>
          </cell>
          <cell r="D127" t="str">
            <v>MT0</v>
          </cell>
          <cell r="E127" t="str">
            <v>MT6</v>
          </cell>
          <cell r="F127">
            <v>0.646173</v>
          </cell>
          <cell r="G127">
            <v>2.5180699999999998</v>
          </cell>
          <cell r="H127">
            <v>1.9623299999999999</v>
          </cell>
        </row>
        <row r="128">
          <cell r="A128" t="str">
            <v>GRMZM2G043191</v>
          </cell>
          <cell r="B128" t="str">
            <v>GO:0004437</v>
          </cell>
          <cell r="C128" t="str">
            <v>type i inositol- -trisphosphate 5-phosphatase 11-like</v>
          </cell>
          <cell r="D128" t="str">
            <v>MT0</v>
          </cell>
          <cell r="E128" t="str">
            <v>MT6</v>
          </cell>
          <cell r="F128">
            <v>1.34727</v>
          </cell>
          <cell r="G128">
            <v>2.87384</v>
          </cell>
          <cell r="H128">
            <v>1.09294</v>
          </cell>
        </row>
        <row r="129">
          <cell r="A129" t="str">
            <v>GRMZM2G004106</v>
          </cell>
          <cell r="B129" t="str">
            <v>GO:0005507GO:0009055</v>
          </cell>
          <cell r="C129" t="str">
            <v>chemocyanin precursor</v>
          </cell>
          <cell r="D129" t="str">
            <v>MT0</v>
          </cell>
          <cell r="E129" t="str">
            <v>MT6</v>
          </cell>
          <cell r="F129">
            <v>0</v>
          </cell>
          <cell r="G129">
            <v>2.86138</v>
          </cell>
          <cell r="H129" t="str">
            <v>inf</v>
          </cell>
        </row>
        <row r="130">
          <cell r="A130" t="str">
            <v>GRMZM2G004160</v>
          </cell>
          <cell r="B130" t="str">
            <v>GO:0005507GO:0009055</v>
          </cell>
          <cell r="C130" t="str">
            <v>chemocyanin precursor</v>
          </cell>
          <cell r="D130" t="str">
            <v>MT0</v>
          </cell>
          <cell r="E130" t="str">
            <v>MT6</v>
          </cell>
          <cell r="F130">
            <v>0.77662600000000004</v>
          </cell>
          <cell r="G130">
            <v>3.2541000000000002</v>
          </cell>
          <cell r="H130">
            <v>2.06697</v>
          </cell>
        </row>
        <row r="131">
          <cell r="A131" t="str">
            <v>GRMZM2G054361</v>
          </cell>
          <cell r="B131" t="str">
            <v>GO:0016847GO:0009058GO:0030170GO:0016769</v>
          </cell>
          <cell r="C131" t="e">
            <v>#N/A</v>
          </cell>
          <cell r="D131" t="str">
            <v>MT0</v>
          </cell>
          <cell r="E131" t="str">
            <v>MT6</v>
          </cell>
          <cell r="F131">
            <v>2.7787299999999999</v>
          </cell>
          <cell r="G131">
            <v>6.6166099999999997</v>
          </cell>
          <cell r="H131">
            <v>1.25166</v>
          </cell>
        </row>
        <row r="132">
          <cell r="A132" t="str">
            <v>GRMZM2G128564</v>
          </cell>
          <cell r="B132" t="str">
            <v>GO:0016747</v>
          </cell>
          <cell r="C132" t="str">
            <v>hydroxycinnamoyl-coenzyme a shikimate quinate hydroxycinnamoyltransferase-like</v>
          </cell>
          <cell r="D132" t="str">
            <v>MT0</v>
          </cell>
          <cell r="E132" t="str">
            <v>MT6</v>
          </cell>
          <cell r="F132">
            <v>3.81942</v>
          </cell>
          <cell r="G132">
            <v>8.9963899999999999</v>
          </cell>
          <cell r="H132">
            <v>1.2359899999999999</v>
          </cell>
        </row>
        <row r="133">
          <cell r="A133" t="str">
            <v>GRMZM2G011367</v>
          </cell>
          <cell r="B133" t="e">
            <v>#N/A</v>
          </cell>
          <cell r="C133" t="str">
            <v>hypothetical protein</v>
          </cell>
          <cell r="D133" t="str">
            <v>MT0</v>
          </cell>
          <cell r="E133" t="str">
            <v>MT6</v>
          </cell>
          <cell r="F133">
            <v>87.256</v>
          </cell>
          <cell r="G133">
            <v>37.2395</v>
          </cell>
          <cell r="H133">
            <v>-1.2284200000000001</v>
          </cell>
        </row>
        <row r="134">
          <cell r="A134" t="str">
            <v>GRMZM2G039278</v>
          </cell>
          <cell r="B134" t="str">
            <v>GO:0004497GO:0020037GO:0009055</v>
          </cell>
          <cell r="C134" t="str">
            <v>cytochrome p450</v>
          </cell>
          <cell r="D134" t="str">
            <v>MT0</v>
          </cell>
          <cell r="E134" t="str">
            <v>MT6</v>
          </cell>
          <cell r="F134">
            <v>5.8095299999999996</v>
          </cell>
          <cell r="G134">
            <v>11.9116</v>
          </cell>
          <cell r="H134">
            <v>1.0358700000000001</v>
          </cell>
        </row>
        <row r="135">
          <cell r="A135" t="str">
            <v>GRMZM2G427697</v>
          </cell>
          <cell r="B135" t="e">
            <v>#N/A</v>
          </cell>
          <cell r="C135" t="str">
            <v>unknown</v>
          </cell>
          <cell r="D135" t="str">
            <v>MT0</v>
          </cell>
          <cell r="E135" t="str">
            <v>MT6</v>
          </cell>
          <cell r="F135">
            <v>14.712999999999999</v>
          </cell>
          <cell r="G135">
            <v>5.6211000000000002</v>
          </cell>
          <cell r="H135">
            <v>-1.3881699999999999</v>
          </cell>
        </row>
        <row r="136">
          <cell r="A136" t="str">
            <v>GRMZM2G093776</v>
          </cell>
          <cell r="B136" t="str">
            <v>GO:0006508GO:0004197</v>
          </cell>
          <cell r="C136" t="str">
            <v>protein phosphatase 2c 23</v>
          </cell>
          <cell r="D136" t="str">
            <v>MT0</v>
          </cell>
          <cell r="E136" t="str">
            <v>MT6</v>
          </cell>
          <cell r="F136">
            <v>1.00902</v>
          </cell>
          <cell r="G136">
            <v>2.1587200000000002</v>
          </cell>
          <cell r="H136">
            <v>1.0972200000000001</v>
          </cell>
        </row>
        <row r="137">
          <cell r="A137" t="str">
            <v>GRMZM5G883969</v>
          </cell>
          <cell r="B137" t="e">
            <v>#N/A</v>
          </cell>
          <cell r="C137" t="str">
            <v>unknown</v>
          </cell>
          <cell r="D137" t="str">
            <v>MT0</v>
          </cell>
          <cell r="E137" t="str">
            <v>MT6</v>
          </cell>
          <cell r="F137">
            <v>0.623367</v>
          </cell>
          <cell r="G137">
            <v>1.3989100000000001</v>
          </cell>
          <cell r="H137">
            <v>1.16615</v>
          </cell>
        </row>
        <row r="138">
          <cell r="A138" t="str">
            <v>GRMZM2G044317</v>
          </cell>
          <cell r="B138" t="str">
            <v>GO:0005658GO:0006269GO:0003896</v>
          </cell>
          <cell r="C138" t="str">
            <v>dna primase large subunit</v>
          </cell>
          <cell r="D138" t="str">
            <v>MT0</v>
          </cell>
          <cell r="E138" t="str">
            <v>MT6</v>
          </cell>
          <cell r="F138">
            <v>1.76997</v>
          </cell>
          <cell r="G138">
            <v>0.75004400000000004</v>
          </cell>
          <cell r="H138">
            <v>-1.23868</v>
          </cell>
        </row>
        <row r="139">
          <cell r="A139" t="str">
            <v>GRMZM5G839644</v>
          </cell>
          <cell r="B139" t="e">
            <v>#N/A</v>
          </cell>
          <cell r="C139" t="str">
            <v>protein kinase xa21</v>
          </cell>
          <cell r="D139" t="str">
            <v>MT0</v>
          </cell>
          <cell r="E139" t="str">
            <v>MT6</v>
          </cell>
          <cell r="F139">
            <v>0.39066600000000001</v>
          </cell>
          <cell r="G139">
            <v>1.1645300000000001</v>
          </cell>
          <cell r="H139">
            <v>1.5757399999999999</v>
          </cell>
        </row>
        <row r="140">
          <cell r="A140" t="str">
            <v>GRMZM2G565911</v>
          </cell>
          <cell r="B140" t="e">
            <v>#N/A</v>
          </cell>
          <cell r="C140" t="str">
            <v>protein binding</v>
          </cell>
          <cell r="D140" t="str">
            <v>MT0</v>
          </cell>
          <cell r="E140" t="str">
            <v>MT6</v>
          </cell>
          <cell r="F140">
            <v>0.435699</v>
          </cell>
          <cell r="G140">
            <v>1.5700700000000001</v>
          </cell>
          <cell r="H140">
            <v>1.8494299999999999</v>
          </cell>
        </row>
        <row r="141">
          <cell r="A141" t="str">
            <v>GRMZM5G816432</v>
          </cell>
          <cell r="B141" t="e">
            <v>#N/A</v>
          </cell>
          <cell r="C141" t="str">
            <v>uracil phosphoribosyltransferase</v>
          </cell>
          <cell r="D141" t="str">
            <v>MT0</v>
          </cell>
          <cell r="E141" t="str">
            <v>MT6</v>
          </cell>
          <cell r="F141">
            <v>4.1999500000000003</v>
          </cell>
          <cell r="G141">
            <v>8.8174799999999998</v>
          </cell>
          <cell r="H141">
            <v>1.06999</v>
          </cell>
        </row>
        <row r="142">
          <cell r="A142" t="str">
            <v>GRMZM2G146981</v>
          </cell>
          <cell r="B142" t="e">
            <v>#N/A</v>
          </cell>
          <cell r="C142" t="str">
            <v>transposon pong sub-class</v>
          </cell>
          <cell r="D142" t="str">
            <v>MT0</v>
          </cell>
          <cell r="E142" t="str">
            <v>MT6</v>
          </cell>
          <cell r="F142">
            <v>13.2255</v>
          </cell>
          <cell r="G142">
            <v>6.4704199999999998</v>
          </cell>
          <cell r="H142">
            <v>-1.03139</v>
          </cell>
        </row>
        <row r="143">
          <cell r="A143" t="str">
            <v>GRMZM2G419166</v>
          </cell>
          <cell r="B143" t="e">
            <v>#N/A</v>
          </cell>
          <cell r="C143">
            <v>0</v>
          </cell>
          <cell r="D143" t="str">
            <v>MT0</v>
          </cell>
          <cell r="E143" t="str">
            <v>MT6</v>
          </cell>
          <cell r="F143">
            <v>2.0577700000000001</v>
          </cell>
          <cell r="G143">
            <v>1.0031600000000001</v>
          </cell>
          <cell r="H143">
            <v>-1.03653</v>
          </cell>
        </row>
        <row r="144">
          <cell r="A144" t="str">
            <v>GRMZM2G079925</v>
          </cell>
          <cell r="B144" t="str">
            <v>GO:0050825GO:0042309GO:0050826</v>
          </cell>
          <cell r="C144" t="str">
            <v>pentatricopeptide repeat-containing protein</v>
          </cell>
          <cell r="D144" t="str">
            <v>MT0</v>
          </cell>
          <cell r="E144" t="str">
            <v>MT6</v>
          </cell>
          <cell r="F144">
            <v>1.4110499999999999</v>
          </cell>
          <cell r="G144">
            <v>0.66451899999999997</v>
          </cell>
          <cell r="H144">
            <v>-1.08639</v>
          </cell>
        </row>
        <row r="145">
          <cell r="A145" t="str">
            <v>GRMZM2G020054</v>
          </cell>
          <cell r="B145" t="str">
            <v>GO:0003700GO:0006355</v>
          </cell>
          <cell r="C145" t="str">
            <v>ethylene-responsive transcription factor 4</v>
          </cell>
          <cell r="D145" t="str">
            <v>MT0</v>
          </cell>
          <cell r="E145" t="str">
            <v>MT6</v>
          </cell>
          <cell r="F145">
            <v>0.72560400000000003</v>
          </cell>
          <cell r="G145">
            <v>2.1555300000000002</v>
          </cell>
          <cell r="H145">
            <v>1.5707899999999999</v>
          </cell>
        </row>
        <row r="146">
          <cell r="A146" t="str">
            <v>GRMZM2G028104</v>
          </cell>
          <cell r="B146" t="str">
            <v>GO:0016747GO:0008152GO:0016491</v>
          </cell>
          <cell r="C146" t="str">
            <v>3 -n-debenzoyl-2 -deoxytaxol n-benzoyltransferase-like</v>
          </cell>
          <cell r="D146" t="str">
            <v>MT0</v>
          </cell>
          <cell r="E146" t="str">
            <v>MT6</v>
          </cell>
          <cell r="F146">
            <v>6.6529100000000003</v>
          </cell>
          <cell r="G146">
            <v>13.548500000000001</v>
          </cell>
          <cell r="H146">
            <v>1.0260800000000001</v>
          </cell>
        </row>
        <row r="147">
          <cell r="A147" t="str">
            <v>GRMZM2G110567</v>
          </cell>
          <cell r="B147" t="e">
            <v>#N/A</v>
          </cell>
          <cell r="C147" t="str">
            <v>protein binding</v>
          </cell>
          <cell r="D147" t="str">
            <v>MT0</v>
          </cell>
          <cell r="E147" t="str">
            <v>MT6</v>
          </cell>
          <cell r="F147">
            <v>2.10764</v>
          </cell>
          <cell r="G147">
            <v>4.3293299999999997</v>
          </cell>
          <cell r="H147">
            <v>1.03851</v>
          </cell>
        </row>
        <row r="148">
          <cell r="A148" t="str">
            <v>GRMZM2G116520</v>
          </cell>
          <cell r="B148" t="str">
            <v>GO:0005576GO:0004867</v>
          </cell>
          <cell r="C148" t="str">
            <v>bowman-birk type trypsin inhibitor</v>
          </cell>
          <cell r="D148" t="str">
            <v>MT0</v>
          </cell>
          <cell r="E148" t="str">
            <v>MT6</v>
          </cell>
          <cell r="F148">
            <v>1.0705899999999999</v>
          </cell>
          <cell r="G148">
            <v>2.51512</v>
          </cell>
          <cell r="H148">
            <v>1.2322200000000001</v>
          </cell>
        </row>
        <row r="149">
          <cell r="A149" t="str">
            <v>GRMZM5G885862</v>
          </cell>
          <cell r="B149" t="e">
            <v>#N/A</v>
          </cell>
          <cell r="C149">
            <v>0</v>
          </cell>
          <cell r="D149" t="str">
            <v>MT0</v>
          </cell>
          <cell r="E149" t="str">
            <v>MT6</v>
          </cell>
          <cell r="F149">
            <v>7.1895800000000003</v>
          </cell>
          <cell r="G149">
            <v>2.9033600000000002</v>
          </cell>
          <cell r="H149">
            <v>-1.3081799999999999</v>
          </cell>
        </row>
        <row r="150">
          <cell r="A150" t="str">
            <v>GRMZM2G136508</v>
          </cell>
          <cell r="B150" t="str">
            <v>GO:0006813GO:0016020GO:0006865GO:0015171GO:0005249</v>
          </cell>
          <cell r="C150" t="str">
            <v>amino acid permease</v>
          </cell>
          <cell r="D150" t="str">
            <v>MT0</v>
          </cell>
          <cell r="E150" t="str">
            <v>MT6</v>
          </cell>
          <cell r="F150">
            <v>0.42597400000000002</v>
          </cell>
          <cell r="G150">
            <v>1.49268</v>
          </cell>
          <cell r="H150">
            <v>1.80907</v>
          </cell>
        </row>
        <row r="151">
          <cell r="A151" t="str">
            <v>GRMZM2G132875</v>
          </cell>
          <cell r="B151" t="str">
            <v>GO:0055114GO:0016491</v>
          </cell>
          <cell r="C151" t="str">
            <v>nad h-dependent oxidoreductase</v>
          </cell>
          <cell r="D151" t="str">
            <v>MT0</v>
          </cell>
          <cell r="E151" t="str">
            <v>MT6</v>
          </cell>
          <cell r="F151">
            <v>0.49527199999999999</v>
          </cell>
          <cell r="G151">
            <v>1.57497</v>
          </cell>
          <cell r="H151">
            <v>1.66903</v>
          </cell>
        </row>
        <row r="152">
          <cell r="A152" t="str">
            <v>GRMZM5G802115</v>
          </cell>
          <cell r="B152" t="e">
            <v>#N/A</v>
          </cell>
          <cell r="C152" t="str">
            <v>serine threonine-protein kinase oxi1-like</v>
          </cell>
          <cell r="D152" t="str">
            <v>MT0</v>
          </cell>
          <cell r="E152" t="str">
            <v>MT6</v>
          </cell>
          <cell r="F152">
            <v>1.22532</v>
          </cell>
          <cell r="G152">
            <v>3.0823999999999998</v>
          </cell>
          <cell r="H152">
            <v>1.3309</v>
          </cell>
        </row>
        <row r="153">
          <cell r="A153" t="str">
            <v>GRMZM2G414503</v>
          </cell>
          <cell r="B153" t="str">
            <v>GO:0030173GO:0006486GO:0008373</v>
          </cell>
          <cell r="C153" t="str">
            <v>sialyltransferase-like protein</v>
          </cell>
          <cell r="D153" t="str">
            <v>MT0</v>
          </cell>
          <cell r="E153" t="str">
            <v>MT6</v>
          </cell>
          <cell r="F153">
            <v>0.93444300000000002</v>
          </cell>
          <cell r="G153">
            <v>3.1159300000000001</v>
          </cell>
          <cell r="H153">
            <v>1.7374799999999999</v>
          </cell>
        </row>
        <row r="154">
          <cell r="A154" t="str">
            <v>GRMZM2G043813</v>
          </cell>
          <cell r="B154" t="str">
            <v>GO:0045449GO:0003677</v>
          </cell>
          <cell r="C154" t="str">
            <v>nac domain ipr003441</v>
          </cell>
          <cell r="D154" t="str">
            <v>MT0</v>
          </cell>
          <cell r="E154" t="str">
            <v>MT6</v>
          </cell>
          <cell r="F154">
            <v>2.0425399999999998</v>
          </cell>
          <cell r="G154">
            <v>0.85185200000000005</v>
          </cell>
          <cell r="H154">
            <v>-1.26169</v>
          </cell>
        </row>
        <row r="155">
          <cell r="A155" t="str">
            <v>GRMZM2G438202</v>
          </cell>
          <cell r="B155" t="str">
            <v>GO:0003700GO:0006355</v>
          </cell>
          <cell r="C155" t="str">
            <v>ethylene-responsive transcription factor 4</v>
          </cell>
          <cell r="D155" t="str">
            <v>MT0</v>
          </cell>
          <cell r="E155" t="str">
            <v>MT6</v>
          </cell>
          <cell r="F155">
            <v>3.7332700000000001</v>
          </cell>
          <cell r="G155">
            <v>8.3323900000000002</v>
          </cell>
          <cell r="H155">
            <v>1.15829</v>
          </cell>
        </row>
        <row r="156">
          <cell r="A156" t="str">
            <v>GRMZM2G331770</v>
          </cell>
          <cell r="B156" t="str">
            <v>GO:0045735</v>
          </cell>
          <cell r="C156" t="str">
            <v>hypothetical protein SORBIDRAFT_06g030440</v>
          </cell>
          <cell r="D156" t="str">
            <v>MT0</v>
          </cell>
          <cell r="E156" t="str">
            <v>MT6</v>
          </cell>
          <cell r="F156">
            <v>1.00353</v>
          </cell>
          <cell r="G156">
            <v>2.4254199999999999</v>
          </cell>
          <cell r="H156">
            <v>1.2731600000000001</v>
          </cell>
        </row>
        <row r="157">
          <cell r="A157" t="str">
            <v>GRMZM2G470974</v>
          </cell>
          <cell r="B157" t="e">
            <v>#N/A</v>
          </cell>
          <cell r="C157" t="str">
            <v>zinc finger homeodomain protein 1</v>
          </cell>
          <cell r="D157" t="str">
            <v>MT0</v>
          </cell>
          <cell r="E157" t="str">
            <v>MT6</v>
          </cell>
          <cell r="F157">
            <v>1.92746</v>
          </cell>
          <cell r="G157">
            <v>0.608097</v>
          </cell>
          <cell r="H157">
            <v>-1.6643300000000001</v>
          </cell>
        </row>
        <row r="158">
          <cell r="A158" t="str">
            <v>GRMZM2G172586</v>
          </cell>
          <cell r="B158" t="e">
            <v>#N/A</v>
          </cell>
          <cell r="C158" t="str">
            <v>zinc finger homeodomain protein 1</v>
          </cell>
          <cell r="D158" t="str">
            <v>MT0</v>
          </cell>
          <cell r="E158" t="str">
            <v>MT6</v>
          </cell>
          <cell r="F158">
            <v>2.04576</v>
          </cell>
          <cell r="G158">
            <v>0.75660300000000003</v>
          </cell>
          <cell r="H158">
            <v>-1.43502</v>
          </cell>
        </row>
        <row r="159">
          <cell r="A159" t="str">
            <v>GRMZM2G101958</v>
          </cell>
          <cell r="B159" t="str">
            <v>GO:0008289GO:0006869</v>
          </cell>
          <cell r="C159" t="str">
            <v>phospholipid transfer protein 1</v>
          </cell>
          <cell r="D159" t="str">
            <v>MT0</v>
          </cell>
          <cell r="E159" t="str">
            <v>MT6</v>
          </cell>
          <cell r="F159">
            <v>258.851</v>
          </cell>
          <cell r="G159">
            <v>540.82399999999996</v>
          </cell>
          <cell r="H159">
            <v>1.06304</v>
          </cell>
        </row>
        <row r="160">
          <cell r="A160" t="str">
            <v>GRMZM2G003762</v>
          </cell>
          <cell r="B160" t="e">
            <v>#N/A</v>
          </cell>
          <cell r="C160" t="str">
            <v>stem-specific protein expressed</v>
          </cell>
          <cell r="D160" t="str">
            <v>MT0</v>
          </cell>
          <cell r="E160" t="str">
            <v>MT6</v>
          </cell>
          <cell r="F160">
            <v>742.35699999999997</v>
          </cell>
          <cell r="G160">
            <v>1530.72</v>
          </cell>
          <cell r="H160">
            <v>1.04403</v>
          </cell>
        </row>
        <row r="161">
          <cell r="A161" t="str">
            <v>GRMZM5G856142</v>
          </cell>
          <cell r="B161" t="e">
            <v>#N/A</v>
          </cell>
          <cell r="C161">
            <v>0</v>
          </cell>
          <cell r="D161" t="str">
            <v>MT0</v>
          </cell>
          <cell r="E161" t="str">
            <v>MT6</v>
          </cell>
          <cell r="F161">
            <v>0.90350799999999998</v>
          </cell>
          <cell r="G161">
            <v>2.1022599999999998</v>
          </cell>
          <cell r="H161">
            <v>1.2183299999999999</v>
          </cell>
        </row>
        <row r="162">
          <cell r="A162" t="str">
            <v>GRMZM2G034727</v>
          </cell>
          <cell r="B162" t="e">
            <v>#N/A</v>
          </cell>
          <cell r="C162">
            <v>0</v>
          </cell>
          <cell r="D162" t="str">
            <v>MT0</v>
          </cell>
          <cell r="E162" t="str">
            <v>MT6</v>
          </cell>
          <cell r="F162">
            <v>84.9251</v>
          </cell>
          <cell r="G162">
            <v>40.476599999999998</v>
          </cell>
          <cell r="H162">
            <v>-1.0690999999999999</v>
          </cell>
        </row>
        <row r="163">
          <cell r="A163" t="str">
            <v>GRMZM2G015599</v>
          </cell>
          <cell r="B163" t="e">
            <v>#N/A</v>
          </cell>
          <cell r="C163" t="str">
            <v>uncharacterized protein LOC100272609</v>
          </cell>
          <cell r="D163" t="str">
            <v>MT0</v>
          </cell>
          <cell r="E163" t="str">
            <v>MT6</v>
          </cell>
          <cell r="F163">
            <v>45.917499999999997</v>
          </cell>
          <cell r="G163">
            <v>13.104100000000001</v>
          </cell>
          <cell r="H163">
            <v>-1.8090299999999999</v>
          </cell>
        </row>
        <row r="164">
          <cell r="A164" t="str">
            <v>GRMZM2G104489</v>
          </cell>
          <cell r="B164" t="str">
            <v>GO:0008270GO:0005622</v>
          </cell>
          <cell r="C164" t="str">
            <v>uncharacterized protein LOC100272609</v>
          </cell>
          <cell r="D164" t="str">
            <v>MT0</v>
          </cell>
          <cell r="E164" t="str">
            <v>MT6</v>
          </cell>
          <cell r="F164">
            <v>18.111999999999998</v>
          </cell>
          <cell r="G164">
            <v>5.0169800000000002</v>
          </cell>
          <cell r="H164">
            <v>-1.85205</v>
          </cell>
        </row>
        <row r="165">
          <cell r="A165" t="str">
            <v>GRMZM2G471362</v>
          </cell>
          <cell r="B165" t="e">
            <v>#N/A</v>
          </cell>
          <cell r="C165">
            <v>0</v>
          </cell>
          <cell r="D165" t="str">
            <v>MT0</v>
          </cell>
          <cell r="E165" t="str">
            <v>MT6</v>
          </cell>
          <cell r="F165">
            <v>4.56569</v>
          </cell>
          <cell r="G165">
            <v>2.2784200000000001</v>
          </cell>
          <cell r="H165">
            <v>-1.0027999999999999</v>
          </cell>
        </row>
        <row r="166">
          <cell r="A166" t="str">
            <v>GRMZM2G092363</v>
          </cell>
          <cell r="B166" t="str">
            <v>GO:0008270GO:0005622</v>
          </cell>
          <cell r="C166" t="str">
            <v>constans-like protein</v>
          </cell>
          <cell r="D166" t="str">
            <v>MT0</v>
          </cell>
          <cell r="E166" t="str">
            <v>MT6</v>
          </cell>
          <cell r="F166">
            <v>1.7461899999999999</v>
          </cell>
          <cell r="G166">
            <v>3.9952000000000001</v>
          </cell>
          <cell r="H166">
            <v>1.1940500000000001</v>
          </cell>
        </row>
        <row r="167">
          <cell r="A167" t="str">
            <v>GRMZM2G176998</v>
          </cell>
          <cell r="B167" t="e">
            <v>#N/A</v>
          </cell>
          <cell r="C167" t="str">
            <v>wd40-like beta propeller repeat family expressed</v>
          </cell>
          <cell r="D167" t="str">
            <v>MT0</v>
          </cell>
          <cell r="E167" t="str">
            <v>MT6</v>
          </cell>
          <cell r="F167">
            <v>1.5906100000000001</v>
          </cell>
          <cell r="G167">
            <v>4.9900200000000003</v>
          </cell>
          <cell r="H167">
            <v>1.64947</v>
          </cell>
        </row>
        <row r="168">
          <cell r="A168" t="str">
            <v>GRMZM2G066961</v>
          </cell>
          <cell r="B168" t="str">
            <v>GO:0006950</v>
          </cell>
          <cell r="C168" t="str">
            <v>universal stress protein</v>
          </cell>
          <cell r="D168" t="str">
            <v>MT0</v>
          </cell>
          <cell r="E168" t="str">
            <v>MT6</v>
          </cell>
          <cell r="F168">
            <v>22.0519</v>
          </cell>
          <cell r="G168">
            <v>6.8376299999999999</v>
          </cell>
          <cell r="H168">
            <v>-1.68933</v>
          </cell>
        </row>
        <row r="169">
          <cell r="A169" t="str">
            <v>GRMZM2G478430</v>
          </cell>
          <cell r="B169" t="e">
            <v>#N/A</v>
          </cell>
          <cell r="C169">
            <v>0</v>
          </cell>
          <cell r="D169" t="str">
            <v>MT0</v>
          </cell>
          <cell r="E169" t="str">
            <v>MT6</v>
          </cell>
          <cell r="F169">
            <v>0.68654099999999996</v>
          </cell>
          <cell r="G169">
            <v>1.8973</v>
          </cell>
          <cell r="H169">
            <v>1.4665299999999999</v>
          </cell>
        </row>
        <row r="170">
          <cell r="A170" t="str">
            <v>GRMZM2G052100</v>
          </cell>
          <cell r="B170" t="str">
            <v>GO:0006950</v>
          </cell>
          <cell r="C170" t="str">
            <v>abscisic stress ripening protein 1</v>
          </cell>
          <cell r="D170" t="str">
            <v>MT0</v>
          </cell>
          <cell r="E170" t="str">
            <v>MT6</v>
          </cell>
          <cell r="F170">
            <v>1.4202699999999999</v>
          </cell>
          <cell r="G170">
            <v>2.8665400000000001</v>
          </cell>
          <cell r="H170">
            <v>1.01315</v>
          </cell>
        </row>
        <row r="171">
          <cell r="A171" t="str">
            <v>GRMZM2G005939</v>
          </cell>
          <cell r="B171" t="str">
            <v>GO:0005634GO:0045449GO:0030528</v>
          </cell>
          <cell r="C171" t="str">
            <v>basic helix-loop-helix domain-containing protein</v>
          </cell>
          <cell r="D171" t="str">
            <v>MT0</v>
          </cell>
          <cell r="E171" t="str">
            <v>MT6</v>
          </cell>
          <cell r="F171">
            <v>6.8137600000000003</v>
          </cell>
          <cell r="G171">
            <v>3.1032299999999999</v>
          </cell>
          <cell r="H171">
            <v>-1.1346799999999999</v>
          </cell>
        </row>
        <row r="172">
          <cell r="A172" t="str">
            <v>GRMZM2G046952</v>
          </cell>
          <cell r="B172" t="e">
            <v>#N/A</v>
          </cell>
          <cell r="C172" t="str">
            <v>gem-like protein 4-like</v>
          </cell>
          <cell r="D172" t="str">
            <v>MT0</v>
          </cell>
          <cell r="E172" t="str">
            <v>MT6</v>
          </cell>
          <cell r="F172">
            <v>25.8443</v>
          </cell>
          <cell r="G172">
            <v>9.2348599999999994</v>
          </cell>
          <cell r="H172">
            <v>-1.48468</v>
          </cell>
        </row>
        <row r="173">
          <cell r="A173" t="str">
            <v>GRMZM2G018027</v>
          </cell>
          <cell r="B173" t="e">
            <v>#N/A</v>
          </cell>
          <cell r="C173" t="str">
            <v>hypothetical protein SORBIDRAFT_06g026470</v>
          </cell>
          <cell r="D173" t="str">
            <v>MT0</v>
          </cell>
          <cell r="E173" t="str">
            <v>MT6</v>
          </cell>
          <cell r="F173">
            <v>41.781199999999998</v>
          </cell>
          <cell r="G173">
            <v>18.682200000000002</v>
          </cell>
          <cell r="H173">
            <v>-1.1611899999999999</v>
          </cell>
        </row>
        <row r="174">
          <cell r="A174" t="str">
            <v>GRMZM2G181030</v>
          </cell>
          <cell r="B174" t="str">
            <v>GO:0003677</v>
          </cell>
          <cell r="C174" t="str">
            <v>late elongated hypocoty</v>
          </cell>
          <cell r="D174" t="str">
            <v>MT0</v>
          </cell>
          <cell r="E174" t="str">
            <v>MT6</v>
          </cell>
          <cell r="F174">
            <v>3.9122499999999998</v>
          </cell>
          <cell r="G174">
            <v>0.60139699999999996</v>
          </cell>
          <cell r="H174">
            <v>-2.7016100000000001</v>
          </cell>
        </row>
        <row r="175">
          <cell r="A175" t="str">
            <v>GRMZM2G152135</v>
          </cell>
          <cell r="B175" t="e">
            <v>#N/A</v>
          </cell>
          <cell r="C175" t="str">
            <v>beta-carotene hydroxylase 1</v>
          </cell>
          <cell r="D175" t="str">
            <v>MT0</v>
          </cell>
          <cell r="E175" t="str">
            <v>MT6</v>
          </cell>
          <cell r="F175">
            <v>12.9758</v>
          </cell>
          <cell r="G175">
            <v>6.2535600000000002</v>
          </cell>
          <cell r="H175">
            <v>-1.05307</v>
          </cell>
        </row>
        <row r="176">
          <cell r="A176" t="str">
            <v>GRMZM2G429000</v>
          </cell>
          <cell r="B176" t="e">
            <v>#N/A</v>
          </cell>
          <cell r="C176" t="str">
            <v>cortical cell-delineating protein precursor</v>
          </cell>
          <cell r="D176" t="str">
            <v>MT0</v>
          </cell>
          <cell r="E176" t="str">
            <v>MT6</v>
          </cell>
          <cell r="F176">
            <v>4.9717500000000001</v>
          </cell>
          <cell r="G176">
            <v>2.0065599999999999</v>
          </cell>
          <cell r="H176">
            <v>-1.3090299999999999</v>
          </cell>
        </row>
        <row r="177">
          <cell r="A177" t="str">
            <v>AC208110.2_FG007</v>
          </cell>
          <cell r="B177" t="e">
            <v>#N/A</v>
          </cell>
          <cell r="C177" t="e">
            <v>#N/A</v>
          </cell>
          <cell r="D177" t="str">
            <v>MT0</v>
          </cell>
          <cell r="E177" t="str">
            <v>MT6</v>
          </cell>
          <cell r="F177">
            <v>29.958600000000001</v>
          </cell>
          <cell r="G177">
            <v>14.9689</v>
          </cell>
          <cell r="H177">
            <v>-1.0009999999999999</v>
          </cell>
        </row>
        <row r="178">
          <cell r="A178" t="str">
            <v>GRMZM2G136895</v>
          </cell>
          <cell r="B178" t="str">
            <v>GO:0005975GO:0004553</v>
          </cell>
          <cell r="C178" t="str">
            <v>beta-xylosidase alpha-l-arabinofuranosidase 2-like</v>
          </cell>
          <cell r="D178" t="str">
            <v>MT0</v>
          </cell>
          <cell r="E178" t="str">
            <v>MT6</v>
          </cell>
          <cell r="F178">
            <v>0.84841</v>
          </cell>
          <cell r="G178">
            <v>0.34016400000000002</v>
          </cell>
          <cell r="H178">
            <v>-1.31853</v>
          </cell>
        </row>
        <row r="179">
          <cell r="A179" t="str">
            <v>GRMZM2G426242</v>
          </cell>
          <cell r="B179" t="str">
            <v>GO:0016758GO:0008152</v>
          </cell>
          <cell r="C179" t="str">
            <v>udp-glycosyltransferase 89b1-like</v>
          </cell>
          <cell r="D179" t="str">
            <v>MT0</v>
          </cell>
          <cell r="E179" t="str">
            <v>MT6</v>
          </cell>
          <cell r="F179">
            <v>0.39673399999999998</v>
          </cell>
          <cell r="G179">
            <v>0.81388099999999997</v>
          </cell>
          <cell r="H179">
            <v>1.0366500000000001</v>
          </cell>
        </row>
        <row r="180">
          <cell r="A180" t="str">
            <v>GRMZM2G340065</v>
          </cell>
          <cell r="B180" t="str">
            <v>GO:0006644GO:0005840GO:0016042GO:0003735GO:0004197GO:0006508GO:0004623GO:0006412</v>
          </cell>
          <cell r="C180" t="str">
            <v>cysteine protease 1 precursor</v>
          </cell>
          <cell r="D180" t="str">
            <v>MT0</v>
          </cell>
          <cell r="E180" t="str">
            <v>MT6</v>
          </cell>
          <cell r="F180">
            <v>1.8722099999999999</v>
          </cell>
          <cell r="G180">
            <v>0.82566099999999998</v>
          </cell>
          <cell r="H180">
            <v>-1.1811199999999999</v>
          </cell>
        </row>
        <row r="181">
          <cell r="A181" t="str">
            <v>GRMZM2G142802</v>
          </cell>
          <cell r="B181" t="e">
            <v>#N/A</v>
          </cell>
          <cell r="C181" t="str">
            <v>stem-specific protein tsjt1-like</v>
          </cell>
          <cell r="D181" t="str">
            <v>MT0</v>
          </cell>
          <cell r="E181" t="str">
            <v>MT6</v>
          </cell>
          <cell r="F181">
            <v>780.13900000000001</v>
          </cell>
          <cell r="G181">
            <v>386.524</v>
          </cell>
          <cell r="H181">
            <v>-1.0131699999999999</v>
          </cell>
        </row>
        <row r="182">
          <cell r="A182" t="str">
            <v>GRMZM2G154437</v>
          </cell>
          <cell r="B182" t="str">
            <v>GO:0005515</v>
          </cell>
          <cell r="C182" t="str">
            <v>speckle-type poz protein</v>
          </cell>
          <cell r="D182" t="str">
            <v>MT0</v>
          </cell>
          <cell r="E182" t="str">
            <v>MT6</v>
          </cell>
          <cell r="F182">
            <v>0.66617300000000002</v>
          </cell>
          <cell r="G182">
            <v>1.901</v>
          </cell>
          <cell r="H182">
            <v>1.5127900000000001</v>
          </cell>
        </row>
        <row r="183">
          <cell r="A183" t="str">
            <v>GRMZM2G010257</v>
          </cell>
          <cell r="B183" t="str">
            <v>GO:0003735GO:0006414GO:0005840</v>
          </cell>
          <cell r="C183" t="str">
            <v>60s acidic ribosomal protein p2a</v>
          </cell>
          <cell r="D183" t="str">
            <v>MT0</v>
          </cell>
          <cell r="E183" t="str">
            <v>MT6</v>
          </cell>
          <cell r="F183">
            <v>5.7483899999999997</v>
          </cell>
          <cell r="G183">
            <v>14.751300000000001</v>
          </cell>
          <cell r="H183">
            <v>1.3596200000000001</v>
          </cell>
        </row>
        <row r="184">
          <cell r="A184" t="str">
            <v>GRMZM2G046733</v>
          </cell>
          <cell r="B184" t="e">
            <v>#N/A</v>
          </cell>
          <cell r="C184" t="str">
            <v>uncharacterized protein LOC100278663</v>
          </cell>
          <cell r="D184" t="str">
            <v>MT0</v>
          </cell>
          <cell r="E184" t="str">
            <v>MT6</v>
          </cell>
          <cell r="F184">
            <v>1.4461900000000001</v>
          </cell>
          <cell r="G184">
            <v>6.0044199999999996</v>
          </cell>
          <cell r="H184">
            <v>2.05376</v>
          </cell>
        </row>
        <row r="185">
          <cell r="A185" t="str">
            <v>GRMZM2G010962</v>
          </cell>
          <cell r="B185" t="str">
            <v>GO:0005529GO:0048544</v>
          </cell>
          <cell r="C185" t="str">
            <v>g-type lectin s-receptor-like serine threonine-protein kinase b120-like</v>
          </cell>
          <cell r="D185" t="str">
            <v>MT0</v>
          </cell>
          <cell r="E185" t="str">
            <v>MT6</v>
          </cell>
          <cell r="F185">
            <v>1.3218700000000001</v>
          </cell>
          <cell r="G185">
            <v>0.64090999999999998</v>
          </cell>
          <cell r="H185">
            <v>-1.0443899999999999</v>
          </cell>
        </row>
        <row r="186">
          <cell r="A186" t="str">
            <v>GRMZM2G089282</v>
          </cell>
          <cell r="B186" t="e">
            <v>#N/A</v>
          </cell>
          <cell r="C186" t="str">
            <v>uncharacterized protein LOC100278091</v>
          </cell>
          <cell r="D186" t="str">
            <v>MT0</v>
          </cell>
          <cell r="E186" t="str">
            <v>MT6</v>
          </cell>
          <cell r="F186">
            <v>5.0834599999999996</v>
          </cell>
          <cell r="G186">
            <v>10.1965</v>
          </cell>
          <cell r="H186">
            <v>1.0042</v>
          </cell>
        </row>
        <row r="187">
          <cell r="A187" t="str">
            <v>GRMZM2G455978</v>
          </cell>
          <cell r="B187" t="str">
            <v>GO:0007155GO:0015629GO:0005198</v>
          </cell>
          <cell r="C187" t="str">
            <v>protein</v>
          </cell>
          <cell r="D187" t="str">
            <v>MT0</v>
          </cell>
          <cell r="E187" t="str">
            <v>MT6</v>
          </cell>
          <cell r="F187">
            <v>1.1359399999999999</v>
          </cell>
          <cell r="G187">
            <v>0.55346600000000001</v>
          </cell>
          <cell r="H187">
            <v>-1.03732</v>
          </cell>
        </row>
        <row r="188">
          <cell r="A188" t="str">
            <v>GRMZM2G066489</v>
          </cell>
          <cell r="B188" t="str">
            <v>GO:0016021GO:0006810GO:0005234GO:0030288GO:0004965GO:0007186GO:0004970</v>
          </cell>
          <cell r="C188" t="str">
            <v>glutamate-gated kainate-type ion channel receptor subunit 5</v>
          </cell>
          <cell r="D188" t="str">
            <v>MT0</v>
          </cell>
          <cell r="E188" t="str">
            <v>MT6</v>
          </cell>
          <cell r="F188">
            <v>3.9460600000000001</v>
          </cell>
          <cell r="G188">
            <v>9.7537099999999999</v>
          </cell>
          <cell r="H188">
            <v>1.3055399999999999</v>
          </cell>
        </row>
        <row r="189">
          <cell r="A189" t="str">
            <v>GRMZM2G076844</v>
          </cell>
          <cell r="B189" t="e">
            <v>#N/A</v>
          </cell>
          <cell r="C189" t="str">
            <v>hypothetical protein SORBIDRAFT_06g026470</v>
          </cell>
          <cell r="D189" t="str">
            <v>MT0</v>
          </cell>
          <cell r="E189" t="str">
            <v>MT6</v>
          </cell>
          <cell r="F189">
            <v>157.29599999999999</v>
          </cell>
          <cell r="G189">
            <v>69.206000000000003</v>
          </cell>
          <cell r="H189">
            <v>-1.18452</v>
          </cell>
        </row>
        <row r="190">
          <cell r="A190" t="str">
            <v>GRMZM2G050216</v>
          </cell>
          <cell r="B190" t="str">
            <v>GO:0008270GO:0005515</v>
          </cell>
          <cell r="C190" t="str">
            <v>zinc c3hc4 type family protein</v>
          </cell>
          <cell r="D190" t="str">
            <v>MT0</v>
          </cell>
          <cell r="E190" t="str">
            <v>MT6</v>
          </cell>
          <cell r="F190">
            <v>2.10982</v>
          </cell>
          <cell r="G190">
            <v>4.4795800000000003</v>
          </cell>
          <cell r="H190">
            <v>1.0862400000000001</v>
          </cell>
        </row>
        <row r="191">
          <cell r="A191" t="str">
            <v>GRMZM2G164405</v>
          </cell>
          <cell r="B191" t="str">
            <v>GO:0016847GO:0009058GO:0030170GO:0016769</v>
          </cell>
          <cell r="C191" t="str">
            <v>1-aminocyclopropane-1-carboxylate synthase</v>
          </cell>
          <cell r="D191" t="str">
            <v>MT0</v>
          </cell>
          <cell r="E191" t="str">
            <v>MT6</v>
          </cell>
          <cell r="F191">
            <v>0.72498899999999999</v>
          </cell>
          <cell r="G191">
            <v>1.5168699999999999</v>
          </cell>
          <cell r="H191">
            <v>1.06507</v>
          </cell>
        </row>
        <row r="192">
          <cell r="A192" t="str">
            <v>GRMZM2G044884</v>
          </cell>
          <cell r="B192" t="e">
            <v>#N/A</v>
          </cell>
          <cell r="C192" t="str">
            <v>cytokinin-n-glucosyltransferase 1</v>
          </cell>
          <cell r="D192" t="str">
            <v>MT0</v>
          </cell>
          <cell r="E192" t="str">
            <v>MT6</v>
          </cell>
          <cell r="F192">
            <v>1.6731100000000001</v>
          </cell>
          <cell r="G192">
            <v>0.60044500000000001</v>
          </cell>
          <cell r="H192">
            <v>-1.4784299999999999</v>
          </cell>
        </row>
        <row r="193">
          <cell r="A193" t="str">
            <v>GRMZM2G044752</v>
          </cell>
          <cell r="B193" t="str">
            <v>GO:0003700GO:0006355GO:0005634GO:0043565</v>
          </cell>
          <cell r="C193" t="str">
            <v>homeobox-leucine zipper protein hat3</v>
          </cell>
          <cell r="D193" t="str">
            <v>MT0</v>
          </cell>
          <cell r="E193" t="str">
            <v>MT6</v>
          </cell>
          <cell r="F193">
            <v>2.3042199999999999</v>
          </cell>
          <cell r="G193">
            <v>4.6188500000000001</v>
          </cell>
          <cell r="H193">
            <v>1.00326</v>
          </cell>
        </row>
        <row r="194">
          <cell r="A194" t="str">
            <v>GRMZM2G118345</v>
          </cell>
          <cell r="B194" t="str">
            <v>GO:0005737GO:0009058GO:0016841GO:0016211GO:0006559</v>
          </cell>
          <cell r="C194" t="str">
            <v>phenylalanine ammonia-lyase</v>
          </cell>
          <cell r="D194" t="str">
            <v>MT0</v>
          </cell>
          <cell r="E194" t="str">
            <v>MT6</v>
          </cell>
          <cell r="F194">
            <v>0.39105699999999999</v>
          </cell>
          <cell r="G194">
            <v>1.5764899999999999</v>
          </cell>
          <cell r="H194">
            <v>2.01126</v>
          </cell>
        </row>
        <row r="195">
          <cell r="A195" t="str">
            <v>GRMZM2G441347</v>
          </cell>
          <cell r="B195" t="str">
            <v>GO:0005737GO:0009058GO:0016841GO:0016211GO:0006559</v>
          </cell>
          <cell r="C195" t="str">
            <v>phenylalanine ammonia-lyase</v>
          </cell>
          <cell r="D195" t="str">
            <v>MT0</v>
          </cell>
          <cell r="E195" t="str">
            <v>MT6</v>
          </cell>
          <cell r="F195">
            <v>1.93509</v>
          </cell>
          <cell r="G195">
            <v>6.7788000000000004</v>
          </cell>
          <cell r="H195">
            <v>1.80863</v>
          </cell>
        </row>
        <row r="196">
          <cell r="A196" t="str">
            <v>GRMZM2G003775</v>
          </cell>
          <cell r="B196" t="e">
            <v>#N/A</v>
          </cell>
          <cell r="C196" t="str">
            <v>adenosine kinase 2</v>
          </cell>
          <cell r="D196" t="str">
            <v>MT0</v>
          </cell>
          <cell r="E196" t="str">
            <v>MT6</v>
          </cell>
          <cell r="F196">
            <v>3.9051200000000001</v>
          </cell>
          <cell r="G196">
            <v>9.4354499999999994</v>
          </cell>
          <cell r="H196">
            <v>1.2727299999999999</v>
          </cell>
        </row>
        <row r="197">
          <cell r="A197" t="str">
            <v>GRMZM2G111975</v>
          </cell>
          <cell r="B197" t="str">
            <v>GO:0007186GO:0004990GO:0030173GO:0006486GO:0008373</v>
          </cell>
          <cell r="C197" t="str">
            <v>sialyltransferase-like protein</v>
          </cell>
          <cell r="D197" t="str">
            <v>MT0</v>
          </cell>
          <cell r="E197" t="str">
            <v>MT6</v>
          </cell>
          <cell r="F197">
            <v>4.1922699999999997</v>
          </cell>
          <cell r="G197">
            <v>9.57057</v>
          </cell>
          <cell r="H197">
            <v>1.1908700000000001</v>
          </cell>
        </row>
        <row r="198">
          <cell r="A198" t="str">
            <v>GRMZM2G018756</v>
          </cell>
          <cell r="B198" t="str">
            <v>GO:0016020</v>
          </cell>
          <cell r="C198" t="str">
            <v>probable serine incorporator-like</v>
          </cell>
          <cell r="D198" t="str">
            <v>MT0</v>
          </cell>
          <cell r="E198" t="str">
            <v>MT6</v>
          </cell>
          <cell r="F198">
            <v>0.44907799999999998</v>
          </cell>
          <cell r="G198">
            <v>0.96097200000000005</v>
          </cell>
          <cell r="H198">
            <v>1.0975299999999999</v>
          </cell>
        </row>
        <row r="199">
          <cell r="A199" t="str">
            <v>GRMZM2G082191</v>
          </cell>
          <cell r="B199" t="str">
            <v>GO:0006468GO:0004674GO:0009058GO:0004713GO:0005515GO:0005524GO:0030170</v>
          </cell>
          <cell r="C199" t="str">
            <v>leucine-rich repeat receptor-like protein kinase</v>
          </cell>
          <cell r="D199" t="str">
            <v>MT0</v>
          </cell>
          <cell r="E199" t="str">
            <v>MT6</v>
          </cell>
          <cell r="F199">
            <v>1.7781499999999999</v>
          </cell>
          <cell r="G199">
            <v>0.86358699999999999</v>
          </cell>
          <cell r="H199">
            <v>-1.04196</v>
          </cell>
        </row>
        <row r="200">
          <cell r="A200" t="str">
            <v>LIP</v>
          </cell>
          <cell r="B200" t="e">
            <v>#N/A</v>
          </cell>
          <cell r="C200" t="e">
            <v>#N/A</v>
          </cell>
          <cell r="D200" t="str">
            <v>MT0</v>
          </cell>
          <cell r="E200" t="str">
            <v>MT6</v>
          </cell>
          <cell r="F200">
            <v>7.89316</v>
          </cell>
          <cell r="G200">
            <v>3.9451399999999999</v>
          </cell>
          <cell r="H200">
            <v>-1.0005299999999999</v>
          </cell>
        </row>
        <row r="201">
          <cell r="A201" t="str">
            <v>GRMZM2G119975</v>
          </cell>
          <cell r="B201" t="e">
            <v>#N/A</v>
          </cell>
          <cell r="C201" t="str">
            <v>heavy-metal-associated domain-containing protein</v>
          </cell>
          <cell r="D201" t="str">
            <v>MT0</v>
          </cell>
          <cell r="E201" t="str">
            <v>MT6</v>
          </cell>
          <cell r="F201">
            <v>5.5097300000000002</v>
          </cell>
          <cell r="G201">
            <v>25.9848</v>
          </cell>
          <cell r="H201">
            <v>2.2376100000000001</v>
          </cell>
        </row>
        <row r="202">
          <cell r="A202" t="str">
            <v>GRMZM2G408598</v>
          </cell>
          <cell r="B202" t="str">
            <v>GO:0005488</v>
          </cell>
          <cell r="C202" t="str">
            <v>armadillo beta-catenin-like repeat-containing protein</v>
          </cell>
          <cell r="D202" t="str">
            <v>MT0</v>
          </cell>
          <cell r="E202" t="str">
            <v>MT6</v>
          </cell>
          <cell r="F202">
            <v>1.17964</v>
          </cell>
          <cell r="G202">
            <v>2.5957300000000001</v>
          </cell>
          <cell r="H202">
            <v>1.1377900000000001</v>
          </cell>
        </row>
        <row r="203">
          <cell r="A203" t="str">
            <v>GRMZM2G430362</v>
          </cell>
          <cell r="B203" t="str">
            <v>GO:0003676GO:0005524GO:0004386</v>
          </cell>
          <cell r="C203" t="str">
            <v>atp-dependent rna helicase mitochondrial-like</v>
          </cell>
          <cell r="D203" t="str">
            <v>MT0</v>
          </cell>
          <cell r="E203" t="str">
            <v>MT6</v>
          </cell>
          <cell r="F203">
            <v>3.1233900000000001</v>
          </cell>
          <cell r="G203">
            <v>6.3586600000000004</v>
          </cell>
          <cell r="H203">
            <v>1.0256099999999999</v>
          </cell>
        </row>
        <row r="204">
          <cell r="A204" t="str">
            <v>GRMZM2G071704</v>
          </cell>
          <cell r="B204" t="e">
            <v>#N/A</v>
          </cell>
          <cell r="C204" t="str">
            <v>hypothetical protein SORBIDRAFT_06g018650</v>
          </cell>
          <cell r="D204" t="str">
            <v>MT0</v>
          </cell>
          <cell r="E204" t="str">
            <v>MT6</v>
          </cell>
          <cell r="F204">
            <v>1.2105300000000001</v>
          </cell>
          <cell r="G204">
            <v>3.6908799999999999</v>
          </cell>
          <cell r="H204">
            <v>1.60832</v>
          </cell>
        </row>
        <row r="205">
          <cell r="A205" t="str">
            <v>GRMZM2G157822</v>
          </cell>
          <cell r="B205" t="e">
            <v>#N/A</v>
          </cell>
          <cell r="C205" t="str">
            <v>myosin-j heavy chain-like</v>
          </cell>
          <cell r="D205" t="str">
            <v>MT0</v>
          </cell>
          <cell r="E205" t="str">
            <v>MT6</v>
          </cell>
          <cell r="F205">
            <v>5.8144799999999996</v>
          </cell>
          <cell r="G205">
            <v>2.4254199999999999</v>
          </cell>
          <cell r="H205">
            <v>-1.26142</v>
          </cell>
        </row>
        <row r="206">
          <cell r="A206" t="str">
            <v>GRMZM2G406196</v>
          </cell>
          <cell r="B206" t="str">
            <v>GO:0050825GO:0042309GO:0050826</v>
          </cell>
          <cell r="C206" t="str">
            <v>protein</v>
          </cell>
          <cell r="D206" t="str">
            <v>MT0</v>
          </cell>
          <cell r="E206" t="str">
            <v>MT6</v>
          </cell>
          <cell r="F206">
            <v>0.84190299999999996</v>
          </cell>
          <cell r="G206">
            <v>2.4096299999999999</v>
          </cell>
          <cell r="H206">
            <v>1.51708</v>
          </cell>
        </row>
        <row r="207">
          <cell r="A207" t="str">
            <v>GRMZM2G091124</v>
          </cell>
          <cell r="B207" t="e">
            <v>#N/A</v>
          </cell>
          <cell r="C207" t="str">
            <v>uncharacterized protein LOC100275426</v>
          </cell>
          <cell r="D207" t="str">
            <v>MT0</v>
          </cell>
          <cell r="E207" t="str">
            <v>MT6</v>
          </cell>
          <cell r="F207">
            <v>15.465299999999999</v>
          </cell>
          <cell r="G207">
            <v>31.603400000000001</v>
          </cell>
          <cell r="H207">
            <v>1.03104</v>
          </cell>
        </row>
        <row r="208">
          <cell r="A208" t="str">
            <v>GRMZM2G134235</v>
          </cell>
          <cell r="B208" t="str">
            <v>GO:0050825GO:0042309GO:0050826</v>
          </cell>
          <cell r="C208" t="str">
            <v>uncharacterized protein LOC100279539</v>
          </cell>
          <cell r="D208" t="str">
            <v>MT0</v>
          </cell>
          <cell r="E208" t="str">
            <v>MT6</v>
          </cell>
          <cell r="F208">
            <v>6.2331300000000001</v>
          </cell>
          <cell r="G208">
            <v>2.1027</v>
          </cell>
          <cell r="H208">
            <v>-1.5677099999999999</v>
          </cell>
        </row>
        <row r="209">
          <cell r="A209" t="str">
            <v>GRMZM2G093826</v>
          </cell>
          <cell r="B209" t="str">
            <v>GO:0005247GO:0006813GO:0006821GO:0016020GO:0015079</v>
          </cell>
          <cell r="C209" t="str">
            <v>high-affinity potassium transporter</v>
          </cell>
          <cell r="D209" t="str">
            <v>MT0</v>
          </cell>
          <cell r="E209" t="str">
            <v>MT6</v>
          </cell>
          <cell r="F209">
            <v>4.5541499999999999</v>
          </cell>
          <cell r="G209">
            <v>12.2842</v>
          </cell>
          <cell r="H209">
            <v>1.4315500000000001</v>
          </cell>
        </row>
        <row r="210">
          <cell r="A210" t="str">
            <v>GRMZM2G144956</v>
          </cell>
          <cell r="B210" t="e">
            <v>#N/A</v>
          </cell>
          <cell r="C210">
            <v>0</v>
          </cell>
          <cell r="D210" t="str">
            <v>MT0</v>
          </cell>
          <cell r="E210" t="str">
            <v>MT6</v>
          </cell>
          <cell r="F210">
            <v>25.186699999999998</v>
          </cell>
          <cell r="G210">
            <v>12.280900000000001</v>
          </cell>
          <cell r="H210">
            <v>-1.0362499999999999</v>
          </cell>
        </row>
        <row r="211">
          <cell r="A211" t="str">
            <v>GRMZM2G455122</v>
          </cell>
          <cell r="B211" t="e">
            <v>#N/A</v>
          </cell>
          <cell r="C211">
            <v>0</v>
          </cell>
          <cell r="D211" t="str">
            <v>MT0</v>
          </cell>
          <cell r="E211" t="str">
            <v>MT6</v>
          </cell>
          <cell r="F211">
            <v>110.721</v>
          </cell>
          <cell r="G211">
            <v>49.467599999999997</v>
          </cell>
          <cell r="H211">
            <v>-1.16238</v>
          </cell>
        </row>
        <row r="212">
          <cell r="A212" t="str">
            <v>GRMZM2G151365</v>
          </cell>
          <cell r="B212" t="e">
            <v>#N/A</v>
          </cell>
          <cell r="C212" t="str">
            <v>---NA---</v>
          </cell>
          <cell r="D212" t="str">
            <v>MT0</v>
          </cell>
          <cell r="E212" t="str">
            <v>MT6</v>
          </cell>
          <cell r="F212">
            <v>11.014799999999999</v>
          </cell>
          <cell r="G212">
            <v>4.0753500000000003</v>
          </cell>
          <cell r="H212">
            <v>-1.43445</v>
          </cell>
        </row>
        <row r="213">
          <cell r="A213" t="str">
            <v>GRMZM2G450273</v>
          </cell>
          <cell r="B213" t="e">
            <v>#N/A</v>
          </cell>
          <cell r="C213" t="str">
            <v>flowering promoting factor-like 1</v>
          </cell>
          <cell r="D213" t="str">
            <v>MT0</v>
          </cell>
          <cell r="E213" t="str">
            <v>MT6</v>
          </cell>
          <cell r="F213">
            <v>1.08778</v>
          </cell>
          <cell r="G213">
            <v>2.5056699999999998</v>
          </cell>
          <cell r="H213">
            <v>1.20381</v>
          </cell>
        </row>
        <row r="214">
          <cell r="A214" t="str">
            <v>GRMZM2G455290</v>
          </cell>
          <cell r="B214" t="e">
            <v>#N/A</v>
          </cell>
          <cell r="C214">
            <v>0</v>
          </cell>
          <cell r="D214" t="str">
            <v>MT0</v>
          </cell>
          <cell r="E214" t="str">
            <v>MT6</v>
          </cell>
          <cell r="F214">
            <v>4.4030399999999998</v>
          </cell>
          <cell r="G214">
            <v>2.1195200000000001</v>
          </cell>
          <cell r="H214">
            <v>-1.0547599999999999</v>
          </cell>
        </row>
        <row r="215">
          <cell r="A215" t="str">
            <v>GRMZM2G414563</v>
          </cell>
          <cell r="B215" t="e">
            <v>#N/A</v>
          </cell>
          <cell r="C215" t="str">
            <v>uncharacterized protein LOC100501198</v>
          </cell>
          <cell r="D215" t="str">
            <v>MT0</v>
          </cell>
          <cell r="E215" t="str">
            <v>MT6</v>
          </cell>
          <cell r="F215">
            <v>4.2792899999999996</v>
          </cell>
          <cell r="G215">
            <v>1.61528</v>
          </cell>
          <cell r="H215">
            <v>-1.4055899999999999</v>
          </cell>
        </row>
        <row r="216">
          <cell r="A216" t="str">
            <v>GRMZM2G152516</v>
          </cell>
          <cell r="B216" t="e">
            <v>#N/A</v>
          </cell>
          <cell r="C216">
            <v>0</v>
          </cell>
          <cell r="D216" t="str">
            <v>MT0</v>
          </cell>
          <cell r="E216" t="str">
            <v>MT6</v>
          </cell>
          <cell r="F216">
            <v>0.92178300000000002</v>
          </cell>
          <cell r="G216">
            <v>0.39046199999999998</v>
          </cell>
          <cell r="H216">
            <v>-1.23925</v>
          </cell>
        </row>
        <row r="217">
          <cell r="A217" t="str">
            <v>GRMZM2G039969</v>
          </cell>
          <cell r="B217" t="e">
            <v>#N/A</v>
          </cell>
          <cell r="C217" t="str">
            <v>late embryogenesis abundant hydroxyproline-rich glycoprotein</v>
          </cell>
          <cell r="D217" t="str">
            <v>MT0</v>
          </cell>
          <cell r="E217" t="str">
            <v>MT6</v>
          </cell>
          <cell r="F217">
            <v>0.30795</v>
          </cell>
          <cell r="G217">
            <v>0.93127300000000002</v>
          </cell>
          <cell r="H217">
            <v>1.5965100000000001</v>
          </cell>
        </row>
        <row r="218">
          <cell r="A218" t="str">
            <v>GRMZM2G353024</v>
          </cell>
          <cell r="B218" t="str">
            <v>GO:0009416GO:0005515GO:0004871</v>
          </cell>
          <cell r="C218" t="str">
            <v>root phototropism protein 2</v>
          </cell>
          <cell r="D218" t="str">
            <v>MT0</v>
          </cell>
          <cell r="E218" t="str">
            <v>MT6</v>
          </cell>
          <cell r="F218">
            <v>4.4112299999999998</v>
          </cell>
          <cell r="G218">
            <v>10.8224</v>
          </cell>
          <cell r="H218">
            <v>1.29477</v>
          </cell>
        </row>
        <row r="219">
          <cell r="A219" t="str">
            <v>GRMZM2G155437</v>
          </cell>
          <cell r="B219" t="str">
            <v>GO:0042254GO:0005622</v>
          </cell>
          <cell r="C219" t="str">
            <v>mrna turnover protein 4</v>
          </cell>
          <cell r="D219" t="str">
            <v>MT0</v>
          </cell>
          <cell r="E219" t="str">
            <v>MT6</v>
          </cell>
          <cell r="F219">
            <v>3.3682099999999999</v>
          </cell>
          <cell r="G219">
            <v>8.3827499999999997</v>
          </cell>
          <cell r="H219">
            <v>1.3154399999999999</v>
          </cell>
        </row>
        <row r="220">
          <cell r="A220" t="str">
            <v>GRMZM2G042677</v>
          </cell>
          <cell r="B220" t="e">
            <v>#N/A</v>
          </cell>
          <cell r="C220" t="str">
            <v>acyltransferase ( kd)</v>
          </cell>
          <cell r="D220" t="str">
            <v>MT0</v>
          </cell>
          <cell r="E220" t="str">
            <v>MT6</v>
          </cell>
          <cell r="F220">
            <v>1.9960100000000001</v>
          </cell>
          <cell r="G220">
            <v>0.73155400000000004</v>
          </cell>
          <cell r="H220">
            <v>-1.44808</v>
          </cell>
        </row>
        <row r="221">
          <cell r="A221" t="str">
            <v>GRMZM2G041369</v>
          </cell>
          <cell r="B221" t="str">
            <v>GO:0004607GO:0006629</v>
          </cell>
          <cell r="C221" t="str">
            <v>acyltransferase ( kd)</v>
          </cell>
          <cell r="D221" t="str">
            <v>MT0</v>
          </cell>
          <cell r="E221" t="str">
            <v>MT6</v>
          </cell>
          <cell r="F221">
            <v>1.6736200000000001</v>
          </cell>
          <cell r="G221">
            <v>0.806284</v>
          </cell>
          <cell r="H221">
            <v>-1.0536099999999999</v>
          </cell>
        </row>
        <row r="222">
          <cell r="A222" t="str">
            <v>GRMZM2G044472</v>
          </cell>
          <cell r="B222" t="str">
            <v>GO:0004607GO:0006629</v>
          </cell>
          <cell r="C222" t="str">
            <v>acyltransferase ( kd)</v>
          </cell>
          <cell r="D222" t="str">
            <v>MT0</v>
          </cell>
          <cell r="E222" t="str">
            <v>MT6</v>
          </cell>
          <cell r="F222">
            <v>5.9515200000000004</v>
          </cell>
          <cell r="G222">
            <v>2.69611</v>
          </cell>
          <cell r="H222">
            <v>-1.14238</v>
          </cell>
        </row>
        <row r="223">
          <cell r="A223" t="str">
            <v>GRMZM2G357112</v>
          </cell>
          <cell r="B223" t="e">
            <v>#N/A</v>
          </cell>
          <cell r="C223" t="str">
            <v>harpin inducing protein</v>
          </cell>
          <cell r="D223" t="str">
            <v>MT0</v>
          </cell>
          <cell r="E223" t="str">
            <v>MT6</v>
          </cell>
          <cell r="F223">
            <v>1.47645</v>
          </cell>
          <cell r="G223">
            <v>3.0045799999999998</v>
          </cell>
          <cell r="H223">
            <v>1.02504</v>
          </cell>
        </row>
        <row r="224">
          <cell r="A224" t="str">
            <v>GRMZM2G100475</v>
          </cell>
          <cell r="B224" t="e">
            <v>#N/A</v>
          </cell>
          <cell r="C224" t="str">
            <v>uncharacterized protein LOC100304211</v>
          </cell>
          <cell r="D224" t="str">
            <v>MT0</v>
          </cell>
          <cell r="E224" t="str">
            <v>MT6</v>
          </cell>
          <cell r="F224">
            <v>1.24552</v>
          </cell>
          <cell r="G224">
            <v>3.3439000000000001</v>
          </cell>
          <cell r="H224">
            <v>1.42479</v>
          </cell>
        </row>
        <row r="225">
          <cell r="A225" t="str">
            <v>GRMZM2G373554</v>
          </cell>
          <cell r="B225" t="e">
            <v>#N/A</v>
          </cell>
          <cell r="C225" t="str">
            <v>uncharacterized protein LOC100275817</v>
          </cell>
          <cell r="D225" t="str">
            <v>MT0</v>
          </cell>
          <cell r="E225" t="str">
            <v>MT6</v>
          </cell>
          <cell r="F225">
            <v>1.8907400000000001</v>
          </cell>
          <cell r="G225">
            <v>0.83048</v>
          </cell>
          <cell r="H225">
            <v>-1.18693</v>
          </cell>
        </row>
        <row r="226">
          <cell r="A226" t="str">
            <v>GRMZM2G416216</v>
          </cell>
          <cell r="B226" t="str">
            <v>GO:0008270GO:0005515</v>
          </cell>
          <cell r="C226" t="str">
            <v>ring finger 1</v>
          </cell>
          <cell r="D226" t="str">
            <v>MT0</v>
          </cell>
          <cell r="E226" t="str">
            <v>MT6</v>
          </cell>
          <cell r="F226">
            <v>0.62666100000000002</v>
          </cell>
          <cell r="G226">
            <v>1.48289</v>
          </cell>
          <cell r="H226">
            <v>1.24265</v>
          </cell>
        </row>
        <row r="227">
          <cell r="A227" t="str">
            <v>GRMZM2G330049</v>
          </cell>
          <cell r="B227" t="str">
            <v>GO:0006468GO:0005840GO:0003735GO:0004674GO:0004713GO:0006412GO:0005524GO:0007165</v>
          </cell>
          <cell r="C227" t="str">
            <v>cipk-like protein 1</v>
          </cell>
          <cell r="D227" t="str">
            <v>MT0</v>
          </cell>
          <cell r="E227" t="str">
            <v>MT6</v>
          </cell>
          <cell r="F227">
            <v>2.1268799999999999</v>
          </cell>
          <cell r="G227">
            <v>7.7660299999999998</v>
          </cell>
          <cell r="H227">
            <v>1.8684400000000001</v>
          </cell>
        </row>
        <row r="228">
          <cell r="A228" t="str">
            <v>GRMZM2G088819</v>
          </cell>
          <cell r="B228" t="str">
            <v>GO:0005509</v>
          </cell>
          <cell r="C228" t="str">
            <v>calcium-binding protein cml42</v>
          </cell>
          <cell r="D228" t="str">
            <v>MT0</v>
          </cell>
          <cell r="E228" t="str">
            <v>MT6</v>
          </cell>
          <cell r="F228">
            <v>2.0773899999999998</v>
          </cell>
          <cell r="G228">
            <v>5.76708</v>
          </cell>
          <cell r="H228">
            <v>1.47306</v>
          </cell>
        </row>
        <row r="229">
          <cell r="A229" t="str">
            <v>GRMZM2G341499</v>
          </cell>
          <cell r="B229" t="str">
            <v>GO:0004930GO:0016021GO:0006810GO:0005234GO:0030288GO:0004965GO:0007186GO:0004970</v>
          </cell>
          <cell r="C229" t="str">
            <v>glutamate-gated kainate-type ion channel receptor subunit 5</v>
          </cell>
          <cell r="D229" t="str">
            <v>MT0</v>
          </cell>
          <cell r="E229" t="str">
            <v>MT6</v>
          </cell>
          <cell r="F229">
            <v>0.50949100000000003</v>
          </cell>
          <cell r="G229">
            <v>1.1873</v>
          </cell>
          <cell r="H229">
            <v>1.22055</v>
          </cell>
        </row>
        <row r="230">
          <cell r="A230" t="str">
            <v>GRMZM2G125482</v>
          </cell>
          <cell r="B230" t="e">
            <v>#N/A</v>
          </cell>
          <cell r="C230" t="str">
            <v>elicitor-inducible cytochrome p450</v>
          </cell>
          <cell r="D230" t="str">
            <v>MT0</v>
          </cell>
          <cell r="E230" t="str">
            <v>MT6</v>
          </cell>
          <cell r="F230">
            <v>0.68375399999999997</v>
          </cell>
          <cell r="G230">
            <v>3.1685699999999999</v>
          </cell>
          <cell r="H230">
            <v>2.2122799999999998</v>
          </cell>
        </row>
        <row r="231">
          <cell r="A231" t="str">
            <v>AC204539.4_FG003</v>
          </cell>
          <cell r="B231" t="str">
            <v>GO:0003779GO:0015629GO:0030036</v>
          </cell>
          <cell r="C231" t="e">
            <v>#N/A</v>
          </cell>
          <cell r="D231" t="str">
            <v>MT0</v>
          </cell>
          <cell r="E231" t="str">
            <v>MT6</v>
          </cell>
          <cell r="F231">
            <v>0.91415199999999996</v>
          </cell>
          <cell r="G231">
            <v>2.3768199999999999</v>
          </cell>
          <cell r="H231">
            <v>1.37853</v>
          </cell>
        </row>
        <row r="232">
          <cell r="A232" t="str">
            <v>GRMZM2G052908</v>
          </cell>
          <cell r="B232" t="e">
            <v>#N/A</v>
          </cell>
          <cell r="C232" t="str">
            <v>transcription factor jumonji domain-containing protein</v>
          </cell>
          <cell r="D232" t="str">
            <v>MT0</v>
          </cell>
          <cell r="E232" t="str">
            <v>MT6</v>
          </cell>
          <cell r="F232">
            <v>2.4047800000000001</v>
          </cell>
          <cell r="G232">
            <v>0.39086599999999999</v>
          </cell>
          <cell r="H232">
            <v>-2.6211600000000002</v>
          </cell>
        </row>
        <row r="233">
          <cell r="A233" t="str">
            <v>GRMZM2G172826</v>
          </cell>
          <cell r="B233" t="str">
            <v>GO:0004497GO:0020037GO:0050825GO:0042309GO:0050826GO:0009055</v>
          </cell>
          <cell r="C233" t="str">
            <v>cytochrome p450</v>
          </cell>
          <cell r="D233" t="str">
            <v>MT0</v>
          </cell>
          <cell r="E233" t="str">
            <v>MT6</v>
          </cell>
          <cell r="F233">
            <v>15.673500000000001</v>
          </cell>
          <cell r="G233">
            <v>36.181800000000003</v>
          </cell>
          <cell r="H233">
            <v>1.2069399999999999</v>
          </cell>
        </row>
        <row r="234">
          <cell r="A234" t="str">
            <v>GRMZM2G087870</v>
          </cell>
          <cell r="B234" t="str">
            <v>GO:0006464</v>
          </cell>
          <cell r="C234" t="str">
            <v>ubiquitin</v>
          </cell>
          <cell r="D234" t="str">
            <v>MT0</v>
          </cell>
          <cell r="E234" t="str">
            <v>MT6</v>
          </cell>
          <cell r="F234">
            <v>28.171199999999999</v>
          </cell>
          <cell r="G234">
            <v>13.5823</v>
          </cell>
          <cell r="H234">
            <v>-1.0524899999999999</v>
          </cell>
        </row>
        <row r="235">
          <cell r="A235" t="str">
            <v>GRMZM2G053833</v>
          </cell>
          <cell r="B235" t="str">
            <v>GO:0005509</v>
          </cell>
          <cell r="C235" t="str">
            <v>ef hand family protein</v>
          </cell>
          <cell r="D235" t="str">
            <v>MT0</v>
          </cell>
          <cell r="E235" t="str">
            <v>MT6</v>
          </cell>
          <cell r="F235">
            <v>0.46696199999999999</v>
          </cell>
          <cell r="G235">
            <v>1.5773200000000001</v>
          </cell>
          <cell r="H235">
            <v>1.7561</v>
          </cell>
        </row>
        <row r="236">
          <cell r="A236" t="str">
            <v>GRMZM2G166971</v>
          </cell>
          <cell r="B236" t="str">
            <v>GO:0050825GO:0042309GO:0050826</v>
          </cell>
          <cell r="C236" t="str">
            <v>phospholipase a2 family protein</v>
          </cell>
          <cell r="D236" t="str">
            <v>MT0</v>
          </cell>
          <cell r="E236" t="str">
            <v>MT6</v>
          </cell>
          <cell r="F236">
            <v>1.5259100000000001</v>
          </cell>
          <cell r="G236">
            <v>3.0861200000000002</v>
          </cell>
          <cell r="H236">
            <v>1.01613</v>
          </cell>
        </row>
        <row r="237">
          <cell r="A237" t="str">
            <v>GRMZM2G154735</v>
          </cell>
          <cell r="B237" t="e">
            <v>#N/A</v>
          </cell>
          <cell r="C237" t="str">
            <v>hva22e</v>
          </cell>
          <cell r="D237" t="str">
            <v>MT0</v>
          </cell>
          <cell r="E237" t="str">
            <v>MT6</v>
          </cell>
          <cell r="F237">
            <v>3.2721900000000002</v>
          </cell>
          <cell r="G237">
            <v>7.8181599999999998</v>
          </cell>
          <cell r="H237">
            <v>1.25657</v>
          </cell>
        </row>
        <row r="238">
          <cell r="A238" t="str">
            <v>GRMZM2G099765</v>
          </cell>
          <cell r="B238" t="str">
            <v>GO:0006508GO:0004197</v>
          </cell>
          <cell r="C238" t="str">
            <v>cysteine proteinase</v>
          </cell>
          <cell r="D238" t="str">
            <v>MT0</v>
          </cell>
          <cell r="E238" t="str">
            <v>MT6</v>
          </cell>
          <cell r="F238">
            <v>3.49817</v>
          </cell>
          <cell r="G238">
            <v>0.87029000000000001</v>
          </cell>
          <cell r="H238">
            <v>-2.0070299999999999</v>
          </cell>
        </row>
        <row r="239">
          <cell r="A239" t="str">
            <v>GRMZM2G139813</v>
          </cell>
          <cell r="B239" t="str">
            <v>GO:0008483GO:0009058GO:0006519GO:0016847GO:0030170</v>
          </cell>
          <cell r="C239" t="str">
            <v>aminotransferase family protein</v>
          </cell>
          <cell r="D239" t="str">
            <v>MT0</v>
          </cell>
          <cell r="E239" t="str">
            <v>MT6</v>
          </cell>
          <cell r="F239">
            <v>3.9556499999999999</v>
          </cell>
          <cell r="G239">
            <v>1.5646199999999999</v>
          </cell>
          <cell r="H239">
            <v>-1.3381000000000001</v>
          </cell>
        </row>
        <row r="240">
          <cell r="A240" t="str">
            <v>GRMZM2G180172</v>
          </cell>
          <cell r="B240" t="e">
            <v>#N/A</v>
          </cell>
          <cell r="C240" t="str">
            <v>chloroplast lumen common protein family-like protein</v>
          </cell>
          <cell r="D240" t="str">
            <v>MT0</v>
          </cell>
          <cell r="E240" t="str">
            <v>MT6</v>
          </cell>
          <cell r="F240">
            <v>3.1591900000000002</v>
          </cell>
          <cell r="G240">
            <v>6.9088200000000004</v>
          </cell>
          <cell r="H240">
            <v>1.1288800000000001</v>
          </cell>
        </row>
        <row r="241">
          <cell r="A241" t="str">
            <v>GRMZM2G444560</v>
          </cell>
          <cell r="B241" t="str">
            <v>GO:0017111GO:0005524</v>
          </cell>
          <cell r="C241" t="str">
            <v>aaa-type atpase-like</v>
          </cell>
          <cell r="D241" t="str">
            <v>MT0</v>
          </cell>
          <cell r="E241" t="str">
            <v>MT6</v>
          </cell>
          <cell r="F241">
            <v>0.46317900000000001</v>
          </cell>
          <cell r="G241">
            <v>2.8207300000000002</v>
          </cell>
          <cell r="H241">
            <v>2.60643</v>
          </cell>
        </row>
        <row r="242">
          <cell r="A242" t="str">
            <v>GRMZM2G139467</v>
          </cell>
          <cell r="B242" t="str">
            <v>GO:0004497GO:0020037GO:0009055</v>
          </cell>
          <cell r="C242" t="str">
            <v>elicitor-inducible cytochrome p450</v>
          </cell>
          <cell r="D242" t="str">
            <v>MT0</v>
          </cell>
          <cell r="E242" t="str">
            <v>MT6</v>
          </cell>
          <cell r="F242">
            <v>2.29678</v>
          </cell>
          <cell r="G242">
            <v>8.3637899999999998</v>
          </cell>
          <cell r="H242">
            <v>1.8645400000000001</v>
          </cell>
        </row>
        <row r="243">
          <cell r="A243" t="str">
            <v>GRMZM2G084327</v>
          </cell>
          <cell r="B243" t="e">
            <v>#N/A</v>
          </cell>
          <cell r="C243" t="str">
            <v>fiber protein fb34</v>
          </cell>
          <cell r="D243" t="str">
            <v>MT0</v>
          </cell>
          <cell r="E243" t="str">
            <v>MT6</v>
          </cell>
          <cell r="F243">
            <v>58.312800000000003</v>
          </cell>
          <cell r="G243">
            <v>23.9617</v>
          </cell>
          <cell r="H243">
            <v>-1.28308</v>
          </cell>
        </row>
        <row r="244">
          <cell r="A244" t="str">
            <v>GRMZM2G082032</v>
          </cell>
          <cell r="B244" t="str">
            <v>GO:0016787</v>
          </cell>
          <cell r="C244" t="str">
            <v>l-asparaginase</v>
          </cell>
          <cell r="D244" t="str">
            <v>MT0</v>
          </cell>
          <cell r="E244" t="str">
            <v>MT6</v>
          </cell>
          <cell r="F244">
            <v>2.2638600000000002</v>
          </cell>
          <cell r="G244">
            <v>5.1023300000000003</v>
          </cell>
          <cell r="H244">
            <v>1.1723699999999999</v>
          </cell>
        </row>
        <row r="245">
          <cell r="A245" t="str">
            <v>GRMZM2G531230</v>
          </cell>
          <cell r="B245" t="str">
            <v>GO:0016787</v>
          </cell>
          <cell r="C245" t="str">
            <v>probable isoaspartyl peptidase l-asparaginase 2-like</v>
          </cell>
          <cell r="D245" t="str">
            <v>MT0</v>
          </cell>
          <cell r="E245" t="str">
            <v>MT6</v>
          </cell>
          <cell r="F245">
            <v>2.2791899999999998</v>
          </cell>
          <cell r="G245">
            <v>5.7371499999999997</v>
          </cell>
          <cell r="H245">
            <v>1.3318099999999999</v>
          </cell>
        </row>
        <row r="246">
          <cell r="A246" t="str">
            <v>GRMZM2G000093</v>
          </cell>
          <cell r="B246" t="str">
            <v>GO:0005975GO:0004518GO:0004553GO:0005515GO:0003677GO:0006259</v>
          </cell>
          <cell r="C246" t="str">
            <v>essential meiotic endonuclease 1a</v>
          </cell>
          <cell r="D246" t="str">
            <v>MT0</v>
          </cell>
          <cell r="E246" t="str">
            <v>MT6</v>
          </cell>
          <cell r="F246">
            <v>0.50380199999999997</v>
          </cell>
          <cell r="G246">
            <v>1.23194</v>
          </cell>
          <cell r="H246">
            <v>1.29</v>
          </cell>
        </row>
        <row r="247">
          <cell r="A247" t="str">
            <v>GRMZM5G846550</v>
          </cell>
          <cell r="B247" t="e">
            <v>#N/A</v>
          </cell>
          <cell r="C247" t="str">
            <v>hypothetical protein SORBIDRAFT_06g030440</v>
          </cell>
          <cell r="D247" t="str">
            <v>MT0</v>
          </cell>
          <cell r="E247" t="str">
            <v>MT6</v>
          </cell>
          <cell r="F247">
            <v>2.2843100000000001</v>
          </cell>
          <cell r="G247">
            <v>0.99657600000000002</v>
          </cell>
          <cell r="H247">
            <v>-1.1967099999999999</v>
          </cell>
        </row>
        <row r="248">
          <cell r="A248" t="str">
            <v>GRMZM2G159161</v>
          </cell>
          <cell r="B248" t="str">
            <v>GO:0016163GO:0009416GO:0009399GO:0005515GO:0004871</v>
          </cell>
          <cell r="C248" t="str">
            <v>protein</v>
          </cell>
          <cell r="D248" t="str">
            <v>MT0</v>
          </cell>
          <cell r="E248" t="str">
            <v>MT6</v>
          </cell>
          <cell r="F248">
            <v>0.66113299999999997</v>
          </cell>
          <cell r="G248">
            <v>1.53881</v>
          </cell>
          <cell r="H248">
            <v>1.2188000000000001</v>
          </cell>
        </row>
        <row r="249">
          <cell r="A249" t="str">
            <v>GRMZM2G115705</v>
          </cell>
          <cell r="B249" t="str">
            <v>GO:0006468GO:0004674GO:0005529GO:0004713GO:0005524GO:0048544</v>
          </cell>
          <cell r="C249" t="str">
            <v>receptor-like serine threonine-protein kinase sd1-8-like</v>
          </cell>
          <cell r="D249" t="str">
            <v>MT0</v>
          </cell>
          <cell r="E249" t="str">
            <v>MT6</v>
          </cell>
          <cell r="F249">
            <v>0.44609300000000002</v>
          </cell>
          <cell r="G249">
            <v>1.70025</v>
          </cell>
          <cell r="H249">
            <v>1.9303399999999999</v>
          </cell>
        </row>
        <row r="250">
          <cell r="A250" t="str">
            <v>GRMZM2G421256</v>
          </cell>
          <cell r="B250" t="str">
            <v>GO:0003677</v>
          </cell>
          <cell r="C250" t="str">
            <v>late elongated hypocoty</v>
          </cell>
          <cell r="D250" t="str">
            <v>MT0</v>
          </cell>
          <cell r="E250" t="str">
            <v>MT6</v>
          </cell>
          <cell r="F250">
            <v>1.32748</v>
          </cell>
          <cell r="G250">
            <v>0.18490300000000001</v>
          </cell>
          <cell r="H250">
            <v>-2.8438500000000002</v>
          </cell>
        </row>
        <row r="251">
          <cell r="A251" t="str">
            <v>GRMZM2G076771</v>
          </cell>
          <cell r="B251" t="e">
            <v>#N/A</v>
          </cell>
          <cell r="C251" t="str">
            <v>pentatricopeptide repeat-containing protein chloroplastic-like</v>
          </cell>
          <cell r="D251" t="str">
            <v>MT0</v>
          </cell>
          <cell r="E251" t="str">
            <v>MT6</v>
          </cell>
          <cell r="F251">
            <v>14.3134</v>
          </cell>
          <cell r="G251">
            <v>29.745799999999999</v>
          </cell>
          <cell r="H251">
            <v>1.05531</v>
          </cell>
        </row>
        <row r="252">
          <cell r="A252" t="str">
            <v>GRMZM2G081032</v>
          </cell>
          <cell r="B252" t="e">
            <v>#N/A</v>
          </cell>
          <cell r="C252" t="str">
            <v>f-box protein pp2-a13-like</v>
          </cell>
          <cell r="D252" t="str">
            <v>MT0</v>
          </cell>
          <cell r="E252" t="str">
            <v>MT6</v>
          </cell>
          <cell r="F252">
            <v>4.6597900000000001</v>
          </cell>
          <cell r="G252">
            <v>1.60731</v>
          </cell>
          <cell r="H252">
            <v>-1.5356099999999999</v>
          </cell>
        </row>
        <row r="253">
          <cell r="A253" t="str">
            <v>GRMZM2G379540</v>
          </cell>
          <cell r="B253" t="str">
            <v>GO:0008137GO:0016021GO:0042773</v>
          </cell>
          <cell r="C253" t="str">
            <v>membrane protein</v>
          </cell>
          <cell r="D253" t="str">
            <v>MT0</v>
          </cell>
          <cell r="E253" t="str">
            <v>MT6</v>
          </cell>
          <cell r="F253">
            <v>3.0264099999999998</v>
          </cell>
          <cell r="G253">
            <v>6.7654800000000002</v>
          </cell>
          <cell r="H253">
            <v>1.1605799999999999</v>
          </cell>
        </row>
        <row r="254">
          <cell r="A254" t="str">
            <v>GRMZM2G070863</v>
          </cell>
          <cell r="B254" t="e">
            <v>#N/A</v>
          </cell>
          <cell r="C254" t="str">
            <v>heat shock protein sti-like</v>
          </cell>
          <cell r="D254" t="str">
            <v>MT0</v>
          </cell>
          <cell r="E254" t="str">
            <v>MT6</v>
          </cell>
          <cell r="F254">
            <v>1.1563000000000001</v>
          </cell>
          <cell r="G254">
            <v>2.5048300000000001</v>
          </cell>
          <cell r="H254">
            <v>1.1152</v>
          </cell>
        </row>
        <row r="255">
          <cell r="A255" t="str">
            <v>GRMZM2G177866</v>
          </cell>
          <cell r="B255" t="e">
            <v>#N/A</v>
          </cell>
          <cell r="C255" t="str">
            <v>uncharacterized protein LOC100277206 precursor</v>
          </cell>
          <cell r="D255" t="str">
            <v>MT0</v>
          </cell>
          <cell r="E255" t="str">
            <v>MT6</v>
          </cell>
          <cell r="F255">
            <v>0.44319599999999998</v>
          </cell>
          <cell r="G255">
            <v>2.1774300000000002</v>
          </cell>
          <cell r="H255">
            <v>2.2966099999999998</v>
          </cell>
        </row>
        <row r="256">
          <cell r="A256" t="str">
            <v>GRMZM2G081957</v>
          </cell>
          <cell r="B256" t="str">
            <v>GO:0006468GO:0004674GO:0030001GO:0004713GO:0046872GO:0005524</v>
          </cell>
          <cell r="C256" t="str">
            <v>probable receptor-like protein kinase at1g49730-like</v>
          </cell>
          <cell r="D256" t="str">
            <v>MT0</v>
          </cell>
          <cell r="E256" t="str">
            <v>MT6</v>
          </cell>
          <cell r="F256">
            <v>2.67693</v>
          </cell>
          <cell r="G256">
            <v>1.1890799999999999</v>
          </cell>
          <cell r="H256">
            <v>-1.1707399999999999</v>
          </cell>
        </row>
        <row r="257">
          <cell r="A257" t="str">
            <v>GRMZM2G122618</v>
          </cell>
          <cell r="B257" t="str">
            <v>GO:0009405GO:0009289</v>
          </cell>
          <cell r="C257" t="str">
            <v>uncharacterized membrane protein at1g06890-like</v>
          </cell>
          <cell r="D257" t="str">
            <v>MT0</v>
          </cell>
          <cell r="E257" t="str">
            <v>MT6</v>
          </cell>
          <cell r="F257">
            <v>0.690662</v>
          </cell>
          <cell r="G257">
            <v>1.5649900000000001</v>
          </cell>
          <cell r="H257">
            <v>1.1800999999999999</v>
          </cell>
        </row>
        <row r="258">
          <cell r="A258" t="str">
            <v>GRMZM2G121264</v>
          </cell>
          <cell r="B258" t="str">
            <v>GO:0004497GO:0020037GO:0009055</v>
          </cell>
          <cell r="C258" t="str">
            <v>protein</v>
          </cell>
          <cell r="D258" t="str">
            <v>MT0</v>
          </cell>
          <cell r="E258" t="str">
            <v>MT6</v>
          </cell>
          <cell r="F258">
            <v>1.4519500000000001</v>
          </cell>
          <cell r="G258">
            <v>3.48325</v>
          </cell>
          <cell r="H258">
            <v>1.26244</v>
          </cell>
        </row>
        <row r="259">
          <cell r="A259" t="str">
            <v>GRMZM2G021560</v>
          </cell>
          <cell r="B259" t="e">
            <v>#N/A</v>
          </cell>
          <cell r="C259" t="str">
            <v>flowering locus t</v>
          </cell>
          <cell r="D259" t="str">
            <v>MT0</v>
          </cell>
          <cell r="E259" t="str">
            <v>MT6</v>
          </cell>
          <cell r="F259">
            <v>1.40825</v>
          </cell>
          <cell r="G259">
            <v>3.8596699999999999</v>
          </cell>
          <cell r="H259">
            <v>1.45458</v>
          </cell>
        </row>
        <row r="260">
          <cell r="A260" t="str">
            <v>GRMZM2G347488</v>
          </cell>
          <cell r="B260" t="str">
            <v>GO:0008270</v>
          </cell>
          <cell r="C260" t="str">
            <v>uncharacterized protein LOC100275505</v>
          </cell>
          <cell r="D260" t="str">
            <v>MT0</v>
          </cell>
          <cell r="E260" t="str">
            <v>MT6</v>
          </cell>
          <cell r="F260">
            <v>0.74914700000000001</v>
          </cell>
          <cell r="G260">
            <v>1.5165900000000001</v>
          </cell>
          <cell r="H260">
            <v>1.0175099999999999</v>
          </cell>
        </row>
        <row r="261">
          <cell r="A261" t="str">
            <v>GRMZM2G126062</v>
          </cell>
          <cell r="B261" t="str">
            <v>GO:0055114GO:0016491</v>
          </cell>
          <cell r="C261" t="str">
            <v>aldose reductase</v>
          </cell>
          <cell r="D261" t="str">
            <v>MT0</v>
          </cell>
          <cell r="E261" t="str">
            <v>MT6</v>
          </cell>
          <cell r="F261">
            <v>0.81349899999999997</v>
          </cell>
          <cell r="G261">
            <v>4.5639700000000003</v>
          </cell>
          <cell r="H261">
            <v>2.4880800000000001</v>
          </cell>
        </row>
        <row r="262">
          <cell r="A262" t="str">
            <v>GRMZM2G068557</v>
          </cell>
          <cell r="B262" t="str">
            <v>GO:0050660GO:0016021GO:0015662GO:0009055GO:0006754GO:0005506GO:0016491</v>
          </cell>
          <cell r="C262" t="str">
            <v>ferric reductase-like transmembrane component</v>
          </cell>
          <cell r="D262" t="str">
            <v>MT0</v>
          </cell>
          <cell r="E262" t="str">
            <v>MT6</v>
          </cell>
          <cell r="F262">
            <v>4.7731000000000003</v>
          </cell>
          <cell r="G262">
            <v>14.983499999999999</v>
          </cell>
          <cell r="H262">
            <v>1.6503699999999999</v>
          </cell>
        </row>
        <row r="263">
          <cell r="A263" t="str">
            <v>GRMZM2G157869</v>
          </cell>
          <cell r="B263" t="e">
            <v>#N/A</v>
          </cell>
          <cell r="C263" t="str">
            <v>hypersensitive-induced response protein</v>
          </cell>
          <cell r="D263" t="str">
            <v>MT0</v>
          </cell>
          <cell r="E263" t="str">
            <v>MT6</v>
          </cell>
          <cell r="F263">
            <v>8.1935099999999998</v>
          </cell>
          <cell r="G263">
            <v>3.5608</v>
          </cell>
          <cell r="H263">
            <v>-1.20228</v>
          </cell>
        </row>
        <row r="264">
          <cell r="A264" t="str">
            <v>GRMZM2G168651</v>
          </cell>
          <cell r="B264" t="str">
            <v>GO:0005576GO:0005199</v>
          </cell>
          <cell r="C264">
            <v>0</v>
          </cell>
          <cell r="D264" t="str">
            <v>MT0</v>
          </cell>
          <cell r="E264" t="str">
            <v>MT6</v>
          </cell>
          <cell r="F264">
            <v>8.9441500000000005</v>
          </cell>
          <cell r="G264">
            <v>1.00299</v>
          </cell>
          <cell r="H264">
            <v>-3.1566299999999998</v>
          </cell>
        </row>
        <row r="265">
          <cell r="A265" t="str">
            <v>GRMZM2G119272</v>
          </cell>
          <cell r="B265" t="e">
            <v>#N/A</v>
          </cell>
          <cell r="C265" t="str">
            <v>hypothetical protein SORBIDRAFT_06g012300</v>
          </cell>
          <cell r="D265" t="str">
            <v>MT0</v>
          </cell>
          <cell r="E265" t="str">
            <v>MT6</v>
          </cell>
          <cell r="F265">
            <v>1.7890600000000001</v>
          </cell>
          <cell r="G265">
            <v>4.4913800000000004</v>
          </cell>
          <cell r="H265">
            <v>1.32795</v>
          </cell>
        </row>
        <row r="266">
          <cell r="A266" t="str">
            <v>GRMZM2G013357</v>
          </cell>
          <cell r="B266" t="str">
            <v>GO:0004497GO:0020037GO:0009055</v>
          </cell>
          <cell r="C266" t="str">
            <v>probable long-chain-alcohol o-fatty-acyltransferase 4-like</v>
          </cell>
          <cell r="D266" t="str">
            <v>MT0</v>
          </cell>
          <cell r="E266" t="str">
            <v>MT6</v>
          </cell>
          <cell r="F266">
            <v>2.4527399999999999</v>
          </cell>
          <cell r="G266">
            <v>0.96453100000000003</v>
          </cell>
          <cell r="H266">
            <v>-1.34649</v>
          </cell>
        </row>
        <row r="267">
          <cell r="A267" t="str">
            <v>GRMZM2G438243</v>
          </cell>
          <cell r="B267" t="e">
            <v>#N/A</v>
          </cell>
          <cell r="C267" t="str">
            <v>protein</v>
          </cell>
          <cell r="D267" t="str">
            <v>MT0</v>
          </cell>
          <cell r="E267" t="str">
            <v>MT6</v>
          </cell>
          <cell r="F267">
            <v>1.33785</v>
          </cell>
          <cell r="G267">
            <v>2.9873599999999998</v>
          </cell>
          <cell r="H267">
            <v>1.15896</v>
          </cell>
        </row>
        <row r="268">
          <cell r="A268" t="str">
            <v>GRMZM2G083935</v>
          </cell>
          <cell r="B268" t="str">
            <v>GO:0016758GO:0008152</v>
          </cell>
          <cell r="C268" t="str">
            <v>cytokinin-o-glucosyltransferase 2</v>
          </cell>
          <cell r="D268" t="str">
            <v>MT0</v>
          </cell>
          <cell r="E268" t="str">
            <v>MT6</v>
          </cell>
          <cell r="F268">
            <v>31.6296</v>
          </cell>
          <cell r="G268">
            <v>12.6897</v>
          </cell>
          <cell r="H268">
            <v>-1.3176099999999999</v>
          </cell>
        </row>
        <row r="269">
          <cell r="A269" t="str">
            <v>GRMZM2G079616</v>
          </cell>
          <cell r="B269" t="str">
            <v>GO:0016747</v>
          </cell>
          <cell r="C269" t="str">
            <v>10-deacetylbaccatin iii 10-o-acetyltransferase</v>
          </cell>
          <cell r="D269" t="str">
            <v>MT0</v>
          </cell>
          <cell r="E269" t="str">
            <v>MT6</v>
          </cell>
          <cell r="F269">
            <v>5.6033999999999997</v>
          </cell>
          <cell r="G269">
            <v>12.7828</v>
          </cell>
          <cell r="H269">
            <v>1.1898299999999999</v>
          </cell>
        </row>
        <row r="270">
          <cell r="A270" t="str">
            <v>GRMZM2G167613</v>
          </cell>
          <cell r="B270" t="str">
            <v>GO:0008270GO:0055114GO:0016491</v>
          </cell>
          <cell r="C270" t="str">
            <v>cinnamyl alcohol dehydrogenase-like protein</v>
          </cell>
          <cell r="D270" t="str">
            <v>MT0</v>
          </cell>
          <cell r="E270" t="str">
            <v>MT6</v>
          </cell>
          <cell r="F270">
            <v>1.31606</v>
          </cell>
          <cell r="G270">
            <v>9.2818699999999996</v>
          </cell>
          <cell r="H270">
            <v>2.81819</v>
          </cell>
        </row>
        <row r="271">
          <cell r="A271" t="str">
            <v>GRMZM2G108686</v>
          </cell>
          <cell r="B271" t="e">
            <v>#N/A</v>
          </cell>
          <cell r="C271" t="str">
            <v>uncharacterized protein LOC100381514</v>
          </cell>
          <cell r="D271" t="str">
            <v>MT0</v>
          </cell>
          <cell r="E271" t="str">
            <v>MT6</v>
          </cell>
          <cell r="F271">
            <v>1.0672200000000001</v>
          </cell>
          <cell r="G271">
            <v>2.5940799999999999</v>
          </cell>
          <cell r="H271">
            <v>1.2813699999999999</v>
          </cell>
        </row>
        <row r="272">
          <cell r="A272" t="str">
            <v>GRMZM2G106092</v>
          </cell>
          <cell r="B272" t="e">
            <v>#N/A</v>
          </cell>
          <cell r="C272">
            <v>0</v>
          </cell>
          <cell r="D272" t="str">
            <v>MT0</v>
          </cell>
          <cell r="E272" t="str">
            <v>MT6</v>
          </cell>
          <cell r="F272">
            <v>4.0306899999999999</v>
          </cell>
          <cell r="G272">
            <v>2.0152399999999999</v>
          </cell>
          <cell r="H272">
            <v>-1.00007</v>
          </cell>
        </row>
        <row r="273">
          <cell r="A273" t="str">
            <v>GRMZM2G071744</v>
          </cell>
          <cell r="B273" t="e">
            <v>#N/A</v>
          </cell>
          <cell r="C273" t="str">
            <v>uncharacterized protein LOC100192613</v>
          </cell>
          <cell r="D273" t="str">
            <v>MT0</v>
          </cell>
          <cell r="E273" t="str">
            <v>MT6</v>
          </cell>
          <cell r="F273">
            <v>0.99059399999999997</v>
          </cell>
          <cell r="G273">
            <v>0.48846400000000001</v>
          </cell>
          <cell r="H273">
            <v>-1.0200400000000001</v>
          </cell>
        </row>
        <row r="274">
          <cell r="A274" t="str">
            <v>GRMZM2G071758</v>
          </cell>
          <cell r="B274" t="e">
            <v>#N/A</v>
          </cell>
          <cell r="C274" t="str">
            <v>uncharacterized protein LOC100192613</v>
          </cell>
          <cell r="D274" t="str">
            <v>MT0</v>
          </cell>
          <cell r="E274" t="str">
            <v>MT6</v>
          </cell>
          <cell r="F274">
            <v>1.3416999999999999</v>
          </cell>
          <cell r="G274">
            <v>0.62334500000000004</v>
          </cell>
          <cell r="H274">
            <v>-1.10595</v>
          </cell>
        </row>
        <row r="275">
          <cell r="A275" t="str">
            <v>GRMZM2G085924</v>
          </cell>
          <cell r="B275" t="str">
            <v>GO:0046983GO:0008171</v>
          </cell>
          <cell r="C275" t="str">
            <v>o-methyltransferase family expressed</v>
          </cell>
          <cell r="D275" t="str">
            <v>MT0</v>
          </cell>
          <cell r="E275" t="str">
            <v>MT6</v>
          </cell>
          <cell r="F275">
            <v>82.582099999999997</v>
          </cell>
          <cell r="G275">
            <v>40.055700000000002</v>
          </cell>
          <cell r="H275">
            <v>-1.04382</v>
          </cell>
        </row>
        <row r="276">
          <cell r="A276" t="str">
            <v>GRMZM2G122038</v>
          </cell>
          <cell r="B276" t="e">
            <v>#N/A</v>
          </cell>
          <cell r="C276" t="str">
            <v>coatomer subunit beta -3</v>
          </cell>
          <cell r="D276" t="str">
            <v>MT0</v>
          </cell>
          <cell r="E276" t="str">
            <v>MT6</v>
          </cell>
          <cell r="F276">
            <v>0.508189</v>
          </cell>
          <cell r="G276">
            <v>1.01712</v>
          </cell>
          <cell r="H276">
            <v>1.0010600000000001</v>
          </cell>
        </row>
        <row r="277">
          <cell r="A277" t="str">
            <v>GRMZM2G153675</v>
          </cell>
          <cell r="B277" t="str">
            <v>GO:0003824</v>
          </cell>
          <cell r="C277" t="str">
            <v>protein phosphatase expressed</v>
          </cell>
          <cell r="D277" t="str">
            <v>MT0</v>
          </cell>
          <cell r="E277" t="str">
            <v>MT6</v>
          </cell>
          <cell r="F277">
            <v>1.28501</v>
          </cell>
          <cell r="G277">
            <v>0.480881</v>
          </cell>
          <cell r="H277">
            <v>-1.4180299999999999</v>
          </cell>
        </row>
        <row r="278">
          <cell r="A278" t="str">
            <v>GRMZM2G074687</v>
          </cell>
          <cell r="B278" t="str">
            <v>GO:0006457GO:0005509GO:0051082GO:0005783</v>
          </cell>
          <cell r="C278" t="str">
            <v>calreticulin precursor</v>
          </cell>
          <cell r="D278" t="str">
            <v>MT0</v>
          </cell>
          <cell r="E278" t="str">
            <v>MT6</v>
          </cell>
          <cell r="F278">
            <v>2.7732299999999999</v>
          </cell>
          <cell r="G278">
            <v>7.1933100000000003</v>
          </cell>
          <cell r="H278">
            <v>1.3750899999999999</v>
          </cell>
        </row>
        <row r="279">
          <cell r="A279" t="str">
            <v>GRMZM2G414252</v>
          </cell>
          <cell r="B279" t="str">
            <v>GO:0005634GO:0045449GO:0030528</v>
          </cell>
          <cell r="C279" t="str">
            <v>transcription factor hec1-like</v>
          </cell>
          <cell r="D279" t="str">
            <v>MT0</v>
          </cell>
          <cell r="E279" t="str">
            <v>MT6</v>
          </cell>
          <cell r="F279">
            <v>7.1759000000000004</v>
          </cell>
          <cell r="G279">
            <v>14.3811</v>
          </cell>
          <cell r="H279">
            <v>1.0029399999999999</v>
          </cell>
        </row>
        <row r="280">
          <cell r="A280" t="str">
            <v>GRMZM2G081529</v>
          </cell>
          <cell r="B280" t="str">
            <v>GO:0016021GO:0005840GO:0005634GO:0003677GO:0005199GO:0003735GO:0006355GO:0050825GO:0042309GO:0050826GO:0007186GO:0006412GO:0004879</v>
          </cell>
          <cell r="C280">
            <v>0</v>
          </cell>
          <cell r="D280" t="str">
            <v>MT0</v>
          </cell>
          <cell r="E280" t="str">
            <v>MT6</v>
          </cell>
          <cell r="F280">
            <v>64.375699999999995</v>
          </cell>
          <cell r="G280">
            <v>28.232199999999999</v>
          </cell>
          <cell r="H280">
            <v>-1.1891799999999999</v>
          </cell>
        </row>
        <row r="281">
          <cell r="A281" t="str">
            <v>GRMZM2G178182</v>
          </cell>
          <cell r="B281" t="str">
            <v>GO:0005634GO:0045449GO:0030528</v>
          </cell>
          <cell r="C281" t="str">
            <v>bhlh transcription factor gbof-1</v>
          </cell>
          <cell r="D281" t="str">
            <v>MT0</v>
          </cell>
          <cell r="E281" t="str">
            <v>MT6</v>
          </cell>
          <cell r="F281">
            <v>0.856738</v>
          </cell>
          <cell r="G281">
            <v>0.39103300000000002</v>
          </cell>
          <cell r="H281">
            <v>-1.1315599999999999</v>
          </cell>
        </row>
        <row r="282">
          <cell r="A282" t="str">
            <v>GRMZM2G164945</v>
          </cell>
          <cell r="B282" t="str">
            <v>GO:0004560GO:0005975</v>
          </cell>
          <cell r="C282" t="str">
            <v>alpha-l-fucosidase 1-like</v>
          </cell>
          <cell r="D282" t="str">
            <v>MT0</v>
          </cell>
          <cell r="E282" t="str">
            <v>MT6</v>
          </cell>
          <cell r="F282">
            <v>2.9475099999999999</v>
          </cell>
          <cell r="G282">
            <v>1.1464300000000001</v>
          </cell>
          <cell r="H282">
            <v>-1.3623499999999999</v>
          </cell>
        </row>
        <row r="283">
          <cell r="A283" t="str">
            <v>GRMZM2G034471</v>
          </cell>
          <cell r="B283" t="str">
            <v>GO:0004497GO:0020037GO:0009055</v>
          </cell>
          <cell r="C283" t="str">
            <v>cytochrome p450</v>
          </cell>
          <cell r="D283" t="str">
            <v>MT0</v>
          </cell>
          <cell r="E283" t="str">
            <v>MT6</v>
          </cell>
          <cell r="F283">
            <v>30.4953</v>
          </cell>
          <cell r="G283">
            <v>73.027000000000001</v>
          </cell>
          <cell r="H283">
            <v>1.2598400000000001</v>
          </cell>
        </row>
        <row r="284">
          <cell r="A284" t="str">
            <v>AC233910.1_FG003</v>
          </cell>
          <cell r="B284" t="str">
            <v>GO:0003735GO:0006412GO:0006464GO:0005840</v>
          </cell>
          <cell r="C284" t="e">
            <v>#N/A</v>
          </cell>
          <cell r="D284" t="str">
            <v>MT0</v>
          </cell>
          <cell r="E284" t="str">
            <v>MT6</v>
          </cell>
          <cell r="F284">
            <v>0.32437300000000002</v>
          </cell>
          <cell r="G284">
            <v>4.2087300000000001</v>
          </cell>
          <cell r="H284">
            <v>3.6976599999999999</v>
          </cell>
        </row>
        <row r="285">
          <cell r="A285" t="str">
            <v>GRMZM2G125850</v>
          </cell>
          <cell r="B285" t="str">
            <v>GO:0005215GO:0016021GO:0006810GO:0050825GO:0042309GO:0050826</v>
          </cell>
          <cell r="C285" t="str">
            <v>glucose-6-phosphate translocator</v>
          </cell>
          <cell r="D285" t="str">
            <v>MT0</v>
          </cell>
          <cell r="E285" t="str">
            <v>MT6</v>
          </cell>
          <cell r="F285">
            <v>1.15072</v>
          </cell>
          <cell r="G285">
            <v>4.4716699999999996</v>
          </cell>
          <cell r="H285">
            <v>1.95828</v>
          </cell>
        </row>
        <row r="286">
          <cell r="A286" t="str">
            <v>GRMZM2G087625</v>
          </cell>
          <cell r="B286" t="str">
            <v>GO:0004674GO:0006468GO:0004713GO:0005524</v>
          </cell>
          <cell r="C286" t="str">
            <v>serine threonine-specific protein kinase</v>
          </cell>
          <cell r="D286" t="str">
            <v>MT0</v>
          </cell>
          <cell r="E286" t="str">
            <v>MT6</v>
          </cell>
          <cell r="F286">
            <v>0.23902599999999999</v>
          </cell>
          <cell r="G286">
            <v>0.99580800000000003</v>
          </cell>
          <cell r="H286">
            <v>2.0587</v>
          </cell>
        </row>
        <row r="287">
          <cell r="A287" t="str">
            <v>GRMZM2G121868</v>
          </cell>
          <cell r="B287" t="str">
            <v>GO:0016021GO:0006334GO:0000786GO:0005199GO:0006355GO:0004969GO:0003677GO:0007186GO:0005634GO:0004879</v>
          </cell>
          <cell r="C287">
            <v>0</v>
          </cell>
          <cell r="D287" t="str">
            <v>MT0</v>
          </cell>
          <cell r="E287" t="str">
            <v>MT6</v>
          </cell>
          <cell r="F287">
            <v>2.5592700000000002</v>
          </cell>
          <cell r="G287">
            <v>1.02023</v>
          </cell>
          <cell r="H287">
            <v>-1.32684</v>
          </cell>
        </row>
        <row r="288">
          <cell r="A288" t="str">
            <v>GRMZM2G007324</v>
          </cell>
          <cell r="B288" t="e">
            <v>#N/A</v>
          </cell>
          <cell r="C288" t="str">
            <v>at3g19540 t31j18_4</v>
          </cell>
          <cell r="D288" t="str">
            <v>MT0</v>
          </cell>
          <cell r="E288" t="str">
            <v>MT6</v>
          </cell>
          <cell r="F288">
            <v>1.4238599999999999</v>
          </cell>
          <cell r="G288">
            <v>0.35070899999999999</v>
          </cell>
          <cell r="H288">
            <v>-2.0214699999999999</v>
          </cell>
        </row>
        <row r="289">
          <cell r="A289" t="str">
            <v>GRMZM2G064640</v>
          </cell>
          <cell r="B289" t="str">
            <v>GO:0003735GO:0019843GO:0006412GO:0015935</v>
          </cell>
          <cell r="C289" t="str">
            <v>40s ribosomal protein s9</v>
          </cell>
          <cell r="D289" t="str">
            <v>MT0</v>
          </cell>
          <cell r="E289" t="str">
            <v>MT6</v>
          </cell>
          <cell r="F289">
            <v>9.58202</v>
          </cell>
          <cell r="G289">
            <v>20.922799999999999</v>
          </cell>
          <cell r="H289">
            <v>1.1266700000000001</v>
          </cell>
        </row>
        <row r="290">
          <cell r="A290" t="str">
            <v>GRMZM2G139284</v>
          </cell>
          <cell r="B290" t="str">
            <v>GO:0003677</v>
          </cell>
          <cell r="C290" t="str">
            <v>myb transcription factor</v>
          </cell>
          <cell r="D290" t="str">
            <v>MT0</v>
          </cell>
          <cell r="E290" t="str">
            <v>MT6</v>
          </cell>
          <cell r="F290">
            <v>0.442056</v>
          </cell>
          <cell r="G290">
            <v>2.3745799999999999</v>
          </cell>
          <cell r="H290">
            <v>2.42537</v>
          </cell>
        </row>
        <row r="291">
          <cell r="A291" t="str">
            <v>GRMZM2G123212</v>
          </cell>
          <cell r="B291" t="str">
            <v>GO:0005634GO:0006355GO:0008270GO:0005515GO:0003677GO:0004879</v>
          </cell>
          <cell r="C291" t="str">
            <v>ubiquitin-protein ligase cip8</v>
          </cell>
          <cell r="D291" t="str">
            <v>MT0</v>
          </cell>
          <cell r="E291" t="str">
            <v>MT6</v>
          </cell>
          <cell r="F291">
            <v>2.3448199999999999</v>
          </cell>
          <cell r="G291">
            <v>1.1267</v>
          </cell>
          <cell r="H291">
            <v>-1.05738</v>
          </cell>
        </row>
        <row r="292">
          <cell r="A292" t="str">
            <v>GRMZM2G056329</v>
          </cell>
          <cell r="B292" t="str">
            <v>GO:0005524</v>
          </cell>
          <cell r="C292" t="str">
            <v>csplb_sorbi ame: full=casp-like protein sb05g019440</v>
          </cell>
          <cell r="D292" t="str">
            <v>MT0</v>
          </cell>
          <cell r="E292" t="str">
            <v>MT6</v>
          </cell>
          <cell r="F292">
            <v>5.0748800000000003</v>
          </cell>
          <cell r="G292">
            <v>17.291799999999999</v>
          </cell>
          <cell r="H292">
            <v>1.76864</v>
          </cell>
        </row>
        <row r="293">
          <cell r="A293" t="str">
            <v>GRMZM2G160515</v>
          </cell>
          <cell r="B293" t="e">
            <v>#N/A</v>
          </cell>
          <cell r="C293">
            <v>0</v>
          </cell>
          <cell r="D293" t="str">
            <v>MT0</v>
          </cell>
          <cell r="E293" t="str">
            <v>MT6</v>
          </cell>
          <cell r="F293">
            <v>0.92873600000000001</v>
          </cell>
          <cell r="G293">
            <v>10.382899999999999</v>
          </cell>
          <cell r="H293">
            <v>3.4827900000000001</v>
          </cell>
        </row>
        <row r="294">
          <cell r="A294" t="str">
            <v>GRMZM2G410567</v>
          </cell>
          <cell r="B294" t="e">
            <v>#N/A</v>
          </cell>
          <cell r="C294" t="str">
            <v>indole-3-acetic acid-amido synthetase</v>
          </cell>
          <cell r="D294" t="str">
            <v>MT0</v>
          </cell>
          <cell r="E294" t="str">
            <v>MT6</v>
          </cell>
          <cell r="F294">
            <v>0.96471899999999999</v>
          </cell>
          <cell r="G294">
            <v>0.21701899999999999</v>
          </cell>
          <cell r="H294">
            <v>-2.1522899999999998</v>
          </cell>
        </row>
        <row r="295">
          <cell r="A295" t="str">
            <v>GRMZM2G372068</v>
          </cell>
          <cell r="B295" t="str">
            <v>GO:0016758GO:0008152</v>
          </cell>
          <cell r="C295" t="str">
            <v>hydroquinone glucosyltransferase</v>
          </cell>
          <cell r="D295" t="str">
            <v>MT0</v>
          </cell>
          <cell r="E295" t="str">
            <v>MT6</v>
          </cell>
          <cell r="F295">
            <v>5.4963699999999998</v>
          </cell>
          <cell r="G295">
            <v>2.5935100000000002</v>
          </cell>
          <cell r="H295">
            <v>-1.0835699999999999</v>
          </cell>
        </row>
        <row r="296">
          <cell r="A296" t="str">
            <v>AC190841.2_FG007</v>
          </cell>
          <cell r="B296" t="e">
            <v>#N/A</v>
          </cell>
          <cell r="C296" t="e">
            <v>#N/A</v>
          </cell>
          <cell r="D296" t="str">
            <v>MT0</v>
          </cell>
          <cell r="E296" t="str">
            <v>MT6</v>
          </cell>
          <cell r="F296">
            <v>0</v>
          </cell>
          <cell r="G296">
            <v>1.4136899999999999</v>
          </cell>
          <cell r="H296" t="str">
            <v>inf</v>
          </cell>
        </row>
        <row r="297">
          <cell r="A297" t="str">
            <v>AC148152.3_FG005</v>
          </cell>
          <cell r="B297" t="str">
            <v>GO:0016491</v>
          </cell>
          <cell r="C297" t="e">
            <v>#N/A</v>
          </cell>
          <cell r="D297" t="str">
            <v>MT0</v>
          </cell>
          <cell r="E297" t="str">
            <v>MT6</v>
          </cell>
          <cell r="F297">
            <v>13.160600000000001</v>
          </cell>
          <cell r="G297">
            <v>5.6811800000000003</v>
          </cell>
          <cell r="H297">
            <v>-1.2119599999999999</v>
          </cell>
        </row>
        <row r="298">
          <cell r="A298" t="str">
            <v>GRMZM2G479717</v>
          </cell>
          <cell r="B298" t="e">
            <v>#N/A</v>
          </cell>
          <cell r="C298" t="str">
            <v>hypothetical protein SORBIDRAFT_02g001930</v>
          </cell>
          <cell r="D298" t="str">
            <v>MT0</v>
          </cell>
          <cell r="E298" t="str">
            <v>MT6</v>
          </cell>
          <cell r="F298">
            <v>5.7364699999999997</v>
          </cell>
          <cell r="G298">
            <v>2.3130799999999998</v>
          </cell>
          <cell r="H298">
            <v>-1.3103499999999999</v>
          </cell>
        </row>
        <row r="299">
          <cell r="A299" t="str">
            <v>GRMZM2G055313</v>
          </cell>
          <cell r="B299" t="str">
            <v>GO:0008375GO:0016020</v>
          </cell>
          <cell r="C299" t="str">
            <v>core-2 i-branching beta- -n-acetylglucosaminyltransferase family protein</v>
          </cell>
          <cell r="D299" t="str">
            <v>MT0</v>
          </cell>
          <cell r="E299" t="str">
            <v>MT6</v>
          </cell>
          <cell r="F299">
            <v>0.39851799999999998</v>
          </cell>
          <cell r="G299">
            <v>0.84970900000000005</v>
          </cell>
          <cell r="H299">
            <v>1.09232</v>
          </cell>
        </row>
        <row r="300">
          <cell r="A300" t="str">
            <v>GRMZM2G475984</v>
          </cell>
          <cell r="B300" t="str">
            <v>GO:0003700GO:0043565GO:0005634GO:0045449</v>
          </cell>
          <cell r="C300" t="str">
            <v>wrky transcription factor</v>
          </cell>
          <cell r="D300" t="str">
            <v>MT0</v>
          </cell>
          <cell r="E300" t="str">
            <v>MT6</v>
          </cell>
          <cell r="F300">
            <v>2.81433</v>
          </cell>
          <cell r="G300">
            <v>1.39819</v>
          </cell>
          <cell r="H300">
            <v>-1.0092300000000001</v>
          </cell>
        </row>
        <row r="301">
          <cell r="A301" t="str">
            <v>GRMZM5G804783</v>
          </cell>
          <cell r="B301" t="e">
            <v>#N/A</v>
          </cell>
          <cell r="C301" t="str">
            <v>mini-chromosome maintenance complex-binding</v>
          </cell>
          <cell r="D301" t="str">
            <v>MT0</v>
          </cell>
          <cell r="E301" t="str">
            <v>MT6</v>
          </cell>
          <cell r="F301">
            <v>1.1138399999999999</v>
          </cell>
          <cell r="G301">
            <v>3.1180599999999998</v>
          </cell>
          <cell r="H301">
            <v>1.4851099999999999</v>
          </cell>
        </row>
        <row r="302">
          <cell r="A302" t="str">
            <v>GRMZM2G048022</v>
          </cell>
          <cell r="B302" t="e">
            <v>#N/A</v>
          </cell>
          <cell r="C302" t="str">
            <v>hypothetical protein</v>
          </cell>
          <cell r="D302" t="str">
            <v>MT0</v>
          </cell>
          <cell r="E302" t="str">
            <v>MT6</v>
          </cell>
          <cell r="F302">
            <v>3.8254000000000001</v>
          </cell>
          <cell r="G302">
            <v>1.76312</v>
          </cell>
          <cell r="H302">
            <v>-1.11748</v>
          </cell>
        </row>
        <row r="303">
          <cell r="A303" t="str">
            <v>GRMZM2G177242</v>
          </cell>
          <cell r="B303" t="str">
            <v>GO:0050825GO:0042309GO:0050826</v>
          </cell>
          <cell r="C303" t="str">
            <v>arabinogalactan protein</v>
          </cell>
          <cell r="D303" t="str">
            <v>MT0</v>
          </cell>
          <cell r="E303" t="str">
            <v>MT6</v>
          </cell>
          <cell r="F303">
            <v>2.7991700000000002</v>
          </cell>
          <cell r="G303">
            <v>8.1217000000000006</v>
          </cell>
          <cell r="H303">
            <v>1.53678</v>
          </cell>
        </row>
        <row r="304">
          <cell r="A304" t="str">
            <v>GRMZM2G140032</v>
          </cell>
          <cell r="B304" t="str">
            <v>GO:0004969GO:0016021GO:0007186</v>
          </cell>
          <cell r="C304" t="str">
            <v>uncharacterized protein LOC100383606</v>
          </cell>
          <cell r="D304" t="str">
            <v>MT0</v>
          </cell>
          <cell r="E304" t="str">
            <v>MT6</v>
          </cell>
          <cell r="F304">
            <v>8.7213799999999999</v>
          </cell>
          <cell r="G304">
            <v>2.1347</v>
          </cell>
          <cell r="H304">
            <v>-2.0305200000000001</v>
          </cell>
        </row>
        <row r="305">
          <cell r="A305" t="str">
            <v>AC215260.3_FG003</v>
          </cell>
          <cell r="B305" t="str">
            <v>GO:0016747</v>
          </cell>
          <cell r="C305" t="e">
            <v>#N/A</v>
          </cell>
          <cell r="D305" t="str">
            <v>MT0</v>
          </cell>
          <cell r="E305" t="str">
            <v>MT6</v>
          </cell>
          <cell r="F305">
            <v>2.82795</v>
          </cell>
          <cell r="G305">
            <v>5.9757800000000003</v>
          </cell>
          <cell r="H305">
            <v>1.0793699999999999</v>
          </cell>
        </row>
        <row r="306">
          <cell r="A306" t="str">
            <v>GRMZM2G177991</v>
          </cell>
          <cell r="B306" t="e">
            <v>#N/A</v>
          </cell>
          <cell r="C306">
            <v>0</v>
          </cell>
          <cell r="D306" t="str">
            <v>MT0</v>
          </cell>
          <cell r="E306" t="str">
            <v>MT6</v>
          </cell>
          <cell r="F306">
            <v>1.82996</v>
          </cell>
          <cell r="G306">
            <v>7.3208299999999999</v>
          </cell>
          <cell r="H306">
            <v>2.0002</v>
          </cell>
        </row>
        <row r="307">
          <cell r="A307" t="str">
            <v>GRMZM2G422782</v>
          </cell>
          <cell r="B307" t="e">
            <v>#N/A</v>
          </cell>
          <cell r="C307" t="str">
            <v>uncharacterized protein LOC100272680</v>
          </cell>
          <cell r="D307" t="str">
            <v>MT0</v>
          </cell>
          <cell r="E307" t="str">
            <v>MT6</v>
          </cell>
          <cell r="F307">
            <v>1.10083</v>
          </cell>
          <cell r="G307">
            <v>0.49810199999999999</v>
          </cell>
          <cell r="H307">
            <v>-1.14408</v>
          </cell>
        </row>
        <row r="308">
          <cell r="A308" t="str">
            <v>GRMZM2G081521</v>
          </cell>
          <cell r="B308" t="e">
            <v>#N/A</v>
          </cell>
          <cell r="C308" t="str">
            <v>protein</v>
          </cell>
          <cell r="D308" t="str">
            <v>MT0</v>
          </cell>
          <cell r="E308" t="str">
            <v>MT6</v>
          </cell>
          <cell r="F308">
            <v>1.95821</v>
          </cell>
          <cell r="G308">
            <v>4.2521399999999998</v>
          </cell>
          <cell r="H308">
            <v>1.1186499999999999</v>
          </cell>
        </row>
        <row r="309">
          <cell r="A309" t="str">
            <v>GRMZM2G108847</v>
          </cell>
          <cell r="B309" t="str">
            <v>GO:0004867</v>
          </cell>
          <cell r="C309" t="str">
            <v>serine-type endopeptidase inhibitor</v>
          </cell>
          <cell r="D309" t="str">
            <v>MT0</v>
          </cell>
          <cell r="E309" t="str">
            <v>MT6</v>
          </cell>
          <cell r="F309">
            <v>0</v>
          </cell>
          <cell r="G309">
            <v>2.3992900000000001</v>
          </cell>
          <cell r="H309" t="str">
            <v>inf</v>
          </cell>
        </row>
        <row r="310">
          <cell r="A310" t="str">
            <v>GRMZM5G801307</v>
          </cell>
          <cell r="B310" t="e">
            <v>#N/A</v>
          </cell>
          <cell r="C310" t="str">
            <v>uncharacterized protein LOC100275640 precursor</v>
          </cell>
          <cell r="D310" t="str">
            <v>MT0</v>
          </cell>
          <cell r="E310" t="str">
            <v>MT6</v>
          </cell>
          <cell r="F310">
            <v>2.80626</v>
          </cell>
          <cell r="G310">
            <v>6.9825200000000001</v>
          </cell>
          <cell r="H310">
            <v>1.3150999999999999</v>
          </cell>
        </row>
        <row r="311">
          <cell r="A311" t="str">
            <v>GRMZM2G085504</v>
          </cell>
          <cell r="B311" t="str">
            <v>GO:0005507GO:0050825GO:0050826GO:0042309GO:0009055</v>
          </cell>
          <cell r="C311" t="str">
            <v>early nodulin-like protein 1 precursor</v>
          </cell>
          <cell r="D311" t="str">
            <v>MT0</v>
          </cell>
          <cell r="E311" t="str">
            <v>MT6</v>
          </cell>
          <cell r="F311">
            <v>4.6430300000000004</v>
          </cell>
          <cell r="G311">
            <v>2.298</v>
          </cell>
          <cell r="H311">
            <v>-1.0146900000000001</v>
          </cell>
        </row>
        <row r="312">
          <cell r="A312" t="str">
            <v>GRMZM2G001451</v>
          </cell>
          <cell r="B312" t="e">
            <v>#N/A</v>
          </cell>
          <cell r="C312" t="str">
            <v>uncharacterized protein LOC100274211</v>
          </cell>
          <cell r="D312" t="str">
            <v>MT0</v>
          </cell>
          <cell r="E312" t="str">
            <v>MT6</v>
          </cell>
          <cell r="F312">
            <v>0.31079000000000001</v>
          </cell>
          <cell r="G312">
            <v>0.84506700000000001</v>
          </cell>
          <cell r="H312">
            <v>1.44313</v>
          </cell>
        </row>
        <row r="313">
          <cell r="A313" t="str">
            <v>GRMZM2G454056</v>
          </cell>
          <cell r="B313" t="e">
            <v>#N/A</v>
          </cell>
          <cell r="C313" t="str">
            <v>uncharacterized protein LOC100274968</v>
          </cell>
          <cell r="D313" t="str">
            <v>MT0</v>
          </cell>
          <cell r="E313" t="str">
            <v>MT6</v>
          </cell>
          <cell r="F313">
            <v>0.82890799999999998</v>
          </cell>
          <cell r="G313">
            <v>3.9839600000000002</v>
          </cell>
          <cell r="H313">
            <v>2.26492</v>
          </cell>
        </row>
        <row r="314">
          <cell r="A314" t="str">
            <v>GRMZM2G136106</v>
          </cell>
          <cell r="B314" t="str">
            <v>GO:0042545GO:0005618GO:0030599GO:0050825GO:0042309GO:0050826GO:0004857</v>
          </cell>
          <cell r="C314" t="str">
            <v>probable pectinesterase pectinesterase inhibitor 40-like</v>
          </cell>
          <cell r="D314" t="str">
            <v>MT0</v>
          </cell>
          <cell r="E314" t="str">
            <v>MT6</v>
          </cell>
          <cell r="F314">
            <v>1.6583600000000001</v>
          </cell>
          <cell r="G314">
            <v>0.65236799999999995</v>
          </cell>
          <cell r="H314">
            <v>-1.3460000000000001</v>
          </cell>
        </row>
        <row r="315">
          <cell r="A315" t="str">
            <v>GRMZM2G424577</v>
          </cell>
          <cell r="B315" t="str">
            <v>GO:0006508GO:0004177</v>
          </cell>
          <cell r="C315" t="str">
            <v>esterase lipase thioesterase family protein</v>
          </cell>
          <cell r="D315" t="str">
            <v>MT0</v>
          </cell>
          <cell r="E315" t="str">
            <v>MT6</v>
          </cell>
          <cell r="F315">
            <v>4.4337900000000001</v>
          </cell>
          <cell r="G315">
            <v>8.9348399999999994</v>
          </cell>
          <cell r="H315">
            <v>1.0108999999999999</v>
          </cell>
        </row>
        <row r="316">
          <cell r="A316" t="str">
            <v>GRMZM2G587231</v>
          </cell>
          <cell r="B316" t="e">
            <v>#N/A</v>
          </cell>
          <cell r="C316" t="str">
            <v>uncharacterized protein LOC100383178</v>
          </cell>
          <cell r="D316" t="str">
            <v>MT0</v>
          </cell>
          <cell r="E316" t="str">
            <v>MT6</v>
          </cell>
          <cell r="F316">
            <v>36.6633</v>
          </cell>
          <cell r="G316">
            <v>17.331499999999998</v>
          </cell>
          <cell r="H316">
            <v>-1.08094</v>
          </cell>
        </row>
        <row r="317">
          <cell r="A317" t="str">
            <v>GRMZM2G020423</v>
          </cell>
          <cell r="B317" t="e">
            <v>#N/A</v>
          </cell>
          <cell r="C317" t="str">
            <v>jasmonate-induced protein</v>
          </cell>
          <cell r="D317" t="str">
            <v>MT0</v>
          </cell>
          <cell r="E317" t="str">
            <v>MT6</v>
          </cell>
          <cell r="F317">
            <v>1.60328</v>
          </cell>
          <cell r="G317">
            <v>3.8715099999999998</v>
          </cell>
          <cell r="H317">
            <v>1.2718700000000001</v>
          </cell>
        </row>
        <row r="318">
          <cell r="A318" t="str">
            <v>GRMZM2G031167</v>
          </cell>
          <cell r="B318" t="e">
            <v>#N/A</v>
          </cell>
          <cell r="C318" t="str">
            <v>amino acid expressed</v>
          </cell>
          <cell r="D318" t="str">
            <v>MT0</v>
          </cell>
          <cell r="E318" t="str">
            <v>MT6</v>
          </cell>
          <cell r="F318">
            <v>0.70577100000000004</v>
          </cell>
          <cell r="G318">
            <v>1.50701</v>
          </cell>
          <cell r="H318">
            <v>1.0944100000000001</v>
          </cell>
        </row>
        <row r="319">
          <cell r="A319" t="str">
            <v>GRMZM2G127789</v>
          </cell>
          <cell r="B319" t="str">
            <v>GO:0005737GO:0004364GO:0008152</v>
          </cell>
          <cell r="C319" t="str">
            <v>glutathione s-transferase</v>
          </cell>
          <cell r="D319" t="str">
            <v>MT0</v>
          </cell>
          <cell r="E319" t="str">
            <v>MT6</v>
          </cell>
          <cell r="F319">
            <v>5.3833000000000002</v>
          </cell>
          <cell r="G319">
            <v>12.045999999999999</v>
          </cell>
          <cell r="H319">
            <v>1.1619900000000001</v>
          </cell>
        </row>
        <row r="320">
          <cell r="A320" t="str">
            <v>GRMZM2G065585</v>
          </cell>
          <cell r="B320" t="str">
            <v>GO:0016020GO:0005975GO:0004553</v>
          </cell>
          <cell r="C320" t="str">
            <v>beta glucanase</v>
          </cell>
          <cell r="D320" t="str">
            <v>MT0</v>
          </cell>
          <cell r="E320" t="str">
            <v>MT6</v>
          </cell>
          <cell r="F320">
            <v>4.2021199999999999</v>
          </cell>
          <cell r="G320">
            <v>53.833199999999998</v>
          </cell>
          <cell r="H320">
            <v>3.6793100000000001</v>
          </cell>
        </row>
        <row r="321">
          <cell r="A321" t="str">
            <v>GRMZM2G329002</v>
          </cell>
          <cell r="B321" t="e">
            <v>#N/A</v>
          </cell>
          <cell r="C321" t="str">
            <v>pectinacetylesterase precursor</v>
          </cell>
          <cell r="D321" t="str">
            <v>MT0</v>
          </cell>
          <cell r="E321" t="str">
            <v>MT6</v>
          </cell>
          <cell r="F321">
            <v>1.3965799999999999</v>
          </cell>
          <cell r="G321">
            <v>4.1144100000000003</v>
          </cell>
          <cell r="H321">
            <v>1.5587899999999999</v>
          </cell>
        </row>
        <row r="322">
          <cell r="A322" t="str">
            <v>GRMZM2G329069</v>
          </cell>
          <cell r="B322" t="e">
            <v>#N/A</v>
          </cell>
          <cell r="C322" t="str">
            <v>uncharacterized protein LOC100279141</v>
          </cell>
          <cell r="D322" t="str">
            <v>MT0</v>
          </cell>
          <cell r="E322" t="str">
            <v>MT6</v>
          </cell>
          <cell r="F322">
            <v>24.292999999999999</v>
          </cell>
          <cell r="G322">
            <v>9.7067899999999998</v>
          </cell>
          <cell r="H322">
            <v>-1.32348</v>
          </cell>
        </row>
        <row r="323">
          <cell r="A323" t="str">
            <v>GRMZM2G111189</v>
          </cell>
          <cell r="B323" t="e">
            <v>#N/A</v>
          </cell>
          <cell r="C323" t="str">
            <v>uncharacterized protein LOC100383286</v>
          </cell>
          <cell r="D323" t="str">
            <v>MT0</v>
          </cell>
          <cell r="E323" t="str">
            <v>MT6</v>
          </cell>
          <cell r="F323">
            <v>0.92048600000000003</v>
          </cell>
          <cell r="G323">
            <v>0.33766299999999999</v>
          </cell>
          <cell r="H323">
            <v>-1.4468099999999999</v>
          </cell>
        </row>
        <row r="324">
          <cell r="A324" t="str">
            <v>GRMZM2G128928</v>
          </cell>
          <cell r="B324" t="e">
            <v>#N/A</v>
          </cell>
          <cell r="C324">
            <v>0</v>
          </cell>
          <cell r="D324" t="str">
            <v>MT0</v>
          </cell>
          <cell r="E324" t="str">
            <v>MT6</v>
          </cell>
          <cell r="F324">
            <v>6.8853600000000004</v>
          </cell>
          <cell r="G324">
            <v>2.11782</v>
          </cell>
          <cell r="H324">
            <v>-1.70095</v>
          </cell>
        </row>
        <row r="325">
          <cell r="A325" t="str">
            <v>GRMZM2G054807</v>
          </cell>
          <cell r="B325" t="e">
            <v>#N/A</v>
          </cell>
          <cell r="C325" t="str">
            <v>avr9 cf-9 rapidly elicited protein 137</v>
          </cell>
          <cell r="D325" t="str">
            <v>MT0</v>
          </cell>
          <cell r="E325" t="str">
            <v>MT6</v>
          </cell>
          <cell r="F325">
            <v>1.27841</v>
          </cell>
          <cell r="G325">
            <v>2.6186500000000001</v>
          </cell>
          <cell r="H325">
            <v>1.03447</v>
          </cell>
        </row>
        <row r="326">
          <cell r="A326" t="str">
            <v>AC204515.4_FG006</v>
          </cell>
          <cell r="B326" t="str">
            <v>GO:0016021GO:0007186GO:0004930</v>
          </cell>
          <cell r="C326" t="e">
            <v>#N/A</v>
          </cell>
          <cell r="D326" t="str">
            <v>MT0</v>
          </cell>
          <cell r="E326" t="str">
            <v>MT6</v>
          </cell>
          <cell r="F326">
            <v>0.15182799999999999</v>
          </cell>
          <cell r="G326">
            <v>0.94114600000000004</v>
          </cell>
          <cell r="H326">
            <v>2.63198</v>
          </cell>
        </row>
        <row r="327">
          <cell r="A327" t="str">
            <v>GRMZM2G321839</v>
          </cell>
          <cell r="B327" t="str">
            <v>GO:0004601GO:0006979GO:0020037GO:0009055</v>
          </cell>
          <cell r="C327" t="str">
            <v>peroxidase 56 precursor</v>
          </cell>
          <cell r="D327" t="str">
            <v>MT0</v>
          </cell>
          <cell r="E327" t="str">
            <v>MT6</v>
          </cell>
          <cell r="F327">
            <v>1.4579800000000001</v>
          </cell>
          <cell r="G327">
            <v>3.7193299999999998</v>
          </cell>
          <cell r="H327">
            <v>1.35107</v>
          </cell>
        </row>
        <row r="328">
          <cell r="A328" t="str">
            <v>GRMZM2G016640</v>
          </cell>
          <cell r="B328" t="str">
            <v>GO:0005759</v>
          </cell>
          <cell r="C328" t="str">
            <v>protein</v>
          </cell>
          <cell r="D328" t="str">
            <v>MT0</v>
          </cell>
          <cell r="E328" t="str">
            <v>MT6</v>
          </cell>
          <cell r="F328">
            <v>1.4422299999999999</v>
          </cell>
          <cell r="G328">
            <v>3.0524200000000001</v>
          </cell>
          <cell r="H328">
            <v>1.08165</v>
          </cell>
        </row>
        <row r="329">
          <cell r="A329" t="str">
            <v>AC207628.4_FG011</v>
          </cell>
          <cell r="B329" t="e">
            <v>#N/A</v>
          </cell>
          <cell r="C329" t="e">
            <v>#N/A</v>
          </cell>
          <cell r="D329" t="str">
            <v>MT0</v>
          </cell>
          <cell r="E329" t="str">
            <v>MT6</v>
          </cell>
          <cell r="F329">
            <v>1.74356</v>
          </cell>
          <cell r="G329">
            <v>0.84015200000000001</v>
          </cell>
          <cell r="H329">
            <v>-1.05332</v>
          </cell>
        </row>
        <row r="330">
          <cell r="A330" t="str">
            <v>GRMZM2G091540</v>
          </cell>
          <cell r="B330" t="str">
            <v>GO:0006508GO:0046983GO:0016020GO:0051260GO:0008237</v>
          </cell>
          <cell r="C330" t="str">
            <v>iaa-amino acid hydrolase ilr1-like 4 precursor</v>
          </cell>
          <cell r="D330" t="str">
            <v>MT0</v>
          </cell>
          <cell r="E330" t="str">
            <v>MT6</v>
          </cell>
          <cell r="F330">
            <v>0.24396300000000001</v>
          </cell>
          <cell r="G330">
            <v>0.78491599999999995</v>
          </cell>
          <cell r="H330">
            <v>1.68588</v>
          </cell>
        </row>
        <row r="331">
          <cell r="A331" t="str">
            <v>GRMZM2G056388</v>
          </cell>
          <cell r="B331" t="e">
            <v>#N/A</v>
          </cell>
          <cell r="C331" t="str">
            <v>glutathione s-transferase gstu6</v>
          </cell>
          <cell r="D331" t="str">
            <v>MT0</v>
          </cell>
          <cell r="E331" t="str">
            <v>MT6</v>
          </cell>
          <cell r="F331">
            <v>0.50812999999999997</v>
          </cell>
          <cell r="G331">
            <v>1.7610600000000001</v>
          </cell>
          <cell r="H331">
            <v>1.7931699999999999</v>
          </cell>
        </row>
        <row r="332">
          <cell r="A332" t="str">
            <v>AC233945.1_FG003</v>
          </cell>
          <cell r="B332" t="e">
            <v>#N/A</v>
          </cell>
          <cell r="C332" t="e">
            <v>#N/A</v>
          </cell>
          <cell r="D332" t="str">
            <v>MT0</v>
          </cell>
          <cell r="E332" t="str">
            <v>MT6</v>
          </cell>
          <cell r="F332">
            <v>0.65798100000000004</v>
          </cell>
          <cell r="G332">
            <v>1.5885400000000001</v>
          </cell>
          <cell r="H332">
            <v>1.27159</v>
          </cell>
        </row>
        <row r="333">
          <cell r="A333" t="str">
            <v>GRMZM2G077375</v>
          </cell>
          <cell r="B333" t="e">
            <v>#N/A</v>
          </cell>
          <cell r="C333" t="str">
            <v>o-acyltransferase wsd1-like isoform 1</v>
          </cell>
          <cell r="D333" t="str">
            <v>MT0</v>
          </cell>
          <cell r="E333" t="str">
            <v>MT6</v>
          </cell>
          <cell r="F333">
            <v>1.16214</v>
          </cell>
          <cell r="G333">
            <v>3.27102</v>
          </cell>
          <cell r="H333">
            <v>1.4929600000000001</v>
          </cell>
        </row>
        <row r="334">
          <cell r="A334" t="str">
            <v>GRMZM2G125571</v>
          </cell>
          <cell r="B334" t="e">
            <v>#N/A</v>
          </cell>
          <cell r="C334" t="str">
            <v>l-type lectin-domain containing receptor kinase -like</v>
          </cell>
          <cell r="D334" t="str">
            <v>MT0</v>
          </cell>
          <cell r="E334" t="str">
            <v>MT6</v>
          </cell>
          <cell r="F334">
            <v>2.0567600000000001</v>
          </cell>
          <cell r="G334">
            <v>5.8240299999999996</v>
          </cell>
          <cell r="H334">
            <v>1.5016499999999999</v>
          </cell>
        </row>
        <row r="335">
          <cell r="A335" t="str">
            <v>GRMZM2G097706</v>
          </cell>
          <cell r="B335" t="str">
            <v>GO:0008152GO:0016491</v>
          </cell>
          <cell r="C335" t="str">
            <v>aldehyde dehydrogenase family 2 member c4-like</v>
          </cell>
          <cell r="D335" t="str">
            <v>MT0</v>
          </cell>
          <cell r="E335" t="str">
            <v>MT6</v>
          </cell>
          <cell r="F335">
            <v>2.0226899999999999</v>
          </cell>
          <cell r="G335">
            <v>7.0304599999999997</v>
          </cell>
          <cell r="H335">
            <v>1.79735</v>
          </cell>
        </row>
        <row r="336">
          <cell r="A336" t="str">
            <v>GRMZM2G034985</v>
          </cell>
          <cell r="B336" t="e">
            <v>#N/A</v>
          </cell>
          <cell r="C336" t="str">
            <v>unknown</v>
          </cell>
          <cell r="D336" t="str">
            <v>MT0</v>
          </cell>
          <cell r="E336" t="str">
            <v>MT6</v>
          </cell>
          <cell r="F336">
            <v>28.128</v>
          </cell>
          <cell r="G336">
            <v>8.7301199999999994</v>
          </cell>
          <cell r="H336">
            <v>-1.6879299999999999</v>
          </cell>
        </row>
        <row r="337">
          <cell r="A337" t="str">
            <v>GRMZM2G070797</v>
          </cell>
          <cell r="B337" t="str">
            <v>GO:0008270GO:0005622</v>
          </cell>
          <cell r="C337" t="str">
            <v>zinc finger protein</v>
          </cell>
          <cell r="D337" t="str">
            <v>MT0</v>
          </cell>
          <cell r="E337" t="str">
            <v>MT6</v>
          </cell>
          <cell r="F337">
            <v>6.1191800000000001</v>
          </cell>
          <cell r="G337">
            <v>14.524900000000001</v>
          </cell>
          <cell r="H337">
            <v>1.24712</v>
          </cell>
        </row>
        <row r="338">
          <cell r="A338" t="str">
            <v>GRMZM2G169951</v>
          </cell>
          <cell r="B338" t="str">
            <v>GO:0016021</v>
          </cell>
          <cell r="C338" t="str">
            <v>s-type anion channel slah3-like</v>
          </cell>
          <cell r="D338" t="str">
            <v>MT0</v>
          </cell>
          <cell r="E338" t="str">
            <v>MT6</v>
          </cell>
          <cell r="F338">
            <v>0.63944900000000005</v>
          </cell>
          <cell r="G338">
            <v>1.9082399999999999</v>
          </cell>
          <cell r="H338">
            <v>1.57734</v>
          </cell>
        </row>
        <row r="339">
          <cell r="A339" t="str">
            <v>GRMZM2G176489</v>
          </cell>
          <cell r="B339" t="str">
            <v>GO:0003700GO:0043565GO:0005634GO:0045449</v>
          </cell>
          <cell r="C339" t="str">
            <v>probable wrky transcription factor 72-like</v>
          </cell>
          <cell r="D339" t="str">
            <v>MT0</v>
          </cell>
          <cell r="E339" t="str">
            <v>MT6</v>
          </cell>
          <cell r="F339">
            <v>0.19380500000000001</v>
          </cell>
          <cell r="G339">
            <v>0.77738600000000002</v>
          </cell>
          <cell r="H339">
            <v>2.0040200000000001</v>
          </cell>
        </row>
        <row r="340">
          <cell r="A340" t="str">
            <v>GRMZM2G024551</v>
          </cell>
          <cell r="B340" t="e">
            <v>#N/A</v>
          </cell>
          <cell r="C340" t="str">
            <v>uncharacterized protein LOC100277712</v>
          </cell>
          <cell r="D340" t="str">
            <v>MT0</v>
          </cell>
          <cell r="E340" t="str">
            <v>MT6</v>
          </cell>
          <cell r="F340">
            <v>47.367199999999997</v>
          </cell>
          <cell r="G340">
            <v>19.433199999999999</v>
          </cell>
          <cell r="H340">
            <v>-1.2853600000000001</v>
          </cell>
        </row>
        <row r="341">
          <cell r="A341" t="str">
            <v>GRMZM2G126749</v>
          </cell>
          <cell r="B341" t="e">
            <v>#N/A</v>
          </cell>
          <cell r="C341" t="str">
            <v>hypothetical protein SORBIDRAFT_03g007000</v>
          </cell>
          <cell r="D341" t="str">
            <v>MT0</v>
          </cell>
          <cell r="E341" t="str">
            <v>MT6</v>
          </cell>
          <cell r="F341">
            <v>1.2925</v>
          </cell>
          <cell r="G341">
            <v>2.9485399999999999</v>
          </cell>
          <cell r="H341">
            <v>1.1898299999999999</v>
          </cell>
        </row>
        <row r="342">
          <cell r="A342" t="str">
            <v>GRMZM2G378452</v>
          </cell>
          <cell r="B342" t="str">
            <v>GO:0006468GO:0004674GO:0050825GO:0004713GO:0042309GO:0050826GO:0005524</v>
          </cell>
          <cell r="C342" t="str">
            <v>protein</v>
          </cell>
          <cell r="D342" t="str">
            <v>MT0</v>
          </cell>
          <cell r="E342" t="str">
            <v>MT6</v>
          </cell>
          <cell r="F342">
            <v>1.02538</v>
          </cell>
          <cell r="G342">
            <v>2.6231900000000001</v>
          </cell>
          <cell r="H342">
            <v>1.35517</v>
          </cell>
        </row>
        <row r="343">
          <cell r="A343" t="str">
            <v>GRMZM2G340342</v>
          </cell>
          <cell r="B343" t="e">
            <v>#N/A</v>
          </cell>
          <cell r="C343" t="str">
            <v>cyclin-like protein</v>
          </cell>
          <cell r="D343" t="str">
            <v>MT0</v>
          </cell>
          <cell r="E343" t="str">
            <v>MT6</v>
          </cell>
          <cell r="F343">
            <v>0.56391100000000005</v>
          </cell>
          <cell r="G343">
            <v>1.3731100000000001</v>
          </cell>
          <cell r="H343">
            <v>1.2839100000000001</v>
          </cell>
        </row>
        <row r="344">
          <cell r="A344" t="str">
            <v>GRMZM5G883759</v>
          </cell>
          <cell r="B344" t="e">
            <v>#N/A</v>
          </cell>
          <cell r="C344" t="str">
            <v>uncharacterized protein LOC100275537 precursor</v>
          </cell>
          <cell r="D344" t="str">
            <v>MT0</v>
          </cell>
          <cell r="E344" t="str">
            <v>MT6</v>
          </cell>
          <cell r="F344">
            <v>2.9764499999999998</v>
          </cell>
          <cell r="G344">
            <v>5.9624499999999996</v>
          </cell>
          <cell r="H344">
            <v>1.00231</v>
          </cell>
        </row>
        <row r="345">
          <cell r="A345" t="str">
            <v>GRMZM2G402977</v>
          </cell>
          <cell r="B345" t="e">
            <v>#N/A</v>
          </cell>
          <cell r="C345" t="str">
            <v>uncharacterized protein LOC100278114</v>
          </cell>
          <cell r="D345" t="str">
            <v>MT0</v>
          </cell>
          <cell r="E345" t="str">
            <v>MT6</v>
          </cell>
          <cell r="F345">
            <v>1.1751799999999999</v>
          </cell>
          <cell r="G345">
            <v>3.1450200000000001</v>
          </cell>
          <cell r="H345">
            <v>1.4201900000000001</v>
          </cell>
        </row>
        <row r="346">
          <cell r="A346" t="str">
            <v>GRMZM2G144648</v>
          </cell>
          <cell r="B346" t="str">
            <v>GO:0004601GO:0006979GO:0020037GO:0009055</v>
          </cell>
          <cell r="C346" t="str">
            <v>cationic peroxidase isozyme 40k precursor</v>
          </cell>
          <cell r="D346" t="str">
            <v>MT0</v>
          </cell>
          <cell r="E346" t="str">
            <v>MT6</v>
          </cell>
          <cell r="F346">
            <v>6.7696800000000001</v>
          </cell>
          <cell r="G346">
            <v>2.5798299999999998</v>
          </cell>
          <cell r="H346">
            <v>-1.39181</v>
          </cell>
        </row>
        <row r="347">
          <cell r="A347" t="str">
            <v>GRMZM2G038003</v>
          </cell>
          <cell r="B347" t="e">
            <v>#N/A</v>
          </cell>
          <cell r="C347" t="str">
            <v>hypothetical protein</v>
          </cell>
          <cell r="D347" t="str">
            <v>MT0</v>
          </cell>
          <cell r="E347" t="str">
            <v>MT6</v>
          </cell>
          <cell r="F347">
            <v>2.2065600000000001</v>
          </cell>
          <cell r="G347">
            <v>4.4463699999999999</v>
          </cell>
          <cell r="H347">
            <v>1.0108200000000001</v>
          </cell>
        </row>
        <row r="348">
          <cell r="A348" t="str">
            <v>GRMZM2G061527</v>
          </cell>
          <cell r="B348" t="str">
            <v>GO:0005515</v>
          </cell>
          <cell r="C348" t="str">
            <v>probable lrr receptor-like serine threonine-protein kinase at1g74360-like</v>
          </cell>
          <cell r="D348" t="str">
            <v>MT0</v>
          </cell>
          <cell r="E348" t="str">
            <v>MT6</v>
          </cell>
          <cell r="F348">
            <v>0.429566</v>
          </cell>
          <cell r="G348">
            <v>0.87963400000000003</v>
          </cell>
          <cell r="H348">
            <v>1.03403</v>
          </cell>
        </row>
        <row r="349">
          <cell r="A349" t="str">
            <v>GRMZM2G018793</v>
          </cell>
          <cell r="B349" t="str">
            <v>GO:0003824</v>
          </cell>
          <cell r="C349" t="str">
            <v>epoxide hydrolase 2</v>
          </cell>
          <cell r="D349" t="str">
            <v>MT0</v>
          </cell>
          <cell r="E349" t="str">
            <v>MT6</v>
          </cell>
          <cell r="F349">
            <v>0.98056699999999997</v>
          </cell>
          <cell r="G349">
            <v>1.9883200000000001</v>
          </cell>
          <cell r="H349">
            <v>1.01986</v>
          </cell>
        </row>
        <row r="350">
          <cell r="A350" t="str">
            <v>GRMZM2G028665</v>
          </cell>
          <cell r="B350" t="str">
            <v>GO:0004518GO:0003677GO:0006289</v>
          </cell>
          <cell r="C350" t="str">
            <v>wound inducive gene</v>
          </cell>
          <cell r="D350" t="str">
            <v>MT0</v>
          </cell>
          <cell r="E350" t="str">
            <v>MT6</v>
          </cell>
          <cell r="F350">
            <v>392.82499999999999</v>
          </cell>
          <cell r="G350">
            <v>180.10599999999999</v>
          </cell>
          <cell r="H350">
            <v>-1.12504</v>
          </cell>
        </row>
        <row r="351">
          <cell r="A351" t="str">
            <v>GRMZM2G368126</v>
          </cell>
          <cell r="B351" t="e">
            <v>#N/A</v>
          </cell>
          <cell r="C351" t="str">
            <v>protein</v>
          </cell>
          <cell r="D351" t="str">
            <v>MT0</v>
          </cell>
          <cell r="E351" t="str">
            <v>MT6</v>
          </cell>
          <cell r="F351">
            <v>0.32757199999999997</v>
          </cell>
          <cell r="G351">
            <v>0.82906500000000005</v>
          </cell>
          <cell r="H351">
            <v>1.3396699999999999</v>
          </cell>
        </row>
        <row r="352">
          <cell r="A352" t="str">
            <v>GRMZM2G139786</v>
          </cell>
          <cell r="B352" t="e">
            <v>#N/A</v>
          </cell>
          <cell r="C352" t="str">
            <v>hypothetical protein SORBIDRAFT_08g018350</v>
          </cell>
          <cell r="D352" t="str">
            <v>MT0</v>
          </cell>
          <cell r="E352" t="str">
            <v>MT6</v>
          </cell>
          <cell r="F352">
            <v>60.847099999999998</v>
          </cell>
          <cell r="G352">
            <v>224.78800000000001</v>
          </cell>
          <cell r="H352">
            <v>1.88531</v>
          </cell>
        </row>
        <row r="353">
          <cell r="A353" t="str">
            <v>AC206425.3_FG002</v>
          </cell>
          <cell r="B353" t="e">
            <v>#N/A</v>
          </cell>
          <cell r="C353" t="e">
            <v>#N/A</v>
          </cell>
          <cell r="D353" t="str">
            <v>MT0</v>
          </cell>
          <cell r="E353" t="str">
            <v>MT6</v>
          </cell>
          <cell r="F353">
            <v>2.8765800000000001</v>
          </cell>
          <cell r="G353">
            <v>7.26668</v>
          </cell>
          <cell r="H353">
            <v>1.33694</v>
          </cell>
        </row>
        <row r="354">
          <cell r="A354" t="str">
            <v>GRMZM2G076946</v>
          </cell>
          <cell r="B354" t="str">
            <v>GO:0005975GO:0004553</v>
          </cell>
          <cell r="C354" t="str">
            <v>non-cyanogenic beta-glucosidase precursor</v>
          </cell>
          <cell r="D354" t="str">
            <v>MT0</v>
          </cell>
          <cell r="E354" t="str">
            <v>MT6</v>
          </cell>
          <cell r="F354">
            <v>0.99762700000000004</v>
          </cell>
          <cell r="G354">
            <v>0.23108200000000001</v>
          </cell>
          <cell r="H354">
            <v>-2.1101000000000001</v>
          </cell>
        </row>
        <row r="355">
          <cell r="A355" t="str">
            <v>GRMZM2G065088</v>
          </cell>
          <cell r="B355" t="str">
            <v>GO:0048046GO:0030145GO:0045735</v>
          </cell>
          <cell r="C355" t="str">
            <v>rhicadhesin receptor precursor</v>
          </cell>
          <cell r="D355" t="str">
            <v>MT0</v>
          </cell>
          <cell r="E355" t="str">
            <v>MT6</v>
          </cell>
          <cell r="F355">
            <v>0.29669000000000001</v>
          </cell>
          <cell r="G355">
            <v>1.8984799999999999</v>
          </cell>
          <cell r="H355">
            <v>2.6778200000000001</v>
          </cell>
        </row>
        <row r="356">
          <cell r="A356" t="str">
            <v>GRMZM2G336909</v>
          </cell>
          <cell r="B356" t="e">
            <v>#N/A</v>
          </cell>
          <cell r="C356" t="str">
            <v>histone-lysine n- h3 lysine-9 specific suvh4-like</v>
          </cell>
          <cell r="D356" t="str">
            <v>MT0</v>
          </cell>
          <cell r="E356" t="str">
            <v>MT6</v>
          </cell>
          <cell r="F356">
            <v>9.6292299999999997</v>
          </cell>
          <cell r="G356">
            <v>4.5901899999999998</v>
          </cell>
          <cell r="H356">
            <v>-1.06887</v>
          </cell>
        </row>
        <row r="357">
          <cell r="A357" t="str">
            <v>GRMZM2G406951</v>
          </cell>
          <cell r="B357" t="str">
            <v>GO:0006508GO:0016020GO:0004806GO:0006629GO:0008236</v>
          </cell>
          <cell r="C357" t="str">
            <v>galactolipase chloroplastic-like</v>
          </cell>
          <cell r="D357" t="str">
            <v>MT0</v>
          </cell>
          <cell r="E357" t="str">
            <v>MT6</v>
          </cell>
          <cell r="F357">
            <v>0.29382799999999998</v>
          </cell>
          <cell r="G357">
            <v>1.1048800000000001</v>
          </cell>
          <cell r="H357">
            <v>1.9108499999999999</v>
          </cell>
        </row>
        <row r="358">
          <cell r="A358" t="str">
            <v>GRMZM2G096458</v>
          </cell>
          <cell r="B358" t="e">
            <v>#N/A</v>
          </cell>
          <cell r="C358" t="str">
            <v>chromatin assembly factor-1</v>
          </cell>
          <cell r="D358" t="str">
            <v>MT0</v>
          </cell>
          <cell r="E358" t="str">
            <v>MT6</v>
          </cell>
          <cell r="F358">
            <v>0.53267799999999998</v>
          </cell>
          <cell r="G358">
            <v>1.25807</v>
          </cell>
          <cell r="H358">
            <v>1.2398800000000001</v>
          </cell>
        </row>
        <row r="359">
          <cell r="A359" t="str">
            <v>GRMZM2G368411</v>
          </cell>
          <cell r="B359" t="str">
            <v>GO:0005506GO:0016491</v>
          </cell>
          <cell r="C359" t="str">
            <v>sd1</v>
          </cell>
          <cell r="D359" t="str">
            <v>MT0</v>
          </cell>
          <cell r="E359" t="str">
            <v>MT6</v>
          </cell>
          <cell r="F359">
            <v>6.7660900000000002</v>
          </cell>
          <cell r="G359">
            <v>14.035500000000001</v>
          </cell>
          <cell r="H359">
            <v>1.0526800000000001</v>
          </cell>
        </row>
        <row r="360">
          <cell r="A360" t="str">
            <v>GRMZM2G039365</v>
          </cell>
          <cell r="B360" t="str">
            <v>GO:0050825GO:0042309GO:0050826</v>
          </cell>
          <cell r="C360" t="str">
            <v>bidirectional sugar transporter sweet1-like</v>
          </cell>
          <cell r="D360" t="str">
            <v>MT0</v>
          </cell>
          <cell r="E360" t="str">
            <v>MT6</v>
          </cell>
          <cell r="F360">
            <v>121.669</v>
          </cell>
          <cell r="G360">
            <v>36.0229</v>
          </cell>
          <cell r="H360">
            <v>-1.75597</v>
          </cell>
        </row>
        <row r="361">
          <cell r="A361" t="str">
            <v>GRMZM5G837822</v>
          </cell>
          <cell r="B361" t="e">
            <v>#N/A</v>
          </cell>
          <cell r="C361" t="str">
            <v>hevamine-a precursor</v>
          </cell>
          <cell r="D361" t="str">
            <v>MT0</v>
          </cell>
          <cell r="E361" t="str">
            <v>MT6</v>
          </cell>
          <cell r="F361">
            <v>1.67394</v>
          </cell>
          <cell r="G361">
            <v>4.7269800000000002</v>
          </cell>
          <cell r="H361">
            <v>1.4976700000000001</v>
          </cell>
        </row>
        <row r="362">
          <cell r="A362" t="str">
            <v>GRMZM2G023748</v>
          </cell>
          <cell r="B362" t="str">
            <v>GO:0003723GO:0006396</v>
          </cell>
          <cell r="C362" t="str">
            <v>60s ribosomal protein l10a-1</v>
          </cell>
          <cell r="D362" t="str">
            <v>MT0</v>
          </cell>
          <cell r="E362" t="str">
            <v>MT6</v>
          </cell>
          <cell r="F362">
            <v>17.624400000000001</v>
          </cell>
          <cell r="G362">
            <v>38.436599999999999</v>
          </cell>
          <cell r="H362">
            <v>1.1249100000000001</v>
          </cell>
        </row>
        <row r="363">
          <cell r="A363" t="str">
            <v>GRMZM2G128923</v>
          </cell>
          <cell r="B363" t="e">
            <v>#N/A</v>
          </cell>
          <cell r="C363">
            <v>0</v>
          </cell>
          <cell r="D363" t="str">
            <v>MT0</v>
          </cell>
          <cell r="E363" t="str">
            <v>MT6</v>
          </cell>
          <cell r="F363">
            <v>9.7957300000000007</v>
          </cell>
          <cell r="G363">
            <v>3.83907</v>
          </cell>
          <cell r="H363">
            <v>-1.3513900000000001</v>
          </cell>
        </row>
        <row r="364">
          <cell r="A364" t="str">
            <v>GRMZM2G141392</v>
          </cell>
          <cell r="B364" t="str">
            <v>GO:0006887GO:0000145</v>
          </cell>
          <cell r="C364" t="str">
            <v>leucine zipper</v>
          </cell>
          <cell r="D364" t="str">
            <v>MT0</v>
          </cell>
          <cell r="E364" t="str">
            <v>MT6</v>
          </cell>
          <cell r="F364">
            <v>0.59873900000000002</v>
          </cell>
          <cell r="G364">
            <v>1.21973</v>
          </cell>
          <cell r="H364">
            <v>1.02657</v>
          </cell>
        </row>
        <row r="365">
          <cell r="A365" t="str">
            <v>GRMZM2G148087</v>
          </cell>
          <cell r="B365" t="str">
            <v>GO:0003700GO:0043565GO:0005634GO:0045449</v>
          </cell>
          <cell r="C365" t="str">
            <v>dna-binding protein</v>
          </cell>
          <cell r="D365" t="str">
            <v>MT0</v>
          </cell>
          <cell r="E365" t="str">
            <v>MT6</v>
          </cell>
          <cell r="F365">
            <v>0.170211</v>
          </cell>
          <cell r="G365">
            <v>0.80313500000000004</v>
          </cell>
          <cell r="H365">
            <v>2.2383199999999999</v>
          </cell>
        </row>
        <row r="366">
          <cell r="A366" t="str">
            <v>GRMZM2G027478</v>
          </cell>
          <cell r="B366" t="e">
            <v>#N/A</v>
          </cell>
          <cell r="C366" t="str">
            <v>protein</v>
          </cell>
          <cell r="D366" t="str">
            <v>MT0</v>
          </cell>
          <cell r="E366" t="str">
            <v>MT6</v>
          </cell>
          <cell r="F366">
            <v>27.205400000000001</v>
          </cell>
          <cell r="G366">
            <v>97.192999999999998</v>
          </cell>
          <cell r="H366">
            <v>1.8369599999999999</v>
          </cell>
        </row>
        <row r="367">
          <cell r="A367" t="str">
            <v>GRMZM2G092474</v>
          </cell>
          <cell r="B367" t="e">
            <v>#N/A</v>
          </cell>
          <cell r="C367" t="str">
            <v>p21 expressed</v>
          </cell>
          <cell r="D367" t="str">
            <v>MT0</v>
          </cell>
          <cell r="E367" t="str">
            <v>MT6</v>
          </cell>
          <cell r="F367">
            <v>1.4330700000000001</v>
          </cell>
          <cell r="G367">
            <v>4.2088799999999997</v>
          </cell>
          <cell r="H367">
            <v>1.55433</v>
          </cell>
        </row>
        <row r="368">
          <cell r="A368" t="str">
            <v>GRMZM2G022679</v>
          </cell>
          <cell r="B368" t="str">
            <v>GO:0005506GO:0016491</v>
          </cell>
          <cell r="C368" t="str">
            <v>gibberellin 2-oxidase</v>
          </cell>
          <cell r="D368" t="str">
            <v>MT0</v>
          </cell>
          <cell r="E368" t="str">
            <v>MT6</v>
          </cell>
          <cell r="F368">
            <v>1.06881</v>
          </cell>
          <cell r="G368">
            <v>2.7290100000000002</v>
          </cell>
          <cell r="H368">
            <v>1.3523799999999999</v>
          </cell>
        </row>
        <row r="369">
          <cell r="A369" t="str">
            <v>GRMZM2G078771</v>
          </cell>
          <cell r="B369" t="str">
            <v>GO:0050825GO:0042309GO:0050826</v>
          </cell>
          <cell r="C369" t="str">
            <v>harpin-induced protein</v>
          </cell>
          <cell r="D369" t="str">
            <v>MT0</v>
          </cell>
          <cell r="E369" t="str">
            <v>MT6</v>
          </cell>
          <cell r="F369">
            <v>1.67099</v>
          </cell>
          <cell r="G369">
            <v>3.90021</v>
          </cell>
          <cell r="H369">
            <v>1.22285</v>
          </cell>
        </row>
        <row r="370">
          <cell r="A370" t="str">
            <v>GRMZM2G014770</v>
          </cell>
          <cell r="B370" t="str">
            <v>GO:0016757</v>
          </cell>
          <cell r="C370" t="str">
            <v>probable galacturonosyltransferase 15-like</v>
          </cell>
          <cell r="D370" t="str">
            <v>MT0</v>
          </cell>
          <cell r="E370" t="str">
            <v>MT6</v>
          </cell>
          <cell r="F370">
            <v>2.6263000000000001</v>
          </cell>
          <cell r="G370">
            <v>1.1926300000000001</v>
          </cell>
          <cell r="H370">
            <v>-1.1388799999999999</v>
          </cell>
        </row>
        <row r="371">
          <cell r="A371" t="str">
            <v>GRMZM2G468111</v>
          </cell>
          <cell r="B371" t="e">
            <v>#N/A</v>
          </cell>
          <cell r="C371" t="str">
            <v>uncharacterized protein LOC100277849</v>
          </cell>
          <cell r="D371" t="str">
            <v>MT0</v>
          </cell>
          <cell r="E371" t="str">
            <v>MT6</v>
          </cell>
          <cell r="F371">
            <v>1.70723</v>
          </cell>
          <cell r="G371">
            <v>62.0608</v>
          </cell>
          <cell r="H371">
            <v>5.1839500000000003</v>
          </cell>
        </row>
        <row r="372">
          <cell r="A372" t="str">
            <v>GRMZM5G863596</v>
          </cell>
          <cell r="B372" t="e">
            <v>#N/A</v>
          </cell>
          <cell r="C372" t="str">
            <v>plastid alpha-amylase</v>
          </cell>
          <cell r="D372" t="str">
            <v>MT0</v>
          </cell>
          <cell r="E372" t="str">
            <v>MT6</v>
          </cell>
          <cell r="F372">
            <v>19.516300000000001</v>
          </cell>
          <cell r="G372">
            <v>5.9176200000000003</v>
          </cell>
          <cell r="H372">
            <v>-1.72159</v>
          </cell>
        </row>
        <row r="373">
          <cell r="A373" t="str">
            <v>AC201767.3_FG003</v>
          </cell>
          <cell r="B373" t="e">
            <v>#N/A</v>
          </cell>
          <cell r="C373" t="e">
            <v>#N/A</v>
          </cell>
          <cell r="D373" t="str">
            <v>MT0</v>
          </cell>
          <cell r="E373" t="str">
            <v>MT6</v>
          </cell>
          <cell r="F373">
            <v>19.98</v>
          </cell>
          <cell r="G373">
            <v>5.6262699999999999</v>
          </cell>
          <cell r="H373">
            <v>-1.8283100000000001</v>
          </cell>
        </row>
        <row r="374">
          <cell r="A374" t="str">
            <v>GRMZM2G131099</v>
          </cell>
          <cell r="B374" t="e">
            <v>#N/A</v>
          </cell>
          <cell r="C374" t="str">
            <v>uncharacterized protein LOC100275282</v>
          </cell>
          <cell r="D374" t="str">
            <v>MT0</v>
          </cell>
          <cell r="E374" t="str">
            <v>MT6</v>
          </cell>
          <cell r="F374">
            <v>4.2759799999999997</v>
          </cell>
          <cell r="G374">
            <v>10.8622</v>
          </cell>
          <cell r="H374">
            <v>1.3449800000000001</v>
          </cell>
        </row>
        <row r="375">
          <cell r="A375" t="str">
            <v>GRMZM5G837754</v>
          </cell>
          <cell r="B375" t="e">
            <v>#N/A</v>
          </cell>
          <cell r="C375">
            <v>0</v>
          </cell>
          <cell r="D375" t="str">
            <v>MT0</v>
          </cell>
          <cell r="E375" t="str">
            <v>MT6</v>
          </cell>
          <cell r="F375">
            <v>0.33174199999999998</v>
          </cell>
          <cell r="G375">
            <v>0.99999800000000005</v>
          </cell>
          <cell r="H375">
            <v>1.5918600000000001</v>
          </cell>
        </row>
        <row r="376">
          <cell r="A376" t="str">
            <v>AC233882.1_FG003</v>
          </cell>
          <cell r="B376" t="str">
            <v>GO:0016021GO:0006810GO:0042626GO:0005524</v>
          </cell>
          <cell r="C376" t="e">
            <v>#N/A</v>
          </cell>
          <cell r="D376" t="str">
            <v>MT0</v>
          </cell>
          <cell r="E376" t="str">
            <v>MT6</v>
          </cell>
          <cell r="F376">
            <v>0.21365000000000001</v>
          </cell>
          <cell r="G376">
            <v>0.95785299999999995</v>
          </cell>
          <cell r="H376">
            <v>2.1645500000000002</v>
          </cell>
        </row>
        <row r="377">
          <cell r="A377" t="str">
            <v>GRMZM2G423202</v>
          </cell>
          <cell r="B377" t="e">
            <v>#N/A</v>
          </cell>
          <cell r="C377" t="str">
            <v>hypothetical protein SORBIDRAFT_03g031090</v>
          </cell>
          <cell r="D377" t="str">
            <v>MT0</v>
          </cell>
          <cell r="E377" t="str">
            <v>MT6</v>
          </cell>
          <cell r="F377">
            <v>2.5784600000000002</v>
          </cell>
          <cell r="G377">
            <v>6.3716799999999996</v>
          </cell>
          <cell r="H377">
            <v>1.3051600000000001</v>
          </cell>
        </row>
        <row r="378">
          <cell r="A378" t="str">
            <v>GRMZM2G062121</v>
          </cell>
          <cell r="B378" t="e">
            <v>#N/A</v>
          </cell>
          <cell r="C378" t="str">
            <v>hypothetical protein SORBIDRAFT_03g030900</v>
          </cell>
          <cell r="D378" t="str">
            <v>MT0</v>
          </cell>
          <cell r="E378" t="str">
            <v>MT6</v>
          </cell>
          <cell r="F378">
            <v>0.61633300000000002</v>
          </cell>
          <cell r="G378">
            <v>2.2754799999999999</v>
          </cell>
          <cell r="H378">
            <v>1.88439</v>
          </cell>
        </row>
        <row r="379">
          <cell r="A379" t="str">
            <v>GRMZM2G023436</v>
          </cell>
          <cell r="B379" t="str">
            <v>GO:0008134GO:0003924GO:0006913GO:0005622GO:0006355GO:0004871GO:0007264GO:0007186GO:0006886GO:0005524GO:0005525</v>
          </cell>
          <cell r="C379" t="str">
            <v>ras-related protein raba1f-like</v>
          </cell>
          <cell r="D379" t="str">
            <v>MT0</v>
          </cell>
          <cell r="E379" t="str">
            <v>MT6</v>
          </cell>
          <cell r="F379">
            <v>1.6963200000000001</v>
          </cell>
          <cell r="G379">
            <v>3.6210800000000001</v>
          </cell>
          <cell r="H379">
            <v>1.0940099999999999</v>
          </cell>
        </row>
        <row r="380">
          <cell r="A380" t="str">
            <v>GRMZM2G453805</v>
          </cell>
          <cell r="B380" t="str">
            <v>GO:0004568GO:0006032</v>
          </cell>
          <cell r="C380" t="str">
            <v>class iii chitinase</v>
          </cell>
          <cell r="D380" t="str">
            <v>MT0</v>
          </cell>
          <cell r="E380" t="str">
            <v>MT6</v>
          </cell>
          <cell r="F380">
            <v>18.654299999999999</v>
          </cell>
          <cell r="G380">
            <v>89.846400000000003</v>
          </cell>
          <cell r="H380">
            <v>2.2679499999999999</v>
          </cell>
        </row>
        <row r="381">
          <cell r="A381" t="str">
            <v>GRMZM2G067583</v>
          </cell>
          <cell r="B381" t="e">
            <v>#N/A</v>
          </cell>
          <cell r="C381" t="str">
            <v>tat pathway signal sequence family protein</v>
          </cell>
          <cell r="D381" t="str">
            <v>MT0</v>
          </cell>
          <cell r="E381" t="str">
            <v>MT6</v>
          </cell>
          <cell r="F381">
            <v>3.4591400000000001</v>
          </cell>
          <cell r="G381">
            <v>1.5118799999999999</v>
          </cell>
          <cell r="H381">
            <v>-1.19407</v>
          </cell>
        </row>
        <row r="382">
          <cell r="A382" t="str">
            <v>GRMZM2G105604</v>
          </cell>
          <cell r="B382" t="str">
            <v>GO:0008168GO:0006779</v>
          </cell>
          <cell r="C382" t="str">
            <v>urophorphyrin methylase 1</v>
          </cell>
          <cell r="D382" t="str">
            <v>MT0</v>
          </cell>
          <cell r="E382" t="str">
            <v>MT6</v>
          </cell>
          <cell r="F382">
            <v>6.2676499999999997</v>
          </cell>
          <cell r="G382">
            <v>15.6577</v>
          </cell>
          <cell r="H382">
            <v>1.3208800000000001</v>
          </cell>
        </row>
        <row r="383">
          <cell r="A383" t="str">
            <v>GRMZM2G147752</v>
          </cell>
          <cell r="B383" t="str">
            <v>GO:0004497GO:0020037GO:0009055</v>
          </cell>
          <cell r="C383" t="str">
            <v>secologanin synthase-like</v>
          </cell>
          <cell r="D383" t="str">
            <v>MT0</v>
          </cell>
          <cell r="E383" t="str">
            <v>MT6</v>
          </cell>
          <cell r="F383">
            <v>1.5641799999999999</v>
          </cell>
          <cell r="G383">
            <v>9.4170499999999997</v>
          </cell>
          <cell r="H383">
            <v>2.5898599999999998</v>
          </cell>
        </row>
        <row r="384">
          <cell r="A384" t="str">
            <v>GRMZM2G014395</v>
          </cell>
          <cell r="B384" t="str">
            <v>GO:0004497GO:0020037GO:0009055</v>
          </cell>
          <cell r="C384" t="str">
            <v>cytochrome p450-like</v>
          </cell>
          <cell r="D384" t="str">
            <v>MT0</v>
          </cell>
          <cell r="E384" t="str">
            <v>MT6</v>
          </cell>
          <cell r="F384">
            <v>10.161300000000001</v>
          </cell>
          <cell r="G384">
            <v>25.654699999999998</v>
          </cell>
          <cell r="H384">
            <v>1.3361400000000001</v>
          </cell>
        </row>
        <row r="385">
          <cell r="A385" t="str">
            <v>GRMZM2G066428</v>
          </cell>
          <cell r="B385" t="str">
            <v>GO:0005975GO:0016868</v>
          </cell>
          <cell r="C385" t="str">
            <v>amino acid transporter</v>
          </cell>
          <cell r="D385" t="str">
            <v>MT0</v>
          </cell>
          <cell r="E385" t="str">
            <v>MT6</v>
          </cell>
          <cell r="F385">
            <v>0.145126</v>
          </cell>
          <cell r="G385">
            <v>0.76788500000000004</v>
          </cell>
          <cell r="H385">
            <v>2.4035899999999999</v>
          </cell>
        </row>
        <row r="386">
          <cell r="A386" t="str">
            <v>GRMZM2G066101</v>
          </cell>
          <cell r="B386" t="str">
            <v>GO:0005634GO:0006270GO:0005524GO:0016887GO:0003677</v>
          </cell>
          <cell r="C386" t="str">
            <v>dna replication licensing factor mcm4</v>
          </cell>
          <cell r="D386" t="str">
            <v>MT0</v>
          </cell>
          <cell r="E386" t="str">
            <v>MT6</v>
          </cell>
          <cell r="F386">
            <v>0.319575</v>
          </cell>
          <cell r="G386">
            <v>0.86953499999999995</v>
          </cell>
          <cell r="H386">
            <v>1.4440900000000001</v>
          </cell>
        </row>
        <row r="387">
          <cell r="A387" t="str">
            <v>GRMZM2G353076</v>
          </cell>
          <cell r="B387" t="e">
            <v>#N/A</v>
          </cell>
          <cell r="C387" t="str">
            <v>zf-hd homeobox protein at4g24660-like</v>
          </cell>
          <cell r="D387" t="str">
            <v>MT0</v>
          </cell>
          <cell r="E387" t="str">
            <v>MT6</v>
          </cell>
          <cell r="F387">
            <v>1.26274</v>
          </cell>
          <cell r="G387">
            <v>0.46785100000000002</v>
          </cell>
          <cell r="H387">
            <v>-1.4324399999999999</v>
          </cell>
        </row>
        <row r="388">
          <cell r="A388" t="str">
            <v>GRMZM2G175076</v>
          </cell>
          <cell r="B388" t="str">
            <v>GO:0045430GO:0009813</v>
          </cell>
          <cell r="C388" t="str">
            <v>chalcone--flavonone isomerase</v>
          </cell>
          <cell r="D388" t="str">
            <v>MT0</v>
          </cell>
          <cell r="E388" t="str">
            <v>MT6</v>
          </cell>
          <cell r="F388">
            <v>0.79144700000000001</v>
          </cell>
          <cell r="G388">
            <v>1.6180099999999999</v>
          </cell>
          <cell r="H388">
            <v>1.03165</v>
          </cell>
        </row>
        <row r="389">
          <cell r="A389" t="str">
            <v>GRMZM2G006480</v>
          </cell>
          <cell r="B389" t="str">
            <v>GO:0008483GO:0009058GO:0006520GO:0016847GO:0030170</v>
          </cell>
          <cell r="C389" t="str">
            <v>tyrosine nicotianamine aminotransferases family expressed</v>
          </cell>
          <cell r="D389" t="str">
            <v>MT0</v>
          </cell>
          <cell r="E389" t="str">
            <v>MT6</v>
          </cell>
          <cell r="F389">
            <v>5.89053</v>
          </cell>
          <cell r="G389">
            <v>2.6430699999999998</v>
          </cell>
          <cell r="H389">
            <v>-1.15618</v>
          </cell>
        </row>
        <row r="390">
          <cell r="A390" t="str">
            <v>GRMZM2G039630</v>
          </cell>
          <cell r="B390" t="e">
            <v>#N/A</v>
          </cell>
          <cell r="C390" t="str">
            <v>membrane protein</v>
          </cell>
          <cell r="D390" t="str">
            <v>MT0</v>
          </cell>
          <cell r="E390" t="str">
            <v>MT6</v>
          </cell>
          <cell r="F390">
            <v>1.0430699999999999</v>
          </cell>
          <cell r="G390">
            <v>10.1744</v>
          </cell>
          <cell r="H390">
            <v>3.2860399999999998</v>
          </cell>
        </row>
        <row r="391">
          <cell r="A391" t="str">
            <v>GRMZM2G081173</v>
          </cell>
          <cell r="B391" t="str">
            <v>GO:0022891GO:0016021GO:0050825GO:0042309GO:0050826GO:0055085</v>
          </cell>
          <cell r="C391" t="str">
            <v>sugar transporter family expressed</v>
          </cell>
          <cell r="D391" t="str">
            <v>MT0</v>
          </cell>
          <cell r="E391" t="str">
            <v>MT6</v>
          </cell>
          <cell r="F391">
            <v>0.38133099999999998</v>
          </cell>
          <cell r="G391">
            <v>1.3755200000000001</v>
          </cell>
          <cell r="H391">
            <v>1.8508599999999999</v>
          </cell>
        </row>
        <row r="392">
          <cell r="A392" t="str">
            <v>GRMZM2G133781</v>
          </cell>
          <cell r="B392" t="str">
            <v>GO:0005975GO:0004553</v>
          </cell>
          <cell r="C392" t="str">
            <v>xylanase inhibitor protein 2 expressed</v>
          </cell>
          <cell r="D392" t="str">
            <v>MT0</v>
          </cell>
          <cell r="E392" t="str">
            <v>MT6</v>
          </cell>
          <cell r="F392">
            <v>0.78532199999999996</v>
          </cell>
          <cell r="G392">
            <v>0.20063500000000001</v>
          </cell>
          <cell r="H392">
            <v>-1.96871</v>
          </cell>
        </row>
        <row r="393">
          <cell r="A393" t="str">
            <v>GRMZM2G117942</v>
          </cell>
          <cell r="B393" t="str">
            <v>GO:0050832GO:0042742</v>
          </cell>
          <cell r="C393" t="str">
            <v>pathogenesis-related protein 4</v>
          </cell>
          <cell r="D393" t="str">
            <v>MT0</v>
          </cell>
          <cell r="E393" t="str">
            <v>MT6</v>
          </cell>
          <cell r="F393">
            <v>13.4184</v>
          </cell>
          <cell r="G393">
            <v>100.02200000000001</v>
          </cell>
          <cell r="H393">
            <v>2.8980399999999999</v>
          </cell>
        </row>
        <row r="394">
          <cell r="A394" t="str">
            <v>GRMZM2G358153</v>
          </cell>
          <cell r="B394" t="str">
            <v>GO:0004568GO:0006032</v>
          </cell>
          <cell r="C394" t="str">
            <v>chitinase 1</v>
          </cell>
          <cell r="D394" t="str">
            <v>MT0</v>
          </cell>
          <cell r="E394" t="str">
            <v>MT6</v>
          </cell>
          <cell r="F394">
            <v>4.3198600000000003</v>
          </cell>
          <cell r="G394">
            <v>16.761800000000001</v>
          </cell>
          <cell r="H394">
            <v>1.9561200000000001</v>
          </cell>
        </row>
        <row r="395">
          <cell r="A395" t="str">
            <v>GRMZM2G061230</v>
          </cell>
          <cell r="B395" t="str">
            <v>GO:0005179GO:0020037GO:0006979GO:0005576GO:0004601GO:0009055</v>
          </cell>
          <cell r="C395" t="str">
            <v>peroxidase</v>
          </cell>
          <cell r="D395" t="str">
            <v>MT0</v>
          </cell>
          <cell r="E395" t="str">
            <v>MT6</v>
          </cell>
          <cell r="F395">
            <v>4.5105899999999997</v>
          </cell>
          <cell r="G395">
            <v>1.9027400000000001</v>
          </cell>
          <cell r="H395">
            <v>-1.2452399999999999</v>
          </cell>
        </row>
        <row r="396">
          <cell r="A396" t="str">
            <v>GRMZM2G320705</v>
          </cell>
          <cell r="B396" t="e">
            <v>#N/A</v>
          </cell>
          <cell r="C396" t="str">
            <v>expressed protein</v>
          </cell>
          <cell r="D396" t="str">
            <v>MT0</v>
          </cell>
          <cell r="E396" t="str">
            <v>MT6</v>
          </cell>
          <cell r="F396">
            <v>1.4815799999999999</v>
          </cell>
          <cell r="G396">
            <v>4.7215600000000002</v>
          </cell>
          <cell r="H396">
            <v>1.6721299999999999</v>
          </cell>
        </row>
        <row r="397">
          <cell r="A397" t="str">
            <v>GRMZM2G003970</v>
          </cell>
          <cell r="B397" t="e">
            <v>#N/A</v>
          </cell>
          <cell r="C397" t="str">
            <v>uncharacterized protein LOC100193759</v>
          </cell>
          <cell r="D397" t="str">
            <v>MT0</v>
          </cell>
          <cell r="E397" t="str">
            <v>MT6</v>
          </cell>
          <cell r="F397">
            <v>6.3823800000000004</v>
          </cell>
          <cell r="G397">
            <v>22.118400000000001</v>
          </cell>
          <cell r="H397">
            <v>1.79308</v>
          </cell>
        </row>
        <row r="398">
          <cell r="A398" t="str">
            <v>GRMZM2G047791</v>
          </cell>
          <cell r="B398" t="e">
            <v>#N/A</v>
          </cell>
          <cell r="C398" t="str">
            <v>hypothetical protein SORBIDRAFT_05g019070</v>
          </cell>
          <cell r="D398" t="str">
            <v>MT0</v>
          </cell>
          <cell r="E398" t="str">
            <v>MT6</v>
          </cell>
          <cell r="F398">
            <v>1.2562</v>
          </cell>
          <cell r="G398">
            <v>2.6742300000000001</v>
          </cell>
          <cell r="H398">
            <v>1.09006</v>
          </cell>
        </row>
        <row r="399">
          <cell r="A399" t="str">
            <v>GRMZM2G007012</v>
          </cell>
          <cell r="B399" t="str">
            <v>GO:0016758GO:0008152</v>
          </cell>
          <cell r="C399" t="str">
            <v>protein</v>
          </cell>
          <cell r="D399" t="str">
            <v>MT0</v>
          </cell>
          <cell r="E399" t="str">
            <v>MT6</v>
          </cell>
          <cell r="F399">
            <v>0.781802</v>
          </cell>
          <cell r="G399">
            <v>2.35975</v>
          </cell>
          <cell r="H399">
            <v>1.5937600000000001</v>
          </cell>
        </row>
        <row r="400">
          <cell r="A400" t="str">
            <v>GRMZM2G161521</v>
          </cell>
          <cell r="B400" t="e">
            <v>#N/A</v>
          </cell>
          <cell r="C400" t="str">
            <v>uncharacterized protein LOC100275439 precursor</v>
          </cell>
          <cell r="D400" t="str">
            <v>MT0</v>
          </cell>
          <cell r="E400" t="str">
            <v>MT6</v>
          </cell>
          <cell r="F400">
            <v>6.2104999999999997</v>
          </cell>
          <cell r="G400">
            <v>15.3865</v>
          </cell>
          <cell r="H400">
            <v>1.30888</v>
          </cell>
        </row>
        <row r="401">
          <cell r="A401" t="str">
            <v>GRMZM2G081577</v>
          </cell>
          <cell r="B401" t="str">
            <v>GO:0008270GO:0005622</v>
          </cell>
          <cell r="C401" t="str">
            <v>col domain class transcription factor</v>
          </cell>
          <cell r="D401" t="str">
            <v>MT0</v>
          </cell>
          <cell r="E401" t="str">
            <v>MT6</v>
          </cell>
          <cell r="F401">
            <v>0.33396700000000001</v>
          </cell>
          <cell r="G401">
            <v>0.79764900000000005</v>
          </cell>
          <cell r="H401">
            <v>1.2560500000000001</v>
          </cell>
        </row>
        <row r="402">
          <cell r="A402" t="str">
            <v>AC203909.3_FG003</v>
          </cell>
          <cell r="B402" t="str">
            <v>GO:0019882GO:0050660GO:0016020GO:0006955GO:0009055GO:0016491</v>
          </cell>
          <cell r="C402" t="e">
            <v>#N/A</v>
          </cell>
          <cell r="D402" t="str">
            <v>MT0</v>
          </cell>
          <cell r="E402" t="str">
            <v>MT6</v>
          </cell>
          <cell r="F402">
            <v>0.68365500000000001</v>
          </cell>
          <cell r="G402">
            <v>1.8754900000000001</v>
          </cell>
          <cell r="H402">
            <v>1.4559299999999999</v>
          </cell>
        </row>
        <row r="403">
          <cell r="A403" t="str">
            <v>GRMZM5G814904</v>
          </cell>
          <cell r="B403" t="e">
            <v>#N/A</v>
          </cell>
          <cell r="C403" t="e">
            <v>#N/A</v>
          </cell>
          <cell r="D403" t="str">
            <v>MT0</v>
          </cell>
          <cell r="E403" t="str">
            <v>MT6</v>
          </cell>
          <cell r="F403">
            <v>7.4179599999999999</v>
          </cell>
          <cell r="G403">
            <v>15.8736</v>
          </cell>
          <cell r="H403">
            <v>1.09754</v>
          </cell>
        </row>
        <row r="404">
          <cell r="A404" t="str">
            <v>GRMZM2G014902</v>
          </cell>
          <cell r="B404" t="str">
            <v>GO:0003677</v>
          </cell>
          <cell r="C404" t="str">
            <v>coc1</v>
          </cell>
          <cell r="D404" t="str">
            <v>MT0</v>
          </cell>
          <cell r="E404" t="str">
            <v>MT6</v>
          </cell>
          <cell r="F404">
            <v>3.5234299999999998</v>
          </cell>
          <cell r="G404">
            <v>8.1548099999999994</v>
          </cell>
          <cell r="H404">
            <v>1.2106699999999999</v>
          </cell>
        </row>
        <row r="405">
          <cell r="A405" t="str">
            <v>GRMZM2G000481</v>
          </cell>
          <cell r="B405" t="str">
            <v>GO:0005737GO:0006437GO:0006436GO:0004831GO:0004830GO:0005524</v>
          </cell>
          <cell r="C405" t="str">
            <v>protein</v>
          </cell>
          <cell r="D405" t="str">
            <v>MT0</v>
          </cell>
          <cell r="E405" t="str">
            <v>MT6</v>
          </cell>
          <cell r="F405">
            <v>1.69774</v>
          </cell>
          <cell r="G405">
            <v>3.8383699999999998</v>
          </cell>
          <cell r="H405">
            <v>1.1768799999999999</v>
          </cell>
        </row>
        <row r="406">
          <cell r="A406" t="str">
            <v>GRMZM2G036217</v>
          </cell>
          <cell r="B406" t="str">
            <v>GO:0003824GO:0005488GO:0008152</v>
          </cell>
          <cell r="C406" t="str">
            <v>fatty acyl coa reductase</v>
          </cell>
          <cell r="D406" t="str">
            <v>MT0</v>
          </cell>
          <cell r="E406" t="str">
            <v>MT6</v>
          </cell>
          <cell r="F406">
            <v>21.1876</v>
          </cell>
          <cell r="G406">
            <v>47.917700000000004</v>
          </cell>
          <cell r="H406">
            <v>1.1773400000000001</v>
          </cell>
        </row>
        <row r="407">
          <cell r="A407" t="str">
            <v>GRMZM2G568636</v>
          </cell>
          <cell r="B407" t="e">
            <v>#N/A</v>
          </cell>
          <cell r="C407" t="str">
            <v>nitrate reductase</v>
          </cell>
          <cell r="D407" t="str">
            <v>MT0</v>
          </cell>
          <cell r="E407" t="str">
            <v>MT6</v>
          </cell>
          <cell r="F407">
            <v>42.533700000000003</v>
          </cell>
          <cell r="G407">
            <v>142.87100000000001</v>
          </cell>
          <cell r="H407">
            <v>1.74804</v>
          </cell>
        </row>
        <row r="408">
          <cell r="A408" t="str">
            <v>GRMZM2G118104</v>
          </cell>
          <cell r="B408" t="str">
            <v>GO:0016787</v>
          </cell>
          <cell r="C408" t="str">
            <v>pre-mrna cleavage factor 25kd</v>
          </cell>
          <cell r="D408" t="str">
            <v>MT0</v>
          </cell>
          <cell r="E408" t="str">
            <v>MT6</v>
          </cell>
          <cell r="F408">
            <v>2.6823899999999998</v>
          </cell>
          <cell r="G408">
            <v>7.3887799999999997</v>
          </cell>
          <cell r="H408">
            <v>1.4618199999999999</v>
          </cell>
        </row>
        <row r="409">
          <cell r="A409" t="str">
            <v>GRMZM2G353734</v>
          </cell>
          <cell r="B409" t="str">
            <v>GO:0005840GO:0003735GO:0050825GO:0042309GO:0050826GO:0006412</v>
          </cell>
          <cell r="C409" t="str">
            <v>zf-hd homeobox protein</v>
          </cell>
          <cell r="D409" t="str">
            <v>MT0</v>
          </cell>
          <cell r="E409" t="str">
            <v>MT6</v>
          </cell>
          <cell r="F409">
            <v>1.0659099999999999</v>
          </cell>
          <cell r="G409">
            <v>0.43523400000000001</v>
          </cell>
          <cell r="H409">
            <v>-1.29223</v>
          </cell>
        </row>
        <row r="410">
          <cell r="A410" t="str">
            <v>GRMZM2G064250</v>
          </cell>
          <cell r="B410" t="e">
            <v>#N/A</v>
          </cell>
          <cell r="C410">
            <v>0</v>
          </cell>
          <cell r="D410" t="str">
            <v>MT0</v>
          </cell>
          <cell r="E410" t="str">
            <v>MT6</v>
          </cell>
          <cell r="F410">
            <v>34.038499999999999</v>
          </cell>
          <cell r="G410">
            <v>15.678900000000001</v>
          </cell>
          <cell r="H410">
            <v>-1.1183399999999999</v>
          </cell>
        </row>
        <row r="411">
          <cell r="A411" t="str">
            <v>GRMZM2G151700</v>
          </cell>
          <cell r="B411" t="e">
            <v>#N/A</v>
          </cell>
          <cell r="C411" t="str">
            <v>actin associated protein</v>
          </cell>
          <cell r="D411" t="str">
            <v>MT0</v>
          </cell>
          <cell r="E411" t="str">
            <v>MT6</v>
          </cell>
          <cell r="F411">
            <v>17.5959</v>
          </cell>
          <cell r="G411">
            <v>8.6695100000000007</v>
          </cell>
          <cell r="H411">
            <v>-1.02122</v>
          </cell>
        </row>
        <row r="412">
          <cell r="A412" t="str">
            <v>GRMZM5G898259</v>
          </cell>
          <cell r="B412" t="e">
            <v>#N/A</v>
          </cell>
          <cell r="C412">
            <v>0</v>
          </cell>
          <cell r="D412" t="str">
            <v>MT0</v>
          </cell>
          <cell r="E412" t="str">
            <v>MT6</v>
          </cell>
          <cell r="F412">
            <v>207.49299999999999</v>
          </cell>
          <cell r="G412">
            <v>91.792900000000003</v>
          </cell>
          <cell r="H412">
            <v>-1.1766099999999999</v>
          </cell>
        </row>
        <row r="413">
          <cell r="A413" t="str">
            <v>GRMZM2G128219</v>
          </cell>
          <cell r="B413" t="str">
            <v>GO:0016787GO:0008152</v>
          </cell>
          <cell r="C413" t="str">
            <v>gibberellin receptor gid1l2</v>
          </cell>
          <cell r="D413" t="str">
            <v>MT0</v>
          </cell>
          <cell r="E413" t="str">
            <v>MT6</v>
          </cell>
          <cell r="F413">
            <v>4.5910000000000002</v>
          </cell>
          <cell r="G413">
            <v>9.6365499999999997</v>
          </cell>
          <cell r="H413">
            <v>1.0697099999999999</v>
          </cell>
        </row>
        <row r="414">
          <cell r="A414" t="str">
            <v>GRMZM2G389625</v>
          </cell>
          <cell r="B414" t="e">
            <v>#N/A</v>
          </cell>
          <cell r="C414" t="str">
            <v>uncharacterized protein LOC100279483</v>
          </cell>
          <cell r="D414" t="str">
            <v>MT0</v>
          </cell>
          <cell r="E414" t="str">
            <v>MT6</v>
          </cell>
          <cell r="F414">
            <v>7.3368500000000001</v>
          </cell>
          <cell r="G414">
            <v>3.23712</v>
          </cell>
          <cell r="H414">
            <v>-1.18045</v>
          </cell>
        </row>
        <row r="415">
          <cell r="A415" t="str">
            <v>GRMZM2G165387</v>
          </cell>
          <cell r="B415" t="str">
            <v>GO:0004674GO:0006468GO:0005524GO:0005515GO:0004713</v>
          </cell>
          <cell r="C415" t="str">
            <v>protein kinase receptor type precursor</v>
          </cell>
          <cell r="D415" t="str">
            <v>MT0</v>
          </cell>
          <cell r="E415" t="str">
            <v>MT6</v>
          </cell>
          <cell r="F415">
            <v>0.70306900000000006</v>
          </cell>
          <cell r="G415">
            <v>2.1451099999999999</v>
          </cell>
          <cell r="H415">
            <v>1.60931</v>
          </cell>
        </row>
        <row r="416">
          <cell r="A416" t="str">
            <v>GRMZM2G374302</v>
          </cell>
          <cell r="B416" t="e">
            <v>#N/A</v>
          </cell>
          <cell r="C416" t="str">
            <v>arginine decarboxylase</v>
          </cell>
          <cell r="D416" t="str">
            <v>MT0</v>
          </cell>
          <cell r="E416" t="str">
            <v>MT6</v>
          </cell>
          <cell r="F416">
            <v>250.36600000000001</v>
          </cell>
          <cell r="G416">
            <v>124.57599999999999</v>
          </cell>
          <cell r="H416">
            <v>-1.00701</v>
          </cell>
        </row>
        <row r="417">
          <cell r="A417" t="str">
            <v>GRMZM2G054522</v>
          </cell>
          <cell r="B417" t="e">
            <v>#N/A</v>
          </cell>
          <cell r="C417" t="str">
            <v>uncharacterized protein LOC100278739</v>
          </cell>
          <cell r="D417" t="str">
            <v>MT0</v>
          </cell>
          <cell r="E417" t="str">
            <v>MT6</v>
          </cell>
          <cell r="F417">
            <v>0.52746800000000005</v>
          </cell>
          <cell r="G417">
            <v>1.4289700000000001</v>
          </cell>
          <cell r="H417">
            <v>1.4378200000000001</v>
          </cell>
        </row>
        <row r="418">
          <cell r="A418" t="str">
            <v>GRMZM2G122848</v>
          </cell>
          <cell r="B418" t="str">
            <v>GO:0008270GO:0005515</v>
          </cell>
          <cell r="C418" t="str">
            <v>zinc finger</v>
          </cell>
          <cell r="D418" t="str">
            <v>MT0</v>
          </cell>
          <cell r="E418" t="str">
            <v>MT6</v>
          </cell>
          <cell r="F418">
            <v>2.3724400000000001</v>
          </cell>
          <cell r="G418">
            <v>1.15924</v>
          </cell>
          <cell r="H418">
            <v>-1.0331900000000001</v>
          </cell>
        </row>
        <row r="419">
          <cell r="A419" t="str">
            <v>AC186156.3_FG005</v>
          </cell>
          <cell r="B419" t="e">
            <v>#N/A</v>
          </cell>
          <cell r="C419" t="e">
            <v>#N/A</v>
          </cell>
          <cell r="D419" t="str">
            <v>MT0</v>
          </cell>
          <cell r="E419" t="str">
            <v>MT6</v>
          </cell>
          <cell r="F419">
            <v>4.0718699999999997</v>
          </cell>
          <cell r="G419">
            <v>1.0727500000000001</v>
          </cell>
          <cell r="H419">
            <v>-1.92438</v>
          </cell>
        </row>
        <row r="420">
          <cell r="A420" t="str">
            <v>GRMZM2G111415</v>
          </cell>
          <cell r="B420" t="str">
            <v>GO:0003700GO:0006355GO:0050825GO:0042309GO:0050826</v>
          </cell>
          <cell r="C420" t="str">
            <v>ap2 erf domain-containing transcription factor</v>
          </cell>
          <cell r="D420" t="str">
            <v>MT0</v>
          </cell>
          <cell r="E420" t="str">
            <v>MT6</v>
          </cell>
          <cell r="F420">
            <v>9.6729800000000008</v>
          </cell>
          <cell r="G420">
            <v>2.6281500000000002</v>
          </cell>
          <cell r="H420">
            <v>-1.87991</v>
          </cell>
        </row>
        <row r="421">
          <cell r="A421" t="str">
            <v>GRMZM2G121151</v>
          </cell>
          <cell r="B421" t="str">
            <v>GO:0008270GO:0005622</v>
          </cell>
          <cell r="C421" t="str">
            <v>zinc finger protein</v>
          </cell>
          <cell r="D421" t="str">
            <v>MT0</v>
          </cell>
          <cell r="E421" t="str">
            <v>MT6</v>
          </cell>
          <cell r="F421">
            <v>12.8048</v>
          </cell>
          <cell r="G421">
            <v>33.519599999999997</v>
          </cell>
          <cell r="H421">
            <v>1.38832</v>
          </cell>
        </row>
        <row r="422">
          <cell r="A422" t="str">
            <v>GRMZM2G428027</v>
          </cell>
          <cell r="B422" t="str">
            <v>GO:0050660GO:0020037GO:0003677GO:0030151GO:0042128GO:0005665GO:0006366GO:0046857GO:0055114GO:0009055</v>
          </cell>
          <cell r="C422" t="str">
            <v>nitrate reductase</v>
          </cell>
          <cell r="D422" t="str">
            <v>MT0</v>
          </cell>
          <cell r="E422" t="str">
            <v>MT6</v>
          </cell>
          <cell r="F422">
            <v>1.7665</v>
          </cell>
          <cell r="G422">
            <v>5.7663200000000003</v>
          </cell>
          <cell r="H422">
            <v>1.70675</v>
          </cell>
        </row>
        <row r="423">
          <cell r="A423" t="str">
            <v>GRMZM2G084445</v>
          </cell>
          <cell r="B423" t="e">
            <v>#N/A</v>
          </cell>
          <cell r="C423" t="str">
            <v>uncharacterized protein LOC100277269</v>
          </cell>
          <cell r="D423" t="str">
            <v>MT0</v>
          </cell>
          <cell r="E423" t="str">
            <v>MT6</v>
          </cell>
          <cell r="F423">
            <v>1.10226</v>
          </cell>
          <cell r="G423">
            <v>0.53936799999999996</v>
          </cell>
          <cell r="H423">
            <v>-1.03112</v>
          </cell>
        </row>
        <row r="424">
          <cell r="A424" t="str">
            <v>GRMZM2G388587</v>
          </cell>
          <cell r="B424" t="str">
            <v>GO:0048046GO:0005507GO:0046274GO:0008471GO:0055114</v>
          </cell>
          <cell r="C424" t="str">
            <v>l-ascorbate oxidase precursor</v>
          </cell>
          <cell r="D424" t="str">
            <v>MT0</v>
          </cell>
          <cell r="E424" t="str">
            <v>MT6</v>
          </cell>
          <cell r="F424">
            <v>2.9058199999999998</v>
          </cell>
          <cell r="G424">
            <v>1.3195399999999999</v>
          </cell>
          <cell r="H424">
            <v>-1.1389100000000001</v>
          </cell>
        </row>
        <row r="425">
          <cell r="A425" t="str">
            <v>GRMZM2G022799</v>
          </cell>
          <cell r="B425" t="str">
            <v>GO:0006508GO:0004197</v>
          </cell>
          <cell r="C425" t="str">
            <v>metacaspase 2</v>
          </cell>
          <cell r="D425" t="str">
            <v>MT0</v>
          </cell>
          <cell r="E425" t="str">
            <v>MT6</v>
          </cell>
          <cell r="F425">
            <v>5.3278400000000001</v>
          </cell>
          <cell r="G425">
            <v>2.3774199999999999</v>
          </cell>
          <cell r="H425">
            <v>-1.16415</v>
          </cell>
        </row>
        <row r="426">
          <cell r="A426" t="str">
            <v>GRMZM2G055507</v>
          </cell>
          <cell r="B426" t="str">
            <v>GO:0003852GO:0009098</v>
          </cell>
          <cell r="C426" t="str">
            <v>2-isopropylmalate synthase b</v>
          </cell>
          <cell r="D426" t="str">
            <v>MT0</v>
          </cell>
          <cell r="E426" t="str">
            <v>MT6</v>
          </cell>
          <cell r="F426">
            <v>5.0034799999999997</v>
          </cell>
          <cell r="G426">
            <v>13.9476</v>
          </cell>
          <cell r="H426">
            <v>1.4790099999999999</v>
          </cell>
        </row>
        <row r="427">
          <cell r="A427" t="str">
            <v>GRMZM2G166218</v>
          </cell>
          <cell r="B427" t="str">
            <v>GO:0016021GO:0007186GO:0005199</v>
          </cell>
          <cell r="C427" t="str">
            <v>pollen ole e 1 allergen and extensin family protein</v>
          </cell>
          <cell r="D427" t="str">
            <v>MT0</v>
          </cell>
          <cell r="E427" t="str">
            <v>MT6</v>
          </cell>
          <cell r="F427">
            <v>11.287599999999999</v>
          </cell>
          <cell r="G427">
            <v>30.769400000000001</v>
          </cell>
          <cell r="H427">
            <v>1.44675</v>
          </cell>
        </row>
        <row r="428">
          <cell r="A428" t="str">
            <v>GRMZM2G004699</v>
          </cell>
          <cell r="B428" t="str">
            <v>GO:0005618GO:0048046GO:0016762GO:0006073GO:0004553</v>
          </cell>
          <cell r="C428" t="str">
            <v>xyloglucan endotransglucosylase hydrolase protein a</v>
          </cell>
          <cell r="D428" t="str">
            <v>MT0</v>
          </cell>
          <cell r="E428" t="str">
            <v>MT6</v>
          </cell>
          <cell r="F428">
            <v>6.21685</v>
          </cell>
          <cell r="G428">
            <v>0.59907100000000002</v>
          </cell>
          <cell r="H428">
            <v>-3.3753899999999999</v>
          </cell>
        </row>
        <row r="429">
          <cell r="A429" t="str">
            <v>AC233883.1_FG006</v>
          </cell>
          <cell r="B429" t="e">
            <v>#N/A</v>
          </cell>
          <cell r="C429" t="e">
            <v>#N/A</v>
          </cell>
          <cell r="D429" t="str">
            <v>MT0</v>
          </cell>
          <cell r="E429" t="str">
            <v>MT6</v>
          </cell>
          <cell r="F429">
            <v>0.668597</v>
          </cell>
          <cell r="G429">
            <v>1.3493200000000001</v>
          </cell>
          <cell r="H429">
            <v>1.0130300000000001</v>
          </cell>
        </row>
        <row r="430">
          <cell r="A430" t="str">
            <v>GRMZM2G301908</v>
          </cell>
          <cell r="B430" t="str">
            <v>GO:0005634GO:0003677GO:0006355GO:0050825GO:0042309GO:0050826GO:0004879</v>
          </cell>
          <cell r="C430" t="str">
            <v>fasciclin-like arabinogalactan protein 1-like</v>
          </cell>
          <cell r="D430" t="str">
            <v>MT0</v>
          </cell>
          <cell r="E430" t="str">
            <v>MT6</v>
          </cell>
          <cell r="F430">
            <v>6.3428800000000001</v>
          </cell>
          <cell r="G430">
            <v>2.5238399999999999</v>
          </cell>
          <cell r="H430">
            <v>-1.32952</v>
          </cell>
        </row>
        <row r="431">
          <cell r="A431" t="str">
            <v>GRMZM2G050307</v>
          </cell>
          <cell r="B431" t="str">
            <v>GO:0008168</v>
          </cell>
          <cell r="C431" t="str">
            <v>salicylate o-methyltransferase-like</v>
          </cell>
          <cell r="D431" t="str">
            <v>MT0</v>
          </cell>
          <cell r="E431" t="str">
            <v>MT6</v>
          </cell>
          <cell r="F431">
            <v>9.1393500000000003</v>
          </cell>
          <cell r="G431">
            <v>42.3917</v>
          </cell>
          <cell r="H431">
            <v>2.2136200000000001</v>
          </cell>
        </row>
        <row r="432">
          <cell r="A432" t="str">
            <v>GRMZM2G032419</v>
          </cell>
          <cell r="B432" t="str">
            <v>GO:0005732GO:0006364GO:0019843</v>
          </cell>
          <cell r="C432" t="str">
            <v>protein</v>
          </cell>
          <cell r="D432" t="str">
            <v>MT0</v>
          </cell>
          <cell r="E432" t="str">
            <v>MT6</v>
          </cell>
          <cell r="F432">
            <v>4.7276600000000002</v>
          </cell>
          <cell r="G432">
            <v>13.949</v>
          </cell>
          <cell r="H432">
            <v>1.56097</v>
          </cell>
        </row>
        <row r="433">
          <cell r="A433" t="str">
            <v>GRMZM2G117064</v>
          </cell>
          <cell r="B433" t="str">
            <v>GO:0003824GO:0008152</v>
          </cell>
          <cell r="C433" t="str">
            <v>long chain acyl- synthetase 9</v>
          </cell>
          <cell r="D433" t="str">
            <v>MT0</v>
          </cell>
          <cell r="E433" t="str">
            <v>MT6</v>
          </cell>
          <cell r="F433">
            <v>0.66335900000000003</v>
          </cell>
          <cell r="G433">
            <v>1.5526800000000001</v>
          </cell>
          <cell r="H433">
            <v>1.2269000000000001</v>
          </cell>
        </row>
        <row r="434">
          <cell r="A434" t="str">
            <v>GRMZM5G843584</v>
          </cell>
          <cell r="B434" t="e">
            <v>#N/A</v>
          </cell>
          <cell r="C434" t="str">
            <v>uncharacterized protein LOC100384657</v>
          </cell>
          <cell r="D434" t="str">
            <v>MT0</v>
          </cell>
          <cell r="E434" t="str">
            <v>MT6</v>
          </cell>
          <cell r="F434">
            <v>0.88331800000000005</v>
          </cell>
          <cell r="G434">
            <v>0.416462</v>
          </cell>
          <cell r="H434">
            <v>-1.0847500000000001</v>
          </cell>
        </row>
        <row r="435">
          <cell r="A435" t="str">
            <v>GRMZM2G117706</v>
          </cell>
          <cell r="B435" t="str">
            <v>GO:0020037GO:0005576GO:0004601GO:0006979GO:0009055</v>
          </cell>
          <cell r="C435" t="str">
            <v>bacterial-induced peroxidase precursor</v>
          </cell>
          <cell r="D435" t="str">
            <v>MT0</v>
          </cell>
          <cell r="E435" t="str">
            <v>MT6</v>
          </cell>
          <cell r="F435">
            <v>0.404387</v>
          </cell>
          <cell r="G435">
            <v>8.2021099999999993</v>
          </cell>
          <cell r="H435">
            <v>4.3421900000000004</v>
          </cell>
        </row>
        <row r="436">
          <cell r="A436" t="str">
            <v>GRMZM2G010044</v>
          </cell>
          <cell r="B436" t="str">
            <v>GO:0008652GO:0016836GO:0051539</v>
          </cell>
          <cell r="C436" t="str">
            <v>3-isopropylmalate dehydratase</v>
          </cell>
          <cell r="D436" t="str">
            <v>MT0</v>
          </cell>
          <cell r="E436" t="str">
            <v>MT6</v>
          </cell>
          <cell r="F436">
            <v>6.3385999999999996</v>
          </cell>
          <cell r="G436">
            <v>201.72900000000001</v>
          </cell>
          <cell r="H436">
            <v>4.9921100000000003</v>
          </cell>
        </row>
        <row r="437">
          <cell r="A437" t="str">
            <v>GRMZM2G457287</v>
          </cell>
          <cell r="B437" t="e">
            <v>#N/A</v>
          </cell>
          <cell r="C437" t="str">
            <v>carboxyl-terminal peptidase</v>
          </cell>
          <cell r="D437" t="str">
            <v>MT0</v>
          </cell>
          <cell r="E437" t="str">
            <v>MT6</v>
          </cell>
          <cell r="F437">
            <v>0.834148</v>
          </cell>
          <cell r="G437">
            <v>3.0684300000000002</v>
          </cell>
          <cell r="H437">
            <v>1.8791199999999999</v>
          </cell>
        </row>
        <row r="438">
          <cell r="A438" t="str">
            <v>GRMZM2G371063</v>
          </cell>
          <cell r="B438" t="str">
            <v>GO:0045454GO:0015035GO:0009055</v>
          </cell>
          <cell r="C438" t="str">
            <v>glutaredoxin-like family protein</v>
          </cell>
          <cell r="D438" t="str">
            <v>MT0</v>
          </cell>
          <cell r="E438" t="str">
            <v>MT6</v>
          </cell>
          <cell r="F438">
            <v>13.6313</v>
          </cell>
          <cell r="G438">
            <v>29.420400000000001</v>
          </cell>
          <cell r="H438">
            <v>1.1099000000000001</v>
          </cell>
        </row>
        <row r="439">
          <cell r="A439" t="str">
            <v>GRMZM2G117971</v>
          </cell>
          <cell r="B439" t="str">
            <v>GO:0050832GO:0042742</v>
          </cell>
          <cell r="C439" t="str">
            <v>pathogenesis-related protein 4</v>
          </cell>
          <cell r="D439" t="str">
            <v>MT0</v>
          </cell>
          <cell r="E439" t="str">
            <v>MT6</v>
          </cell>
          <cell r="F439">
            <v>19.782</v>
          </cell>
          <cell r="G439">
            <v>153.86199999999999</v>
          </cell>
          <cell r="H439">
            <v>2.9593799999999999</v>
          </cell>
        </row>
        <row r="440">
          <cell r="A440" t="str">
            <v>GRMZM2G402167</v>
          </cell>
          <cell r="B440" t="e">
            <v>#N/A</v>
          </cell>
          <cell r="C440">
            <v>0</v>
          </cell>
          <cell r="D440" t="str">
            <v>MT0</v>
          </cell>
          <cell r="E440" t="str">
            <v>MT6</v>
          </cell>
          <cell r="F440">
            <v>0.47049099999999999</v>
          </cell>
          <cell r="G440">
            <v>1.0304</v>
          </cell>
          <cell r="H440">
            <v>1.13097</v>
          </cell>
        </row>
        <row r="441">
          <cell r="A441" t="str">
            <v>ZRP4</v>
          </cell>
          <cell r="B441" t="e">
            <v>#N/A</v>
          </cell>
          <cell r="C441" t="e">
            <v>#N/A</v>
          </cell>
          <cell r="D441" t="str">
            <v>MT0</v>
          </cell>
          <cell r="E441" t="str">
            <v>MT6</v>
          </cell>
          <cell r="F441">
            <v>2.36022</v>
          </cell>
          <cell r="G441">
            <v>1.16431</v>
          </cell>
          <cell r="H441">
            <v>-1.0194399999999999</v>
          </cell>
        </row>
        <row r="442">
          <cell r="A442" t="str">
            <v>GRMZM2G177668</v>
          </cell>
          <cell r="B442" t="str">
            <v>GO:0004497GO:0020037GO:0009055</v>
          </cell>
          <cell r="C442" t="str">
            <v>cytochrome p450 94a2-like</v>
          </cell>
          <cell r="D442" t="str">
            <v>MT0</v>
          </cell>
          <cell r="E442" t="str">
            <v>MT6</v>
          </cell>
          <cell r="F442">
            <v>1.6821900000000001</v>
          </cell>
          <cell r="G442">
            <v>3.4190700000000001</v>
          </cell>
          <cell r="H442">
            <v>1.0232600000000001</v>
          </cell>
        </row>
        <row r="443">
          <cell r="A443" t="str">
            <v>GRMZM2G174449</v>
          </cell>
          <cell r="B443" t="e">
            <v>#N/A</v>
          </cell>
          <cell r="C443" t="str">
            <v>uncharacterized protein LOC100273307</v>
          </cell>
          <cell r="D443" t="str">
            <v>MT0</v>
          </cell>
          <cell r="E443" t="str">
            <v>MT6</v>
          </cell>
          <cell r="F443">
            <v>6.4358700000000004</v>
          </cell>
          <cell r="G443">
            <v>15.832100000000001</v>
          </cell>
          <cell r="H443">
            <v>1.29864</v>
          </cell>
        </row>
        <row r="444">
          <cell r="A444" t="str">
            <v>GRMZM2G176173</v>
          </cell>
          <cell r="B444" t="str">
            <v>GO:0008270GO:0005622</v>
          </cell>
          <cell r="C444" t="str">
            <v>constans-like 1</v>
          </cell>
          <cell r="D444" t="str">
            <v>MT0</v>
          </cell>
          <cell r="E444" t="str">
            <v>MT6</v>
          </cell>
          <cell r="F444">
            <v>1.82629</v>
          </cell>
          <cell r="G444">
            <v>3.7438699999999998</v>
          </cell>
          <cell r="H444">
            <v>1.0356099999999999</v>
          </cell>
        </row>
        <row r="445">
          <cell r="A445" t="str">
            <v>GRMZM2G104942</v>
          </cell>
          <cell r="B445" t="e">
            <v>#N/A</v>
          </cell>
          <cell r="C445" t="str">
            <v>glycerol 3-phosphate permease</v>
          </cell>
          <cell r="D445" t="str">
            <v>MT0</v>
          </cell>
          <cell r="E445" t="str">
            <v>MT6</v>
          </cell>
          <cell r="F445">
            <v>2.2961800000000001</v>
          </cell>
          <cell r="G445">
            <v>5.6645700000000003</v>
          </cell>
          <cell r="H445">
            <v>1.3027299999999999</v>
          </cell>
        </row>
        <row r="446">
          <cell r="A446" t="str">
            <v>GRMZM2G174860</v>
          </cell>
          <cell r="B446" t="str">
            <v>GO:0004806GO:0006629</v>
          </cell>
          <cell r="C446" t="str">
            <v>phospholipase a1- chloroplastic-like</v>
          </cell>
          <cell r="D446" t="str">
            <v>MT0</v>
          </cell>
          <cell r="E446" t="str">
            <v>MT6</v>
          </cell>
          <cell r="F446">
            <v>1.3195300000000001</v>
          </cell>
          <cell r="G446">
            <v>3.05009</v>
          </cell>
          <cell r="H446">
            <v>1.2088300000000001</v>
          </cell>
        </row>
        <row r="447">
          <cell r="A447" t="str">
            <v>GRMZM2G446189</v>
          </cell>
          <cell r="B447" t="str">
            <v>GO:0006468GO:0005524GO:0004672</v>
          </cell>
          <cell r="C447" t="str">
            <v>protein</v>
          </cell>
          <cell r="D447" t="str">
            <v>MT0</v>
          </cell>
          <cell r="E447" t="str">
            <v>MT6</v>
          </cell>
          <cell r="F447">
            <v>4.4730800000000004</v>
          </cell>
          <cell r="G447">
            <v>2.01952</v>
          </cell>
          <cell r="H447">
            <v>-1.1472599999999999</v>
          </cell>
        </row>
        <row r="448">
          <cell r="A448" t="str">
            <v>TSB1</v>
          </cell>
          <cell r="B448" t="e">
            <v>#N/A</v>
          </cell>
          <cell r="C448" t="e">
            <v>#N/A</v>
          </cell>
          <cell r="D448" t="str">
            <v>MT0</v>
          </cell>
          <cell r="E448" t="str">
            <v>MT6</v>
          </cell>
          <cell r="F448">
            <v>0.76069600000000004</v>
          </cell>
          <cell r="G448">
            <v>1.7986500000000001</v>
          </cell>
          <cell r="H448">
            <v>1.24152</v>
          </cell>
        </row>
        <row r="449">
          <cell r="A449" t="str">
            <v>AC193632.2_FG002</v>
          </cell>
          <cell r="B449" t="str">
            <v>GO:0006468GO:0004674GO:0004713GO:0004568GO:0006032GO:0005524</v>
          </cell>
          <cell r="C449" t="e">
            <v>#N/A</v>
          </cell>
          <cell r="D449" t="str">
            <v>MT0</v>
          </cell>
          <cell r="E449" t="str">
            <v>MT6</v>
          </cell>
          <cell r="F449">
            <v>0.44244800000000001</v>
          </cell>
          <cell r="G449">
            <v>1.3504100000000001</v>
          </cell>
          <cell r="H449">
            <v>1.60982</v>
          </cell>
        </row>
        <row r="450">
          <cell r="A450" t="str">
            <v>GRMZM2G121494</v>
          </cell>
          <cell r="B450" t="e">
            <v>#N/A</v>
          </cell>
          <cell r="C450" t="str">
            <v>protein proton gradient regulation</v>
          </cell>
          <cell r="D450" t="str">
            <v>MT0</v>
          </cell>
          <cell r="E450" t="str">
            <v>MT6</v>
          </cell>
          <cell r="F450">
            <v>21.138500000000001</v>
          </cell>
          <cell r="G450">
            <v>50.905999999999999</v>
          </cell>
          <cell r="H450">
            <v>1.26797</v>
          </cell>
        </row>
        <row r="451">
          <cell r="A451" t="str">
            <v>GRMZM2G007953</v>
          </cell>
          <cell r="B451" t="str">
            <v>GO:0016020GO:0004349GO:0006561</v>
          </cell>
          <cell r="C451" t="str">
            <v>auxin-induced protein 5ng4-like</v>
          </cell>
          <cell r="D451" t="str">
            <v>MT0</v>
          </cell>
          <cell r="E451" t="str">
            <v>MT6</v>
          </cell>
          <cell r="F451">
            <v>0.55517899999999998</v>
          </cell>
          <cell r="G451">
            <v>1.1534599999999999</v>
          </cell>
          <cell r="H451">
            <v>1.05494</v>
          </cell>
        </row>
        <row r="452">
          <cell r="A452" t="str">
            <v>GRMZM2G359986</v>
          </cell>
          <cell r="B452" t="str">
            <v>GO:0004674GO:0006468GO:0004713GO:0005524</v>
          </cell>
          <cell r="C452" t="str">
            <v>wall-associated receptor kinase-like 20</v>
          </cell>
          <cell r="D452" t="str">
            <v>MT0</v>
          </cell>
          <cell r="E452" t="str">
            <v>MT6</v>
          </cell>
          <cell r="F452">
            <v>0.98475000000000001</v>
          </cell>
          <cell r="G452">
            <v>2.4946299999999999</v>
          </cell>
          <cell r="H452">
            <v>1.341</v>
          </cell>
        </row>
        <row r="453">
          <cell r="A453" t="str">
            <v>GRMZM2G167875</v>
          </cell>
          <cell r="B453" t="e">
            <v>#N/A</v>
          </cell>
          <cell r="C453" t="str">
            <v>60s ribosomal protein l18a</v>
          </cell>
          <cell r="D453" t="str">
            <v>MT0</v>
          </cell>
          <cell r="E453" t="str">
            <v>MT6</v>
          </cell>
          <cell r="F453">
            <v>1.83457</v>
          </cell>
          <cell r="G453">
            <v>3.84307</v>
          </cell>
          <cell r="H453">
            <v>1.06681</v>
          </cell>
        </row>
        <row r="454">
          <cell r="A454" t="str">
            <v>AC187879.3_FG001</v>
          </cell>
          <cell r="B454" t="e">
            <v>#N/A</v>
          </cell>
          <cell r="C454" t="e">
            <v>#N/A</v>
          </cell>
          <cell r="D454" t="str">
            <v>MT0</v>
          </cell>
          <cell r="E454" t="str">
            <v>MT6</v>
          </cell>
          <cell r="F454">
            <v>14.721500000000001</v>
          </cell>
          <cell r="G454">
            <v>7.2505499999999996</v>
          </cell>
          <cell r="H454">
            <v>-1.0217700000000001</v>
          </cell>
        </row>
        <row r="455">
          <cell r="A455" t="str">
            <v>AC214635.3_FG006</v>
          </cell>
          <cell r="B455" t="e">
            <v>#N/A</v>
          </cell>
          <cell r="C455" t="e">
            <v>#N/A</v>
          </cell>
          <cell r="D455" t="str">
            <v>MT0</v>
          </cell>
          <cell r="E455" t="str">
            <v>MT6</v>
          </cell>
          <cell r="F455">
            <v>0</v>
          </cell>
          <cell r="G455">
            <v>3.4809399999999999</v>
          </cell>
          <cell r="H455" t="str">
            <v>inf</v>
          </cell>
        </row>
        <row r="456">
          <cell r="A456" t="str">
            <v>GRMZM5G872279</v>
          </cell>
          <cell r="B456" t="e">
            <v>#N/A</v>
          </cell>
          <cell r="C456">
            <v>0</v>
          </cell>
          <cell r="D456" t="str">
            <v>MT0</v>
          </cell>
          <cell r="E456" t="str">
            <v>MT6</v>
          </cell>
          <cell r="F456">
            <v>7.0156099999999997</v>
          </cell>
          <cell r="G456">
            <v>3.2450600000000001</v>
          </cell>
          <cell r="H456">
            <v>-1.11232</v>
          </cell>
        </row>
        <row r="457">
          <cell r="A457" t="str">
            <v>GRMZM2G160541</v>
          </cell>
          <cell r="B457" t="str">
            <v>GO:0005737GO:0009058GO:0016841GO:0016211GO:0006559</v>
          </cell>
          <cell r="C457" t="str">
            <v>phenylalanine ammonia-lyase</v>
          </cell>
          <cell r="D457" t="str">
            <v>MT0</v>
          </cell>
          <cell r="E457" t="str">
            <v>MT6</v>
          </cell>
          <cell r="F457">
            <v>5.4893999999999998</v>
          </cell>
          <cell r="G457">
            <v>19.483899999999998</v>
          </cell>
          <cell r="H457">
            <v>1.8275600000000001</v>
          </cell>
        </row>
        <row r="458">
          <cell r="A458" t="str">
            <v>GRMZM5G802941</v>
          </cell>
          <cell r="B458" t="e">
            <v>#N/A</v>
          </cell>
          <cell r="C458">
            <v>0</v>
          </cell>
          <cell r="D458" t="str">
            <v>MT0</v>
          </cell>
          <cell r="E458" t="str">
            <v>MT6</v>
          </cell>
          <cell r="F458">
            <v>14.9101</v>
          </cell>
          <cell r="G458">
            <v>7.3357700000000001</v>
          </cell>
          <cell r="H458">
            <v>-1.0232699999999999</v>
          </cell>
        </row>
        <row r="459">
          <cell r="A459" t="str">
            <v>GRMZM2G038243</v>
          </cell>
          <cell r="B459" t="str">
            <v>GO:0050660GO:0016491</v>
          </cell>
          <cell r="C459" t="str">
            <v>transferase family protein</v>
          </cell>
          <cell r="D459" t="str">
            <v>MT0</v>
          </cell>
          <cell r="E459" t="str">
            <v>MT6</v>
          </cell>
          <cell r="F459">
            <v>1.6270100000000001</v>
          </cell>
          <cell r="G459">
            <v>3.6110699999999998</v>
          </cell>
          <cell r="H459">
            <v>1.15021</v>
          </cell>
        </row>
        <row r="460">
          <cell r="A460" t="str">
            <v>GRMZM2G028438</v>
          </cell>
          <cell r="B460" t="str">
            <v>GO:0050825GO:0042309GO:0050826</v>
          </cell>
          <cell r="C460" t="str">
            <v>gras family transcription factor</v>
          </cell>
          <cell r="D460" t="str">
            <v>MT0</v>
          </cell>
          <cell r="E460" t="str">
            <v>MT6</v>
          </cell>
          <cell r="F460">
            <v>6.6764400000000004</v>
          </cell>
          <cell r="G460">
            <v>2.85656</v>
          </cell>
          <cell r="H460">
            <v>-1.2248000000000001</v>
          </cell>
        </row>
        <row r="461">
          <cell r="A461" t="str">
            <v>GRMZM2G011253</v>
          </cell>
          <cell r="B461" t="str">
            <v>GO:0003735GO:0006412GO:0005840</v>
          </cell>
          <cell r="C461" t="str">
            <v>60s ribosomal protein l31a</v>
          </cell>
          <cell r="D461" t="str">
            <v>MT0</v>
          </cell>
          <cell r="E461" t="str">
            <v>MT6</v>
          </cell>
          <cell r="F461">
            <v>5.5639700000000003</v>
          </cell>
          <cell r="G461">
            <v>11.4183</v>
          </cell>
          <cell r="H461">
            <v>1.0371600000000001</v>
          </cell>
        </row>
        <row r="462">
          <cell r="A462" t="str">
            <v>GRMZM2G162007</v>
          </cell>
          <cell r="B462" t="str">
            <v>GO:0008270GO:0055114GO:0016491</v>
          </cell>
          <cell r="C462" t="str">
            <v>quinone oxidoreductase</v>
          </cell>
          <cell r="D462" t="str">
            <v>MT0</v>
          </cell>
          <cell r="E462" t="str">
            <v>MT6</v>
          </cell>
          <cell r="F462">
            <v>1.3928700000000001</v>
          </cell>
          <cell r="G462">
            <v>0.67856300000000003</v>
          </cell>
          <cell r="H462">
            <v>-1.0375099999999999</v>
          </cell>
        </row>
        <row r="463">
          <cell r="A463" t="str">
            <v>GRMZM2G471594</v>
          </cell>
          <cell r="B463" t="str">
            <v>GO:0008107GO:0016020GO:0042546</v>
          </cell>
          <cell r="C463" t="str">
            <v>galactoside 2-alpha-l-fucosyltransferase</v>
          </cell>
          <cell r="D463" t="str">
            <v>MT0</v>
          </cell>
          <cell r="E463" t="str">
            <v>MT6</v>
          </cell>
          <cell r="F463">
            <v>1.03796</v>
          </cell>
          <cell r="G463">
            <v>0.31313200000000002</v>
          </cell>
          <cell r="H463">
            <v>-1.7289099999999999</v>
          </cell>
        </row>
        <row r="464">
          <cell r="A464" t="str">
            <v>GRMZM2G149422</v>
          </cell>
          <cell r="B464" t="e">
            <v>#N/A</v>
          </cell>
          <cell r="C464" t="str">
            <v>phi-1-like phosphate-induced protein</v>
          </cell>
          <cell r="D464" t="str">
            <v>MT0</v>
          </cell>
          <cell r="E464" t="str">
            <v>MT6</v>
          </cell>
          <cell r="F464">
            <v>2.2815799999999999</v>
          </cell>
          <cell r="G464">
            <v>0.96648999999999996</v>
          </cell>
          <cell r="H464">
            <v>-1.2392099999999999</v>
          </cell>
        </row>
        <row r="465">
          <cell r="A465" t="str">
            <v>GRMZM2G041699</v>
          </cell>
          <cell r="B465" t="str">
            <v>GO:0016758GO:0008152</v>
          </cell>
          <cell r="C465" t="str">
            <v>cytokinin-o-glucosyltransferase 2</v>
          </cell>
          <cell r="D465" t="str">
            <v>MT0</v>
          </cell>
          <cell r="E465" t="str">
            <v>MT6</v>
          </cell>
          <cell r="F465">
            <v>1.58294</v>
          </cell>
          <cell r="G465">
            <v>0.57338800000000001</v>
          </cell>
          <cell r="H465">
            <v>-1.46502</v>
          </cell>
        </row>
        <row r="466">
          <cell r="A466" t="str">
            <v>GRMZM2G115481</v>
          </cell>
          <cell r="B466" t="e">
            <v>#N/A</v>
          </cell>
          <cell r="C466" t="str">
            <v>gtp binding protein</v>
          </cell>
          <cell r="D466" t="str">
            <v>MT0</v>
          </cell>
          <cell r="E466" t="str">
            <v>MT6</v>
          </cell>
          <cell r="F466">
            <v>1.7155100000000001</v>
          </cell>
          <cell r="G466">
            <v>3.5545599999999999</v>
          </cell>
          <cell r="H466">
            <v>1.0510299999999999</v>
          </cell>
        </row>
        <row r="467">
          <cell r="A467" t="str">
            <v>GRMZM2G132880</v>
          </cell>
          <cell r="B467" t="e">
            <v>#N/A</v>
          </cell>
          <cell r="C467" t="str">
            <v>terminal flower 1</v>
          </cell>
          <cell r="D467" t="str">
            <v>MT0</v>
          </cell>
          <cell r="E467" t="str">
            <v>MT6</v>
          </cell>
          <cell r="F467">
            <v>3.4230200000000002</v>
          </cell>
          <cell r="G467">
            <v>0.39998899999999998</v>
          </cell>
          <cell r="H467">
            <v>-3.0972400000000002</v>
          </cell>
        </row>
        <row r="468">
          <cell r="A468" t="str">
            <v>GRMZM2G116629</v>
          </cell>
          <cell r="B468" t="e">
            <v>#N/A</v>
          </cell>
          <cell r="C468" t="str">
            <v>o-glucosyltransferase rumi homolog</v>
          </cell>
          <cell r="D468" t="str">
            <v>MT0</v>
          </cell>
          <cell r="E468" t="str">
            <v>MT6</v>
          </cell>
          <cell r="F468">
            <v>0.59664300000000003</v>
          </cell>
          <cell r="G468">
            <v>1.2359</v>
          </cell>
          <cell r="H468">
            <v>1.0506200000000001</v>
          </cell>
        </row>
        <row r="469">
          <cell r="A469" t="str">
            <v>GRMZM2G164781</v>
          </cell>
          <cell r="B469" t="e">
            <v>#N/A</v>
          </cell>
          <cell r="C469" t="str">
            <v>unknown</v>
          </cell>
          <cell r="D469" t="str">
            <v>MT0</v>
          </cell>
          <cell r="E469" t="str">
            <v>MT6</v>
          </cell>
          <cell r="F469">
            <v>1.1394500000000001</v>
          </cell>
          <cell r="G469">
            <v>0.197989</v>
          </cell>
          <cell r="H469">
            <v>-2.5248400000000002</v>
          </cell>
        </row>
        <row r="470">
          <cell r="A470" t="str">
            <v>GRMZM2G332522</v>
          </cell>
          <cell r="B470" t="str">
            <v>GO:0008171</v>
          </cell>
          <cell r="C470" t="str">
            <v>caffeoyl- 3-o-methyltransferase 1</v>
          </cell>
          <cell r="D470" t="str">
            <v>MT0</v>
          </cell>
          <cell r="E470" t="str">
            <v>MT6</v>
          </cell>
          <cell r="F470">
            <v>4.3082799999999999</v>
          </cell>
          <cell r="G470">
            <v>10.0657</v>
          </cell>
          <cell r="H470">
            <v>1.2242599999999999</v>
          </cell>
        </row>
        <row r="471">
          <cell r="A471" t="str">
            <v>GRMZM2G033952</v>
          </cell>
          <cell r="B471" t="str">
            <v>GO:0008171</v>
          </cell>
          <cell r="C471" t="str">
            <v>caffeoyl- o-methyltransferase</v>
          </cell>
          <cell r="D471" t="str">
            <v>MT0</v>
          </cell>
          <cell r="E471" t="str">
            <v>MT6</v>
          </cell>
          <cell r="F471">
            <v>1.2241899999999999</v>
          </cell>
          <cell r="G471">
            <v>5.8654200000000003</v>
          </cell>
          <cell r="H471">
            <v>2.2604000000000002</v>
          </cell>
        </row>
        <row r="472">
          <cell r="A472" t="str">
            <v>GRMZM2G033236</v>
          </cell>
          <cell r="B472" t="e">
            <v>#N/A</v>
          </cell>
          <cell r="C472">
            <v>0</v>
          </cell>
          <cell r="D472" t="str">
            <v>MT0</v>
          </cell>
          <cell r="E472" t="str">
            <v>MT6</v>
          </cell>
          <cell r="F472">
            <v>121.642</v>
          </cell>
          <cell r="G472">
            <v>58.9283</v>
          </cell>
          <cell r="H472">
            <v>-1.0456099999999999</v>
          </cell>
        </row>
        <row r="473">
          <cell r="A473" t="str">
            <v>GRMZM2G130389</v>
          </cell>
          <cell r="B473" t="str">
            <v>GO:0004674GO:0006468GO:0004713GO:0005524</v>
          </cell>
          <cell r="C473" t="str">
            <v>serine threonine protein kinase</v>
          </cell>
          <cell r="D473" t="str">
            <v>MT0</v>
          </cell>
          <cell r="E473" t="str">
            <v>MT6</v>
          </cell>
          <cell r="F473">
            <v>0.48227799999999998</v>
          </cell>
          <cell r="G473">
            <v>1.55585</v>
          </cell>
          <cell r="H473">
            <v>1.68977</v>
          </cell>
        </row>
        <row r="474">
          <cell r="A474" t="str">
            <v>GRMZM2G045057</v>
          </cell>
          <cell r="B474" t="e">
            <v>#N/A</v>
          </cell>
          <cell r="C474" t="str">
            <v>auxin influx carrier protein</v>
          </cell>
          <cell r="D474" t="str">
            <v>MT0</v>
          </cell>
          <cell r="E474" t="str">
            <v>MT6</v>
          </cell>
          <cell r="F474">
            <v>1.13381</v>
          </cell>
          <cell r="G474">
            <v>0.34300900000000001</v>
          </cell>
          <cell r="H474">
            <v>-1.72485</v>
          </cell>
        </row>
        <row r="475">
          <cell r="A475" t="str">
            <v>GRMZM2G149739</v>
          </cell>
          <cell r="B475" t="str">
            <v>GO:0050825GO:0042309GO:0050826</v>
          </cell>
          <cell r="C475" t="str">
            <v>hypothetical protein SORBIDRAFT_05g021670</v>
          </cell>
          <cell r="D475" t="str">
            <v>MT0</v>
          </cell>
          <cell r="E475" t="str">
            <v>MT6</v>
          </cell>
          <cell r="F475">
            <v>1.1389800000000001</v>
          </cell>
          <cell r="G475">
            <v>2.3529800000000001</v>
          </cell>
          <cell r="H475">
            <v>1.04674</v>
          </cell>
        </row>
        <row r="476">
          <cell r="A476" t="str">
            <v>GRMZM2G481440</v>
          </cell>
          <cell r="B476" t="str">
            <v>GO:0015297GO:0016020GO:0006855GO:0015238</v>
          </cell>
          <cell r="C476" t="str">
            <v>mate efflux domain-containing protein</v>
          </cell>
          <cell r="D476" t="str">
            <v>MT0</v>
          </cell>
          <cell r="E476" t="str">
            <v>MT6</v>
          </cell>
          <cell r="F476">
            <v>0.60057799999999995</v>
          </cell>
          <cell r="G476">
            <v>1.4106000000000001</v>
          </cell>
          <cell r="H476">
            <v>1.2318899999999999</v>
          </cell>
        </row>
        <row r="477">
          <cell r="A477" t="str">
            <v>GRMZM2G018673</v>
          </cell>
          <cell r="B477" t="e">
            <v>#N/A</v>
          </cell>
          <cell r="C477" t="str">
            <v>uncharacterized protein LOC100277448</v>
          </cell>
          <cell r="D477" t="str">
            <v>MT0</v>
          </cell>
          <cell r="E477" t="str">
            <v>MT6</v>
          </cell>
          <cell r="F477">
            <v>0.69017099999999998</v>
          </cell>
          <cell r="G477">
            <v>1.80497</v>
          </cell>
          <cell r="H477">
            <v>1.3869499999999999</v>
          </cell>
        </row>
        <row r="478">
          <cell r="A478" t="str">
            <v>GRMZM2G040452</v>
          </cell>
          <cell r="B478" t="str">
            <v>GO:0003824</v>
          </cell>
          <cell r="C478" t="str">
            <v>protein phosphatase-</v>
          </cell>
          <cell r="D478" t="str">
            <v>MT0</v>
          </cell>
          <cell r="E478" t="str">
            <v>MT6</v>
          </cell>
          <cell r="F478">
            <v>60.5792</v>
          </cell>
          <cell r="G478">
            <v>26.729800000000001</v>
          </cell>
          <cell r="H478">
            <v>-1.1803699999999999</v>
          </cell>
        </row>
        <row r="479">
          <cell r="A479" t="str">
            <v>GRMZM2G003411</v>
          </cell>
          <cell r="B479" t="str">
            <v>GO:0016020GO:0016887GO:0005524</v>
          </cell>
          <cell r="C479" t="str">
            <v>pdr-like abc transporter</v>
          </cell>
          <cell r="D479" t="str">
            <v>MT0</v>
          </cell>
          <cell r="E479" t="str">
            <v>MT6</v>
          </cell>
          <cell r="F479">
            <v>0.51327699999999998</v>
          </cell>
          <cell r="G479">
            <v>4.8539099999999999</v>
          </cell>
          <cell r="H479">
            <v>3.2413400000000001</v>
          </cell>
        </row>
        <row r="480">
          <cell r="A480" t="str">
            <v>GRMZM2G062600</v>
          </cell>
          <cell r="B480" t="str">
            <v>GO:0005975GO:0004553</v>
          </cell>
          <cell r="C480" t="str">
            <v>beta glucanase</v>
          </cell>
          <cell r="D480" t="str">
            <v>MT0</v>
          </cell>
          <cell r="E480" t="str">
            <v>MT6</v>
          </cell>
          <cell r="F480">
            <v>0.41998000000000002</v>
          </cell>
          <cell r="G480">
            <v>0.98652399999999996</v>
          </cell>
          <cell r="H480">
            <v>1.23203</v>
          </cell>
        </row>
        <row r="481">
          <cell r="A481" t="str">
            <v>GRMZM2G133988</v>
          </cell>
          <cell r="B481" t="str">
            <v>GO:0008152</v>
          </cell>
          <cell r="C481" t="str">
            <v>3-isopropylmalate dehydratase-like</v>
          </cell>
          <cell r="D481" t="str">
            <v>MT0</v>
          </cell>
          <cell r="E481" t="str">
            <v>MT6</v>
          </cell>
          <cell r="F481">
            <v>1.19113</v>
          </cell>
          <cell r="G481">
            <v>41.421999999999997</v>
          </cell>
          <cell r="H481">
            <v>5.1199899999999996</v>
          </cell>
        </row>
        <row r="482">
          <cell r="A482" t="str">
            <v>GRMZM2G374074</v>
          </cell>
          <cell r="B482" t="e">
            <v>#N/A</v>
          </cell>
          <cell r="C482" t="str">
            <v>uncharacterized protein LOC100274621</v>
          </cell>
          <cell r="D482" t="str">
            <v>MT0</v>
          </cell>
          <cell r="E482" t="str">
            <v>MT6</v>
          </cell>
          <cell r="F482">
            <v>0.95603800000000005</v>
          </cell>
          <cell r="G482">
            <v>3.0633499999999998</v>
          </cell>
          <cell r="H482">
            <v>1.67997</v>
          </cell>
        </row>
        <row r="483">
          <cell r="A483" t="str">
            <v>CNR9</v>
          </cell>
          <cell r="B483" t="e">
            <v>#N/A</v>
          </cell>
          <cell r="C483" t="e">
            <v>#N/A</v>
          </cell>
          <cell r="D483" t="str">
            <v>MT0</v>
          </cell>
          <cell r="E483" t="str">
            <v>MT6</v>
          </cell>
          <cell r="F483">
            <v>1.7488600000000001</v>
          </cell>
          <cell r="G483">
            <v>3.5392800000000002</v>
          </cell>
          <cell r="H483">
            <v>1.0170399999999999</v>
          </cell>
        </row>
        <row r="484">
          <cell r="A484" t="str">
            <v>CNR10</v>
          </cell>
          <cell r="B484" t="e">
            <v>#N/A</v>
          </cell>
          <cell r="C484" t="e">
            <v>#N/A</v>
          </cell>
          <cell r="D484" t="str">
            <v>MT0</v>
          </cell>
          <cell r="E484" t="str">
            <v>MT6</v>
          </cell>
          <cell r="F484">
            <v>14.6378</v>
          </cell>
          <cell r="G484">
            <v>35.284799999999997</v>
          </cell>
          <cell r="H484">
            <v>1.26935</v>
          </cell>
        </row>
        <row r="485">
          <cell r="A485" t="str">
            <v>AC212728.3_FG001</v>
          </cell>
          <cell r="B485" t="str">
            <v>GO:0005576GO:0004867</v>
          </cell>
          <cell r="C485" t="e">
            <v>#N/A</v>
          </cell>
          <cell r="D485" t="str">
            <v>MT0</v>
          </cell>
          <cell r="E485" t="str">
            <v>MT6</v>
          </cell>
          <cell r="F485">
            <v>7.88626</v>
          </cell>
          <cell r="G485">
            <v>3.2768700000000002</v>
          </cell>
          <cell r="H485">
            <v>-1.26702</v>
          </cell>
        </row>
        <row r="486">
          <cell r="A486" t="str">
            <v>AC210013.4_FG003</v>
          </cell>
          <cell r="B486" t="str">
            <v>GO:0008168GO:0006694</v>
          </cell>
          <cell r="C486" t="e">
            <v>#N/A</v>
          </cell>
          <cell r="D486" t="str">
            <v>MT0</v>
          </cell>
          <cell r="E486" t="str">
            <v>MT6</v>
          </cell>
          <cell r="F486">
            <v>0.89339299999999999</v>
          </cell>
          <cell r="G486">
            <v>0.43862600000000002</v>
          </cell>
          <cell r="H486">
            <v>-1.0263</v>
          </cell>
        </row>
        <row r="487">
          <cell r="A487" t="str">
            <v>GRMZM2G115612</v>
          </cell>
          <cell r="B487" t="e">
            <v>#N/A</v>
          </cell>
          <cell r="C487" t="str">
            <v>phosphatidic acid phosphatase family protein</v>
          </cell>
          <cell r="D487" t="str">
            <v>MT0</v>
          </cell>
          <cell r="E487" t="str">
            <v>MT6</v>
          </cell>
          <cell r="F487">
            <v>1.55752</v>
          </cell>
          <cell r="G487">
            <v>3.2166399999999999</v>
          </cell>
          <cell r="H487">
            <v>1.0463100000000001</v>
          </cell>
        </row>
        <row r="488">
          <cell r="A488" t="str">
            <v>GRMZM2G158359</v>
          </cell>
          <cell r="B488" t="str">
            <v>GO:0004674GO:0006468GO:0005524GO:0005515GO:0004713</v>
          </cell>
          <cell r="C488" t="str">
            <v>receptor protein</v>
          </cell>
          <cell r="D488" t="str">
            <v>MT0</v>
          </cell>
          <cell r="E488" t="str">
            <v>MT6</v>
          </cell>
          <cell r="F488">
            <v>11.3964</v>
          </cell>
          <cell r="G488">
            <v>4.9343500000000002</v>
          </cell>
          <cell r="H488">
            <v>-1.20764</v>
          </cell>
        </row>
        <row r="489">
          <cell r="A489" t="str">
            <v>GRMZM2G166719</v>
          </cell>
          <cell r="B489" t="str">
            <v>GO:0004674GO:0006468GO:0004713GO:0005524</v>
          </cell>
          <cell r="C489" t="str">
            <v>protein kinase domain containing protein</v>
          </cell>
          <cell r="D489" t="str">
            <v>MT0</v>
          </cell>
          <cell r="E489" t="str">
            <v>MT6</v>
          </cell>
          <cell r="F489">
            <v>1.68712</v>
          </cell>
          <cell r="G489">
            <v>4.5646000000000004</v>
          </cell>
          <cell r="H489">
            <v>1.4359200000000001</v>
          </cell>
        </row>
        <row r="490">
          <cell r="A490" t="str">
            <v>GRMZM2G326707</v>
          </cell>
          <cell r="B490" t="str">
            <v>GO:0005315GO:0016021GO:0006817</v>
          </cell>
          <cell r="C490" t="str">
            <v>phosphate transporter 4</v>
          </cell>
          <cell r="D490" t="str">
            <v>MT0</v>
          </cell>
          <cell r="E490" t="str">
            <v>MT6</v>
          </cell>
          <cell r="F490">
            <v>20.258900000000001</v>
          </cell>
          <cell r="G490">
            <v>49.096699999999998</v>
          </cell>
          <cell r="H490">
            <v>1.2770699999999999</v>
          </cell>
        </row>
        <row r="491">
          <cell r="A491" t="str">
            <v>GRMZM2G173596</v>
          </cell>
          <cell r="B491" t="e">
            <v>#N/A</v>
          </cell>
          <cell r="C491" t="str">
            <v>zim motif family protein</v>
          </cell>
          <cell r="D491" t="str">
            <v>MT0</v>
          </cell>
          <cell r="E491" t="str">
            <v>MT6</v>
          </cell>
          <cell r="F491">
            <v>1.6556900000000001</v>
          </cell>
          <cell r="G491">
            <v>4.63774</v>
          </cell>
          <cell r="H491">
            <v>1.4859899999999999</v>
          </cell>
        </row>
        <row r="492">
          <cell r="A492" t="str">
            <v>GRMZM2G071087</v>
          </cell>
          <cell r="B492" t="str">
            <v>GO:0004721</v>
          </cell>
          <cell r="C492" t="str">
            <v>protein phosphatase 2c containing expressed</v>
          </cell>
          <cell r="D492" t="str">
            <v>MT0</v>
          </cell>
          <cell r="E492" t="str">
            <v>MT6</v>
          </cell>
          <cell r="F492">
            <v>64.821799999999996</v>
          </cell>
          <cell r="G492">
            <v>30.485700000000001</v>
          </cell>
          <cell r="H492">
            <v>-1.0883400000000001</v>
          </cell>
        </row>
        <row r="493">
          <cell r="A493" t="str">
            <v>GRMZM5G821668</v>
          </cell>
          <cell r="B493" t="e">
            <v>#N/A</v>
          </cell>
          <cell r="C493" t="str">
            <v>uncharacterized protein LOC100384072 precursor</v>
          </cell>
          <cell r="D493" t="str">
            <v>MT0</v>
          </cell>
          <cell r="E493" t="str">
            <v>MT6</v>
          </cell>
          <cell r="F493">
            <v>5.83744</v>
          </cell>
          <cell r="G493">
            <v>11.9129</v>
          </cell>
          <cell r="H493">
            <v>1.02911</v>
          </cell>
        </row>
        <row r="494">
          <cell r="A494" t="str">
            <v>GRMZM2G026980</v>
          </cell>
          <cell r="B494" t="str">
            <v>GO:0005618GO:0048046GO:0016762GO:0006073GO:0004553</v>
          </cell>
          <cell r="C494" t="str">
            <v>xyloglucan endotransglycosylase</v>
          </cell>
          <cell r="D494" t="str">
            <v>MT0</v>
          </cell>
          <cell r="E494" t="str">
            <v>MT6</v>
          </cell>
          <cell r="F494">
            <v>561.09699999999998</v>
          </cell>
          <cell r="G494">
            <v>221.88800000000001</v>
          </cell>
          <cell r="H494">
            <v>-1.3384199999999999</v>
          </cell>
        </row>
        <row r="495">
          <cell r="A495" t="str">
            <v>GRMZM2G347766</v>
          </cell>
          <cell r="B495" t="str">
            <v>GO:0016491</v>
          </cell>
          <cell r="C495" t="str">
            <v>n-acetylglucosaminyltransferase-like protein</v>
          </cell>
          <cell r="D495" t="str">
            <v>MT0</v>
          </cell>
          <cell r="E495" t="str">
            <v>MT6</v>
          </cell>
          <cell r="F495">
            <v>1.6052500000000001</v>
          </cell>
          <cell r="G495">
            <v>3.2161499999999998</v>
          </cell>
          <cell r="H495">
            <v>1.00254</v>
          </cell>
        </row>
        <row r="496">
          <cell r="A496" t="str">
            <v>GRMZM2G089836</v>
          </cell>
          <cell r="B496" t="str">
            <v>GO:0005975GO:0015232GO:0015886GO:0016020GO:0017004GO:0004553</v>
          </cell>
          <cell r="C496" t="str">
            <v>soluble acid invertase</v>
          </cell>
          <cell r="D496" t="str">
            <v>MT0</v>
          </cell>
          <cell r="E496" t="str">
            <v>MT6</v>
          </cell>
          <cell r="F496">
            <v>12.673</v>
          </cell>
          <cell r="G496">
            <v>5.9493600000000004</v>
          </cell>
          <cell r="H496">
            <v>-1.0909500000000001</v>
          </cell>
        </row>
        <row r="497">
          <cell r="A497" t="str">
            <v>GRMZM2G064406</v>
          </cell>
          <cell r="B497" t="str">
            <v>GO:0016829GO:0000287GO:0008152</v>
          </cell>
          <cell r="C497" t="str">
            <v>terpene synthase 2</v>
          </cell>
          <cell r="D497" t="str">
            <v>MT0</v>
          </cell>
          <cell r="E497" t="str">
            <v>MT6</v>
          </cell>
          <cell r="F497">
            <v>0.30907800000000002</v>
          </cell>
          <cell r="G497">
            <v>1.51953</v>
          </cell>
          <cell r="H497">
            <v>2.29759</v>
          </cell>
        </row>
        <row r="498">
          <cell r="A498" t="str">
            <v>GRMZM2G029879</v>
          </cell>
          <cell r="B498" t="e">
            <v>#N/A</v>
          </cell>
          <cell r="C498" t="str">
            <v>cyclin-dependent protein</v>
          </cell>
          <cell r="D498" t="str">
            <v>MT0</v>
          </cell>
          <cell r="E498" t="str">
            <v>MT6</v>
          </cell>
          <cell r="F498">
            <v>1.335</v>
          </cell>
          <cell r="G498">
            <v>0.51204099999999997</v>
          </cell>
          <cell r="H498">
            <v>-1.3825099999999999</v>
          </cell>
        </row>
        <row r="499">
          <cell r="A499" t="str">
            <v>GRMZM5G899308</v>
          </cell>
          <cell r="B499" t="e">
            <v>#N/A</v>
          </cell>
          <cell r="C499" t="str">
            <v>uncharacterized protein LOC100384155</v>
          </cell>
          <cell r="D499" t="str">
            <v>MT0</v>
          </cell>
          <cell r="E499" t="str">
            <v>MT6</v>
          </cell>
          <cell r="F499">
            <v>4.2740600000000004</v>
          </cell>
          <cell r="G499">
            <v>12.2417</v>
          </cell>
          <cell r="H499">
            <v>1.51813</v>
          </cell>
        </row>
        <row r="500">
          <cell r="A500" t="str">
            <v>GRMZM2G083526</v>
          </cell>
          <cell r="B500" t="str">
            <v>GO:0006633GO:0005506GO:0005783GO:0055114GO:0016491</v>
          </cell>
          <cell r="C500" t="str">
            <v>protein wax2-like isoform 1</v>
          </cell>
          <cell r="D500" t="str">
            <v>MT0</v>
          </cell>
          <cell r="E500" t="str">
            <v>MT6</v>
          </cell>
          <cell r="F500">
            <v>12.494300000000001</v>
          </cell>
          <cell r="G500">
            <v>46.430199999999999</v>
          </cell>
          <cell r="H500">
            <v>1.8937900000000001</v>
          </cell>
        </row>
        <row r="501">
          <cell r="A501" t="str">
            <v>GRMZM2G107715</v>
          </cell>
          <cell r="B501" t="e">
            <v>#N/A</v>
          </cell>
          <cell r="C501">
            <v>0</v>
          </cell>
          <cell r="D501" t="str">
            <v>MT0</v>
          </cell>
          <cell r="E501" t="str">
            <v>MT6</v>
          </cell>
          <cell r="F501">
            <v>22.782800000000002</v>
          </cell>
          <cell r="G501">
            <v>8.3915299999999995</v>
          </cell>
          <cell r="H501">
            <v>-1.4409400000000001</v>
          </cell>
        </row>
        <row r="502">
          <cell r="A502" t="str">
            <v>GRMZM2G701781</v>
          </cell>
          <cell r="B502" t="e">
            <v>#N/A</v>
          </cell>
          <cell r="C502">
            <v>0</v>
          </cell>
          <cell r="D502" t="str">
            <v>MT0</v>
          </cell>
          <cell r="E502" t="str">
            <v>MT6</v>
          </cell>
          <cell r="F502">
            <v>29.863900000000001</v>
          </cell>
          <cell r="G502">
            <v>13.965299999999999</v>
          </cell>
          <cell r="H502">
            <v>-1.09656</v>
          </cell>
        </row>
        <row r="503">
          <cell r="A503" t="str">
            <v>NIP1-1</v>
          </cell>
          <cell r="B503" t="e">
            <v>#N/A</v>
          </cell>
          <cell r="C503" t="e">
            <v>#N/A</v>
          </cell>
          <cell r="D503" t="str">
            <v>MT0</v>
          </cell>
          <cell r="E503" t="str">
            <v>MT6</v>
          </cell>
          <cell r="F503">
            <v>4.8124200000000004</v>
          </cell>
          <cell r="G503">
            <v>14.701000000000001</v>
          </cell>
          <cell r="H503">
            <v>1.6110800000000001</v>
          </cell>
        </row>
        <row r="504">
          <cell r="A504" t="str">
            <v>GRMZM2G173668</v>
          </cell>
          <cell r="B504" t="str">
            <v>GO:0005975GO:0016868</v>
          </cell>
          <cell r="C504" t="str">
            <v>phosphoglucosamine mutase family protein</v>
          </cell>
          <cell r="D504" t="str">
            <v>MT0</v>
          </cell>
          <cell r="E504" t="str">
            <v>MT6</v>
          </cell>
          <cell r="F504">
            <v>2.4337300000000002</v>
          </cell>
          <cell r="G504">
            <v>1.0158199999999999</v>
          </cell>
          <cell r="H504">
            <v>-1.2605200000000001</v>
          </cell>
        </row>
        <row r="505">
          <cell r="A505" t="str">
            <v>GRMZM2G366910</v>
          </cell>
          <cell r="B505" t="e">
            <v>#N/A</v>
          </cell>
          <cell r="C505">
            <v>0</v>
          </cell>
          <cell r="D505" t="str">
            <v>MT0</v>
          </cell>
          <cell r="E505" t="str">
            <v>MT6</v>
          </cell>
          <cell r="F505">
            <v>1.2096899999999999</v>
          </cell>
          <cell r="G505">
            <v>3.8378100000000002</v>
          </cell>
          <cell r="H505">
            <v>1.6656500000000001</v>
          </cell>
        </row>
        <row r="506">
          <cell r="A506" t="str">
            <v>GRMZM2G024561</v>
          </cell>
          <cell r="B506" t="e">
            <v>#N/A</v>
          </cell>
          <cell r="C506" t="str">
            <v>glucan endo- -beta-glucosidase 4 precursor</v>
          </cell>
          <cell r="D506" t="str">
            <v>MT0</v>
          </cell>
          <cell r="E506" t="str">
            <v>MT6</v>
          </cell>
          <cell r="F506">
            <v>21.075299999999999</v>
          </cell>
          <cell r="G506">
            <v>9.4651399999999999</v>
          </cell>
          <cell r="H506">
            <v>-1.15486</v>
          </cell>
        </row>
        <row r="507">
          <cell r="A507" t="str">
            <v>GRMZM2G177356</v>
          </cell>
          <cell r="B507" t="e">
            <v>#N/A</v>
          </cell>
          <cell r="C507" t="str">
            <v>protein</v>
          </cell>
          <cell r="D507" t="str">
            <v>MT0</v>
          </cell>
          <cell r="E507" t="str">
            <v>MT6</v>
          </cell>
          <cell r="F507">
            <v>2.3948900000000002</v>
          </cell>
          <cell r="G507">
            <v>5.70939</v>
          </cell>
          <cell r="H507">
            <v>1.2533799999999999</v>
          </cell>
        </row>
        <row r="508">
          <cell r="A508" t="str">
            <v>GRMZM2G115504</v>
          </cell>
          <cell r="B508" t="str">
            <v>GO:0003824</v>
          </cell>
          <cell r="C508" t="str">
            <v>catalytic hydrolase</v>
          </cell>
          <cell r="D508" t="str">
            <v>MT0</v>
          </cell>
          <cell r="E508" t="str">
            <v>MT6</v>
          </cell>
          <cell r="F508">
            <v>0.57785600000000004</v>
          </cell>
          <cell r="G508">
            <v>1.3446400000000001</v>
          </cell>
          <cell r="H508">
            <v>1.21844</v>
          </cell>
        </row>
        <row r="509">
          <cell r="A509" t="str">
            <v>GRMZM2G115480</v>
          </cell>
          <cell r="B509" t="e">
            <v>#N/A</v>
          </cell>
          <cell r="C509" t="str">
            <v>af446877_1 at3g52740 f3c22_140</v>
          </cell>
          <cell r="D509" t="str">
            <v>MT0</v>
          </cell>
          <cell r="E509" t="str">
            <v>MT6</v>
          </cell>
          <cell r="F509">
            <v>0.74981500000000001</v>
          </cell>
          <cell r="G509">
            <v>2.2230400000000001</v>
          </cell>
          <cell r="H509">
            <v>1.56793</v>
          </cell>
        </row>
        <row r="510">
          <cell r="A510" t="str">
            <v>GRMZM2G122276</v>
          </cell>
          <cell r="B510" t="e">
            <v>#N/A</v>
          </cell>
          <cell r="C510" t="str">
            <v>glycine-rich cell wall structural protein precursor</v>
          </cell>
          <cell r="D510" t="str">
            <v>MT0</v>
          </cell>
          <cell r="E510" t="str">
            <v>MT6</v>
          </cell>
          <cell r="F510">
            <v>14.642799999999999</v>
          </cell>
          <cell r="G510">
            <v>74.968400000000003</v>
          </cell>
          <cell r="H510">
            <v>2.35609</v>
          </cell>
        </row>
        <row r="511">
          <cell r="A511" t="str">
            <v>GRMZM2G176307</v>
          </cell>
          <cell r="B511" t="str">
            <v>GO:0006813GO:0051287GO:0006006GO:0008324GO:0004365</v>
          </cell>
          <cell r="C511" t="str">
            <v>glyceraldehyde-3-phosphate dehydrogenase</v>
          </cell>
          <cell r="D511" t="str">
            <v>MT0</v>
          </cell>
          <cell r="E511" t="str">
            <v>MT6</v>
          </cell>
          <cell r="F511">
            <v>1.1287400000000001</v>
          </cell>
          <cell r="G511">
            <v>3.07979</v>
          </cell>
          <cell r="H511">
            <v>1.4481200000000001</v>
          </cell>
        </row>
        <row r="512">
          <cell r="A512" t="str">
            <v>GRMZM2G129189</v>
          </cell>
          <cell r="B512" t="str">
            <v>GO:0004568GO:0006032GO:0008061GO:0016998</v>
          </cell>
          <cell r="C512" t="str">
            <v>class iv chitinase</v>
          </cell>
          <cell r="D512" t="str">
            <v>MT0</v>
          </cell>
          <cell r="E512" t="str">
            <v>MT6</v>
          </cell>
          <cell r="F512">
            <v>6.0672199999999998</v>
          </cell>
          <cell r="G512">
            <v>23.596599999999999</v>
          </cell>
          <cell r="H512">
            <v>1.95947</v>
          </cell>
        </row>
        <row r="513">
          <cell r="A513" t="str">
            <v>GRMZM2G170017</v>
          </cell>
          <cell r="B513" t="str">
            <v>GO:0009239GO:0005488GO:0008667</v>
          </cell>
          <cell r="C513" t="str">
            <v>salutaridine reductase-like</v>
          </cell>
          <cell r="D513" t="str">
            <v>MT0</v>
          </cell>
          <cell r="E513" t="str">
            <v>MT6</v>
          </cell>
          <cell r="F513">
            <v>0.34978199999999998</v>
          </cell>
          <cell r="G513">
            <v>0.82903800000000005</v>
          </cell>
          <cell r="H513">
            <v>1.24498</v>
          </cell>
        </row>
        <row r="514">
          <cell r="A514" t="str">
            <v>GRMZM2G702129</v>
          </cell>
          <cell r="B514" t="e">
            <v>#N/A</v>
          </cell>
          <cell r="C514">
            <v>0</v>
          </cell>
          <cell r="D514" t="str">
            <v>MT0</v>
          </cell>
          <cell r="E514" t="str">
            <v>MT6</v>
          </cell>
          <cell r="F514">
            <v>20.572700000000001</v>
          </cell>
          <cell r="G514">
            <v>9.8773999999999997</v>
          </cell>
          <cell r="H514">
            <v>-1.05853</v>
          </cell>
        </row>
        <row r="515">
          <cell r="A515" t="str">
            <v>GRMZM2G097884</v>
          </cell>
          <cell r="B515" t="e">
            <v>#N/A</v>
          </cell>
          <cell r="C515">
            <v>0</v>
          </cell>
          <cell r="D515" t="str">
            <v>MT0</v>
          </cell>
          <cell r="E515" t="str">
            <v>MT6</v>
          </cell>
          <cell r="F515">
            <v>1.1084499999999999</v>
          </cell>
          <cell r="G515">
            <v>2.2608700000000002</v>
          </cell>
          <cell r="H515">
            <v>1.02833</v>
          </cell>
        </row>
        <row r="516">
          <cell r="A516" t="str">
            <v>GRMZM5G840002</v>
          </cell>
          <cell r="B516" t="e">
            <v>#N/A</v>
          </cell>
          <cell r="C516" t="str">
            <v>3-isopropylmalate small subunit</v>
          </cell>
          <cell r="D516" t="str">
            <v>MT0</v>
          </cell>
          <cell r="E516" t="str">
            <v>MT6</v>
          </cell>
          <cell r="F516">
            <v>138.417</v>
          </cell>
          <cell r="G516">
            <v>672.24199999999996</v>
          </cell>
          <cell r="H516">
            <v>2.27996</v>
          </cell>
        </row>
        <row r="517">
          <cell r="A517" t="str">
            <v>GRMZM2G434203</v>
          </cell>
          <cell r="B517" t="str">
            <v>GO:0003700GO:0006355GO:0050825GO:0042309GO:0050826</v>
          </cell>
          <cell r="C517" t="str">
            <v>ap2 erf domain-containing transcription factor</v>
          </cell>
          <cell r="D517" t="str">
            <v>MT0</v>
          </cell>
          <cell r="E517" t="str">
            <v>MT6</v>
          </cell>
          <cell r="F517">
            <v>2.08229</v>
          </cell>
          <cell r="G517">
            <v>0.75761999999999996</v>
          </cell>
          <cell r="H517">
            <v>-1.45862</v>
          </cell>
        </row>
        <row r="518">
          <cell r="A518" t="str">
            <v>GRMZM2G060837</v>
          </cell>
          <cell r="B518" t="str">
            <v>GO:0016762GO:0005618GO:0016021GO:0048046GO:0005000GO:0006073GO:0004553GO:0007186</v>
          </cell>
          <cell r="C518" t="str">
            <v>xyloglucan endo- -beta-d-glucanase</v>
          </cell>
          <cell r="D518" t="str">
            <v>MT0</v>
          </cell>
          <cell r="E518" t="str">
            <v>MT6</v>
          </cell>
          <cell r="F518">
            <v>18.606000000000002</v>
          </cell>
          <cell r="G518">
            <v>6.4110699999999996</v>
          </cell>
          <cell r="H518">
            <v>-1.5371300000000001</v>
          </cell>
        </row>
        <row r="519">
          <cell r="A519" t="str">
            <v>GRMZM2G375113</v>
          </cell>
          <cell r="B519" t="e">
            <v>#N/A</v>
          </cell>
          <cell r="C519" t="str">
            <v>peptide transporter ptr2-like</v>
          </cell>
          <cell r="D519" t="str">
            <v>MT0</v>
          </cell>
          <cell r="E519" t="str">
            <v>MT6</v>
          </cell>
          <cell r="F519">
            <v>1.33152</v>
          </cell>
          <cell r="G519">
            <v>2.6720700000000002</v>
          </cell>
          <cell r="H519">
            <v>1.00488</v>
          </cell>
        </row>
        <row r="520">
          <cell r="A520" t="str">
            <v>GRMZM2G170602</v>
          </cell>
          <cell r="B520" t="str">
            <v>GO:0051287GO:0016616GO:0008152</v>
          </cell>
          <cell r="C520" t="str">
            <v>formate mitochondrial precursor</v>
          </cell>
          <cell r="D520" t="str">
            <v>MT0</v>
          </cell>
          <cell r="E520" t="str">
            <v>MT6</v>
          </cell>
          <cell r="F520">
            <v>1.6027400000000001</v>
          </cell>
          <cell r="G520">
            <v>5.1239999999999997</v>
          </cell>
          <cell r="H520">
            <v>1.6767399999999999</v>
          </cell>
        </row>
        <row r="521">
          <cell r="A521" t="str">
            <v>GRMZM2G075562</v>
          </cell>
          <cell r="B521" t="str">
            <v>GO:0008270GO:0005622</v>
          </cell>
          <cell r="C521" t="str">
            <v>zinc finger protein constans-like 9-like</v>
          </cell>
          <cell r="D521" t="str">
            <v>MT0</v>
          </cell>
          <cell r="E521" t="str">
            <v>MT6</v>
          </cell>
          <cell r="F521">
            <v>21.8018</v>
          </cell>
          <cell r="G521">
            <v>8.4424200000000003</v>
          </cell>
          <cell r="H521">
            <v>-1.3687199999999999</v>
          </cell>
        </row>
        <row r="522">
          <cell r="A522" t="str">
            <v>GRMZM2G315726</v>
          </cell>
          <cell r="B522" t="str">
            <v>GO:0016021</v>
          </cell>
          <cell r="C522" t="str">
            <v>asc1-like protein 1</v>
          </cell>
          <cell r="D522" t="str">
            <v>MT0</v>
          </cell>
          <cell r="E522" t="str">
            <v>MT6</v>
          </cell>
          <cell r="F522">
            <v>5.1620499999999998</v>
          </cell>
          <cell r="G522">
            <v>11.202299999999999</v>
          </cell>
          <cell r="H522">
            <v>1.11778</v>
          </cell>
        </row>
        <row r="523">
          <cell r="A523" t="str">
            <v>AC220927.3_FG007</v>
          </cell>
          <cell r="B523" t="e">
            <v>#N/A</v>
          </cell>
          <cell r="C523" t="e">
            <v>#N/A</v>
          </cell>
          <cell r="D523" t="str">
            <v>MT0</v>
          </cell>
          <cell r="E523" t="str">
            <v>MT6</v>
          </cell>
          <cell r="F523">
            <v>12.1343</v>
          </cell>
          <cell r="G523">
            <v>4.0540399999999996</v>
          </cell>
          <cell r="H523">
            <v>-1.5816600000000001</v>
          </cell>
        </row>
        <row r="524">
          <cell r="A524" t="str">
            <v>GRMZM2G023711</v>
          </cell>
          <cell r="B524" t="str">
            <v>GO:0045454</v>
          </cell>
          <cell r="C524" t="str">
            <v>thioredoxin-like 5</v>
          </cell>
          <cell r="D524" t="str">
            <v>MT0</v>
          </cell>
          <cell r="E524" t="str">
            <v>MT6</v>
          </cell>
          <cell r="F524">
            <v>137.56100000000001</v>
          </cell>
          <cell r="G524">
            <v>55.832799999999999</v>
          </cell>
          <cell r="H524">
            <v>-1.30088</v>
          </cell>
        </row>
        <row r="525">
          <cell r="A525" t="str">
            <v>GRMZM5G877956</v>
          </cell>
          <cell r="B525" t="e">
            <v>#N/A</v>
          </cell>
          <cell r="C525" t="str">
            <v>unknown</v>
          </cell>
          <cell r="D525" t="str">
            <v>MT0</v>
          </cell>
          <cell r="E525" t="str">
            <v>MT6</v>
          </cell>
          <cell r="F525">
            <v>0.91466199999999998</v>
          </cell>
          <cell r="G525">
            <v>0.43533300000000003</v>
          </cell>
          <cell r="H525">
            <v>-1.0711200000000001</v>
          </cell>
        </row>
        <row r="526">
          <cell r="A526" t="str">
            <v>GRMZM5G879872</v>
          </cell>
          <cell r="B526" t="e">
            <v>#N/A</v>
          </cell>
          <cell r="C526" t="str">
            <v>metal ion binding</v>
          </cell>
          <cell r="D526" t="str">
            <v>MT0</v>
          </cell>
          <cell r="E526" t="str">
            <v>MT6</v>
          </cell>
          <cell r="F526">
            <v>0.43188900000000002</v>
          </cell>
          <cell r="G526">
            <v>1.74657</v>
          </cell>
          <cell r="H526">
            <v>2.01579</v>
          </cell>
        </row>
        <row r="527">
          <cell r="A527" t="str">
            <v>GRMZM5G839640</v>
          </cell>
          <cell r="B527" t="e">
            <v>#N/A</v>
          </cell>
          <cell r="C527" t="str">
            <v>verprolin precursor</v>
          </cell>
          <cell r="D527" t="str">
            <v>MT0</v>
          </cell>
          <cell r="E527" t="str">
            <v>MT6</v>
          </cell>
          <cell r="F527">
            <v>9.2467400000000008</v>
          </cell>
          <cell r="G527">
            <v>28.836400000000001</v>
          </cell>
          <cell r="H527">
            <v>1.6408700000000001</v>
          </cell>
        </row>
        <row r="528">
          <cell r="A528" t="str">
            <v>GRMZM2G076634</v>
          </cell>
          <cell r="B528" t="str">
            <v>GO:0004674GO:0006468GO:0005509GO:0005524</v>
          </cell>
          <cell r="C528" t="str">
            <v>calcium-dependent protein kinase 30-like</v>
          </cell>
          <cell r="D528" t="str">
            <v>MT0</v>
          </cell>
          <cell r="E528" t="str">
            <v>MT6</v>
          </cell>
          <cell r="F528">
            <v>0.39154499999999998</v>
          </cell>
          <cell r="G528">
            <v>0.92306699999999997</v>
          </cell>
          <cell r="H528">
            <v>1.23726</v>
          </cell>
        </row>
        <row r="529">
          <cell r="A529" t="str">
            <v>GRMZM2G112149</v>
          </cell>
          <cell r="B529" t="str">
            <v>GO:0009086GO:0003871GO:0008270</v>
          </cell>
          <cell r="C529" t="str">
            <v>5-methyltetrahydropteroyltriglutamate-homocysteine expressed</v>
          </cell>
          <cell r="D529" t="str">
            <v>MT0</v>
          </cell>
          <cell r="E529" t="str">
            <v>MT6</v>
          </cell>
          <cell r="F529">
            <v>10.7033</v>
          </cell>
          <cell r="G529">
            <v>26.236000000000001</v>
          </cell>
          <cell r="H529">
            <v>1.2935000000000001</v>
          </cell>
        </row>
        <row r="530">
          <cell r="A530" t="str">
            <v>GRMZM2G156748</v>
          </cell>
          <cell r="B530" t="str">
            <v>GO:0016866</v>
          </cell>
          <cell r="C530" t="str">
            <v>beta-amyrin synthase</v>
          </cell>
          <cell r="D530" t="str">
            <v>MT0</v>
          </cell>
          <cell r="E530" t="str">
            <v>MT6</v>
          </cell>
          <cell r="F530">
            <v>0.52523900000000001</v>
          </cell>
          <cell r="G530">
            <v>1.2808999999999999</v>
          </cell>
          <cell r="H530">
            <v>1.2861100000000001</v>
          </cell>
        </row>
        <row r="531">
          <cell r="A531" t="str">
            <v>GRMZM2G073114</v>
          </cell>
          <cell r="B531" t="e">
            <v>#N/A</v>
          </cell>
          <cell r="C531" t="str">
            <v>ripening-related protein 5-like</v>
          </cell>
          <cell r="D531" t="str">
            <v>MT0</v>
          </cell>
          <cell r="E531" t="str">
            <v>MT6</v>
          </cell>
          <cell r="F531">
            <v>0.81266099999999997</v>
          </cell>
          <cell r="G531">
            <v>2.7509299999999999</v>
          </cell>
          <cell r="H531">
            <v>1.75919</v>
          </cell>
        </row>
        <row r="532">
          <cell r="A532" t="str">
            <v>GRMZM5G865298</v>
          </cell>
          <cell r="B532" t="e">
            <v>#N/A</v>
          </cell>
          <cell r="C532" t="str">
            <v>peptide transporter ptr3-a-like</v>
          </cell>
          <cell r="D532" t="str">
            <v>MT0</v>
          </cell>
          <cell r="E532" t="str">
            <v>MT6</v>
          </cell>
          <cell r="F532">
            <v>0.435002</v>
          </cell>
          <cell r="G532">
            <v>1.10229</v>
          </cell>
          <cell r="H532">
            <v>1.3413999999999999</v>
          </cell>
        </row>
        <row r="533">
          <cell r="A533" t="str">
            <v>GRMZM2G412373</v>
          </cell>
          <cell r="B533" t="e">
            <v>#N/A</v>
          </cell>
          <cell r="C533" t="str">
            <v>leucine rich repeat family protein</v>
          </cell>
          <cell r="D533" t="str">
            <v>MT0</v>
          </cell>
          <cell r="E533" t="str">
            <v>MT6</v>
          </cell>
          <cell r="F533">
            <v>0.91045100000000001</v>
          </cell>
          <cell r="G533">
            <v>2.0038399999999998</v>
          </cell>
          <cell r="H533">
            <v>1.13811</v>
          </cell>
        </row>
        <row r="534">
          <cell r="A534" t="str">
            <v>GRMZM2G025833</v>
          </cell>
          <cell r="B534" t="str">
            <v>GO:0016161GO:0000272</v>
          </cell>
          <cell r="C534" t="str">
            <v>beta-amylase</v>
          </cell>
          <cell r="D534" t="str">
            <v>MT0</v>
          </cell>
          <cell r="E534" t="str">
            <v>MT6</v>
          </cell>
          <cell r="F534">
            <v>0.33635900000000002</v>
          </cell>
          <cell r="G534">
            <v>0.84657099999999996</v>
          </cell>
          <cell r="H534">
            <v>1.3316300000000001</v>
          </cell>
        </row>
        <row r="535">
          <cell r="A535" t="str">
            <v>GRMZM2G133895</v>
          </cell>
          <cell r="B535" t="e">
            <v>#N/A</v>
          </cell>
          <cell r="C535" t="str">
            <v>f-box protein</v>
          </cell>
          <cell r="D535" t="str">
            <v>MT0</v>
          </cell>
          <cell r="E535" t="str">
            <v>MT6</v>
          </cell>
          <cell r="F535">
            <v>0.30870500000000001</v>
          </cell>
          <cell r="G535">
            <v>0.97344200000000003</v>
          </cell>
          <cell r="H535">
            <v>1.65686</v>
          </cell>
        </row>
        <row r="536">
          <cell r="A536" t="str">
            <v>GRMZM2G094543</v>
          </cell>
          <cell r="B536" t="str">
            <v>GO:0050825GO:0042309GO:0050826</v>
          </cell>
          <cell r="C536" t="str">
            <v>uncharacterized protein LOC100274993 precursor</v>
          </cell>
          <cell r="D536" t="str">
            <v>MT0</v>
          </cell>
          <cell r="E536" t="str">
            <v>MT6</v>
          </cell>
          <cell r="F536">
            <v>5.3435300000000003</v>
          </cell>
          <cell r="G536">
            <v>13.323600000000001</v>
          </cell>
          <cell r="H536">
            <v>1.31812</v>
          </cell>
        </row>
        <row r="537">
          <cell r="A537" t="str">
            <v>GRMZM2G104484</v>
          </cell>
          <cell r="B537" t="str">
            <v>GO:0006508GO:0004185</v>
          </cell>
          <cell r="C537" t="str">
            <v>serine carboxypeptidase 1 precursor</v>
          </cell>
          <cell r="D537" t="str">
            <v>MT0</v>
          </cell>
          <cell r="E537" t="str">
            <v>MT6</v>
          </cell>
          <cell r="F537">
            <v>0.34714400000000001</v>
          </cell>
          <cell r="G537">
            <v>0.83340700000000001</v>
          </cell>
          <cell r="H537">
            <v>1.26349</v>
          </cell>
        </row>
        <row r="538">
          <cell r="A538" t="str">
            <v>AC209987.4_FG010</v>
          </cell>
          <cell r="B538" t="str">
            <v>GO:0005507GO:0009055</v>
          </cell>
          <cell r="C538" t="e">
            <v>#N/A</v>
          </cell>
          <cell r="D538" t="str">
            <v>MT0</v>
          </cell>
          <cell r="E538" t="str">
            <v>MT6</v>
          </cell>
          <cell r="F538">
            <v>23.0016</v>
          </cell>
          <cell r="G538">
            <v>9.5601000000000003</v>
          </cell>
          <cell r="H538">
            <v>-1.26664</v>
          </cell>
        </row>
        <row r="539">
          <cell r="A539" t="str">
            <v>GRMZM2G159364</v>
          </cell>
          <cell r="B539" t="e">
            <v>#N/A</v>
          </cell>
          <cell r="C539" t="str">
            <v>uncharacterized protein LOC100304187</v>
          </cell>
          <cell r="D539" t="str">
            <v>MT0</v>
          </cell>
          <cell r="E539" t="str">
            <v>MT6</v>
          </cell>
          <cell r="F539">
            <v>2.2431100000000002</v>
          </cell>
          <cell r="G539">
            <v>4.6532999999999998</v>
          </cell>
          <cell r="H539">
            <v>1.0527500000000001</v>
          </cell>
        </row>
        <row r="540">
          <cell r="A540" t="str">
            <v>GRMZM2G042758</v>
          </cell>
          <cell r="B540" t="str">
            <v>GO:0016887GO:0006629GO:0016788GO:0005524</v>
          </cell>
          <cell r="C540" t="str">
            <v>gdsl-motif lipase hydrolase-like</v>
          </cell>
          <cell r="D540" t="str">
            <v>MT0</v>
          </cell>
          <cell r="E540" t="str">
            <v>MT6</v>
          </cell>
          <cell r="F540">
            <v>0.37701000000000001</v>
          </cell>
          <cell r="G540">
            <v>1.39706</v>
          </cell>
          <cell r="H540">
            <v>1.8897200000000001</v>
          </cell>
        </row>
        <row r="541">
          <cell r="A541" t="str">
            <v>GRMZM2G048904</v>
          </cell>
          <cell r="B541" t="str">
            <v>GO:0006629GO:0016788</v>
          </cell>
          <cell r="C541" t="str">
            <v>alpha-l-fucosidase 2 precursor</v>
          </cell>
          <cell r="D541" t="str">
            <v>MT0</v>
          </cell>
          <cell r="E541" t="str">
            <v>MT6</v>
          </cell>
          <cell r="F541">
            <v>3.1656900000000001</v>
          </cell>
          <cell r="G541">
            <v>7.4479600000000001</v>
          </cell>
          <cell r="H541">
            <v>1.2343200000000001</v>
          </cell>
        </row>
        <row r="542">
          <cell r="A542" t="str">
            <v>GRMZM2G166944</v>
          </cell>
          <cell r="B542" t="str">
            <v>GO:0005618GO:0048046GO:0016762GO:0006073GO:0004553</v>
          </cell>
          <cell r="C542" t="str">
            <v>xyloglucan endotransglycosylase</v>
          </cell>
          <cell r="D542" t="str">
            <v>MT0</v>
          </cell>
          <cell r="E542" t="str">
            <v>MT6</v>
          </cell>
          <cell r="F542">
            <v>14.323700000000001</v>
          </cell>
          <cell r="G542">
            <v>2.3126000000000002</v>
          </cell>
          <cell r="H542">
            <v>-2.6308199999999999</v>
          </cell>
        </row>
        <row r="543">
          <cell r="A543" t="str">
            <v>GRMZM2G330012</v>
          </cell>
          <cell r="B543" t="e">
            <v>#N/A</v>
          </cell>
          <cell r="C543" t="str">
            <v>saur family protein</v>
          </cell>
          <cell r="D543" t="str">
            <v>MT0</v>
          </cell>
          <cell r="E543" t="str">
            <v>MT6</v>
          </cell>
          <cell r="F543">
            <v>1.9821200000000001</v>
          </cell>
          <cell r="G543">
            <v>0.26241999999999999</v>
          </cell>
          <cell r="H543">
            <v>-2.9171</v>
          </cell>
        </row>
        <row r="544">
          <cell r="A544" t="str">
            <v>GRMZM2G133262</v>
          </cell>
          <cell r="B544" t="str">
            <v>GO:0006355GO:0000156GO:0000160</v>
          </cell>
          <cell r="C544" t="str">
            <v>two-component response regulator arr2-like</v>
          </cell>
          <cell r="D544" t="str">
            <v>MT0</v>
          </cell>
          <cell r="E544" t="str">
            <v>MT6</v>
          </cell>
          <cell r="F544">
            <v>0.38610899999999998</v>
          </cell>
          <cell r="G544">
            <v>0.881942</v>
          </cell>
          <cell r="H544">
            <v>1.1916800000000001</v>
          </cell>
        </row>
        <row r="545">
          <cell r="A545" t="str">
            <v>GRMZM2G050450</v>
          </cell>
          <cell r="B545" t="str">
            <v>GO:0016747</v>
          </cell>
          <cell r="C545" t="str">
            <v>benzyl alcohol o-benzoyltransferase-like</v>
          </cell>
          <cell r="D545" t="str">
            <v>MT0</v>
          </cell>
          <cell r="E545" t="str">
            <v>MT6</v>
          </cell>
          <cell r="F545">
            <v>0.91968000000000005</v>
          </cell>
          <cell r="G545">
            <v>2.5836299999999999</v>
          </cell>
          <cell r="H545">
            <v>1.4902</v>
          </cell>
        </row>
        <row r="546">
          <cell r="A546" t="str">
            <v>GRMZM2G116140</v>
          </cell>
          <cell r="B546" t="str">
            <v>GO:0004857GO:0030599</v>
          </cell>
          <cell r="C546" t="str">
            <v>ripening-related protein</v>
          </cell>
          <cell r="D546" t="str">
            <v>MT0</v>
          </cell>
          <cell r="E546" t="str">
            <v>MT6</v>
          </cell>
          <cell r="F546">
            <v>0.41499999999999998</v>
          </cell>
          <cell r="G546">
            <v>1.1960900000000001</v>
          </cell>
          <cell r="H546">
            <v>1.52715</v>
          </cell>
        </row>
        <row r="547">
          <cell r="A547" t="str">
            <v>GRMZM2G053707</v>
          </cell>
          <cell r="B547" t="str">
            <v>GO:0008270GO:0005515</v>
          </cell>
          <cell r="C547" t="str">
            <v>ring-h2 finger protein atl72</v>
          </cell>
          <cell r="D547" t="str">
            <v>MT0</v>
          </cell>
          <cell r="E547" t="str">
            <v>MT6</v>
          </cell>
          <cell r="F547">
            <v>28.2943</v>
          </cell>
          <cell r="G547">
            <v>9.6128599999999995</v>
          </cell>
          <cell r="H547">
            <v>-1.5574699999999999</v>
          </cell>
        </row>
        <row r="548">
          <cell r="A548" t="str">
            <v>GRMZM2G046615</v>
          </cell>
          <cell r="B548" t="str">
            <v>GO:0016829GO:0000287GO:0008152</v>
          </cell>
          <cell r="C548" t="str">
            <v>terpene synthase 2</v>
          </cell>
          <cell r="D548" t="str">
            <v>MT0</v>
          </cell>
          <cell r="E548" t="str">
            <v>MT6</v>
          </cell>
          <cell r="F548">
            <v>1.4604900000000001</v>
          </cell>
          <cell r="G548">
            <v>8.7434100000000008</v>
          </cell>
          <cell r="H548">
            <v>2.5817399999999999</v>
          </cell>
        </row>
        <row r="549">
          <cell r="A549" t="str">
            <v>GRMZM2G075333</v>
          </cell>
          <cell r="B549" t="e">
            <v>#N/A</v>
          </cell>
          <cell r="C549" t="str">
            <v>4-coumarate coenzyme a ligase</v>
          </cell>
          <cell r="D549" t="str">
            <v>MT0</v>
          </cell>
          <cell r="E549" t="str">
            <v>MT6</v>
          </cell>
          <cell r="F549">
            <v>3.8462800000000001</v>
          </cell>
          <cell r="G549">
            <v>11.664199999999999</v>
          </cell>
          <cell r="H549">
            <v>1.6005499999999999</v>
          </cell>
        </row>
        <row r="550">
          <cell r="A550" t="str">
            <v>GRMZM2G086587</v>
          </cell>
          <cell r="B550" t="e">
            <v>#N/A</v>
          </cell>
          <cell r="C550" t="str">
            <v>Os02g0189400</v>
          </cell>
          <cell r="D550" t="str">
            <v>MT0</v>
          </cell>
          <cell r="E550" t="str">
            <v>MT6</v>
          </cell>
          <cell r="F550">
            <v>3.5814599999999999</v>
          </cell>
          <cell r="G550">
            <v>1.49881</v>
          </cell>
          <cell r="H550">
            <v>-1.2567299999999999</v>
          </cell>
        </row>
        <row r="551">
          <cell r="A551" t="str">
            <v>GRMZM5G848733</v>
          </cell>
          <cell r="B551" t="e">
            <v>#N/A</v>
          </cell>
          <cell r="C551" t="str">
            <v>agc kinase</v>
          </cell>
          <cell r="D551" t="str">
            <v>MT0</v>
          </cell>
          <cell r="E551" t="str">
            <v>MT6</v>
          </cell>
          <cell r="F551">
            <v>0.83279300000000001</v>
          </cell>
          <cell r="G551">
            <v>1.8693599999999999</v>
          </cell>
          <cell r="H551">
            <v>1.1665099999999999</v>
          </cell>
        </row>
        <row r="552">
          <cell r="A552" t="str">
            <v>GRMZM2G405459</v>
          </cell>
          <cell r="B552" t="str">
            <v>GO:0004601GO:0006979GO:0020037GO:0009055</v>
          </cell>
          <cell r="C552" t="str">
            <v>peroxidase 52-like</v>
          </cell>
          <cell r="D552" t="str">
            <v>MT0</v>
          </cell>
          <cell r="E552" t="str">
            <v>MT6</v>
          </cell>
          <cell r="F552">
            <v>1.0301499999999999</v>
          </cell>
          <cell r="G552">
            <v>0.255938</v>
          </cell>
          <cell r="H552">
            <v>-2.0089899999999998</v>
          </cell>
        </row>
        <row r="553">
          <cell r="A553" t="str">
            <v>GRMZM2G325014</v>
          </cell>
          <cell r="B553" t="e">
            <v>#N/A</v>
          </cell>
          <cell r="C553" t="str">
            <v>udp-glucose: flavonoid 7-o-glucosyltransferase</v>
          </cell>
          <cell r="D553" t="str">
            <v>MT0</v>
          </cell>
          <cell r="E553" t="str">
            <v>MT6</v>
          </cell>
          <cell r="F553">
            <v>0.72157800000000005</v>
          </cell>
          <cell r="G553">
            <v>1.5330999999999999</v>
          </cell>
          <cell r="H553">
            <v>1.0872299999999999</v>
          </cell>
        </row>
        <row r="554">
          <cell r="A554" t="str">
            <v>GRMZM2G476049</v>
          </cell>
          <cell r="B554" t="str">
            <v>GO:0016758GO:0003840GO:0008152</v>
          </cell>
          <cell r="C554" t="str">
            <v>cytokinin-o-glucosyltransferase 2</v>
          </cell>
          <cell r="D554" t="str">
            <v>MT0</v>
          </cell>
          <cell r="E554" t="str">
            <v>MT6</v>
          </cell>
          <cell r="F554">
            <v>1.66523</v>
          </cell>
          <cell r="G554">
            <v>3.48421</v>
          </cell>
          <cell r="H554">
            <v>1.06511</v>
          </cell>
        </row>
        <row r="555">
          <cell r="A555" t="str">
            <v>GRMZM2G160710</v>
          </cell>
          <cell r="B555" t="str">
            <v>GO:0046872GO:0030001</v>
          </cell>
          <cell r="C555" t="str">
            <v>nbs-lrr class disease resistance protein</v>
          </cell>
          <cell r="D555" t="str">
            <v>MT0</v>
          </cell>
          <cell r="E555" t="str">
            <v>MT6</v>
          </cell>
          <cell r="F555">
            <v>5.02677</v>
          </cell>
          <cell r="G555">
            <v>12.0924</v>
          </cell>
          <cell r="H555">
            <v>1.2663899999999999</v>
          </cell>
        </row>
        <row r="556">
          <cell r="A556" t="str">
            <v>GRMZM2G056988</v>
          </cell>
          <cell r="B556" t="str">
            <v>GO:0031072GO:0006457GO:0051082</v>
          </cell>
          <cell r="C556" t="str">
            <v>dnaj protein</v>
          </cell>
          <cell r="D556" t="str">
            <v>MT0</v>
          </cell>
          <cell r="E556" t="str">
            <v>MT6</v>
          </cell>
          <cell r="F556">
            <v>1.2848999999999999</v>
          </cell>
          <cell r="G556">
            <v>0.60812200000000005</v>
          </cell>
          <cell r="H556">
            <v>-1.0792299999999999</v>
          </cell>
        </row>
        <row r="557">
          <cell r="A557" t="str">
            <v>GRMZM2G079682</v>
          </cell>
          <cell r="B557" t="str">
            <v>GO:0016020GO:0003830GO:0006487</v>
          </cell>
          <cell r="C557" t="str">
            <v>n-acetylglucosaminyltransferase iii</v>
          </cell>
          <cell r="D557" t="str">
            <v>MT0</v>
          </cell>
          <cell r="E557" t="str">
            <v>MT6</v>
          </cell>
          <cell r="F557">
            <v>2.6911800000000001</v>
          </cell>
          <cell r="G557">
            <v>5.5325899999999999</v>
          </cell>
          <cell r="H557">
            <v>1.03972</v>
          </cell>
        </row>
        <row r="558">
          <cell r="A558" t="str">
            <v>GRMZM2G179294</v>
          </cell>
          <cell r="B558" t="e">
            <v>#N/A</v>
          </cell>
          <cell r="C558" t="str">
            <v>high-affinity nitrate transporter -like</v>
          </cell>
          <cell r="D558" t="str">
            <v>MT0</v>
          </cell>
          <cell r="E558" t="str">
            <v>MT6</v>
          </cell>
          <cell r="F558">
            <v>0.40572999999999998</v>
          </cell>
          <cell r="G558">
            <v>1.1085100000000001</v>
          </cell>
          <cell r="H558">
            <v>1.4500299999999999</v>
          </cell>
        </row>
        <row r="559">
          <cell r="A559" t="str">
            <v>GRMZM2G026943</v>
          </cell>
          <cell r="B559" t="str">
            <v>GO:0006468GO:0004674GO:0004713GO:0005515GO:0005524GO:0031177</v>
          </cell>
          <cell r="C559" t="str">
            <v>protein kinase receptor type precursor</v>
          </cell>
          <cell r="D559" t="str">
            <v>MT0</v>
          </cell>
          <cell r="E559" t="str">
            <v>MT6</v>
          </cell>
          <cell r="F559">
            <v>1.7600100000000001</v>
          </cell>
          <cell r="G559">
            <v>3.5831400000000002</v>
          </cell>
          <cell r="H559">
            <v>1.0256400000000001</v>
          </cell>
        </row>
        <row r="560">
          <cell r="A560" t="str">
            <v>GRMZM2G139765</v>
          </cell>
          <cell r="B560" t="str">
            <v>GO:0003700GO:0006355</v>
          </cell>
          <cell r="C560" t="str">
            <v>ap2 erf domain-containing transcription factor</v>
          </cell>
          <cell r="D560" t="str">
            <v>MT0</v>
          </cell>
          <cell r="E560" t="str">
            <v>MT6</v>
          </cell>
          <cell r="F560">
            <v>0.68738100000000002</v>
          </cell>
          <cell r="G560">
            <v>1.50952</v>
          </cell>
          <cell r="H560">
            <v>1.1349</v>
          </cell>
        </row>
        <row r="561">
          <cell r="A561" t="str">
            <v>GRMZM2G135385</v>
          </cell>
          <cell r="B561" t="str">
            <v>GO:0020037</v>
          </cell>
          <cell r="C561" t="str">
            <v>cytochrome b5</v>
          </cell>
          <cell r="D561" t="str">
            <v>MT0</v>
          </cell>
          <cell r="E561" t="str">
            <v>MT6</v>
          </cell>
          <cell r="F561">
            <v>0.39604699999999998</v>
          </cell>
          <cell r="G561">
            <v>4.3617699999999999</v>
          </cell>
          <cell r="H561">
            <v>3.4611700000000001</v>
          </cell>
        </row>
        <row r="562">
          <cell r="A562" t="str">
            <v>YS1</v>
          </cell>
          <cell r="B562" t="e">
            <v>#N/A</v>
          </cell>
          <cell r="C562" t="e">
            <v>#N/A</v>
          </cell>
          <cell r="D562" t="str">
            <v>MT0</v>
          </cell>
          <cell r="E562" t="str">
            <v>MT6</v>
          </cell>
          <cell r="F562">
            <v>1.2039800000000001</v>
          </cell>
          <cell r="G562">
            <v>2.62662</v>
          </cell>
          <cell r="H562">
            <v>1.1253899999999999</v>
          </cell>
        </row>
        <row r="563">
          <cell r="A563" t="str">
            <v>GRMZM2G171406</v>
          </cell>
          <cell r="B563" t="str">
            <v>GO:0005198</v>
          </cell>
          <cell r="C563" t="str">
            <v>vesicle-associated protein 2-1-like</v>
          </cell>
          <cell r="D563" t="str">
            <v>MT0</v>
          </cell>
          <cell r="E563" t="str">
            <v>MT6</v>
          </cell>
          <cell r="F563">
            <v>1.9646300000000001</v>
          </cell>
          <cell r="G563">
            <v>4.04657</v>
          </cell>
          <cell r="H563">
            <v>1.04244</v>
          </cell>
        </row>
        <row r="564">
          <cell r="A564" t="str">
            <v>GRMZM2G466044</v>
          </cell>
          <cell r="B564" t="str">
            <v>GO:0003700GO:0006355GO:0050825GO:0042309GO:0050826</v>
          </cell>
          <cell r="C564" t="str">
            <v>ap2-related transcription factor</v>
          </cell>
          <cell r="D564" t="str">
            <v>MT0</v>
          </cell>
          <cell r="E564" t="str">
            <v>MT6</v>
          </cell>
          <cell r="F564">
            <v>1.9721599999999999</v>
          </cell>
          <cell r="G564">
            <v>4.9792100000000001</v>
          </cell>
          <cell r="H564">
            <v>1.3361400000000001</v>
          </cell>
        </row>
        <row r="565">
          <cell r="A565" t="str">
            <v>GRMZM2G057386</v>
          </cell>
          <cell r="B565" t="str">
            <v>GO:0003700GO:0006355</v>
          </cell>
          <cell r="C565" t="str">
            <v>ethylene responsive element binding factor 5</v>
          </cell>
          <cell r="D565" t="str">
            <v>MT0</v>
          </cell>
          <cell r="E565" t="str">
            <v>MT6</v>
          </cell>
          <cell r="F565">
            <v>0.78131499999999998</v>
          </cell>
          <cell r="G565">
            <v>3.6014699999999999</v>
          </cell>
          <cell r="H565">
            <v>2.2046100000000002</v>
          </cell>
        </row>
        <row r="566">
          <cell r="A566" t="str">
            <v>GRMZM2G401436</v>
          </cell>
          <cell r="B566" t="str">
            <v>GO:0008270GO:0005515</v>
          </cell>
          <cell r="C566" t="str">
            <v>ring-h2 finger protein atl2l</v>
          </cell>
          <cell r="D566" t="str">
            <v>MT0</v>
          </cell>
          <cell r="E566" t="str">
            <v>MT6</v>
          </cell>
          <cell r="F566">
            <v>0.33297500000000002</v>
          </cell>
          <cell r="G566">
            <v>1.0188900000000001</v>
          </cell>
          <cell r="H566">
            <v>1.6135200000000001</v>
          </cell>
        </row>
        <row r="567">
          <cell r="A567" t="str">
            <v>GRMZM2G011006</v>
          </cell>
          <cell r="B567" t="e">
            <v>#N/A</v>
          </cell>
          <cell r="C567" t="str">
            <v>unknown</v>
          </cell>
          <cell r="D567" t="str">
            <v>MT0</v>
          </cell>
          <cell r="E567" t="str">
            <v>MT6</v>
          </cell>
          <cell r="F567">
            <v>271.16199999999998</v>
          </cell>
          <cell r="G567">
            <v>118.11199999999999</v>
          </cell>
          <cell r="H567">
            <v>-1.1990000000000001</v>
          </cell>
        </row>
        <row r="568">
          <cell r="A568" t="str">
            <v>GRMZM2G068763</v>
          </cell>
          <cell r="B568" t="e">
            <v>#N/A</v>
          </cell>
          <cell r="C568">
            <v>0</v>
          </cell>
          <cell r="D568" t="str">
            <v>MT0</v>
          </cell>
          <cell r="E568" t="str">
            <v>MT6</v>
          </cell>
          <cell r="F568">
            <v>0.51646899999999996</v>
          </cell>
          <cell r="G568">
            <v>4.0503099999999996</v>
          </cell>
          <cell r="H568">
            <v>2.9712800000000001</v>
          </cell>
        </row>
        <row r="569">
          <cell r="A569" t="str">
            <v>GRMZM2G341957</v>
          </cell>
          <cell r="B569" t="e">
            <v>#N/A</v>
          </cell>
          <cell r="C569" t="str">
            <v>uncharacterized protein LOC100277003</v>
          </cell>
          <cell r="D569" t="str">
            <v>MT0</v>
          </cell>
          <cell r="E569" t="str">
            <v>MT6</v>
          </cell>
          <cell r="F569">
            <v>2.9653999999999998</v>
          </cell>
          <cell r="G569">
            <v>1.46576</v>
          </cell>
          <cell r="H569">
            <v>-1.01657</v>
          </cell>
        </row>
        <row r="570">
          <cell r="A570" t="str">
            <v>GRMZM2G399921</v>
          </cell>
          <cell r="B570" t="str">
            <v>GO:0050825GO:0042309GO:0050826</v>
          </cell>
          <cell r="C570">
            <v>0</v>
          </cell>
          <cell r="D570" t="str">
            <v>MT0</v>
          </cell>
          <cell r="E570" t="str">
            <v>MT6</v>
          </cell>
          <cell r="F570">
            <v>1.78399</v>
          </cell>
          <cell r="G570">
            <v>0.32253900000000002</v>
          </cell>
          <cell r="H570">
            <v>-2.4675600000000002</v>
          </cell>
        </row>
        <row r="571">
          <cell r="A571" t="str">
            <v>GRMZM2G380432</v>
          </cell>
          <cell r="B571" t="e">
            <v>#N/A</v>
          </cell>
          <cell r="C571" t="str">
            <v>phi-1-like phosphate-induced protein</v>
          </cell>
          <cell r="D571" t="str">
            <v>MT0</v>
          </cell>
          <cell r="E571" t="str">
            <v>MT6</v>
          </cell>
          <cell r="F571">
            <v>28.801100000000002</v>
          </cell>
          <cell r="G571">
            <v>11.639799999999999</v>
          </cell>
          <cell r="H571">
            <v>-1.3070600000000001</v>
          </cell>
        </row>
        <row r="572">
          <cell r="A572" t="str">
            <v>GRMZM2G163776</v>
          </cell>
          <cell r="B572" t="e">
            <v>#N/A</v>
          </cell>
          <cell r="C572" t="str">
            <v>uncharacterized protein LOC100276020</v>
          </cell>
          <cell r="D572" t="str">
            <v>MT0</v>
          </cell>
          <cell r="E572" t="str">
            <v>MT6</v>
          </cell>
          <cell r="F572">
            <v>8.7159300000000002</v>
          </cell>
          <cell r="G572">
            <v>3.38951</v>
          </cell>
          <cell r="H572">
            <v>-1.3625799999999999</v>
          </cell>
        </row>
        <row r="573">
          <cell r="A573" t="str">
            <v>GRMZM5G878558</v>
          </cell>
          <cell r="B573" t="e">
            <v>#N/A</v>
          </cell>
          <cell r="C573" t="str">
            <v>nitrate reductase</v>
          </cell>
          <cell r="D573" t="str">
            <v>MT0</v>
          </cell>
          <cell r="E573" t="str">
            <v>MT6</v>
          </cell>
          <cell r="F573">
            <v>2.6822900000000001</v>
          </cell>
          <cell r="G573">
            <v>7.1115300000000001</v>
          </cell>
          <cell r="H573">
            <v>1.40669</v>
          </cell>
        </row>
        <row r="574">
          <cell r="A574" t="str">
            <v>GRMZM2G084116</v>
          </cell>
          <cell r="B574" t="e">
            <v>#N/A</v>
          </cell>
          <cell r="C574">
            <v>0</v>
          </cell>
          <cell r="D574" t="str">
            <v>MT0</v>
          </cell>
          <cell r="E574" t="str">
            <v>MT6</v>
          </cell>
          <cell r="F574">
            <v>2.5118200000000002</v>
          </cell>
          <cell r="G574">
            <v>7.13354</v>
          </cell>
          <cell r="H574">
            <v>1.5058800000000001</v>
          </cell>
        </row>
        <row r="575">
          <cell r="A575" t="str">
            <v>GRMZM2G467756</v>
          </cell>
          <cell r="B575" t="str">
            <v>GO:0008270GO:0005515</v>
          </cell>
          <cell r="C575" t="str">
            <v>ring u-box domain-containing protein</v>
          </cell>
          <cell r="D575" t="str">
            <v>MT0</v>
          </cell>
          <cell r="E575" t="str">
            <v>MT6</v>
          </cell>
          <cell r="F575">
            <v>52.354300000000002</v>
          </cell>
          <cell r="G575">
            <v>17.218299999999999</v>
          </cell>
          <cell r="H575">
            <v>-1.6043700000000001</v>
          </cell>
        </row>
        <row r="576">
          <cell r="A576" t="str">
            <v>GRMZM2G034404</v>
          </cell>
          <cell r="B576" t="str">
            <v>GO:0016597GO:0008152</v>
          </cell>
          <cell r="C576" t="str">
            <v>act domain-containing protein</v>
          </cell>
          <cell r="D576" t="str">
            <v>MT0</v>
          </cell>
          <cell r="E576" t="str">
            <v>MT6</v>
          </cell>
          <cell r="F576">
            <v>3.6709499999999999</v>
          </cell>
          <cell r="G576">
            <v>1.6233900000000001</v>
          </cell>
          <cell r="H576">
            <v>-1.1771400000000001</v>
          </cell>
        </row>
        <row r="577">
          <cell r="A577" t="str">
            <v>GRMZM2G429322</v>
          </cell>
          <cell r="B577" t="str">
            <v>GO:0016020GO:0006865GO:0008152GO:0016491</v>
          </cell>
          <cell r="C577" t="str">
            <v>lysine histidine transporter 1-like</v>
          </cell>
          <cell r="D577" t="str">
            <v>MT0</v>
          </cell>
          <cell r="E577" t="str">
            <v>MT6</v>
          </cell>
          <cell r="F577">
            <v>0.87867499999999998</v>
          </cell>
          <cell r="G577">
            <v>2.08894</v>
          </cell>
          <cell r="H577">
            <v>1.2493700000000001</v>
          </cell>
        </row>
        <row r="578">
          <cell r="A578" t="str">
            <v>GRMZM2G039362</v>
          </cell>
          <cell r="B578" t="e">
            <v>#N/A</v>
          </cell>
          <cell r="C578" t="str">
            <v>protein</v>
          </cell>
          <cell r="D578" t="str">
            <v>MT0</v>
          </cell>
          <cell r="E578" t="str">
            <v>MT6</v>
          </cell>
          <cell r="F578">
            <v>2.72722</v>
          </cell>
          <cell r="G578">
            <v>7.3509200000000003</v>
          </cell>
          <cell r="H578">
            <v>1.4305000000000001</v>
          </cell>
        </row>
        <row r="579">
          <cell r="A579" t="str">
            <v>GRMZM2G334181</v>
          </cell>
          <cell r="B579" t="e">
            <v>#N/A</v>
          </cell>
          <cell r="C579" t="str">
            <v>protein</v>
          </cell>
          <cell r="D579" t="str">
            <v>MT0</v>
          </cell>
          <cell r="E579" t="str">
            <v>MT6</v>
          </cell>
          <cell r="F579">
            <v>0.96927700000000006</v>
          </cell>
          <cell r="G579">
            <v>10.285399999999999</v>
          </cell>
          <cell r="H579">
            <v>3.40754</v>
          </cell>
        </row>
        <row r="580">
          <cell r="A580" t="str">
            <v>GRMZM5G847462</v>
          </cell>
          <cell r="B580" t="e">
            <v>#N/A</v>
          </cell>
          <cell r="C580" t="str">
            <v>uncharacterized protein LOC100216699</v>
          </cell>
          <cell r="D580" t="str">
            <v>MT0</v>
          </cell>
          <cell r="E580" t="str">
            <v>MT6</v>
          </cell>
          <cell r="F580">
            <v>18.302399999999999</v>
          </cell>
          <cell r="G580">
            <v>7.0885699999999998</v>
          </cell>
          <cell r="H580">
            <v>-1.36846</v>
          </cell>
        </row>
        <row r="581">
          <cell r="A581" t="str">
            <v>GRMZM2G146298</v>
          </cell>
          <cell r="B581" t="e">
            <v>#N/A</v>
          </cell>
          <cell r="C581" t="str">
            <v>uncharacterized protein LOC100216699</v>
          </cell>
          <cell r="D581" t="str">
            <v>MT0</v>
          </cell>
          <cell r="E581" t="str">
            <v>MT6</v>
          </cell>
          <cell r="F581">
            <v>9.2090300000000003</v>
          </cell>
          <cell r="G581">
            <v>4.4438199999999997</v>
          </cell>
          <cell r="H581">
            <v>-1.05125</v>
          </cell>
        </row>
        <row r="582">
          <cell r="A582" t="str">
            <v>GRMZM2G176354</v>
          </cell>
          <cell r="B582" t="e">
            <v>#N/A</v>
          </cell>
          <cell r="C582">
            <v>0</v>
          </cell>
          <cell r="D582" t="str">
            <v>MT0</v>
          </cell>
          <cell r="E582" t="str">
            <v>MT6</v>
          </cell>
          <cell r="F582">
            <v>12.086399999999999</v>
          </cell>
          <cell r="G582">
            <v>5.9120400000000002</v>
          </cell>
          <cell r="H582">
            <v>-1.03166</v>
          </cell>
        </row>
        <row r="583">
          <cell r="A583" t="str">
            <v>GRMZM2G124815</v>
          </cell>
          <cell r="B583" t="str">
            <v>GO:0016747</v>
          </cell>
          <cell r="C583" t="str">
            <v>uncharacterized acetyltransferase at3g50280-like</v>
          </cell>
          <cell r="D583" t="str">
            <v>MT0</v>
          </cell>
          <cell r="E583" t="str">
            <v>MT6</v>
          </cell>
          <cell r="F583">
            <v>0.49836200000000003</v>
          </cell>
          <cell r="G583">
            <v>1.23603</v>
          </cell>
          <cell r="H583">
            <v>1.3104499999999999</v>
          </cell>
        </row>
        <row r="584">
          <cell r="A584" t="str">
            <v>GRMZM2G136571</v>
          </cell>
          <cell r="B584" t="str">
            <v>GO:0003824GO:0016021GO:0004969GO:0007186</v>
          </cell>
          <cell r="C584" t="str">
            <v>alpha beta fold family protein</v>
          </cell>
          <cell r="D584" t="str">
            <v>MT0</v>
          </cell>
          <cell r="E584" t="str">
            <v>MT6</v>
          </cell>
          <cell r="F584">
            <v>1.9173</v>
          </cell>
          <cell r="G584">
            <v>0.951932</v>
          </cell>
          <cell r="H584">
            <v>-1.0101500000000001</v>
          </cell>
        </row>
        <row r="585">
          <cell r="A585" t="str">
            <v>GRMZM2G177726</v>
          </cell>
          <cell r="B585" t="str">
            <v>GO:0004674GO:0006468GO:0004713GO:0005524</v>
          </cell>
          <cell r="C585" t="str">
            <v>cysteine-rich receptor-like protein kinase 20-like</v>
          </cell>
          <cell r="D585" t="str">
            <v>MT0</v>
          </cell>
          <cell r="E585" t="str">
            <v>MT6</v>
          </cell>
          <cell r="F585">
            <v>2.8909199999999999</v>
          </cell>
          <cell r="G585">
            <v>5.9236399999999998</v>
          </cell>
          <cell r="H585">
            <v>1.03495</v>
          </cell>
        </row>
        <row r="586">
          <cell r="A586" t="str">
            <v>GRMZM2G007489</v>
          </cell>
          <cell r="B586" t="str">
            <v>GO:0006633GO:0000036</v>
          </cell>
          <cell r="C586" t="str">
            <v>myristoyl-acyl carrier protein thioesterase</v>
          </cell>
          <cell r="D586" t="str">
            <v>MT0</v>
          </cell>
          <cell r="E586" t="str">
            <v>MT6</v>
          </cell>
          <cell r="F586">
            <v>2.75488</v>
          </cell>
          <cell r="G586">
            <v>1.2444200000000001</v>
          </cell>
          <cell r="H586">
            <v>-1.14652</v>
          </cell>
        </row>
        <row r="587">
          <cell r="A587" t="str">
            <v>GRMZM2G152777</v>
          </cell>
          <cell r="B587" t="str">
            <v>GO:0006629GO:0016788</v>
          </cell>
          <cell r="C587" t="str">
            <v>gdsl esterase lipase apg-like</v>
          </cell>
          <cell r="D587" t="str">
            <v>MT0</v>
          </cell>
          <cell r="E587" t="str">
            <v>MT6</v>
          </cell>
          <cell r="F587">
            <v>9.2404299999999999</v>
          </cell>
          <cell r="G587">
            <v>29.498699999999999</v>
          </cell>
          <cell r="H587">
            <v>1.67462</v>
          </cell>
        </row>
        <row r="588">
          <cell r="A588" t="str">
            <v>AC186592.3_FG003</v>
          </cell>
          <cell r="B588" t="e">
            <v>#N/A</v>
          </cell>
          <cell r="C588" t="e">
            <v>#N/A</v>
          </cell>
          <cell r="D588" t="str">
            <v>MT0</v>
          </cell>
          <cell r="E588" t="str">
            <v>MT6</v>
          </cell>
          <cell r="F588">
            <v>4.4765600000000001</v>
          </cell>
          <cell r="G588">
            <v>1.98319</v>
          </cell>
          <cell r="H588">
            <v>-1.1745699999999999</v>
          </cell>
        </row>
        <row r="589">
          <cell r="A589" t="str">
            <v>GRMZM5G835276</v>
          </cell>
          <cell r="B589" t="e">
            <v>#N/A</v>
          </cell>
          <cell r="C589" t="str">
            <v>alpha-l-fucosidase 2 precursor</v>
          </cell>
          <cell r="D589" t="str">
            <v>MT0</v>
          </cell>
          <cell r="E589" t="str">
            <v>MT6</v>
          </cell>
          <cell r="F589">
            <v>0.23753199999999999</v>
          </cell>
          <cell r="G589">
            <v>0.95703400000000005</v>
          </cell>
          <cell r="H589">
            <v>2.0104500000000001</v>
          </cell>
        </row>
        <row r="590">
          <cell r="A590" t="str">
            <v>GRMZM2G419542</v>
          </cell>
          <cell r="B590" t="e">
            <v>#N/A</v>
          </cell>
          <cell r="C590" t="str">
            <v>protein</v>
          </cell>
          <cell r="D590" t="str">
            <v>MT0</v>
          </cell>
          <cell r="E590" t="str">
            <v>MT6</v>
          </cell>
          <cell r="F590">
            <v>2.8120400000000001</v>
          </cell>
          <cell r="G590">
            <v>1.23872</v>
          </cell>
          <cell r="H590">
            <v>-1.18276</v>
          </cell>
        </row>
        <row r="591">
          <cell r="A591" t="str">
            <v>GRMZM2G074358</v>
          </cell>
          <cell r="B591" t="str">
            <v>GO:0045449GO:0003677</v>
          </cell>
          <cell r="C591" t="str">
            <v>nac domain-containing</v>
          </cell>
          <cell r="D591" t="str">
            <v>MT0</v>
          </cell>
          <cell r="E591" t="str">
            <v>MT6</v>
          </cell>
          <cell r="F591">
            <v>0.60714400000000002</v>
          </cell>
          <cell r="G591">
            <v>2.4113600000000002</v>
          </cell>
          <cell r="H591">
            <v>1.9897400000000001</v>
          </cell>
        </row>
        <row r="592">
          <cell r="A592" t="str">
            <v>GRMZM2G145518</v>
          </cell>
          <cell r="B592" t="str">
            <v>GO:0004568GO:0006032GO:0008061GO:0016998</v>
          </cell>
          <cell r="C592" t="str">
            <v>chitinase</v>
          </cell>
          <cell r="D592" t="str">
            <v>MT0</v>
          </cell>
          <cell r="E592" t="str">
            <v>MT6</v>
          </cell>
          <cell r="F592">
            <v>0.95299900000000004</v>
          </cell>
          <cell r="G592">
            <v>0.331293</v>
          </cell>
          <cell r="H592">
            <v>-1.52437</v>
          </cell>
        </row>
        <row r="593">
          <cell r="A593" t="str">
            <v>GRMZM2G378770</v>
          </cell>
          <cell r="B593" t="str">
            <v>GO:0003735GO:0006414GO:0005840</v>
          </cell>
          <cell r="C593" t="str">
            <v>60s acidic ribosomal protein p3</v>
          </cell>
          <cell r="D593" t="str">
            <v>MT0</v>
          </cell>
          <cell r="E593" t="str">
            <v>MT6</v>
          </cell>
          <cell r="F593">
            <v>6.1627099999999997</v>
          </cell>
          <cell r="G593">
            <v>13.867599999999999</v>
          </cell>
          <cell r="H593">
            <v>1.17008</v>
          </cell>
        </row>
        <row r="594">
          <cell r="A594" t="str">
            <v>GRMZM2G056116</v>
          </cell>
          <cell r="B594" t="e">
            <v>#N/A</v>
          </cell>
          <cell r="C594" t="str">
            <v>pentatricopeptide repeat-containing protein</v>
          </cell>
          <cell r="D594" t="str">
            <v>MT0</v>
          </cell>
          <cell r="E594" t="str">
            <v>MT6</v>
          </cell>
          <cell r="F594">
            <v>7.0339700000000001</v>
          </cell>
          <cell r="G594">
            <v>14.539199999999999</v>
          </cell>
          <cell r="H594">
            <v>1.0475399999999999</v>
          </cell>
        </row>
        <row r="595">
          <cell r="A595" t="str">
            <v>GRMZM2G349670</v>
          </cell>
          <cell r="B595" t="e">
            <v>#N/A</v>
          </cell>
          <cell r="C595">
            <v>0</v>
          </cell>
          <cell r="D595" t="str">
            <v>MT0</v>
          </cell>
          <cell r="E595" t="str">
            <v>MT6</v>
          </cell>
          <cell r="F595">
            <v>39.369199999999999</v>
          </cell>
          <cell r="G595">
            <v>9.5924200000000006</v>
          </cell>
          <cell r="H595">
            <v>-2.0371000000000001</v>
          </cell>
        </row>
        <row r="596">
          <cell r="A596" t="str">
            <v>GRMZM2G170281</v>
          </cell>
          <cell r="B596" t="str">
            <v>GO:0016021</v>
          </cell>
          <cell r="C596" t="str">
            <v>endosomal p24a protein</v>
          </cell>
          <cell r="D596" t="str">
            <v>MT0</v>
          </cell>
          <cell r="E596" t="str">
            <v>MT6</v>
          </cell>
          <cell r="F596">
            <v>0.88056500000000004</v>
          </cell>
          <cell r="G596">
            <v>2.0870600000000001</v>
          </cell>
          <cell r="H596">
            <v>1.2449699999999999</v>
          </cell>
        </row>
        <row r="597">
          <cell r="A597" t="str">
            <v>AC209050.3_FG003</v>
          </cell>
          <cell r="B597" t="str">
            <v>GO:0003700GO:0043565GO:0005634GO:0045449</v>
          </cell>
          <cell r="C597" t="e">
            <v>#N/A</v>
          </cell>
          <cell r="D597" t="str">
            <v>MT0</v>
          </cell>
          <cell r="E597" t="str">
            <v>MT6</v>
          </cell>
          <cell r="F597">
            <v>0.47537499999999999</v>
          </cell>
          <cell r="G597">
            <v>1.14802</v>
          </cell>
          <cell r="H597">
            <v>1.2720199999999999</v>
          </cell>
        </row>
        <row r="598">
          <cell r="A598" t="str">
            <v>GRMZM2G403076</v>
          </cell>
          <cell r="B598" t="str">
            <v>GO:0050660GO:0016491</v>
          </cell>
          <cell r="C598" t="str">
            <v>reticuline oxidase-like</v>
          </cell>
          <cell r="D598" t="str">
            <v>MT0</v>
          </cell>
          <cell r="E598" t="str">
            <v>MT6</v>
          </cell>
          <cell r="F598">
            <v>0.32317499999999999</v>
          </cell>
          <cell r="G598">
            <v>0.85633999999999999</v>
          </cell>
          <cell r="H598">
            <v>1.40587</v>
          </cell>
        </row>
        <row r="599">
          <cell r="A599" t="str">
            <v>GRMZM2G048194</v>
          </cell>
          <cell r="B599" t="str">
            <v>GO:0016998</v>
          </cell>
          <cell r="C599" t="str">
            <v>erwinia induced protein 1</v>
          </cell>
          <cell r="D599" t="str">
            <v>MT0</v>
          </cell>
          <cell r="E599" t="str">
            <v>MT6</v>
          </cell>
          <cell r="F599">
            <v>0.71282599999999996</v>
          </cell>
          <cell r="G599">
            <v>1.5795399999999999</v>
          </cell>
          <cell r="H599">
            <v>1.14788</v>
          </cell>
        </row>
        <row r="600">
          <cell r="A600" t="str">
            <v>GRMZM2G085378</v>
          </cell>
          <cell r="B600" t="str">
            <v>GO:0006355GO:0005634GO:0003677GO:0004879GO:0003824</v>
          </cell>
          <cell r="C600" t="str">
            <v>rossmann-fold nad -binding domain-containing protein</v>
          </cell>
          <cell r="D600" t="str">
            <v>MT0</v>
          </cell>
          <cell r="E600" t="str">
            <v>MT6</v>
          </cell>
          <cell r="F600">
            <v>1.15276</v>
          </cell>
          <cell r="G600">
            <v>2.3339500000000002</v>
          </cell>
          <cell r="H600">
            <v>1.0176799999999999</v>
          </cell>
        </row>
        <row r="601">
          <cell r="A601" t="str">
            <v>GRMZM2G114801</v>
          </cell>
          <cell r="B601" t="e">
            <v>#N/A</v>
          </cell>
          <cell r="C601" t="str">
            <v>atp binding</v>
          </cell>
          <cell r="D601" t="str">
            <v>MT0</v>
          </cell>
          <cell r="E601" t="str">
            <v>MT6</v>
          </cell>
          <cell r="F601">
            <v>1.85189</v>
          </cell>
          <cell r="G601">
            <v>3.7568999999999999</v>
          </cell>
          <cell r="H601">
            <v>1.0205500000000001</v>
          </cell>
        </row>
        <row r="602">
          <cell r="A602" t="str">
            <v>GRMZM2G117057</v>
          </cell>
          <cell r="B602" t="e">
            <v>#N/A</v>
          </cell>
          <cell r="C602" t="str">
            <v>protein mother of ft and tf 1-like</v>
          </cell>
          <cell r="D602" t="str">
            <v>MT0</v>
          </cell>
          <cell r="E602" t="str">
            <v>MT6</v>
          </cell>
          <cell r="F602">
            <v>2.5070199999999998</v>
          </cell>
          <cell r="G602">
            <v>0.91635800000000001</v>
          </cell>
          <cell r="H602">
            <v>-1.4519899999999999</v>
          </cell>
        </row>
        <row r="603">
          <cell r="A603" t="str">
            <v>GRMZM2G122577</v>
          </cell>
          <cell r="B603" t="e">
            <v>#N/A</v>
          </cell>
          <cell r="C603" t="str">
            <v>uncharacterized protein LOC100280099</v>
          </cell>
          <cell r="D603" t="str">
            <v>MT0</v>
          </cell>
          <cell r="E603" t="str">
            <v>MT6</v>
          </cell>
          <cell r="F603">
            <v>8.2241199999999992</v>
          </cell>
          <cell r="G603">
            <v>3.1132900000000001</v>
          </cell>
          <cell r="H603">
            <v>-1.4014200000000001</v>
          </cell>
        </row>
        <row r="604">
          <cell r="A604" t="str">
            <v>AC188296.3_FG004</v>
          </cell>
          <cell r="B604" t="e">
            <v>#N/A</v>
          </cell>
          <cell r="C604" t="e">
            <v>#N/A</v>
          </cell>
          <cell r="D604" t="str">
            <v>MT0</v>
          </cell>
          <cell r="E604" t="str">
            <v>MT6</v>
          </cell>
          <cell r="F604">
            <v>14.2477</v>
          </cell>
          <cell r="G604">
            <v>6.54298</v>
          </cell>
          <cell r="H604">
            <v>-1.1227100000000001</v>
          </cell>
        </row>
        <row r="605">
          <cell r="A605" t="str">
            <v>GRMZM2G352618</v>
          </cell>
          <cell r="B605" t="e">
            <v>#N/A</v>
          </cell>
          <cell r="C605" t="str">
            <v>uncharacterized protein LOC100277700</v>
          </cell>
          <cell r="D605" t="str">
            <v>MT0</v>
          </cell>
          <cell r="E605" t="str">
            <v>MT6</v>
          </cell>
          <cell r="F605">
            <v>264.815</v>
          </cell>
          <cell r="G605">
            <v>100.806</v>
          </cell>
          <cell r="H605">
            <v>-1.39341</v>
          </cell>
        </row>
        <row r="606">
          <cell r="A606" t="str">
            <v>GRMZM2G323888</v>
          </cell>
          <cell r="B606" t="e">
            <v>#N/A</v>
          </cell>
          <cell r="C606" t="str">
            <v>hypothetical protein</v>
          </cell>
          <cell r="D606" t="str">
            <v>MT0</v>
          </cell>
          <cell r="E606" t="str">
            <v>MT6</v>
          </cell>
          <cell r="F606">
            <v>155.86799999999999</v>
          </cell>
          <cell r="G606">
            <v>62.861600000000003</v>
          </cell>
          <cell r="H606">
            <v>-1.3100700000000001</v>
          </cell>
        </row>
        <row r="607">
          <cell r="A607" t="str">
            <v>GRMZM2G051619</v>
          </cell>
          <cell r="B607" t="str">
            <v>GO:0005506GO:0050826GO:0050825GO:0042309GO:0016491</v>
          </cell>
          <cell r="C607" t="str">
            <v>gibberellin 2-oxidase</v>
          </cell>
          <cell r="D607" t="str">
            <v>MT0</v>
          </cell>
          <cell r="E607" t="str">
            <v>MT6</v>
          </cell>
          <cell r="F607">
            <v>5.4539799999999996</v>
          </cell>
          <cell r="G607">
            <v>2.68161</v>
          </cell>
          <cell r="H607">
            <v>-1.0242100000000001</v>
          </cell>
        </row>
        <row r="608">
          <cell r="A608" t="str">
            <v>GRMZM5G813363</v>
          </cell>
          <cell r="B608" t="e">
            <v>#N/A</v>
          </cell>
          <cell r="C608" t="str">
            <v>pollen-specific protein sf21-like</v>
          </cell>
          <cell r="D608" t="str">
            <v>MT0</v>
          </cell>
          <cell r="E608" t="str">
            <v>MT6</v>
          </cell>
          <cell r="F608">
            <v>4.4885799999999998</v>
          </cell>
          <cell r="G608">
            <v>1.41126</v>
          </cell>
          <cell r="H608">
            <v>-1.66927</v>
          </cell>
        </row>
        <row r="609">
          <cell r="A609" t="str">
            <v>GRMZM2G340444</v>
          </cell>
          <cell r="B609" t="str">
            <v>GO:0008270GO:0005515</v>
          </cell>
          <cell r="C609" t="str">
            <v>zinc c3hc4 type family protein</v>
          </cell>
          <cell r="D609" t="str">
            <v>MT0</v>
          </cell>
          <cell r="E609" t="str">
            <v>MT6</v>
          </cell>
          <cell r="F609">
            <v>2.0183</v>
          </cell>
          <cell r="G609">
            <v>4.4062799999999998</v>
          </cell>
          <cell r="H609">
            <v>1.12642</v>
          </cell>
        </row>
        <row r="610">
          <cell r="A610" t="str">
            <v>GRMZM2G132995</v>
          </cell>
          <cell r="B610" t="str">
            <v>GO:0015297GO:0016020GO:0006855GO:0015238</v>
          </cell>
          <cell r="C610" t="str">
            <v>transparent testa 12 protein</v>
          </cell>
          <cell r="D610" t="str">
            <v>MT0</v>
          </cell>
          <cell r="E610" t="str">
            <v>MT6</v>
          </cell>
          <cell r="F610">
            <v>0.45470500000000003</v>
          </cell>
          <cell r="G610">
            <v>1.0083899999999999</v>
          </cell>
          <cell r="H610">
            <v>1.1490499999999999</v>
          </cell>
        </row>
        <row r="611">
          <cell r="A611" t="str">
            <v>GRMZM2G363116</v>
          </cell>
          <cell r="B611" t="str">
            <v>GO:0016787GO:0008152</v>
          </cell>
          <cell r="C611" t="str">
            <v>cxe carboxylesterase</v>
          </cell>
          <cell r="D611" t="str">
            <v>MT0</v>
          </cell>
          <cell r="E611" t="str">
            <v>MT6</v>
          </cell>
          <cell r="F611">
            <v>0.46269300000000002</v>
          </cell>
          <cell r="G611">
            <v>2.58744</v>
          </cell>
          <cell r="H611">
            <v>2.4834000000000001</v>
          </cell>
        </row>
        <row r="612">
          <cell r="A612" t="str">
            <v>AC209636.2_FG003</v>
          </cell>
          <cell r="B612" t="str">
            <v>GO:0004982GO:0016021GO:0007186GO:0008152GO:0016787</v>
          </cell>
          <cell r="C612" t="e">
            <v>#N/A</v>
          </cell>
          <cell r="D612" t="str">
            <v>MT0</v>
          </cell>
          <cell r="E612" t="str">
            <v>MT6</v>
          </cell>
          <cell r="F612">
            <v>0.20096900000000001</v>
          </cell>
          <cell r="G612">
            <v>1.71706</v>
          </cell>
          <cell r="H612">
            <v>3.0949</v>
          </cell>
        </row>
        <row r="613">
          <cell r="A613" t="str">
            <v>GRMZM2G322220</v>
          </cell>
          <cell r="B613" t="e">
            <v>#N/A</v>
          </cell>
          <cell r="C613" t="str">
            <v>probable nitrite transporter at1g68570-like</v>
          </cell>
          <cell r="D613" t="str">
            <v>MT0</v>
          </cell>
          <cell r="E613" t="str">
            <v>MT6</v>
          </cell>
          <cell r="F613">
            <v>0.81485300000000005</v>
          </cell>
          <cell r="G613">
            <v>0.30877100000000002</v>
          </cell>
          <cell r="H613">
            <v>-1.4</v>
          </cell>
        </row>
        <row r="614">
          <cell r="A614" t="str">
            <v>GRMZM2G000836</v>
          </cell>
          <cell r="B614" t="str">
            <v>GO:0008270GO:0005622</v>
          </cell>
          <cell r="C614" t="str">
            <v>zinc finger protein</v>
          </cell>
          <cell r="D614" t="str">
            <v>MT0</v>
          </cell>
          <cell r="E614" t="str">
            <v>MT6</v>
          </cell>
          <cell r="F614">
            <v>0.41989100000000001</v>
          </cell>
          <cell r="G614">
            <v>1.49617</v>
          </cell>
          <cell r="H614">
            <v>1.8331900000000001</v>
          </cell>
        </row>
        <row r="615">
          <cell r="A615" t="str">
            <v>AC188838.3_FG005</v>
          </cell>
          <cell r="B615" t="str">
            <v>GO:0009113GO:0004044GO:0009116</v>
          </cell>
          <cell r="C615" t="e">
            <v>#N/A</v>
          </cell>
          <cell r="D615" t="str">
            <v>MT0</v>
          </cell>
          <cell r="E615" t="str">
            <v>MT6</v>
          </cell>
          <cell r="F615">
            <v>0.53763899999999998</v>
          </cell>
          <cell r="G615">
            <v>1.50166</v>
          </cell>
          <cell r="H615">
            <v>1.4818499999999999</v>
          </cell>
        </row>
        <row r="616">
          <cell r="A616" t="str">
            <v>GRMZM2G059637</v>
          </cell>
          <cell r="B616" t="str">
            <v>GO:0008415GO:0008152</v>
          </cell>
          <cell r="C616" t="str">
            <v>glycerol-3-phosphate acyltransferase 5</v>
          </cell>
          <cell r="D616" t="str">
            <v>MT0</v>
          </cell>
          <cell r="E616" t="str">
            <v>MT6</v>
          </cell>
          <cell r="F616">
            <v>0.54596299999999998</v>
          </cell>
          <cell r="G616">
            <v>1.9349099999999999</v>
          </cell>
          <cell r="H616">
            <v>1.8253900000000001</v>
          </cell>
        </row>
        <row r="617">
          <cell r="A617" t="str">
            <v>GRMZM2G160354</v>
          </cell>
          <cell r="B617" t="e">
            <v>#N/A</v>
          </cell>
          <cell r="C617" t="str">
            <v>hypothetical protein</v>
          </cell>
          <cell r="D617" t="str">
            <v>MT0</v>
          </cell>
          <cell r="E617" t="str">
            <v>MT6</v>
          </cell>
          <cell r="F617">
            <v>173.828</v>
          </cell>
          <cell r="G617">
            <v>74.383499999999998</v>
          </cell>
          <cell r="H617">
            <v>-1.22461</v>
          </cell>
        </row>
        <row r="618">
          <cell r="A618" t="str">
            <v>GRMZM2G140817</v>
          </cell>
          <cell r="B618" t="str">
            <v>GO:0004497GO:0020037GO:0009055</v>
          </cell>
          <cell r="C618" t="str">
            <v>cytochrome p450</v>
          </cell>
          <cell r="D618" t="str">
            <v>MT0</v>
          </cell>
          <cell r="E618" t="str">
            <v>MT6</v>
          </cell>
          <cell r="F618">
            <v>2.2259799999999998</v>
          </cell>
          <cell r="G618">
            <v>4.7320399999999996</v>
          </cell>
          <cell r="H618">
            <v>1.08802</v>
          </cell>
        </row>
        <row r="619">
          <cell r="A619" t="str">
            <v>GRMZM2G389301</v>
          </cell>
          <cell r="B619" t="e">
            <v>#N/A</v>
          </cell>
          <cell r="C619" t="str">
            <v>eid1-like f-box protein 3-like</v>
          </cell>
          <cell r="D619" t="str">
            <v>MT0</v>
          </cell>
          <cell r="E619" t="str">
            <v>MT6</v>
          </cell>
          <cell r="F619">
            <v>1.0409200000000001</v>
          </cell>
          <cell r="G619">
            <v>2.4532099999999999</v>
          </cell>
          <cell r="H619">
            <v>1.23681</v>
          </cell>
        </row>
        <row r="620">
          <cell r="A620" t="str">
            <v>GRMZM2G371313</v>
          </cell>
          <cell r="B620" t="e">
            <v>#N/A</v>
          </cell>
          <cell r="C620" t="str">
            <v>uncharacterized protein LOC100191662</v>
          </cell>
          <cell r="D620" t="str">
            <v>MT0</v>
          </cell>
          <cell r="E620" t="str">
            <v>MT6</v>
          </cell>
          <cell r="F620">
            <v>2.4123600000000001</v>
          </cell>
          <cell r="G620">
            <v>5.59551</v>
          </cell>
          <cell r="H620">
            <v>1.2138199999999999</v>
          </cell>
        </row>
        <row r="621">
          <cell r="A621" t="str">
            <v>AC187896.3_FG006</v>
          </cell>
          <cell r="B621" t="e">
            <v>#N/A</v>
          </cell>
          <cell r="C621" t="e">
            <v>#N/A</v>
          </cell>
          <cell r="D621" t="str">
            <v>MT0</v>
          </cell>
          <cell r="E621" t="str">
            <v>MT6</v>
          </cell>
          <cell r="F621">
            <v>0</v>
          </cell>
          <cell r="G621">
            <v>1.87524</v>
          </cell>
          <cell r="H621" t="str">
            <v>inf</v>
          </cell>
        </row>
        <row r="622">
          <cell r="A622" t="str">
            <v>GRMZM2G132212</v>
          </cell>
          <cell r="B622" t="str">
            <v>GO:0004674GO:0006468GO:0005524GO:0005515GO:0004713</v>
          </cell>
          <cell r="C622" t="str">
            <v>receptor-like protein kinase hsl1-like</v>
          </cell>
          <cell r="D622" t="str">
            <v>MT0</v>
          </cell>
          <cell r="E622" t="str">
            <v>MT6</v>
          </cell>
          <cell r="F622">
            <v>1.14445</v>
          </cell>
          <cell r="G622">
            <v>2.9258299999999999</v>
          </cell>
          <cell r="H622">
            <v>1.35419</v>
          </cell>
        </row>
        <row r="623">
          <cell r="A623" t="str">
            <v>GRMZM2G175232</v>
          </cell>
          <cell r="B623" t="str">
            <v>GO:0003677</v>
          </cell>
          <cell r="C623" t="str">
            <v>myb-related protein hv33</v>
          </cell>
          <cell r="D623" t="str">
            <v>MT0</v>
          </cell>
          <cell r="E623" t="str">
            <v>MT6</v>
          </cell>
          <cell r="F623">
            <v>1.22292</v>
          </cell>
          <cell r="G623">
            <v>2.9515799999999999</v>
          </cell>
          <cell r="H623">
            <v>1.2711600000000001</v>
          </cell>
        </row>
        <row r="624">
          <cell r="A624" t="str">
            <v>GRMZM2G017157</v>
          </cell>
          <cell r="B624" t="str">
            <v>GO:0004674GO:0006468GO:0004713GO:0005524</v>
          </cell>
          <cell r="C624" t="str">
            <v>wall-associated kinase 4-like</v>
          </cell>
          <cell r="D624" t="str">
            <v>MT0</v>
          </cell>
          <cell r="E624" t="str">
            <v>MT6</v>
          </cell>
          <cell r="F624">
            <v>0.500023</v>
          </cell>
          <cell r="G624">
            <v>1.4145799999999999</v>
          </cell>
          <cell r="H624">
            <v>1.50031</v>
          </cell>
        </row>
        <row r="625">
          <cell r="A625" t="str">
            <v>GRMZM2G113129</v>
          </cell>
          <cell r="B625" t="e">
            <v>#N/A</v>
          </cell>
          <cell r="C625" t="str">
            <v>f-box protein at2g16365-like</v>
          </cell>
          <cell r="D625" t="str">
            <v>MT0</v>
          </cell>
          <cell r="E625" t="str">
            <v>MT6</v>
          </cell>
          <cell r="F625">
            <v>10.437099999999999</v>
          </cell>
          <cell r="G625">
            <v>4.8994200000000001</v>
          </cell>
          <cell r="H625">
            <v>-1.09104</v>
          </cell>
        </row>
        <row r="626">
          <cell r="A626" t="str">
            <v>GRMZM2G454514</v>
          </cell>
          <cell r="B626" t="str">
            <v>GO:0050825GO:0042309GO:0050826</v>
          </cell>
          <cell r="C626" t="str">
            <v>hypothetical protein SORBIDRAFT_09g029320</v>
          </cell>
          <cell r="D626" t="str">
            <v>MT0</v>
          </cell>
          <cell r="E626" t="str">
            <v>MT6</v>
          </cell>
          <cell r="F626">
            <v>0</v>
          </cell>
          <cell r="G626">
            <v>0.89891799999999999</v>
          </cell>
          <cell r="H626" t="str">
            <v>inf</v>
          </cell>
        </row>
        <row r="627">
          <cell r="A627" t="str">
            <v>GRMZM2G059037</v>
          </cell>
          <cell r="B627" t="str">
            <v>GO:0000228</v>
          </cell>
          <cell r="C627" t="str">
            <v>sister chromatid cohesion 1 protein 1</v>
          </cell>
          <cell r="D627" t="str">
            <v>MT0</v>
          </cell>
          <cell r="E627" t="str">
            <v>MT6</v>
          </cell>
          <cell r="F627">
            <v>0.47748299999999999</v>
          </cell>
          <cell r="G627">
            <v>1.4133199999999999</v>
          </cell>
          <cell r="H627">
            <v>1.5655699999999999</v>
          </cell>
        </row>
        <row r="628">
          <cell r="A628" t="str">
            <v>GRMZM2G458448</v>
          </cell>
          <cell r="B628" t="e">
            <v>#N/A</v>
          </cell>
          <cell r="C628" t="str">
            <v>harpin-induced protein</v>
          </cell>
          <cell r="D628" t="str">
            <v>MT0</v>
          </cell>
          <cell r="E628" t="str">
            <v>MT6</v>
          </cell>
          <cell r="F628">
            <v>3.1243599999999998</v>
          </cell>
          <cell r="G628">
            <v>6.6216100000000004</v>
          </cell>
          <cell r="H628">
            <v>1.08362</v>
          </cell>
        </row>
        <row r="629">
          <cell r="A629" t="str">
            <v>GRMZM2G057186</v>
          </cell>
          <cell r="B629" t="str">
            <v>GO:0003824</v>
          </cell>
          <cell r="C629" t="str">
            <v>vtc2-like protein</v>
          </cell>
          <cell r="D629" t="str">
            <v>MT0</v>
          </cell>
          <cell r="E629" t="str">
            <v>MT6</v>
          </cell>
          <cell r="F629">
            <v>22.408300000000001</v>
          </cell>
          <cell r="G629">
            <v>60.201300000000003</v>
          </cell>
          <cell r="H629">
            <v>1.4257599999999999</v>
          </cell>
        </row>
        <row r="630">
          <cell r="A630" t="str">
            <v>GRMZM2G002630</v>
          </cell>
          <cell r="B630" t="e">
            <v>#N/A</v>
          </cell>
          <cell r="C630" t="str">
            <v>jasmonate-induced protein</v>
          </cell>
          <cell r="D630" t="str">
            <v>MT0</v>
          </cell>
          <cell r="E630" t="str">
            <v>MT6</v>
          </cell>
          <cell r="F630">
            <v>10.684799999999999</v>
          </cell>
          <cell r="G630">
            <v>3.12906</v>
          </cell>
          <cell r="H630">
            <v>-1.7717499999999999</v>
          </cell>
        </row>
        <row r="631">
          <cell r="A631" t="str">
            <v>GRMZM2G163406</v>
          </cell>
          <cell r="B631" t="e">
            <v>#N/A</v>
          </cell>
          <cell r="C631" t="str">
            <v>jasmonate-induced protein</v>
          </cell>
          <cell r="D631" t="str">
            <v>MT0</v>
          </cell>
          <cell r="E631" t="str">
            <v>MT6</v>
          </cell>
          <cell r="F631">
            <v>0.54452599999999995</v>
          </cell>
          <cell r="G631">
            <v>1.6599699999999999</v>
          </cell>
          <cell r="H631">
            <v>1.60808</v>
          </cell>
        </row>
        <row r="632">
          <cell r="A632" t="str">
            <v>GRMZM2G076329</v>
          </cell>
          <cell r="B632" t="str">
            <v>GO:0005634GO:0006260GO:0008270GO:0003677</v>
          </cell>
          <cell r="C632" t="str">
            <v>replication factor a</v>
          </cell>
          <cell r="D632" t="str">
            <v>MT0</v>
          </cell>
          <cell r="E632" t="str">
            <v>MT6</v>
          </cell>
          <cell r="F632">
            <v>0.70224500000000001</v>
          </cell>
          <cell r="G632">
            <v>1.78921</v>
          </cell>
          <cell r="H632">
            <v>1.34928</v>
          </cell>
        </row>
        <row r="633">
          <cell r="A633" t="str">
            <v>GRMZM2G069335</v>
          </cell>
          <cell r="B633" t="e">
            <v>#N/A</v>
          </cell>
          <cell r="C633" t="str">
            <v>bon1-associated protein 2-like</v>
          </cell>
          <cell r="D633" t="str">
            <v>MT0</v>
          </cell>
          <cell r="E633" t="str">
            <v>MT6</v>
          </cell>
          <cell r="F633">
            <v>1.2552000000000001</v>
          </cell>
          <cell r="G633">
            <v>2.84104</v>
          </cell>
          <cell r="H633">
            <v>1.1785099999999999</v>
          </cell>
        </row>
        <row r="634">
          <cell r="A634" t="str">
            <v>GRMZM2G533031</v>
          </cell>
          <cell r="B634" t="e">
            <v>#N/A</v>
          </cell>
          <cell r="C634" t="str">
            <v>protein tas-like</v>
          </cell>
          <cell r="D634" t="str">
            <v>MT0</v>
          </cell>
          <cell r="E634" t="str">
            <v>MT6</v>
          </cell>
          <cell r="F634">
            <v>4.1208799999999997</v>
          </cell>
          <cell r="G634">
            <v>1.8368899999999999</v>
          </cell>
          <cell r="H634">
            <v>-1.1656899999999999</v>
          </cell>
        </row>
        <row r="635">
          <cell r="A635" t="str">
            <v>GRMZM2G447347</v>
          </cell>
          <cell r="B635" t="e">
            <v>#N/A</v>
          </cell>
          <cell r="C635" t="str">
            <v>hypothetical protein SORBIDRAFT_10g002800</v>
          </cell>
          <cell r="D635" t="str">
            <v>MT0</v>
          </cell>
          <cell r="E635" t="str">
            <v>MT6</v>
          </cell>
          <cell r="F635">
            <v>0.77653799999999995</v>
          </cell>
          <cell r="G635">
            <v>3.7486000000000002</v>
          </cell>
          <cell r="H635">
            <v>2.27122</v>
          </cell>
        </row>
        <row r="636">
          <cell r="A636" t="str">
            <v>GRMZM5G813768</v>
          </cell>
          <cell r="B636" t="e">
            <v>#N/A</v>
          </cell>
          <cell r="C636" t="str">
            <v>unknown</v>
          </cell>
          <cell r="D636" t="str">
            <v>MT0</v>
          </cell>
          <cell r="E636" t="str">
            <v>MT6</v>
          </cell>
          <cell r="F636">
            <v>11.791499999999999</v>
          </cell>
          <cell r="G636">
            <v>5.39642</v>
          </cell>
          <cell r="H636">
            <v>-1.12768</v>
          </cell>
        </row>
        <row r="637">
          <cell r="A637" t="str">
            <v>GRMZM2G039383</v>
          </cell>
          <cell r="B637" t="e">
            <v>#N/A</v>
          </cell>
          <cell r="C637" t="str">
            <v>nonspecific lipid-transfer protein precursor</v>
          </cell>
          <cell r="D637" t="str">
            <v>MT0</v>
          </cell>
          <cell r="E637" t="str">
            <v>MT6</v>
          </cell>
          <cell r="F637">
            <v>7.4331100000000001</v>
          </cell>
          <cell r="G637">
            <v>3.4801799999999998</v>
          </cell>
          <cell r="H637">
            <v>-1.0948100000000001</v>
          </cell>
        </row>
        <row r="638">
          <cell r="A638" t="str">
            <v>GRMZM2G029685</v>
          </cell>
          <cell r="B638" t="str">
            <v>GO:0003735GO:0006412GO:0005840</v>
          </cell>
          <cell r="C638" t="str">
            <v>40s ribosomal protein s24</v>
          </cell>
          <cell r="D638" t="str">
            <v>MT0</v>
          </cell>
          <cell r="E638" t="str">
            <v>MT6</v>
          </cell>
          <cell r="F638">
            <v>4.7904</v>
          </cell>
          <cell r="G638">
            <v>11.307700000000001</v>
          </cell>
          <cell r="H638">
            <v>1.23909</v>
          </cell>
        </row>
        <row r="639">
          <cell r="A639" t="str">
            <v>GRMZM2G122302</v>
          </cell>
          <cell r="B639" t="str">
            <v>GO:0005507GO:0009055</v>
          </cell>
          <cell r="C639" t="str">
            <v>blue copper protein</v>
          </cell>
          <cell r="D639" t="str">
            <v>MT0</v>
          </cell>
          <cell r="E639" t="str">
            <v>MT6</v>
          </cell>
          <cell r="F639">
            <v>4.9151699999999998</v>
          </cell>
          <cell r="G639">
            <v>14.630599999999999</v>
          </cell>
          <cell r="H639">
            <v>1.57368</v>
          </cell>
        </row>
        <row r="640">
          <cell r="A640" t="str">
            <v>GRMZM2G064096</v>
          </cell>
          <cell r="B640" t="str">
            <v>GO:0048046GO:0030145GO:0045735</v>
          </cell>
          <cell r="C640" t="str">
            <v>germin-like protein</v>
          </cell>
          <cell r="D640" t="str">
            <v>MT0</v>
          </cell>
          <cell r="E640" t="str">
            <v>MT6</v>
          </cell>
          <cell r="F640">
            <v>299.43299999999999</v>
          </cell>
          <cell r="G640">
            <v>134.01900000000001</v>
          </cell>
          <cell r="H640">
            <v>-1.1597999999999999</v>
          </cell>
        </row>
        <row r="641">
          <cell r="A641" t="str">
            <v>DHN1</v>
          </cell>
          <cell r="B641" t="e">
            <v>#N/A</v>
          </cell>
          <cell r="C641" t="e">
            <v>#N/A</v>
          </cell>
          <cell r="D641" t="str">
            <v>MT0</v>
          </cell>
          <cell r="E641" t="str">
            <v>MT6</v>
          </cell>
          <cell r="F641">
            <v>18.704999999999998</v>
          </cell>
          <cell r="G641">
            <v>7.6552899999999999</v>
          </cell>
          <cell r="H641">
            <v>-1.2888900000000001</v>
          </cell>
        </row>
        <row r="642">
          <cell r="A642" t="str">
            <v>GRMZM2G137535</v>
          </cell>
          <cell r="B642" t="str">
            <v>GO:0005975GO:0004553</v>
          </cell>
          <cell r="C642" t="str">
            <v>lichenase-2 precursor</v>
          </cell>
          <cell r="D642" t="str">
            <v>MT0</v>
          </cell>
          <cell r="E642" t="str">
            <v>MT6</v>
          </cell>
          <cell r="F642">
            <v>147.08500000000001</v>
          </cell>
          <cell r="G642">
            <v>18.71</v>
          </cell>
          <cell r="H642">
            <v>-2.9747699999999999</v>
          </cell>
        </row>
        <row r="643">
          <cell r="A643" t="str">
            <v>GRMZM2G135165</v>
          </cell>
          <cell r="B643" t="str">
            <v>GO:0005840GO:0016021GO:0003735GO:0050825GO:0042309GO:0050826GO:0007186GO:0006412</v>
          </cell>
          <cell r="C643" t="str">
            <v>uncharacterized protein LOC100384836</v>
          </cell>
          <cell r="D643" t="str">
            <v>MT0</v>
          </cell>
          <cell r="E643" t="str">
            <v>MT6</v>
          </cell>
          <cell r="F643">
            <v>1.7720499999999999</v>
          </cell>
          <cell r="G643">
            <v>9.7557700000000001</v>
          </cell>
          <cell r="H643">
            <v>2.4608300000000001</v>
          </cell>
        </row>
        <row r="644">
          <cell r="A644" t="str">
            <v>GRMZM2G399495</v>
          </cell>
          <cell r="B644" t="e">
            <v>#N/A</v>
          </cell>
          <cell r="C644" t="str">
            <v>probable membrane-associated kinase regulator 4-like</v>
          </cell>
          <cell r="D644" t="str">
            <v>MT0</v>
          </cell>
          <cell r="E644" t="str">
            <v>MT6</v>
          </cell>
          <cell r="F644">
            <v>0.400281</v>
          </cell>
          <cell r="G644">
            <v>1.04478</v>
          </cell>
          <cell r="H644">
            <v>1.38412</v>
          </cell>
        </row>
        <row r="645">
          <cell r="A645" t="str">
            <v>GRMZM2G140609</v>
          </cell>
          <cell r="B645" t="str">
            <v>GO:0003735GO:0006412GO:0015935</v>
          </cell>
          <cell r="C645" t="str">
            <v>40s ribosomal protein s23</v>
          </cell>
          <cell r="D645" t="str">
            <v>MT0</v>
          </cell>
          <cell r="E645" t="str">
            <v>MT6</v>
          </cell>
          <cell r="F645">
            <v>5.5134699999999999</v>
          </cell>
          <cell r="G645">
            <v>11.161199999999999</v>
          </cell>
          <cell r="H645">
            <v>1.01746</v>
          </cell>
        </row>
        <row r="646">
          <cell r="A646" t="str">
            <v>GRMZM2G145655</v>
          </cell>
          <cell r="B646" t="str">
            <v>GO:0016301GO:0008152GO:0005524</v>
          </cell>
          <cell r="C646" t="str">
            <v>protein</v>
          </cell>
          <cell r="D646" t="str">
            <v>MT0</v>
          </cell>
          <cell r="E646" t="str">
            <v>MT6</v>
          </cell>
          <cell r="F646">
            <v>1.34111</v>
          </cell>
          <cell r="G646">
            <v>3.3776899999999999</v>
          </cell>
          <cell r="H646">
            <v>1.3326100000000001</v>
          </cell>
        </row>
        <row r="647">
          <cell r="A647" t="str">
            <v>GRMZM2G157536</v>
          </cell>
          <cell r="B647" t="e">
            <v>#N/A</v>
          </cell>
          <cell r="C647" t="str">
            <v>unknown</v>
          </cell>
          <cell r="D647" t="str">
            <v>MT0</v>
          </cell>
          <cell r="E647" t="str">
            <v>MT6</v>
          </cell>
          <cell r="F647">
            <v>1.7065999999999999</v>
          </cell>
          <cell r="G647">
            <v>3.5513599999999999</v>
          </cell>
          <cell r="H647">
            <v>1.05724</v>
          </cell>
        </row>
        <row r="648">
          <cell r="A648" t="str">
            <v>GRMZM2G140752</v>
          </cell>
          <cell r="B648" t="str">
            <v>GO:0006468GO:0016021GO:0007214GO:0004674GO:0006821GO:0004713GO:0004890GO:0005524</v>
          </cell>
          <cell r="C648" t="str">
            <v>cysteine-rich receptor-like protein kinase 25-like</v>
          </cell>
          <cell r="D648" t="str">
            <v>MT0</v>
          </cell>
          <cell r="E648" t="str">
            <v>MT6</v>
          </cell>
          <cell r="F648">
            <v>0.179226</v>
          </cell>
          <cell r="G648">
            <v>1.12802</v>
          </cell>
          <cell r="H648">
            <v>2.65394</v>
          </cell>
        </row>
        <row r="649">
          <cell r="A649" t="str">
            <v>GRMZM2G001332</v>
          </cell>
          <cell r="B649" t="e">
            <v>#N/A</v>
          </cell>
          <cell r="C649" t="str">
            <v>---NA---</v>
          </cell>
          <cell r="D649" t="str">
            <v>MT0</v>
          </cell>
          <cell r="E649" t="str">
            <v>MT6</v>
          </cell>
          <cell r="F649">
            <v>1.63693</v>
          </cell>
          <cell r="G649">
            <v>5.4935099999999997</v>
          </cell>
          <cell r="H649">
            <v>1.74674</v>
          </cell>
        </row>
        <row r="650">
          <cell r="A650" t="str">
            <v>GRMZM2G168898</v>
          </cell>
          <cell r="B650" t="str">
            <v>GO:0019825GO:0020037GO:0005833GO:0005576GO:0050825GO:0042309GO:0050826GO:0015671</v>
          </cell>
          <cell r="C650" t="str">
            <v>hemoglobin 2</v>
          </cell>
          <cell r="D650" t="str">
            <v>MT0</v>
          </cell>
          <cell r="E650" t="str">
            <v>MT6</v>
          </cell>
          <cell r="F650">
            <v>46.926099999999998</v>
          </cell>
          <cell r="G650">
            <v>100.944</v>
          </cell>
          <cell r="H650">
            <v>1.1050899999999999</v>
          </cell>
        </row>
        <row r="651">
          <cell r="A651" t="str">
            <v>GRMZM2G141756</v>
          </cell>
          <cell r="B651" t="e">
            <v>#N/A</v>
          </cell>
          <cell r="C651" t="str">
            <v>flower locus t3</v>
          </cell>
          <cell r="D651" t="str">
            <v>MT0</v>
          </cell>
          <cell r="E651" t="str">
            <v>MT6</v>
          </cell>
          <cell r="F651">
            <v>0.77668300000000001</v>
          </cell>
          <cell r="G651">
            <v>2.7851300000000001</v>
          </cell>
          <cell r="H651">
            <v>1.8423499999999999</v>
          </cell>
        </row>
        <row r="652">
          <cell r="A652" t="str">
            <v>GRMZM2G174558</v>
          </cell>
          <cell r="B652" t="e">
            <v>#N/A</v>
          </cell>
          <cell r="C652" t="str">
            <v>dna-binding wrky</v>
          </cell>
          <cell r="D652" t="str">
            <v>MT0</v>
          </cell>
          <cell r="E652" t="str">
            <v>MT6</v>
          </cell>
          <cell r="F652">
            <v>1.07145</v>
          </cell>
          <cell r="G652">
            <v>2.9190200000000002</v>
          </cell>
          <cell r="H652">
            <v>1.4459200000000001</v>
          </cell>
        </row>
        <row r="653">
          <cell r="A653" t="str">
            <v>GRMZM2G090245</v>
          </cell>
          <cell r="B653" t="e">
            <v>#N/A</v>
          </cell>
          <cell r="C653" t="str">
            <v>adenosine diphosphate glucose pyrophosphatase</v>
          </cell>
          <cell r="D653" t="str">
            <v>MT0</v>
          </cell>
          <cell r="E653" t="str">
            <v>MT6</v>
          </cell>
          <cell r="F653">
            <v>5.6794099999999998</v>
          </cell>
          <cell r="G653">
            <v>0.78088999999999997</v>
          </cell>
          <cell r="H653">
            <v>-2.8625500000000001</v>
          </cell>
        </row>
        <row r="654">
          <cell r="A654" t="str">
            <v>GRMZM2G381739</v>
          </cell>
          <cell r="B654" t="str">
            <v>GO:0006508GO:0004190</v>
          </cell>
          <cell r="C654" t="str">
            <v>aspartic proteinase nepenthesin-2-like</v>
          </cell>
          <cell r="D654" t="str">
            <v>MT0</v>
          </cell>
          <cell r="E654" t="str">
            <v>MT6</v>
          </cell>
          <cell r="F654">
            <v>0.97533000000000003</v>
          </cell>
          <cell r="G654">
            <v>0.38482499999999997</v>
          </cell>
          <cell r="H654">
            <v>-1.34169</v>
          </cell>
        </row>
        <row r="655">
          <cell r="A655" t="str">
            <v>GRMZM5G846057</v>
          </cell>
          <cell r="B655" t="e">
            <v>#N/A</v>
          </cell>
          <cell r="C655" t="str">
            <v>ap2 erf domain-containing transcription factor</v>
          </cell>
          <cell r="D655" t="str">
            <v>MT0</v>
          </cell>
          <cell r="E655" t="str">
            <v>MT6</v>
          </cell>
          <cell r="F655">
            <v>0.26499899999999998</v>
          </cell>
          <cell r="G655">
            <v>1.73248</v>
          </cell>
          <cell r="H655">
            <v>2.70878</v>
          </cell>
        </row>
        <row r="656">
          <cell r="A656" t="str">
            <v>GRMZM2G077436</v>
          </cell>
          <cell r="B656" t="str">
            <v>GO:0003700GO:0006355GO:0006352GO:0016987</v>
          </cell>
          <cell r="C656" t="str">
            <v>rna polymerase sigma factor rpod-like</v>
          </cell>
          <cell r="D656" t="str">
            <v>MT0</v>
          </cell>
          <cell r="E656" t="str">
            <v>MT6</v>
          </cell>
          <cell r="F656">
            <v>1.76353</v>
          </cell>
          <cell r="G656">
            <v>4.2376300000000002</v>
          </cell>
          <cell r="H656">
            <v>1.2647900000000001</v>
          </cell>
        </row>
        <row r="657">
          <cell r="A657" t="str">
            <v>GRMZM2G045031</v>
          </cell>
          <cell r="B657" t="e">
            <v>#N/A</v>
          </cell>
          <cell r="C657" t="str">
            <v>uncharacterized protein LOC100278663</v>
          </cell>
          <cell r="D657" t="str">
            <v>MT0</v>
          </cell>
          <cell r="E657" t="str">
            <v>MT6</v>
          </cell>
          <cell r="F657">
            <v>0.13825399999999999</v>
          </cell>
          <cell r="G657">
            <v>11.494999999999999</v>
          </cell>
          <cell r="H657">
            <v>6.3775399999999998</v>
          </cell>
        </row>
        <row r="658">
          <cell r="A658" t="str">
            <v>GRMZM2G465226</v>
          </cell>
          <cell r="B658" t="e">
            <v>#N/A</v>
          </cell>
          <cell r="C658" t="str">
            <v>pathogenesis-related protein class i</v>
          </cell>
          <cell r="D658" t="str">
            <v>MT0</v>
          </cell>
          <cell r="E658" t="str">
            <v>MT6</v>
          </cell>
          <cell r="F658">
            <v>1.14524</v>
          </cell>
          <cell r="G658">
            <v>16.429500000000001</v>
          </cell>
          <cell r="H658">
            <v>3.8425600000000002</v>
          </cell>
        </row>
        <row r="659">
          <cell r="A659" t="str">
            <v>GRMZM2G170397</v>
          </cell>
          <cell r="B659" t="str">
            <v>GO:0003755</v>
          </cell>
          <cell r="C659" t="str">
            <v>peptidyl-prolyl cis-trans isomerase cyp19-3</v>
          </cell>
          <cell r="D659" t="str">
            <v>MT0</v>
          </cell>
          <cell r="E659" t="str">
            <v>MT6</v>
          </cell>
          <cell r="F659">
            <v>3.1679300000000001</v>
          </cell>
          <cell r="G659">
            <v>7.7061400000000004</v>
          </cell>
          <cell r="H659">
            <v>1.28247</v>
          </cell>
        </row>
        <row r="660">
          <cell r="A660" t="str">
            <v>GRMZM2G114255</v>
          </cell>
          <cell r="B660" t="e">
            <v>#N/A</v>
          </cell>
          <cell r="C660" t="str">
            <v>potassium channel</v>
          </cell>
          <cell r="D660" t="str">
            <v>MT0</v>
          </cell>
          <cell r="E660" t="str">
            <v>MT6</v>
          </cell>
          <cell r="F660">
            <v>1.05138</v>
          </cell>
          <cell r="G660">
            <v>0.45396900000000001</v>
          </cell>
          <cell r="H660">
            <v>-1.2116199999999999</v>
          </cell>
        </row>
        <row r="661">
          <cell r="A661" t="str">
            <v>GRMZM2G493395</v>
          </cell>
          <cell r="B661" t="e">
            <v>#N/A</v>
          </cell>
          <cell r="C661" t="str">
            <v>1-deoxy-d-xylulose 5-phosphate synthase</v>
          </cell>
          <cell r="D661" t="str">
            <v>MT0</v>
          </cell>
          <cell r="E661" t="str">
            <v>MT6</v>
          </cell>
          <cell r="F661">
            <v>1.9628399999999999</v>
          </cell>
          <cell r="G661">
            <v>5.8297800000000004</v>
          </cell>
          <cell r="H661">
            <v>1.5705</v>
          </cell>
        </row>
        <row r="662">
          <cell r="A662" t="str">
            <v>GRMZM5G855743</v>
          </cell>
          <cell r="B662" t="e">
            <v>#N/A</v>
          </cell>
          <cell r="C662">
            <v>0</v>
          </cell>
          <cell r="D662" t="str">
            <v>MT0</v>
          </cell>
          <cell r="E662" t="str">
            <v>MT6</v>
          </cell>
          <cell r="F662">
            <v>29.063800000000001</v>
          </cell>
          <cell r="G662">
            <v>11.4575</v>
          </cell>
          <cell r="H662">
            <v>-1.34293</v>
          </cell>
        </row>
        <row r="663">
          <cell r="A663" t="str">
            <v>GRMZM2G038926</v>
          </cell>
          <cell r="B663" t="e">
            <v>#N/A</v>
          </cell>
          <cell r="C663" t="str">
            <v>uncharacterized protein LOC100383921</v>
          </cell>
          <cell r="D663" t="str">
            <v>MT0</v>
          </cell>
          <cell r="E663" t="str">
            <v>MT6</v>
          </cell>
          <cell r="F663">
            <v>47.9833</v>
          </cell>
          <cell r="G663">
            <v>21.729099999999999</v>
          </cell>
          <cell r="H663">
            <v>-1.1429</v>
          </cell>
        </row>
        <row r="664">
          <cell r="A664" t="str">
            <v>GRMZM2G177539</v>
          </cell>
          <cell r="B664" t="e">
            <v>#N/A</v>
          </cell>
          <cell r="C664" t="str">
            <v>folate biopterin transporter family protein</v>
          </cell>
          <cell r="D664" t="str">
            <v>MT0</v>
          </cell>
          <cell r="E664" t="str">
            <v>MT6</v>
          </cell>
          <cell r="F664">
            <v>0.32739800000000002</v>
          </cell>
          <cell r="G664">
            <v>1.20146</v>
          </cell>
          <cell r="H664">
            <v>1.8756699999999999</v>
          </cell>
        </row>
        <row r="665">
          <cell r="A665" t="str">
            <v>GRMZM2G029249</v>
          </cell>
          <cell r="B665" t="e">
            <v>#N/A</v>
          </cell>
          <cell r="C665" t="str">
            <v>desiccation-associated protein</v>
          </cell>
          <cell r="D665" t="str">
            <v>MT0</v>
          </cell>
          <cell r="E665" t="str">
            <v>MT6</v>
          </cell>
          <cell r="F665">
            <v>0.355991</v>
          </cell>
          <cell r="G665">
            <v>0.89873599999999998</v>
          </cell>
          <cell r="H665">
            <v>1.33606</v>
          </cell>
        </row>
        <row r="666">
          <cell r="A666" t="str">
            <v>GRMZM2G027198</v>
          </cell>
          <cell r="B666" t="str">
            <v>GO:0005507GO:0009055</v>
          </cell>
          <cell r="C666" t="str">
            <v>blue copper binding protein</v>
          </cell>
          <cell r="D666" t="str">
            <v>MT0</v>
          </cell>
          <cell r="E666" t="str">
            <v>MT6</v>
          </cell>
          <cell r="F666">
            <v>1.94476</v>
          </cell>
          <cell r="G666">
            <v>5.1548400000000001</v>
          </cell>
          <cell r="H666">
            <v>1.4063300000000001</v>
          </cell>
        </row>
        <row r="667">
          <cell r="A667" t="str">
            <v>GRMZM2G427400</v>
          </cell>
          <cell r="B667" t="e">
            <v>#N/A</v>
          </cell>
          <cell r="C667">
            <v>0</v>
          </cell>
          <cell r="D667" t="str">
            <v>MT0</v>
          </cell>
          <cell r="E667" t="str">
            <v>MT6</v>
          </cell>
          <cell r="F667">
            <v>5.8734599999999997</v>
          </cell>
          <cell r="G667">
            <v>2.9093200000000001</v>
          </cell>
          <cell r="H667">
            <v>-1.01353</v>
          </cell>
        </row>
        <row r="668">
          <cell r="A668" t="str">
            <v>GRMZM2G011526</v>
          </cell>
          <cell r="B668" t="str">
            <v>GO:0004674GO:0006468GO:0004713GO:0005524</v>
          </cell>
          <cell r="C668" t="str">
            <v>lrr receptor-like serine threonine-protein kinase</v>
          </cell>
          <cell r="D668" t="str">
            <v>MT0</v>
          </cell>
          <cell r="E668" t="str">
            <v>MT6</v>
          </cell>
          <cell r="F668">
            <v>1.41951</v>
          </cell>
          <cell r="G668">
            <v>3.60676</v>
          </cell>
          <cell r="H668">
            <v>1.34531</v>
          </cell>
        </row>
        <row r="669">
          <cell r="A669" t="str">
            <v>GRMZM2G049990</v>
          </cell>
          <cell r="B669" t="e">
            <v>#N/A</v>
          </cell>
          <cell r="C669" t="str">
            <v>uncharacterized protein LOC100278276</v>
          </cell>
          <cell r="D669" t="str">
            <v>MT0</v>
          </cell>
          <cell r="E669" t="str">
            <v>MT6</v>
          </cell>
          <cell r="F669">
            <v>2.5253899999999998</v>
          </cell>
          <cell r="G669">
            <v>5.9718299999999997</v>
          </cell>
          <cell r="H669">
            <v>1.2416700000000001</v>
          </cell>
        </row>
        <row r="670">
          <cell r="A670" t="str">
            <v>GRMZM2G431288</v>
          </cell>
          <cell r="B670" t="str">
            <v>GO:0004497GO:0020037GO:0009055</v>
          </cell>
          <cell r="C670" t="str">
            <v>elicitor-inducible cytochrome p450</v>
          </cell>
          <cell r="D670" t="str">
            <v>MT0</v>
          </cell>
          <cell r="E670" t="str">
            <v>MT6</v>
          </cell>
          <cell r="F670">
            <v>3.3915799999999998</v>
          </cell>
          <cell r="G670">
            <v>13.915800000000001</v>
          </cell>
          <cell r="H670">
            <v>2.0366900000000001</v>
          </cell>
        </row>
        <row r="671">
          <cell r="A671" t="str">
            <v>GRMZM2G388045</v>
          </cell>
          <cell r="B671" t="e">
            <v>#N/A</v>
          </cell>
          <cell r="C671" t="str">
            <v>uncharacterized protein LOC100382002</v>
          </cell>
          <cell r="D671" t="str">
            <v>MT0</v>
          </cell>
          <cell r="E671" t="str">
            <v>MT6</v>
          </cell>
          <cell r="F671">
            <v>0.214089</v>
          </cell>
          <cell r="G671">
            <v>1.0317499999999999</v>
          </cell>
          <cell r="H671">
            <v>2.2688000000000001</v>
          </cell>
        </row>
        <row r="672">
          <cell r="A672" t="str">
            <v>GRMZM2G128212</v>
          </cell>
          <cell r="B672" t="str">
            <v>GO:0005840GO:0003735GO:0050825GO:0008270GO:0042309GO:0050826GO:0006412</v>
          </cell>
          <cell r="C672" t="str">
            <v>nucleic acid binding</v>
          </cell>
          <cell r="D672" t="str">
            <v>MT0</v>
          </cell>
          <cell r="E672" t="str">
            <v>MT6</v>
          </cell>
          <cell r="F672">
            <v>0.63943399999999995</v>
          </cell>
          <cell r="G672">
            <v>1.35609</v>
          </cell>
          <cell r="H672">
            <v>1.0845899999999999</v>
          </cell>
        </row>
        <row r="673">
          <cell r="A673" t="str">
            <v>GRMZM2G088964</v>
          </cell>
          <cell r="B673" t="str">
            <v>GO:0006813GO:0016020GO:0015079</v>
          </cell>
          <cell r="C673" t="str">
            <v>probable potassium transporter 17-like</v>
          </cell>
          <cell r="D673" t="str">
            <v>MT0</v>
          </cell>
          <cell r="E673" t="str">
            <v>MT6</v>
          </cell>
          <cell r="F673">
            <v>0.49774800000000002</v>
          </cell>
          <cell r="G673">
            <v>1.1755599999999999</v>
          </cell>
          <cell r="H673">
            <v>1.23987</v>
          </cell>
        </row>
        <row r="674">
          <cell r="A674" t="str">
            <v>GRMZM2G076778</v>
          </cell>
          <cell r="B674" t="e">
            <v>#N/A</v>
          </cell>
          <cell r="C674" t="str">
            <v>uncharacterized protein LOC100276620</v>
          </cell>
          <cell r="D674" t="str">
            <v>MT0</v>
          </cell>
          <cell r="E674" t="str">
            <v>MT6</v>
          </cell>
          <cell r="F674">
            <v>1.10076</v>
          </cell>
          <cell r="G674">
            <v>2.7155499999999999</v>
          </cell>
          <cell r="H674">
            <v>1.3027500000000001</v>
          </cell>
        </row>
        <row r="675">
          <cell r="A675" t="str">
            <v>GRMZM2G177229</v>
          </cell>
          <cell r="B675" t="str">
            <v>GO:0005634GO:0008270GO:0003723</v>
          </cell>
          <cell r="C675" t="str">
            <v>splicing factor u2af 38 kda subunit</v>
          </cell>
          <cell r="D675" t="str">
            <v>MT0</v>
          </cell>
          <cell r="E675" t="str">
            <v>MT6</v>
          </cell>
          <cell r="F675">
            <v>6.8091600000000003</v>
          </cell>
          <cell r="G675">
            <v>13.817600000000001</v>
          </cell>
          <cell r="H675">
            <v>1.0209600000000001</v>
          </cell>
        </row>
        <row r="676">
          <cell r="A676" t="str">
            <v>GRMZM2G038931</v>
          </cell>
          <cell r="B676" t="e">
            <v>#N/A</v>
          </cell>
          <cell r="C676" t="str">
            <v>uncharacterized protein LOC100276373</v>
          </cell>
          <cell r="D676" t="str">
            <v>MT0</v>
          </cell>
          <cell r="E676" t="str">
            <v>MT6</v>
          </cell>
          <cell r="F676">
            <v>0.364674</v>
          </cell>
          <cell r="G676">
            <v>0.87666100000000002</v>
          </cell>
          <cell r="H676">
            <v>1.2654099999999999</v>
          </cell>
        </row>
        <row r="677">
          <cell r="A677" t="str">
            <v>GRMZM2G144034</v>
          </cell>
          <cell r="B677" t="e">
            <v>#N/A</v>
          </cell>
          <cell r="C677" t="str">
            <v>regulatory protein</v>
          </cell>
          <cell r="D677" t="str">
            <v>MT0</v>
          </cell>
          <cell r="E677" t="str">
            <v>MT6</v>
          </cell>
          <cell r="F677">
            <v>0.31065199999999998</v>
          </cell>
          <cell r="G677">
            <v>0.92958200000000002</v>
          </cell>
          <cell r="H677">
            <v>1.58128</v>
          </cell>
        </row>
        <row r="678">
          <cell r="A678" t="str">
            <v>AC196726.2_FG001</v>
          </cell>
          <cell r="B678" t="e">
            <v>#N/A</v>
          </cell>
          <cell r="C678" t="e">
            <v>#N/A</v>
          </cell>
          <cell r="D678" t="str">
            <v>MT0</v>
          </cell>
          <cell r="E678" t="str">
            <v>MT6</v>
          </cell>
          <cell r="F678">
            <v>0</v>
          </cell>
          <cell r="G678">
            <v>1.50499</v>
          </cell>
          <cell r="H678" t="str">
            <v>inf</v>
          </cell>
        </row>
        <row r="679">
          <cell r="A679" t="str">
            <v>H4C7</v>
          </cell>
          <cell r="B679" t="e">
            <v>#N/A</v>
          </cell>
          <cell r="C679" t="e">
            <v>#N/A</v>
          </cell>
          <cell r="D679" t="str">
            <v>MT0</v>
          </cell>
          <cell r="E679" t="str">
            <v>MT6</v>
          </cell>
          <cell r="F679">
            <v>1.7303500000000001</v>
          </cell>
          <cell r="G679">
            <v>0</v>
          </cell>
          <cell r="H679" t="e">
            <v>#NAME?</v>
          </cell>
        </row>
        <row r="680">
          <cell r="A680" t="str">
            <v>GRMZM2G084757</v>
          </cell>
          <cell r="B680" t="str">
            <v>GO:0003735GO:0006412GO:0005840</v>
          </cell>
          <cell r="C680" t="str">
            <v>60s ribosomal protein l15</v>
          </cell>
          <cell r="D680" t="str">
            <v>MT0</v>
          </cell>
          <cell r="E680" t="str">
            <v>MT6</v>
          </cell>
          <cell r="F680">
            <v>13.021100000000001</v>
          </cell>
          <cell r="G680">
            <v>28.611000000000001</v>
          </cell>
          <cell r="H680">
            <v>1.13571</v>
          </cell>
        </row>
        <row r="681">
          <cell r="A681" t="str">
            <v>GRMZM5G802881</v>
          </cell>
          <cell r="B681" t="e">
            <v>#N/A</v>
          </cell>
          <cell r="C681" t="str">
            <v>nucleobase-ascorbate transporter 11-like</v>
          </cell>
          <cell r="D681" t="str">
            <v>MT0</v>
          </cell>
          <cell r="E681" t="str">
            <v>MT6</v>
          </cell>
          <cell r="F681">
            <v>14.251099999999999</v>
          </cell>
          <cell r="G681">
            <v>6.8012199999999998</v>
          </cell>
          <cell r="H681">
            <v>-1.06721</v>
          </cell>
        </row>
        <row r="682">
          <cell r="A682" t="str">
            <v>GRMZM2G108615</v>
          </cell>
          <cell r="B682" t="str">
            <v>GO:0005737GO:0006813GO:0051260GO:0008076GO:0005249GO:0005525</v>
          </cell>
          <cell r="C682" t="str">
            <v>hypothetical protein SORBIDRAFT_02g034435</v>
          </cell>
          <cell r="D682" t="str">
            <v>MT0</v>
          </cell>
          <cell r="E682" t="str">
            <v>MT6</v>
          </cell>
          <cell r="F682">
            <v>1.2313700000000001</v>
          </cell>
          <cell r="G682">
            <v>8.5493500000000004</v>
          </cell>
          <cell r="H682">
            <v>2.79555</v>
          </cell>
        </row>
        <row r="683">
          <cell r="A683" t="str">
            <v>GRMZM2G148272</v>
          </cell>
          <cell r="B683" t="e">
            <v>#N/A</v>
          </cell>
          <cell r="C683" t="str">
            <v>uncharacterized protein LOC100274659</v>
          </cell>
          <cell r="D683" t="str">
            <v>MT0</v>
          </cell>
          <cell r="E683" t="str">
            <v>MT6</v>
          </cell>
          <cell r="F683">
            <v>0.893648</v>
          </cell>
          <cell r="G683">
            <v>2.00495</v>
          </cell>
          <cell r="H683">
            <v>1.1657900000000001</v>
          </cell>
        </row>
        <row r="684">
          <cell r="A684" t="str">
            <v>GRMZM2G075794</v>
          </cell>
          <cell r="B684" t="e">
            <v>#N/A</v>
          </cell>
          <cell r="C684" t="str">
            <v>hypothetical protein SORBIDRAFT_02g034730</v>
          </cell>
          <cell r="D684" t="str">
            <v>MT0</v>
          </cell>
          <cell r="E684" t="str">
            <v>MT6</v>
          </cell>
          <cell r="F684">
            <v>0.56196800000000002</v>
          </cell>
          <cell r="G684">
            <v>1.7454499999999999</v>
          </cell>
          <cell r="H684">
            <v>1.63504</v>
          </cell>
        </row>
        <row r="685">
          <cell r="A685" t="str">
            <v>GRMZM2G174855</v>
          </cell>
          <cell r="B685" t="str">
            <v>GO:0005618GO:0048046GO:0016762GO:0006073GO:0004553</v>
          </cell>
          <cell r="C685" t="str">
            <v>probable xyloglucan endotransglucosylase hydrolase protein 8-like</v>
          </cell>
          <cell r="D685" t="str">
            <v>MT0</v>
          </cell>
          <cell r="E685" t="str">
            <v>MT6</v>
          </cell>
          <cell r="F685">
            <v>2.90916</v>
          </cell>
          <cell r="G685">
            <v>1.3996299999999999</v>
          </cell>
          <cell r="H685">
            <v>-1.0555600000000001</v>
          </cell>
        </row>
        <row r="686">
          <cell r="A686" t="str">
            <v>GRMZM2G058310</v>
          </cell>
          <cell r="B686" t="str">
            <v>GO:0016161GO:0000272</v>
          </cell>
          <cell r="C686" t="str">
            <v>beta-amylase</v>
          </cell>
          <cell r="D686" t="str">
            <v>MT0</v>
          </cell>
          <cell r="E686" t="str">
            <v>MT6</v>
          </cell>
          <cell r="F686">
            <v>17.732399999999998</v>
          </cell>
          <cell r="G686">
            <v>7.2446599999999997</v>
          </cell>
          <cell r="H686">
            <v>-1.2914000000000001</v>
          </cell>
        </row>
        <row r="687">
          <cell r="A687" t="str">
            <v>GRMZM2G459663</v>
          </cell>
          <cell r="B687" t="str">
            <v>GO:0050825GO:0005509GO:0042309GO:0050826</v>
          </cell>
          <cell r="C687" t="str">
            <v>ef hand family protein</v>
          </cell>
          <cell r="D687" t="str">
            <v>MT0</v>
          </cell>
          <cell r="E687" t="str">
            <v>MT6</v>
          </cell>
          <cell r="F687">
            <v>1.31369</v>
          </cell>
          <cell r="G687">
            <v>4.2734699999999997</v>
          </cell>
          <cell r="H687">
            <v>1.7017800000000001</v>
          </cell>
        </row>
        <row r="688">
          <cell r="A688" t="str">
            <v>GRMZM2G136580</v>
          </cell>
          <cell r="B688" t="str">
            <v>GO:0016757</v>
          </cell>
          <cell r="C688" t="str">
            <v>symbiosis-related protein</v>
          </cell>
          <cell r="D688" t="str">
            <v>MT0</v>
          </cell>
          <cell r="E688" t="str">
            <v>MT6</v>
          </cell>
          <cell r="F688">
            <v>12.4674</v>
          </cell>
          <cell r="G688">
            <v>6.09701</v>
          </cell>
          <cell r="H688">
            <v>-1.0319799999999999</v>
          </cell>
        </row>
        <row r="689">
          <cell r="A689" t="str">
            <v>GRMZM2G036134</v>
          </cell>
          <cell r="B689" t="str">
            <v>GO:0006508GO:0004190</v>
          </cell>
          <cell r="C689" t="str">
            <v>nucleoid dna-binding-like protein</v>
          </cell>
          <cell r="D689" t="str">
            <v>MT0</v>
          </cell>
          <cell r="E689" t="str">
            <v>MT6</v>
          </cell>
          <cell r="F689">
            <v>2.2814899999999998</v>
          </cell>
          <cell r="G689">
            <v>4.6524299999999998</v>
          </cell>
          <cell r="H689">
            <v>1.0280100000000001</v>
          </cell>
        </row>
        <row r="690">
          <cell r="A690" t="str">
            <v>GRMZM2G348863</v>
          </cell>
          <cell r="B690" t="e">
            <v>#N/A</v>
          </cell>
          <cell r="C690" t="str">
            <v>protein</v>
          </cell>
          <cell r="D690" t="str">
            <v>MT0</v>
          </cell>
          <cell r="E690" t="str">
            <v>MT6</v>
          </cell>
          <cell r="F690">
            <v>8.5692299999999992</v>
          </cell>
          <cell r="G690">
            <v>37.3872</v>
          </cell>
          <cell r="H690">
            <v>2.1253099999999998</v>
          </cell>
        </row>
        <row r="691">
          <cell r="A691" t="str">
            <v>GRMZM2G181607</v>
          </cell>
          <cell r="B691" t="str">
            <v>GO:0045454</v>
          </cell>
          <cell r="C691" t="str">
            <v>thioredoxin-like 1- chloroplastic-like</v>
          </cell>
          <cell r="D691" t="str">
            <v>MT0</v>
          </cell>
          <cell r="E691" t="str">
            <v>MT6</v>
          </cell>
          <cell r="F691">
            <v>114.291</v>
          </cell>
          <cell r="G691">
            <v>49.885599999999997</v>
          </cell>
          <cell r="H691">
            <v>-1.1960200000000001</v>
          </cell>
        </row>
        <row r="692">
          <cell r="A692" t="str">
            <v>GRMZM2G032878</v>
          </cell>
          <cell r="B692" t="str">
            <v>GO:0006633GO:0000036GO:0048037GO:0031177</v>
          </cell>
          <cell r="C692" t="str">
            <v>acyl carrier protein 3</v>
          </cell>
          <cell r="D692" t="str">
            <v>MT0</v>
          </cell>
          <cell r="E692" t="str">
            <v>MT6</v>
          </cell>
          <cell r="F692">
            <v>1.65524</v>
          </cell>
          <cell r="G692">
            <v>3.8149500000000001</v>
          </cell>
          <cell r="H692">
            <v>1.20462</v>
          </cell>
        </row>
        <row r="693">
          <cell r="A693" t="str">
            <v>GRMZM2G032562</v>
          </cell>
          <cell r="B693" t="str">
            <v>GO:0006511GO:0005515</v>
          </cell>
          <cell r="C693" t="str">
            <v>s-phase kinase-associated protein 1</v>
          </cell>
          <cell r="D693" t="str">
            <v>MT0</v>
          </cell>
          <cell r="E693" t="str">
            <v>MT6</v>
          </cell>
          <cell r="F693">
            <v>0.69711299999999998</v>
          </cell>
          <cell r="G693">
            <v>1.7802500000000001</v>
          </cell>
          <cell r="H693">
            <v>1.3526199999999999</v>
          </cell>
        </row>
        <row r="694">
          <cell r="A694" t="str">
            <v>GRMZM2G177104</v>
          </cell>
          <cell r="B694" t="str">
            <v>GO:0016491</v>
          </cell>
          <cell r="C694" t="str">
            <v>gibberellin 2-beta-dioxygenase 8-like</v>
          </cell>
          <cell r="D694" t="str">
            <v>MT0</v>
          </cell>
          <cell r="E694" t="str">
            <v>MT6</v>
          </cell>
          <cell r="F694">
            <v>3.03437</v>
          </cell>
          <cell r="G694">
            <v>13.402699999999999</v>
          </cell>
          <cell r="H694">
            <v>2.1430600000000002</v>
          </cell>
        </row>
        <row r="695">
          <cell r="A695" t="str">
            <v>GRMZM2G148831</v>
          </cell>
          <cell r="B695" t="e">
            <v>#N/A</v>
          </cell>
          <cell r="C695" t="str">
            <v>hypothetical protein SORBIDRAFT_02g002380</v>
          </cell>
          <cell r="D695" t="str">
            <v>MT0</v>
          </cell>
          <cell r="E695" t="str">
            <v>MT6</v>
          </cell>
          <cell r="F695">
            <v>2.0710199999999999</v>
          </cell>
          <cell r="G695">
            <v>0.767594</v>
          </cell>
          <cell r="H695">
            <v>-1.4319299999999999</v>
          </cell>
        </row>
        <row r="696">
          <cell r="A696" t="str">
            <v>GRMZM2G102079</v>
          </cell>
          <cell r="B696" t="str">
            <v>GO:0004497GO:0020037GO:0009055</v>
          </cell>
          <cell r="C696" t="str">
            <v>elicitor-inducible cytochrome p450</v>
          </cell>
          <cell r="D696" t="str">
            <v>MT0</v>
          </cell>
          <cell r="E696" t="str">
            <v>MT6</v>
          </cell>
          <cell r="F696">
            <v>4.1311</v>
          </cell>
          <cell r="G696">
            <v>13.113300000000001</v>
          </cell>
          <cell r="H696">
            <v>1.6664300000000001</v>
          </cell>
        </row>
        <row r="697">
          <cell r="A697" t="str">
            <v>GRMZM2G013920</v>
          </cell>
          <cell r="B697" t="e">
            <v>#N/A</v>
          </cell>
          <cell r="C697">
            <v>0</v>
          </cell>
          <cell r="D697" t="str">
            <v>MT0</v>
          </cell>
          <cell r="E697" t="str">
            <v>MT6</v>
          </cell>
          <cell r="F697">
            <v>45.418700000000001</v>
          </cell>
          <cell r="G697">
            <v>22.321899999999999</v>
          </cell>
          <cell r="H697">
            <v>-1.0248299999999999</v>
          </cell>
        </row>
        <row r="698">
          <cell r="A698" t="str">
            <v>GRMZM2G170542</v>
          </cell>
          <cell r="B698" t="e">
            <v>#N/A</v>
          </cell>
          <cell r="C698" t="str">
            <v>uncharacterized protein LOC100382838</v>
          </cell>
          <cell r="D698" t="str">
            <v>MT0</v>
          </cell>
          <cell r="E698" t="str">
            <v>MT6</v>
          </cell>
          <cell r="F698">
            <v>21.600100000000001</v>
          </cell>
          <cell r="G698">
            <v>9.3534600000000001</v>
          </cell>
          <cell r="H698">
            <v>-1.20746</v>
          </cell>
        </row>
        <row r="699">
          <cell r="A699" t="str">
            <v>GRMZM2G076417</v>
          </cell>
          <cell r="B699" t="str">
            <v>GO:0006508GO:0043086GO:0042802GO:0004252</v>
          </cell>
          <cell r="C699" t="str">
            <v>subtilisin-like protease-like</v>
          </cell>
          <cell r="D699" t="str">
            <v>MT0</v>
          </cell>
          <cell r="E699" t="str">
            <v>MT6</v>
          </cell>
          <cell r="F699">
            <v>1.6393899999999999</v>
          </cell>
          <cell r="G699">
            <v>3.4804400000000002</v>
          </cell>
          <cell r="H699">
            <v>1.0861099999999999</v>
          </cell>
        </row>
        <row r="700">
          <cell r="A700" t="str">
            <v>GRMZM2G002396</v>
          </cell>
          <cell r="B700" t="e">
            <v>#N/A</v>
          </cell>
          <cell r="C700" t="str">
            <v>integral membrane family protein</v>
          </cell>
          <cell r="D700" t="str">
            <v>MT0</v>
          </cell>
          <cell r="E700" t="str">
            <v>MT6</v>
          </cell>
          <cell r="F700">
            <v>27.026499999999999</v>
          </cell>
          <cell r="G700">
            <v>10.018800000000001</v>
          </cell>
          <cell r="H700">
            <v>-1.43167</v>
          </cell>
        </row>
        <row r="701">
          <cell r="A701" t="str">
            <v>GRMZM2G132489</v>
          </cell>
          <cell r="B701" t="str">
            <v>GO:0050661GO:0050660GO:0004499</v>
          </cell>
          <cell r="C701" t="str">
            <v>disulfide oxidoreductase monooxygenase oxidoreductase</v>
          </cell>
          <cell r="D701" t="str">
            <v>MT0</v>
          </cell>
          <cell r="E701" t="str">
            <v>MT6</v>
          </cell>
          <cell r="F701">
            <v>1.405</v>
          </cell>
          <cell r="G701">
            <v>4.0664999999999996</v>
          </cell>
          <cell r="H701">
            <v>1.53321</v>
          </cell>
        </row>
        <row r="702">
          <cell r="A702" t="str">
            <v>PIP2-6</v>
          </cell>
          <cell r="B702" t="e">
            <v>#N/A</v>
          </cell>
          <cell r="C702" t="e">
            <v>#N/A</v>
          </cell>
          <cell r="D702" t="str">
            <v>MT0</v>
          </cell>
          <cell r="E702" t="str">
            <v>MT6</v>
          </cell>
          <cell r="F702">
            <v>0.517127</v>
          </cell>
          <cell r="G702">
            <v>2.4022100000000002</v>
          </cell>
          <cell r="H702">
            <v>2.21577</v>
          </cell>
        </row>
        <row r="703">
          <cell r="A703" t="str">
            <v>GRMZM2G160812,GRMZM2G160816</v>
          </cell>
          <cell r="B703" t="e">
            <v>#N/A</v>
          </cell>
          <cell r="C703" t="e">
            <v>#N/A</v>
          </cell>
          <cell r="D703" t="str">
            <v>MT0</v>
          </cell>
          <cell r="E703" t="str">
            <v>MT6</v>
          </cell>
          <cell r="F703">
            <v>0.64634400000000003</v>
          </cell>
          <cell r="G703">
            <v>2.1168100000000001</v>
          </cell>
          <cell r="H703">
            <v>1.7115100000000001</v>
          </cell>
        </row>
        <row r="704">
          <cell r="A704" t="str">
            <v>GRMZM5G838475</v>
          </cell>
          <cell r="B704" t="e">
            <v>#N/A</v>
          </cell>
          <cell r="C704">
            <v>0</v>
          </cell>
          <cell r="D704" t="str">
            <v>MT0</v>
          </cell>
          <cell r="E704" t="str">
            <v>MT6</v>
          </cell>
          <cell r="F704">
            <v>1.62503</v>
          </cell>
          <cell r="G704">
            <v>0.47545399999999999</v>
          </cell>
          <cell r="H704">
            <v>-1.7730900000000001</v>
          </cell>
        </row>
        <row r="705">
          <cell r="A705" t="str">
            <v>GRMZM2G056875</v>
          </cell>
          <cell r="B705" t="str">
            <v>GO:0004674GO:0006468GO:0004713GO:0005524</v>
          </cell>
          <cell r="C705" t="str">
            <v>receptor protein kinase perk1</v>
          </cell>
          <cell r="D705" t="str">
            <v>MT0</v>
          </cell>
          <cell r="E705" t="str">
            <v>MT6</v>
          </cell>
          <cell r="F705">
            <v>0.775922</v>
          </cell>
          <cell r="G705">
            <v>1.98156</v>
          </cell>
          <cell r="H705">
            <v>1.3526499999999999</v>
          </cell>
        </row>
        <row r="706">
          <cell r="A706" t="str">
            <v>GRMZM2G125653</v>
          </cell>
          <cell r="B706" t="str">
            <v>GO:0003700GO:0043565GO:0005634GO:0045449</v>
          </cell>
          <cell r="C706" t="str">
            <v>wrky dna-binding protein</v>
          </cell>
          <cell r="D706" t="str">
            <v>MT0</v>
          </cell>
          <cell r="E706" t="str">
            <v>MT6</v>
          </cell>
          <cell r="F706">
            <v>1.0212699999999999</v>
          </cell>
          <cell r="G706">
            <v>3.63408</v>
          </cell>
          <cell r="H706">
            <v>1.8312299999999999</v>
          </cell>
        </row>
        <row r="707">
          <cell r="A707" t="str">
            <v>GRMZM2G128233</v>
          </cell>
          <cell r="B707" t="e">
            <v>#N/A</v>
          </cell>
          <cell r="C707" t="str">
            <v>plant viral-response family protein</v>
          </cell>
          <cell r="D707" t="str">
            <v>MT0</v>
          </cell>
          <cell r="E707" t="str">
            <v>MT6</v>
          </cell>
          <cell r="F707">
            <v>6.3510999999999997</v>
          </cell>
          <cell r="G707">
            <v>3.0484100000000001</v>
          </cell>
          <cell r="H707">
            <v>-1.0589500000000001</v>
          </cell>
        </row>
        <row r="708">
          <cell r="A708" t="str">
            <v>GRMZM2G154752</v>
          </cell>
          <cell r="B708" t="str">
            <v>GO:0004497GO:0020037GO:0009055</v>
          </cell>
          <cell r="C708" t="str">
            <v>cyt-p450 monooxygenase</v>
          </cell>
          <cell r="D708" t="str">
            <v>MT0</v>
          </cell>
          <cell r="E708" t="str">
            <v>MT6</v>
          </cell>
          <cell r="F708">
            <v>2.8133400000000002</v>
          </cell>
          <cell r="G708">
            <v>5.7861799999999999</v>
          </cell>
          <cell r="H708">
            <v>1.04033</v>
          </cell>
        </row>
        <row r="709">
          <cell r="A709" t="str">
            <v>GRMZM2G121649</v>
          </cell>
          <cell r="B709" t="e">
            <v>#N/A</v>
          </cell>
          <cell r="C709" t="str">
            <v>65-kda microtubule-associated protein 7-like</v>
          </cell>
          <cell r="D709" t="str">
            <v>MT0</v>
          </cell>
          <cell r="E709" t="str">
            <v>MT6</v>
          </cell>
          <cell r="F709">
            <v>21.8584</v>
          </cell>
          <cell r="G709">
            <v>8.0958699999999997</v>
          </cell>
          <cell r="H709">
            <v>-1.43293</v>
          </cell>
        </row>
        <row r="710">
          <cell r="A710" t="str">
            <v>GRMZM5G831102</v>
          </cell>
          <cell r="B710" t="e">
            <v>#N/A</v>
          </cell>
          <cell r="C710" t="str">
            <v>protein</v>
          </cell>
          <cell r="D710" t="str">
            <v>MT0</v>
          </cell>
          <cell r="E710" t="str">
            <v>MT6</v>
          </cell>
          <cell r="F710">
            <v>1.7448900000000001</v>
          </cell>
          <cell r="G710">
            <v>6.8705800000000004</v>
          </cell>
          <cell r="H710">
            <v>1.9773000000000001</v>
          </cell>
        </row>
        <row r="711">
          <cell r="A711" t="str">
            <v>GRMZM2G358768</v>
          </cell>
          <cell r="B711" t="e">
            <v>#N/A</v>
          </cell>
          <cell r="C711" t="str">
            <v>pentatricopeptide repeat-containing protein</v>
          </cell>
          <cell r="D711" t="str">
            <v>MT0</v>
          </cell>
          <cell r="E711" t="str">
            <v>MT6</v>
          </cell>
          <cell r="F711">
            <v>0.79022199999999998</v>
          </cell>
          <cell r="G711">
            <v>1.73672</v>
          </cell>
          <cell r="H711">
            <v>1.1360399999999999</v>
          </cell>
        </row>
        <row r="712">
          <cell r="A712" t="str">
            <v>GRMZM2G104339</v>
          </cell>
          <cell r="B712" t="e">
            <v>#N/A</v>
          </cell>
          <cell r="C712" t="str">
            <v>hypothetical protein SORBIDRAFT_02g028480</v>
          </cell>
          <cell r="D712" t="str">
            <v>MT0</v>
          </cell>
          <cell r="E712" t="str">
            <v>MT6</v>
          </cell>
          <cell r="F712">
            <v>0.84472000000000003</v>
          </cell>
          <cell r="G712">
            <v>0</v>
          </cell>
          <cell r="H712" t="e">
            <v>#NAME?</v>
          </cell>
        </row>
        <row r="713">
          <cell r="A713" t="str">
            <v>GRMZM2G044968</v>
          </cell>
          <cell r="B713" t="e">
            <v>#N/A</v>
          </cell>
          <cell r="C713" t="str">
            <v>duf246 domain-containing protein at1g04910-like</v>
          </cell>
          <cell r="D713" t="str">
            <v>MT0</v>
          </cell>
          <cell r="E713" t="str">
            <v>MT6</v>
          </cell>
          <cell r="F713">
            <v>1.5181199999999999</v>
          </cell>
          <cell r="G713">
            <v>0.64555200000000001</v>
          </cell>
          <cell r="H713">
            <v>-1.2336800000000001</v>
          </cell>
        </row>
        <row r="714">
          <cell r="A714" t="str">
            <v>GRMZM2G131281</v>
          </cell>
          <cell r="B714" t="str">
            <v>GO:0003700GO:0006355</v>
          </cell>
          <cell r="C714" t="str">
            <v>ap2 domain transcription factor</v>
          </cell>
          <cell r="D714" t="str">
            <v>MT0</v>
          </cell>
          <cell r="E714" t="str">
            <v>MT6</v>
          </cell>
          <cell r="F714">
            <v>3.1029399999999998</v>
          </cell>
          <cell r="G714">
            <v>1.4901899999999999</v>
          </cell>
          <cell r="H714">
            <v>-1.0581400000000001</v>
          </cell>
        </row>
        <row r="715">
          <cell r="A715" t="str">
            <v>GRMZM2G097129</v>
          </cell>
          <cell r="B715" t="e">
            <v>#N/A</v>
          </cell>
          <cell r="C715" t="str">
            <v>hypothetical protein</v>
          </cell>
          <cell r="D715" t="str">
            <v>MT0</v>
          </cell>
          <cell r="E715" t="str">
            <v>MT6</v>
          </cell>
          <cell r="F715">
            <v>20.748999999999999</v>
          </cell>
          <cell r="G715">
            <v>9.95885</v>
          </cell>
          <cell r="H715">
            <v>-1.0589900000000001</v>
          </cell>
        </row>
        <row r="716">
          <cell r="A716" t="str">
            <v>GRMZM2G056743</v>
          </cell>
          <cell r="B716" t="e">
            <v>#N/A</v>
          </cell>
          <cell r="C716">
            <v>0</v>
          </cell>
          <cell r="D716" t="str">
            <v>MT0</v>
          </cell>
          <cell r="E716" t="str">
            <v>MT6</v>
          </cell>
          <cell r="F716">
            <v>1.5960300000000001</v>
          </cell>
          <cell r="G716">
            <v>0.612599</v>
          </cell>
          <cell r="H716">
            <v>-1.38147</v>
          </cell>
        </row>
        <row r="717">
          <cell r="A717" t="str">
            <v>GRMZM2G009103</v>
          </cell>
          <cell r="B717" t="str">
            <v>GO:0016020</v>
          </cell>
          <cell r="C717" t="str">
            <v>auxin-induced protein 5ng4-like</v>
          </cell>
          <cell r="D717" t="str">
            <v>MT0</v>
          </cell>
          <cell r="E717" t="str">
            <v>MT6</v>
          </cell>
          <cell r="F717">
            <v>0.420429</v>
          </cell>
          <cell r="G717">
            <v>1.1713199999999999</v>
          </cell>
          <cell r="H717">
            <v>1.47821</v>
          </cell>
        </row>
        <row r="718">
          <cell r="A718" t="str">
            <v>GRMZM2G431018</v>
          </cell>
          <cell r="B718" t="str">
            <v>GO:0006468GO:0016020GO:0004674GO:0004713GO:0007155GO:0005524</v>
          </cell>
          <cell r="C718" t="str">
            <v>serine threonine-specific protein kinase</v>
          </cell>
          <cell r="D718" t="str">
            <v>MT0</v>
          </cell>
          <cell r="E718" t="str">
            <v>MT6</v>
          </cell>
          <cell r="F718">
            <v>1.0811500000000001</v>
          </cell>
          <cell r="G718">
            <v>2.2970600000000001</v>
          </cell>
          <cell r="H718">
            <v>1.08721</v>
          </cell>
        </row>
        <row r="719">
          <cell r="A719" t="str">
            <v>GRMZM2G443843</v>
          </cell>
          <cell r="B719" t="str">
            <v>GO:0004674GO:0006468GO:0005529GO:0004713GO:0005524</v>
          </cell>
          <cell r="C719" t="str">
            <v>l-type lectin-domain containing receptor kinase -like</v>
          </cell>
          <cell r="D719" t="str">
            <v>MT0</v>
          </cell>
          <cell r="E719" t="str">
            <v>MT6</v>
          </cell>
          <cell r="F719">
            <v>1.4910000000000001</v>
          </cell>
          <cell r="G719">
            <v>3.5146600000000001</v>
          </cell>
          <cell r="H719">
            <v>1.2371000000000001</v>
          </cell>
        </row>
        <row r="720">
          <cell r="A720" t="str">
            <v>GRMZM2G374971</v>
          </cell>
          <cell r="B720" t="e">
            <v>#N/A</v>
          </cell>
          <cell r="C720" t="str">
            <v>zeamatin-like protein</v>
          </cell>
          <cell r="D720" t="str">
            <v>MT0</v>
          </cell>
          <cell r="E720" t="str">
            <v>MT6</v>
          </cell>
          <cell r="F720">
            <v>2.0800700000000001</v>
          </cell>
          <cell r="G720">
            <v>5.2853599999999998</v>
          </cell>
          <cell r="H720">
            <v>1.34537</v>
          </cell>
        </row>
        <row r="721">
          <cell r="A721" t="str">
            <v>GRMZM2G181219</v>
          </cell>
          <cell r="B721" t="e">
            <v>#N/A</v>
          </cell>
          <cell r="C721" t="str">
            <v>lipase-like protein</v>
          </cell>
          <cell r="D721" t="str">
            <v>MT0</v>
          </cell>
          <cell r="E721" t="str">
            <v>MT6</v>
          </cell>
          <cell r="F721">
            <v>2.3465699999999998</v>
          </cell>
          <cell r="G721">
            <v>1.09839</v>
          </cell>
          <cell r="H721">
            <v>-1.09517</v>
          </cell>
        </row>
        <row r="722">
          <cell r="A722" t="str">
            <v>GRMZM2G119705</v>
          </cell>
          <cell r="B722" t="str">
            <v>GO:0004983GO:0016021GO:0030598GO:0007186GO:0017148</v>
          </cell>
          <cell r="C722" t="str">
            <v>ribosome-inactivating protein</v>
          </cell>
          <cell r="D722" t="str">
            <v>MT0</v>
          </cell>
          <cell r="E722" t="str">
            <v>MT6</v>
          </cell>
          <cell r="F722">
            <v>5.2362399999999996</v>
          </cell>
          <cell r="G722">
            <v>10.6282</v>
          </cell>
          <cell r="H722">
            <v>1.02129</v>
          </cell>
        </row>
        <row r="723">
          <cell r="A723" t="str">
            <v>GRMZM2G049882</v>
          </cell>
          <cell r="B723" t="str">
            <v>GO:0006508GO:0008234</v>
          </cell>
          <cell r="C723" t="str">
            <v>thiol protease sen102 precursor</v>
          </cell>
          <cell r="D723" t="str">
            <v>MT0</v>
          </cell>
          <cell r="E723" t="str">
            <v>MT6</v>
          </cell>
          <cell r="F723">
            <v>2.5417000000000001</v>
          </cell>
          <cell r="G723">
            <v>6.0068599999999996</v>
          </cell>
          <cell r="H723">
            <v>1.24081</v>
          </cell>
        </row>
        <row r="724">
          <cell r="A724" t="str">
            <v>GRMZM2G050501</v>
          </cell>
          <cell r="B724" t="e">
            <v>#N/A</v>
          </cell>
          <cell r="C724" t="str">
            <v>ribosome biogenesis protein wdr12 homolog</v>
          </cell>
          <cell r="D724" t="str">
            <v>MT0</v>
          </cell>
          <cell r="E724" t="str">
            <v>MT6</v>
          </cell>
          <cell r="F724">
            <v>4.8750499999999999</v>
          </cell>
          <cell r="G724">
            <v>9.8673199999999994</v>
          </cell>
          <cell r="H724">
            <v>1.0172399999999999</v>
          </cell>
        </row>
        <row r="725">
          <cell r="A725" t="str">
            <v>GRMZM2G147716</v>
          </cell>
          <cell r="B725" t="str">
            <v>GO:0003700GO:0006355GO:0005634GO:0043565</v>
          </cell>
          <cell r="C725" t="str">
            <v>mads-domain transcription factor</v>
          </cell>
          <cell r="D725" t="str">
            <v>MT0</v>
          </cell>
          <cell r="E725" t="str">
            <v>MT6</v>
          </cell>
          <cell r="F725">
            <v>0.33645799999999998</v>
          </cell>
          <cell r="G725">
            <v>0.93263399999999996</v>
          </cell>
          <cell r="H725">
            <v>1.47089</v>
          </cell>
        </row>
        <row r="726">
          <cell r="A726" t="str">
            <v>GRMZM2G056407</v>
          </cell>
          <cell r="B726" t="str">
            <v>GO:0050826GO:0050825GO:0042309GO:0003677</v>
          </cell>
          <cell r="C726" t="str">
            <v>r2r3-myb transcription</v>
          </cell>
          <cell r="D726" t="str">
            <v>MT0</v>
          </cell>
          <cell r="E726" t="str">
            <v>MT6</v>
          </cell>
          <cell r="F726">
            <v>5.1390599999999997</v>
          </cell>
          <cell r="G726">
            <v>10.468299999999999</v>
          </cell>
          <cell r="H726">
            <v>1.0264500000000001</v>
          </cell>
        </row>
        <row r="727">
          <cell r="A727" t="str">
            <v>GRMZM2G066636</v>
          </cell>
          <cell r="B727" t="str">
            <v>GO:0003824GO:0008152</v>
          </cell>
          <cell r="C727" t="str">
            <v>catalytic hydrolase</v>
          </cell>
          <cell r="D727" t="str">
            <v>MT0</v>
          </cell>
          <cell r="E727" t="str">
            <v>MT6</v>
          </cell>
          <cell r="F727">
            <v>10.5304</v>
          </cell>
          <cell r="G727">
            <v>22.888300000000001</v>
          </cell>
          <cell r="H727">
            <v>1.12005</v>
          </cell>
        </row>
        <row r="728">
          <cell r="A728" t="str">
            <v>GRMZM2G114575</v>
          </cell>
          <cell r="B728" t="str">
            <v>GO:0004674GO:0006468GO:0004713GO:0005524GO:0007165</v>
          </cell>
          <cell r="C728" t="str">
            <v>cbl-interacting serine threonine-protein kinase 1</v>
          </cell>
          <cell r="D728" t="str">
            <v>MT0</v>
          </cell>
          <cell r="E728" t="str">
            <v>MT6</v>
          </cell>
          <cell r="F728">
            <v>1.4831399999999999</v>
          </cell>
          <cell r="G728">
            <v>4.2195600000000004</v>
          </cell>
          <cell r="H728">
            <v>1.50844</v>
          </cell>
        </row>
        <row r="729">
          <cell r="A729" t="str">
            <v>GRMZM2G304091</v>
          </cell>
          <cell r="B729" t="e">
            <v>#N/A</v>
          </cell>
          <cell r="C729" t="str">
            <v>unknown</v>
          </cell>
          <cell r="D729" t="str">
            <v>MT0</v>
          </cell>
          <cell r="E729" t="str">
            <v>MT6</v>
          </cell>
          <cell r="F729">
            <v>0.52248799999999995</v>
          </cell>
          <cell r="G729">
            <v>1.3511500000000001</v>
          </cell>
          <cell r="H729">
            <v>1.3707199999999999</v>
          </cell>
        </row>
        <row r="730">
          <cell r="A730" t="str">
            <v>GRMZM2G304121</v>
          </cell>
          <cell r="B730" t="e">
            <v>#N/A</v>
          </cell>
          <cell r="C730" t="str">
            <v>eukaryotic translation initiation factor 6</v>
          </cell>
          <cell r="D730" t="str">
            <v>MT0</v>
          </cell>
          <cell r="E730" t="str">
            <v>MT6</v>
          </cell>
          <cell r="F730">
            <v>0.23058999999999999</v>
          </cell>
          <cell r="G730">
            <v>2.76789</v>
          </cell>
          <cell r="H730">
            <v>3.5853899999999999</v>
          </cell>
        </row>
        <row r="731">
          <cell r="A731" t="str">
            <v>GRMZM2G050325</v>
          </cell>
          <cell r="B731" t="str">
            <v>GO:0003824GO:0009058</v>
          </cell>
          <cell r="C731" t="str">
            <v>uncharacterized isomerase bh0283-like</v>
          </cell>
          <cell r="D731" t="str">
            <v>MT0</v>
          </cell>
          <cell r="E731" t="str">
            <v>MT6</v>
          </cell>
          <cell r="F731">
            <v>15.658099999999999</v>
          </cell>
          <cell r="G731">
            <v>36.575099999999999</v>
          </cell>
          <cell r="H731">
            <v>1.2239500000000001</v>
          </cell>
        </row>
        <row r="732">
          <cell r="A732" t="str">
            <v>GRMZM2G044128</v>
          </cell>
          <cell r="B732" t="str">
            <v>GO:0001522GO:0003723GO:0009982</v>
          </cell>
          <cell r="C732" t="str">
            <v>h aca ribonucleoprotein complex subunit 4-like</v>
          </cell>
          <cell r="D732" t="str">
            <v>MT0</v>
          </cell>
          <cell r="E732" t="str">
            <v>MT6</v>
          </cell>
          <cell r="F732">
            <v>4.2315100000000001</v>
          </cell>
          <cell r="G732">
            <v>10.4399</v>
          </cell>
          <cell r="H732">
            <v>1.3028599999999999</v>
          </cell>
        </row>
        <row r="733">
          <cell r="A733" t="str">
            <v>GRMZM2G174343</v>
          </cell>
          <cell r="B733" t="str">
            <v>GO:0003824GO:0016020</v>
          </cell>
          <cell r="C733" t="str">
            <v>lipid phosphate phosphatase 3</v>
          </cell>
          <cell r="D733" t="str">
            <v>MT0</v>
          </cell>
          <cell r="E733" t="str">
            <v>MT6</v>
          </cell>
          <cell r="F733">
            <v>0.361294</v>
          </cell>
          <cell r="G733">
            <v>1.30298</v>
          </cell>
          <cell r="H733">
            <v>1.85057</v>
          </cell>
        </row>
        <row r="734">
          <cell r="A734" t="str">
            <v>GRMZM2G527017</v>
          </cell>
          <cell r="B734" t="e">
            <v>#N/A</v>
          </cell>
          <cell r="C734" t="str">
            <v>uncharacterized protein LOC100383628</v>
          </cell>
          <cell r="D734" t="str">
            <v>MT0</v>
          </cell>
          <cell r="E734" t="str">
            <v>MT6</v>
          </cell>
          <cell r="F734">
            <v>18.581399999999999</v>
          </cell>
          <cell r="G734">
            <v>9.0945999999999998</v>
          </cell>
          <cell r="H734">
            <v>-1.03078</v>
          </cell>
        </row>
        <row r="735">
          <cell r="A735" t="str">
            <v>GRMZM2G148904</v>
          </cell>
          <cell r="B735" t="str">
            <v>GO:0008168GO:0008152</v>
          </cell>
          <cell r="C735" t="str">
            <v>methyltransferase ddb_g0268948-like</v>
          </cell>
          <cell r="D735" t="str">
            <v>MT0</v>
          </cell>
          <cell r="E735" t="str">
            <v>MT6</v>
          </cell>
          <cell r="F735">
            <v>1.85599</v>
          </cell>
          <cell r="G735">
            <v>7.8863500000000002</v>
          </cell>
          <cell r="H735">
            <v>2.08717</v>
          </cell>
        </row>
        <row r="736">
          <cell r="A736" t="str">
            <v>GRMZM2G004519</v>
          </cell>
          <cell r="B736" t="str">
            <v>GO:0008270GO:0005515</v>
          </cell>
          <cell r="C736" t="str">
            <v>ring-h2 finger protein atl2l</v>
          </cell>
          <cell r="D736" t="str">
            <v>MT0</v>
          </cell>
          <cell r="E736" t="str">
            <v>MT6</v>
          </cell>
          <cell r="F736">
            <v>0.75607899999999995</v>
          </cell>
          <cell r="G736">
            <v>4.1680299999999999</v>
          </cell>
          <cell r="H736">
            <v>2.4627599999999998</v>
          </cell>
        </row>
        <row r="737">
          <cell r="A737" t="str">
            <v>GRMZM2G010016</v>
          </cell>
          <cell r="B737" t="e">
            <v>#N/A</v>
          </cell>
          <cell r="C737" t="str">
            <v>uncharacterized protein LOC100279169</v>
          </cell>
          <cell r="D737" t="str">
            <v>MT0</v>
          </cell>
          <cell r="E737" t="str">
            <v>MT6</v>
          </cell>
          <cell r="F737">
            <v>2.2892700000000001</v>
          </cell>
          <cell r="G737">
            <v>7.2955199999999998</v>
          </cell>
          <cell r="H737">
            <v>1.6721200000000001</v>
          </cell>
        </row>
        <row r="738">
          <cell r="A738" t="str">
            <v>GRMZM2G022782</v>
          </cell>
          <cell r="B738" t="str">
            <v>GO:0005978GO:0004135</v>
          </cell>
          <cell r="C738" t="str">
            <v>neutral invertase</v>
          </cell>
          <cell r="D738" t="str">
            <v>MT0</v>
          </cell>
          <cell r="E738" t="str">
            <v>MT6</v>
          </cell>
          <cell r="F738">
            <v>13.1935</v>
          </cell>
          <cell r="G738">
            <v>4.5147300000000001</v>
          </cell>
          <cell r="H738">
            <v>-1.5471200000000001</v>
          </cell>
        </row>
        <row r="739">
          <cell r="A739" t="str">
            <v>GRMZM2G131055</v>
          </cell>
          <cell r="B739" t="str">
            <v>GO:0016757</v>
          </cell>
          <cell r="C739" t="str">
            <v>glycosyltransferase family 61 protein</v>
          </cell>
          <cell r="D739" t="str">
            <v>MT0</v>
          </cell>
          <cell r="E739" t="str">
            <v>MT6</v>
          </cell>
          <cell r="F739">
            <v>0.59368600000000005</v>
          </cell>
          <cell r="G739">
            <v>1.27322</v>
          </cell>
          <cell r="H739">
            <v>1.1007199999999999</v>
          </cell>
        </row>
        <row r="740">
          <cell r="A740" t="str">
            <v>GRMZM2G147221</v>
          </cell>
          <cell r="B740" t="str">
            <v>GO:0005975GO:0004553</v>
          </cell>
          <cell r="C740" t="str">
            <v>glucan -beta-glucosidase</v>
          </cell>
          <cell r="D740" t="str">
            <v>MT0</v>
          </cell>
          <cell r="E740" t="str">
            <v>MT6</v>
          </cell>
          <cell r="F740">
            <v>3.78843</v>
          </cell>
          <cell r="G740">
            <v>7.9215499999999999</v>
          </cell>
          <cell r="H740">
            <v>1.0641799999999999</v>
          </cell>
        </row>
        <row r="741">
          <cell r="A741" t="str">
            <v>GRMZM2G167689</v>
          </cell>
          <cell r="B741" t="e">
            <v>#N/A</v>
          </cell>
          <cell r="C741" t="e">
            <v>#N/A</v>
          </cell>
          <cell r="D741" t="str">
            <v>MT0</v>
          </cell>
          <cell r="E741" t="str">
            <v>MT6</v>
          </cell>
          <cell r="F741">
            <v>2.4474</v>
          </cell>
          <cell r="G741">
            <v>6.7236500000000001</v>
          </cell>
          <cell r="H741">
            <v>1.458</v>
          </cell>
        </row>
        <row r="742">
          <cell r="A742" t="str">
            <v>GRMZM2G380561</v>
          </cell>
          <cell r="B742" t="str">
            <v>GO:0005975GO:0004553</v>
          </cell>
          <cell r="C742" t="str">
            <v>glucan endo- -beta-glucosidase gvi precursor</v>
          </cell>
          <cell r="D742" t="str">
            <v>MT0</v>
          </cell>
          <cell r="E742" t="str">
            <v>MT6</v>
          </cell>
          <cell r="F742">
            <v>0.30116199999999999</v>
          </cell>
          <cell r="G742">
            <v>1.2758100000000001</v>
          </cell>
          <cell r="H742">
            <v>2.0828099999999998</v>
          </cell>
        </row>
        <row r="743">
          <cell r="A743" t="str">
            <v>GRMZM5G802899</v>
          </cell>
          <cell r="B743" t="e">
            <v>#N/A</v>
          </cell>
          <cell r="C743" t="str">
            <v>uncharacterized protein LOC100275157</v>
          </cell>
          <cell r="D743" t="str">
            <v>MT0</v>
          </cell>
          <cell r="E743" t="str">
            <v>MT6</v>
          </cell>
          <cell r="F743">
            <v>2.8840499999999998</v>
          </cell>
          <cell r="G743">
            <v>8.3601100000000006</v>
          </cell>
          <cell r="H743">
            <v>1.5354300000000001</v>
          </cell>
        </row>
        <row r="744">
          <cell r="A744" t="str">
            <v>GRMZM2G124759</v>
          </cell>
          <cell r="B744" t="str">
            <v>GO:0004806GO:0006629</v>
          </cell>
          <cell r="C744" t="str">
            <v>triacylglycerol lipase</v>
          </cell>
          <cell r="D744" t="str">
            <v>MT0</v>
          </cell>
          <cell r="E744" t="str">
            <v>MT6</v>
          </cell>
          <cell r="F744">
            <v>0.29367100000000002</v>
          </cell>
          <cell r="G744">
            <v>1.3001100000000001</v>
          </cell>
          <cell r="H744">
            <v>2.14636</v>
          </cell>
        </row>
        <row r="745">
          <cell r="A745" t="str">
            <v>GRMZM2G042789</v>
          </cell>
          <cell r="B745" t="str">
            <v>GO:0009611GO:0004867</v>
          </cell>
          <cell r="C745" t="str">
            <v>mpi</v>
          </cell>
          <cell r="D745" t="str">
            <v>MT0</v>
          </cell>
          <cell r="E745" t="str">
            <v>MT6</v>
          </cell>
          <cell r="F745">
            <v>45.774299999999997</v>
          </cell>
          <cell r="G745">
            <v>107.11</v>
          </cell>
          <cell r="H745">
            <v>1.2264900000000001</v>
          </cell>
        </row>
        <row r="746">
          <cell r="A746" t="str">
            <v>GRMZM2G136765</v>
          </cell>
          <cell r="B746" t="str">
            <v>GO:0003824</v>
          </cell>
          <cell r="C746" t="str">
            <v>protein phosphatase 2c</v>
          </cell>
          <cell r="D746" t="str">
            <v>MT0</v>
          </cell>
          <cell r="E746" t="str">
            <v>MT6</v>
          </cell>
          <cell r="F746">
            <v>6.5976900000000001</v>
          </cell>
          <cell r="G746">
            <v>3.20865</v>
          </cell>
          <cell r="H746">
            <v>-1.03999</v>
          </cell>
        </row>
        <row r="747">
          <cell r="A747" t="str">
            <v>GRMZM2G052844</v>
          </cell>
          <cell r="B747" t="str">
            <v>GO:0003872GO:0005945GO:0006096GO:0004650</v>
          </cell>
          <cell r="C747" t="str">
            <v>probable polygalacturonase-like</v>
          </cell>
          <cell r="D747" t="str">
            <v>MT0</v>
          </cell>
          <cell r="E747" t="str">
            <v>MT6</v>
          </cell>
          <cell r="F747">
            <v>17.875800000000002</v>
          </cell>
          <cell r="G747">
            <v>6.6726400000000003</v>
          </cell>
          <cell r="H747">
            <v>-1.4216800000000001</v>
          </cell>
        </row>
        <row r="748">
          <cell r="A748" t="str">
            <v>GRMZM2G017386</v>
          </cell>
          <cell r="B748" t="str">
            <v>GO:0004674GO:0006468GO:0004713GO:0005524</v>
          </cell>
          <cell r="C748" t="str">
            <v>probable receptor-like protein kinase at2g42960-like</v>
          </cell>
          <cell r="D748" t="str">
            <v>MT0</v>
          </cell>
          <cell r="E748" t="str">
            <v>MT6</v>
          </cell>
          <cell r="F748">
            <v>7.5668699999999998</v>
          </cell>
          <cell r="G748">
            <v>2.5182600000000002</v>
          </cell>
          <cell r="H748">
            <v>-1.58727</v>
          </cell>
        </row>
        <row r="749">
          <cell r="A749" t="str">
            <v>GRMZM2G077187</v>
          </cell>
          <cell r="B749" t="str">
            <v>GO:0003824GO:0016020</v>
          </cell>
          <cell r="C749" t="str">
            <v>lipid phosphate phosphatase 3</v>
          </cell>
          <cell r="D749" t="str">
            <v>MT0</v>
          </cell>
          <cell r="E749" t="str">
            <v>MT6</v>
          </cell>
          <cell r="F749">
            <v>3.03356</v>
          </cell>
          <cell r="G749">
            <v>6.3860599999999996</v>
          </cell>
          <cell r="H749">
            <v>1.0739099999999999</v>
          </cell>
        </row>
        <row r="750">
          <cell r="A750" t="str">
            <v>GRMZM2G067702</v>
          </cell>
          <cell r="B750" t="e">
            <v>#N/A</v>
          </cell>
          <cell r="C750" t="str">
            <v>two-component response regulator arr1</v>
          </cell>
          <cell r="D750" t="str">
            <v>MT0</v>
          </cell>
          <cell r="E750" t="str">
            <v>MT6</v>
          </cell>
          <cell r="F750">
            <v>5.8461299999999996</v>
          </cell>
          <cell r="G750">
            <v>1.8121700000000001</v>
          </cell>
          <cell r="H750">
            <v>-1.6897599999999999</v>
          </cell>
        </row>
        <row r="751">
          <cell r="A751" t="str">
            <v>GRMZM2G353236</v>
          </cell>
          <cell r="B751" t="e">
            <v>#N/A</v>
          </cell>
          <cell r="C751">
            <v>0</v>
          </cell>
          <cell r="D751" t="str">
            <v>MT0</v>
          </cell>
          <cell r="E751" t="str">
            <v>MT6</v>
          </cell>
          <cell r="F751">
            <v>0.83521000000000001</v>
          </cell>
          <cell r="G751">
            <v>1.7380100000000001</v>
          </cell>
          <cell r="H751">
            <v>1.0572299999999999</v>
          </cell>
        </row>
        <row r="752">
          <cell r="A752" t="str">
            <v>GRMZM2G134162</v>
          </cell>
          <cell r="B752" t="str">
            <v>GO:0004707GO:0006468GO:0004713GO:0005524</v>
          </cell>
          <cell r="C752" t="str">
            <v>probable serine threonine-protein kinase at1g54610-like</v>
          </cell>
          <cell r="D752" t="str">
            <v>MT0</v>
          </cell>
          <cell r="E752" t="str">
            <v>MT6</v>
          </cell>
          <cell r="F752">
            <v>0.50963599999999998</v>
          </cell>
          <cell r="G752">
            <v>1.4873799999999999</v>
          </cell>
          <cell r="H752">
            <v>1.5452399999999999</v>
          </cell>
        </row>
        <row r="753">
          <cell r="A753" t="str">
            <v>GRMZM2G147226</v>
          </cell>
          <cell r="B753" t="e">
            <v>#N/A</v>
          </cell>
          <cell r="C753" t="str">
            <v>regulation of nuclear pre-mrna domain-containing protein 2-like</v>
          </cell>
          <cell r="D753" t="str">
            <v>MT0</v>
          </cell>
          <cell r="E753" t="str">
            <v>MT6</v>
          </cell>
          <cell r="F753">
            <v>1.1585799999999999</v>
          </cell>
          <cell r="G753">
            <v>0.41941899999999999</v>
          </cell>
          <cell r="H753">
            <v>-1.4658899999999999</v>
          </cell>
        </row>
        <row r="754">
          <cell r="A754" t="str">
            <v>GRMZM2G030688</v>
          </cell>
          <cell r="B754" t="str">
            <v>GO:0050825GO:0042309GO:0050826</v>
          </cell>
          <cell r="C754" t="str">
            <v>hypothetical protein SORBIDRAFT_03g043660</v>
          </cell>
          <cell r="D754" t="str">
            <v>MT0</v>
          </cell>
          <cell r="E754" t="str">
            <v>MT6</v>
          </cell>
          <cell r="F754">
            <v>10.0556</v>
          </cell>
          <cell r="G754">
            <v>4.4477200000000003</v>
          </cell>
          <cell r="H754">
            <v>-1.1768700000000001</v>
          </cell>
        </row>
        <row r="755">
          <cell r="A755" t="str">
            <v>GRMZM2G034360</v>
          </cell>
          <cell r="B755" t="str">
            <v>GO:0016747</v>
          </cell>
          <cell r="C755" t="str">
            <v>hydroxycinnamoyl shikimate quinate hydroxycinnamoyltransferase-like protein</v>
          </cell>
          <cell r="D755" t="str">
            <v>MT0</v>
          </cell>
          <cell r="E755" t="str">
            <v>MT6</v>
          </cell>
          <cell r="F755">
            <v>0.62070499999999995</v>
          </cell>
          <cell r="G755">
            <v>1.80515</v>
          </cell>
          <cell r="H755">
            <v>1.5401400000000001</v>
          </cell>
        </row>
        <row r="756">
          <cell r="A756" t="str">
            <v>GRMZM2G031607</v>
          </cell>
          <cell r="B756" t="e">
            <v>#N/A</v>
          </cell>
          <cell r="C756" t="str">
            <v>calcyclin-binding protein</v>
          </cell>
          <cell r="D756" t="str">
            <v>MT0</v>
          </cell>
          <cell r="E756" t="str">
            <v>MT6</v>
          </cell>
          <cell r="F756">
            <v>1.6423300000000001</v>
          </cell>
          <cell r="G756">
            <v>3.6625700000000001</v>
          </cell>
          <cell r="H756">
            <v>1.1571100000000001</v>
          </cell>
        </row>
        <row r="757">
          <cell r="A757" t="str">
            <v>GRMZM2G012728</v>
          </cell>
          <cell r="B757" t="e">
            <v>#N/A</v>
          </cell>
          <cell r="C757" t="str">
            <v>protein phytochrome kinase substrate 4-like</v>
          </cell>
          <cell r="D757" t="str">
            <v>MT0</v>
          </cell>
          <cell r="E757" t="str">
            <v>MT6</v>
          </cell>
          <cell r="F757">
            <v>0.84363200000000005</v>
          </cell>
          <cell r="G757">
            <v>0.35392299999999999</v>
          </cell>
          <cell r="H757">
            <v>-1.25318</v>
          </cell>
        </row>
        <row r="758">
          <cell r="A758" t="str">
            <v>GRMZM2G000035</v>
          </cell>
          <cell r="B758" t="e">
            <v>#N/A</v>
          </cell>
          <cell r="C758" t="str">
            <v>protein</v>
          </cell>
          <cell r="D758" t="str">
            <v>MT0</v>
          </cell>
          <cell r="E758" t="str">
            <v>MT6</v>
          </cell>
          <cell r="F758">
            <v>0.459756</v>
          </cell>
          <cell r="G758">
            <v>2.9192900000000002</v>
          </cell>
          <cell r="H758">
            <v>2.6666799999999999</v>
          </cell>
        </row>
        <row r="759">
          <cell r="A759" t="str">
            <v>GRMZM5G858471</v>
          </cell>
          <cell r="B759" t="e">
            <v>#N/A</v>
          </cell>
          <cell r="C759" t="str">
            <v>leucyl-trna synthetase</v>
          </cell>
          <cell r="D759" t="str">
            <v>MT0</v>
          </cell>
          <cell r="E759" t="str">
            <v>MT6</v>
          </cell>
          <cell r="F759">
            <v>9.2154299999999996</v>
          </cell>
          <cell r="G759">
            <v>4.4717900000000004</v>
          </cell>
          <cell r="H759">
            <v>-1.0431999999999999</v>
          </cell>
        </row>
        <row r="760">
          <cell r="A760" t="str">
            <v>GRMZM2G130953</v>
          </cell>
          <cell r="B760" t="str">
            <v>GO:0005634GO:0045449</v>
          </cell>
          <cell r="C760" t="str">
            <v>iaa15 - auxin-responsive aux iaa family member</v>
          </cell>
          <cell r="D760" t="str">
            <v>MT0</v>
          </cell>
          <cell r="E760" t="str">
            <v>MT6</v>
          </cell>
          <cell r="F760">
            <v>3.23447</v>
          </cell>
          <cell r="G760">
            <v>6.5088400000000002</v>
          </cell>
          <cell r="H760">
            <v>1.0088699999999999</v>
          </cell>
        </row>
        <row r="761">
          <cell r="A761" t="str">
            <v>GRMZM2G147840</v>
          </cell>
          <cell r="B761" t="str">
            <v>GO:0050825GO:0042309GO:0050826</v>
          </cell>
          <cell r="C761" t="str">
            <v>hypothetical protein SORBIDRAFT_03g003180</v>
          </cell>
          <cell r="D761" t="str">
            <v>MT0</v>
          </cell>
          <cell r="E761" t="str">
            <v>MT6</v>
          </cell>
          <cell r="F761">
            <v>2.8555799999999998</v>
          </cell>
          <cell r="G761">
            <v>0.93242899999999995</v>
          </cell>
          <cell r="H761">
            <v>-1.6147199999999999</v>
          </cell>
        </row>
        <row r="762">
          <cell r="A762" t="str">
            <v>GRMZM2G107479</v>
          </cell>
          <cell r="B762" t="e">
            <v>#N/A</v>
          </cell>
          <cell r="C762" t="str">
            <v>protein</v>
          </cell>
          <cell r="D762" t="str">
            <v>MT0</v>
          </cell>
          <cell r="E762" t="str">
            <v>MT6</v>
          </cell>
          <cell r="F762">
            <v>1.9741500000000001</v>
          </cell>
          <cell r="G762">
            <v>0.84081300000000003</v>
          </cell>
          <cell r="H762">
            <v>-1.2313700000000001</v>
          </cell>
        </row>
        <row r="763">
          <cell r="A763" t="str">
            <v>GRMZM2G441906</v>
          </cell>
          <cell r="B763" t="str">
            <v>GO:0045454GO:0015035GO:0009055</v>
          </cell>
          <cell r="C763" t="str">
            <v>grx_a2 - glutaredoxin subgroup iii</v>
          </cell>
          <cell r="D763" t="str">
            <v>MT0</v>
          </cell>
          <cell r="E763" t="str">
            <v>MT6</v>
          </cell>
          <cell r="F763">
            <v>0.83296000000000003</v>
          </cell>
          <cell r="G763">
            <v>1.80724</v>
          </cell>
          <cell r="H763">
            <v>1.11747</v>
          </cell>
        </row>
        <row r="764">
          <cell r="A764" t="str">
            <v>GRMZM2G044077</v>
          </cell>
          <cell r="B764" t="str">
            <v>GO:0003700GO:0006355</v>
          </cell>
          <cell r="C764" t="str">
            <v>ap2 erf domain-containing transcription factor</v>
          </cell>
          <cell r="D764" t="str">
            <v>MT0</v>
          </cell>
          <cell r="E764" t="str">
            <v>MT6</v>
          </cell>
          <cell r="F764">
            <v>0.37495400000000001</v>
          </cell>
          <cell r="G764">
            <v>1.02996</v>
          </cell>
          <cell r="H764">
            <v>1.4578</v>
          </cell>
        </row>
        <row r="765">
          <cell r="A765" t="str">
            <v>GRMZM5G842965</v>
          </cell>
          <cell r="B765" t="e">
            <v>#N/A</v>
          </cell>
          <cell r="C765" t="str">
            <v>negatively light-regulated protein</v>
          </cell>
          <cell r="D765" t="str">
            <v>MT0</v>
          </cell>
          <cell r="E765" t="str">
            <v>MT6</v>
          </cell>
          <cell r="F765">
            <v>0.95325400000000005</v>
          </cell>
          <cell r="G765">
            <v>3.2276699999999998</v>
          </cell>
          <cell r="H765">
            <v>1.75956</v>
          </cell>
        </row>
        <row r="766">
          <cell r="A766" t="str">
            <v>GRMZM2G103914</v>
          </cell>
          <cell r="B766" t="e">
            <v>#N/A</v>
          </cell>
          <cell r="C766">
            <v>0</v>
          </cell>
          <cell r="D766" t="str">
            <v>MT0</v>
          </cell>
          <cell r="E766" t="str">
            <v>MT6</v>
          </cell>
          <cell r="F766">
            <v>2.2590699999999999</v>
          </cell>
          <cell r="G766">
            <v>0.90088199999999996</v>
          </cell>
          <cell r="H766">
            <v>-1.3263199999999999</v>
          </cell>
        </row>
        <row r="767">
          <cell r="A767" t="str">
            <v>GRMZM2G063880</v>
          </cell>
          <cell r="B767" t="str">
            <v>GO:0003700GO:0043565GO:0005634GO:0045449</v>
          </cell>
          <cell r="C767" t="str">
            <v>wrky transcription factor</v>
          </cell>
          <cell r="D767" t="str">
            <v>MT0</v>
          </cell>
          <cell r="E767" t="str">
            <v>MT6</v>
          </cell>
          <cell r="F767">
            <v>0.210979</v>
          </cell>
          <cell r="G767">
            <v>1.6082099999999999</v>
          </cell>
          <cell r="H767">
            <v>2.9302800000000002</v>
          </cell>
        </row>
        <row r="768">
          <cell r="A768" t="str">
            <v>GRMZM5G822426</v>
          </cell>
          <cell r="B768" t="e">
            <v>#N/A</v>
          </cell>
          <cell r="C768" t="str">
            <v>tpr repeat-containing thioredoxin ttl1-like</v>
          </cell>
          <cell r="D768" t="str">
            <v>MT0</v>
          </cell>
          <cell r="E768" t="str">
            <v>MT6</v>
          </cell>
          <cell r="F768">
            <v>1.2685299999999999</v>
          </cell>
          <cell r="G768">
            <v>0.41219800000000001</v>
          </cell>
          <cell r="H768">
            <v>-1.62175</v>
          </cell>
        </row>
        <row r="769">
          <cell r="A769" t="str">
            <v>AC203862.4_FG001</v>
          </cell>
          <cell r="B769" t="str">
            <v>GO:0006508GO:0004197</v>
          </cell>
          <cell r="C769" t="e">
            <v>#N/A</v>
          </cell>
          <cell r="D769" t="str">
            <v>MT0</v>
          </cell>
          <cell r="E769" t="str">
            <v>MT6</v>
          </cell>
          <cell r="F769">
            <v>1.76576</v>
          </cell>
          <cell r="G769">
            <v>0.75401799999999997</v>
          </cell>
          <cell r="H769">
            <v>-1.2276199999999999</v>
          </cell>
        </row>
        <row r="770">
          <cell r="A770" t="str">
            <v>GRMZM2G057116</v>
          </cell>
          <cell r="B770" t="str">
            <v>GO:0003700GO:0043565GO:0005634GO:0045449</v>
          </cell>
          <cell r="C770" t="str">
            <v>wrky transcription factor</v>
          </cell>
          <cell r="D770" t="str">
            <v>MT0</v>
          </cell>
          <cell r="E770" t="str">
            <v>MT6</v>
          </cell>
          <cell r="F770">
            <v>1.44367</v>
          </cell>
          <cell r="G770">
            <v>3.7760500000000001</v>
          </cell>
          <cell r="H770">
            <v>1.38714</v>
          </cell>
        </row>
        <row r="771">
          <cell r="A771" t="str">
            <v>GRMZM2G112284</v>
          </cell>
          <cell r="B771" t="str">
            <v>GO:0046914GO:0016491</v>
          </cell>
          <cell r="C771" t="str">
            <v>protein</v>
          </cell>
          <cell r="D771" t="str">
            <v>MT0</v>
          </cell>
          <cell r="E771" t="str">
            <v>MT6</v>
          </cell>
          <cell r="F771">
            <v>30.1279</v>
          </cell>
          <cell r="G771">
            <v>8.7747100000000007</v>
          </cell>
          <cell r="H771">
            <v>-1.7796700000000001</v>
          </cell>
        </row>
        <row r="772">
          <cell r="A772" t="str">
            <v>GRMZM2G340297</v>
          </cell>
          <cell r="B772" t="e">
            <v>#N/A</v>
          </cell>
          <cell r="C772">
            <v>0</v>
          </cell>
          <cell r="D772" t="str">
            <v>MT0</v>
          </cell>
          <cell r="E772" t="str">
            <v>MT6</v>
          </cell>
          <cell r="F772">
            <v>21.988299999999999</v>
          </cell>
          <cell r="G772">
            <v>8.8636999999999997</v>
          </cell>
          <cell r="H772">
            <v>-1.3107500000000001</v>
          </cell>
        </row>
        <row r="773">
          <cell r="A773" t="str">
            <v>GRMZM2G055667</v>
          </cell>
          <cell r="B773" t="str">
            <v>GO:0005737GO:0006633GO:0016836</v>
          </cell>
          <cell r="C773" t="str">
            <v>beta-hydroxyacyl-acp dehydratase</v>
          </cell>
          <cell r="D773" t="str">
            <v>MT0</v>
          </cell>
          <cell r="E773" t="str">
            <v>MT6</v>
          </cell>
          <cell r="F773">
            <v>0.60204199999999997</v>
          </cell>
          <cell r="G773">
            <v>1.9290400000000001</v>
          </cell>
          <cell r="H773">
            <v>1.67994</v>
          </cell>
        </row>
        <row r="774">
          <cell r="A774" t="str">
            <v>GRMZM2G082959</v>
          </cell>
          <cell r="B774" t="str">
            <v>GO:0016787GO:0008152</v>
          </cell>
          <cell r="C774" t="str">
            <v>cxe carboxylesterase</v>
          </cell>
          <cell r="D774" t="str">
            <v>MT0</v>
          </cell>
          <cell r="E774" t="str">
            <v>MT6</v>
          </cell>
          <cell r="F774">
            <v>0.46313100000000001</v>
          </cell>
          <cell r="G774">
            <v>1.4236200000000001</v>
          </cell>
          <cell r="H774">
            <v>1.6200699999999999</v>
          </cell>
        </row>
        <row r="775">
          <cell r="A775" t="str">
            <v>GRMZM2G382035</v>
          </cell>
          <cell r="B775" t="e">
            <v>#N/A</v>
          </cell>
          <cell r="C775">
            <v>0</v>
          </cell>
          <cell r="D775" t="str">
            <v>MT0</v>
          </cell>
          <cell r="E775" t="str">
            <v>MT6</v>
          </cell>
          <cell r="F775">
            <v>0.38102799999999998</v>
          </cell>
          <cell r="G775">
            <v>1.43371</v>
          </cell>
          <cell r="H775">
            <v>1.9117900000000001</v>
          </cell>
        </row>
        <row r="776">
          <cell r="A776" t="str">
            <v>GRMZM2G050286</v>
          </cell>
          <cell r="B776" t="e">
            <v>#N/A</v>
          </cell>
          <cell r="C776" t="str">
            <v>agp16 precursor</v>
          </cell>
          <cell r="D776" t="str">
            <v>MT0</v>
          </cell>
          <cell r="E776" t="str">
            <v>MT6</v>
          </cell>
          <cell r="F776">
            <v>2.9210500000000001</v>
          </cell>
          <cell r="G776">
            <v>0.85207599999999994</v>
          </cell>
          <cell r="H776">
            <v>-1.7774300000000001</v>
          </cell>
        </row>
        <row r="777">
          <cell r="A777" t="str">
            <v>GRMZM2G096115</v>
          </cell>
          <cell r="B777" t="e">
            <v>#N/A</v>
          </cell>
          <cell r="C777" t="str">
            <v>cbl-interacting serine threonine-protein kinase 11</v>
          </cell>
          <cell r="D777" t="str">
            <v>MT0</v>
          </cell>
          <cell r="E777" t="str">
            <v>MT6</v>
          </cell>
          <cell r="F777">
            <v>0.64837500000000003</v>
          </cell>
          <cell r="G777">
            <v>1.5657700000000001</v>
          </cell>
          <cell r="H777">
            <v>1.27197</v>
          </cell>
        </row>
        <row r="778">
          <cell r="A778" t="str">
            <v>GRMZM2G117007</v>
          </cell>
          <cell r="B778" t="str">
            <v>GO:0016301GO:0008152GO:0005524</v>
          </cell>
          <cell r="C778" t="str">
            <v>zinc finger transcription factor-like protein</v>
          </cell>
          <cell r="D778" t="str">
            <v>MT0</v>
          </cell>
          <cell r="E778" t="str">
            <v>MT6</v>
          </cell>
          <cell r="F778">
            <v>5.5547000000000004</v>
          </cell>
          <cell r="G778">
            <v>11.117900000000001</v>
          </cell>
          <cell r="H778">
            <v>1.0011099999999999</v>
          </cell>
        </row>
        <row r="779">
          <cell r="A779" t="str">
            <v>GRMZM2G351941</v>
          </cell>
          <cell r="B779" t="str">
            <v>GO:0004674GO:0006468GO:0004713GO:0005524</v>
          </cell>
          <cell r="C779" t="str">
            <v>receptor serine-threonine protein</v>
          </cell>
          <cell r="D779" t="str">
            <v>MT0</v>
          </cell>
          <cell r="E779" t="str">
            <v>MT6</v>
          </cell>
          <cell r="F779">
            <v>0.70381199999999999</v>
          </cell>
          <cell r="G779">
            <v>1.5930599999999999</v>
          </cell>
          <cell r="H779">
            <v>1.1785399999999999</v>
          </cell>
        </row>
        <row r="780">
          <cell r="A780" t="str">
            <v>GRMZM2G092804</v>
          </cell>
          <cell r="B780" t="str">
            <v>GO:0051260GO:0016021GO:0007186</v>
          </cell>
          <cell r="C780" t="str">
            <v>unknown</v>
          </cell>
          <cell r="D780" t="str">
            <v>MT0</v>
          </cell>
          <cell r="E780" t="str">
            <v>MT6</v>
          </cell>
          <cell r="F780">
            <v>8.3578700000000001</v>
          </cell>
          <cell r="G780">
            <v>3.8254999999999999</v>
          </cell>
          <cell r="H780">
            <v>-1.1274900000000001</v>
          </cell>
        </row>
        <row r="781">
          <cell r="A781" t="str">
            <v>GRMZM2G101664</v>
          </cell>
          <cell r="B781" t="str">
            <v>GO:0008270GO:0005622</v>
          </cell>
          <cell r="C781" t="str">
            <v>zinc finger protein</v>
          </cell>
          <cell r="D781" t="str">
            <v>MT0</v>
          </cell>
          <cell r="E781" t="str">
            <v>MT6</v>
          </cell>
          <cell r="F781">
            <v>19.242000000000001</v>
          </cell>
          <cell r="G781">
            <v>39.683100000000003</v>
          </cell>
          <cell r="H781">
            <v>1.04427</v>
          </cell>
        </row>
        <row r="782">
          <cell r="A782" t="str">
            <v>GRMZM5G812272</v>
          </cell>
          <cell r="B782" t="e">
            <v>#N/A</v>
          </cell>
          <cell r="C782" t="str">
            <v>wrky transcription</v>
          </cell>
          <cell r="D782" t="str">
            <v>MT0</v>
          </cell>
          <cell r="E782" t="str">
            <v>MT6</v>
          </cell>
          <cell r="F782">
            <v>0.33588400000000002</v>
          </cell>
          <cell r="G782">
            <v>0.77074299999999996</v>
          </cell>
          <cell r="H782">
            <v>1.1982900000000001</v>
          </cell>
        </row>
        <row r="783">
          <cell r="A783" t="str">
            <v>GRMZM2G371079</v>
          </cell>
          <cell r="B783" t="e">
            <v>#N/A</v>
          </cell>
          <cell r="C783" t="str">
            <v>uncharacterized protein LOC100277040</v>
          </cell>
          <cell r="D783" t="str">
            <v>MT0</v>
          </cell>
          <cell r="E783" t="str">
            <v>MT6</v>
          </cell>
          <cell r="F783">
            <v>94.046199999999999</v>
          </cell>
          <cell r="G783">
            <v>27.4924</v>
          </cell>
          <cell r="H783">
            <v>-1.77433</v>
          </cell>
        </row>
        <row r="784">
          <cell r="A784" t="str">
            <v>GRMZM2G049418</v>
          </cell>
          <cell r="B784" t="str">
            <v>GO:0005506GO:0016491</v>
          </cell>
          <cell r="C784" t="str">
            <v>sd1</v>
          </cell>
          <cell r="D784" t="str">
            <v>MT0</v>
          </cell>
          <cell r="E784" t="str">
            <v>MT6</v>
          </cell>
          <cell r="F784">
            <v>7.5493800000000002</v>
          </cell>
          <cell r="G784">
            <v>16.404699999999998</v>
          </cell>
          <cell r="H784">
            <v>1.11968</v>
          </cell>
        </row>
        <row r="785">
          <cell r="A785" t="str">
            <v>GRMZM2G115422</v>
          </cell>
          <cell r="B785" t="str">
            <v>GO:0050825GO:0016747GO:0042309GO:0050826</v>
          </cell>
          <cell r="C785" t="str">
            <v>protein</v>
          </cell>
          <cell r="D785" t="str">
            <v>MT0</v>
          </cell>
          <cell r="E785" t="str">
            <v>MT6</v>
          </cell>
          <cell r="F785">
            <v>2.8478699999999999</v>
          </cell>
          <cell r="G785">
            <v>1.3980900000000001</v>
          </cell>
          <cell r="H785">
            <v>-1.02643</v>
          </cell>
        </row>
        <row r="786">
          <cell r="A786" t="str">
            <v>GRMZM2G169329</v>
          </cell>
          <cell r="B786" t="e">
            <v>#N/A</v>
          </cell>
          <cell r="C786" t="str">
            <v>heme-binding-like protein</v>
          </cell>
          <cell r="D786" t="str">
            <v>MT0</v>
          </cell>
          <cell r="E786" t="str">
            <v>MT6</v>
          </cell>
          <cell r="F786">
            <v>6.3791099999999998</v>
          </cell>
          <cell r="G786">
            <v>24.348800000000001</v>
          </cell>
          <cell r="H786">
            <v>1.93242</v>
          </cell>
        </row>
        <row r="787">
          <cell r="A787" t="str">
            <v>HSP70</v>
          </cell>
          <cell r="B787" t="e">
            <v>#N/A</v>
          </cell>
          <cell r="C787" t="e">
            <v>#N/A</v>
          </cell>
          <cell r="D787" t="str">
            <v>MT0</v>
          </cell>
          <cell r="E787" t="str">
            <v>MT6</v>
          </cell>
          <cell r="F787">
            <v>1.34402</v>
          </cell>
          <cell r="G787">
            <v>2.73088</v>
          </cell>
          <cell r="H787">
            <v>1.02281</v>
          </cell>
        </row>
        <row r="788">
          <cell r="A788" t="str">
            <v>GRMZM2G132185</v>
          </cell>
          <cell r="B788" t="str">
            <v>GO:0003700GO:0006355GO:0050825GO:0042309GO:0050826</v>
          </cell>
          <cell r="C788" t="str">
            <v>ethylene-responsive transcription factor 4</v>
          </cell>
          <cell r="D788" t="str">
            <v>MT0</v>
          </cell>
          <cell r="E788" t="str">
            <v>MT6</v>
          </cell>
          <cell r="F788">
            <v>3.1874600000000002</v>
          </cell>
          <cell r="G788">
            <v>6.3919800000000002</v>
          </cell>
          <cell r="H788">
            <v>1.00386</v>
          </cell>
        </row>
        <row r="789">
          <cell r="A789" t="str">
            <v>GRMZM2G076410</v>
          </cell>
          <cell r="B789" t="e">
            <v>#N/A</v>
          </cell>
          <cell r="C789" t="str">
            <v>PREDICTED: uncharacterized protein LOC100843344</v>
          </cell>
          <cell r="D789" t="str">
            <v>MT0</v>
          </cell>
          <cell r="E789" t="str">
            <v>MT6</v>
          </cell>
          <cell r="F789">
            <v>2.59056</v>
          </cell>
          <cell r="G789">
            <v>1.29009</v>
          </cell>
          <cell r="H789">
            <v>-1.0058</v>
          </cell>
        </row>
        <row r="790">
          <cell r="A790" t="str">
            <v>GRMZM2G036409</v>
          </cell>
          <cell r="B790" t="str">
            <v>GO:0016758GO:0008152</v>
          </cell>
          <cell r="C790" t="str">
            <v>flavonol glucosyltransferase</v>
          </cell>
          <cell r="D790" t="str">
            <v>MT0</v>
          </cell>
          <cell r="E790" t="str">
            <v>MT6</v>
          </cell>
          <cell r="F790">
            <v>1.1756500000000001</v>
          </cell>
          <cell r="G790">
            <v>0.493842</v>
          </cell>
          <cell r="H790">
            <v>-1.2513399999999999</v>
          </cell>
        </row>
        <row r="791">
          <cell r="A791" t="str">
            <v>GRMZM2G446170</v>
          </cell>
          <cell r="B791" t="e">
            <v>#N/A</v>
          </cell>
          <cell r="C791" t="str">
            <v>burp domain-containing protein</v>
          </cell>
          <cell r="D791" t="str">
            <v>MT0</v>
          </cell>
          <cell r="E791" t="str">
            <v>MT6</v>
          </cell>
          <cell r="F791">
            <v>1.6415200000000001</v>
          </cell>
          <cell r="G791">
            <v>5.6986100000000004</v>
          </cell>
          <cell r="H791">
            <v>1.79558</v>
          </cell>
        </row>
        <row r="792">
          <cell r="A792" t="str">
            <v>GRMZM2G100965</v>
          </cell>
          <cell r="B792" t="e">
            <v>#N/A</v>
          </cell>
          <cell r="C792" t="str">
            <v>uncharacterized protein LOC100383220</v>
          </cell>
          <cell r="D792" t="str">
            <v>MT0</v>
          </cell>
          <cell r="E792" t="str">
            <v>MT6</v>
          </cell>
          <cell r="F792">
            <v>5.2659799999999999</v>
          </cell>
          <cell r="G792">
            <v>2.6023700000000001</v>
          </cell>
          <cell r="H792">
            <v>-1.01688</v>
          </cell>
        </row>
        <row r="793">
          <cell r="A793" t="str">
            <v>GRMZM2G341658</v>
          </cell>
          <cell r="B793" t="e">
            <v>#N/A</v>
          </cell>
          <cell r="C793" t="str">
            <v>mac perforin domain-containing protein</v>
          </cell>
          <cell r="D793" t="str">
            <v>MT0</v>
          </cell>
          <cell r="E793" t="str">
            <v>MT6</v>
          </cell>
          <cell r="F793">
            <v>1.56921</v>
          </cell>
          <cell r="G793">
            <v>5.2470699999999999</v>
          </cell>
          <cell r="H793">
            <v>1.7414700000000001</v>
          </cell>
        </row>
        <row r="794">
          <cell r="A794" t="str">
            <v>GRMZM2G451394</v>
          </cell>
          <cell r="B794" t="e">
            <v>#N/A</v>
          </cell>
          <cell r="C794">
            <v>0</v>
          </cell>
          <cell r="D794" t="str">
            <v>MT0</v>
          </cell>
          <cell r="E794" t="str">
            <v>MT6</v>
          </cell>
          <cell r="F794">
            <v>1.9810300000000001</v>
          </cell>
          <cell r="G794">
            <v>0.98192299999999999</v>
          </cell>
          <cell r="H794">
            <v>-1.01257</v>
          </cell>
        </row>
        <row r="795">
          <cell r="A795" t="str">
            <v>GRMZM5G862101</v>
          </cell>
          <cell r="B795" t="e">
            <v>#N/A</v>
          </cell>
          <cell r="C795" t="str">
            <v>hva22-like protein a</v>
          </cell>
          <cell r="D795" t="str">
            <v>MT0</v>
          </cell>
          <cell r="E795" t="str">
            <v>MT6</v>
          </cell>
          <cell r="F795">
            <v>1.22424</v>
          </cell>
          <cell r="G795">
            <v>2.6453700000000002</v>
          </cell>
          <cell r="H795">
            <v>1.1115900000000001</v>
          </cell>
        </row>
        <row r="796">
          <cell r="A796" t="str">
            <v>GRMZM2G135044</v>
          </cell>
          <cell r="B796" t="str">
            <v>GO:0016020GO:0008152GO:0016491</v>
          </cell>
          <cell r="C796" t="str">
            <v>mtn21-like protein</v>
          </cell>
          <cell r="D796" t="str">
            <v>MT0</v>
          </cell>
          <cell r="E796" t="str">
            <v>MT6</v>
          </cell>
          <cell r="F796">
            <v>4.0515600000000003</v>
          </cell>
          <cell r="G796">
            <v>1.89455</v>
          </cell>
          <cell r="H796">
            <v>-1.0966199999999999</v>
          </cell>
        </row>
        <row r="797">
          <cell r="A797" t="str">
            <v>GRMZM2G049693</v>
          </cell>
          <cell r="B797" t="str">
            <v>GO:0005507GO:0016491</v>
          </cell>
          <cell r="C797" t="str">
            <v>monocopper oxidase-like protein sku5</v>
          </cell>
          <cell r="D797" t="str">
            <v>MT0</v>
          </cell>
          <cell r="E797" t="str">
            <v>MT6</v>
          </cell>
          <cell r="F797">
            <v>0.49374499999999999</v>
          </cell>
          <cell r="G797">
            <v>1.02172</v>
          </cell>
          <cell r="H797">
            <v>1.0491699999999999</v>
          </cell>
        </row>
        <row r="798">
          <cell r="A798" t="str">
            <v>GRMZM2G163178</v>
          </cell>
          <cell r="B798" t="e">
            <v>#N/A</v>
          </cell>
          <cell r="C798" t="str">
            <v>unknown</v>
          </cell>
          <cell r="D798" t="str">
            <v>MT0</v>
          </cell>
          <cell r="E798" t="str">
            <v>MT6</v>
          </cell>
          <cell r="F798">
            <v>3.2970199999999998</v>
          </cell>
          <cell r="G798">
            <v>7.5392400000000004</v>
          </cell>
          <cell r="H798">
            <v>1.19326</v>
          </cell>
        </row>
        <row r="799">
          <cell r="A799" t="str">
            <v>GRMZM2G166459</v>
          </cell>
          <cell r="B799" t="str">
            <v>GO:0015297GO:0016020GO:0006855GO:0015238GO:0003824GO:0006835GO:0005488GO:0008152GO:0017153</v>
          </cell>
          <cell r="C799" t="str">
            <v>ripening regulated protein</v>
          </cell>
          <cell r="D799" t="str">
            <v>MT0</v>
          </cell>
          <cell r="E799" t="str">
            <v>MT6</v>
          </cell>
          <cell r="F799">
            <v>1.02586</v>
          </cell>
          <cell r="G799">
            <v>2.5047000000000001</v>
          </cell>
          <cell r="H799">
            <v>1.2878000000000001</v>
          </cell>
        </row>
        <row r="800">
          <cell r="A800" t="str">
            <v>GRMZM2G126900</v>
          </cell>
          <cell r="B800" t="str">
            <v>GO:0005737GO:0050113GO:0019310GO:0005506</v>
          </cell>
          <cell r="C800" t="str">
            <v>myo-inositol oxygenase</v>
          </cell>
          <cell r="D800" t="str">
            <v>MT0</v>
          </cell>
          <cell r="E800" t="str">
            <v>MT6</v>
          </cell>
          <cell r="F800">
            <v>48.994700000000002</v>
          </cell>
          <cell r="G800">
            <v>22.7989</v>
          </cell>
          <cell r="H800">
            <v>-1.1036600000000001</v>
          </cell>
        </row>
        <row r="801">
          <cell r="A801" t="str">
            <v>GRMZM5G812126</v>
          </cell>
          <cell r="B801" t="e">
            <v>#N/A</v>
          </cell>
          <cell r="C801" t="str">
            <v>uncharacterized protein LOC100278708</v>
          </cell>
          <cell r="D801" t="str">
            <v>MT0</v>
          </cell>
          <cell r="E801" t="str">
            <v>MT6</v>
          </cell>
          <cell r="F801">
            <v>2.1651500000000001</v>
          </cell>
          <cell r="G801">
            <v>0.85464700000000005</v>
          </cell>
          <cell r="H801">
            <v>-1.3410599999999999</v>
          </cell>
        </row>
        <row r="802">
          <cell r="A802" t="str">
            <v>GRMZM2G104092</v>
          </cell>
          <cell r="B802" t="e">
            <v>#N/A</v>
          </cell>
          <cell r="C802" t="str">
            <v>cellulose synthase</v>
          </cell>
          <cell r="D802" t="str">
            <v>MT0</v>
          </cell>
          <cell r="E802" t="str">
            <v>MT6</v>
          </cell>
          <cell r="F802">
            <v>0.204984</v>
          </cell>
          <cell r="G802">
            <v>0.99812699999999999</v>
          </cell>
          <cell r="H802">
            <v>2.2837100000000001</v>
          </cell>
        </row>
        <row r="803">
          <cell r="A803" t="str">
            <v>GRMZM2G080839</v>
          </cell>
          <cell r="B803" t="str">
            <v>GO:0050660GO:0016491</v>
          </cell>
          <cell r="C803" t="str">
            <v>reticuline oxidase-like</v>
          </cell>
          <cell r="D803" t="str">
            <v>MT0</v>
          </cell>
          <cell r="E803" t="str">
            <v>MT6</v>
          </cell>
          <cell r="F803">
            <v>0.23741799999999999</v>
          </cell>
          <cell r="G803">
            <v>1.8116300000000001</v>
          </cell>
          <cell r="H803">
            <v>2.9317899999999999</v>
          </cell>
        </row>
        <row r="804">
          <cell r="A804" t="str">
            <v>GRMZM2G004128</v>
          </cell>
          <cell r="B804" t="str">
            <v>GO:0004497GO:0008152</v>
          </cell>
          <cell r="C804" t="str">
            <v>fad nad -binding oxidoreductase family protein</v>
          </cell>
          <cell r="D804" t="str">
            <v>MT0</v>
          </cell>
          <cell r="E804" t="str">
            <v>MT6</v>
          </cell>
          <cell r="F804">
            <v>3.9728599999999998</v>
          </cell>
          <cell r="G804">
            <v>8.2193299999999994</v>
          </cell>
          <cell r="H804">
            <v>1.04884</v>
          </cell>
        </row>
        <row r="805">
          <cell r="A805" t="str">
            <v>GRMZM2G033179</v>
          </cell>
          <cell r="B805" t="e">
            <v>#N/A</v>
          </cell>
          <cell r="C805">
            <v>0</v>
          </cell>
          <cell r="D805" t="str">
            <v>MT0</v>
          </cell>
          <cell r="E805" t="str">
            <v>MT6</v>
          </cell>
          <cell r="F805">
            <v>9.58127</v>
          </cell>
          <cell r="G805">
            <v>4.3928399999999996</v>
          </cell>
          <cell r="H805">
            <v>-1.1250599999999999</v>
          </cell>
        </row>
        <row r="806">
          <cell r="A806" t="str">
            <v>GRMZM2G122447</v>
          </cell>
          <cell r="B806" t="e">
            <v>#N/A</v>
          </cell>
          <cell r="C806" t="str">
            <v>vq motif family protein</v>
          </cell>
          <cell r="D806" t="str">
            <v>MT0</v>
          </cell>
          <cell r="E806" t="str">
            <v>MT6</v>
          </cell>
          <cell r="F806">
            <v>6.21767</v>
          </cell>
          <cell r="G806">
            <v>3.0066799999999998</v>
          </cell>
          <cell r="H806">
            <v>-1.0482</v>
          </cell>
        </row>
        <row r="807">
          <cell r="A807" t="str">
            <v>GRMZM2G029912</v>
          </cell>
          <cell r="B807" t="str">
            <v>GO:0006633GO:0005506GO:0005783GO:0055114GO:0016491</v>
          </cell>
          <cell r="C807" t="str">
            <v>protein wax2-like isoform 2</v>
          </cell>
          <cell r="D807" t="str">
            <v>MT0</v>
          </cell>
          <cell r="E807" t="str">
            <v>MT6</v>
          </cell>
          <cell r="F807">
            <v>2.9749599999999998</v>
          </cell>
          <cell r="G807">
            <v>26.625800000000002</v>
          </cell>
          <cell r="H807">
            <v>3.16188</v>
          </cell>
        </row>
        <row r="808">
          <cell r="A808" t="str">
            <v>GRMZM5G863602</v>
          </cell>
          <cell r="B808" t="e">
            <v>#N/A</v>
          </cell>
          <cell r="C808" t="str">
            <v>senescence-associated protein dh</v>
          </cell>
          <cell r="D808" t="str">
            <v>MT0</v>
          </cell>
          <cell r="E808" t="str">
            <v>MT6</v>
          </cell>
          <cell r="F808">
            <v>0.82741100000000001</v>
          </cell>
          <cell r="G808">
            <v>0.34961599999999998</v>
          </cell>
          <cell r="H808">
            <v>-1.2428300000000001</v>
          </cell>
        </row>
        <row r="809">
          <cell r="A809" t="str">
            <v>GRMZM2G115660</v>
          </cell>
          <cell r="B809" t="str">
            <v>GO:0005509</v>
          </cell>
          <cell r="C809" t="str">
            <v>vacuolar-sorting receptor 7-like</v>
          </cell>
          <cell r="D809" t="str">
            <v>MT0</v>
          </cell>
          <cell r="E809" t="str">
            <v>MT6</v>
          </cell>
          <cell r="F809">
            <v>3.7033700000000001</v>
          </cell>
          <cell r="G809">
            <v>7.5190900000000003</v>
          </cell>
          <cell r="H809">
            <v>1.02172</v>
          </cell>
        </row>
        <row r="810">
          <cell r="A810" t="str">
            <v>GRMZM2G472087</v>
          </cell>
          <cell r="B810" t="e">
            <v>#N/A</v>
          </cell>
          <cell r="C810" t="str">
            <v>af361857_1 at2g46220</v>
          </cell>
          <cell r="D810" t="str">
            <v>MT0</v>
          </cell>
          <cell r="E810" t="str">
            <v>MT6</v>
          </cell>
          <cell r="F810">
            <v>4.6003299999999996</v>
          </cell>
          <cell r="G810">
            <v>2.2166600000000001</v>
          </cell>
          <cell r="H810">
            <v>-1.05335</v>
          </cell>
        </row>
        <row r="811">
          <cell r="A811" t="str">
            <v>GRMZM2G465383</v>
          </cell>
          <cell r="B811" t="str">
            <v>GO:0005634GO:0003677GO:0006355GO:0050825GO:0042309GO:0050826GO:0004879</v>
          </cell>
          <cell r="C811" t="str">
            <v>saur25 - auxin-responsive saur family member</v>
          </cell>
          <cell r="D811" t="str">
            <v>MT0</v>
          </cell>
          <cell r="E811" t="str">
            <v>MT6</v>
          </cell>
          <cell r="F811">
            <v>0.299373</v>
          </cell>
          <cell r="G811">
            <v>0.81180200000000002</v>
          </cell>
          <cell r="H811">
            <v>1.43919</v>
          </cell>
        </row>
        <row r="812">
          <cell r="A812" t="str">
            <v>GRMZM2G339725</v>
          </cell>
          <cell r="B812" t="e">
            <v>#N/A</v>
          </cell>
          <cell r="C812" t="str">
            <v>hypothetical protein</v>
          </cell>
          <cell r="D812" t="str">
            <v>MT0</v>
          </cell>
          <cell r="E812" t="str">
            <v>MT6</v>
          </cell>
          <cell r="F812">
            <v>10.881500000000001</v>
          </cell>
          <cell r="G812">
            <v>3.8483800000000001</v>
          </cell>
          <cell r="H812">
            <v>-1.4995499999999999</v>
          </cell>
        </row>
        <row r="813">
          <cell r="A813" t="str">
            <v>GRMZM2G704345</v>
          </cell>
          <cell r="B813" t="e">
            <v>#N/A</v>
          </cell>
          <cell r="C813" t="str">
            <v>hypothetical protein</v>
          </cell>
          <cell r="D813" t="str">
            <v>MT0</v>
          </cell>
          <cell r="E813" t="str">
            <v>MT6</v>
          </cell>
          <cell r="F813">
            <v>5.6065899999999997</v>
          </cell>
          <cell r="G813">
            <v>2.2128199999999998</v>
          </cell>
          <cell r="H813">
            <v>-1.3412299999999999</v>
          </cell>
        </row>
        <row r="814">
          <cell r="A814" t="str">
            <v>GRMZM2G128577</v>
          </cell>
          <cell r="B814" t="str">
            <v>GO:0009239GO:0005488GO:0004022GO:0008667</v>
          </cell>
          <cell r="C814" t="str">
            <v>short chain dehydrogenase reductase family expressed</v>
          </cell>
          <cell r="D814" t="str">
            <v>MT0</v>
          </cell>
          <cell r="E814" t="str">
            <v>MT6</v>
          </cell>
          <cell r="F814">
            <v>1.82846</v>
          </cell>
          <cell r="G814">
            <v>4.3132900000000003</v>
          </cell>
          <cell r="H814">
            <v>1.2381599999999999</v>
          </cell>
        </row>
        <row r="815">
          <cell r="A815" t="str">
            <v>GRMZM2G093096</v>
          </cell>
          <cell r="B815" t="e">
            <v>#N/A</v>
          </cell>
          <cell r="C815" t="str">
            <v>uncharacterized protein LOC100276005</v>
          </cell>
          <cell r="D815" t="str">
            <v>MT0</v>
          </cell>
          <cell r="E815" t="str">
            <v>MT6</v>
          </cell>
          <cell r="F815">
            <v>6.2891300000000001</v>
          </cell>
          <cell r="G815">
            <v>12.7218</v>
          </cell>
          <cell r="H815">
            <v>1.01637</v>
          </cell>
        </row>
        <row r="816">
          <cell r="A816" t="str">
            <v>GRMZM2G080409</v>
          </cell>
          <cell r="B816" t="e">
            <v>#N/A</v>
          </cell>
          <cell r="C816" t="str">
            <v>uncharacterized protein LOC100193136</v>
          </cell>
          <cell r="D816" t="str">
            <v>MT0</v>
          </cell>
          <cell r="E816" t="str">
            <v>MT6</v>
          </cell>
          <cell r="F816">
            <v>3.86673</v>
          </cell>
          <cell r="G816">
            <v>1.8486800000000001</v>
          </cell>
          <cell r="H816">
            <v>-1.0646199999999999</v>
          </cell>
        </row>
        <row r="817">
          <cell r="A817" t="str">
            <v>GRMZM2G145085</v>
          </cell>
          <cell r="B817" t="str">
            <v>GO:0005515GO:0003824GO:0003702GO:0045941GO:0016563GO:0006367GO:0003677GO:0005634GO:0008270</v>
          </cell>
          <cell r="C817" t="str">
            <v>transcription initiation factor iif subunit alpha-like</v>
          </cell>
          <cell r="D817" t="str">
            <v>MT0</v>
          </cell>
          <cell r="E817" t="str">
            <v>MT6</v>
          </cell>
          <cell r="F817">
            <v>0.37468699999999999</v>
          </cell>
          <cell r="G817">
            <v>0.836256</v>
          </cell>
          <cell r="H817">
            <v>1.1582600000000001</v>
          </cell>
        </row>
        <row r="818">
          <cell r="A818" t="str">
            <v>GRMZM2G104626</v>
          </cell>
          <cell r="B818" t="str">
            <v>GO:0006633GO:0016020GO:0008415</v>
          </cell>
          <cell r="C818" t="str">
            <v>fatty acid elongase 3-ketoacyl- synthase 1</v>
          </cell>
          <cell r="D818" t="str">
            <v>MT0</v>
          </cell>
          <cell r="E818" t="str">
            <v>MT6</v>
          </cell>
          <cell r="F818">
            <v>3.53843</v>
          </cell>
          <cell r="G818">
            <v>8.5492600000000003</v>
          </cell>
          <cell r="H818">
            <v>1.2726900000000001</v>
          </cell>
        </row>
        <row r="819">
          <cell r="A819" t="str">
            <v>GRMZM2G147787</v>
          </cell>
          <cell r="B819" t="str">
            <v>GO:0050825GO:0042309GO:0050826</v>
          </cell>
          <cell r="C819" t="str">
            <v>uncharacterized protein LOC100275469</v>
          </cell>
          <cell r="D819" t="str">
            <v>MT0</v>
          </cell>
          <cell r="E819" t="str">
            <v>MT6</v>
          </cell>
          <cell r="F819">
            <v>1.2996300000000001</v>
          </cell>
          <cell r="G819">
            <v>3.33284</v>
          </cell>
          <cell r="H819">
            <v>1.3586499999999999</v>
          </cell>
        </row>
        <row r="820">
          <cell r="A820" t="str">
            <v>GRMZM2G113060</v>
          </cell>
          <cell r="B820" t="str">
            <v>GO:0003700GO:0006355</v>
          </cell>
          <cell r="C820" t="str">
            <v>dre binding factor</v>
          </cell>
          <cell r="D820" t="str">
            <v>MT0</v>
          </cell>
          <cell r="E820" t="str">
            <v>MT6</v>
          </cell>
          <cell r="F820">
            <v>3.4451800000000001</v>
          </cell>
          <cell r="G820">
            <v>15.7372</v>
          </cell>
          <cell r="H820">
            <v>2.1915300000000002</v>
          </cell>
        </row>
        <row r="821">
          <cell r="A821" t="str">
            <v>GRMZM5G891656</v>
          </cell>
          <cell r="B821" t="e">
            <v>#N/A</v>
          </cell>
          <cell r="C821">
            <v>0</v>
          </cell>
          <cell r="D821" t="str">
            <v>MT0</v>
          </cell>
          <cell r="E821" t="str">
            <v>MT6</v>
          </cell>
          <cell r="F821">
            <v>0.18639900000000001</v>
          </cell>
          <cell r="G821">
            <v>0.86850899999999998</v>
          </cell>
          <cell r="H821">
            <v>2.2201399999999998</v>
          </cell>
        </row>
        <row r="822">
          <cell r="A822" t="str">
            <v>GRMZM2G462243</v>
          </cell>
          <cell r="B822" t="e">
            <v>#N/A</v>
          </cell>
          <cell r="C822" t="str">
            <v>probable glutathione s-transferase gstu6-like</v>
          </cell>
          <cell r="D822" t="str">
            <v>MT0</v>
          </cell>
          <cell r="E822" t="str">
            <v>MT6</v>
          </cell>
          <cell r="F822">
            <v>2.52827</v>
          </cell>
          <cell r="G822">
            <v>5.5043699999999998</v>
          </cell>
          <cell r="H822">
            <v>1.12243</v>
          </cell>
        </row>
        <row r="823">
          <cell r="A823" t="str">
            <v>GRMZM2G026833</v>
          </cell>
          <cell r="B823" t="e">
            <v>#N/A</v>
          </cell>
          <cell r="C823" t="str">
            <v>golden2-like transcription factor</v>
          </cell>
          <cell r="D823" t="str">
            <v>MT0</v>
          </cell>
          <cell r="E823" t="str">
            <v>MT6</v>
          </cell>
          <cell r="F823">
            <v>13.383599999999999</v>
          </cell>
          <cell r="G823">
            <v>35.924999999999997</v>
          </cell>
          <cell r="H823">
            <v>1.42452</v>
          </cell>
        </row>
        <row r="824">
          <cell r="A824" t="str">
            <v>GRMZM2G120475</v>
          </cell>
          <cell r="B824" t="e">
            <v>#N/A</v>
          </cell>
          <cell r="C824" t="str">
            <v>hypothetical protein</v>
          </cell>
          <cell r="D824" t="str">
            <v>MT0</v>
          </cell>
          <cell r="E824" t="str">
            <v>MT6</v>
          </cell>
          <cell r="F824">
            <v>4.4081200000000003</v>
          </cell>
          <cell r="G824">
            <v>1.8487199999999999</v>
          </cell>
          <cell r="H824">
            <v>-1.2536400000000001</v>
          </cell>
        </row>
        <row r="825">
          <cell r="A825" t="str">
            <v>GRMZM2G070315</v>
          </cell>
          <cell r="B825" t="str">
            <v>GO:0016311GO:0004725</v>
          </cell>
          <cell r="C825" t="str">
            <v>tyrosine specific protein phosphatase family protein</v>
          </cell>
          <cell r="D825" t="str">
            <v>MT0</v>
          </cell>
          <cell r="E825" t="str">
            <v>MT6</v>
          </cell>
          <cell r="F825">
            <v>24.973500000000001</v>
          </cell>
          <cell r="G825">
            <v>57.8658</v>
          </cell>
          <cell r="H825">
            <v>1.21231</v>
          </cell>
        </row>
        <row r="826">
          <cell r="A826" t="str">
            <v>GRMZM2G160005</v>
          </cell>
          <cell r="B826" t="str">
            <v>GO:0006355GO:0005634GO:0003677GO:0009725</v>
          </cell>
          <cell r="C826" t="str">
            <v>auxin response factor 7</v>
          </cell>
          <cell r="D826" t="str">
            <v>MT0</v>
          </cell>
          <cell r="E826" t="str">
            <v>MT6</v>
          </cell>
          <cell r="F826">
            <v>2.11565</v>
          </cell>
          <cell r="G826">
            <v>4.4827399999999997</v>
          </cell>
          <cell r="H826">
            <v>1.08328</v>
          </cell>
        </row>
        <row r="827">
          <cell r="A827" t="str">
            <v>GRMZM2G478553</v>
          </cell>
          <cell r="B827" t="str">
            <v>GO:0008270GO:0005515</v>
          </cell>
          <cell r="C827" t="str">
            <v>ring-h2 zinc finger protein</v>
          </cell>
          <cell r="D827" t="str">
            <v>MT0</v>
          </cell>
          <cell r="E827" t="str">
            <v>MT6</v>
          </cell>
          <cell r="F827">
            <v>1.0480100000000001</v>
          </cell>
          <cell r="G827">
            <v>2.67205</v>
          </cell>
          <cell r="H827">
            <v>1.35029</v>
          </cell>
        </row>
        <row r="828">
          <cell r="A828" t="str">
            <v>GRMZM2G099363</v>
          </cell>
          <cell r="B828" t="str">
            <v>GO:0008171</v>
          </cell>
          <cell r="C828" t="str">
            <v>caffeoyl 3-o-methyltransferase</v>
          </cell>
          <cell r="D828" t="str">
            <v>MT0</v>
          </cell>
          <cell r="E828" t="str">
            <v>MT6</v>
          </cell>
          <cell r="F828">
            <v>4.2150699999999999</v>
          </cell>
          <cell r="G828">
            <v>9.8080400000000001</v>
          </cell>
          <cell r="H828">
            <v>1.21841</v>
          </cell>
        </row>
        <row r="829">
          <cell r="A829" t="str">
            <v>GRMZM2G074611</v>
          </cell>
          <cell r="B829" t="e">
            <v>#N/A</v>
          </cell>
          <cell r="C829" t="str">
            <v>dirigent-like protein</v>
          </cell>
          <cell r="D829" t="str">
            <v>MT0</v>
          </cell>
          <cell r="E829" t="str">
            <v>MT6</v>
          </cell>
          <cell r="F829">
            <v>1.1978800000000001</v>
          </cell>
          <cell r="G829">
            <v>6.3005100000000001</v>
          </cell>
          <cell r="H829">
            <v>2.39499</v>
          </cell>
        </row>
        <row r="830">
          <cell r="A830" t="str">
            <v>GRMZM2G024993</v>
          </cell>
          <cell r="B830" t="str">
            <v>GO:0009250GO:0009011</v>
          </cell>
          <cell r="C830" t="str">
            <v>granule bound starch synthase</v>
          </cell>
          <cell r="D830" t="str">
            <v>MT0</v>
          </cell>
          <cell r="E830" t="str">
            <v>MT6</v>
          </cell>
          <cell r="F830">
            <v>1.3093699999999999</v>
          </cell>
          <cell r="G830">
            <v>4.5998400000000002E-2</v>
          </cell>
          <cell r="H830">
            <v>-4.8311500000000001</v>
          </cell>
        </row>
        <row r="831">
          <cell r="A831" t="str">
            <v>GRMZM2G171395</v>
          </cell>
          <cell r="B831" t="str">
            <v>GO:0045449GO:0003677</v>
          </cell>
          <cell r="C831" t="str">
            <v>7 protein</v>
          </cell>
          <cell r="D831" t="str">
            <v>MT0</v>
          </cell>
          <cell r="E831" t="str">
            <v>MT6</v>
          </cell>
          <cell r="F831">
            <v>1.18364</v>
          </cell>
          <cell r="G831">
            <v>2.6086100000000001</v>
          </cell>
          <cell r="H831">
            <v>1.14005</v>
          </cell>
        </row>
        <row r="832">
          <cell r="A832" t="str">
            <v>GRMZM2G465169</v>
          </cell>
          <cell r="B832" t="e">
            <v>#N/A</v>
          </cell>
          <cell r="C832" t="str">
            <v>microtubule-associated protein map65-1a</v>
          </cell>
          <cell r="D832" t="str">
            <v>MT0</v>
          </cell>
          <cell r="E832" t="str">
            <v>MT6</v>
          </cell>
          <cell r="F832">
            <v>0.85757099999999997</v>
          </cell>
          <cell r="G832">
            <v>1.95587</v>
          </cell>
          <cell r="H832">
            <v>1.1894800000000001</v>
          </cell>
        </row>
        <row r="833">
          <cell r="A833" t="str">
            <v>GRMZM2G138370</v>
          </cell>
          <cell r="B833" t="e">
            <v>#N/A</v>
          </cell>
          <cell r="C833" t="str">
            <v>vq motif family protein</v>
          </cell>
          <cell r="D833" t="str">
            <v>MT0</v>
          </cell>
          <cell r="E833" t="str">
            <v>MT6</v>
          </cell>
          <cell r="F833">
            <v>0.76492800000000005</v>
          </cell>
          <cell r="G833">
            <v>2.2381199999999999</v>
          </cell>
          <cell r="H833">
            <v>1.5488900000000001</v>
          </cell>
        </row>
        <row r="834">
          <cell r="A834" t="str">
            <v>GRMZM2G343048</v>
          </cell>
          <cell r="B834" t="e">
            <v>#N/A</v>
          </cell>
          <cell r="C834" t="str">
            <v>uncharacterized protein LOC100303855</v>
          </cell>
          <cell r="D834" t="str">
            <v>MT0</v>
          </cell>
          <cell r="E834" t="str">
            <v>MT6</v>
          </cell>
          <cell r="F834">
            <v>5.0093100000000002</v>
          </cell>
          <cell r="G834">
            <v>2.0442900000000002</v>
          </cell>
          <cell r="H834">
            <v>-1.29301</v>
          </cell>
        </row>
        <row r="835">
          <cell r="A835" t="str">
            <v>GRMZM2G026143</v>
          </cell>
          <cell r="B835" t="e">
            <v>#N/A</v>
          </cell>
          <cell r="C835" t="str">
            <v>hypothetical protein</v>
          </cell>
          <cell r="D835" t="str">
            <v>MT0</v>
          </cell>
          <cell r="E835" t="str">
            <v>MT6</v>
          </cell>
          <cell r="F835">
            <v>1.5256700000000001</v>
          </cell>
          <cell r="G835">
            <v>9.6262799999999995</v>
          </cell>
          <cell r="H835">
            <v>2.65754</v>
          </cell>
        </row>
        <row r="836">
          <cell r="A836" t="str">
            <v>GRMZM2G337594</v>
          </cell>
          <cell r="B836" t="e">
            <v>#N/A</v>
          </cell>
          <cell r="C836" t="str">
            <v>hypothetical protein</v>
          </cell>
          <cell r="D836" t="str">
            <v>MT0</v>
          </cell>
          <cell r="E836" t="str">
            <v>MT6</v>
          </cell>
          <cell r="F836">
            <v>0.56859899999999997</v>
          </cell>
          <cell r="G836">
            <v>4.9472199999999997</v>
          </cell>
          <cell r="H836">
            <v>3.12113</v>
          </cell>
        </row>
        <row r="837">
          <cell r="A837" t="str">
            <v>GRMZM2G095287</v>
          </cell>
          <cell r="B837" t="str">
            <v>GO:0042578GO:0005975GO:0050825GO:0042309GO:0050826</v>
          </cell>
          <cell r="C837" t="str">
            <v>fructose- - chloroplastic-like</v>
          </cell>
          <cell r="D837" t="str">
            <v>MT0</v>
          </cell>
          <cell r="E837" t="str">
            <v>MT6</v>
          </cell>
          <cell r="F837">
            <v>18.168500000000002</v>
          </cell>
          <cell r="G837">
            <v>8.7477999999999998</v>
          </cell>
          <cell r="H837">
            <v>-1.0544500000000001</v>
          </cell>
        </row>
        <row r="838">
          <cell r="A838" t="str">
            <v>GRMZM2G454449</v>
          </cell>
          <cell r="B838" t="e">
            <v>#N/A</v>
          </cell>
          <cell r="C838" t="str">
            <v>myb-like dna-binding shaqkyf class family protein</v>
          </cell>
          <cell r="D838" t="str">
            <v>MT0</v>
          </cell>
          <cell r="E838" t="str">
            <v>MT6</v>
          </cell>
          <cell r="F838">
            <v>1.7233400000000001</v>
          </cell>
          <cell r="G838">
            <v>4.3716699999999999</v>
          </cell>
          <cell r="H838">
            <v>1.34297</v>
          </cell>
        </row>
        <row r="839">
          <cell r="A839" t="str">
            <v>GRMZM6G735128</v>
          </cell>
          <cell r="B839" t="e">
            <v>#N/A</v>
          </cell>
          <cell r="C839" t="e">
            <v>#N/A</v>
          </cell>
          <cell r="D839" t="str">
            <v>MT0</v>
          </cell>
          <cell r="E839" t="str">
            <v>MT6</v>
          </cell>
          <cell r="F839">
            <v>10.9194</v>
          </cell>
          <cell r="G839">
            <v>23.761399999999998</v>
          </cell>
          <cell r="H839">
            <v>1.1217200000000001</v>
          </cell>
        </row>
        <row r="840">
          <cell r="A840" t="str">
            <v>GRMZM2G012140</v>
          </cell>
          <cell r="B840" t="str">
            <v>GO:0005975GO:0004553</v>
          </cell>
          <cell r="C840" t="str">
            <v>protein</v>
          </cell>
          <cell r="D840" t="str">
            <v>MT0</v>
          </cell>
          <cell r="E840" t="str">
            <v>MT6</v>
          </cell>
          <cell r="F840">
            <v>10.563499999999999</v>
          </cell>
          <cell r="G840">
            <v>4.8287100000000001</v>
          </cell>
          <cell r="H840">
            <v>-1.1293800000000001</v>
          </cell>
        </row>
        <row r="841">
          <cell r="A841" t="str">
            <v>GRMZM2G178645</v>
          </cell>
          <cell r="B841" t="str">
            <v>GO:0017111GO:0005524</v>
          </cell>
          <cell r="C841" t="str">
            <v>aaa-type atpase</v>
          </cell>
          <cell r="D841" t="str">
            <v>MT0</v>
          </cell>
          <cell r="E841" t="str">
            <v>MT6</v>
          </cell>
          <cell r="F841">
            <v>1.80616</v>
          </cell>
          <cell r="G841">
            <v>15.4863</v>
          </cell>
          <cell r="H841">
            <v>3.09999</v>
          </cell>
        </row>
        <row r="842">
          <cell r="A842" t="str">
            <v>GRMZM2G033846</v>
          </cell>
          <cell r="B842" t="str">
            <v>GO:0005509</v>
          </cell>
          <cell r="C842" t="str">
            <v>calmodulin-like protein 6-like</v>
          </cell>
          <cell r="D842" t="str">
            <v>MT0</v>
          </cell>
          <cell r="E842" t="str">
            <v>MT6</v>
          </cell>
          <cell r="F842">
            <v>14.395200000000001</v>
          </cell>
          <cell r="G842">
            <v>35.425899999999999</v>
          </cell>
          <cell r="H842">
            <v>1.29922</v>
          </cell>
        </row>
        <row r="843">
          <cell r="A843" t="str">
            <v>AC233955.1_FG008</v>
          </cell>
          <cell r="B843" t="e">
            <v>#N/A</v>
          </cell>
          <cell r="C843" t="e">
            <v>#N/A</v>
          </cell>
          <cell r="D843" t="str">
            <v>MT0</v>
          </cell>
          <cell r="E843" t="str">
            <v>MT6</v>
          </cell>
          <cell r="F843">
            <v>0.67998400000000003</v>
          </cell>
          <cell r="G843">
            <v>1.51502</v>
          </cell>
          <cell r="H843">
            <v>1.1557599999999999</v>
          </cell>
        </row>
        <row r="844">
          <cell r="A844" t="str">
            <v>GRMZM2G031637</v>
          </cell>
          <cell r="B844" t="str">
            <v>GO:0031072</v>
          </cell>
          <cell r="C844" t="str">
            <v>protein</v>
          </cell>
          <cell r="D844" t="str">
            <v>MT0</v>
          </cell>
          <cell r="E844" t="str">
            <v>MT6</v>
          </cell>
          <cell r="F844">
            <v>2.28071</v>
          </cell>
          <cell r="G844">
            <v>0.99134900000000004</v>
          </cell>
          <cell r="H844">
            <v>-1.2020200000000001</v>
          </cell>
        </row>
        <row r="845">
          <cell r="A845" t="str">
            <v>GRMZM2G051689</v>
          </cell>
          <cell r="B845" t="e">
            <v>#N/A</v>
          </cell>
          <cell r="C845" t="str">
            <v>random slug protein</v>
          </cell>
          <cell r="D845" t="str">
            <v>MT0</v>
          </cell>
          <cell r="E845" t="str">
            <v>MT6</v>
          </cell>
          <cell r="F845">
            <v>0.34355400000000003</v>
          </cell>
          <cell r="G845">
            <v>0.92218599999999995</v>
          </cell>
          <cell r="H845">
            <v>1.42452</v>
          </cell>
        </row>
        <row r="846">
          <cell r="A846" t="str">
            <v>GRMZM2G091233</v>
          </cell>
          <cell r="B846" t="str">
            <v>GO:0007242</v>
          </cell>
          <cell r="C846" t="str">
            <v>chp-rich zinc finger</v>
          </cell>
          <cell r="D846" t="str">
            <v>MT0</v>
          </cell>
          <cell r="E846" t="str">
            <v>MT6</v>
          </cell>
          <cell r="F846">
            <v>0.262797</v>
          </cell>
          <cell r="G846">
            <v>1.2638799999999999</v>
          </cell>
          <cell r="H846">
            <v>2.2658399999999999</v>
          </cell>
        </row>
        <row r="847">
          <cell r="A847" t="str">
            <v>GRMZM2G330945</v>
          </cell>
          <cell r="B847" t="e">
            <v>#N/A</v>
          </cell>
          <cell r="C847" t="str">
            <v>cold regulated protein 27</v>
          </cell>
          <cell r="D847" t="str">
            <v>MT0</v>
          </cell>
          <cell r="E847" t="str">
            <v>MT6</v>
          </cell>
          <cell r="F847">
            <v>2.24702</v>
          </cell>
          <cell r="G847">
            <v>1.0861799999999999</v>
          </cell>
          <cell r="H847">
            <v>-1.0487500000000001</v>
          </cell>
        </row>
        <row r="848">
          <cell r="A848" t="str">
            <v>GRMZM2G036351</v>
          </cell>
          <cell r="B848" t="e">
            <v>#N/A</v>
          </cell>
          <cell r="C848" t="str">
            <v>zim motif family protein</v>
          </cell>
          <cell r="D848" t="str">
            <v>MT0</v>
          </cell>
          <cell r="E848" t="str">
            <v>MT6</v>
          </cell>
          <cell r="F848">
            <v>1.15368</v>
          </cell>
          <cell r="G848">
            <v>2.3908999999999998</v>
          </cell>
          <cell r="H848">
            <v>1.05131</v>
          </cell>
        </row>
        <row r="849">
          <cell r="A849" t="str">
            <v>AC149829.2_FG002</v>
          </cell>
          <cell r="B849" t="e">
            <v>#N/A</v>
          </cell>
          <cell r="C849" t="e">
            <v>#N/A</v>
          </cell>
          <cell r="D849" t="str">
            <v>MT0</v>
          </cell>
          <cell r="E849" t="str">
            <v>MT6</v>
          </cell>
          <cell r="F849">
            <v>23.221800000000002</v>
          </cell>
          <cell r="G849">
            <v>8.3912700000000005</v>
          </cell>
          <cell r="H849">
            <v>-1.46852</v>
          </cell>
        </row>
        <row r="850">
          <cell r="A850" t="str">
            <v>GRMZM2G361256</v>
          </cell>
          <cell r="B850" t="str">
            <v>GO:0016021GO:0006810GO:0042626GO:0005524</v>
          </cell>
          <cell r="C850" t="str">
            <v>abc transporter c family member 3-like</v>
          </cell>
          <cell r="D850" t="str">
            <v>MT0</v>
          </cell>
          <cell r="E850" t="str">
            <v>MT6</v>
          </cell>
          <cell r="F850">
            <v>0.27337699999999998</v>
          </cell>
          <cell r="G850">
            <v>1.3577300000000001</v>
          </cell>
          <cell r="H850">
            <v>2.31223</v>
          </cell>
        </row>
        <row r="851">
          <cell r="A851" t="str">
            <v>GRMZM2G106263</v>
          </cell>
          <cell r="B851" t="str">
            <v>GO:0004421GO:0008299</v>
          </cell>
          <cell r="C851" t="str">
            <v>hydroxymethylglutaryl- synthase</v>
          </cell>
          <cell r="D851" t="str">
            <v>MT0</v>
          </cell>
          <cell r="E851" t="str">
            <v>MT6</v>
          </cell>
          <cell r="F851">
            <v>1.8320399999999999</v>
          </cell>
          <cell r="G851">
            <v>5.1180399999999997</v>
          </cell>
          <cell r="H851">
            <v>1.48214</v>
          </cell>
        </row>
        <row r="852">
          <cell r="A852" t="str">
            <v>GRMZM6G423719</v>
          </cell>
          <cell r="B852" t="e">
            <v>#N/A</v>
          </cell>
          <cell r="C852" t="e">
            <v>#N/A</v>
          </cell>
          <cell r="D852" t="str">
            <v>MT0</v>
          </cell>
          <cell r="E852" t="str">
            <v>MT6</v>
          </cell>
          <cell r="F852">
            <v>31.9072</v>
          </cell>
          <cell r="G852">
            <v>10.424799999999999</v>
          </cell>
          <cell r="H852">
            <v>-1.6138600000000001</v>
          </cell>
        </row>
        <row r="853">
          <cell r="A853" t="str">
            <v>GRMZM6G724181</v>
          </cell>
          <cell r="B853" t="e">
            <v>#N/A</v>
          </cell>
          <cell r="C853" t="e">
            <v>#N/A</v>
          </cell>
          <cell r="D853" t="str">
            <v>MT0</v>
          </cell>
          <cell r="E853" t="str">
            <v>MT6</v>
          </cell>
          <cell r="F853">
            <v>7.2976900000000002</v>
          </cell>
          <cell r="G853">
            <v>3.00692</v>
          </cell>
          <cell r="H853">
            <v>-1.27915</v>
          </cell>
        </row>
        <row r="854">
          <cell r="A854" t="str">
            <v>GRMZM6G577189</v>
          </cell>
          <cell r="B854" t="e">
            <v>#N/A</v>
          </cell>
          <cell r="C854" t="e">
            <v>#N/A</v>
          </cell>
          <cell r="D854" t="str">
            <v>MT0</v>
          </cell>
          <cell r="E854" t="str">
            <v>MT6</v>
          </cell>
          <cell r="F854">
            <v>115.628</v>
          </cell>
          <cell r="G854">
            <v>56.317900000000002</v>
          </cell>
          <cell r="H854">
            <v>-1.03783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始差异数据"/>
      <sheetName val="选择处理行"/>
      <sheetName val="fold change &gt;2"/>
      <sheetName val="up"/>
      <sheetName val="down"/>
      <sheetName val="筛选"/>
      <sheetName val="加注释"/>
      <sheetName val="修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gene</v>
          </cell>
          <cell r="B1" t="str">
            <v>GO term</v>
          </cell>
          <cell r="C1" t="str">
            <v>Description</v>
          </cell>
          <cell r="D1" t="str">
            <v>sample_1</v>
          </cell>
          <cell r="E1" t="str">
            <v>sample_2</v>
          </cell>
          <cell r="F1" t="str">
            <v>value_1</v>
          </cell>
          <cell r="G1" t="str">
            <v>value_2</v>
          </cell>
          <cell r="H1" t="str">
            <v>log2(fold_change)</v>
          </cell>
        </row>
        <row r="2">
          <cell r="A2" t="str">
            <v>GRMZM2G392863</v>
          </cell>
          <cell r="B2" t="str">
            <v>GO:0006952</v>
          </cell>
          <cell r="C2" t="str">
            <v>flower-specific gamma-thionin precursor</v>
          </cell>
          <cell r="D2" t="str">
            <v>BT0</v>
          </cell>
          <cell r="E2" t="str">
            <v>BT24</v>
          </cell>
          <cell r="F2">
            <v>2.24098</v>
          </cell>
          <cell r="G2">
            <v>4.9192200000000001</v>
          </cell>
          <cell r="H2">
            <v>1.1343000000000001</v>
          </cell>
        </row>
        <row r="3">
          <cell r="A3" t="str">
            <v>GRMZM5G838098</v>
          </cell>
          <cell r="B3" t="e">
            <v>#N/A</v>
          </cell>
          <cell r="C3" t="str">
            <v>protein tify 10a-like</v>
          </cell>
          <cell r="D3" t="str">
            <v>BT0</v>
          </cell>
          <cell r="E3" t="str">
            <v>BT24</v>
          </cell>
          <cell r="F3">
            <v>6.8305100000000003</v>
          </cell>
          <cell r="G3">
            <v>2.6626099999999999</v>
          </cell>
          <cell r="H3">
            <v>-1.3591500000000001</v>
          </cell>
        </row>
        <row r="4">
          <cell r="A4" t="str">
            <v>GRMZM2G024099</v>
          </cell>
          <cell r="B4" t="str">
            <v>GO:0006508GO:0004190</v>
          </cell>
          <cell r="C4" t="str">
            <v>aspartyl protease</v>
          </cell>
          <cell r="D4" t="str">
            <v>BT0</v>
          </cell>
          <cell r="E4" t="str">
            <v>BT24</v>
          </cell>
          <cell r="F4">
            <v>0.37703700000000001</v>
          </cell>
          <cell r="G4">
            <v>1.01488</v>
          </cell>
          <cell r="H4">
            <v>1.4285300000000001</v>
          </cell>
        </row>
        <row r="5">
          <cell r="A5" t="str">
            <v>AC177946.2_FG004</v>
          </cell>
          <cell r="B5" t="str">
            <v>GO:0000015GO:0016020GO:0051260GO:0006096GO:0050825GO:0042309GO:0050826GO:0004634</v>
          </cell>
          <cell r="C5" t="e">
            <v>#N/A</v>
          </cell>
          <cell r="D5" t="str">
            <v>BT0</v>
          </cell>
          <cell r="E5" t="str">
            <v>BT24</v>
          </cell>
          <cell r="F5">
            <v>21.359500000000001</v>
          </cell>
          <cell r="G5">
            <v>52.918700000000001</v>
          </cell>
          <cell r="H5">
            <v>1.3089</v>
          </cell>
        </row>
        <row r="6">
          <cell r="A6" t="str">
            <v>GRMZM2G013430</v>
          </cell>
          <cell r="B6" t="str">
            <v>GO:0005737GO:0006535GO:0050825GO:0042309GO:0050826GO:0009001</v>
          </cell>
          <cell r="C6" t="str">
            <v>serine acetyltransferase mitochondrial</v>
          </cell>
          <cell r="D6" t="str">
            <v>BT0</v>
          </cell>
          <cell r="E6" t="str">
            <v>BT24</v>
          </cell>
          <cell r="F6">
            <v>2.2606799999999998</v>
          </cell>
          <cell r="G6">
            <v>1.08239</v>
          </cell>
          <cell r="H6">
            <v>-1.06253</v>
          </cell>
        </row>
        <row r="7">
          <cell r="A7" t="str">
            <v>GRMZM2G331638</v>
          </cell>
          <cell r="B7" t="e">
            <v>#N/A</v>
          </cell>
          <cell r="C7" t="str">
            <v>dopamine beta-monooxygenase</v>
          </cell>
          <cell r="D7" t="str">
            <v>BT0</v>
          </cell>
          <cell r="E7" t="str">
            <v>BT24</v>
          </cell>
          <cell r="F7">
            <v>1.2079200000000001</v>
          </cell>
          <cell r="G7">
            <v>0.44714599999999999</v>
          </cell>
          <cell r="H7">
            <v>-1.43371</v>
          </cell>
        </row>
        <row r="8">
          <cell r="A8" t="str">
            <v>GRMZM2G116823</v>
          </cell>
          <cell r="B8" t="str">
            <v>GO:0004601GO:0006979GO:0020037GO:0009055</v>
          </cell>
          <cell r="C8" t="str">
            <v>peroxidase 53 expressed</v>
          </cell>
          <cell r="D8" t="str">
            <v>BT0</v>
          </cell>
          <cell r="E8" t="str">
            <v>BT24</v>
          </cell>
          <cell r="F8">
            <v>1.2903800000000001</v>
          </cell>
          <cell r="G8">
            <v>0.41879300000000003</v>
          </cell>
          <cell r="H8">
            <v>-1.62348</v>
          </cell>
        </row>
        <row r="9">
          <cell r="A9" t="str">
            <v>GRMZM2G149647</v>
          </cell>
          <cell r="B9" t="e">
            <v>#N/A</v>
          </cell>
          <cell r="C9" t="str">
            <v>heat-shock protein</v>
          </cell>
          <cell r="D9" t="str">
            <v>BT0</v>
          </cell>
          <cell r="E9" t="str">
            <v>BT24</v>
          </cell>
          <cell r="F9">
            <v>1.3627100000000001</v>
          </cell>
          <cell r="G9">
            <v>0.26019799999999998</v>
          </cell>
          <cell r="H9">
            <v>-2.3887999999999998</v>
          </cell>
        </row>
        <row r="10">
          <cell r="A10" t="str">
            <v>AC208201.3_FG003</v>
          </cell>
          <cell r="B10" t="e">
            <v>#N/A</v>
          </cell>
          <cell r="C10" t="e">
            <v>#N/A</v>
          </cell>
          <cell r="D10" t="str">
            <v>BT0</v>
          </cell>
          <cell r="E10" t="str">
            <v>BT24</v>
          </cell>
          <cell r="F10">
            <v>3.9942299999999999</v>
          </cell>
          <cell r="G10">
            <v>1.00623</v>
          </cell>
          <cell r="H10">
            <v>-1.98895</v>
          </cell>
        </row>
        <row r="11">
          <cell r="A11" t="str">
            <v>GRMZM2G112524</v>
          </cell>
          <cell r="B11" t="str">
            <v>GO:0006952GO:0009607</v>
          </cell>
          <cell r="C11" t="str">
            <v>pathogenesis-related protein 1</v>
          </cell>
          <cell r="D11" t="str">
            <v>BT0</v>
          </cell>
          <cell r="E11" t="str">
            <v>BT24</v>
          </cell>
          <cell r="F11">
            <v>11.0341</v>
          </cell>
          <cell r="G11">
            <v>25.37</v>
          </cell>
          <cell r="H11">
            <v>1.20116</v>
          </cell>
        </row>
        <row r="12">
          <cell r="A12" t="str">
            <v>GRMZM2G318652</v>
          </cell>
          <cell r="B12" t="str">
            <v>GO:0050825GO:0042309GO:0050826</v>
          </cell>
          <cell r="C12" t="str">
            <v>sigma factor binding protein</v>
          </cell>
          <cell r="D12" t="str">
            <v>BT0</v>
          </cell>
          <cell r="E12" t="str">
            <v>BT24</v>
          </cell>
          <cell r="F12">
            <v>8.2099299999999999</v>
          </cell>
          <cell r="G12">
            <v>3.4916700000000001</v>
          </cell>
          <cell r="H12">
            <v>-1.2334499999999999</v>
          </cell>
        </row>
        <row r="13">
          <cell r="A13" t="str">
            <v>GRMZM2G038153</v>
          </cell>
          <cell r="B13" t="str">
            <v>GO:0016829GO:0000287GO:0008152</v>
          </cell>
          <cell r="C13" t="str">
            <v>terpene synthase 7</v>
          </cell>
          <cell r="D13" t="str">
            <v>BT0</v>
          </cell>
          <cell r="E13" t="str">
            <v>BT24</v>
          </cell>
          <cell r="F13">
            <v>1.19275</v>
          </cell>
          <cell r="G13">
            <v>2.5233400000000001</v>
          </cell>
          <cell r="H13">
            <v>1.08104</v>
          </cell>
        </row>
        <row r="14">
          <cell r="A14" t="str">
            <v>GRMZM2G046297</v>
          </cell>
          <cell r="B14" t="str">
            <v>GO:0004674GO:0006468GO:0004713GO:0005524</v>
          </cell>
          <cell r="C14" t="str">
            <v>serine threonine-protein kinase at5g01020-like</v>
          </cell>
          <cell r="D14" t="str">
            <v>BT0</v>
          </cell>
          <cell r="E14" t="str">
            <v>BT24</v>
          </cell>
          <cell r="F14">
            <v>18.437000000000001</v>
          </cell>
          <cell r="G14">
            <v>6.9905600000000003</v>
          </cell>
          <cell r="H14">
            <v>-1.3991199999999999</v>
          </cell>
        </row>
        <row r="15">
          <cell r="A15" t="str">
            <v>GRMZM2G311036</v>
          </cell>
          <cell r="B15" t="str">
            <v>GO:0046983GO:0008171</v>
          </cell>
          <cell r="C15" t="str">
            <v>o-methyltransferase zrp4</v>
          </cell>
          <cell r="D15" t="str">
            <v>BT0</v>
          </cell>
          <cell r="E15" t="str">
            <v>BT24</v>
          </cell>
          <cell r="F15">
            <v>6.3867399999999996</v>
          </cell>
          <cell r="G15">
            <v>3.1223200000000002</v>
          </cell>
          <cell r="H15">
            <v>-1.0324599999999999</v>
          </cell>
        </row>
        <row r="16">
          <cell r="A16" t="str">
            <v>GRMZM2G179792</v>
          </cell>
          <cell r="B16" t="str">
            <v>GO:0004630GO:0016020GO:0046470GO:0005509</v>
          </cell>
          <cell r="C16" t="str">
            <v>phospholipase d</v>
          </cell>
          <cell r="D16" t="str">
            <v>BT0</v>
          </cell>
          <cell r="E16" t="str">
            <v>BT24</v>
          </cell>
          <cell r="F16">
            <v>9.2355999999999998</v>
          </cell>
          <cell r="G16">
            <v>1.83338</v>
          </cell>
          <cell r="H16">
            <v>-2.3327</v>
          </cell>
        </row>
        <row r="17">
          <cell r="A17" t="str">
            <v>GRMZM2G340286</v>
          </cell>
          <cell r="B17" t="e">
            <v>#N/A</v>
          </cell>
          <cell r="C17" t="str">
            <v>uncharacterized protein LOC100275916</v>
          </cell>
          <cell r="D17" t="str">
            <v>BT0</v>
          </cell>
          <cell r="E17" t="str">
            <v>BT24</v>
          </cell>
          <cell r="F17">
            <v>0.38418600000000003</v>
          </cell>
          <cell r="G17">
            <v>0.85360000000000003</v>
          </cell>
          <cell r="H17">
            <v>1.1517500000000001</v>
          </cell>
        </row>
        <row r="18">
          <cell r="A18" t="str">
            <v>GRMZM2G020523</v>
          </cell>
          <cell r="B18" t="e">
            <v>#N/A</v>
          </cell>
          <cell r="C18" t="str">
            <v>class iii peroxidase</v>
          </cell>
          <cell r="D18" t="str">
            <v>BT0</v>
          </cell>
          <cell r="E18" t="str">
            <v>BT24</v>
          </cell>
          <cell r="F18">
            <v>0.54098000000000002</v>
          </cell>
          <cell r="G18">
            <v>1.20217</v>
          </cell>
          <cell r="H18">
            <v>1.1519999999999999</v>
          </cell>
        </row>
        <row r="19">
          <cell r="A19" t="str">
            <v>GRMZM2G044383</v>
          </cell>
          <cell r="B19" t="str">
            <v>GO:0005737GO:0004364GO:0008152</v>
          </cell>
          <cell r="C19" t="str">
            <v>glutathione s-transferase</v>
          </cell>
          <cell r="D19" t="str">
            <v>BT0</v>
          </cell>
          <cell r="E19" t="str">
            <v>BT24</v>
          </cell>
          <cell r="F19">
            <v>44.583599999999997</v>
          </cell>
          <cell r="G19">
            <v>14.430300000000001</v>
          </cell>
          <cell r="H19">
            <v>-1.62741</v>
          </cell>
        </row>
        <row r="20">
          <cell r="A20" t="str">
            <v>GRMZM2G304132</v>
          </cell>
          <cell r="B20" t="e">
            <v>#N/A</v>
          </cell>
          <cell r="C20" t="str">
            <v>at5g52420 k24m7_17</v>
          </cell>
          <cell r="D20" t="str">
            <v>BT0</v>
          </cell>
          <cell r="E20" t="str">
            <v>BT24</v>
          </cell>
          <cell r="F20">
            <v>1.22997</v>
          </cell>
          <cell r="G20">
            <v>0.36692900000000001</v>
          </cell>
          <cell r="H20">
            <v>-1.74505</v>
          </cell>
        </row>
        <row r="21">
          <cell r="A21" t="str">
            <v>GRMZM2G477139</v>
          </cell>
          <cell r="B21" t="e">
            <v>#N/A</v>
          </cell>
          <cell r="C21" t="str">
            <v>thaumatin-like protein 1 precursor</v>
          </cell>
          <cell r="D21" t="str">
            <v>BT0</v>
          </cell>
          <cell r="E21" t="str">
            <v>BT24</v>
          </cell>
          <cell r="F21">
            <v>0.80851499999999998</v>
          </cell>
          <cell r="G21">
            <v>9.8710699999999998E-2</v>
          </cell>
          <cell r="H21">
            <v>-3.0339999999999998</v>
          </cell>
        </row>
        <row r="22">
          <cell r="A22" t="str">
            <v>AC211467.4_FG002</v>
          </cell>
          <cell r="B22" t="e">
            <v>#N/A</v>
          </cell>
          <cell r="C22" t="e">
            <v>#N/A</v>
          </cell>
          <cell r="D22" t="str">
            <v>BT0</v>
          </cell>
          <cell r="E22" t="str">
            <v>BT24</v>
          </cell>
          <cell r="F22">
            <v>0</v>
          </cell>
          <cell r="G22">
            <v>1.2870999999999999</v>
          </cell>
          <cell r="H22" t="str">
            <v>inf</v>
          </cell>
        </row>
        <row r="23">
          <cell r="A23" t="str">
            <v>GRMZM2G162158</v>
          </cell>
          <cell r="B23" t="str">
            <v>GO:0005506GO:0016491</v>
          </cell>
          <cell r="C23" t="str">
            <v>leucoanthocyanidin dioxygenase</v>
          </cell>
          <cell r="D23" t="str">
            <v>BT0</v>
          </cell>
          <cell r="E23" t="str">
            <v>BT24</v>
          </cell>
          <cell r="F23">
            <v>3.6878199999999999</v>
          </cell>
          <cell r="G23">
            <v>1.2954000000000001</v>
          </cell>
          <cell r="H23">
            <v>-1.5093700000000001</v>
          </cell>
        </row>
        <row r="24">
          <cell r="A24" t="str">
            <v>GRMZM2G059064</v>
          </cell>
          <cell r="B24" t="e">
            <v>#N/A</v>
          </cell>
          <cell r="C24" t="str">
            <v>vq motif family protein</v>
          </cell>
          <cell r="D24" t="str">
            <v>BT0</v>
          </cell>
          <cell r="E24" t="str">
            <v>BT24</v>
          </cell>
          <cell r="F24">
            <v>2.33988</v>
          </cell>
          <cell r="G24">
            <v>0.92010199999999998</v>
          </cell>
          <cell r="H24">
            <v>-1.34657</v>
          </cell>
        </row>
        <row r="25">
          <cell r="A25" t="str">
            <v>GRMZM2G164062</v>
          </cell>
          <cell r="B25" t="str">
            <v>GO:0006284GO:0008725</v>
          </cell>
          <cell r="C25" t="str">
            <v>dna-3-methyladenine glycosylase i</v>
          </cell>
          <cell r="D25" t="str">
            <v>BT0</v>
          </cell>
          <cell r="E25" t="str">
            <v>BT24</v>
          </cell>
          <cell r="F25">
            <v>0.69743999999999995</v>
          </cell>
          <cell r="G25">
            <v>1.7045399999999999</v>
          </cell>
          <cell r="H25">
            <v>1.2892399999999999</v>
          </cell>
        </row>
        <row r="26">
          <cell r="A26" t="str">
            <v>GRMZM2G134205</v>
          </cell>
          <cell r="B26" t="str">
            <v>GO:0004674GO:0006468GO:0004713GO:0005524GO:0005509</v>
          </cell>
          <cell r="C26" t="str">
            <v>wall-associated kinase 4</v>
          </cell>
          <cell r="D26" t="str">
            <v>BT0</v>
          </cell>
          <cell r="E26" t="str">
            <v>BT24</v>
          </cell>
          <cell r="F26">
            <v>1.3757699999999999</v>
          </cell>
          <cell r="G26">
            <v>0.456488</v>
          </cell>
          <cell r="H26">
            <v>-1.5915900000000001</v>
          </cell>
        </row>
        <row r="27">
          <cell r="A27" t="str">
            <v>GRMZM2G359559</v>
          </cell>
          <cell r="B27" t="str">
            <v>GO:0008152</v>
          </cell>
          <cell r="C27" t="str">
            <v>alanine glyoxylate aminotransferase</v>
          </cell>
          <cell r="D27" t="str">
            <v>BT0</v>
          </cell>
          <cell r="E27" t="str">
            <v>BT24</v>
          </cell>
          <cell r="F27">
            <v>0.117338</v>
          </cell>
          <cell r="G27">
            <v>1.6271</v>
          </cell>
          <cell r="H27">
            <v>3.7935599999999998</v>
          </cell>
        </row>
        <row r="28">
          <cell r="A28" t="str">
            <v>GRMZM2G083538</v>
          </cell>
          <cell r="B28" t="str">
            <v>GO:0016597GO:0008152</v>
          </cell>
          <cell r="C28" t="str">
            <v>amino acid binding</v>
          </cell>
          <cell r="D28" t="str">
            <v>BT0</v>
          </cell>
          <cell r="E28" t="str">
            <v>BT24</v>
          </cell>
          <cell r="F28">
            <v>0.38331100000000001</v>
          </cell>
          <cell r="G28">
            <v>0.79693800000000004</v>
          </cell>
          <cell r="H28">
            <v>1.0559499999999999</v>
          </cell>
        </row>
        <row r="29">
          <cell r="A29" t="str">
            <v>GRMZM2G113165</v>
          </cell>
          <cell r="B29" t="e">
            <v>#N/A</v>
          </cell>
          <cell r="C29" t="str">
            <v>carbonic anhydrase precursor</v>
          </cell>
          <cell r="D29" t="str">
            <v>BT0</v>
          </cell>
          <cell r="E29" t="str">
            <v>BT24</v>
          </cell>
          <cell r="F29">
            <v>1.27573</v>
          </cell>
          <cell r="G29">
            <v>2.6837</v>
          </cell>
          <cell r="H29">
            <v>1.0729</v>
          </cell>
        </row>
        <row r="30">
          <cell r="A30" t="str">
            <v>GRMZM2G448151</v>
          </cell>
          <cell r="B30" t="str">
            <v>GO:0003735GO:0015935GO:0006412GO:0003723</v>
          </cell>
          <cell r="C30" t="str">
            <v>ribosomal protein s3</v>
          </cell>
          <cell r="D30" t="str">
            <v>BT0</v>
          </cell>
          <cell r="E30" t="str">
            <v>BT24</v>
          </cell>
          <cell r="F30">
            <v>4.0926499999999999</v>
          </cell>
          <cell r="G30">
            <v>15.0375</v>
          </cell>
          <cell r="H30">
            <v>1.8774599999999999</v>
          </cell>
        </row>
        <row r="31">
          <cell r="A31" t="str">
            <v>GRMZM2G448389</v>
          </cell>
          <cell r="B31" t="str">
            <v>GO:0045261GO:0015986GO:0046961GO:0046933</v>
          </cell>
          <cell r="C31" t="str">
            <v>atp synthase cf1 beta subunit</v>
          </cell>
          <cell r="D31" t="str">
            <v>BT0</v>
          </cell>
          <cell r="E31" t="str">
            <v>BT24</v>
          </cell>
          <cell r="F31">
            <v>0.70819200000000004</v>
          </cell>
          <cell r="G31">
            <v>2.5365199999999999</v>
          </cell>
          <cell r="H31">
            <v>1.8406400000000001</v>
          </cell>
        </row>
        <row r="32">
          <cell r="A32" t="str">
            <v>GRMZM2G048522</v>
          </cell>
          <cell r="B32" t="e">
            <v>#N/A</v>
          </cell>
          <cell r="C32" t="str">
            <v>cinnamyl alcohol dehydrogenase</v>
          </cell>
          <cell r="D32" t="str">
            <v>BT0</v>
          </cell>
          <cell r="E32" t="str">
            <v>BT24</v>
          </cell>
          <cell r="F32">
            <v>0.92591199999999996</v>
          </cell>
          <cell r="G32">
            <v>0.191135</v>
          </cell>
          <cell r="H32">
            <v>-2.2762799999999999</v>
          </cell>
        </row>
        <row r="33">
          <cell r="A33" t="str">
            <v>GRMZM2G059397</v>
          </cell>
          <cell r="B33" t="str">
            <v>GO:0016021</v>
          </cell>
          <cell r="C33" t="str">
            <v>senescence-associated protein</v>
          </cell>
          <cell r="D33" t="str">
            <v>BT0</v>
          </cell>
          <cell r="E33" t="str">
            <v>BT24</v>
          </cell>
          <cell r="F33">
            <v>2.7280099999999998</v>
          </cell>
          <cell r="G33">
            <v>1.2024900000000001</v>
          </cell>
          <cell r="H33">
            <v>-1.1818200000000001</v>
          </cell>
        </row>
        <row r="34">
          <cell r="A34" t="str">
            <v>GRMZM2G450498</v>
          </cell>
          <cell r="B34" t="str">
            <v>GO:0006520GO:0030170</v>
          </cell>
          <cell r="C34" t="str">
            <v>o-succinylhomoserine sulfhydrylase</v>
          </cell>
          <cell r="D34" t="str">
            <v>BT0</v>
          </cell>
          <cell r="E34" t="str">
            <v>BT24</v>
          </cell>
          <cell r="F34">
            <v>81.445899999999995</v>
          </cell>
          <cell r="G34">
            <v>25.654900000000001</v>
          </cell>
          <cell r="H34">
            <v>-1.6666099999999999</v>
          </cell>
        </row>
        <row r="35">
          <cell r="A35" t="str">
            <v>GRMZM2G046700</v>
          </cell>
          <cell r="B35" t="str">
            <v>GO:0022891GO:0016021GO:0055085</v>
          </cell>
          <cell r="C35" t="str">
            <v>hexose carrier</v>
          </cell>
          <cell r="D35" t="str">
            <v>BT0</v>
          </cell>
          <cell r="E35" t="str">
            <v>BT24</v>
          </cell>
          <cell r="F35">
            <v>0.81876700000000002</v>
          </cell>
          <cell r="G35">
            <v>0.191665</v>
          </cell>
          <cell r="H35">
            <v>-2.0948699999999998</v>
          </cell>
        </row>
        <row r="36">
          <cell r="A36" t="str">
            <v>GRMZM5G827939</v>
          </cell>
          <cell r="B36" t="e">
            <v>#N/A</v>
          </cell>
          <cell r="C36" t="str">
            <v>-dihydroxy-3-keto-5-methylthiopentene dioxygenase 4</v>
          </cell>
          <cell r="D36" t="str">
            <v>BT0</v>
          </cell>
          <cell r="E36" t="str">
            <v>BT24</v>
          </cell>
          <cell r="F36">
            <v>1.17746</v>
          </cell>
          <cell r="G36">
            <v>4.7757300000000003</v>
          </cell>
          <cell r="H36">
            <v>2.0200399999999998</v>
          </cell>
        </row>
        <row r="37">
          <cell r="A37" t="str">
            <v>GRMZM5G859316</v>
          </cell>
          <cell r="B37" t="e">
            <v>#N/A</v>
          </cell>
          <cell r="C37" t="str">
            <v>beta-expansin 4 precursor</v>
          </cell>
          <cell r="D37" t="str">
            <v>BT0</v>
          </cell>
          <cell r="E37" t="str">
            <v>BT24</v>
          </cell>
          <cell r="F37">
            <v>17.822399999999998</v>
          </cell>
          <cell r="G37">
            <v>5.4240399999999998</v>
          </cell>
          <cell r="H37">
            <v>-1.7162500000000001</v>
          </cell>
        </row>
        <row r="38">
          <cell r="A38" t="str">
            <v>GRMZM5G872578</v>
          </cell>
          <cell r="B38" t="e">
            <v>#N/A</v>
          </cell>
          <cell r="C38" t="str">
            <v>f-box domain containing expressed</v>
          </cell>
          <cell r="D38" t="str">
            <v>BT0</v>
          </cell>
          <cell r="E38" t="str">
            <v>BT24</v>
          </cell>
          <cell r="F38">
            <v>2.3613400000000002</v>
          </cell>
          <cell r="G38">
            <v>0.90427000000000002</v>
          </cell>
          <cell r="H38">
            <v>-1.3847799999999999</v>
          </cell>
        </row>
        <row r="39">
          <cell r="A39" t="str">
            <v>GRMZM2G039639</v>
          </cell>
          <cell r="B39" t="e">
            <v>#N/A</v>
          </cell>
          <cell r="C39" t="str">
            <v>pathogenesis-related thaumatin-like protein</v>
          </cell>
          <cell r="D39" t="str">
            <v>BT0</v>
          </cell>
          <cell r="E39" t="str">
            <v>BT24</v>
          </cell>
          <cell r="F39">
            <v>197.17</v>
          </cell>
          <cell r="G39">
            <v>35.01</v>
          </cell>
          <cell r="H39">
            <v>-2.4935999999999998</v>
          </cell>
        </row>
        <row r="40">
          <cell r="A40" t="str">
            <v>GRMZM2G149219</v>
          </cell>
          <cell r="B40" t="str">
            <v>GO:0003700GO:0043565GO:0005634GO:0045449</v>
          </cell>
          <cell r="C40" t="str">
            <v>dna-binding protein</v>
          </cell>
          <cell r="D40" t="str">
            <v>BT0</v>
          </cell>
          <cell r="E40" t="str">
            <v>BT24</v>
          </cell>
          <cell r="F40">
            <v>4.0621799999999997</v>
          </cell>
          <cell r="G40">
            <v>0.765428</v>
          </cell>
          <cell r="H40">
            <v>-2.4079100000000002</v>
          </cell>
        </row>
        <row r="41">
          <cell r="A41" t="str">
            <v>GRMZM2G109056</v>
          </cell>
          <cell r="B41" t="str">
            <v>GO:0005506GO:0016165GO:0009055</v>
          </cell>
          <cell r="C41" t="str">
            <v>lipoxygenase</v>
          </cell>
          <cell r="D41" t="str">
            <v>BT0</v>
          </cell>
          <cell r="E41" t="str">
            <v>BT24</v>
          </cell>
          <cell r="F41">
            <v>7.2208800000000002</v>
          </cell>
          <cell r="G41">
            <v>3.1417600000000001</v>
          </cell>
          <cell r="H41">
            <v>-1.2005999999999999</v>
          </cell>
        </row>
        <row r="42">
          <cell r="A42" t="str">
            <v>GRMZM2G095798</v>
          </cell>
          <cell r="B42" t="str">
            <v>GO:0050825GO:0042309GO:0050826</v>
          </cell>
          <cell r="C42" t="str">
            <v>protein</v>
          </cell>
          <cell r="D42" t="str">
            <v>BT0</v>
          </cell>
          <cell r="E42" t="str">
            <v>BT24</v>
          </cell>
          <cell r="F42">
            <v>1.1608499999999999</v>
          </cell>
          <cell r="G42">
            <v>2.83175</v>
          </cell>
          <cell r="H42">
            <v>1.2865200000000001</v>
          </cell>
        </row>
        <row r="43">
          <cell r="A43" t="str">
            <v>GRMZM2G149923</v>
          </cell>
          <cell r="B43" t="str">
            <v>GO:0005509</v>
          </cell>
          <cell r="C43" t="str">
            <v>calmodulin</v>
          </cell>
          <cell r="D43" t="str">
            <v>BT0</v>
          </cell>
          <cell r="E43" t="str">
            <v>BT24</v>
          </cell>
          <cell r="F43">
            <v>5.9261799999999996</v>
          </cell>
          <cell r="G43">
            <v>2.7521399999999998</v>
          </cell>
          <cell r="H43">
            <v>-1.1065499999999999</v>
          </cell>
        </row>
        <row r="44">
          <cell r="A44" t="str">
            <v>GRMZM2G328500</v>
          </cell>
          <cell r="B44" t="str">
            <v>GO:0051287GO:0016616GO:0008152</v>
          </cell>
          <cell r="C44" t="str">
            <v>udp-glucose 6- expressed</v>
          </cell>
          <cell r="D44" t="str">
            <v>BT0</v>
          </cell>
          <cell r="E44" t="str">
            <v>BT24</v>
          </cell>
          <cell r="F44">
            <v>90.296000000000006</v>
          </cell>
          <cell r="G44">
            <v>44.408999999999999</v>
          </cell>
          <cell r="H44">
            <v>-1.0238100000000001</v>
          </cell>
        </row>
        <row r="45">
          <cell r="A45" t="str">
            <v>GRMZM2G047456</v>
          </cell>
          <cell r="B45" t="str">
            <v>GO:0004601GO:0006979GO:0020037GO:0009055</v>
          </cell>
          <cell r="C45" t="str">
            <v>peroxidase 73</v>
          </cell>
          <cell r="D45" t="str">
            <v>BT0</v>
          </cell>
          <cell r="E45" t="str">
            <v>BT24</v>
          </cell>
          <cell r="F45">
            <v>0.94909299999999996</v>
          </cell>
          <cell r="G45">
            <v>0.35759299999999999</v>
          </cell>
          <cell r="H45">
            <v>-1.4082300000000001</v>
          </cell>
        </row>
        <row r="46">
          <cell r="A46" t="str">
            <v>GRMZM2G475948</v>
          </cell>
          <cell r="B46" t="str">
            <v>GO:0004674GO:0006468GO:0005529GO:0004713GO:0005524</v>
          </cell>
          <cell r="C46" t="str">
            <v>l-type lectin-domain containing receptor kinase -like</v>
          </cell>
          <cell r="D46" t="str">
            <v>BT0</v>
          </cell>
          <cell r="E46" t="str">
            <v>BT24</v>
          </cell>
          <cell r="F46">
            <v>8.4488199999999996</v>
          </cell>
          <cell r="G46">
            <v>3.5159199999999999</v>
          </cell>
          <cell r="H46">
            <v>-1.26485</v>
          </cell>
        </row>
        <row r="47">
          <cell r="A47" t="str">
            <v>GRMZM2G029385</v>
          </cell>
          <cell r="B47" t="str">
            <v>GO:0031072</v>
          </cell>
          <cell r="C47" t="str">
            <v>mitochondrial import inner membrane translocase subunit tim14</v>
          </cell>
          <cell r="D47" t="str">
            <v>BT0</v>
          </cell>
          <cell r="E47" t="str">
            <v>BT24</v>
          </cell>
          <cell r="F47">
            <v>4.8410299999999999</v>
          </cell>
          <cell r="G47">
            <v>1.93167</v>
          </cell>
          <cell r="H47">
            <v>-1.3254699999999999</v>
          </cell>
        </row>
        <row r="48">
          <cell r="A48" t="str">
            <v>GRMZM2G004036</v>
          </cell>
          <cell r="B48" t="str">
            <v>GO:0003824GO:0016564GO:0006808GO:0044237GO:0050662</v>
          </cell>
          <cell r="C48" t="str">
            <v>isoflavone reductase homolog a622-like</v>
          </cell>
          <cell r="D48" t="str">
            <v>BT0</v>
          </cell>
          <cell r="E48" t="str">
            <v>BT24</v>
          </cell>
          <cell r="F48">
            <v>0.47378100000000001</v>
          </cell>
          <cell r="G48">
            <v>1.6698599999999999</v>
          </cell>
          <cell r="H48">
            <v>1.8174300000000001</v>
          </cell>
        </row>
        <row r="49">
          <cell r="A49" t="str">
            <v>GRMZM2G031062</v>
          </cell>
          <cell r="B49" t="str">
            <v>GO:0008080GO:0008152</v>
          </cell>
          <cell r="C49" t="str">
            <v>gcn5-related n-acetyltransferase-like protein</v>
          </cell>
          <cell r="D49" t="str">
            <v>BT0</v>
          </cell>
          <cell r="E49" t="str">
            <v>BT24</v>
          </cell>
          <cell r="F49">
            <v>8.71706</v>
          </cell>
          <cell r="G49">
            <v>3.2188699999999999</v>
          </cell>
          <cell r="H49">
            <v>-1.43729</v>
          </cell>
        </row>
        <row r="50">
          <cell r="A50" t="str">
            <v>GRMZM2G342856</v>
          </cell>
          <cell r="B50" t="str">
            <v>GO:0008080GO:0008152</v>
          </cell>
          <cell r="C50" t="str">
            <v>gnat family expressed</v>
          </cell>
          <cell r="D50" t="str">
            <v>BT0</v>
          </cell>
          <cell r="E50" t="str">
            <v>BT24</v>
          </cell>
          <cell r="F50">
            <v>2.7646600000000001</v>
          </cell>
          <cell r="G50">
            <v>0.76514300000000002</v>
          </cell>
          <cell r="H50">
            <v>-1.8532999999999999</v>
          </cell>
        </row>
        <row r="51">
          <cell r="A51" t="str">
            <v>GRMZM2G470422</v>
          </cell>
          <cell r="B51" t="str">
            <v>GO:0008270GO:0005622</v>
          </cell>
          <cell r="C51" t="str">
            <v>c2-h2 zinc finger protein</v>
          </cell>
          <cell r="D51" t="str">
            <v>BT0</v>
          </cell>
          <cell r="E51" t="str">
            <v>BT24</v>
          </cell>
          <cell r="F51">
            <v>1.12731</v>
          </cell>
          <cell r="G51">
            <v>0.36174699999999999</v>
          </cell>
          <cell r="H51">
            <v>-1.6398299999999999</v>
          </cell>
        </row>
        <row r="52">
          <cell r="A52" t="str">
            <v>GRMZM2G475059</v>
          </cell>
          <cell r="B52" t="e">
            <v>#N/A</v>
          </cell>
          <cell r="C52" t="str">
            <v>glutathione s- n-terminal domain containing expressed</v>
          </cell>
          <cell r="D52" t="str">
            <v>BT0</v>
          </cell>
          <cell r="E52" t="str">
            <v>BT24</v>
          </cell>
          <cell r="F52">
            <v>62.140599999999999</v>
          </cell>
          <cell r="G52">
            <v>30.605599999999999</v>
          </cell>
          <cell r="H52">
            <v>-1.0217400000000001</v>
          </cell>
        </row>
        <row r="53">
          <cell r="A53" t="str">
            <v>GRMZM2G464393</v>
          </cell>
          <cell r="B53" t="str">
            <v>GO:0005515</v>
          </cell>
          <cell r="C53" t="str">
            <v>protein binding protein</v>
          </cell>
          <cell r="D53" t="str">
            <v>BT0</v>
          </cell>
          <cell r="E53" t="str">
            <v>BT24</v>
          </cell>
          <cell r="F53">
            <v>2.21008</v>
          </cell>
          <cell r="G53">
            <v>0.92837400000000003</v>
          </cell>
          <cell r="H53">
            <v>-1.25132</v>
          </cell>
        </row>
        <row r="54">
          <cell r="A54" t="str">
            <v>AC166636.1_FG007</v>
          </cell>
          <cell r="B54" t="str">
            <v>GO:0005515</v>
          </cell>
          <cell r="C54" t="e">
            <v>#N/A</v>
          </cell>
          <cell r="D54" t="str">
            <v>BT0</v>
          </cell>
          <cell r="E54" t="str">
            <v>BT24</v>
          </cell>
          <cell r="F54">
            <v>2.78518</v>
          </cell>
          <cell r="G54">
            <v>5.9831599999999998</v>
          </cell>
          <cell r="H54">
            <v>1.10314</v>
          </cell>
        </row>
        <row r="55">
          <cell r="A55" t="str">
            <v>GRMZM2G140674</v>
          </cell>
          <cell r="B55" t="str">
            <v>GO:0050825GO:0042309GO:0050826</v>
          </cell>
          <cell r="C55" t="str">
            <v>hypothetical protein</v>
          </cell>
          <cell r="D55" t="str">
            <v>BT0</v>
          </cell>
          <cell r="E55" t="str">
            <v>BT24</v>
          </cell>
          <cell r="F55">
            <v>2.6052399999999998</v>
          </cell>
          <cell r="G55">
            <v>1.0978399999999999</v>
          </cell>
          <cell r="H55">
            <v>-1.24675</v>
          </cell>
        </row>
        <row r="56">
          <cell r="A56" t="str">
            <v>GRMZM2G153920</v>
          </cell>
          <cell r="B56" t="str">
            <v>GO:0022891GO:0016021GO:0055085</v>
          </cell>
          <cell r="C56" t="str">
            <v>sorbitol transporter</v>
          </cell>
          <cell r="D56" t="str">
            <v>BT0</v>
          </cell>
          <cell r="E56" t="str">
            <v>BT24</v>
          </cell>
          <cell r="F56">
            <v>12.100899999999999</v>
          </cell>
          <cell r="G56">
            <v>5.3736699999999997</v>
          </cell>
          <cell r="H56">
            <v>-1.1711400000000001</v>
          </cell>
        </row>
        <row r="57">
          <cell r="A57" t="str">
            <v>GRMZM2G003506</v>
          </cell>
          <cell r="B57" t="e">
            <v>#N/A</v>
          </cell>
          <cell r="C57" t="str">
            <v>membrane protein</v>
          </cell>
          <cell r="D57" t="str">
            <v>BT0</v>
          </cell>
          <cell r="E57" t="str">
            <v>BT24</v>
          </cell>
          <cell r="F57">
            <v>1.9734700000000001</v>
          </cell>
          <cell r="G57">
            <v>0.87651599999999996</v>
          </cell>
          <cell r="H57">
            <v>-1.1708799999999999</v>
          </cell>
        </row>
        <row r="58">
          <cell r="A58" t="str">
            <v>AC208897.3_FG004</v>
          </cell>
          <cell r="B58" t="str">
            <v>GO:0022891GO:0016021GO:0055085</v>
          </cell>
          <cell r="C58" t="e">
            <v>#N/A</v>
          </cell>
          <cell r="D58" t="str">
            <v>BT0</v>
          </cell>
          <cell r="E58" t="str">
            <v>BT24</v>
          </cell>
          <cell r="F58">
            <v>54.419400000000003</v>
          </cell>
          <cell r="G58">
            <v>22.908799999999999</v>
          </cell>
          <cell r="H58">
            <v>-1.2482200000000001</v>
          </cell>
        </row>
        <row r="59">
          <cell r="A59" t="str">
            <v>GRMZM2G321033</v>
          </cell>
          <cell r="B59" t="str">
            <v>GO:0004497GO:0020037GO:0009055</v>
          </cell>
          <cell r="C59" t="str">
            <v>cytochrome p450 family expressed</v>
          </cell>
          <cell r="D59" t="str">
            <v>BT0</v>
          </cell>
          <cell r="E59" t="str">
            <v>BT24</v>
          </cell>
          <cell r="F59">
            <v>0.88974699999999995</v>
          </cell>
          <cell r="G59">
            <v>0.17877000000000001</v>
          </cell>
          <cell r="H59">
            <v>-2.3152900000000001</v>
          </cell>
        </row>
        <row r="60">
          <cell r="A60" t="str">
            <v>GRMZM2G305526</v>
          </cell>
          <cell r="B60" t="str">
            <v>GO:0048046GO:0005507GO:0046274GO:0008471GO:0055114</v>
          </cell>
          <cell r="C60" t="str">
            <v>lac10_orysj ame: full=laccase-10 ame: full=benzenediol:oxygen oxidoreductase 10 ame: full=diphenol oxidase 10 ame: full=urishiol oxidase 10 flags: precursor</v>
          </cell>
          <cell r="D60" t="str">
            <v>BT0</v>
          </cell>
          <cell r="E60" t="str">
            <v>BT24</v>
          </cell>
          <cell r="F60">
            <v>2.8573599999999999</v>
          </cell>
          <cell r="G60">
            <v>0.748139</v>
          </cell>
          <cell r="H60">
            <v>-1.9333</v>
          </cell>
        </row>
        <row r="61">
          <cell r="A61" t="str">
            <v>GRMZM2G338037</v>
          </cell>
          <cell r="B61" t="e">
            <v>#N/A</v>
          </cell>
          <cell r="C61" t="str">
            <v>protein</v>
          </cell>
          <cell r="D61" t="str">
            <v>BT0</v>
          </cell>
          <cell r="E61" t="str">
            <v>BT24</v>
          </cell>
          <cell r="F61">
            <v>0.459146</v>
          </cell>
          <cell r="G61">
            <v>1.28393</v>
          </cell>
          <cell r="H61">
            <v>1.4835400000000001</v>
          </cell>
        </row>
        <row r="62">
          <cell r="A62" t="str">
            <v>GRMZM2G087186</v>
          </cell>
          <cell r="B62" t="e">
            <v>#N/A</v>
          </cell>
          <cell r="C62" t="str">
            <v>pyruvate decarboxylase</v>
          </cell>
          <cell r="D62" t="str">
            <v>BT0</v>
          </cell>
          <cell r="E62" t="str">
            <v>BT24</v>
          </cell>
          <cell r="F62">
            <v>16.418199999999999</v>
          </cell>
          <cell r="G62">
            <v>7.7688199999999998</v>
          </cell>
          <cell r="H62">
            <v>-1.0795300000000001</v>
          </cell>
        </row>
        <row r="63">
          <cell r="A63" t="str">
            <v>GRMZM2G010909</v>
          </cell>
          <cell r="B63" t="e">
            <v>#N/A</v>
          </cell>
          <cell r="C63" t="str">
            <v>wound-induced protein 1-like</v>
          </cell>
          <cell r="D63" t="str">
            <v>BT0</v>
          </cell>
          <cell r="E63" t="str">
            <v>BT24</v>
          </cell>
          <cell r="F63">
            <v>50.068399999999997</v>
          </cell>
          <cell r="G63">
            <v>19.598500000000001</v>
          </cell>
          <cell r="H63">
            <v>-1.3531599999999999</v>
          </cell>
        </row>
        <row r="64">
          <cell r="A64" t="str">
            <v>GRMZM2G475971</v>
          </cell>
          <cell r="B64" t="e">
            <v>#N/A</v>
          </cell>
          <cell r="C64" t="str">
            <v>multidrug resistance protein abc transporter family protein</v>
          </cell>
          <cell r="D64" t="str">
            <v>BT0</v>
          </cell>
          <cell r="E64" t="str">
            <v>BT24</v>
          </cell>
          <cell r="F64">
            <v>0.82865500000000003</v>
          </cell>
          <cell r="G64">
            <v>0.21985499999999999</v>
          </cell>
          <cell r="H64">
            <v>-1.91422</v>
          </cell>
        </row>
        <row r="65">
          <cell r="A65" t="str">
            <v>GRMZM2G306919</v>
          </cell>
          <cell r="B65" t="e">
            <v>#N/A</v>
          </cell>
          <cell r="C65" t="str">
            <v>neutral amino acid transport protein</v>
          </cell>
          <cell r="D65" t="str">
            <v>BT0</v>
          </cell>
          <cell r="E65" t="str">
            <v>BT24</v>
          </cell>
          <cell r="F65">
            <v>0.55568300000000004</v>
          </cell>
          <cell r="G65">
            <v>1.2110099999999999</v>
          </cell>
          <cell r="H65">
            <v>1.12388</v>
          </cell>
        </row>
        <row r="66">
          <cell r="A66" t="str">
            <v>GRMZM2G412430</v>
          </cell>
          <cell r="B66" t="str">
            <v>GO:0005634GO:0045449GO:0030528</v>
          </cell>
          <cell r="C66" t="str">
            <v>transcription factor bhlh145-like</v>
          </cell>
          <cell r="D66" t="str">
            <v>BT0</v>
          </cell>
          <cell r="E66" t="str">
            <v>BT24</v>
          </cell>
          <cell r="F66">
            <v>2.3114699999999999</v>
          </cell>
          <cell r="G66">
            <v>1.14591</v>
          </cell>
          <cell r="H66">
            <v>-1.0123200000000001</v>
          </cell>
        </row>
        <row r="67">
          <cell r="A67" t="str">
            <v>GRMZM2G313104</v>
          </cell>
          <cell r="B67" t="str">
            <v>GO:0050825GO:0042309GO:0050826</v>
          </cell>
          <cell r="C67" t="str">
            <v>hypothetical protein SORBIDRAFT_01g032640</v>
          </cell>
          <cell r="D67" t="str">
            <v>BT0</v>
          </cell>
          <cell r="E67" t="str">
            <v>BT24</v>
          </cell>
          <cell r="F67">
            <v>3.1493099999999998</v>
          </cell>
          <cell r="G67">
            <v>1.2176</v>
          </cell>
          <cell r="H67">
            <v>-1.3709899999999999</v>
          </cell>
        </row>
        <row r="68">
          <cell r="A68" t="str">
            <v>GRMZM2G425430</v>
          </cell>
          <cell r="B68" t="str">
            <v>GO:0003700GO:0043565GO:0005634GO:0045449</v>
          </cell>
          <cell r="C68" t="str">
            <v>wrky dna binding domain containing expressed</v>
          </cell>
          <cell r="D68" t="str">
            <v>BT0</v>
          </cell>
          <cell r="E68" t="str">
            <v>BT24</v>
          </cell>
          <cell r="F68">
            <v>0</v>
          </cell>
          <cell r="G68">
            <v>0.86233199999999999</v>
          </cell>
          <cell r="H68" t="str">
            <v>inf</v>
          </cell>
        </row>
        <row r="69">
          <cell r="A69" t="str">
            <v>GRMZM2G028821</v>
          </cell>
          <cell r="B69" t="str">
            <v>GO:0005737GO:0004364GO:0008152</v>
          </cell>
          <cell r="C69" t="str">
            <v>glutathione s-transferase</v>
          </cell>
          <cell r="D69" t="str">
            <v>BT0</v>
          </cell>
          <cell r="E69" t="str">
            <v>BT24</v>
          </cell>
          <cell r="F69">
            <v>21.9374</v>
          </cell>
          <cell r="G69">
            <v>61.789200000000001</v>
          </cell>
          <cell r="H69">
            <v>1.49396</v>
          </cell>
        </row>
        <row r="70">
          <cell r="A70" t="str">
            <v>GRMZM2G154565</v>
          </cell>
          <cell r="B70" t="e">
            <v>#N/A</v>
          </cell>
          <cell r="C70" t="str">
            <v>hypothetical protein SORBIDRAFT_01g029090</v>
          </cell>
          <cell r="D70" t="str">
            <v>BT0</v>
          </cell>
          <cell r="E70" t="str">
            <v>BT24</v>
          </cell>
          <cell r="F70">
            <v>0.91224899999999998</v>
          </cell>
          <cell r="G70">
            <v>0.34023199999999998</v>
          </cell>
          <cell r="H70">
            <v>-1.4229099999999999</v>
          </cell>
        </row>
        <row r="71">
          <cell r="A71" t="str">
            <v>GRMZM2G176595</v>
          </cell>
          <cell r="B71" t="str">
            <v>GO:0005576GO:0019953</v>
          </cell>
          <cell r="C71" t="str">
            <v>beta-expansin 1a precursor</v>
          </cell>
          <cell r="D71" t="str">
            <v>BT0</v>
          </cell>
          <cell r="E71" t="str">
            <v>BT24</v>
          </cell>
          <cell r="F71">
            <v>1.6789400000000001</v>
          </cell>
          <cell r="G71">
            <v>3.70723</v>
          </cell>
          <cell r="H71">
            <v>1.14279</v>
          </cell>
        </row>
        <row r="72">
          <cell r="A72" t="str">
            <v>GRMZM2G159587</v>
          </cell>
          <cell r="B72" t="str">
            <v>GO:0005737GO:0051287GO:0006520GO:0016616GO:0005525</v>
          </cell>
          <cell r="C72" t="str">
            <v>glyoxylate reductase</v>
          </cell>
          <cell r="D72" t="str">
            <v>BT0</v>
          </cell>
          <cell r="E72" t="str">
            <v>BT24</v>
          </cell>
          <cell r="F72">
            <v>8.8560099999999995</v>
          </cell>
          <cell r="G72">
            <v>3.99925</v>
          </cell>
          <cell r="H72">
            <v>-1.14693</v>
          </cell>
        </row>
        <row r="73">
          <cell r="A73" t="str">
            <v>GRMZM2G004572</v>
          </cell>
          <cell r="B73" t="str">
            <v>GO:0006468GO:0004674GO:0004713GO:0005515GO:0005524GO:0031177</v>
          </cell>
          <cell r="C73" t="str">
            <v>strubbelig-receptor family 6</v>
          </cell>
          <cell r="D73" t="str">
            <v>BT0</v>
          </cell>
          <cell r="E73" t="str">
            <v>BT24</v>
          </cell>
          <cell r="F73">
            <v>1.9359599999999999</v>
          </cell>
          <cell r="G73">
            <v>0.947882</v>
          </cell>
          <cell r="H73">
            <v>-1.03027</v>
          </cell>
        </row>
        <row r="74">
          <cell r="A74" t="str">
            <v>AC190763.3_FG002</v>
          </cell>
          <cell r="B74" t="str">
            <v>GO:0003887GO:0006260GO:0003677</v>
          </cell>
          <cell r="C74" t="e">
            <v>#N/A</v>
          </cell>
          <cell r="D74" t="str">
            <v>BT0</v>
          </cell>
          <cell r="E74" t="str">
            <v>BT24</v>
          </cell>
          <cell r="F74">
            <v>1.9573</v>
          </cell>
          <cell r="G74">
            <v>5.6913900000000002</v>
          </cell>
          <cell r="H74">
            <v>1.53992</v>
          </cell>
        </row>
        <row r="75">
          <cell r="A75" t="str">
            <v>GRMZM2G130149</v>
          </cell>
          <cell r="B75" t="str">
            <v>GO:0003677</v>
          </cell>
          <cell r="C75" t="str">
            <v>myb transcription factor</v>
          </cell>
          <cell r="D75" t="str">
            <v>BT0</v>
          </cell>
          <cell r="E75" t="str">
            <v>BT24</v>
          </cell>
          <cell r="F75">
            <v>4.2204899999999999</v>
          </cell>
          <cell r="G75">
            <v>9.1387099999999997</v>
          </cell>
          <cell r="H75">
            <v>1.1145799999999999</v>
          </cell>
        </row>
        <row r="76">
          <cell r="A76" t="str">
            <v>GRMZM2G136372</v>
          </cell>
          <cell r="B76" t="e">
            <v>#N/A</v>
          </cell>
          <cell r="C76" t="str">
            <v>pathogenesis-related protein 5</v>
          </cell>
          <cell r="D76" t="str">
            <v>BT0</v>
          </cell>
          <cell r="E76" t="str">
            <v>BT24</v>
          </cell>
          <cell r="F76">
            <v>17.7075</v>
          </cell>
          <cell r="G76">
            <v>0.84825600000000001</v>
          </cell>
          <cell r="H76">
            <v>-4.3837200000000003</v>
          </cell>
        </row>
        <row r="77">
          <cell r="A77" t="str">
            <v>GRMZM2G402631</v>
          </cell>
          <cell r="B77" t="e">
            <v>#N/A</v>
          </cell>
          <cell r="C77" t="str">
            <v>thaumatin-like protein</v>
          </cell>
          <cell r="D77" t="str">
            <v>BT0</v>
          </cell>
          <cell r="E77" t="str">
            <v>BT24</v>
          </cell>
          <cell r="F77">
            <v>720.69799999999998</v>
          </cell>
          <cell r="G77">
            <v>248.887</v>
          </cell>
          <cell r="H77">
            <v>-1.5339100000000001</v>
          </cell>
        </row>
        <row r="78">
          <cell r="A78" t="str">
            <v>GRMZM5G893912</v>
          </cell>
          <cell r="B78" t="e">
            <v>#N/A</v>
          </cell>
          <cell r="C78" t="str">
            <v>cell division protein aaa atpase family</v>
          </cell>
          <cell r="D78" t="str">
            <v>BT0</v>
          </cell>
          <cell r="E78" t="str">
            <v>BT24</v>
          </cell>
          <cell r="F78">
            <v>13.694800000000001</v>
          </cell>
          <cell r="G78">
            <v>2.9384999999999999</v>
          </cell>
          <cell r="H78">
            <v>-2.2204799999999998</v>
          </cell>
        </row>
        <row r="79">
          <cell r="A79" t="str">
            <v>GRMZM2G023847</v>
          </cell>
          <cell r="B79" t="str">
            <v>GO:0005507GO:0009055</v>
          </cell>
          <cell r="C79" t="str">
            <v>blue copper protein precursor</v>
          </cell>
          <cell r="D79" t="str">
            <v>BT0</v>
          </cell>
          <cell r="E79" t="str">
            <v>BT24</v>
          </cell>
          <cell r="F79">
            <v>10.9</v>
          </cell>
          <cell r="G79">
            <v>4.9809599999999996</v>
          </cell>
          <cell r="H79">
            <v>-1.12984</v>
          </cell>
        </row>
        <row r="80">
          <cell r="A80" t="str">
            <v>GRMZM2G137861</v>
          </cell>
          <cell r="B80" t="str">
            <v>GO:0004674GO:0006468GO:0004713GO:0005524</v>
          </cell>
          <cell r="C80" t="str">
            <v>wall-associated receptor kinase 4-like</v>
          </cell>
          <cell r="D80" t="str">
            <v>BT0</v>
          </cell>
          <cell r="E80" t="str">
            <v>BT24</v>
          </cell>
          <cell r="F80">
            <v>4.6728100000000001</v>
          </cell>
          <cell r="G80">
            <v>1.4662599999999999</v>
          </cell>
          <cell r="H80">
            <v>-1.67215</v>
          </cell>
        </row>
        <row r="81">
          <cell r="A81" t="str">
            <v>GRMZM2G362303</v>
          </cell>
          <cell r="B81" t="str">
            <v>GO:0004674GO:0006468GO:0004713GO:0005524</v>
          </cell>
          <cell r="C81" t="str">
            <v>wall-associated kinase 4</v>
          </cell>
          <cell r="D81" t="str">
            <v>BT0</v>
          </cell>
          <cell r="E81" t="str">
            <v>BT24</v>
          </cell>
          <cell r="F81">
            <v>0.83236299999999996</v>
          </cell>
          <cell r="G81">
            <v>0.38021199999999999</v>
          </cell>
          <cell r="H81">
            <v>-1.1304099999999999</v>
          </cell>
        </row>
        <row r="82">
          <cell r="A82" t="str">
            <v>GRMZM2G020631</v>
          </cell>
          <cell r="B82" t="e">
            <v>#N/A</v>
          </cell>
          <cell r="C82" t="str">
            <v>auxin-induced protein pcnt115-like</v>
          </cell>
          <cell r="D82" t="str">
            <v>BT0</v>
          </cell>
          <cell r="E82" t="str">
            <v>BT24</v>
          </cell>
          <cell r="F82">
            <v>21.488</v>
          </cell>
          <cell r="G82">
            <v>9.9288000000000007</v>
          </cell>
          <cell r="H82">
            <v>-1.1138399999999999</v>
          </cell>
        </row>
        <row r="83">
          <cell r="A83" t="str">
            <v>AC209845.4_FG010</v>
          </cell>
          <cell r="B83" t="str">
            <v>GO:0003677</v>
          </cell>
          <cell r="C83" t="e">
            <v>#N/A</v>
          </cell>
          <cell r="D83" t="str">
            <v>BT0</v>
          </cell>
          <cell r="E83" t="str">
            <v>BT24</v>
          </cell>
          <cell r="F83">
            <v>0.627579</v>
          </cell>
          <cell r="G83">
            <v>1.427</v>
          </cell>
          <cell r="H83">
            <v>1.18512</v>
          </cell>
        </row>
        <row r="84">
          <cell r="A84" t="str">
            <v>NDHK</v>
          </cell>
          <cell r="B84" t="e">
            <v>#N/A</v>
          </cell>
          <cell r="C84" t="e">
            <v>#N/A</v>
          </cell>
          <cell r="D84" t="str">
            <v>BT0</v>
          </cell>
          <cell r="E84" t="str">
            <v>BT24</v>
          </cell>
          <cell r="F84">
            <v>2.88089</v>
          </cell>
          <cell r="G84">
            <v>5.9770799999999999</v>
          </cell>
          <cell r="H84">
            <v>1.0529200000000001</v>
          </cell>
        </row>
        <row r="85">
          <cell r="A85" t="str">
            <v>GRMZM5G825090</v>
          </cell>
          <cell r="B85" t="e">
            <v>#N/A</v>
          </cell>
          <cell r="C85" t="str">
            <v>auxin-regulated protein</v>
          </cell>
          <cell r="D85" t="str">
            <v>BT0</v>
          </cell>
          <cell r="E85" t="str">
            <v>BT24</v>
          </cell>
          <cell r="F85">
            <v>1.06619</v>
          </cell>
          <cell r="G85">
            <v>2.18913</v>
          </cell>
          <cell r="H85">
            <v>1.03789</v>
          </cell>
        </row>
        <row r="86">
          <cell r="A86" t="str">
            <v>GRMZM2G154124</v>
          </cell>
          <cell r="B86" t="str">
            <v>GO:0003824GO:0005975GO:0030246</v>
          </cell>
          <cell r="C86" t="str">
            <v>rhamnogalacturonate lyase-like</v>
          </cell>
          <cell r="D86" t="str">
            <v>BT0</v>
          </cell>
          <cell r="E86" t="str">
            <v>BT24</v>
          </cell>
          <cell r="F86">
            <v>2.7873399999999999</v>
          </cell>
          <cell r="G86">
            <v>0.89385599999999998</v>
          </cell>
          <cell r="H86">
            <v>-1.6407700000000001</v>
          </cell>
        </row>
        <row r="87">
          <cell r="A87" t="str">
            <v>GRMZM2G303157</v>
          </cell>
          <cell r="B87" t="e">
            <v>#N/A</v>
          </cell>
          <cell r="C87" t="str">
            <v>kinetochore protein ndc80 homolog</v>
          </cell>
          <cell r="D87" t="str">
            <v>BT0</v>
          </cell>
          <cell r="E87" t="str">
            <v>BT24</v>
          </cell>
          <cell r="F87">
            <v>1.08775</v>
          </cell>
          <cell r="G87">
            <v>0.466368</v>
          </cell>
          <cell r="H87">
            <v>-1.2218100000000001</v>
          </cell>
        </row>
        <row r="88">
          <cell r="A88" t="str">
            <v>GRMZM2G122126</v>
          </cell>
          <cell r="B88" t="str">
            <v>GO:0017057GO:0006098</v>
          </cell>
          <cell r="C88" t="str">
            <v>6-phosphogluconolactonase</v>
          </cell>
          <cell r="D88" t="str">
            <v>BT0</v>
          </cell>
          <cell r="E88" t="str">
            <v>BT24</v>
          </cell>
          <cell r="F88">
            <v>7.4361199999999998</v>
          </cell>
          <cell r="G88">
            <v>3.1511100000000001</v>
          </cell>
          <cell r="H88">
            <v>-1.2386900000000001</v>
          </cell>
        </row>
        <row r="89">
          <cell r="A89" t="str">
            <v>GRMZM2G429940</v>
          </cell>
          <cell r="B89" t="str">
            <v>GO:0004674GO:0006468GO:0004713GO:0005524GO:0007165</v>
          </cell>
          <cell r="C89" t="str">
            <v>protein</v>
          </cell>
          <cell r="D89" t="str">
            <v>BT0</v>
          </cell>
          <cell r="E89" t="str">
            <v>BT24</v>
          </cell>
          <cell r="F89">
            <v>7.2552000000000003</v>
          </cell>
          <cell r="G89">
            <v>3.5840800000000002</v>
          </cell>
          <cell r="H89">
            <v>-1.0174099999999999</v>
          </cell>
        </row>
        <row r="90">
          <cell r="A90" t="str">
            <v>GRMZM2G161245</v>
          </cell>
          <cell r="B90" t="e">
            <v>#N/A</v>
          </cell>
          <cell r="C90" t="str">
            <v>nad-malate dehydrogenase</v>
          </cell>
          <cell r="D90" t="str">
            <v>BT0</v>
          </cell>
          <cell r="E90" t="str">
            <v>BT24</v>
          </cell>
          <cell r="F90">
            <v>3.3832800000000001</v>
          </cell>
          <cell r="G90">
            <v>0.94155100000000003</v>
          </cell>
          <cell r="H90">
            <v>-1.84531</v>
          </cell>
        </row>
        <row r="91">
          <cell r="A91" t="str">
            <v>GRMZM2G153208</v>
          </cell>
          <cell r="B91" t="str">
            <v>GO:0008962GO:0006629GO:0045735</v>
          </cell>
          <cell r="C91" t="str">
            <v>pr17c precursor</v>
          </cell>
          <cell r="D91" t="str">
            <v>BT0</v>
          </cell>
          <cell r="E91" t="str">
            <v>BT24</v>
          </cell>
          <cell r="F91">
            <v>18.580100000000002</v>
          </cell>
          <cell r="G91">
            <v>8.4327000000000005</v>
          </cell>
          <cell r="H91">
            <v>-1.1396900000000001</v>
          </cell>
        </row>
        <row r="92">
          <cell r="A92" t="str">
            <v>GRMZM2G108949</v>
          </cell>
          <cell r="B92" t="e">
            <v>#N/A</v>
          </cell>
          <cell r="C92" t="str">
            <v>predicted protein</v>
          </cell>
          <cell r="D92" t="str">
            <v>BT0</v>
          </cell>
          <cell r="E92" t="str">
            <v>BT24</v>
          </cell>
          <cell r="F92">
            <v>1.3650199999999999</v>
          </cell>
          <cell r="G92">
            <v>0.48381999999999997</v>
          </cell>
          <cell r="H92">
            <v>-1.49638</v>
          </cell>
        </row>
        <row r="93">
          <cell r="A93" t="str">
            <v>GRMZM5G891371</v>
          </cell>
          <cell r="B93" t="e">
            <v>#N/A</v>
          </cell>
          <cell r="C93" t="str">
            <v>subtilase family protein</v>
          </cell>
          <cell r="D93" t="str">
            <v>BT0</v>
          </cell>
          <cell r="E93" t="str">
            <v>BT24</v>
          </cell>
          <cell r="F93">
            <v>0.19189600000000001</v>
          </cell>
          <cell r="G93">
            <v>7.9798400000000003</v>
          </cell>
          <cell r="H93">
            <v>5.3779700000000004</v>
          </cell>
        </row>
        <row r="94">
          <cell r="A94" t="str">
            <v>GRMZM2G455817</v>
          </cell>
          <cell r="B94" t="str">
            <v>GO:0006813GO:0016020GO:0015079</v>
          </cell>
          <cell r="C94" t="str">
            <v>potassium transporter</v>
          </cell>
          <cell r="D94" t="str">
            <v>BT0</v>
          </cell>
          <cell r="E94" t="str">
            <v>BT24</v>
          </cell>
          <cell r="F94">
            <v>2.1414800000000001</v>
          </cell>
          <cell r="G94">
            <v>0.51398299999999997</v>
          </cell>
          <cell r="H94">
            <v>-2.0588099999999998</v>
          </cell>
        </row>
        <row r="95">
          <cell r="A95" t="str">
            <v>GRMZM2G366373</v>
          </cell>
          <cell r="B95" t="str">
            <v>GO:0005840GO:0005634GO:0003735GO:0045449GO:0042309GO:0050826GO:0050825GO:0006412</v>
          </cell>
          <cell r="C95" t="str">
            <v>iaa12 - auxin-responsive aux iaa family member</v>
          </cell>
          <cell r="D95" t="str">
            <v>BT0</v>
          </cell>
          <cell r="E95" t="str">
            <v>BT24</v>
          </cell>
          <cell r="F95">
            <v>0.70583600000000002</v>
          </cell>
          <cell r="G95">
            <v>1.4380500000000001</v>
          </cell>
          <cell r="H95">
            <v>1.02671</v>
          </cell>
        </row>
        <row r="96">
          <cell r="A96" t="str">
            <v>GRMZM2G149024</v>
          </cell>
          <cell r="B96" t="str">
            <v>GO:0016757</v>
          </cell>
          <cell r="C96" t="str">
            <v>cazy family gt8</v>
          </cell>
          <cell r="D96" t="str">
            <v>BT0</v>
          </cell>
          <cell r="E96" t="str">
            <v>BT24</v>
          </cell>
          <cell r="F96">
            <v>0.82359700000000002</v>
          </cell>
          <cell r="G96">
            <v>0.38826699999999997</v>
          </cell>
          <cell r="H96">
            <v>-1.0848899999999999</v>
          </cell>
        </row>
        <row r="97">
          <cell r="A97" t="str">
            <v>GRMZM2G118172</v>
          </cell>
          <cell r="B97" t="str">
            <v>GO:0050825GO:0042309GO:0050826</v>
          </cell>
          <cell r="C97" t="str">
            <v>vq motif family protein</v>
          </cell>
          <cell r="D97" t="str">
            <v>BT0</v>
          </cell>
          <cell r="E97" t="str">
            <v>BT24</v>
          </cell>
          <cell r="F97">
            <v>29.628499999999999</v>
          </cell>
          <cell r="G97">
            <v>5.0898899999999996</v>
          </cell>
          <cell r="H97">
            <v>-2.54128</v>
          </cell>
        </row>
        <row r="98">
          <cell r="A98" t="str">
            <v>GRMZM2G146108</v>
          </cell>
          <cell r="B98" t="e">
            <v>#N/A</v>
          </cell>
          <cell r="C98" t="str">
            <v>auxin responsive protein</v>
          </cell>
          <cell r="D98" t="str">
            <v>BT0</v>
          </cell>
          <cell r="E98" t="str">
            <v>BT24</v>
          </cell>
          <cell r="F98">
            <v>2.6879</v>
          </cell>
          <cell r="G98">
            <v>0.96709999999999996</v>
          </cell>
          <cell r="H98">
            <v>-1.4747399999999999</v>
          </cell>
        </row>
        <row r="99">
          <cell r="A99" t="str">
            <v>GRMZM2G341959</v>
          </cell>
          <cell r="B99" t="str">
            <v>GO:0008146</v>
          </cell>
          <cell r="C99" t="str">
            <v>sulfotransferase 17-like</v>
          </cell>
          <cell r="D99" t="str">
            <v>BT0</v>
          </cell>
          <cell r="E99" t="str">
            <v>BT24</v>
          </cell>
          <cell r="F99">
            <v>0.81844799999999995</v>
          </cell>
          <cell r="G99">
            <v>0.16528300000000001</v>
          </cell>
          <cell r="H99">
            <v>-2.3079499999999999</v>
          </cell>
        </row>
        <row r="100">
          <cell r="A100" t="str">
            <v>GRMZM2G467893</v>
          </cell>
          <cell r="B100" t="e">
            <v>#N/A</v>
          </cell>
          <cell r="C100" t="str">
            <v>nodule-specific protein</v>
          </cell>
          <cell r="D100" t="str">
            <v>BT0</v>
          </cell>
          <cell r="E100" t="str">
            <v>BT24</v>
          </cell>
          <cell r="F100">
            <v>2.25888</v>
          </cell>
          <cell r="G100">
            <v>0.85797599999999996</v>
          </cell>
          <cell r="H100">
            <v>-1.3966000000000001</v>
          </cell>
        </row>
        <row r="101">
          <cell r="A101" t="str">
            <v>GRMZM2G026780</v>
          </cell>
          <cell r="B101" t="e">
            <v>#N/A</v>
          </cell>
          <cell r="C101" t="str">
            <v>uncharacterized protein LOC100274767</v>
          </cell>
          <cell r="D101" t="str">
            <v>BT0</v>
          </cell>
          <cell r="E101" t="str">
            <v>BT24</v>
          </cell>
          <cell r="F101">
            <v>3.30965</v>
          </cell>
          <cell r="G101">
            <v>9.8173600000000008</v>
          </cell>
          <cell r="H101">
            <v>1.5686599999999999</v>
          </cell>
        </row>
        <row r="102">
          <cell r="A102" t="str">
            <v>GRMZM2G049349</v>
          </cell>
          <cell r="B102" t="e">
            <v>#N/A</v>
          </cell>
          <cell r="C102" t="str">
            <v>sterol regulatory element-binding protein site 2</v>
          </cell>
          <cell r="D102" t="str">
            <v>BT0</v>
          </cell>
          <cell r="E102" t="str">
            <v>BT24</v>
          </cell>
          <cell r="F102">
            <v>13.3531</v>
          </cell>
          <cell r="G102">
            <v>6.5852199999999996</v>
          </cell>
          <cell r="H102">
            <v>-1.0198799999999999</v>
          </cell>
        </row>
        <row r="103">
          <cell r="A103" t="str">
            <v>AC235547.1_FG005</v>
          </cell>
          <cell r="B103" t="str">
            <v>GO:0004674GO:0006468GO:0005524GO:0005515GO:0004713</v>
          </cell>
          <cell r="C103" t="e">
            <v>#N/A</v>
          </cell>
          <cell r="D103" t="str">
            <v>BT0</v>
          </cell>
          <cell r="E103" t="str">
            <v>BT24</v>
          </cell>
          <cell r="F103">
            <v>9.5347799999999996</v>
          </cell>
          <cell r="G103">
            <v>4.0239000000000003</v>
          </cell>
          <cell r="H103">
            <v>-1.24461</v>
          </cell>
        </row>
        <row r="104">
          <cell r="A104" t="str">
            <v>GRMZM2G068179</v>
          </cell>
          <cell r="B104" t="e">
            <v>#N/A</v>
          </cell>
          <cell r="C104" t="str">
            <v>leucine carboxyl methyltransferase</v>
          </cell>
          <cell r="D104" t="str">
            <v>BT0</v>
          </cell>
          <cell r="E104" t="str">
            <v>BT24</v>
          </cell>
          <cell r="F104">
            <v>6.3341500000000002</v>
          </cell>
          <cell r="G104">
            <v>14.055199999999999</v>
          </cell>
          <cell r="H104">
            <v>1.14988</v>
          </cell>
        </row>
        <row r="105">
          <cell r="A105" t="str">
            <v>GRMZM2G308687</v>
          </cell>
          <cell r="B105" t="str">
            <v>GO:0005737GO:0004364GO:0008152</v>
          </cell>
          <cell r="C105" t="str">
            <v>glutathione transferase</v>
          </cell>
          <cell r="D105" t="str">
            <v>BT0</v>
          </cell>
          <cell r="E105" t="str">
            <v>BT24</v>
          </cell>
          <cell r="F105">
            <v>98.718900000000005</v>
          </cell>
          <cell r="G105">
            <v>38.875900000000001</v>
          </cell>
          <cell r="H105">
            <v>-1.3444499999999999</v>
          </cell>
        </row>
        <row r="106">
          <cell r="A106" t="str">
            <v>GRMZM2G006047</v>
          </cell>
          <cell r="B106" t="str">
            <v>GO:0006869GO:0050825GO:0008289GO:0042309GO:0050826</v>
          </cell>
          <cell r="C106" t="str">
            <v>protein</v>
          </cell>
          <cell r="D106" t="str">
            <v>BT0</v>
          </cell>
          <cell r="E106" t="str">
            <v>BT24</v>
          </cell>
          <cell r="F106">
            <v>2.29921</v>
          </cell>
          <cell r="G106">
            <v>0.84981200000000001</v>
          </cell>
          <cell r="H106">
            <v>-1.4359200000000001</v>
          </cell>
        </row>
        <row r="107">
          <cell r="A107" t="str">
            <v>GRMZM2G478779</v>
          </cell>
          <cell r="B107" t="str">
            <v>GO:0006139GO:0005524GO:0005515GO:0019205</v>
          </cell>
          <cell r="C107" t="str">
            <v>actin</v>
          </cell>
          <cell r="D107" t="str">
            <v>BT0</v>
          </cell>
          <cell r="E107" t="str">
            <v>BT24</v>
          </cell>
          <cell r="F107">
            <v>0</v>
          </cell>
          <cell r="G107">
            <v>0.99651500000000004</v>
          </cell>
          <cell r="H107" t="str">
            <v>inf</v>
          </cell>
        </row>
        <row r="108">
          <cell r="A108" t="str">
            <v>GRMZM2G448925</v>
          </cell>
          <cell r="B108" t="str">
            <v>GO:0016021GO:0007186</v>
          </cell>
          <cell r="C108" t="str">
            <v>ww domain-binding protein 11</v>
          </cell>
          <cell r="D108" t="str">
            <v>BT0</v>
          </cell>
          <cell r="E108" t="str">
            <v>BT24</v>
          </cell>
          <cell r="F108">
            <v>4.5422700000000003</v>
          </cell>
          <cell r="G108">
            <v>1.6573500000000001</v>
          </cell>
          <cell r="H108">
            <v>-1.4545399999999999</v>
          </cell>
        </row>
        <row r="109">
          <cell r="A109" t="str">
            <v>GRMZM2G139250</v>
          </cell>
          <cell r="B109" t="str">
            <v>GO:0005634GO:0003677GO:0006355GO:0050825GO:0042309GO:0050826GO:0004879</v>
          </cell>
          <cell r="C109" t="str">
            <v>unknown</v>
          </cell>
          <cell r="D109" t="str">
            <v>BT0</v>
          </cell>
          <cell r="E109" t="str">
            <v>BT24</v>
          </cell>
          <cell r="F109">
            <v>16.055</v>
          </cell>
          <cell r="G109">
            <v>7.47323</v>
          </cell>
          <cell r="H109">
            <v>-1.1032200000000001</v>
          </cell>
        </row>
        <row r="110">
          <cell r="A110" t="str">
            <v>AC191575.2_FG001</v>
          </cell>
          <cell r="B110" t="str">
            <v>GO:0006508GO:0004190</v>
          </cell>
          <cell r="C110" t="e">
            <v>#N/A</v>
          </cell>
          <cell r="D110" t="str">
            <v>BT0</v>
          </cell>
          <cell r="E110" t="str">
            <v>BT24</v>
          </cell>
          <cell r="F110">
            <v>0.39915200000000001</v>
          </cell>
          <cell r="G110">
            <v>1.2174</v>
          </cell>
          <cell r="H110">
            <v>1.6088</v>
          </cell>
        </row>
        <row r="111">
          <cell r="A111" t="str">
            <v>GRMZM2G381441</v>
          </cell>
          <cell r="B111" t="str">
            <v>GO:0003700GO:0006355</v>
          </cell>
          <cell r="C111" t="str">
            <v>ethylene-responsive transcription factor</v>
          </cell>
          <cell r="D111" t="str">
            <v>BT0</v>
          </cell>
          <cell r="E111" t="str">
            <v>BT24</v>
          </cell>
          <cell r="F111">
            <v>2.34788</v>
          </cell>
          <cell r="G111">
            <v>0.95892299999999997</v>
          </cell>
          <cell r="H111">
            <v>-1.2918700000000001</v>
          </cell>
        </row>
        <row r="112">
          <cell r="A112" t="str">
            <v>GRMZM2G004060</v>
          </cell>
          <cell r="B112" t="str">
            <v>GO:0003700GO:0043565GO:0005634GO:0045449</v>
          </cell>
          <cell r="C112" t="str">
            <v>wrky-type transcription factor 45-2</v>
          </cell>
          <cell r="D112" t="str">
            <v>BT0</v>
          </cell>
          <cell r="E112" t="str">
            <v>BT24</v>
          </cell>
          <cell r="F112">
            <v>81.566500000000005</v>
          </cell>
          <cell r="G112">
            <v>180.59299999999999</v>
          </cell>
          <cell r="H112">
            <v>1.1467000000000001</v>
          </cell>
        </row>
        <row r="113">
          <cell r="A113" t="str">
            <v>GRMZM2G048175</v>
          </cell>
          <cell r="B113" t="str">
            <v>GO:0015629GO:0016021GO:0005198GO:0004969GO:0007155GO:0007186</v>
          </cell>
          <cell r="C113" t="str">
            <v>transposon en spm sub- expressed</v>
          </cell>
          <cell r="D113" t="str">
            <v>BT0</v>
          </cell>
          <cell r="E113" t="str">
            <v>BT24</v>
          </cell>
          <cell r="F113">
            <v>0.72375800000000001</v>
          </cell>
          <cell r="G113">
            <v>1.81793</v>
          </cell>
          <cell r="H113">
            <v>1.3287199999999999</v>
          </cell>
        </row>
        <row r="114">
          <cell r="A114" t="str">
            <v>GRMZM2G091891</v>
          </cell>
          <cell r="B114" t="e">
            <v>#N/A</v>
          </cell>
          <cell r="C114" t="str">
            <v>ureide permease expressed</v>
          </cell>
          <cell r="D114" t="str">
            <v>BT0</v>
          </cell>
          <cell r="E114" t="str">
            <v>BT24</v>
          </cell>
          <cell r="F114">
            <v>1.3248</v>
          </cell>
          <cell r="G114">
            <v>0.34825200000000001</v>
          </cell>
          <cell r="H114">
            <v>-1.92757</v>
          </cell>
        </row>
        <row r="115">
          <cell r="A115" t="str">
            <v>GRMZM2G178817</v>
          </cell>
          <cell r="B115" t="str">
            <v>GO:0048046GO:0030145GO:0045735</v>
          </cell>
          <cell r="C115" t="str">
            <v>germin-like protein subfamily 1 member 8 expressed</v>
          </cell>
          <cell r="D115" t="str">
            <v>BT0</v>
          </cell>
          <cell r="E115" t="str">
            <v>BT24</v>
          </cell>
          <cell r="F115">
            <v>1.5593699999999999</v>
          </cell>
          <cell r="G115">
            <v>0.56005700000000003</v>
          </cell>
          <cell r="H115">
            <v>-1.47732</v>
          </cell>
        </row>
        <row r="116">
          <cell r="A116" t="str">
            <v>SPP2</v>
          </cell>
          <cell r="B116" t="e">
            <v>#N/A</v>
          </cell>
          <cell r="C116" t="e">
            <v>#N/A</v>
          </cell>
          <cell r="D116" t="str">
            <v>BT0</v>
          </cell>
          <cell r="E116" t="str">
            <v>BT24</v>
          </cell>
          <cell r="F116">
            <v>8.6670700000000007</v>
          </cell>
          <cell r="G116">
            <v>3.8184100000000001</v>
          </cell>
          <cell r="H116">
            <v>-1.1825699999999999</v>
          </cell>
        </row>
        <row r="117">
          <cell r="A117" t="str">
            <v>GRMZM5G897005</v>
          </cell>
          <cell r="B117" t="e">
            <v>#N/A</v>
          </cell>
          <cell r="C117" t="str">
            <v>rust resistance kinase lr10</v>
          </cell>
          <cell r="D117" t="str">
            <v>BT0</v>
          </cell>
          <cell r="E117" t="str">
            <v>BT24</v>
          </cell>
          <cell r="F117">
            <v>0.89725999999999995</v>
          </cell>
          <cell r="G117">
            <v>2.6488700000000001</v>
          </cell>
          <cell r="H117">
            <v>1.5617799999999999</v>
          </cell>
        </row>
        <row r="118">
          <cell r="A118" t="str">
            <v>GRMZM2G177203</v>
          </cell>
          <cell r="B118" t="e">
            <v>#N/A</v>
          </cell>
          <cell r="C118" t="str">
            <v>protein</v>
          </cell>
          <cell r="D118" t="str">
            <v>BT0</v>
          </cell>
          <cell r="E118" t="str">
            <v>BT24</v>
          </cell>
          <cell r="F118">
            <v>0.57696999999999998</v>
          </cell>
          <cell r="G118">
            <v>1.31413</v>
          </cell>
          <cell r="H118">
            <v>1.18753</v>
          </cell>
        </row>
        <row r="119">
          <cell r="A119" t="str">
            <v>GRMZM2G159811</v>
          </cell>
          <cell r="B119" t="str">
            <v>GO:0006470GO:0008287GO:0004722</v>
          </cell>
          <cell r="C119" t="str">
            <v>protein phosphatase 2c</v>
          </cell>
          <cell r="D119" t="str">
            <v>BT0</v>
          </cell>
          <cell r="E119" t="str">
            <v>BT24</v>
          </cell>
          <cell r="F119">
            <v>2.6640000000000001</v>
          </cell>
          <cell r="G119">
            <v>0.749417</v>
          </cell>
          <cell r="H119">
            <v>-1.8297600000000001</v>
          </cell>
        </row>
        <row r="120">
          <cell r="A120" t="str">
            <v>GRMZM2G034206</v>
          </cell>
          <cell r="B120" t="str">
            <v>GO:0007155</v>
          </cell>
          <cell r="C120" t="str">
            <v>lgc1 precursor</v>
          </cell>
          <cell r="D120" t="str">
            <v>BT0</v>
          </cell>
          <cell r="E120" t="str">
            <v>BT24</v>
          </cell>
          <cell r="F120">
            <v>4.6795900000000001</v>
          </cell>
          <cell r="G120">
            <v>12.617000000000001</v>
          </cell>
          <cell r="H120">
            <v>1.4309099999999999</v>
          </cell>
        </row>
        <row r="121">
          <cell r="A121" t="str">
            <v>GRMZM2G132875</v>
          </cell>
          <cell r="B121" t="str">
            <v>GO:0055114GO:0016491</v>
          </cell>
          <cell r="C121" t="str">
            <v>nad h-dependent oxidoreductase</v>
          </cell>
          <cell r="D121" t="str">
            <v>BT0</v>
          </cell>
          <cell r="E121" t="str">
            <v>BT24</v>
          </cell>
          <cell r="F121">
            <v>8.2578099999999992</v>
          </cell>
          <cell r="G121">
            <v>1.9921800000000001</v>
          </cell>
          <cell r="H121">
            <v>-2.0514100000000002</v>
          </cell>
        </row>
        <row r="122">
          <cell r="A122" t="str">
            <v>AC233888.1_FG001</v>
          </cell>
          <cell r="B122" t="e">
            <v>#N/A</v>
          </cell>
          <cell r="C122" t="e">
            <v>#N/A</v>
          </cell>
          <cell r="D122" t="str">
            <v>BT0</v>
          </cell>
          <cell r="E122" t="str">
            <v>BT24</v>
          </cell>
          <cell r="F122">
            <v>2.2997200000000002</v>
          </cell>
          <cell r="G122">
            <v>4.9198300000000001</v>
          </cell>
          <cell r="H122">
            <v>1.0971500000000001</v>
          </cell>
        </row>
        <row r="123">
          <cell r="A123" t="str">
            <v>GRMZM2G043813</v>
          </cell>
          <cell r="B123" t="str">
            <v>GO:0045449GO:0003677</v>
          </cell>
          <cell r="C123" t="str">
            <v>nac domain ipr003441</v>
          </cell>
          <cell r="D123" t="str">
            <v>BT0</v>
          </cell>
          <cell r="E123" t="str">
            <v>BT24</v>
          </cell>
          <cell r="F123">
            <v>0.47484399999999999</v>
          </cell>
          <cell r="G123">
            <v>1.11741</v>
          </cell>
          <cell r="H123">
            <v>1.2346299999999999</v>
          </cell>
        </row>
        <row r="124">
          <cell r="A124" t="str">
            <v>GRMZM5G828581</v>
          </cell>
          <cell r="B124" t="e">
            <v>#N/A</v>
          </cell>
          <cell r="C124" t="str">
            <v>uncharacterized membrane protein at1g06890-like</v>
          </cell>
          <cell r="D124" t="str">
            <v>BT0</v>
          </cell>
          <cell r="E124" t="str">
            <v>BT24</v>
          </cell>
          <cell r="F124">
            <v>1.5328200000000001</v>
          </cell>
          <cell r="G124">
            <v>0.72356200000000004</v>
          </cell>
          <cell r="H124">
            <v>-1.083</v>
          </cell>
        </row>
        <row r="125">
          <cell r="A125" t="str">
            <v>GRMZM2G397684</v>
          </cell>
          <cell r="B125" t="str">
            <v>GO:0008270GO:0005515</v>
          </cell>
          <cell r="C125" t="str">
            <v>ring zinc finger</v>
          </cell>
          <cell r="D125" t="str">
            <v>BT0</v>
          </cell>
          <cell r="E125" t="str">
            <v>BT24</v>
          </cell>
          <cell r="F125">
            <v>3.15699</v>
          </cell>
          <cell r="G125">
            <v>0.81510300000000002</v>
          </cell>
          <cell r="H125">
            <v>-1.9534899999999999</v>
          </cell>
        </row>
        <row r="126">
          <cell r="A126" t="str">
            <v>GRMZM2G092427</v>
          </cell>
          <cell r="B126" t="str">
            <v>GO:0016020GO:0009765</v>
          </cell>
          <cell r="C126" t="str">
            <v>chlorophyll a-b binding protein cp24</v>
          </cell>
          <cell r="D126" t="str">
            <v>BT0</v>
          </cell>
          <cell r="E126" t="str">
            <v>BT24</v>
          </cell>
          <cell r="F126">
            <v>788.52700000000004</v>
          </cell>
          <cell r="G126">
            <v>1624.43</v>
          </cell>
          <cell r="H126">
            <v>1.04271</v>
          </cell>
        </row>
        <row r="127">
          <cell r="A127" t="str">
            <v>GRMZM2G177340</v>
          </cell>
          <cell r="B127" t="str">
            <v>GO:0005634GO:0003676</v>
          </cell>
          <cell r="C127" t="str">
            <v>probable ccr4-associated factor 1 homolog 11-like</v>
          </cell>
          <cell r="D127" t="str">
            <v>BT0</v>
          </cell>
          <cell r="E127" t="str">
            <v>BT24</v>
          </cell>
          <cell r="F127">
            <v>4.0017699999999996</v>
          </cell>
          <cell r="G127">
            <v>1.47973</v>
          </cell>
          <cell r="H127">
            <v>-1.4353</v>
          </cell>
        </row>
        <row r="128">
          <cell r="A128" t="str">
            <v>AC152495.1_FG017</v>
          </cell>
          <cell r="B128" t="str">
            <v>GO:0006915GO:0005524</v>
          </cell>
          <cell r="C128" t="e">
            <v>#N/A</v>
          </cell>
          <cell r="D128" t="str">
            <v>BT0</v>
          </cell>
          <cell r="E128" t="str">
            <v>BT24</v>
          </cell>
          <cell r="F128">
            <v>0.982734</v>
          </cell>
          <cell r="G128">
            <v>2.5551400000000002</v>
          </cell>
          <cell r="H128">
            <v>1.37853</v>
          </cell>
        </row>
        <row r="129">
          <cell r="A129" t="str">
            <v>GRMZM5G831224</v>
          </cell>
          <cell r="B129" t="e">
            <v>#N/A</v>
          </cell>
          <cell r="C129" t="str">
            <v>uncharacterized protein LOC100275796</v>
          </cell>
          <cell r="D129" t="str">
            <v>BT0</v>
          </cell>
          <cell r="E129" t="str">
            <v>BT24</v>
          </cell>
          <cell r="F129">
            <v>4.7435600000000004</v>
          </cell>
          <cell r="G129">
            <v>1.1833100000000001</v>
          </cell>
          <cell r="H129">
            <v>-2.0031400000000001</v>
          </cell>
        </row>
        <row r="130">
          <cell r="A130" t="str">
            <v>GRMZM2G390967</v>
          </cell>
          <cell r="B130" t="str">
            <v>GO:0003824</v>
          </cell>
          <cell r="C130" t="e">
            <v>#NAME?</v>
          </cell>
          <cell r="D130" t="str">
            <v>BT0</v>
          </cell>
          <cell r="E130" t="str">
            <v>BT24</v>
          </cell>
          <cell r="F130">
            <v>8.1850299999999994</v>
          </cell>
          <cell r="G130">
            <v>3.6345999999999998</v>
          </cell>
          <cell r="H130">
            <v>-1.17119</v>
          </cell>
        </row>
        <row r="131">
          <cell r="A131" t="str">
            <v>AC205413.4_FG001</v>
          </cell>
          <cell r="B131" t="str">
            <v>GO:0004601GO:0006979GO:0020037GO:0009055</v>
          </cell>
          <cell r="C131" t="e">
            <v>#N/A</v>
          </cell>
          <cell r="D131" t="str">
            <v>BT0</v>
          </cell>
          <cell r="E131" t="str">
            <v>BT24</v>
          </cell>
          <cell r="F131">
            <v>3.6998700000000002</v>
          </cell>
          <cell r="G131">
            <v>1.57677</v>
          </cell>
          <cell r="H131">
            <v>-1.2304999999999999</v>
          </cell>
        </row>
        <row r="132">
          <cell r="A132" t="str">
            <v>GRMZM2G072529</v>
          </cell>
          <cell r="B132" t="str">
            <v>GO:0005506GO:0016491</v>
          </cell>
          <cell r="C132" t="str">
            <v>acc oxidase</v>
          </cell>
          <cell r="D132" t="str">
            <v>BT0</v>
          </cell>
          <cell r="E132" t="str">
            <v>BT24</v>
          </cell>
          <cell r="F132">
            <v>20.874300000000002</v>
          </cell>
          <cell r="G132">
            <v>10.0047</v>
          </cell>
          <cell r="H132">
            <v>-1.06105</v>
          </cell>
        </row>
        <row r="133">
          <cell r="A133" t="str">
            <v>GRMZM2G140448</v>
          </cell>
          <cell r="B133" t="str">
            <v>GO:0004497GO:0020037GO:0009055</v>
          </cell>
          <cell r="C133" t="str">
            <v>c99a1_sorbi ame: full=cytochrome p450 cyp99a1</v>
          </cell>
          <cell r="D133" t="str">
            <v>BT0</v>
          </cell>
          <cell r="E133" t="str">
            <v>BT24</v>
          </cell>
          <cell r="F133">
            <v>1.44997</v>
          </cell>
          <cell r="G133">
            <v>0.35103600000000001</v>
          </cell>
          <cell r="H133">
            <v>-2.0463300000000002</v>
          </cell>
        </row>
        <row r="134">
          <cell r="A134" t="str">
            <v>GRMZM2G330635</v>
          </cell>
          <cell r="B134" t="e">
            <v>#N/A</v>
          </cell>
          <cell r="C134" t="str">
            <v>glutathione s-transferase expressed</v>
          </cell>
          <cell r="D134" t="str">
            <v>BT0</v>
          </cell>
          <cell r="E134" t="str">
            <v>BT24</v>
          </cell>
          <cell r="F134">
            <v>51.781100000000002</v>
          </cell>
          <cell r="G134">
            <v>23.5594</v>
          </cell>
          <cell r="H134">
            <v>-1.1361300000000001</v>
          </cell>
        </row>
        <row r="135">
          <cell r="A135" t="str">
            <v>GRMZM2G439668</v>
          </cell>
          <cell r="B135" t="e">
            <v>#N/A</v>
          </cell>
          <cell r="C135" t="str">
            <v>drought-induced protein 1</v>
          </cell>
          <cell r="D135" t="str">
            <v>BT0</v>
          </cell>
          <cell r="E135" t="str">
            <v>BT24</v>
          </cell>
          <cell r="F135">
            <v>7.3511199999999999</v>
          </cell>
          <cell r="G135">
            <v>29.153300000000002</v>
          </cell>
          <cell r="H135">
            <v>1.98763</v>
          </cell>
        </row>
        <row r="136">
          <cell r="A136" t="str">
            <v>GRMZM2G005633</v>
          </cell>
          <cell r="B136" t="str">
            <v>GO:0016491GO:0004568GO:0006032GO:0008061GO:0016998</v>
          </cell>
          <cell r="C136" t="str">
            <v>chitinase</v>
          </cell>
          <cell r="D136" t="str">
            <v>BT0</v>
          </cell>
          <cell r="E136" t="str">
            <v>BT24</v>
          </cell>
          <cell r="F136">
            <v>2.37799</v>
          </cell>
          <cell r="G136">
            <v>1.0119100000000001</v>
          </cell>
          <cell r="H136">
            <v>-1.2326600000000001</v>
          </cell>
        </row>
        <row r="137">
          <cell r="A137" t="str">
            <v>GRMZM2G070279</v>
          </cell>
          <cell r="B137" t="str">
            <v>GO:0009239GO:0005488GO:0004022GO:0008667</v>
          </cell>
          <cell r="C137" t="str">
            <v>(+)-neomenthol dehydrogenase-like</v>
          </cell>
          <cell r="D137" t="str">
            <v>BT0</v>
          </cell>
          <cell r="E137" t="str">
            <v>BT24</v>
          </cell>
          <cell r="F137">
            <v>5.5745300000000002</v>
          </cell>
          <cell r="G137">
            <v>2.5244599999999999</v>
          </cell>
          <cell r="H137">
            <v>-1.1428700000000001</v>
          </cell>
        </row>
        <row r="138">
          <cell r="A138" t="str">
            <v>GRMZM2G074759</v>
          </cell>
          <cell r="B138" t="str">
            <v>GO:0003824GO:0008152</v>
          </cell>
          <cell r="C138" t="str">
            <v>amp dependent</v>
          </cell>
          <cell r="D138" t="str">
            <v>BT0</v>
          </cell>
          <cell r="E138" t="str">
            <v>BT24</v>
          </cell>
          <cell r="F138">
            <v>14.027100000000001</v>
          </cell>
          <cell r="G138">
            <v>6.2629099999999998</v>
          </cell>
          <cell r="H138">
            <v>-1.1633100000000001</v>
          </cell>
        </row>
        <row r="139">
          <cell r="A139" t="str">
            <v>GRMZM2G449094</v>
          </cell>
          <cell r="B139" t="e">
            <v>#N/A</v>
          </cell>
          <cell r="C139" t="str">
            <v>protein</v>
          </cell>
          <cell r="D139" t="str">
            <v>BT0</v>
          </cell>
          <cell r="E139" t="str">
            <v>BT24</v>
          </cell>
          <cell r="F139">
            <v>1.66167</v>
          </cell>
          <cell r="G139">
            <v>0.58242700000000003</v>
          </cell>
          <cell r="H139">
            <v>-1.51248</v>
          </cell>
        </row>
        <row r="140">
          <cell r="A140" t="str">
            <v>GRMZM2G018716</v>
          </cell>
          <cell r="B140" t="str">
            <v>GO:0006508GO:0005975GO:0004252GO:0004553</v>
          </cell>
          <cell r="C140" t="str">
            <v>glycosy1 hydrolase</v>
          </cell>
          <cell r="D140" t="str">
            <v>BT0</v>
          </cell>
          <cell r="E140" t="str">
            <v>BT24</v>
          </cell>
          <cell r="F140">
            <v>13.1554</v>
          </cell>
          <cell r="G140">
            <v>5.1860499999999998</v>
          </cell>
          <cell r="H140">
            <v>-1.3429500000000001</v>
          </cell>
        </row>
        <row r="141">
          <cell r="A141" t="str">
            <v>GRMZM2G168985</v>
          </cell>
          <cell r="B141" t="str">
            <v>GO:0006468GO:0004674GO:0005529GO:0004713GO:0005524GO:0048544</v>
          </cell>
          <cell r="C141" t="str">
            <v>receptor-like serine threonine-protein kinase sd1-8-like</v>
          </cell>
          <cell r="D141" t="str">
            <v>BT0</v>
          </cell>
          <cell r="E141" t="str">
            <v>BT24</v>
          </cell>
          <cell r="F141">
            <v>1.0108299999999999</v>
          </cell>
          <cell r="G141">
            <v>0.495143</v>
          </cell>
          <cell r="H141">
            <v>-1.02963</v>
          </cell>
        </row>
        <row r="142">
          <cell r="A142" t="str">
            <v>GRMZM2G443445</v>
          </cell>
          <cell r="B142" t="str">
            <v>GO:0016616GO:0048037GO:0008270GO:0055114</v>
          </cell>
          <cell r="C142" t="str">
            <v>cinnamyl alcohol dehydrogenase</v>
          </cell>
          <cell r="D142" t="str">
            <v>BT0</v>
          </cell>
          <cell r="E142" t="str">
            <v>BT24</v>
          </cell>
          <cell r="F142">
            <v>2.8315299999999999</v>
          </cell>
          <cell r="G142">
            <v>1.0740099999999999</v>
          </cell>
          <cell r="H142">
            <v>-1.3985700000000001</v>
          </cell>
        </row>
        <row r="143">
          <cell r="A143" t="str">
            <v>GRMZM2G477063</v>
          </cell>
          <cell r="B143" t="e">
            <v>#N/A</v>
          </cell>
          <cell r="C143" t="str">
            <v>unknown</v>
          </cell>
          <cell r="D143" t="str">
            <v>BT0</v>
          </cell>
          <cell r="E143" t="str">
            <v>BT24</v>
          </cell>
          <cell r="F143">
            <v>1.48085</v>
          </cell>
          <cell r="G143">
            <v>0.52840100000000001</v>
          </cell>
          <cell r="H143">
            <v>-1.48672</v>
          </cell>
        </row>
        <row r="144">
          <cell r="A144" t="str">
            <v>GRMZM2G074743</v>
          </cell>
          <cell r="B144" t="str">
            <v>GO:0005740GO:0007585</v>
          </cell>
          <cell r="C144" t="str">
            <v>alternative oxidase</v>
          </cell>
          <cell r="D144" t="str">
            <v>BT0</v>
          </cell>
          <cell r="E144" t="str">
            <v>BT24</v>
          </cell>
          <cell r="F144">
            <v>3.6669900000000002</v>
          </cell>
          <cell r="G144">
            <v>0.14610200000000001</v>
          </cell>
          <cell r="H144">
            <v>-4.6495499999999996</v>
          </cell>
        </row>
        <row r="145">
          <cell r="A145" t="str">
            <v>GRMZM2G038722</v>
          </cell>
          <cell r="B145" t="str">
            <v>GO:0005737GO:0006796GO:0000287GO:0003677GO:0004427</v>
          </cell>
          <cell r="C145" t="str">
            <v>myb-related protein zm1</v>
          </cell>
          <cell r="D145" t="str">
            <v>BT0</v>
          </cell>
          <cell r="E145" t="str">
            <v>BT24</v>
          </cell>
          <cell r="F145">
            <v>1.2837000000000001</v>
          </cell>
          <cell r="G145">
            <v>0.247082</v>
          </cell>
          <cell r="H145">
            <v>-2.3772500000000001</v>
          </cell>
        </row>
        <row r="146">
          <cell r="A146" t="str">
            <v>GRMZM2G163067</v>
          </cell>
          <cell r="B146" t="e">
            <v>#N/A</v>
          </cell>
          <cell r="C146" t="str">
            <v>uncharacterized protein LOC100277698</v>
          </cell>
          <cell r="D146" t="str">
            <v>BT0</v>
          </cell>
          <cell r="E146" t="str">
            <v>BT24</v>
          </cell>
          <cell r="F146">
            <v>10.2959</v>
          </cell>
          <cell r="G146">
            <v>4.7564399999999996</v>
          </cell>
          <cell r="H146">
            <v>-1.11412</v>
          </cell>
        </row>
        <row r="147">
          <cell r="A147" t="str">
            <v>GRMZM2G050234</v>
          </cell>
          <cell r="B147" t="str">
            <v>GO:0005506GO:0016491</v>
          </cell>
          <cell r="C147" t="str">
            <v>protein</v>
          </cell>
          <cell r="D147" t="str">
            <v>BT0</v>
          </cell>
          <cell r="E147" t="str">
            <v>BT24</v>
          </cell>
          <cell r="F147">
            <v>1.2150399999999999</v>
          </cell>
          <cell r="G147">
            <v>2.9602900000000001</v>
          </cell>
          <cell r="H147">
            <v>1.28474</v>
          </cell>
        </row>
        <row r="148">
          <cell r="A148" t="str">
            <v>GRMZM2G050216</v>
          </cell>
          <cell r="B148" t="str">
            <v>GO:0008270GO:0005515</v>
          </cell>
          <cell r="C148" t="str">
            <v>zinc c3hc4 type family protein</v>
          </cell>
          <cell r="D148" t="str">
            <v>BT0</v>
          </cell>
          <cell r="E148" t="str">
            <v>BT24</v>
          </cell>
          <cell r="F148">
            <v>37.006500000000003</v>
          </cell>
          <cell r="G148">
            <v>96.716399999999993</v>
          </cell>
          <cell r="H148">
            <v>1.38598</v>
          </cell>
        </row>
        <row r="149">
          <cell r="A149" t="str">
            <v>GRMZM2G120016</v>
          </cell>
          <cell r="B149" t="str">
            <v>GO:0016758GO:0008152</v>
          </cell>
          <cell r="C149" t="str">
            <v>cis-zeatin o-glucosyltransferase</v>
          </cell>
          <cell r="D149" t="str">
            <v>BT0</v>
          </cell>
          <cell r="E149" t="str">
            <v>BT24</v>
          </cell>
          <cell r="F149">
            <v>4.3836199999999996</v>
          </cell>
          <cell r="G149">
            <v>0.364589</v>
          </cell>
          <cell r="H149">
            <v>-3.58778</v>
          </cell>
        </row>
        <row r="150">
          <cell r="A150" t="str">
            <v>GRMZM2G351330</v>
          </cell>
          <cell r="B150" t="str">
            <v>GO:0043565GO:0006265GO:0003700GO:0005634GO:0006355GO:0003690</v>
          </cell>
          <cell r="C150" t="str">
            <v>homeodomain leucine zipper protein</v>
          </cell>
          <cell r="D150" t="str">
            <v>BT0</v>
          </cell>
          <cell r="E150" t="str">
            <v>BT24</v>
          </cell>
          <cell r="F150">
            <v>4.70364</v>
          </cell>
          <cell r="G150">
            <v>2.2772700000000001</v>
          </cell>
          <cell r="H150">
            <v>-1.04647</v>
          </cell>
        </row>
        <row r="151">
          <cell r="A151" t="str">
            <v>GRMZM2G441347</v>
          </cell>
          <cell r="B151" t="str">
            <v>GO:0005737GO:0009058GO:0016841GO:0016211GO:0006559</v>
          </cell>
          <cell r="C151" t="str">
            <v>phenylalanine ammonia-lyase</v>
          </cell>
          <cell r="D151" t="str">
            <v>BT0</v>
          </cell>
          <cell r="E151" t="str">
            <v>BT24</v>
          </cell>
          <cell r="F151">
            <v>8.90001</v>
          </cell>
          <cell r="G151">
            <v>3.2874300000000001</v>
          </cell>
          <cell r="H151">
            <v>-1.4368399999999999</v>
          </cell>
        </row>
        <row r="152">
          <cell r="A152" t="str">
            <v>GRMZM2G111975</v>
          </cell>
          <cell r="B152" t="str">
            <v>GO:0007186GO:0004990GO:0030173GO:0006486GO:0008373</v>
          </cell>
          <cell r="C152" t="str">
            <v>sialyltransferase-like protein</v>
          </cell>
          <cell r="D152" t="str">
            <v>BT0</v>
          </cell>
          <cell r="E152" t="str">
            <v>BT24</v>
          </cell>
          <cell r="F152">
            <v>5.4852400000000001</v>
          </cell>
          <cell r="G152">
            <v>2.2300200000000001</v>
          </cell>
          <cell r="H152">
            <v>-1.2985</v>
          </cell>
        </row>
        <row r="153">
          <cell r="A153" t="str">
            <v>GRMZM2G112072</v>
          </cell>
          <cell r="B153" t="str">
            <v>GO:0007067</v>
          </cell>
          <cell r="C153" t="str">
            <v>mitotic spindle checkpoint protein mad2</v>
          </cell>
          <cell r="D153" t="str">
            <v>BT0</v>
          </cell>
          <cell r="E153" t="str">
            <v>BT24</v>
          </cell>
          <cell r="F153">
            <v>1.15181</v>
          </cell>
          <cell r="G153">
            <v>0.45606000000000002</v>
          </cell>
          <cell r="H153">
            <v>-1.3366100000000001</v>
          </cell>
        </row>
        <row r="154">
          <cell r="A154" t="str">
            <v>AC208221.3_FG002</v>
          </cell>
          <cell r="B154" t="str">
            <v>GO:0005576GO:0004867</v>
          </cell>
          <cell r="C154" t="e">
            <v>#N/A</v>
          </cell>
          <cell r="D154" t="str">
            <v>BT0</v>
          </cell>
          <cell r="E154" t="str">
            <v>BT24</v>
          </cell>
          <cell r="F154">
            <v>1.0129300000000001</v>
          </cell>
          <cell r="G154">
            <v>35.860199999999999</v>
          </cell>
          <cell r="H154">
            <v>5.1457800000000002</v>
          </cell>
        </row>
        <row r="155">
          <cell r="A155" t="str">
            <v>GRMZM2G119975</v>
          </cell>
          <cell r="B155" t="e">
            <v>#N/A</v>
          </cell>
          <cell r="C155" t="str">
            <v>heavy-metal-associated domain-containing protein</v>
          </cell>
          <cell r="D155" t="str">
            <v>BT0</v>
          </cell>
          <cell r="E155" t="str">
            <v>BT24</v>
          </cell>
          <cell r="F155">
            <v>59.415900000000001</v>
          </cell>
          <cell r="G155">
            <v>17.190799999999999</v>
          </cell>
          <cell r="H155">
            <v>-1.78921</v>
          </cell>
        </row>
        <row r="156">
          <cell r="A156" t="str">
            <v>GRMZM2G022699</v>
          </cell>
          <cell r="B156" t="e">
            <v>#N/A</v>
          </cell>
          <cell r="C156" t="str">
            <v>hypothetical protein SORBIDRAFT_06g019470</v>
          </cell>
          <cell r="D156" t="str">
            <v>BT0</v>
          </cell>
          <cell r="E156" t="str">
            <v>BT24</v>
          </cell>
          <cell r="F156">
            <v>0.56082100000000001</v>
          </cell>
          <cell r="G156">
            <v>1.55565</v>
          </cell>
          <cell r="H156">
            <v>1.4719</v>
          </cell>
        </row>
        <row r="157">
          <cell r="A157" t="str">
            <v>GRMZM2G071996</v>
          </cell>
          <cell r="B157" t="str">
            <v>GO:0031072GO:0006457GO:0051082</v>
          </cell>
          <cell r="C157" t="str">
            <v>hsp40 cysteine-rich domain-containing protein</v>
          </cell>
          <cell r="D157" t="str">
            <v>BT0</v>
          </cell>
          <cell r="E157" t="str">
            <v>BT24</v>
          </cell>
          <cell r="F157">
            <v>11.0479</v>
          </cell>
          <cell r="G157">
            <v>25.287500000000001</v>
          </cell>
          <cell r="H157">
            <v>1.1946600000000001</v>
          </cell>
        </row>
        <row r="158">
          <cell r="A158" t="str">
            <v>GRMZM2G028640</v>
          </cell>
          <cell r="B158" t="e">
            <v>#N/A</v>
          </cell>
          <cell r="C158" t="str">
            <v>enzyme of the cupin superfamily</v>
          </cell>
          <cell r="D158" t="str">
            <v>BT0</v>
          </cell>
          <cell r="E158" t="str">
            <v>BT24</v>
          </cell>
          <cell r="F158">
            <v>0.62646100000000005</v>
          </cell>
          <cell r="G158">
            <v>38.702599999999997</v>
          </cell>
          <cell r="H158">
            <v>5.9490600000000002</v>
          </cell>
        </row>
        <row r="159">
          <cell r="A159" t="str">
            <v>GRMZM2G093826</v>
          </cell>
          <cell r="B159" t="str">
            <v>GO:0005247GO:0006813GO:0006821GO:0016020GO:0015079</v>
          </cell>
          <cell r="C159" t="str">
            <v>high-affinity potassium transporter</v>
          </cell>
          <cell r="D159" t="str">
            <v>BT0</v>
          </cell>
          <cell r="E159" t="str">
            <v>BT24</v>
          </cell>
          <cell r="F159">
            <v>22.128599999999999</v>
          </cell>
          <cell r="G159">
            <v>8.66981</v>
          </cell>
          <cell r="H159">
            <v>-1.3518399999999999</v>
          </cell>
        </row>
        <row r="160">
          <cell r="A160" t="str">
            <v>AC177924.2_FG003</v>
          </cell>
          <cell r="B160" t="e">
            <v>#N/A</v>
          </cell>
          <cell r="C160" t="e">
            <v>#N/A</v>
          </cell>
          <cell r="D160" t="str">
            <v>BT0</v>
          </cell>
          <cell r="E160" t="str">
            <v>BT24</v>
          </cell>
          <cell r="F160">
            <v>127.738</v>
          </cell>
          <cell r="G160">
            <v>57.224800000000002</v>
          </cell>
          <cell r="H160">
            <v>-1.1584700000000001</v>
          </cell>
        </row>
        <row r="161">
          <cell r="A161" t="str">
            <v>GRMZM2G019085</v>
          </cell>
          <cell r="B161" t="e">
            <v>#N/A</v>
          </cell>
          <cell r="C161">
            <v>0</v>
          </cell>
          <cell r="D161" t="str">
            <v>BT0</v>
          </cell>
          <cell r="E161" t="str">
            <v>BT24</v>
          </cell>
          <cell r="F161">
            <v>0</v>
          </cell>
          <cell r="G161">
            <v>2.1271399999999998</v>
          </cell>
          <cell r="H161" t="str">
            <v>inf</v>
          </cell>
        </row>
        <row r="162">
          <cell r="A162" t="str">
            <v>GRMZM5G807110</v>
          </cell>
          <cell r="B162" t="e">
            <v>#N/A</v>
          </cell>
          <cell r="C162" t="str">
            <v>uncharacterized protein LOC100382421</v>
          </cell>
          <cell r="D162" t="str">
            <v>BT0</v>
          </cell>
          <cell r="E162" t="str">
            <v>BT24</v>
          </cell>
          <cell r="F162">
            <v>0</v>
          </cell>
          <cell r="G162">
            <v>1.44764</v>
          </cell>
          <cell r="H162" t="str">
            <v>inf</v>
          </cell>
        </row>
        <row r="163">
          <cell r="A163" t="str">
            <v>GRMZM2G178486</v>
          </cell>
          <cell r="B163" t="str">
            <v>GO:0008270GO:0005515</v>
          </cell>
          <cell r="C163" t="str">
            <v>protein</v>
          </cell>
          <cell r="D163" t="str">
            <v>BT0</v>
          </cell>
          <cell r="E163" t="str">
            <v>BT24</v>
          </cell>
          <cell r="F163">
            <v>3.7075300000000002</v>
          </cell>
          <cell r="G163">
            <v>0.80881400000000003</v>
          </cell>
          <cell r="H163">
            <v>-2.19658</v>
          </cell>
        </row>
        <row r="164">
          <cell r="A164" t="str">
            <v>GRMZM2G074083</v>
          </cell>
          <cell r="B164" t="e">
            <v>#N/A</v>
          </cell>
          <cell r="C164" t="str">
            <v>protein</v>
          </cell>
          <cell r="D164" t="str">
            <v>BT0</v>
          </cell>
          <cell r="E164" t="str">
            <v>BT24</v>
          </cell>
          <cell r="F164">
            <v>10.777100000000001</v>
          </cell>
          <cell r="G164">
            <v>22.2104</v>
          </cell>
          <cell r="H164">
            <v>1.0432600000000001</v>
          </cell>
        </row>
        <row r="165">
          <cell r="A165" t="str">
            <v>GRMZM2G108597</v>
          </cell>
          <cell r="B165" t="e">
            <v>#N/A</v>
          </cell>
          <cell r="C165" t="str">
            <v>amino acid transporter</v>
          </cell>
          <cell r="D165" t="str">
            <v>BT0</v>
          </cell>
          <cell r="E165" t="str">
            <v>BT24</v>
          </cell>
          <cell r="F165">
            <v>0.92411299999999996</v>
          </cell>
          <cell r="G165">
            <v>0.358377</v>
          </cell>
          <cell r="H165">
            <v>-1.36659</v>
          </cell>
        </row>
        <row r="166">
          <cell r="A166" t="str">
            <v>GRMZM2G088778</v>
          </cell>
          <cell r="B166" t="e">
            <v>#N/A</v>
          </cell>
          <cell r="C166" t="str">
            <v>ankyrin repeat family expressed</v>
          </cell>
          <cell r="D166" t="str">
            <v>BT0</v>
          </cell>
          <cell r="E166" t="str">
            <v>BT24</v>
          </cell>
          <cell r="F166">
            <v>1.0440799999999999</v>
          </cell>
          <cell r="G166">
            <v>0.11433</v>
          </cell>
          <cell r="H166">
            <v>-3.19096</v>
          </cell>
        </row>
        <row r="167">
          <cell r="A167" t="str">
            <v>GRMZM2G170452</v>
          </cell>
          <cell r="B167" t="e">
            <v>#N/A</v>
          </cell>
          <cell r="C167">
            <v>0</v>
          </cell>
          <cell r="D167" t="str">
            <v>BT0</v>
          </cell>
          <cell r="E167" t="str">
            <v>BT24</v>
          </cell>
          <cell r="F167">
            <v>7.2518099999999999</v>
          </cell>
          <cell r="G167">
            <v>14.7172</v>
          </cell>
          <cell r="H167">
            <v>1.0210900000000001</v>
          </cell>
        </row>
        <row r="168">
          <cell r="A168" t="str">
            <v>GRMZM2G115451</v>
          </cell>
          <cell r="B168" t="str">
            <v>GO:0005978GO:0004135</v>
          </cell>
          <cell r="C168" t="str">
            <v>neutral alkaline expressed</v>
          </cell>
          <cell r="D168" t="str">
            <v>BT0</v>
          </cell>
          <cell r="E168" t="str">
            <v>BT24</v>
          </cell>
          <cell r="F168">
            <v>5.4650999999999996</v>
          </cell>
          <cell r="G168">
            <v>1.4354</v>
          </cell>
          <cell r="H168">
            <v>-1.9288000000000001</v>
          </cell>
        </row>
        <row r="169">
          <cell r="A169" t="str">
            <v>GRMZM2G113033</v>
          </cell>
          <cell r="B169" t="str">
            <v>GO:0015977GO:0016984</v>
          </cell>
          <cell r="C169" t="str">
            <v>ribulose- -bisphosphate carboxylase oxygenase small subunit</v>
          </cell>
          <cell r="D169" t="str">
            <v>BT0</v>
          </cell>
          <cell r="E169" t="str">
            <v>BT24</v>
          </cell>
          <cell r="F169">
            <v>938.846</v>
          </cell>
          <cell r="G169">
            <v>1930.97</v>
          </cell>
          <cell r="H169">
            <v>1.04036</v>
          </cell>
        </row>
        <row r="170">
          <cell r="A170" t="str">
            <v>GRMZM2G044493</v>
          </cell>
          <cell r="B170" t="e">
            <v>#N/A</v>
          </cell>
          <cell r="C170" t="str">
            <v>unknown</v>
          </cell>
          <cell r="D170" t="str">
            <v>BT0</v>
          </cell>
          <cell r="E170" t="str">
            <v>BT24</v>
          </cell>
          <cell r="F170">
            <v>3.08724</v>
          </cell>
          <cell r="G170">
            <v>0.98291099999999998</v>
          </cell>
          <cell r="H170">
            <v>-1.6511800000000001</v>
          </cell>
        </row>
        <row r="171">
          <cell r="A171" t="str">
            <v>GRMZM2G703214</v>
          </cell>
          <cell r="B171" t="e">
            <v>#N/A</v>
          </cell>
          <cell r="C171" t="str">
            <v>uncharacterized protein LOC100383091</v>
          </cell>
          <cell r="D171" t="str">
            <v>BT0</v>
          </cell>
          <cell r="E171" t="str">
            <v>BT24</v>
          </cell>
          <cell r="F171">
            <v>1.7092400000000001</v>
          </cell>
          <cell r="G171">
            <v>0.75752799999999998</v>
          </cell>
          <cell r="H171">
            <v>-1.17398</v>
          </cell>
        </row>
        <row r="172">
          <cell r="A172" t="str">
            <v>GRMZM2G069602</v>
          </cell>
          <cell r="B172" t="e">
            <v>#N/A</v>
          </cell>
          <cell r="C172" t="str">
            <v>uncharacterized protein LOC100383091</v>
          </cell>
          <cell r="D172" t="str">
            <v>BT0</v>
          </cell>
          <cell r="E172" t="str">
            <v>BT24</v>
          </cell>
          <cell r="F172">
            <v>1.9463900000000001</v>
          </cell>
          <cell r="G172">
            <v>0.86354500000000001</v>
          </cell>
          <cell r="H172">
            <v>-1.1724600000000001</v>
          </cell>
        </row>
        <row r="173">
          <cell r="A173" t="str">
            <v>GRMZM2G044472</v>
          </cell>
          <cell r="B173" t="str">
            <v>GO:0004607GO:0006629</v>
          </cell>
          <cell r="C173" t="str">
            <v>acyltransferase ( kd)</v>
          </cell>
          <cell r="D173" t="str">
            <v>BT0</v>
          </cell>
          <cell r="E173" t="str">
            <v>BT24</v>
          </cell>
          <cell r="F173">
            <v>0.530559</v>
          </cell>
          <cell r="G173">
            <v>1.6916500000000001</v>
          </cell>
          <cell r="H173">
            <v>1.6728499999999999</v>
          </cell>
        </row>
        <row r="174">
          <cell r="A174" t="str">
            <v>GRMZM2G329047</v>
          </cell>
          <cell r="B174" t="str">
            <v>GO:0009522GO:0015979</v>
          </cell>
          <cell r="C174" t="str">
            <v>photosystem i reaction center subunit v</v>
          </cell>
          <cell r="D174" t="str">
            <v>BT0</v>
          </cell>
          <cell r="E174" t="str">
            <v>BT24</v>
          </cell>
          <cell r="F174">
            <v>1241.23</v>
          </cell>
          <cell r="G174">
            <v>2929.94</v>
          </cell>
          <cell r="H174">
            <v>1.2391000000000001</v>
          </cell>
        </row>
        <row r="175">
          <cell r="A175" t="str">
            <v>GRMZM2G340534</v>
          </cell>
          <cell r="B175" t="e">
            <v>#N/A</v>
          </cell>
          <cell r="C175" t="str">
            <v>thaumatin-like protein</v>
          </cell>
          <cell r="D175" t="str">
            <v>BT0</v>
          </cell>
          <cell r="E175" t="str">
            <v>BT24</v>
          </cell>
          <cell r="F175">
            <v>0.297433</v>
          </cell>
          <cell r="G175">
            <v>0.78163700000000003</v>
          </cell>
          <cell r="H175">
            <v>1.3939299999999999</v>
          </cell>
        </row>
        <row r="176">
          <cell r="A176" t="str">
            <v>GRMZM2G013781</v>
          </cell>
          <cell r="B176" t="str">
            <v>GO:0005488GO:0008152GO:0016491</v>
          </cell>
          <cell r="C176" t="str">
            <v>chloroplastic quinone-oxidoreductase</v>
          </cell>
          <cell r="D176" t="str">
            <v>BT0</v>
          </cell>
          <cell r="E176" t="str">
            <v>BT24</v>
          </cell>
          <cell r="F176">
            <v>1.4880599999999999</v>
          </cell>
          <cell r="G176">
            <v>0.20089399999999999</v>
          </cell>
          <cell r="H176">
            <v>-2.8889200000000002</v>
          </cell>
        </row>
        <row r="177">
          <cell r="A177" t="str">
            <v>GRMZM2G105250</v>
          </cell>
          <cell r="B177" t="str">
            <v>GO:0003676</v>
          </cell>
          <cell r="C177" t="str">
            <v>leaf development protein argonaute</v>
          </cell>
          <cell r="D177" t="str">
            <v>BT0</v>
          </cell>
          <cell r="E177" t="str">
            <v>BT24</v>
          </cell>
          <cell r="F177">
            <v>1.7501100000000001</v>
          </cell>
          <cell r="G177">
            <v>0.50839800000000002</v>
          </cell>
          <cell r="H177">
            <v>-1.78342</v>
          </cell>
        </row>
        <row r="178">
          <cell r="A178" t="str">
            <v>GRMZM2G175874</v>
          </cell>
          <cell r="B178" t="e">
            <v>#N/A</v>
          </cell>
          <cell r="C178" t="str">
            <v>receptor-like protein kinase 4</v>
          </cell>
          <cell r="D178" t="str">
            <v>BT0</v>
          </cell>
          <cell r="E178" t="str">
            <v>BT24</v>
          </cell>
          <cell r="F178">
            <v>3.5659999999999998</v>
          </cell>
          <cell r="G178">
            <v>1.34213</v>
          </cell>
          <cell r="H178">
            <v>-1.40978</v>
          </cell>
        </row>
        <row r="179">
          <cell r="A179" t="str">
            <v>GRMZM2G137864</v>
          </cell>
          <cell r="B179" t="str">
            <v>GO:0005840GO:0005634GO:0003677GO:0003735GO:0006355GO:0050825GO:0042309GO:0050826GO:0006412GO:0004879</v>
          </cell>
          <cell r="C179">
            <v>0</v>
          </cell>
          <cell r="D179" t="str">
            <v>BT0</v>
          </cell>
          <cell r="E179" t="str">
            <v>BT24</v>
          </cell>
          <cell r="F179">
            <v>331.98500000000001</v>
          </cell>
          <cell r="G179">
            <v>736.31</v>
          </cell>
          <cell r="H179">
            <v>1.1491899999999999</v>
          </cell>
        </row>
        <row r="180">
          <cell r="A180" t="str">
            <v>GRMZM2G113370</v>
          </cell>
          <cell r="B180" t="e">
            <v>#N/A</v>
          </cell>
          <cell r="C180" t="str">
            <v>uncharacterized protein LOC100194378</v>
          </cell>
          <cell r="D180" t="str">
            <v>BT0</v>
          </cell>
          <cell r="E180" t="str">
            <v>BT24</v>
          </cell>
          <cell r="F180">
            <v>0.83289199999999997</v>
          </cell>
          <cell r="G180">
            <v>0.33635599999999999</v>
          </cell>
          <cell r="H180">
            <v>-1.3081400000000001</v>
          </cell>
        </row>
        <row r="181">
          <cell r="A181" t="str">
            <v>GRMZM2G340048</v>
          </cell>
          <cell r="B181" t="e">
            <v>#N/A</v>
          </cell>
          <cell r="C181" t="str">
            <v>cysteine-rich receptor-like protein kinase 10-like</v>
          </cell>
          <cell r="D181" t="str">
            <v>BT0</v>
          </cell>
          <cell r="E181" t="str">
            <v>BT24</v>
          </cell>
          <cell r="F181">
            <v>1.40924</v>
          </cell>
          <cell r="G181">
            <v>0.58754099999999998</v>
          </cell>
          <cell r="H181">
            <v>-1.2621599999999999</v>
          </cell>
        </row>
        <row r="182">
          <cell r="A182" t="str">
            <v>GRMZM2G043154</v>
          </cell>
          <cell r="B182" t="str">
            <v>GO:0016747</v>
          </cell>
          <cell r="C182" t="str">
            <v>10-deacetylbaccatin iii 10-o-acetyltransferase</v>
          </cell>
          <cell r="D182" t="str">
            <v>BT0</v>
          </cell>
          <cell r="E182" t="str">
            <v>BT24</v>
          </cell>
          <cell r="F182">
            <v>2.9623499999999998</v>
          </cell>
          <cell r="G182">
            <v>1.3436600000000001</v>
          </cell>
          <cell r="H182">
            <v>-1.1405700000000001</v>
          </cell>
        </row>
        <row r="183">
          <cell r="A183" t="str">
            <v>GRMZM2G125004</v>
          </cell>
          <cell r="B183" t="str">
            <v>GO:0005507GO:0009055</v>
          </cell>
          <cell r="C183" t="str">
            <v>f-box only protein 13-like</v>
          </cell>
          <cell r="D183" t="str">
            <v>BT0</v>
          </cell>
          <cell r="E183" t="str">
            <v>BT24</v>
          </cell>
          <cell r="F183">
            <v>0.94985399999999998</v>
          </cell>
          <cell r="G183">
            <v>2.2563300000000002</v>
          </cell>
          <cell r="H183">
            <v>1.2482</v>
          </cell>
        </row>
        <row r="184">
          <cell r="A184" t="str">
            <v>GRMZM2G129209</v>
          </cell>
          <cell r="B184" t="str">
            <v>GO:0006629GO:0016491</v>
          </cell>
          <cell r="C184" t="str">
            <v>omega-3 fatty acid desaturase</v>
          </cell>
          <cell r="D184" t="str">
            <v>BT0</v>
          </cell>
          <cell r="E184" t="str">
            <v>BT24</v>
          </cell>
          <cell r="F184">
            <v>19.254300000000001</v>
          </cell>
          <cell r="G184">
            <v>43.332999999999998</v>
          </cell>
          <cell r="H184">
            <v>1.1702900000000001</v>
          </cell>
        </row>
        <row r="185">
          <cell r="A185" t="str">
            <v>GRMZM2G068220</v>
          </cell>
          <cell r="B185" t="str">
            <v>GO:0005215GO:0016020GO:0006810</v>
          </cell>
          <cell r="C185" t="str">
            <v>adenine guanine permease azg2-like</v>
          </cell>
          <cell r="D185" t="str">
            <v>BT0</v>
          </cell>
          <cell r="E185" t="str">
            <v>BT24</v>
          </cell>
          <cell r="F185">
            <v>1.77122</v>
          </cell>
          <cell r="G185">
            <v>0.86287100000000005</v>
          </cell>
          <cell r="H185">
            <v>-1.03752</v>
          </cell>
        </row>
        <row r="186">
          <cell r="A186" t="str">
            <v>GRMZM5G843434</v>
          </cell>
          <cell r="B186" t="e">
            <v>#N/A</v>
          </cell>
          <cell r="C186" t="str">
            <v>hypothetical protein</v>
          </cell>
          <cell r="D186" t="str">
            <v>BT0</v>
          </cell>
          <cell r="E186" t="str">
            <v>BT24</v>
          </cell>
          <cell r="F186">
            <v>9.1437299999999997</v>
          </cell>
          <cell r="G186">
            <v>19.3537</v>
          </cell>
          <cell r="H186">
            <v>1.08175</v>
          </cell>
        </row>
        <row r="187">
          <cell r="A187" t="str">
            <v>GRMZM2G180172</v>
          </cell>
          <cell r="B187" t="e">
            <v>#N/A</v>
          </cell>
          <cell r="C187" t="str">
            <v>chloroplast lumen common protein family-like protein</v>
          </cell>
          <cell r="D187" t="str">
            <v>BT0</v>
          </cell>
          <cell r="E187" t="str">
            <v>BT24</v>
          </cell>
          <cell r="F187">
            <v>10.0274</v>
          </cell>
          <cell r="G187">
            <v>4.9549000000000003</v>
          </cell>
          <cell r="H187">
            <v>-1.01701</v>
          </cell>
        </row>
        <row r="188">
          <cell r="A188" t="str">
            <v>GRMZM2G310548</v>
          </cell>
          <cell r="B188" t="e">
            <v>#N/A</v>
          </cell>
          <cell r="C188">
            <v>0</v>
          </cell>
          <cell r="D188" t="str">
            <v>BT0</v>
          </cell>
          <cell r="E188" t="str">
            <v>BT24</v>
          </cell>
          <cell r="F188">
            <v>1.4484900000000001</v>
          </cell>
          <cell r="G188">
            <v>3.6059800000000002</v>
          </cell>
          <cell r="H188">
            <v>1.3158399999999999</v>
          </cell>
        </row>
        <row r="189">
          <cell r="A189" t="str">
            <v>GRMZM2G444560</v>
          </cell>
          <cell r="B189" t="str">
            <v>GO:0017111GO:0005524</v>
          </cell>
          <cell r="C189" t="str">
            <v>aaa-type atpase-like</v>
          </cell>
          <cell r="D189" t="str">
            <v>BT0</v>
          </cell>
          <cell r="E189" t="str">
            <v>BT24</v>
          </cell>
          <cell r="F189">
            <v>13.1112</v>
          </cell>
          <cell r="G189">
            <v>3.8327800000000001</v>
          </cell>
          <cell r="H189">
            <v>-1.77433</v>
          </cell>
        </row>
        <row r="190">
          <cell r="A190" t="str">
            <v>GRMZM2G084958</v>
          </cell>
          <cell r="B190" t="str">
            <v>GO:0009239GO:0005488GO:0016630GO:0008667</v>
          </cell>
          <cell r="C190" t="str">
            <v>protochlorophyllide reductase a</v>
          </cell>
          <cell r="D190" t="str">
            <v>BT0</v>
          </cell>
          <cell r="E190" t="str">
            <v>BT24</v>
          </cell>
          <cell r="F190">
            <v>129.273</v>
          </cell>
          <cell r="G190">
            <v>266.649</v>
          </cell>
          <cell r="H190">
            <v>1.0445199999999999</v>
          </cell>
        </row>
        <row r="191">
          <cell r="A191" t="str">
            <v>GRMZM2G114861</v>
          </cell>
          <cell r="B191" t="str">
            <v>GO:0007018GO:0003777GO:0005524GO:0005875</v>
          </cell>
          <cell r="C191" t="str">
            <v>kinesin 5</v>
          </cell>
          <cell r="D191" t="str">
            <v>BT0</v>
          </cell>
          <cell r="E191" t="str">
            <v>BT24</v>
          </cell>
          <cell r="F191">
            <v>2.36652</v>
          </cell>
          <cell r="G191">
            <v>1.01128</v>
          </cell>
          <cell r="H191">
            <v>-1.22658</v>
          </cell>
        </row>
        <row r="192">
          <cell r="A192" t="str">
            <v>GRMZM2G042756</v>
          </cell>
          <cell r="B192" t="str">
            <v>GO:0003700GO:0006355</v>
          </cell>
          <cell r="C192" t="str">
            <v>cbf protein 1</v>
          </cell>
          <cell r="D192" t="str">
            <v>BT0</v>
          </cell>
          <cell r="E192" t="str">
            <v>BT24</v>
          </cell>
          <cell r="F192">
            <v>1.56128</v>
          </cell>
          <cell r="G192">
            <v>4.2362599999999997</v>
          </cell>
          <cell r="H192">
            <v>1.4400599999999999</v>
          </cell>
        </row>
        <row r="193">
          <cell r="A193" t="str">
            <v>GRMZM2G322819</v>
          </cell>
          <cell r="B193" t="str">
            <v>GO:0006508GO:0004252</v>
          </cell>
          <cell r="C193" t="str">
            <v>prolyl endopeptidase-like</v>
          </cell>
          <cell r="D193" t="str">
            <v>BT0</v>
          </cell>
          <cell r="E193" t="str">
            <v>BT24</v>
          </cell>
          <cell r="F193">
            <v>1.3244800000000001</v>
          </cell>
          <cell r="G193">
            <v>0.64828399999999997</v>
          </cell>
          <cell r="H193">
            <v>-1.0307299999999999</v>
          </cell>
        </row>
        <row r="194">
          <cell r="A194" t="str">
            <v>GRMZM2G108153</v>
          </cell>
          <cell r="B194" t="str">
            <v>GO:0004601GO:0006979GO:0020037GO:0009055</v>
          </cell>
          <cell r="C194" t="str">
            <v>protein</v>
          </cell>
          <cell r="D194" t="str">
            <v>BT0</v>
          </cell>
          <cell r="E194" t="str">
            <v>BT24</v>
          </cell>
          <cell r="F194">
            <v>0.26123499999999999</v>
          </cell>
          <cell r="G194">
            <v>1.6354200000000001</v>
          </cell>
          <cell r="H194">
            <v>2.6462400000000001</v>
          </cell>
        </row>
        <row r="195">
          <cell r="A195" t="str">
            <v>GRMZM2G138190</v>
          </cell>
          <cell r="B195" t="e">
            <v>#N/A</v>
          </cell>
          <cell r="C195" t="str">
            <v>non-yellowing protein 1</v>
          </cell>
          <cell r="D195" t="str">
            <v>BT0</v>
          </cell>
          <cell r="E195" t="str">
            <v>BT24</v>
          </cell>
          <cell r="F195">
            <v>5.6394900000000003</v>
          </cell>
          <cell r="G195">
            <v>13.122400000000001</v>
          </cell>
          <cell r="H195">
            <v>1.2183900000000001</v>
          </cell>
        </row>
        <row r="196">
          <cell r="A196" t="str">
            <v>GRMZM2G122618</v>
          </cell>
          <cell r="B196" t="str">
            <v>GO:0009405GO:0009289</v>
          </cell>
          <cell r="C196" t="str">
            <v>uncharacterized membrane protein at1g06890-like</v>
          </cell>
          <cell r="D196" t="str">
            <v>BT0</v>
          </cell>
          <cell r="E196" t="str">
            <v>BT24</v>
          </cell>
          <cell r="F196">
            <v>4.6942700000000004</v>
          </cell>
          <cell r="G196">
            <v>1.69181</v>
          </cell>
          <cell r="H196">
            <v>-1.4723299999999999</v>
          </cell>
        </row>
        <row r="197">
          <cell r="A197" t="str">
            <v>GRMZM2G147268</v>
          </cell>
          <cell r="B197" t="str">
            <v>GO:0016829GO:0009058GO:0006520GO:0016769GO:0030170</v>
          </cell>
          <cell r="C197" t="str">
            <v>l-allo-threonine aldolase</v>
          </cell>
          <cell r="D197" t="str">
            <v>BT0</v>
          </cell>
          <cell r="E197" t="str">
            <v>BT24</v>
          </cell>
          <cell r="F197">
            <v>0.91765699999999994</v>
          </cell>
          <cell r="G197">
            <v>2.9170199999999999</v>
          </cell>
          <cell r="H197">
            <v>1.6684699999999999</v>
          </cell>
        </row>
        <row r="198">
          <cell r="A198" t="str">
            <v>GRMZM2G051952</v>
          </cell>
          <cell r="B198" t="str">
            <v>GO:0006355GO:0005634GO:0004879GO:0003677</v>
          </cell>
          <cell r="C198" t="str">
            <v>at4g28740 f16a16_150</v>
          </cell>
          <cell r="D198" t="str">
            <v>BT0</v>
          </cell>
          <cell r="E198" t="str">
            <v>BT24</v>
          </cell>
          <cell r="F198">
            <v>1.83968</v>
          </cell>
          <cell r="G198">
            <v>4.1704499999999998</v>
          </cell>
          <cell r="H198">
            <v>1.18075</v>
          </cell>
        </row>
        <row r="199">
          <cell r="A199" t="str">
            <v>GRMZM2G032721</v>
          </cell>
          <cell r="B199" t="str">
            <v>GO:0003735GO:0009536GO:0006412GO:0005840</v>
          </cell>
          <cell r="C199" t="str">
            <v>plastid-specific 30s ribosomal protein 3</v>
          </cell>
          <cell r="D199" t="str">
            <v>BT0</v>
          </cell>
          <cell r="E199" t="str">
            <v>BT24</v>
          </cell>
          <cell r="F199">
            <v>2.6519499999999998</v>
          </cell>
          <cell r="G199">
            <v>14.186400000000001</v>
          </cell>
          <cell r="H199">
            <v>2.4193899999999999</v>
          </cell>
        </row>
        <row r="200">
          <cell r="A200" t="str">
            <v>GRMZM2G009125</v>
          </cell>
          <cell r="B200" t="str">
            <v>GO:0016758GO:0008152</v>
          </cell>
          <cell r="C200" t="str">
            <v>udp-glycosyltransferase 85a2-like</v>
          </cell>
          <cell r="D200" t="str">
            <v>BT0</v>
          </cell>
          <cell r="E200" t="str">
            <v>BT24</v>
          </cell>
          <cell r="F200">
            <v>5.4743500000000003</v>
          </cell>
          <cell r="G200">
            <v>1.6683600000000001</v>
          </cell>
          <cell r="H200">
            <v>-1.7142599999999999</v>
          </cell>
        </row>
        <row r="201">
          <cell r="A201" t="str">
            <v>GRMZM2G126062</v>
          </cell>
          <cell r="B201" t="str">
            <v>GO:0055114GO:0016491</v>
          </cell>
          <cell r="C201" t="str">
            <v>aldose reductase</v>
          </cell>
          <cell r="D201" t="str">
            <v>BT0</v>
          </cell>
          <cell r="E201" t="str">
            <v>BT24</v>
          </cell>
          <cell r="F201">
            <v>9.8988399999999999</v>
          </cell>
          <cell r="G201">
            <v>3.2591000000000001</v>
          </cell>
          <cell r="H201">
            <v>-1.6027800000000001</v>
          </cell>
        </row>
        <row r="202">
          <cell r="A202" t="str">
            <v>GRMZM2G157869</v>
          </cell>
          <cell r="B202" t="e">
            <v>#N/A</v>
          </cell>
          <cell r="C202" t="str">
            <v>hypersensitive-induced response protein</v>
          </cell>
          <cell r="D202" t="str">
            <v>BT0</v>
          </cell>
          <cell r="E202" t="str">
            <v>BT24</v>
          </cell>
          <cell r="F202">
            <v>0</v>
          </cell>
          <cell r="G202">
            <v>1.1641600000000001</v>
          </cell>
          <cell r="H202" t="str">
            <v>inf</v>
          </cell>
        </row>
        <row r="203">
          <cell r="A203" t="str">
            <v>GRMZM2G437912</v>
          </cell>
          <cell r="B203" t="str">
            <v>GO:0004664GO:0009094</v>
          </cell>
          <cell r="C203" t="str">
            <v>arogenate dehydratase prephenate dehydratase chloroplastic-like</v>
          </cell>
          <cell r="D203" t="str">
            <v>BT0</v>
          </cell>
          <cell r="E203" t="str">
            <v>BT24</v>
          </cell>
          <cell r="F203">
            <v>12.7761</v>
          </cell>
          <cell r="G203">
            <v>5.4034899999999997</v>
          </cell>
          <cell r="H203">
            <v>-1.24149</v>
          </cell>
        </row>
        <row r="204">
          <cell r="A204" t="str">
            <v>GRMZM2G032430</v>
          </cell>
          <cell r="B204" t="str">
            <v>GO:0030001GO:0016021GO:0046872GO:0007186</v>
          </cell>
          <cell r="C204" t="str">
            <v>pi21 protein</v>
          </cell>
          <cell r="D204" t="str">
            <v>BT0</v>
          </cell>
          <cell r="E204" t="str">
            <v>BT24</v>
          </cell>
          <cell r="F204">
            <v>51.436199999999999</v>
          </cell>
          <cell r="G204">
            <v>116.819</v>
          </cell>
          <cell r="H204">
            <v>1.18343</v>
          </cell>
        </row>
        <row r="205">
          <cell r="A205" t="str">
            <v>GRMZM2G479546</v>
          </cell>
          <cell r="B205" t="e">
            <v>#N/A</v>
          </cell>
          <cell r="C205" t="str">
            <v>nodulin-like protein</v>
          </cell>
          <cell r="D205" t="str">
            <v>BT0</v>
          </cell>
          <cell r="E205" t="str">
            <v>BT24</v>
          </cell>
          <cell r="F205">
            <v>1.6221699999999999</v>
          </cell>
          <cell r="G205">
            <v>3.6160999999999999</v>
          </cell>
          <cell r="H205">
            <v>1.1565099999999999</v>
          </cell>
        </row>
        <row r="206">
          <cell r="A206" t="str">
            <v>GRMZM2G097802</v>
          </cell>
          <cell r="B206" t="str">
            <v>GO:0005737GO:0004812GO:0005524GO:0006418</v>
          </cell>
          <cell r="C206" t="str">
            <v>amino acid permease</v>
          </cell>
          <cell r="D206" t="str">
            <v>BT0</v>
          </cell>
          <cell r="E206" t="str">
            <v>BT24</v>
          </cell>
          <cell r="F206">
            <v>0.83150299999999999</v>
          </cell>
          <cell r="G206">
            <v>1.91486</v>
          </cell>
          <cell r="H206">
            <v>1.2034499999999999</v>
          </cell>
        </row>
        <row r="207">
          <cell r="A207" t="str">
            <v>GRMZM2G334336</v>
          </cell>
          <cell r="B207" t="str">
            <v>GO:0016758GO:0008152</v>
          </cell>
          <cell r="C207" t="str">
            <v>indole-3-acetate beta-glucosyltransferase</v>
          </cell>
          <cell r="D207" t="str">
            <v>BT0</v>
          </cell>
          <cell r="E207" t="str">
            <v>BT24</v>
          </cell>
          <cell r="F207">
            <v>2.0933999999999999</v>
          </cell>
          <cell r="G207">
            <v>0.17274900000000001</v>
          </cell>
          <cell r="H207">
            <v>-3.5991</v>
          </cell>
        </row>
        <row r="208">
          <cell r="A208" t="str">
            <v>GRMZM2G131912</v>
          </cell>
          <cell r="B208" t="e">
            <v>#N/A</v>
          </cell>
          <cell r="C208" t="str">
            <v>probable pectate lyase 15-like</v>
          </cell>
          <cell r="D208" t="str">
            <v>BT0</v>
          </cell>
          <cell r="E208" t="str">
            <v>BT24</v>
          </cell>
          <cell r="F208">
            <v>2.8148300000000002</v>
          </cell>
          <cell r="G208">
            <v>5.67835</v>
          </cell>
          <cell r="H208">
            <v>1.0124200000000001</v>
          </cell>
        </row>
        <row r="209">
          <cell r="A209" t="str">
            <v>GRMZM2G071744</v>
          </cell>
          <cell r="B209" t="e">
            <v>#N/A</v>
          </cell>
          <cell r="C209" t="str">
            <v>uncharacterized protein LOC100192613</v>
          </cell>
          <cell r="D209" t="str">
            <v>BT0</v>
          </cell>
          <cell r="E209" t="str">
            <v>BT24</v>
          </cell>
          <cell r="F209">
            <v>1.50282</v>
          </cell>
          <cell r="G209">
            <v>0.70940300000000001</v>
          </cell>
          <cell r="H209">
            <v>-1.083</v>
          </cell>
        </row>
        <row r="210">
          <cell r="A210" t="str">
            <v>GRMZM2G041493</v>
          </cell>
          <cell r="B210" t="str">
            <v>GO:0004969GO:0016021GO:0007186</v>
          </cell>
          <cell r="C210">
            <v>0</v>
          </cell>
          <cell r="D210" t="str">
            <v>BT0</v>
          </cell>
          <cell r="E210" t="str">
            <v>BT24</v>
          </cell>
          <cell r="F210">
            <v>8.3036999999999992</v>
          </cell>
          <cell r="G210">
            <v>2.7781500000000001</v>
          </cell>
          <cell r="H210">
            <v>-1.5796300000000001</v>
          </cell>
        </row>
        <row r="211">
          <cell r="A211" t="str">
            <v>GRMZM2G143403</v>
          </cell>
          <cell r="B211" t="str">
            <v>GO:0008270GO:0003676</v>
          </cell>
          <cell r="C211" t="str">
            <v>protein</v>
          </cell>
          <cell r="D211" t="str">
            <v>BT0</v>
          </cell>
          <cell r="E211" t="str">
            <v>BT24</v>
          </cell>
          <cell r="F211">
            <v>0.44957799999999998</v>
          </cell>
          <cell r="G211">
            <v>4.5030999999999999</v>
          </cell>
          <cell r="H211">
            <v>3.3242799999999999</v>
          </cell>
        </row>
        <row r="212">
          <cell r="A212" t="str">
            <v>GRMZM5G863076</v>
          </cell>
          <cell r="B212" t="e">
            <v>#N/A</v>
          </cell>
          <cell r="C212" t="str">
            <v>integral membrane family protein</v>
          </cell>
          <cell r="D212" t="str">
            <v>BT0</v>
          </cell>
          <cell r="E212" t="str">
            <v>BT24</v>
          </cell>
          <cell r="F212">
            <v>47.194699999999997</v>
          </cell>
          <cell r="G212">
            <v>15.59</v>
          </cell>
          <cell r="H212">
            <v>-1.5980099999999999</v>
          </cell>
        </row>
        <row r="213">
          <cell r="A213" t="str">
            <v>GRMZM2G333095</v>
          </cell>
          <cell r="B213" t="e">
            <v>#N/A</v>
          </cell>
          <cell r="C213" t="str">
            <v>uncharacterized protein LOC100277591</v>
          </cell>
          <cell r="D213" t="str">
            <v>BT0</v>
          </cell>
          <cell r="E213" t="str">
            <v>BT24</v>
          </cell>
          <cell r="F213">
            <v>10.125400000000001</v>
          </cell>
          <cell r="G213">
            <v>3.0287500000000001</v>
          </cell>
          <cell r="H213">
            <v>-1.7411799999999999</v>
          </cell>
        </row>
        <row r="214">
          <cell r="A214" t="str">
            <v>GRMZM2G055883</v>
          </cell>
          <cell r="B214" t="str">
            <v>GO:0003924GO:0005525</v>
          </cell>
          <cell r="C214" t="str">
            <v>dynamin-related protein 1e</v>
          </cell>
          <cell r="D214" t="str">
            <v>BT0</v>
          </cell>
          <cell r="E214" t="str">
            <v>BT24</v>
          </cell>
          <cell r="F214">
            <v>10.9133</v>
          </cell>
          <cell r="G214">
            <v>5.0213900000000002</v>
          </cell>
          <cell r="H214">
            <v>-1.1199300000000001</v>
          </cell>
        </row>
        <row r="215">
          <cell r="A215" t="str">
            <v>AC210204.3_FG002</v>
          </cell>
          <cell r="B215" t="str">
            <v>GO:0051260GO:0016021GO:0007186</v>
          </cell>
          <cell r="C215" t="e">
            <v>#N/A</v>
          </cell>
          <cell r="D215" t="str">
            <v>BT0</v>
          </cell>
          <cell r="E215" t="str">
            <v>BT24</v>
          </cell>
          <cell r="F215">
            <v>47.763199999999998</v>
          </cell>
          <cell r="G215">
            <v>21.142299999999999</v>
          </cell>
          <cell r="H215">
            <v>-1.17577</v>
          </cell>
        </row>
        <row r="216">
          <cell r="A216" t="str">
            <v>GRMZM2G474459</v>
          </cell>
          <cell r="B216" t="e">
            <v>#N/A</v>
          </cell>
          <cell r="C216" t="str">
            <v>chloroplast orf137</v>
          </cell>
          <cell r="D216" t="str">
            <v>BT0</v>
          </cell>
          <cell r="E216" t="str">
            <v>BT24</v>
          </cell>
          <cell r="F216">
            <v>1.3466400000000001</v>
          </cell>
          <cell r="G216">
            <v>3.2138499999999999</v>
          </cell>
          <cell r="H216">
            <v>1.2549399999999999</v>
          </cell>
        </row>
        <row r="217">
          <cell r="A217" t="str">
            <v>GRMZM2G082487</v>
          </cell>
          <cell r="B217" t="str">
            <v>GO:0006470GO:0008287GO:0004722</v>
          </cell>
          <cell r="C217" t="str">
            <v>protein phosphatase 2c</v>
          </cell>
          <cell r="D217" t="str">
            <v>BT0</v>
          </cell>
          <cell r="E217" t="str">
            <v>BT24</v>
          </cell>
          <cell r="F217">
            <v>16.6492</v>
          </cell>
          <cell r="G217">
            <v>7.3623700000000003</v>
          </cell>
          <cell r="H217">
            <v>-1.1772100000000001</v>
          </cell>
        </row>
        <row r="218">
          <cell r="A218" t="str">
            <v>GRMZM2G034848</v>
          </cell>
          <cell r="B218" t="str">
            <v>GO:0000015GO:0004634GO:0006096</v>
          </cell>
          <cell r="C218" t="str">
            <v>enolase chloroplastic-like</v>
          </cell>
          <cell r="D218" t="str">
            <v>BT0</v>
          </cell>
          <cell r="E218" t="str">
            <v>BT24</v>
          </cell>
          <cell r="F218">
            <v>0.59132899999999999</v>
          </cell>
          <cell r="G218">
            <v>1.97414</v>
          </cell>
          <cell r="H218">
            <v>1.73919</v>
          </cell>
        </row>
        <row r="219">
          <cell r="A219" t="str">
            <v>GRMZM2G110412</v>
          </cell>
          <cell r="B219" t="str">
            <v>GO:0004674GO:0006468GO:0004713GO:0005524</v>
          </cell>
          <cell r="C219" t="str">
            <v>serine threonine-protein kinase pbs1-like</v>
          </cell>
          <cell r="D219" t="str">
            <v>BT0</v>
          </cell>
          <cell r="E219" t="str">
            <v>BT24</v>
          </cell>
          <cell r="F219">
            <v>1.9012500000000001</v>
          </cell>
          <cell r="G219">
            <v>0.848495</v>
          </cell>
          <cell r="H219">
            <v>-1.1639699999999999</v>
          </cell>
        </row>
        <row r="220">
          <cell r="A220" t="str">
            <v>GRMZM2G125775</v>
          </cell>
          <cell r="B220" t="str">
            <v>GO:0008270</v>
          </cell>
          <cell r="C220" t="str">
            <v>zinc finger an1 domain-containing stress-associated protein 12</v>
          </cell>
          <cell r="D220" t="str">
            <v>BT0</v>
          </cell>
          <cell r="E220" t="str">
            <v>BT24</v>
          </cell>
          <cell r="F220">
            <v>22.19</v>
          </cell>
          <cell r="G220">
            <v>7.6844099999999997</v>
          </cell>
          <cell r="H220">
            <v>-1.5299</v>
          </cell>
        </row>
        <row r="221">
          <cell r="A221" t="str">
            <v>GRMZM2G100372</v>
          </cell>
          <cell r="B221" t="e">
            <v>#N/A</v>
          </cell>
          <cell r="C221" t="str">
            <v>uncharacterized protein LOC100191911</v>
          </cell>
          <cell r="D221" t="str">
            <v>BT0</v>
          </cell>
          <cell r="E221" t="str">
            <v>BT24</v>
          </cell>
          <cell r="F221">
            <v>1.8704099999999999</v>
          </cell>
          <cell r="G221">
            <v>0.84445999999999999</v>
          </cell>
          <cell r="H221">
            <v>-1.1472599999999999</v>
          </cell>
        </row>
        <row r="222">
          <cell r="A222" t="str">
            <v>GRMZM2G081529</v>
          </cell>
          <cell r="B222" t="str">
            <v>GO:0016021GO:0005840GO:0005634GO:0003677GO:0005199GO:0003735GO:0006355GO:0050825GO:0042309GO:0050826GO:0007186GO:0006412GO:0004879</v>
          </cell>
          <cell r="C222">
            <v>0</v>
          </cell>
          <cell r="D222" t="str">
            <v>BT0</v>
          </cell>
          <cell r="E222" t="str">
            <v>BT24</v>
          </cell>
          <cell r="F222">
            <v>74.275999999999996</v>
          </cell>
          <cell r="G222">
            <v>178.358</v>
          </cell>
          <cell r="H222">
            <v>1.2638100000000001</v>
          </cell>
        </row>
        <row r="223">
          <cell r="A223" t="str">
            <v>GRMZM2G083504</v>
          </cell>
          <cell r="B223" t="str">
            <v>GO:0005634GO:0045449GO:0030528</v>
          </cell>
          <cell r="C223" t="str">
            <v>bhlh transcription factor</v>
          </cell>
          <cell r="D223" t="str">
            <v>BT0</v>
          </cell>
          <cell r="E223" t="str">
            <v>BT24</v>
          </cell>
          <cell r="F223">
            <v>2.51153</v>
          </cell>
          <cell r="G223">
            <v>6.02583</v>
          </cell>
          <cell r="H223">
            <v>1.2625900000000001</v>
          </cell>
        </row>
        <row r="224">
          <cell r="A224" t="str">
            <v>AC233910.1_FG003</v>
          </cell>
          <cell r="B224" t="str">
            <v>GO:0003735GO:0006412GO:0006464GO:0005840</v>
          </cell>
          <cell r="C224" t="e">
            <v>#N/A</v>
          </cell>
          <cell r="D224" t="str">
            <v>BT0</v>
          </cell>
          <cell r="E224" t="str">
            <v>BT24</v>
          </cell>
          <cell r="F224">
            <v>0.77188000000000001</v>
          </cell>
          <cell r="G224">
            <v>0</v>
          </cell>
          <cell r="H224" t="e">
            <v>#NAME?</v>
          </cell>
        </row>
        <row r="225">
          <cell r="A225" t="str">
            <v>GRMZM5G834303</v>
          </cell>
          <cell r="B225" t="e">
            <v>#N/A</v>
          </cell>
          <cell r="C225" t="str">
            <v>cytokinin-o-glucosyltransferase 2</v>
          </cell>
          <cell r="D225" t="str">
            <v>BT0</v>
          </cell>
          <cell r="E225" t="str">
            <v>BT24</v>
          </cell>
          <cell r="F225">
            <v>21.107800000000001</v>
          </cell>
          <cell r="G225">
            <v>5.2730199999999998</v>
          </cell>
          <cell r="H225">
            <v>-2.0010699999999999</v>
          </cell>
        </row>
        <row r="226">
          <cell r="A226" t="str">
            <v>GRMZM2G125850</v>
          </cell>
          <cell r="B226" t="str">
            <v>GO:0005215GO:0016021GO:0006810GO:0050825GO:0042309GO:0050826</v>
          </cell>
          <cell r="C226" t="str">
            <v>glucose-6-phosphate translocator</v>
          </cell>
          <cell r="D226" t="str">
            <v>BT0</v>
          </cell>
          <cell r="E226" t="str">
            <v>BT24</v>
          </cell>
          <cell r="F226">
            <v>11.401300000000001</v>
          </cell>
          <cell r="G226">
            <v>2.5701100000000001</v>
          </cell>
          <cell r="H226">
            <v>-2.1493000000000002</v>
          </cell>
        </row>
        <row r="227">
          <cell r="A227" t="str">
            <v>GRMZM2G140231</v>
          </cell>
          <cell r="B227" t="str">
            <v>GO:0004674GO:0006468GO:0004713GO:0005524</v>
          </cell>
          <cell r="C227" t="str">
            <v>protein</v>
          </cell>
          <cell r="D227" t="str">
            <v>BT0</v>
          </cell>
          <cell r="E227" t="str">
            <v>BT24</v>
          </cell>
          <cell r="F227">
            <v>4.0916899999999998</v>
          </cell>
          <cell r="G227">
            <v>1.2051000000000001</v>
          </cell>
          <cell r="H227">
            <v>-1.7635400000000001</v>
          </cell>
        </row>
        <row r="228">
          <cell r="A228" t="str">
            <v>GRMZM2G365160</v>
          </cell>
          <cell r="B228" t="str">
            <v>GO:0003849GO:0009073</v>
          </cell>
          <cell r="C228" t="str">
            <v>3-deoxy-d-arabino heptulosonate-7-phosphate synthase</v>
          </cell>
          <cell r="D228" t="str">
            <v>BT0</v>
          </cell>
          <cell r="E228" t="str">
            <v>BT24</v>
          </cell>
          <cell r="F228">
            <v>42.749299999999998</v>
          </cell>
          <cell r="G228">
            <v>10.098000000000001</v>
          </cell>
          <cell r="H228">
            <v>-2.0818400000000001</v>
          </cell>
        </row>
        <row r="229">
          <cell r="A229" t="str">
            <v>GRMZM2G322618</v>
          </cell>
          <cell r="B229" t="str">
            <v>GO:0004965GO:0016021GO:0007186</v>
          </cell>
          <cell r="C229" t="str">
            <v>glycoprotein membrane precursor gpi-anchored protein</v>
          </cell>
          <cell r="D229" t="str">
            <v>BT0</v>
          </cell>
          <cell r="E229" t="str">
            <v>BT24</v>
          </cell>
          <cell r="F229">
            <v>13.690300000000001</v>
          </cell>
          <cell r="G229">
            <v>6.7259700000000002</v>
          </cell>
          <cell r="H229">
            <v>-1.0253399999999999</v>
          </cell>
        </row>
        <row r="230">
          <cell r="A230" t="str">
            <v>GRMZM2G163826</v>
          </cell>
          <cell r="B230" t="str">
            <v>GO:0016308GO:0046488GO:0005524</v>
          </cell>
          <cell r="C230" t="str">
            <v>protein</v>
          </cell>
          <cell r="D230" t="str">
            <v>BT0</v>
          </cell>
          <cell r="E230" t="str">
            <v>BT24</v>
          </cell>
          <cell r="F230">
            <v>0.66781500000000005</v>
          </cell>
          <cell r="G230">
            <v>1.5792900000000001</v>
          </cell>
          <cell r="H230">
            <v>1.2417499999999999</v>
          </cell>
        </row>
        <row r="231">
          <cell r="A231" t="str">
            <v>GRMZM2G056329</v>
          </cell>
          <cell r="B231" t="str">
            <v>GO:0005524</v>
          </cell>
          <cell r="C231" t="str">
            <v>csplb_sorbi ame: full=casp-like protein sb05g019440</v>
          </cell>
          <cell r="D231" t="str">
            <v>BT0</v>
          </cell>
          <cell r="E231" t="str">
            <v>BT24</v>
          </cell>
          <cell r="F231">
            <v>62.427500000000002</v>
          </cell>
          <cell r="G231">
            <v>26.400700000000001</v>
          </cell>
          <cell r="H231">
            <v>-1.2416</v>
          </cell>
        </row>
        <row r="232">
          <cell r="A232" t="str">
            <v>GRMZM2G160515</v>
          </cell>
          <cell r="B232" t="e">
            <v>#N/A</v>
          </cell>
          <cell r="C232">
            <v>0</v>
          </cell>
          <cell r="D232" t="str">
            <v>BT0</v>
          </cell>
          <cell r="E232" t="str">
            <v>BT24</v>
          </cell>
          <cell r="F232">
            <v>6.1408100000000001</v>
          </cell>
          <cell r="G232">
            <v>1.7945500000000001</v>
          </cell>
          <cell r="H232">
            <v>-1.77481</v>
          </cell>
        </row>
        <row r="233">
          <cell r="A233" t="str">
            <v>GRMZM2G372058</v>
          </cell>
          <cell r="B233" t="str">
            <v>GO:0005515</v>
          </cell>
          <cell r="C233" t="str">
            <v>leucine rich repeat family expressed</v>
          </cell>
          <cell r="D233" t="str">
            <v>BT0</v>
          </cell>
          <cell r="E233" t="str">
            <v>BT24</v>
          </cell>
          <cell r="F233">
            <v>11.880800000000001</v>
          </cell>
          <cell r="G233">
            <v>5.6228699999999998</v>
          </cell>
          <cell r="H233">
            <v>-1.07925</v>
          </cell>
        </row>
        <row r="234">
          <cell r="A234" t="str">
            <v>GRMZM2G099678</v>
          </cell>
          <cell r="B234" t="e">
            <v>#N/A</v>
          </cell>
          <cell r="C234" t="str">
            <v>bark storage protein a-like</v>
          </cell>
          <cell r="D234" t="str">
            <v>BT0</v>
          </cell>
          <cell r="E234" t="str">
            <v>BT24</v>
          </cell>
          <cell r="F234">
            <v>0.63845200000000002</v>
          </cell>
          <cell r="G234">
            <v>1.57091</v>
          </cell>
          <cell r="H234">
            <v>1.29895</v>
          </cell>
        </row>
        <row r="235">
          <cell r="A235" t="str">
            <v>GRMZM2G386590</v>
          </cell>
          <cell r="B235" t="e">
            <v>#N/A</v>
          </cell>
          <cell r="C235" t="str">
            <v>14-3-3-like protein a</v>
          </cell>
          <cell r="D235" t="str">
            <v>BT0</v>
          </cell>
          <cell r="E235" t="str">
            <v>BT24</v>
          </cell>
          <cell r="F235">
            <v>4.7269399999999999</v>
          </cell>
          <cell r="G235">
            <v>2.0876399999999999</v>
          </cell>
          <cell r="H235">
            <v>-1.17903</v>
          </cell>
        </row>
        <row r="236">
          <cell r="A236" t="str">
            <v>AC233853.1_FG003</v>
          </cell>
          <cell r="B236" t="str">
            <v>GO:0004497GO:0020037GO:0009055</v>
          </cell>
          <cell r="C236" t="e">
            <v>#N/A</v>
          </cell>
          <cell r="D236" t="str">
            <v>BT0</v>
          </cell>
          <cell r="E236" t="str">
            <v>BT24</v>
          </cell>
          <cell r="F236">
            <v>1.7482500000000001</v>
          </cell>
          <cell r="G236">
            <v>0.79729099999999997</v>
          </cell>
          <cell r="H236">
            <v>-1.13273</v>
          </cell>
        </row>
        <row r="237">
          <cell r="A237" t="str">
            <v>GRMZM2G413857</v>
          </cell>
          <cell r="B237" t="str">
            <v>GO:0008152GO:0016491</v>
          </cell>
          <cell r="C237" t="str">
            <v>pollen-specific protein sf21-like</v>
          </cell>
          <cell r="D237" t="str">
            <v>BT0</v>
          </cell>
          <cell r="E237" t="str">
            <v>BT24</v>
          </cell>
          <cell r="F237">
            <v>0.479522</v>
          </cell>
          <cell r="G237">
            <v>1.9263999999999999</v>
          </cell>
          <cell r="H237">
            <v>2.00624</v>
          </cell>
        </row>
        <row r="238">
          <cell r="A238" t="str">
            <v>GRMZM2G380319</v>
          </cell>
          <cell r="B238" t="e">
            <v>#N/A</v>
          </cell>
          <cell r="C238" t="str">
            <v>uncharacterized protein LOC100278356</v>
          </cell>
          <cell r="D238" t="str">
            <v>BT0</v>
          </cell>
          <cell r="E238" t="str">
            <v>BT24</v>
          </cell>
          <cell r="F238">
            <v>26.980599999999999</v>
          </cell>
          <cell r="G238">
            <v>10.828200000000001</v>
          </cell>
          <cell r="H238">
            <v>-1.3171299999999999</v>
          </cell>
        </row>
        <row r="239">
          <cell r="A239" t="str">
            <v>GRMZM2G305900</v>
          </cell>
          <cell r="B239" t="str">
            <v>GO:0016747</v>
          </cell>
          <cell r="C239" t="str">
            <v>3 -n-debenzoyl-2 -deoxytaxol n-benzoyltransferase-like</v>
          </cell>
          <cell r="D239" t="str">
            <v>BT0</v>
          </cell>
          <cell r="E239" t="str">
            <v>BT24</v>
          </cell>
          <cell r="F239">
            <v>2.2351700000000001</v>
          </cell>
          <cell r="G239">
            <v>0.643876</v>
          </cell>
          <cell r="H239">
            <v>-1.7955300000000001</v>
          </cell>
        </row>
        <row r="240">
          <cell r="A240" t="str">
            <v>GRMZM2G065471</v>
          </cell>
          <cell r="B240" t="str">
            <v>GO:0016787GO:0008152</v>
          </cell>
          <cell r="C240" t="str">
            <v>probable carboxylesterase 15-like</v>
          </cell>
          <cell r="D240" t="str">
            <v>BT0</v>
          </cell>
          <cell r="E240" t="str">
            <v>BT24</v>
          </cell>
          <cell r="F240">
            <v>2.3631000000000002</v>
          </cell>
          <cell r="G240">
            <v>0.449129</v>
          </cell>
          <cell r="H240">
            <v>-2.3954800000000001</v>
          </cell>
        </row>
        <row r="241">
          <cell r="A241" t="str">
            <v>GRMZM2G471517</v>
          </cell>
          <cell r="B241" t="str">
            <v>GO:0050825GO:0042309GO:0050826</v>
          </cell>
          <cell r="C241" t="str">
            <v>uncharacterized protein LOC100500994</v>
          </cell>
          <cell r="D241" t="str">
            <v>BT0</v>
          </cell>
          <cell r="E241" t="str">
            <v>BT24</v>
          </cell>
          <cell r="F241">
            <v>15.6236</v>
          </cell>
          <cell r="G241">
            <v>55.630099999999999</v>
          </cell>
          <cell r="H241">
            <v>1.8321400000000001</v>
          </cell>
        </row>
        <row r="242">
          <cell r="A242" t="str">
            <v>IRL</v>
          </cell>
          <cell r="B242" t="e">
            <v>#N/A</v>
          </cell>
          <cell r="C242" t="e">
            <v>#N/A</v>
          </cell>
          <cell r="D242" t="str">
            <v>BT0</v>
          </cell>
          <cell r="E242" t="str">
            <v>BT24</v>
          </cell>
          <cell r="F242">
            <v>29.618400000000001</v>
          </cell>
          <cell r="G242">
            <v>13.662100000000001</v>
          </cell>
          <cell r="H242">
            <v>-1.11632</v>
          </cell>
        </row>
        <row r="243">
          <cell r="A243" t="str">
            <v>GRMZM2G422782</v>
          </cell>
          <cell r="B243" t="e">
            <v>#N/A</v>
          </cell>
          <cell r="C243" t="str">
            <v>uncharacterized protein LOC100272680</v>
          </cell>
          <cell r="D243" t="str">
            <v>BT0</v>
          </cell>
          <cell r="E243" t="str">
            <v>BT24</v>
          </cell>
          <cell r="F243">
            <v>6.4118199999999996</v>
          </cell>
          <cell r="G243">
            <v>3.1049000000000002</v>
          </cell>
          <cell r="H243">
            <v>-1.04619</v>
          </cell>
        </row>
        <row r="244">
          <cell r="A244" t="str">
            <v>GRMZM2G454056</v>
          </cell>
          <cell r="B244" t="e">
            <v>#N/A</v>
          </cell>
          <cell r="C244" t="str">
            <v>uncharacterized protein LOC100274968</v>
          </cell>
          <cell r="D244" t="str">
            <v>BT0</v>
          </cell>
          <cell r="E244" t="str">
            <v>BT24</v>
          </cell>
          <cell r="F244">
            <v>2.2618100000000001</v>
          </cell>
          <cell r="G244">
            <v>4.7413499999999997</v>
          </cell>
          <cell r="H244">
            <v>1.06782</v>
          </cell>
        </row>
        <row r="245">
          <cell r="A245" t="str">
            <v>GRMZM2G136106</v>
          </cell>
          <cell r="B245" t="str">
            <v>GO:0042545GO:0005618GO:0030599GO:0050825GO:0042309GO:0050826GO:0004857</v>
          </cell>
          <cell r="C245" t="str">
            <v>probable pectinesterase pectinesterase inhibitor 40-like</v>
          </cell>
          <cell r="D245" t="str">
            <v>BT0</v>
          </cell>
          <cell r="E245" t="str">
            <v>BT24</v>
          </cell>
          <cell r="F245">
            <v>0.78157299999999996</v>
          </cell>
          <cell r="G245">
            <v>1.6790099999999999</v>
          </cell>
          <cell r="H245">
            <v>1.1031599999999999</v>
          </cell>
        </row>
        <row r="246">
          <cell r="A246" t="str">
            <v>GRMZM2G169382</v>
          </cell>
          <cell r="B246" t="str">
            <v>GO:0003700GO:0006355GO:0003735GO:0006412GO:0005840</v>
          </cell>
          <cell r="C246" t="str">
            <v>ethylene-responsive factor-like protein 1</v>
          </cell>
          <cell r="D246" t="str">
            <v>BT0</v>
          </cell>
          <cell r="E246" t="str">
            <v>BT24</v>
          </cell>
          <cell r="F246">
            <v>1.9129700000000001</v>
          </cell>
          <cell r="G246">
            <v>0.88269699999999995</v>
          </cell>
          <cell r="H246">
            <v>-1.11582</v>
          </cell>
        </row>
        <row r="247">
          <cell r="A247" t="str">
            <v>GRMZM2G383699</v>
          </cell>
          <cell r="B247" t="str">
            <v>GO:0006950</v>
          </cell>
          <cell r="C247" t="str">
            <v>asr2</v>
          </cell>
          <cell r="D247" t="str">
            <v>BT0</v>
          </cell>
          <cell r="E247" t="str">
            <v>BT24</v>
          </cell>
          <cell r="F247">
            <v>4.5533599999999996</v>
          </cell>
          <cell r="G247">
            <v>1.5814900000000001</v>
          </cell>
          <cell r="H247">
            <v>-1.5256400000000001</v>
          </cell>
        </row>
        <row r="248">
          <cell r="A248" t="str">
            <v>GRMZM2G105368</v>
          </cell>
          <cell r="B248" t="e">
            <v>#N/A</v>
          </cell>
          <cell r="C248" t="str">
            <v>uncharacterized protein LOC100501050</v>
          </cell>
          <cell r="D248" t="str">
            <v>BT0</v>
          </cell>
          <cell r="E248" t="str">
            <v>BT24</v>
          </cell>
          <cell r="F248">
            <v>1.57084</v>
          </cell>
          <cell r="G248">
            <v>3.1724600000000001</v>
          </cell>
          <cell r="H248">
            <v>1.01406</v>
          </cell>
        </row>
        <row r="249">
          <cell r="A249" t="str">
            <v>GRMZM2G110395</v>
          </cell>
          <cell r="B249" t="e">
            <v>#N/A</v>
          </cell>
          <cell r="C249" t="str">
            <v>protein</v>
          </cell>
          <cell r="D249" t="str">
            <v>BT0</v>
          </cell>
          <cell r="E249" t="str">
            <v>BT24</v>
          </cell>
          <cell r="F249">
            <v>3.21462</v>
          </cell>
          <cell r="G249">
            <v>1.13306</v>
          </cell>
          <cell r="H249">
            <v>-1.5044200000000001</v>
          </cell>
        </row>
        <row r="250">
          <cell r="A250" t="str">
            <v>GRMZM2G461566</v>
          </cell>
          <cell r="B250" t="e">
            <v>#N/A</v>
          </cell>
          <cell r="C250">
            <v>0</v>
          </cell>
          <cell r="D250" t="str">
            <v>BT0</v>
          </cell>
          <cell r="E250" t="str">
            <v>BT24</v>
          </cell>
          <cell r="F250">
            <v>0.39205699999999999</v>
          </cell>
          <cell r="G250">
            <v>1.54118</v>
          </cell>
          <cell r="H250">
            <v>1.9749000000000001</v>
          </cell>
        </row>
        <row r="251">
          <cell r="A251" t="str">
            <v>GRMZM2G311811</v>
          </cell>
          <cell r="B251" t="e">
            <v>#N/A</v>
          </cell>
          <cell r="C251">
            <v>0</v>
          </cell>
          <cell r="D251" t="str">
            <v>BT0</v>
          </cell>
          <cell r="E251" t="str">
            <v>BT24</v>
          </cell>
          <cell r="F251">
            <v>8.1166800000000006</v>
          </cell>
          <cell r="G251">
            <v>3.4234100000000001</v>
          </cell>
          <cell r="H251">
            <v>-1.24546</v>
          </cell>
        </row>
        <row r="252">
          <cell r="A252" t="str">
            <v>GRMZM2G169562</v>
          </cell>
          <cell r="B252" t="str">
            <v>GO:0004806GO:0006629</v>
          </cell>
          <cell r="C252" t="str">
            <v>lipase family expressed</v>
          </cell>
          <cell r="D252" t="str">
            <v>BT0</v>
          </cell>
          <cell r="E252" t="str">
            <v>BT24</v>
          </cell>
          <cell r="F252">
            <v>3.4169900000000002</v>
          </cell>
          <cell r="G252">
            <v>1.4427700000000001</v>
          </cell>
          <cell r="H252">
            <v>-1.2438899999999999</v>
          </cell>
        </row>
        <row r="253">
          <cell r="A253" t="str">
            <v>GRMZM2G324157</v>
          </cell>
          <cell r="B253" t="str">
            <v>GO:0004674GO:0006468GO:0004713GO:0005524</v>
          </cell>
          <cell r="C253" t="str">
            <v>cell division cycle 2-like protein</v>
          </cell>
          <cell r="D253" t="str">
            <v>BT0</v>
          </cell>
          <cell r="E253" t="str">
            <v>BT24</v>
          </cell>
          <cell r="F253">
            <v>1.50061</v>
          </cell>
          <cell r="G253">
            <v>0.61538800000000005</v>
          </cell>
          <cell r="H253">
            <v>-1.2859799999999999</v>
          </cell>
        </row>
        <row r="254">
          <cell r="A254" t="str">
            <v>GRMZM2G010925</v>
          </cell>
          <cell r="B254" t="e">
            <v>#N/A</v>
          </cell>
          <cell r="C254">
            <v>0</v>
          </cell>
          <cell r="D254" t="str">
            <v>BT0</v>
          </cell>
          <cell r="E254" t="str">
            <v>BT24</v>
          </cell>
          <cell r="F254">
            <v>0.95647199999999999</v>
          </cell>
          <cell r="G254">
            <v>0.347354</v>
          </cell>
          <cell r="H254">
            <v>-1.46132</v>
          </cell>
        </row>
        <row r="255">
          <cell r="A255" t="str">
            <v>GRMZM2G366607</v>
          </cell>
          <cell r="B255" t="str">
            <v>GO:0016787</v>
          </cell>
          <cell r="C255" t="str">
            <v>probable inactive purple acid phosphatase 16-like</v>
          </cell>
          <cell r="D255" t="str">
            <v>BT0</v>
          </cell>
          <cell r="E255" t="str">
            <v>BT24</v>
          </cell>
          <cell r="F255">
            <v>5.6101799999999997</v>
          </cell>
          <cell r="G255">
            <v>1.07995</v>
          </cell>
          <cell r="H255">
            <v>-2.3770799999999999</v>
          </cell>
        </row>
        <row r="256">
          <cell r="A256" t="str">
            <v>GRMZM2G065585</v>
          </cell>
          <cell r="B256" t="str">
            <v>GO:0016020GO:0005975GO:0004553</v>
          </cell>
          <cell r="C256" t="str">
            <v>beta glucanase</v>
          </cell>
          <cell r="D256" t="str">
            <v>BT0</v>
          </cell>
          <cell r="E256" t="str">
            <v>BT24</v>
          </cell>
          <cell r="F256">
            <v>384.31599999999997</v>
          </cell>
          <cell r="G256">
            <v>40.289400000000001</v>
          </cell>
          <cell r="H256">
            <v>-3.2538200000000002</v>
          </cell>
        </row>
        <row r="257">
          <cell r="A257" t="str">
            <v>GRMZM2G140107</v>
          </cell>
          <cell r="B257" t="str">
            <v>GO:0009058GO:0046524GO:0005985</v>
          </cell>
          <cell r="C257" t="str">
            <v>sucrose phosphate synthase</v>
          </cell>
          <cell r="D257" t="str">
            <v>BT0</v>
          </cell>
          <cell r="E257" t="str">
            <v>BT24</v>
          </cell>
          <cell r="F257">
            <v>0.164627</v>
          </cell>
          <cell r="G257">
            <v>0.92244099999999996</v>
          </cell>
          <cell r="H257">
            <v>2.4862600000000001</v>
          </cell>
        </row>
        <row r="258">
          <cell r="A258" t="str">
            <v>GRMZM2G072808</v>
          </cell>
          <cell r="B258" t="str">
            <v>GO:0048046GO:0005507GO:0046274GO:0008471GO:0055114</v>
          </cell>
          <cell r="C258" t="str">
            <v>l-ascorbate oxidase precursor</v>
          </cell>
          <cell r="D258" t="str">
            <v>BT0</v>
          </cell>
          <cell r="E258" t="str">
            <v>BT24</v>
          </cell>
          <cell r="F258">
            <v>6.9451999999999998</v>
          </cell>
          <cell r="G258">
            <v>1.3449599999999999</v>
          </cell>
          <cell r="H258">
            <v>-2.3684500000000002</v>
          </cell>
        </row>
        <row r="259">
          <cell r="A259" t="str">
            <v>GRMZM2G023279</v>
          </cell>
          <cell r="B259" t="e">
            <v>#N/A</v>
          </cell>
          <cell r="C259" t="str">
            <v>atp binding</v>
          </cell>
          <cell r="D259" t="str">
            <v>BT0</v>
          </cell>
          <cell r="E259" t="str">
            <v>BT24</v>
          </cell>
          <cell r="F259">
            <v>0.91733600000000004</v>
          </cell>
          <cell r="G259">
            <v>0.22856899999999999</v>
          </cell>
          <cell r="H259">
            <v>-2.00482</v>
          </cell>
        </row>
        <row r="260">
          <cell r="A260" t="str">
            <v>GRMZM2G312201</v>
          </cell>
          <cell r="B260" t="str">
            <v>GO:0045449GO:0003677</v>
          </cell>
          <cell r="C260" t="str">
            <v>pentatricopeptide repeat-containing protein mitochondrial-like</v>
          </cell>
          <cell r="D260" t="str">
            <v>BT0</v>
          </cell>
          <cell r="E260" t="str">
            <v>BT24</v>
          </cell>
          <cell r="F260">
            <v>8.0118899999999993</v>
          </cell>
          <cell r="G260">
            <v>3.82192</v>
          </cell>
          <cell r="H260">
            <v>-1.0678399999999999</v>
          </cell>
        </row>
        <row r="261">
          <cell r="A261" t="str">
            <v>GRMZM2G138074</v>
          </cell>
          <cell r="B261" t="str">
            <v>GO:0004497GO:0020037GO:0009055</v>
          </cell>
          <cell r="C261" t="str">
            <v>cytochrome p450</v>
          </cell>
          <cell r="D261" t="str">
            <v>BT0</v>
          </cell>
          <cell r="E261" t="str">
            <v>BT24</v>
          </cell>
          <cell r="F261">
            <v>61.389800000000001</v>
          </cell>
          <cell r="G261">
            <v>28.713100000000001</v>
          </cell>
          <cell r="H261">
            <v>-1.09629</v>
          </cell>
        </row>
        <row r="262">
          <cell r="A262" t="str">
            <v>GRMZM2G159105</v>
          </cell>
          <cell r="B262" t="str">
            <v>GO:0004674GO:0006468GO:0004713GO:0005524</v>
          </cell>
          <cell r="C262" t="str">
            <v>proline-rich receptor-like protein kinase perk10-like</v>
          </cell>
          <cell r="D262" t="str">
            <v>BT0</v>
          </cell>
          <cell r="E262" t="str">
            <v>BT24</v>
          </cell>
          <cell r="F262">
            <v>3.9441999999999999</v>
          </cell>
          <cell r="G262">
            <v>8.1803500000000007</v>
          </cell>
          <cell r="H262">
            <v>1.05243</v>
          </cell>
        </row>
        <row r="263">
          <cell r="A263" t="str">
            <v>GRMZM2G008726</v>
          </cell>
          <cell r="B263" t="e">
            <v>#N/A</v>
          </cell>
          <cell r="C263" t="str">
            <v>lysine decarboxylase-like protein</v>
          </cell>
          <cell r="D263" t="str">
            <v>BT0</v>
          </cell>
          <cell r="E263" t="str">
            <v>BT24</v>
          </cell>
          <cell r="F263">
            <v>2.3959299999999999</v>
          </cell>
          <cell r="G263">
            <v>1.1591100000000001</v>
          </cell>
          <cell r="H263">
            <v>-1.0475699999999999</v>
          </cell>
        </row>
        <row r="264">
          <cell r="A264" t="str">
            <v>GRMZM2G146913</v>
          </cell>
          <cell r="B264" t="str">
            <v>GO:0005737GO:0004364GO:0008152</v>
          </cell>
          <cell r="C264" t="str">
            <v>glutathione s-transferase gstu6</v>
          </cell>
          <cell r="D264" t="str">
            <v>BT0</v>
          </cell>
          <cell r="E264" t="str">
            <v>BT24</v>
          </cell>
          <cell r="F264">
            <v>2.6913900000000002</v>
          </cell>
          <cell r="G264">
            <v>0.48146499999999998</v>
          </cell>
          <cell r="H264">
            <v>-2.48285</v>
          </cell>
        </row>
        <row r="265">
          <cell r="A265" t="str">
            <v>GRMZM2G359076</v>
          </cell>
          <cell r="B265" t="e">
            <v>#N/A</v>
          </cell>
          <cell r="C265">
            <v>0</v>
          </cell>
          <cell r="D265" t="str">
            <v>BT0</v>
          </cell>
          <cell r="E265" t="str">
            <v>BT24</v>
          </cell>
          <cell r="F265">
            <v>1.5209299999999999</v>
          </cell>
          <cell r="G265">
            <v>3.51709</v>
          </cell>
          <cell r="H265">
            <v>1.20943</v>
          </cell>
        </row>
        <row r="266">
          <cell r="A266" t="str">
            <v>GRMZM2G077375</v>
          </cell>
          <cell r="B266" t="e">
            <v>#N/A</v>
          </cell>
          <cell r="C266" t="str">
            <v>o-acyltransferase wsd1-like isoform 1</v>
          </cell>
          <cell r="D266" t="str">
            <v>BT0</v>
          </cell>
          <cell r="E266" t="str">
            <v>BT24</v>
          </cell>
          <cell r="F266">
            <v>12.869300000000001</v>
          </cell>
          <cell r="G266">
            <v>4.5631599999999999</v>
          </cell>
          <cell r="H266">
            <v>-1.49583</v>
          </cell>
        </row>
        <row r="267">
          <cell r="A267" t="str">
            <v>GRMZM2G058518</v>
          </cell>
          <cell r="B267" t="str">
            <v>GO:0045449GO:0003677</v>
          </cell>
          <cell r="C267" t="str">
            <v>nac domain-containing protein 8-like</v>
          </cell>
          <cell r="D267" t="str">
            <v>BT0</v>
          </cell>
          <cell r="E267" t="str">
            <v>BT24</v>
          </cell>
          <cell r="F267">
            <v>1.51708</v>
          </cell>
          <cell r="G267">
            <v>0.45058500000000001</v>
          </cell>
          <cell r="H267">
            <v>-1.75142</v>
          </cell>
        </row>
        <row r="268">
          <cell r="A268" t="str">
            <v>GRMZM2G408462</v>
          </cell>
          <cell r="B268" t="e">
            <v>#N/A</v>
          </cell>
          <cell r="C268" t="str">
            <v>transcription factor wrky08-like</v>
          </cell>
          <cell r="D268" t="str">
            <v>BT0</v>
          </cell>
          <cell r="E268" t="str">
            <v>BT24</v>
          </cell>
          <cell r="F268">
            <v>2.1421100000000002</v>
          </cell>
          <cell r="G268">
            <v>0.70322700000000005</v>
          </cell>
          <cell r="H268">
            <v>-1.60697</v>
          </cell>
        </row>
        <row r="269">
          <cell r="A269" t="str">
            <v>GRMZM2G061439</v>
          </cell>
          <cell r="B269" t="e">
            <v>#N/A</v>
          </cell>
          <cell r="C269">
            <v>0</v>
          </cell>
          <cell r="D269" t="str">
            <v>BT0</v>
          </cell>
          <cell r="E269" t="str">
            <v>BT24</v>
          </cell>
          <cell r="F269">
            <v>5.0835900000000001</v>
          </cell>
          <cell r="G269">
            <v>23.232900000000001</v>
          </cell>
          <cell r="H269">
            <v>2.19225</v>
          </cell>
        </row>
        <row r="270">
          <cell r="A270" t="str">
            <v>GRMZM2G125571</v>
          </cell>
          <cell r="B270" t="e">
            <v>#N/A</v>
          </cell>
          <cell r="C270" t="str">
            <v>l-type lectin-domain containing receptor kinase -like</v>
          </cell>
          <cell r="D270" t="str">
            <v>BT0</v>
          </cell>
          <cell r="E270" t="str">
            <v>BT24</v>
          </cell>
          <cell r="F270">
            <v>2.8269799999999998</v>
          </cell>
          <cell r="G270">
            <v>1.33345</v>
          </cell>
          <cell r="H270">
            <v>-1.08409</v>
          </cell>
        </row>
        <row r="271">
          <cell r="A271" t="str">
            <v>GRMZM5G849600</v>
          </cell>
          <cell r="B271" t="e">
            <v>#N/A</v>
          </cell>
          <cell r="C271" t="str">
            <v>transcription factor bhlh041-like</v>
          </cell>
          <cell r="D271" t="str">
            <v>BT0</v>
          </cell>
          <cell r="E271" t="str">
            <v>BT24</v>
          </cell>
          <cell r="F271">
            <v>2.4527299999999999</v>
          </cell>
          <cell r="G271">
            <v>1.1003400000000001</v>
          </cell>
          <cell r="H271">
            <v>-1.1564300000000001</v>
          </cell>
        </row>
        <row r="272">
          <cell r="A272" t="str">
            <v>CAB48</v>
          </cell>
          <cell r="B272" t="e">
            <v>#N/A</v>
          </cell>
          <cell r="C272" t="e">
            <v>#N/A</v>
          </cell>
          <cell r="D272" t="str">
            <v>BT0</v>
          </cell>
          <cell r="E272" t="str">
            <v>BT24</v>
          </cell>
          <cell r="F272">
            <v>969.59900000000005</v>
          </cell>
          <cell r="G272">
            <v>1976.82</v>
          </cell>
          <cell r="H272">
            <v>1.02772</v>
          </cell>
        </row>
        <row r="273">
          <cell r="A273" t="str">
            <v>GRMZM2G429955</v>
          </cell>
          <cell r="B273" t="str">
            <v>GO:0016020GO:0009765</v>
          </cell>
          <cell r="C273" t="str">
            <v>chlorophyll a-b binding protein 2</v>
          </cell>
          <cell r="D273" t="str">
            <v>BT0</v>
          </cell>
          <cell r="E273" t="str">
            <v>BT24</v>
          </cell>
          <cell r="F273">
            <v>86.625299999999996</v>
          </cell>
          <cell r="G273">
            <v>428.19299999999998</v>
          </cell>
          <cell r="H273">
            <v>2.3054000000000001</v>
          </cell>
        </row>
        <row r="274">
          <cell r="A274" t="str">
            <v>GRMZM2G104549</v>
          </cell>
          <cell r="B274" t="str">
            <v>GO:0016020GO:0009765</v>
          </cell>
          <cell r="C274" t="str">
            <v>protein</v>
          </cell>
          <cell r="D274" t="str">
            <v>BT0</v>
          </cell>
          <cell r="E274" t="str">
            <v>BT24</v>
          </cell>
          <cell r="F274">
            <v>326.73700000000002</v>
          </cell>
          <cell r="G274">
            <v>688.04499999999996</v>
          </cell>
          <cell r="H274">
            <v>1.07437</v>
          </cell>
        </row>
        <row r="275">
          <cell r="A275" t="str">
            <v>GRMZM2G546097</v>
          </cell>
          <cell r="B275" t="e">
            <v>#N/A</v>
          </cell>
          <cell r="C275">
            <v>0</v>
          </cell>
          <cell r="D275" t="str">
            <v>BT0</v>
          </cell>
          <cell r="E275" t="str">
            <v>BT24</v>
          </cell>
          <cell r="F275">
            <v>0</v>
          </cell>
          <cell r="G275">
            <v>4.2510199999999996</v>
          </cell>
          <cell r="H275" t="str">
            <v>inf</v>
          </cell>
        </row>
        <row r="276">
          <cell r="A276" t="str">
            <v>GRMZM2G458095</v>
          </cell>
          <cell r="B276" t="str">
            <v>GO:0017111GO:0005524</v>
          </cell>
          <cell r="C276" t="str">
            <v>aaa-type atpase</v>
          </cell>
          <cell r="D276" t="str">
            <v>BT0</v>
          </cell>
          <cell r="E276" t="str">
            <v>BT24</v>
          </cell>
          <cell r="F276">
            <v>1.7199500000000001</v>
          </cell>
          <cell r="G276">
            <v>0.45171299999999998</v>
          </cell>
          <cell r="H276">
            <v>-1.92889</v>
          </cell>
        </row>
        <row r="277">
          <cell r="A277" t="str">
            <v>GRMZM2G005849</v>
          </cell>
          <cell r="B277" t="str">
            <v>GO:0005737GO:0004360GO:0005529GO:0016051</v>
          </cell>
          <cell r="C277" t="str">
            <v>glucosamine-fructose-6-phosphate aminotransferase</v>
          </cell>
          <cell r="D277" t="str">
            <v>BT0</v>
          </cell>
          <cell r="E277" t="str">
            <v>BT24</v>
          </cell>
          <cell r="F277">
            <v>26.4116</v>
          </cell>
          <cell r="G277">
            <v>11.8028</v>
          </cell>
          <cell r="H277">
            <v>-1.16204</v>
          </cell>
        </row>
        <row r="278">
          <cell r="A278" t="str">
            <v>GRMZM2G144668</v>
          </cell>
          <cell r="B278" t="str">
            <v>GO:0005506GO:0050826GO:0050825GO:0042309GO:0016491</v>
          </cell>
          <cell r="C278" t="str">
            <v>desacetoxyvindoline 4-</v>
          </cell>
          <cell r="D278" t="str">
            <v>BT0</v>
          </cell>
          <cell r="E278" t="str">
            <v>BT24</v>
          </cell>
          <cell r="F278">
            <v>47.869</v>
          </cell>
          <cell r="G278">
            <v>23.0488</v>
          </cell>
          <cell r="H278">
            <v>-1.0544</v>
          </cell>
        </row>
        <row r="279">
          <cell r="A279" t="str">
            <v>GRMZM2G162527</v>
          </cell>
          <cell r="B279" t="str">
            <v>GO:0003779GO:0008152GO:0016491</v>
          </cell>
          <cell r="C279" t="str">
            <v>retinol dehydrogenase</v>
          </cell>
          <cell r="D279" t="str">
            <v>BT0</v>
          </cell>
          <cell r="E279" t="str">
            <v>BT24</v>
          </cell>
          <cell r="F279">
            <v>41.568199999999997</v>
          </cell>
          <cell r="G279">
            <v>89.528700000000001</v>
          </cell>
          <cell r="H279">
            <v>1.10687</v>
          </cell>
        </row>
        <row r="280">
          <cell r="A280" t="str">
            <v>GRMZM2G161154</v>
          </cell>
          <cell r="B280" t="str">
            <v>GO:0046872</v>
          </cell>
          <cell r="C280" t="str">
            <v>metallothionein-like protein type 2</v>
          </cell>
          <cell r="D280" t="str">
            <v>BT0</v>
          </cell>
          <cell r="E280" t="str">
            <v>BT24</v>
          </cell>
          <cell r="F280">
            <v>389.113</v>
          </cell>
          <cell r="G280">
            <v>150.80199999999999</v>
          </cell>
          <cell r="H280">
            <v>-1.3675299999999999</v>
          </cell>
        </row>
        <row r="281">
          <cell r="A281" t="str">
            <v>GRMZM2G071666</v>
          </cell>
          <cell r="B281" t="e">
            <v>#N/A</v>
          </cell>
          <cell r="C281">
            <v>0</v>
          </cell>
          <cell r="D281" t="str">
            <v>BT0</v>
          </cell>
          <cell r="E281" t="str">
            <v>BT24</v>
          </cell>
          <cell r="F281">
            <v>1.3376999999999999</v>
          </cell>
          <cell r="G281">
            <v>2.83894</v>
          </cell>
          <cell r="H281">
            <v>1.0855999999999999</v>
          </cell>
        </row>
        <row r="282">
          <cell r="A282" t="str">
            <v>GRMZM2G103748</v>
          </cell>
          <cell r="B282" t="e">
            <v>#N/A</v>
          </cell>
          <cell r="C282">
            <v>0</v>
          </cell>
          <cell r="D282" t="str">
            <v>BT0</v>
          </cell>
          <cell r="E282" t="str">
            <v>BT24</v>
          </cell>
          <cell r="F282">
            <v>28.5153</v>
          </cell>
          <cell r="G282">
            <v>12.8934</v>
          </cell>
          <cell r="H282">
            <v>-1.1451</v>
          </cell>
        </row>
        <row r="283">
          <cell r="A283" t="str">
            <v>GRMZM5G883759</v>
          </cell>
          <cell r="B283" t="e">
            <v>#N/A</v>
          </cell>
          <cell r="C283" t="str">
            <v>uncharacterized protein LOC100275537 precursor</v>
          </cell>
          <cell r="D283" t="str">
            <v>BT0</v>
          </cell>
          <cell r="E283" t="str">
            <v>BT24</v>
          </cell>
          <cell r="F283">
            <v>9.4544499999999996</v>
          </cell>
          <cell r="G283">
            <v>3.7604799999999998</v>
          </cell>
          <cell r="H283">
            <v>-1.3300799999999999</v>
          </cell>
        </row>
        <row r="284">
          <cell r="A284" t="str">
            <v>GRMZM2G402977</v>
          </cell>
          <cell r="B284" t="e">
            <v>#N/A</v>
          </cell>
          <cell r="C284" t="str">
            <v>uncharacterized protein LOC100278114</v>
          </cell>
          <cell r="D284" t="str">
            <v>BT0</v>
          </cell>
          <cell r="E284" t="str">
            <v>BT24</v>
          </cell>
          <cell r="F284">
            <v>4.1204700000000001</v>
          </cell>
          <cell r="G284">
            <v>1.4219900000000001</v>
          </cell>
          <cell r="H284">
            <v>-1.5348999999999999</v>
          </cell>
        </row>
        <row r="285">
          <cell r="A285" t="str">
            <v>TUBB5</v>
          </cell>
          <cell r="B285" t="e">
            <v>#N/A</v>
          </cell>
          <cell r="C285" t="e">
            <v>#N/A</v>
          </cell>
          <cell r="D285" t="str">
            <v>BT0</v>
          </cell>
          <cell r="E285" t="str">
            <v>BT24</v>
          </cell>
          <cell r="F285">
            <v>35.8127</v>
          </cell>
          <cell r="G285">
            <v>17.1874</v>
          </cell>
          <cell r="H285">
            <v>-1.0591200000000001</v>
          </cell>
        </row>
        <row r="286">
          <cell r="A286" t="str">
            <v>GRMZM2G014797</v>
          </cell>
          <cell r="B286" t="str">
            <v>GO:0006950</v>
          </cell>
          <cell r="C286" t="str">
            <v>abscisic stress ripening protein 1</v>
          </cell>
          <cell r="D286" t="str">
            <v>BT0</v>
          </cell>
          <cell r="E286" t="str">
            <v>BT24</v>
          </cell>
          <cell r="F286">
            <v>4.5946400000000001</v>
          </cell>
          <cell r="G286">
            <v>0.94325400000000004</v>
          </cell>
          <cell r="H286">
            <v>-2.28423</v>
          </cell>
        </row>
        <row r="287">
          <cell r="A287" t="str">
            <v>GRMZM2G405385</v>
          </cell>
          <cell r="B287" t="str">
            <v>GO:0005576GO:0050825GO:0042309GO:0050826</v>
          </cell>
          <cell r="C287" t="str">
            <v>hypothetical protein</v>
          </cell>
          <cell r="D287" t="str">
            <v>BT0</v>
          </cell>
          <cell r="E287" t="str">
            <v>BT24</v>
          </cell>
          <cell r="F287">
            <v>3.4627599999999998</v>
          </cell>
          <cell r="G287">
            <v>7.8988100000000001</v>
          </cell>
          <cell r="H287">
            <v>1.18971</v>
          </cell>
        </row>
        <row r="288">
          <cell r="A288" t="str">
            <v>GRMZM2G138258</v>
          </cell>
          <cell r="B288" t="e">
            <v>#N/A</v>
          </cell>
          <cell r="C288" t="str">
            <v>protein</v>
          </cell>
          <cell r="D288" t="str">
            <v>BT0</v>
          </cell>
          <cell r="E288" t="str">
            <v>BT24</v>
          </cell>
          <cell r="F288">
            <v>234.28299999999999</v>
          </cell>
          <cell r="G288">
            <v>592.55499999999995</v>
          </cell>
          <cell r="H288">
            <v>1.3387</v>
          </cell>
        </row>
        <row r="289">
          <cell r="A289" t="str">
            <v>GRMZM2G028556</v>
          </cell>
          <cell r="B289" t="e">
            <v>#N/A</v>
          </cell>
          <cell r="C289" t="str">
            <v>glutathione s-transferase</v>
          </cell>
          <cell r="D289" t="str">
            <v>BT0</v>
          </cell>
          <cell r="E289" t="str">
            <v>BT24</v>
          </cell>
          <cell r="F289">
            <v>22.055499999999999</v>
          </cell>
          <cell r="G289">
            <v>8.4771099999999997</v>
          </cell>
          <cell r="H289">
            <v>-1.3794900000000001</v>
          </cell>
        </row>
        <row r="290">
          <cell r="A290" t="str">
            <v>GRMZM2G050997</v>
          </cell>
          <cell r="B290" t="str">
            <v>GO:0050660GO:0009690GO:0019139GO:0009055</v>
          </cell>
          <cell r="C290" t="str">
            <v>cytokinin oxidase</v>
          </cell>
          <cell r="D290" t="str">
            <v>BT0</v>
          </cell>
          <cell r="E290" t="str">
            <v>BT24</v>
          </cell>
          <cell r="F290">
            <v>11.9504</v>
          </cell>
          <cell r="G290">
            <v>5.7232700000000003</v>
          </cell>
          <cell r="H290">
            <v>-1.0621499999999999</v>
          </cell>
        </row>
        <row r="291">
          <cell r="A291" t="str">
            <v>GRMZM2G455676</v>
          </cell>
          <cell r="B291" t="str">
            <v>GO:0009654GO:0015979</v>
          </cell>
          <cell r="C291" t="str">
            <v>photosystem ii reaction center w protein</v>
          </cell>
          <cell r="D291" t="str">
            <v>BT0</v>
          </cell>
          <cell r="E291" t="str">
            <v>BT24</v>
          </cell>
          <cell r="F291">
            <v>0.87570499999999996</v>
          </cell>
          <cell r="G291">
            <v>4.8879900000000003</v>
          </cell>
          <cell r="H291">
            <v>2.4807199999999998</v>
          </cell>
        </row>
        <row r="292">
          <cell r="A292" t="str">
            <v>GRMZM2G081090</v>
          </cell>
          <cell r="B292" t="e">
            <v>#N/A</v>
          </cell>
          <cell r="C292" t="str">
            <v>protein</v>
          </cell>
          <cell r="D292" t="str">
            <v>BT0</v>
          </cell>
          <cell r="E292" t="str">
            <v>BT24</v>
          </cell>
          <cell r="F292">
            <v>1.3089599999999999</v>
          </cell>
          <cell r="G292">
            <v>3.30504</v>
          </cell>
          <cell r="H292">
            <v>1.3362499999999999</v>
          </cell>
        </row>
        <row r="293">
          <cell r="A293" t="str">
            <v>GRMZM2G078314</v>
          </cell>
          <cell r="B293" t="str">
            <v>GO:0006334GO:0003677GO:0005634GO:0000786</v>
          </cell>
          <cell r="C293" t="str">
            <v>histone h3</v>
          </cell>
          <cell r="D293" t="str">
            <v>BT0</v>
          </cell>
          <cell r="E293" t="str">
            <v>BT24</v>
          </cell>
          <cell r="F293">
            <v>9.6453000000000007</v>
          </cell>
          <cell r="G293">
            <v>4.0371899999999998</v>
          </cell>
          <cell r="H293">
            <v>-1.25647</v>
          </cell>
        </row>
        <row r="294">
          <cell r="A294" t="str">
            <v>GRMZM2G135722</v>
          </cell>
          <cell r="B294" t="str">
            <v>GO:0016758GO:0008152</v>
          </cell>
          <cell r="C294" t="str">
            <v>anthocyanidin 3-o-glucosyltransferase</v>
          </cell>
          <cell r="D294" t="str">
            <v>BT0</v>
          </cell>
          <cell r="E294" t="str">
            <v>BT24</v>
          </cell>
          <cell r="F294">
            <v>5.45547</v>
          </cell>
          <cell r="G294">
            <v>11.6709</v>
          </cell>
          <cell r="H294">
            <v>1.09714</v>
          </cell>
        </row>
        <row r="295">
          <cell r="A295" t="str">
            <v>GRMZM2G074229</v>
          </cell>
          <cell r="B295" t="e">
            <v>#N/A</v>
          </cell>
          <cell r="C295" t="str">
            <v>hypothetical protein SORBIDRAFT_03g040780</v>
          </cell>
          <cell r="D295" t="str">
            <v>BT0</v>
          </cell>
          <cell r="E295" t="str">
            <v>BT24</v>
          </cell>
          <cell r="F295">
            <v>6.0064399999999996</v>
          </cell>
          <cell r="G295">
            <v>1.94323</v>
          </cell>
          <cell r="H295">
            <v>-1.62805</v>
          </cell>
        </row>
        <row r="296">
          <cell r="A296" t="str">
            <v>GRMZM2G148087</v>
          </cell>
          <cell r="B296" t="str">
            <v>GO:0003700GO:0043565GO:0005634GO:0045449</v>
          </cell>
          <cell r="C296" t="str">
            <v>dna-binding protein</v>
          </cell>
          <cell r="D296" t="str">
            <v>BT0</v>
          </cell>
          <cell r="E296" t="str">
            <v>BT24</v>
          </cell>
          <cell r="F296">
            <v>1.4160999999999999</v>
          </cell>
          <cell r="G296">
            <v>0.53317800000000004</v>
          </cell>
          <cell r="H296">
            <v>-1.40923</v>
          </cell>
        </row>
        <row r="297">
          <cell r="A297" t="str">
            <v>GRMZM2G027478</v>
          </cell>
          <cell r="B297" t="e">
            <v>#N/A</v>
          </cell>
          <cell r="C297" t="str">
            <v>protein</v>
          </cell>
          <cell r="D297" t="str">
            <v>BT0</v>
          </cell>
          <cell r="E297" t="str">
            <v>BT24</v>
          </cell>
          <cell r="F297">
            <v>66.097099999999998</v>
          </cell>
          <cell r="G297">
            <v>23.999700000000001</v>
          </cell>
          <cell r="H297">
            <v>-1.46157</v>
          </cell>
        </row>
        <row r="298">
          <cell r="A298" t="str">
            <v>GRMZM2G372440</v>
          </cell>
          <cell r="B298" t="e">
            <v>#N/A</v>
          </cell>
          <cell r="C298" t="str">
            <v>probable f-box protein at5g04010-like</v>
          </cell>
          <cell r="D298" t="str">
            <v>BT0</v>
          </cell>
          <cell r="E298" t="str">
            <v>BT24</v>
          </cell>
          <cell r="F298">
            <v>2.1898399999999998</v>
          </cell>
          <cell r="G298">
            <v>4.7293500000000002</v>
          </cell>
          <cell r="H298">
            <v>1.1108100000000001</v>
          </cell>
        </row>
        <row r="299">
          <cell r="A299" t="str">
            <v>GRMZM2G358830</v>
          </cell>
          <cell r="B299" t="str">
            <v>GO:0006468GO:0016021GO:0005199GO:0004674GO:0004713GO:0007186GO:0005524</v>
          </cell>
          <cell r="C299" t="str">
            <v>receptor protein kinase perk1</v>
          </cell>
          <cell r="D299" t="str">
            <v>BT0</v>
          </cell>
          <cell r="E299" t="str">
            <v>BT24</v>
          </cell>
          <cell r="F299">
            <v>1.8716900000000001</v>
          </cell>
          <cell r="G299">
            <v>0.93287100000000001</v>
          </cell>
          <cell r="H299">
            <v>-1.0045999999999999</v>
          </cell>
        </row>
        <row r="300">
          <cell r="A300" t="str">
            <v>GRMZM2G078210</v>
          </cell>
          <cell r="B300" t="e">
            <v>#N/A</v>
          </cell>
          <cell r="C300" t="str">
            <v>protein</v>
          </cell>
          <cell r="D300" t="str">
            <v>BT0</v>
          </cell>
          <cell r="E300" t="str">
            <v>BT24</v>
          </cell>
          <cell r="F300">
            <v>2.05965</v>
          </cell>
          <cell r="G300">
            <v>0.82718499999999995</v>
          </cell>
          <cell r="H300">
            <v>-1.31612</v>
          </cell>
        </row>
        <row r="301">
          <cell r="A301" t="str">
            <v>GRMZM2G468111</v>
          </cell>
          <cell r="B301" t="e">
            <v>#N/A</v>
          </cell>
          <cell r="C301" t="str">
            <v>uncharacterized protein LOC100277849</v>
          </cell>
          <cell r="D301" t="str">
            <v>BT0</v>
          </cell>
          <cell r="E301" t="str">
            <v>BT24</v>
          </cell>
          <cell r="F301">
            <v>35.1813</v>
          </cell>
          <cell r="G301">
            <v>4.7723899999999997</v>
          </cell>
          <cell r="H301">
            <v>-2.8820299999999999</v>
          </cell>
        </row>
        <row r="302">
          <cell r="A302" t="str">
            <v>GRMZM2G131099</v>
          </cell>
          <cell r="B302" t="e">
            <v>#N/A</v>
          </cell>
          <cell r="C302" t="str">
            <v>uncharacterized protein LOC100275282</v>
          </cell>
          <cell r="D302" t="str">
            <v>BT0</v>
          </cell>
          <cell r="E302" t="str">
            <v>BT24</v>
          </cell>
          <cell r="F302">
            <v>36.762300000000003</v>
          </cell>
          <cell r="G302">
            <v>16.568200000000001</v>
          </cell>
          <cell r="H302">
            <v>-1.14981</v>
          </cell>
        </row>
        <row r="303">
          <cell r="A303" t="str">
            <v>GRMZM2G386113</v>
          </cell>
          <cell r="B303" t="str">
            <v>GO:0008270GO:0005515</v>
          </cell>
          <cell r="C303" t="str">
            <v>ring u-box domain-containing protein</v>
          </cell>
          <cell r="D303" t="str">
            <v>BT0</v>
          </cell>
          <cell r="E303" t="str">
            <v>BT24</v>
          </cell>
          <cell r="F303">
            <v>1.00528</v>
          </cell>
          <cell r="G303">
            <v>0.302873</v>
          </cell>
          <cell r="H303">
            <v>-1.73081</v>
          </cell>
        </row>
        <row r="304">
          <cell r="A304" t="str">
            <v>GRMZM5G833207</v>
          </cell>
          <cell r="B304" t="e">
            <v>#N/A</v>
          </cell>
          <cell r="C304" t="str">
            <v>abc transporter b family member 4-like</v>
          </cell>
          <cell r="D304" t="str">
            <v>BT0</v>
          </cell>
          <cell r="E304" t="str">
            <v>BT24</v>
          </cell>
          <cell r="F304">
            <v>3.7860800000000001</v>
          </cell>
          <cell r="G304">
            <v>1.8870800000000001</v>
          </cell>
          <cell r="H304">
            <v>-1.0045500000000001</v>
          </cell>
        </row>
        <row r="305">
          <cell r="A305" t="str">
            <v>GRMZM2G062121</v>
          </cell>
          <cell r="B305" t="e">
            <v>#N/A</v>
          </cell>
          <cell r="C305" t="str">
            <v>hypothetical protein SORBIDRAFT_03g030900</v>
          </cell>
          <cell r="D305" t="str">
            <v>BT0</v>
          </cell>
          <cell r="E305" t="str">
            <v>BT24</v>
          </cell>
          <cell r="F305">
            <v>2.4866899999999998</v>
          </cell>
          <cell r="G305">
            <v>0.59425399999999995</v>
          </cell>
          <cell r="H305">
            <v>-2.06508</v>
          </cell>
        </row>
        <row r="306">
          <cell r="A306" t="str">
            <v>GRMZM2G330302</v>
          </cell>
          <cell r="B306" t="str">
            <v>GO:0003824GO:0006541</v>
          </cell>
          <cell r="C306" t="str">
            <v>ctp synthase</v>
          </cell>
          <cell r="D306" t="str">
            <v>BT0</v>
          </cell>
          <cell r="E306" t="str">
            <v>BT24</v>
          </cell>
          <cell r="F306">
            <v>24.054600000000001</v>
          </cell>
          <cell r="G306">
            <v>10.4267</v>
          </cell>
          <cell r="H306">
            <v>-1.2060299999999999</v>
          </cell>
        </row>
        <row r="307">
          <cell r="A307" t="str">
            <v>GRMZM2G177384</v>
          </cell>
          <cell r="B307" t="str">
            <v>GO:0004497GO:0020037GO:0009055</v>
          </cell>
          <cell r="C307" t="str">
            <v>obtusifoliol 14-alpha demethylase-like</v>
          </cell>
          <cell r="D307" t="str">
            <v>BT0</v>
          </cell>
          <cell r="E307" t="str">
            <v>BT24</v>
          </cell>
          <cell r="F307">
            <v>0.82557199999999997</v>
          </cell>
          <cell r="G307">
            <v>0.41237800000000002</v>
          </cell>
          <cell r="H307">
            <v>-1.00143</v>
          </cell>
        </row>
        <row r="308">
          <cell r="A308" t="str">
            <v>GRMZM2G147752</v>
          </cell>
          <cell r="B308" t="str">
            <v>GO:0004497GO:0020037GO:0009055</v>
          </cell>
          <cell r="C308" t="str">
            <v>secologanin synthase-like</v>
          </cell>
          <cell r="D308" t="str">
            <v>BT0</v>
          </cell>
          <cell r="E308" t="str">
            <v>BT24</v>
          </cell>
          <cell r="F308">
            <v>19.6432</v>
          </cell>
          <cell r="G308">
            <v>7.8249399999999998</v>
          </cell>
          <cell r="H308">
            <v>-1.3278799999999999</v>
          </cell>
        </row>
        <row r="309">
          <cell r="A309" t="str">
            <v>GRMZM2G014395</v>
          </cell>
          <cell r="B309" t="str">
            <v>GO:0004497GO:0020037GO:0009055</v>
          </cell>
          <cell r="C309" t="str">
            <v>cytochrome p450-like</v>
          </cell>
          <cell r="D309" t="str">
            <v>BT0</v>
          </cell>
          <cell r="E309" t="str">
            <v>BT24</v>
          </cell>
          <cell r="F309">
            <v>26.796600000000002</v>
          </cell>
          <cell r="G309">
            <v>7.3955900000000003</v>
          </cell>
          <cell r="H309">
            <v>-1.85731</v>
          </cell>
        </row>
        <row r="310">
          <cell r="A310" t="str">
            <v>GRMZM5G874955</v>
          </cell>
          <cell r="B310" t="e">
            <v>#N/A</v>
          </cell>
          <cell r="C310" t="str">
            <v>pdr-like abc transporter</v>
          </cell>
          <cell r="D310" t="str">
            <v>BT0</v>
          </cell>
          <cell r="E310" t="str">
            <v>BT24</v>
          </cell>
          <cell r="F310">
            <v>6.4826899999999998</v>
          </cell>
          <cell r="G310">
            <v>1.4646699999999999</v>
          </cell>
          <cell r="H310">
            <v>-2.14601</v>
          </cell>
        </row>
        <row r="311">
          <cell r="A311" t="str">
            <v>GRMZM2G058394</v>
          </cell>
          <cell r="B311" t="str">
            <v>GO:0005576GO:0004867</v>
          </cell>
          <cell r="C311" t="str">
            <v>thaumatin-like protein</v>
          </cell>
          <cell r="D311" t="str">
            <v>BT0</v>
          </cell>
          <cell r="E311" t="str">
            <v>BT24</v>
          </cell>
          <cell r="F311">
            <v>0.76064500000000002</v>
          </cell>
          <cell r="G311">
            <v>2.2421199999999999</v>
          </cell>
          <cell r="H311">
            <v>1.5595699999999999</v>
          </cell>
        </row>
        <row r="312">
          <cell r="A312" t="str">
            <v>GRMZM2G455321</v>
          </cell>
          <cell r="B312" t="e">
            <v>#N/A</v>
          </cell>
          <cell r="C312" t="str">
            <v>disease resistance rpp13-like protein 3-like</v>
          </cell>
          <cell r="D312" t="str">
            <v>BT0</v>
          </cell>
          <cell r="E312" t="str">
            <v>BT24</v>
          </cell>
          <cell r="F312">
            <v>8.3954699999999995</v>
          </cell>
          <cell r="G312">
            <v>3.8073399999999999</v>
          </cell>
          <cell r="H312">
            <v>-1.14083</v>
          </cell>
        </row>
        <row r="313">
          <cell r="A313" t="str">
            <v>GRMZM2G131442</v>
          </cell>
          <cell r="B313" t="str">
            <v>GO:0050826GO:0050825GO:0042309GO:0003677</v>
          </cell>
          <cell r="C313" t="str">
            <v>myb-like dna-binding domain containing expressed</v>
          </cell>
          <cell r="D313" t="str">
            <v>BT0</v>
          </cell>
          <cell r="E313" t="str">
            <v>BT24</v>
          </cell>
          <cell r="F313">
            <v>14.6564</v>
          </cell>
          <cell r="G313">
            <v>6.2471800000000002</v>
          </cell>
          <cell r="H313">
            <v>-1.2302500000000001</v>
          </cell>
        </row>
        <row r="314">
          <cell r="A314" t="str">
            <v>GRMZM2G106377</v>
          </cell>
          <cell r="B314" t="str">
            <v>GO:0008270GO:0003676GO:0005515</v>
          </cell>
          <cell r="C314" t="str">
            <v>probable e3 ubiquitin-protein ligase ari7-like</v>
          </cell>
          <cell r="D314" t="str">
            <v>BT0</v>
          </cell>
          <cell r="E314" t="str">
            <v>BT24</v>
          </cell>
          <cell r="F314">
            <v>1.95628</v>
          </cell>
          <cell r="G314">
            <v>0.73667300000000002</v>
          </cell>
          <cell r="H314">
            <v>-1.4090199999999999</v>
          </cell>
        </row>
        <row r="315">
          <cell r="A315" t="str">
            <v>GRMZM2G126541</v>
          </cell>
          <cell r="B315" t="str">
            <v>GO:0006508GO:0004185</v>
          </cell>
          <cell r="C315" t="str">
            <v>serine carboxypeptidase</v>
          </cell>
          <cell r="D315" t="str">
            <v>BT0</v>
          </cell>
          <cell r="E315" t="str">
            <v>BT24</v>
          </cell>
          <cell r="F315">
            <v>7.9058900000000003</v>
          </cell>
          <cell r="G315">
            <v>3.4245800000000002</v>
          </cell>
          <cell r="H315">
            <v>-1.2070000000000001</v>
          </cell>
        </row>
        <row r="316">
          <cell r="A316" t="str">
            <v>BX1</v>
          </cell>
          <cell r="B316" t="e">
            <v>#N/A</v>
          </cell>
          <cell r="C316" t="e">
            <v>#N/A</v>
          </cell>
          <cell r="D316" t="str">
            <v>BT0</v>
          </cell>
          <cell r="E316" t="str">
            <v>BT24</v>
          </cell>
          <cell r="F316">
            <v>114.264</v>
          </cell>
          <cell r="G316">
            <v>50.707500000000003</v>
          </cell>
          <cell r="H316">
            <v>-1.1720999999999999</v>
          </cell>
        </row>
        <row r="317">
          <cell r="A317" t="str">
            <v>CYP71C4</v>
          </cell>
          <cell r="B317" t="e">
            <v>#N/A</v>
          </cell>
          <cell r="C317" t="e">
            <v>#N/A</v>
          </cell>
          <cell r="D317" t="str">
            <v>BT0</v>
          </cell>
          <cell r="E317" t="str">
            <v>BT24</v>
          </cell>
          <cell r="F317">
            <v>18.343399999999999</v>
          </cell>
          <cell r="G317">
            <v>8.4375999999999998</v>
          </cell>
          <cell r="H317">
            <v>-1.12036</v>
          </cell>
        </row>
        <row r="318">
          <cell r="A318" t="str">
            <v>GRMZM2G165461</v>
          </cell>
          <cell r="B318" t="e">
            <v>#N/A</v>
          </cell>
          <cell r="C318" t="str">
            <v>nitrilase-associated expressed</v>
          </cell>
          <cell r="D318" t="str">
            <v>BT0</v>
          </cell>
          <cell r="E318" t="str">
            <v>BT24</v>
          </cell>
          <cell r="F318">
            <v>17.877300000000002</v>
          </cell>
          <cell r="G318">
            <v>41.685499999999998</v>
          </cell>
          <cell r="H318">
            <v>1.2214100000000001</v>
          </cell>
        </row>
        <row r="319">
          <cell r="A319" t="str">
            <v>GRMZM2G122503</v>
          </cell>
          <cell r="B319" t="str">
            <v>GO:0016020GO:0006810GO:0005337GO:0016747</v>
          </cell>
          <cell r="C319" t="str">
            <v>benzyl alcohol o-benzoyltransferase-like</v>
          </cell>
          <cell r="D319" t="str">
            <v>BT0</v>
          </cell>
          <cell r="E319" t="str">
            <v>BT24</v>
          </cell>
          <cell r="F319">
            <v>2.60806</v>
          </cell>
          <cell r="G319">
            <v>1.29976</v>
          </cell>
          <cell r="H319">
            <v>-1.0047299999999999</v>
          </cell>
        </row>
        <row r="320">
          <cell r="A320" t="str">
            <v>GRMZM2G133675</v>
          </cell>
          <cell r="B320" t="str">
            <v>GO:0005634GO:0045449GO:0030528</v>
          </cell>
          <cell r="C320" t="str">
            <v>amelogenin precursor like protein</v>
          </cell>
          <cell r="D320" t="str">
            <v>BT0</v>
          </cell>
          <cell r="E320" t="str">
            <v>BT24</v>
          </cell>
          <cell r="F320">
            <v>5.6767500000000002</v>
          </cell>
          <cell r="G320">
            <v>2.4678200000000001</v>
          </cell>
          <cell r="H320">
            <v>-1.20183</v>
          </cell>
        </row>
        <row r="321">
          <cell r="A321" t="str">
            <v>GRMZM2G117942</v>
          </cell>
          <cell r="B321" t="str">
            <v>GO:0050832GO:0042742</v>
          </cell>
          <cell r="C321" t="str">
            <v>pathogenesis-related protein 4</v>
          </cell>
          <cell r="D321" t="str">
            <v>BT0</v>
          </cell>
          <cell r="E321" t="str">
            <v>BT24</v>
          </cell>
          <cell r="F321">
            <v>472.62900000000002</v>
          </cell>
          <cell r="G321">
            <v>123.27200000000001</v>
          </cell>
          <cell r="H321">
            <v>-1.9388700000000001</v>
          </cell>
        </row>
        <row r="322">
          <cell r="A322" t="str">
            <v>GRMZM2G358153</v>
          </cell>
          <cell r="B322" t="str">
            <v>GO:0004568GO:0006032</v>
          </cell>
          <cell r="C322" t="str">
            <v>chitinase 1</v>
          </cell>
          <cell r="D322" t="str">
            <v>BT0</v>
          </cell>
          <cell r="E322" t="str">
            <v>BT24</v>
          </cell>
          <cell r="F322">
            <v>21.0182</v>
          </cell>
          <cell r="G322">
            <v>10.0678</v>
          </cell>
          <cell r="H322">
            <v>-1.06189</v>
          </cell>
        </row>
        <row r="323">
          <cell r="A323" t="str">
            <v>GRMZM2G003970</v>
          </cell>
          <cell r="B323" t="e">
            <v>#N/A</v>
          </cell>
          <cell r="C323" t="str">
            <v>uncharacterized protein LOC100193759</v>
          </cell>
          <cell r="D323" t="str">
            <v>BT0</v>
          </cell>
          <cell r="E323" t="str">
            <v>BT24</v>
          </cell>
          <cell r="F323">
            <v>66.064599999999999</v>
          </cell>
          <cell r="G323">
            <v>30.912800000000001</v>
          </cell>
          <cell r="H323">
            <v>-1.0956699999999999</v>
          </cell>
        </row>
        <row r="324">
          <cell r="A324" t="str">
            <v>GRMZM2G093622</v>
          </cell>
          <cell r="B324" t="str">
            <v>GO:0048046GO:0030145GO:0045735</v>
          </cell>
          <cell r="C324" t="str">
            <v>germin-like protein subfamily 1 member 11 precursor</v>
          </cell>
          <cell r="D324" t="str">
            <v>BT0</v>
          </cell>
          <cell r="E324" t="str">
            <v>BT24</v>
          </cell>
          <cell r="F324">
            <v>0.82005799999999995</v>
          </cell>
          <cell r="G324">
            <v>0.15739300000000001</v>
          </cell>
          <cell r="H324">
            <v>-2.3813599999999999</v>
          </cell>
        </row>
        <row r="325">
          <cell r="A325" t="str">
            <v>GRMZM2G093606</v>
          </cell>
          <cell r="B325" t="str">
            <v>GO:0048046GO:0030145GO:0045735</v>
          </cell>
          <cell r="C325" t="str">
            <v>germin a</v>
          </cell>
          <cell r="D325" t="str">
            <v>BT0</v>
          </cell>
          <cell r="E325" t="str">
            <v>BT24</v>
          </cell>
          <cell r="F325">
            <v>1.03203</v>
          </cell>
          <cell r="G325">
            <v>0.212202</v>
          </cell>
          <cell r="H325">
            <v>-2.2819799999999999</v>
          </cell>
        </row>
        <row r="326">
          <cell r="A326" t="str">
            <v>GRMZM2G157298</v>
          </cell>
          <cell r="B326" t="str">
            <v>GO:0048046GO:0030145GO:0045735</v>
          </cell>
          <cell r="C326" t="str">
            <v>germin-like protein subfamily 1 member 11 precursor</v>
          </cell>
          <cell r="D326" t="str">
            <v>BT0</v>
          </cell>
          <cell r="E326" t="str">
            <v>BT24</v>
          </cell>
          <cell r="F326">
            <v>1.50597</v>
          </cell>
          <cell r="G326">
            <v>0.32916200000000001</v>
          </cell>
          <cell r="H326">
            <v>-2.1938300000000002</v>
          </cell>
        </row>
        <row r="327">
          <cell r="A327" t="str">
            <v>AC217947.4_FG002</v>
          </cell>
          <cell r="B327" t="str">
            <v>GO:0016491GO:0005506GO:0010181GO:0009055</v>
          </cell>
          <cell r="C327" t="e">
            <v>#N/A</v>
          </cell>
          <cell r="D327" t="str">
            <v>BT0</v>
          </cell>
          <cell r="E327" t="str">
            <v>BT24</v>
          </cell>
          <cell r="F327">
            <v>5.48848</v>
          </cell>
          <cell r="G327">
            <v>2.7343500000000001</v>
          </cell>
          <cell r="H327">
            <v>-1.0052099999999999</v>
          </cell>
        </row>
        <row r="328">
          <cell r="A328" t="str">
            <v>GRMZM2G475702</v>
          </cell>
          <cell r="B328" t="e">
            <v>#N/A</v>
          </cell>
          <cell r="C328" t="str">
            <v>u-box domain-containing protein 19-like</v>
          </cell>
          <cell r="D328" t="str">
            <v>BT0</v>
          </cell>
          <cell r="E328" t="str">
            <v>BT24</v>
          </cell>
          <cell r="F328">
            <v>1.1675800000000001</v>
          </cell>
          <cell r="G328">
            <v>0.42689700000000003</v>
          </cell>
          <cell r="H328">
            <v>-1.45156</v>
          </cell>
        </row>
        <row r="329">
          <cell r="A329" t="str">
            <v>GRMZM2G009019</v>
          </cell>
          <cell r="B329" t="e">
            <v>#N/A</v>
          </cell>
          <cell r="C329">
            <v>0</v>
          </cell>
          <cell r="D329" t="str">
            <v>BT0</v>
          </cell>
          <cell r="E329" t="str">
            <v>BT24</v>
          </cell>
          <cell r="F329">
            <v>3.1221700000000001</v>
          </cell>
          <cell r="G329">
            <v>0.84138999999999997</v>
          </cell>
          <cell r="H329">
            <v>-1.8916999999999999</v>
          </cell>
        </row>
        <row r="330">
          <cell r="A330" t="str">
            <v>GRMZM2G104741</v>
          </cell>
          <cell r="B330" t="e">
            <v>#N/A</v>
          </cell>
          <cell r="C330">
            <v>0</v>
          </cell>
          <cell r="D330" t="str">
            <v>BT0</v>
          </cell>
          <cell r="E330" t="str">
            <v>BT24</v>
          </cell>
          <cell r="F330">
            <v>1.0734600000000001</v>
          </cell>
          <cell r="G330">
            <v>0.49669799999999997</v>
          </cell>
          <cell r="H330">
            <v>-1.1118399999999999</v>
          </cell>
        </row>
        <row r="331">
          <cell r="A331" t="str">
            <v>GRMZM2G161696</v>
          </cell>
          <cell r="B331" t="str">
            <v>GO:0006508GO:0004185</v>
          </cell>
          <cell r="C331" t="str">
            <v>carboxypeptidase d</v>
          </cell>
          <cell r="D331" t="str">
            <v>BT0</v>
          </cell>
          <cell r="E331" t="str">
            <v>BT24</v>
          </cell>
          <cell r="F331">
            <v>1.39297</v>
          </cell>
          <cell r="G331">
            <v>5.1764799999999997</v>
          </cell>
          <cell r="H331">
            <v>1.89381</v>
          </cell>
        </row>
        <row r="332">
          <cell r="A332" t="str">
            <v>GRMZM2G496770</v>
          </cell>
          <cell r="B332" t="e">
            <v>#N/A</v>
          </cell>
          <cell r="C332" t="str">
            <v>transcription factor laf1-like</v>
          </cell>
          <cell r="D332" t="str">
            <v>BT0</v>
          </cell>
          <cell r="E332" t="str">
            <v>BT24</v>
          </cell>
          <cell r="F332">
            <v>2.0029499999999998</v>
          </cell>
          <cell r="G332">
            <v>0.96518300000000001</v>
          </cell>
          <cell r="H332">
            <v>-1.05325</v>
          </cell>
        </row>
        <row r="333">
          <cell r="A333" t="str">
            <v>GRMZM2G057262</v>
          </cell>
          <cell r="B333" t="str">
            <v>GO:0005737GO:0006457GO:0008270GO:0005515GO:0005524</v>
          </cell>
          <cell r="C333" t="str">
            <v>s-ribonuclease binding protein sbp1</v>
          </cell>
          <cell r="D333" t="str">
            <v>BT0</v>
          </cell>
          <cell r="E333" t="str">
            <v>BT24</v>
          </cell>
          <cell r="F333">
            <v>1.58613</v>
          </cell>
          <cell r="G333">
            <v>3.82646</v>
          </cell>
          <cell r="H333">
            <v>1.2705</v>
          </cell>
        </row>
        <row r="334">
          <cell r="A334" t="str">
            <v>GRMZM2G099297</v>
          </cell>
          <cell r="B334" t="str">
            <v>GO:0008171</v>
          </cell>
          <cell r="C334" t="str">
            <v>o-methyltransferase zrp4</v>
          </cell>
          <cell r="D334" t="str">
            <v>BT0</v>
          </cell>
          <cell r="E334" t="str">
            <v>BT24</v>
          </cell>
          <cell r="F334">
            <v>0.26356299999999999</v>
          </cell>
          <cell r="G334">
            <v>1.16221</v>
          </cell>
          <cell r="H334">
            <v>2.1406499999999999</v>
          </cell>
        </row>
        <row r="335">
          <cell r="A335" t="str">
            <v>GRMZM2G101125</v>
          </cell>
          <cell r="B335" t="e">
            <v>#N/A</v>
          </cell>
          <cell r="C335" t="str">
            <v>vacuolar amino acid transporter 1-like</v>
          </cell>
          <cell r="D335" t="str">
            <v>BT0</v>
          </cell>
          <cell r="E335" t="str">
            <v>BT24</v>
          </cell>
          <cell r="F335">
            <v>5.13192</v>
          </cell>
          <cell r="G335">
            <v>2.4468200000000002</v>
          </cell>
          <cell r="H335">
            <v>-1.0685899999999999</v>
          </cell>
        </row>
        <row r="336">
          <cell r="A336" t="str">
            <v>GRMZM2G047414</v>
          </cell>
          <cell r="B336" t="str">
            <v>GO:0005975GO:0004650</v>
          </cell>
          <cell r="C336" t="str">
            <v>glycoside hydrolase family 28 protein</v>
          </cell>
          <cell r="D336" t="str">
            <v>BT0</v>
          </cell>
          <cell r="E336" t="str">
            <v>BT24</v>
          </cell>
          <cell r="F336">
            <v>1.7053499999999999</v>
          </cell>
          <cell r="G336">
            <v>0.74657300000000004</v>
          </cell>
          <cell r="H336">
            <v>-1.19171</v>
          </cell>
        </row>
        <row r="337">
          <cell r="A337" t="str">
            <v>GRMZM2G040548</v>
          </cell>
          <cell r="B337" t="e">
            <v>#N/A</v>
          </cell>
          <cell r="C337" t="str">
            <v>hypothetical protein</v>
          </cell>
          <cell r="D337" t="str">
            <v>BT0</v>
          </cell>
          <cell r="E337" t="str">
            <v>BT24</v>
          </cell>
          <cell r="F337">
            <v>1.20248</v>
          </cell>
          <cell r="G337">
            <v>0.30965300000000001</v>
          </cell>
          <cell r="H337">
            <v>-1.95729</v>
          </cell>
        </row>
        <row r="338">
          <cell r="A338" t="str">
            <v>GRMZM2G001953</v>
          </cell>
          <cell r="B338" t="str">
            <v>GO:0006886GO:0003924GO:0006913GO:0005622GO:0005515GO:0007264GO:0005525</v>
          </cell>
          <cell r="C338" t="str">
            <v>small gtp-binding protein ac3</v>
          </cell>
          <cell r="D338" t="str">
            <v>BT0</v>
          </cell>
          <cell r="E338" t="str">
            <v>BT24</v>
          </cell>
          <cell r="F338">
            <v>1.6105</v>
          </cell>
          <cell r="G338">
            <v>0.48347200000000001</v>
          </cell>
          <cell r="H338">
            <v>-1.736</v>
          </cell>
        </row>
        <row r="339">
          <cell r="A339" t="str">
            <v>GRMZM2G065652</v>
          </cell>
          <cell r="B339" t="e">
            <v>#N/A</v>
          </cell>
          <cell r="C339" t="str">
            <v>uncharacterized protein LOC100272674</v>
          </cell>
          <cell r="D339" t="str">
            <v>BT0</v>
          </cell>
          <cell r="E339" t="str">
            <v>BT24</v>
          </cell>
          <cell r="F339">
            <v>0</v>
          </cell>
          <cell r="G339">
            <v>2.0526200000000001</v>
          </cell>
          <cell r="H339" t="str">
            <v>inf</v>
          </cell>
        </row>
        <row r="340">
          <cell r="A340" t="str">
            <v>GRMZM2G071478</v>
          </cell>
          <cell r="B340" t="str">
            <v>GO:0006468GO:0016998GO:0004674GO:0004336GO:0004713GO:0006683GO:0005524</v>
          </cell>
          <cell r="C340" t="str">
            <v>probable receptor-like protein kinase at1g49730-like</v>
          </cell>
          <cell r="D340" t="str">
            <v>BT0</v>
          </cell>
          <cell r="E340" t="str">
            <v>BT24</v>
          </cell>
          <cell r="F340">
            <v>2.7837900000000002</v>
          </cell>
          <cell r="G340">
            <v>1.3031200000000001</v>
          </cell>
          <cell r="H340">
            <v>-1.0950800000000001</v>
          </cell>
        </row>
        <row r="341">
          <cell r="A341" t="str">
            <v>GRMZM5G880632</v>
          </cell>
          <cell r="B341" t="e">
            <v>#N/A</v>
          </cell>
          <cell r="C341" t="str">
            <v>endonuclease or glycosyl hydrolase</v>
          </cell>
          <cell r="D341" t="str">
            <v>BT0</v>
          </cell>
          <cell r="E341" t="str">
            <v>BT24</v>
          </cell>
          <cell r="F341">
            <v>1.98668</v>
          </cell>
          <cell r="G341">
            <v>0.54719899999999999</v>
          </cell>
          <cell r="H341">
            <v>-1.86022</v>
          </cell>
        </row>
        <row r="342">
          <cell r="A342" t="str">
            <v>GRMZM2G017022</v>
          </cell>
          <cell r="B342" t="str">
            <v>GO:0006468GO:0004713GO:0005524</v>
          </cell>
          <cell r="C342" t="str">
            <v>probable lrr receptor-like serine threonine-protein kinase at2g24230-like</v>
          </cell>
          <cell r="D342" t="str">
            <v>BT0</v>
          </cell>
          <cell r="E342" t="str">
            <v>BT24</v>
          </cell>
          <cell r="F342">
            <v>8.9638899999999992</v>
          </cell>
          <cell r="G342">
            <v>4.20824</v>
          </cell>
          <cell r="H342">
            <v>-1.09091</v>
          </cell>
        </row>
        <row r="343">
          <cell r="A343" t="str">
            <v>GRMZM2G117706</v>
          </cell>
          <cell r="B343" t="str">
            <v>GO:0020037GO:0005576GO:0004601GO:0006979GO:0009055</v>
          </cell>
          <cell r="C343" t="str">
            <v>bacterial-induced peroxidase precursor</v>
          </cell>
          <cell r="D343" t="str">
            <v>BT0</v>
          </cell>
          <cell r="E343" t="str">
            <v>BT24</v>
          </cell>
          <cell r="F343">
            <v>94.842500000000001</v>
          </cell>
          <cell r="G343">
            <v>11.754899999999999</v>
          </cell>
          <cell r="H343">
            <v>-3.01227</v>
          </cell>
        </row>
        <row r="344">
          <cell r="A344" t="str">
            <v>GRMZM2G010044</v>
          </cell>
          <cell r="B344" t="str">
            <v>GO:0008652GO:0016836GO:0051539</v>
          </cell>
          <cell r="C344" t="str">
            <v>3-isopropylmalate dehydratase</v>
          </cell>
          <cell r="D344" t="str">
            <v>BT0</v>
          </cell>
          <cell r="E344" t="str">
            <v>BT24</v>
          </cell>
          <cell r="F344">
            <v>70.599400000000003</v>
          </cell>
          <cell r="G344">
            <v>22.953199999999999</v>
          </cell>
          <cell r="H344">
            <v>-1.62096</v>
          </cell>
        </row>
        <row r="345">
          <cell r="A345" t="str">
            <v>BIPE3</v>
          </cell>
          <cell r="B345" t="e">
            <v>#N/A</v>
          </cell>
          <cell r="C345" t="e">
            <v>#N/A</v>
          </cell>
          <cell r="D345" t="str">
            <v>BT0</v>
          </cell>
          <cell r="E345" t="str">
            <v>BT24</v>
          </cell>
          <cell r="F345">
            <v>24.3767</v>
          </cell>
          <cell r="G345">
            <v>9.5897699999999997</v>
          </cell>
          <cell r="H345">
            <v>-1.3459399999999999</v>
          </cell>
        </row>
        <row r="346">
          <cell r="A346" t="str">
            <v>GRMZM2G455909</v>
          </cell>
          <cell r="B346" t="str">
            <v>GO:0006915GO:0005524</v>
          </cell>
          <cell r="C346" t="str">
            <v>nbs-lrr type protein</v>
          </cell>
          <cell r="D346" t="str">
            <v>BT0</v>
          </cell>
          <cell r="E346" t="str">
            <v>BT24</v>
          </cell>
          <cell r="F346">
            <v>7.2991200000000003</v>
          </cell>
          <cell r="G346">
            <v>3.37039</v>
          </cell>
          <cell r="H346">
            <v>-1.1148100000000001</v>
          </cell>
        </row>
        <row r="347">
          <cell r="A347" t="str">
            <v>GRMZM2G013170</v>
          </cell>
          <cell r="B347" t="str">
            <v>GO:0017111GO:0000166</v>
          </cell>
          <cell r="C347" t="str">
            <v>disease resistance protein rpp13-like</v>
          </cell>
          <cell r="D347" t="str">
            <v>BT0</v>
          </cell>
          <cell r="E347" t="str">
            <v>BT24</v>
          </cell>
          <cell r="F347">
            <v>20.513999999999999</v>
          </cell>
          <cell r="G347">
            <v>10.058400000000001</v>
          </cell>
          <cell r="H347">
            <v>-1.0282</v>
          </cell>
        </row>
        <row r="348">
          <cell r="A348" t="str">
            <v>GRMZM2G006363</v>
          </cell>
          <cell r="B348" t="str">
            <v>GO:0003700GO:0006355GO:0005200GO:0043565</v>
          </cell>
          <cell r="C348" t="str">
            <v>retrotransposon expressed</v>
          </cell>
          <cell r="D348" t="str">
            <v>BT0</v>
          </cell>
          <cell r="E348" t="str">
            <v>BT24</v>
          </cell>
          <cell r="F348">
            <v>5.5301799999999997</v>
          </cell>
          <cell r="G348">
            <v>15.433</v>
          </cell>
          <cell r="H348">
            <v>1.48062</v>
          </cell>
        </row>
        <row r="349">
          <cell r="A349" t="str">
            <v>GRMZM2G117971</v>
          </cell>
          <cell r="B349" t="str">
            <v>GO:0050832GO:0042742</v>
          </cell>
          <cell r="C349" t="str">
            <v>pathogenesis-related protein 4</v>
          </cell>
          <cell r="D349" t="str">
            <v>BT0</v>
          </cell>
          <cell r="E349" t="str">
            <v>BT24</v>
          </cell>
          <cell r="F349">
            <v>430.42399999999998</v>
          </cell>
          <cell r="G349">
            <v>122.57599999999999</v>
          </cell>
          <cell r="H349">
            <v>-1.8120799999999999</v>
          </cell>
        </row>
        <row r="350">
          <cell r="A350" t="str">
            <v>GRMZM2G359581</v>
          </cell>
          <cell r="B350" t="e">
            <v>#N/A</v>
          </cell>
          <cell r="C350" t="str">
            <v>tpa: cystatin</v>
          </cell>
          <cell r="D350" t="str">
            <v>BT0</v>
          </cell>
          <cell r="E350" t="str">
            <v>BT24</v>
          </cell>
          <cell r="F350">
            <v>4.5272600000000001</v>
          </cell>
          <cell r="G350">
            <v>11.312799999999999</v>
          </cell>
          <cell r="H350">
            <v>1.32124</v>
          </cell>
        </row>
        <row r="351">
          <cell r="A351" t="str">
            <v>GRMZM2G143373</v>
          </cell>
          <cell r="B351" t="str">
            <v>GO:0009239GO:0005488GO:0008667</v>
          </cell>
          <cell r="C351" t="str">
            <v>cis- -dihydrobiphenyl- -diol dehydrogenase</v>
          </cell>
          <cell r="D351" t="str">
            <v>BT0</v>
          </cell>
          <cell r="E351" t="str">
            <v>BT24</v>
          </cell>
          <cell r="F351">
            <v>0.49915300000000001</v>
          </cell>
          <cell r="G351">
            <v>1.4171499999999999</v>
          </cell>
          <cell r="H351">
            <v>1.5054399999999999</v>
          </cell>
        </row>
        <row r="352">
          <cell r="A352" t="str">
            <v>AC204611.4_FG001</v>
          </cell>
          <cell r="B352" t="e">
            <v>#N/A</v>
          </cell>
          <cell r="C352" t="e">
            <v>#N/A</v>
          </cell>
          <cell r="D352" t="str">
            <v>BT0</v>
          </cell>
          <cell r="E352" t="str">
            <v>BT24</v>
          </cell>
          <cell r="F352">
            <v>0.33421000000000001</v>
          </cell>
          <cell r="G352">
            <v>0.97919599999999996</v>
          </cell>
          <cell r="H352">
            <v>1.55084</v>
          </cell>
        </row>
        <row r="353">
          <cell r="A353" t="str">
            <v>GRMZM2G469499</v>
          </cell>
          <cell r="B353" t="str">
            <v>GO:0005488</v>
          </cell>
          <cell r="C353" t="str">
            <v>protein</v>
          </cell>
          <cell r="D353" t="str">
            <v>BT0</v>
          </cell>
          <cell r="E353" t="str">
            <v>BT24</v>
          </cell>
          <cell r="F353">
            <v>1.00776</v>
          </cell>
          <cell r="G353">
            <v>0.40649400000000002</v>
          </cell>
          <cell r="H353">
            <v>-1.3098399999999999</v>
          </cell>
        </row>
        <row r="354">
          <cell r="A354" t="str">
            <v>GRMZM2G030772</v>
          </cell>
          <cell r="B354" t="str">
            <v>GO:0048046GO:0030145GO:0045735</v>
          </cell>
          <cell r="C354" t="str">
            <v>germin a</v>
          </cell>
          <cell r="D354" t="str">
            <v>BT0</v>
          </cell>
          <cell r="E354" t="str">
            <v>BT24</v>
          </cell>
          <cell r="F354">
            <v>1.6614199999999999</v>
          </cell>
          <cell r="G354">
            <v>0.47556500000000002</v>
          </cell>
          <cell r="H354">
            <v>-1.80471</v>
          </cell>
        </row>
        <row r="355">
          <cell r="A355" t="str">
            <v>GRMZM2G149714</v>
          </cell>
          <cell r="B355" t="str">
            <v>GO:0048046GO:0030145GO:0045735</v>
          </cell>
          <cell r="C355" t="str">
            <v>germin a</v>
          </cell>
          <cell r="D355" t="str">
            <v>BT0</v>
          </cell>
          <cell r="E355" t="str">
            <v>BT24</v>
          </cell>
          <cell r="F355">
            <v>2.4919600000000002</v>
          </cell>
          <cell r="G355">
            <v>1.06064</v>
          </cell>
          <cell r="H355">
            <v>-1.23234</v>
          </cell>
        </row>
        <row r="356">
          <cell r="A356" t="str">
            <v>GRMZM2G093076</v>
          </cell>
          <cell r="B356" t="str">
            <v>GO:0048046GO:0030145GO:0045735</v>
          </cell>
          <cell r="C356" t="str">
            <v>germin-like protein 8-9-like</v>
          </cell>
          <cell r="D356" t="str">
            <v>BT0</v>
          </cell>
          <cell r="E356" t="str">
            <v>BT24</v>
          </cell>
          <cell r="F356">
            <v>1.10179</v>
          </cell>
          <cell r="G356">
            <v>0.423398</v>
          </cell>
          <cell r="H356">
            <v>-1.3797600000000001</v>
          </cell>
        </row>
        <row r="357">
          <cell r="A357" t="str">
            <v>GRMZM2G092432</v>
          </cell>
          <cell r="B357" t="str">
            <v>GO:0016597GO:0008152</v>
          </cell>
          <cell r="C357" t="str">
            <v>act domain-containing protein</v>
          </cell>
          <cell r="D357" t="str">
            <v>BT0</v>
          </cell>
          <cell r="E357" t="str">
            <v>BT24</v>
          </cell>
          <cell r="F357">
            <v>2.1012900000000001</v>
          </cell>
          <cell r="G357">
            <v>0.70708199999999999</v>
          </cell>
          <cell r="H357">
            <v>-1.5713200000000001</v>
          </cell>
        </row>
        <row r="358">
          <cell r="A358" t="str">
            <v>GRMZM2G121928</v>
          </cell>
          <cell r="B358" t="str">
            <v>GO:0016020GO:0016301GO:0051260GO:0005524GO:0008152</v>
          </cell>
          <cell r="C358">
            <v>0</v>
          </cell>
          <cell r="D358" t="str">
            <v>BT0</v>
          </cell>
          <cell r="E358" t="str">
            <v>BT24</v>
          </cell>
          <cell r="F358">
            <v>8.3787299999999991</v>
          </cell>
          <cell r="G358">
            <v>1.8648100000000001</v>
          </cell>
          <cell r="H358">
            <v>-2.1677</v>
          </cell>
        </row>
        <row r="359">
          <cell r="A359" t="str">
            <v>GRMZM2G359986</v>
          </cell>
          <cell r="B359" t="str">
            <v>GO:0004674GO:0006468GO:0004713GO:0005524</v>
          </cell>
          <cell r="C359" t="str">
            <v>wall-associated receptor kinase-like 20</v>
          </cell>
          <cell r="D359" t="str">
            <v>BT0</v>
          </cell>
          <cell r="E359" t="str">
            <v>BT24</v>
          </cell>
          <cell r="F359">
            <v>5.4894999999999996</v>
          </cell>
          <cell r="G359">
            <v>2.5388600000000001</v>
          </cell>
          <cell r="H359">
            <v>-1.1125</v>
          </cell>
        </row>
        <row r="360">
          <cell r="A360" t="str">
            <v>GRMZM2G089698</v>
          </cell>
          <cell r="B360" t="str">
            <v>GO:0016747</v>
          </cell>
          <cell r="C360" t="str">
            <v>anthranilate n-benzoyltransferase protein 1</v>
          </cell>
          <cell r="D360" t="str">
            <v>BT0</v>
          </cell>
          <cell r="E360" t="str">
            <v>BT24</v>
          </cell>
          <cell r="F360">
            <v>4.4676499999999999</v>
          </cell>
          <cell r="G360">
            <v>1.59819</v>
          </cell>
          <cell r="H360">
            <v>-1.4830700000000001</v>
          </cell>
        </row>
        <row r="361">
          <cell r="A361" t="str">
            <v>GRMZM2G041344</v>
          </cell>
          <cell r="B361" t="str">
            <v>GO:0008270GO:0005515</v>
          </cell>
          <cell r="C361" t="str">
            <v>ring-h2 finger protein atl5f</v>
          </cell>
          <cell r="D361" t="str">
            <v>BT0</v>
          </cell>
          <cell r="E361" t="str">
            <v>BT24</v>
          </cell>
          <cell r="F361">
            <v>0.92362100000000003</v>
          </cell>
          <cell r="G361">
            <v>0.434008</v>
          </cell>
          <cell r="H361">
            <v>-1.08958</v>
          </cell>
        </row>
        <row r="362">
          <cell r="A362" t="str">
            <v>GRMZM2G021256</v>
          </cell>
          <cell r="B362" t="str">
            <v>GO:0019898GO:0050825GO:0005509GO:0042309GO:0050826GO:0009654GO:0015979</v>
          </cell>
          <cell r="C362" t="str">
            <v>photosystem ii oxygen-evolving enhancer protein</v>
          </cell>
          <cell r="D362" t="str">
            <v>BT0</v>
          </cell>
          <cell r="E362" t="str">
            <v>BT24</v>
          </cell>
          <cell r="F362">
            <v>12.3963</v>
          </cell>
          <cell r="G362">
            <v>28.085799999999999</v>
          </cell>
          <cell r="H362">
            <v>1.1799299999999999</v>
          </cell>
        </row>
        <row r="363">
          <cell r="A363" t="str">
            <v>GRMZM2G421513</v>
          </cell>
          <cell r="B363" t="e">
            <v>#N/A</v>
          </cell>
          <cell r="C363" t="str">
            <v>unknown protein</v>
          </cell>
          <cell r="D363" t="str">
            <v>BT0</v>
          </cell>
          <cell r="E363" t="str">
            <v>BT24</v>
          </cell>
          <cell r="F363">
            <v>1.2919799999999999</v>
          </cell>
          <cell r="G363">
            <v>0.63637600000000005</v>
          </cell>
          <cell r="H363">
            <v>-1.0216400000000001</v>
          </cell>
        </row>
        <row r="364">
          <cell r="A364" t="str">
            <v>GRMZM2G007729</v>
          </cell>
          <cell r="B364" t="e">
            <v>#N/A</v>
          </cell>
          <cell r="C364" t="str">
            <v>heat-shock protein</v>
          </cell>
          <cell r="D364" t="str">
            <v>BT0</v>
          </cell>
          <cell r="E364" t="str">
            <v>BT24</v>
          </cell>
          <cell r="F364">
            <v>2.8349899999999999</v>
          </cell>
          <cell r="G364">
            <v>0.47303800000000001</v>
          </cell>
          <cell r="H364">
            <v>-2.5833200000000001</v>
          </cell>
        </row>
        <row r="365">
          <cell r="A365" t="str">
            <v>GRMZM2G016948</v>
          </cell>
          <cell r="B365" t="e">
            <v>#N/A</v>
          </cell>
          <cell r="C365" t="str">
            <v>unknown</v>
          </cell>
          <cell r="D365" t="str">
            <v>BT0</v>
          </cell>
          <cell r="E365" t="str">
            <v>BT24</v>
          </cell>
          <cell r="F365">
            <v>2.1225000000000001</v>
          </cell>
          <cell r="G365">
            <v>0.75275000000000003</v>
          </cell>
          <cell r="H365">
            <v>-1.49552</v>
          </cell>
        </row>
        <row r="366">
          <cell r="A366" t="str">
            <v>GRMZM2G090728</v>
          </cell>
          <cell r="B366" t="e">
            <v>#N/A</v>
          </cell>
          <cell r="C366" t="str">
            <v>trichome birefringence-like 34 protein</v>
          </cell>
          <cell r="D366" t="str">
            <v>BT0</v>
          </cell>
          <cell r="E366" t="str">
            <v>BT24</v>
          </cell>
          <cell r="F366">
            <v>0.58475500000000002</v>
          </cell>
          <cell r="G366">
            <v>1.3972199999999999</v>
          </cell>
          <cell r="H366">
            <v>1.2566600000000001</v>
          </cell>
        </row>
        <row r="367">
          <cell r="A367" t="str">
            <v>GRMZM2G132880</v>
          </cell>
          <cell r="B367" t="e">
            <v>#N/A</v>
          </cell>
          <cell r="C367" t="str">
            <v>terminal flower 1</v>
          </cell>
          <cell r="D367" t="str">
            <v>BT0</v>
          </cell>
          <cell r="E367" t="str">
            <v>BT24</v>
          </cell>
          <cell r="F367">
            <v>3.9423400000000002</v>
          </cell>
          <cell r="G367">
            <v>0.74741000000000002</v>
          </cell>
          <cell r="H367">
            <v>-2.3990800000000001</v>
          </cell>
        </row>
        <row r="368">
          <cell r="A368" t="str">
            <v>GRMZM2G001200</v>
          </cell>
          <cell r="B368" t="e">
            <v>#N/A</v>
          </cell>
          <cell r="C368" t="str">
            <v>uncharacterized protein LOC100382872</v>
          </cell>
          <cell r="D368" t="str">
            <v>BT0</v>
          </cell>
          <cell r="E368" t="str">
            <v>BT24</v>
          </cell>
          <cell r="F368">
            <v>1.77135</v>
          </cell>
          <cell r="G368">
            <v>0.790354</v>
          </cell>
          <cell r="H368">
            <v>-1.16428</v>
          </cell>
        </row>
        <row r="369">
          <cell r="A369" t="str">
            <v>GRMZM2G164781</v>
          </cell>
          <cell r="B369" t="e">
            <v>#N/A</v>
          </cell>
          <cell r="C369" t="str">
            <v>unknown</v>
          </cell>
          <cell r="D369" t="str">
            <v>BT0</v>
          </cell>
          <cell r="E369" t="str">
            <v>BT24</v>
          </cell>
          <cell r="F369">
            <v>2.3878300000000001</v>
          </cell>
          <cell r="G369">
            <v>6.2337499999999997</v>
          </cell>
          <cell r="H369">
            <v>1.3844000000000001</v>
          </cell>
        </row>
        <row r="370">
          <cell r="A370" t="str">
            <v>GRMZM2G332522</v>
          </cell>
          <cell r="B370" t="str">
            <v>GO:0008171</v>
          </cell>
          <cell r="C370" t="str">
            <v>caffeoyl- 3-o-methyltransferase 1</v>
          </cell>
          <cell r="D370" t="str">
            <v>BT0</v>
          </cell>
          <cell r="E370" t="str">
            <v>BT24</v>
          </cell>
          <cell r="F370">
            <v>25.8858</v>
          </cell>
          <cell r="G370">
            <v>9.9911799999999999</v>
          </cell>
          <cell r="H370">
            <v>-1.3734299999999999</v>
          </cell>
        </row>
        <row r="371">
          <cell r="A371" t="str">
            <v>GRMZM2G034024</v>
          </cell>
          <cell r="B371" t="e">
            <v>#N/A</v>
          </cell>
          <cell r="C371" t="str">
            <v>uncharacterized protein LOC100384287</v>
          </cell>
          <cell r="D371" t="str">
            <v>BT0</v>
          </cell>
          <cell r="E371" t="str">
            <v>BT24</v>
          </cell>
          <cell r="F371">
            <v>2.1829100000000001</v>
          </cell>
          <cell r="G371">
            <v>0.38224900000000001</v>
          </cell>
          <cell r="H371">
            <v>-2.5136699999999998</v>
          </cell>
        </row>
        <row r="372">
          <cell r="A372" t="str">
            <v>GRMZM2G418160</v>
          </cell>
          <cell r="B372" t="e">
            <v>#N/A</v>
          </cell>
          <cell r="C372" t="str">
            <v>root hair defective 3 gtp-binding protein</v>
          </cell>
          <cell r="D372" t="str">
            <v>BT0</v>
          </cell>
          <cell r="E372" t="str">
            <v>BT24</v>
          </cell>
          <cell r="F372">
            <v>0.77681800000000001</v>
          </cell>
          <cell r="G372">
            <v>0.138992</v>
          </cell>
          <cell r="H372">
            <v>-2.48258</v>
          </cell>
        </row>
        <row r="373">
          <cell r="A373" t="str">
            <v>GRMZM2G062600</v>
          </cell>
          <cell r="B373" t="str">
            <v>GO:0005975GO:0004553</v>
          </cell>
          <cell r="C373" t="str">
            <v>beta glucanase</v>
          </cell>
          <cell r="D373" t="str">
            <v>BT0</v>
          </cell>
          <cell r="E373" t="str">
            <v>BT24</v>
          </cell>
          <cell r="F373">
            <v>2.62277</v>
          </cell>
          <cell r="G373">
            <v>0.871224</v>
          </cell>
          <cell r="H373">
            <v>-1.5899799999999999</v>
          </cell>
        </row>
        <row r="374">
          <cell r="A374" t="str">
            <v>GRMZM2G143457</v>
          </cell>
          <cell r="B374" t="e">
            <v>#N/A</v>
          </cell>
          <cell r="C374" t="str">
            <v>at5g43400 mwf20_9</v>
          </cell>
          <cell r="D374" t="str">
            <v>BT0</v>
          </cell>
          <cell r="E374" t="str">
            <v>BT24</v>
          </cell>
          <cell r="F374">
            <v>0.80704299999999995</v>
          </cell>
          <cell r="G374">
            <v>0.17449700000000001</v>
          </cell>
          <cell r="H374">
            <v>-2.2094499999999999</v>
          </cell>
        </row>
        <row r="375">
          <cell r="A375" t="str">
            <v>GRMZM2G133988</v>
          </cell>
          <cell r="B375" t="str">
            <v>GO:0008152</v>
          </cell>
          <cell r="C375" t="str">
            <v>3-isopropylmalate dehydratase-like</v>
          </cell>
          <cell r="D375" t="str">
            <v>BT0</v>
          </cell>
          <cell r="E375" t="str">
            <v>BT24</v>
          </cell>
          <cell r="F375">
            <v>9.6281999999999996</v>
          </cell>
          <cell r="G375">
            <v>2.9689000000000001</v>
          </cell>
          <cell r="H375">
            <v>-1.6973400000000001</v>
          </cell>
        </row>
        <row r="376">
          <cell r="A376" t="str">
            <v>GRMZM2G124229</v>
          </cell>
          <cell r="B376" t="str">
            <v>GO:0016787GO:0008152</v>
          </cell>
          <cell r="C376" t="str">
            <v>protein</v>
          </cell>
          <cell r="D376" t="str">
            <v>BT0</v>
          </cell>
          <cell r="E376" t="str">
            <v>BT24</v>
          </cell>
          <cell r="F376">
            <v>1.19441</v>
          </cell>
          <cell r="G376">
            <v>0.147284</v>
          </cell>
          <cell r="H376">
            <v>-3.0196200000000002</v>
          </cell>
        </row>
        <row r="377">
          <cell r="A377" t="str">
            <v>GRMZM5G862540</v>
          </cell>
          <cell r="B377" t="e">
            <v>#N/A</v>
          </cell>
          <cell r="C377" t="str">
            <v>udp-glucose 6- expressed</v>
          </cell>
          <cell r="D377" t="str">
            <v>BT0</v>
          </cell>
          <cell r="E377" t="str">
            <v>BT24</v>
          </cell>
          <cell r="F377">
            <v>51.973799999999997</v>
          </cell>
          <cell r="G377">
            <v>22.76</v>
          </cell>
          <cell r="H377">
            <v>-1.1912799999999999</v>
          </cell>
        </row>
        <row r="378">
          <cell r="A378" t="str">
            <v>GRMZM2G010048</v>
          </cell>
          <cell r="B378" t="e">
            <v>#N/A</v>
          </cell>
          <cell r="C378" t="str">
            <v>p21 expressed</v>
          </cell>
          <cell r="D378" t="str">
            <v>BT0</v>
          </cell>
          <cell r="E378" t="str">
            <v>BT24</v>
          </cell>
          <cell r="F378">
            <v>5.84856</v>
          </cell>
          <cell r="G378">
            <v>2.4004099999999999</v>
          </cell>
          <cell r="H378">
            <v>-1.2847999999999999</v>
          </cell>
        </row>
        <row r="379">
          <cell r="A379" t="str">
            <v>GRMZM2G100412</v>
          </cell>
          <cell r="B379" t="str">
            <v>GO:0004497GO:0020037GO:0009055</v>
          </cell>
          <cell r="C379" t="str">
            <v>cytochrome p450 87a3-like</v>
          </cell>
          <cell r="D379" t="str">
            <v>BT0</v>
          </cell>
          <cell r="E379" t="str">
            <v>BT24</v>
          </cell>
          <cell r="F379">
            <v>7.9981600000000004</v>
          </cell>
          <cell r="G379">
            <v>0.51134800000000002</v>
          </cell>
          <cell r="H379">
            <v>-3.9672900000000002</v>
          </cell>
        </row>
        <row r="380">
          <cell r="A380" t="str">
            <v>GRMZM2G161411</v>
          </cell>
          <cell r="B380" t="str">
            <v>GO:0003700GO:0043565GO:0005634GO:0045449</v>
          </cell>
          <cell r="C380" t="str">
            <v>dna-binding protein</v>
          </cell>
          <cell r="D380" t="str">
            <v>BT0</v>
          </cell>
          <cell r="E380" t="str">
            <v>BT24</v>
          </cell>
          <cell r="F380">
            <v>3.17502</v>
          </cell>
          <cell r="G380">
            <v>7.2730499999999996</v>
          </cell>
          <cell r="H380">
            <v>1.1957899999999999</v>
          </cell>
        </row>
        <row r="381">
          <cell r="A381" t="str">
            <v>GRMZM2G087326</v>
          </cell>
          <cell r="B381" t="str">
            <v>GO:0005794GO:0030244GO:0007047GO:0016758GO:0009505GO:0030054</v>
          </cell>
          <cell r="C381" t="str">
            <v>reversibly glycosylated polypeptide</v>
          </cell>
          <cell r="D381" t="str">
            <v>BT0</v>
          </cell>
          <cell r="E381" t="str">
            <v>BT24</v>
          </cell>
          <cell r="F381">
            <v>66.1464</v>
          </cell>
          <cell r="G381">
            <v>31.767099999999999</v>
          </cell>
          <cell r="H381">
            <v>-1.05813</v>
          </cell>
        </row>
        <row r="382">
          <cell r="A382" t="str">
            <v>GRMZM5G851862</v>
          </cell>
          <cell r="B382" t="e">
            <v>#N/A</v>
          </cell>
          <cell r="C382" t="str">
            <v>cytochrome p450 family expressed</v>
          </cell>
          <cell r="D382" t="str">
            <v>BT0</v>
          </cell>
          <cell r="E382" t="str">
            <v>BT24</v>
          </cell>
          <cell r="F382">
            <v>3.2232400000000001</v>
          </cell>
          <cell r="G382">
            <v>1.0396000000000001</v>
          </cell>
          <cell r="H382">
            <v>-1.6324799999999999</v>
          </cell>
        </row>
        <row r="383">
          <cell r="A383" t="str">
            <v>GRMZM2G030169</v>
          </cell>
          <cell r="B383" t="str">
            <v>GO:0005524GO:0005515</v>
          </cell>
          <cell r="C383" t="str">
            <v>actin- expressed</v>
          </cell>
          <cell r="D383" t="str">
            <v>BT0</v>
          </cell>
          <cell r="E383" t="str">
            <v>BT24</v>
          </cell>
          <cell r="F383">
            <v>1.7793000000000001</v>
          </cell>
          <cell r="G383">
            <v>0.81548900000000002</v>
          </cell>
          <cell r="H383">
            <v>-1.12557</v>
          </cell>
        </row>
        <row r="384">
          <cell r="A384" t="str">
            <v>GRMZM2G436710</v>
          </cell>
          <cell r="B384" t="e">
            <v>#N/A</v>
          </cell>
          <cell r="C384" t="str">
            <v>thylakoid lumenal kda chloroplast</v>
          </cell>
          <cell r="D384" t="str">
            <v>BT0</v>
          </cell>
          <cell r="E384" t="str">
            <v>BT24</v>
          </cell>
          <cell r="F384">
            <v>46.662599999999998</v>
          </cell>
          <cell r="G384">
            <v>107.848</v>
          </cell>
          <cell r="H384">
            <v>1.20865</v>
          </cell>
        </row>
        <row r="385">
          <cell r="A385" t="str">
            <v>AC197764.4_FG003</v>
          </cell>
          <cell r="B385" t="e">
            <v>#N/A</v>
          </cell>
          <cell r="C385" t="e">
            <v>#N/A</v>
          </cell>
          <cell r="D385" t="str">
            <v>BT0</v>
          </cell>
          <cell r="E385" t="str">
            <v>BT24</v>
          </cell>
          <cell r="F385">
            <v>7.6719099999999996</v>
          </cell>
          <cell r="G385">
            <v>1.4042399999999999</v>
          </cell>
          <cell r="H385">
            <v>-2.4498000000000002</v>
          </cell>
        </row>
        <row r="386">
          <cell r="A386" t="str">
            <v>GRMZM2G347766</v>
          </cell>
          <cell r="B386" t="str">
            <v>GO:0016491</v>
          </cell>
          <cell r="C386" t="str">
            <v>n-acetylglucosaminyltransferase-like protein</v>
          </cell>
          <cell r="D386" t="str">
            <v>BT0</v>
          </cell>
          <cell r="E386" t="str">
            <v>BT24</v>
          </cell>
          <cell r="F386">
            <v>4.28444</v>
          </cell>
          <cell r="G386">
            <v>1.6968000000000001</v>
          </cell>
          <cell r="H386">
            <v>-1.33629</v>
          </cell>
        </row>
        <row r="387">
          <cell r="A387" t="str">
            <v>GRMZM2G425136</v>
          </cell>
          <cell r="B387" t="str">
            <v>GO:0016740GO:0050825GO:0042309GO:0008152GO:0050826</v>
          </cell>
          <cell r="C387" t="str">
            <v>psbp domain-containing protein chloroplastic-like</v>
          </cell>
          <cell r="D387" t="str">
            <v>BT0</v>
          </cell>
          <cell r="E387" t="str">
            <v>BT24</v>
          </cell>
          <cell r="F387">
            <v>0</v>
          </cell>
          <cell r="G387">
            <v>1.7381500000000001</v>
          </cell>
          <cell r="H387" t="str">
            <v>inf</v>
          </cell>
        </row>
        <row r="388">
          <cell r="A388" t="str">
            <v>GRMZM2G074896</v>
          </cell>
          <cell r="B388" t="str">
            <v>GO:0016757</v>
          </cell>
          <cell r="C388" t="str">
            <v>glycosyltransferase</v>
          </cell>
          <cell r="D388" t="str">
            <v>BT0</v>
          </cell>
          <cell r="E388" t="str">
            <v>BT24</v>
          </cell>
          <cell r="F388">
            <v>7.4388699999999996</v>
          </cell>
          <cell r="G388">
            <v>2.4039100000000002</v>
          </cell>
          <cell r="H388">
            <v>-1.6296999999999999</v>
          </cell>
        </row>
        <row r="389">
          <cell r="A389" t="str">
            <v>GRMZM2G029087</v>
          </cell>
          <cell r="B389" t="e">
            <v>#N/A</v>
          </cell>
          <cell r="C389" t="str">
            <v>bax inhibitor 1</v>
          </cell>
          <cell r="D389" t="str">
            <v>BT0</v>
          </cell>
          <cell r="E389" t="str">
            <v>BT24</v>
          </cell>
          <cell r="F389">
            <v>27.730599999999999</v>
          </cell>
          <cell r="G389">
            <v>10.9251</v>
          </cell>
          <cell r="H389">
            <v>-1.3438399999999999</v>
          </cell>
        </row>
        <row r="390">
          <cell r="A390" t="str">
            <v>GRMZM5G899308</v>
          </cell>
          <cell r="B390" t="e">
            <v>#N/A</v>
          </cell>
          <cell r="C390" t="str">
            <v>uncharacterized protein LOC100384155</v>
          </cell>
          <cell r="D390" t="str">
            <v>BT0</v>
          </cell>
          <cell r="E390" t="str">
            <v>BT24</v>
          </cell>
          <cell r="F390">
            <v>27.835999999999999</v>
          </cell>
          <cell r="G390">
            <v>10.144299999999999</v>
          </cell>
          <cell r="H390">
            <v>-1.45628</v>
          </cell>
        </row>
        <row r="391">
          <cell r="A391" t="str">
            <v>GRMZM2G022181</v>
          </cell>
          <cell r="B391" t="e">
            <v>#N/A</v>
          </cell>
          <cell r="C391" t="str">
            <v>hypothetical protein SORBIDRAFT_04g005000</v>
          </cell>
          <cell r="D391" t="str">
            <v>BT0</v>
          </cell>
          <cell r="E391" t="str">
            <v>BT24</v>
          </cell>
          <cell r="F391">
            <v>2.0388500000000001</v>
          </cell>
          <cell r="G391">
            <v>6.0813100000000002</v>
          </cell>
          <cell r="H391">
            <v>1.57663</v>
          </cell>
        </row>
        <row r="392">
          <cell r="A392" t="str">
            <v>GRMZM2G397402</v>
          </cell>
          <cell r="B392" t="str">
            <v>GO:0004497GO:0020037GO:0009055</v>
          </cell>
          <cell r="C392" t="str">
            <v>cytochrome p450</v>
          </cell>
          <cell r="D392" t="str">
            <v>BT0</v>
          </cell>
          <cell r="E392" t="str">
            <v>BT24</v>
          </cell>
          <cell r="F392">
            <v>6.97478</v>
          </cell>
          <cell r="G392">
            <v>3.45662</v>
          </cell>
          <cell r="H392">
            <v>-1.01278</v>
          </cell>
        </row>
        <row r="393">
          <cell r="A393" t="str">
            <v>GRMZM5G815077</v>
          </cell>
          <cell r="B393" t="e">
            <v>#N/A</v>
          </cell>
          <cell r="C393" t="str">
            <v>leucine zipper</v>
          </cell>
          <cell r="D393" t="str">
            <v>BT0</v>
          </cell>
          <cell r="E393" t="str">
            <v>BT24</v>
          </cell>
          <cell r="F393">
            <v>0.92984299999999998</v>
          </cell>
          <cell r="G393">
            <v>0.23998</v>
          </cell>
          <cell r="H393">
            <v>-1.95407</v>
          </cell>
        </row>
        <row r="394">
          <cell r="A394" t="str">
            <v>GRMZM2G300119</v>
          </cell>
          <cell r="B394" t="e">
            <v>#N/A</v>
          </cell>
          <cell r="C394" t="str">
            <v>uncharacterized protein LOC100275108</v>
          </cell>
          <cell r="D394" t="str">
            <v>BT0</v>
          </cell>
          <cell r="E394" t="str">
            <v>BT24</v>
          </cell>
          <cell r="F394">
            <v>1.2725900000000001</v>
          </cell>
          <cell r="G394">
            <v>0.45558399999999999</v>
          </cell>
          <cell r="H394">
            <v>-1.4819800000000001</v>
          </cell>
        </row>
        <row r="395">
          <cell r="A395" t="str">
            <v>AC214771.3_FG003</v>
          </cell>
          <cell r="B395" t="e">
            <v>#N/A</v>
          </cell>
          <cell r="C395" t="e">
            <v>#N/A</v>
          </cell>
          <cell r="D395" t="str">
            <v>BT0</v>
          </cell>
          <cell r="E395" t="str">
            <v>BT24</v>
          </cell>
          <cell r="F395">
            <v>1.47828</v>
          </cell>
          <cell r="G395">
            <v>0.40585300000000002</v>
          </cell>
          <cell r="H395">
            <v>-1.8648899999999999</v>
          </cell>
        </row>
        <row r="396">
          <cell r="A396" t="str">
            <v>GRMZM2G366910</v>
          </cell>
          <cell r="B396" t="e">
            <v>#N/A</v>
          </cell>
          <cell r="C396">
            <v>0</v>
          </cell>
          <cell r="D396" t="str">
            <v>BT0</v>
          </cell>
          <cell r="E396" t="str">
            <v>BT24</v>
          </cell>
          <cell r="F396">
            <v>10.4472</v>
          </cell>
          <cell r="G396">
            <v>1.9987699999999999</v>
          </cell>
          <cell r="H396">
            <v>-2.3859300000000001</v>
          </cell>
        </row>
        <row r="397">
          <cell r="A397" t="str">
            <v>GRMZM2G412604</v>
          </cell>
          <cell r="B397" t="str">
            <v>GO:0008483GO:0009058GO:0006520GO:0016847GO:0030170</v>
          </cell>
          <cell r="C397" t="str">
            <v>nicotianamine aminotransferase</v>
          </cell>
          <cell r="D397" t="str">
            <v>BT0</v>
          </cell>
          <cell r="E397" t="str">
            <v>BT24</v>
          </cell>
          <cell r="F397">
            <v>28.745100000000001</v>
          </cell>
          <cell r="G397">
            <v>9.3419699999999999</v>
          </cell>
          <cell r="H397">
            <v>-1.6215200000000001</v>
          </cell>
        </row>
        <row r="398">
          <cell r="A398" t="str">
            <v>GRMZM2G024561</v>
          </cell>
          <cell r="B398" t="e">
            <v>#N/A</v>
          </cell>
          <cell r="C398" t="str">
            <v>glucan endo- -beta-glucosidase 4 precursor</v>
          </cell>
          <cell r="D398" t="str">
            <v>BT0</v>
          </cell>
          <cell r="E398" t="str">
            <v>BT24</v>
          </cell>
          <cell r="F398">
            <v>1.1596200000000001</v>
          </cell>
          <cell r="G398">
            <v>3.2066599999999998</v>
          </cell>
          <cell r="H398">
            <v>1.4674199999999999</v>
          </cell>
        </row>
        <row r="399">
          <cell r="A399" t="str">
            <v>GRMZM5G836353</v>
          </cell>
          <cell r="B399" t="e">
            <v>#N/A</v>
          </cell>
          <cell r="C399" t="str">
            <v>monooxygenase 1</v>
          </cell>
          <cell r="D399" t="str">
            <v>BT0</v>
          </cell>
          <cell r="E399" t="str">
            <v>BT24</v>
          </cell>
          <cell r="F399">
            <v>5.8822299999999998</v>
          </cell>
          <cell r="G399">
            <v>2.6691099999999999</v>
          </cell>
          <cell r="H399">
            <v>-1.14001</v>
          </cell>
        </row>
        <row r="400">
          <cell r="A400" t="str">
            <v>GRMZM2G113583</v>
          </cell>
          <cell r="B400" t="e">
            <v>#N/A</v>
          </cell>
          <cell r="C400" t="str">
            <v>auxin regulated gene involved in organ size 7</v>
          </cell>
          <cell r="D400" t="str">
            <v>BT0</v>
          </cell>
          <cell r="E400" t="str">
            <v>BT24</v>
          </cell>
          <cell r="F400">
            <v>3.4657900000000001</v>
          </cell>
          <cell r="G400">
            <v>1.4791300000000001</v>
          </cell>
          <cell r="H400">
            <v>-1.22844</v>
          </cell>
        </row>
        <row r="401">
          <cell r="A401" t="str">
            <v>GRMZM2G092780</v>
          </cell>
          <cell r="B401" t="str">
            <v>GO:0005315GO:0016020GO:0006817</v>
          </cell>
          <cell r="C401" t="str">
            <v>inorganic phosphate transporter 2-1</v>
          </cell>
          <cell r="D401" t="str">
            <v>BT0</v>
          </cell>
          <cell r="E401" t="str">
            <v>BT24</v>
          </cell>
          <cell r="F401">
            <v>2.92117</v>
          </cell>
          <cell r="G401">
            <v>6.2160399999999996</v>
          </cell>
          <cell r="H401">
            <v>1.08945</v>
          </cell>
        </row>
        <row r="402">
          <cell r="A402" t="str">
            <v>GRMZM2G381283</v>
          </cell>
          <cell r="B402" t="e">
            <v>#N/A</v>
          </cell>
          <cell r="C402" t="str">
            <v>hypothetical protein SORBIDRAFT_04g024800</v>
          </cell>
          <cell r="D402" t="str">
            <v>BT0</v>
          </cell>
          <cell r="E402" t="str">
            <v>BT24</v>
          </cell>
          <cell r="F402">
            <v>6.9119400000000004</v>
          </cell>
          <cell r="G402">
            <v>15.720599999999999</v>
          </cell>
          <cell r="H402">
            <v>1.1855</v>
          </cell>
        </row>
        <row r="403">
          <cell r="A403" t="str">
            <v>GRMZM2G170692</v>
          </cell>
          <cell r="B403" t="str">
            <v>GO:0005737GO:0009058GO:0016841GO:0016211GO:0006559</v>
          </cell>
          <cell r="C403" t="str">
            <v>phenylalanine ammonia-lyase</v>
          </cell>
          <cell r="D403" t="str">
            <v>BT0</v>
          </cell>
          <cell r="E403" t="str">
            <v>BT24</v>
          </cell>
          <cell r="F403">
            <v>4.0036300000000002</v>
          </cell>
          <cell r="G403">
            <v>1.8715599999999999</v>
          </cell>
          <cell r="H403">
            <v>-1.09707</v>
          </cell>
        </row>
        <row r="404">
          <cell r="A404" t="str">
            <v>GRMZM2G153488</v>
          </cell>
          <cell r="B404" t="str">
            <v>GO:0006952GO:0005576GO:0005125GO:0006955</v>
          </cell>
          <cell r="C404" t="str">
            <v>low-molecular-weight cysteine-rich protein lcr69 precursor</v>
          </cell>
          <cell r="D404" t="str">
            <v>BT0</v>
          </cell>
          <cell r="E404" t="str">
            <v>BT24</v>
          </cell>
          <cell r="F404">
            <v>0.65120900000000004</v>
          </cell>
          <cell r="G404">
            <v>2.1782300000000001</v>
          </cell>
          <cell r="H404">
            <v>1.74196</v>
          </cell>
        </row>
        <row r="405">
          <cell r="A405" t="str">
            <v>GRMZM2G170017</v>
          </cell>
          <cell r="B405" t="str">
            <v>GO:0009239GO:0005488GO:0008667</v>
          </cell>
          <cell r="C405" t="str">
            <v>salutaridine reductase-like</v>
          </cell>
          <cell r="D405" t="str">
            <v>BT0</v>
          </cell>
          <cell r="E405" t="str">
            <v>BT24</v>
          </cell>
          <cell r="F405">
            <v>10.878399999999999</v>
          </cell>
          <cell r="G405">
            <v>0.66377600000000003</v>
          </cell>
          <cell r="H405">
            <v>-4.0346299999999999</v>
          </cell>
        </row>
        <row r="406">
          <cell r="A406" t="str">
            <v>GRMZM2G097884</v>
          </cell>
          <cell r="B406" t="e">
            <v>#N/A</v>
          </cell>
          <cell r="C406">
            <v>0</v>
          </cell>
          <cell r="D406" t="str">
            <v>BT0</v>
          </cell>
          <cell r="E406" t="str">
            <v>BT24</v>
          </cell>
          <cell r="F406">
            <v>7.1596099999999998</v>
          </cell>
          <cell r="G406">
            <v>2.3672900000000001</v>
          </cell>
          <cell r="H406">
            <v>-1.5966499999999999</v>
          </cell>
        </row>
        <row r="407">
          <cell r="A407" t="str">
            <v>GRMZM2G375153</v>
          </cell>
          <cell r="B407" t="str">
            <v>GO:0008270GO:0005515</v>
          </cell>
          <cell r="C407" t="str">
            <v>ring-h2 finger protein atl3j</v>
          </cell>
          <cell r="D407" t="str">
            <v>BT0</v>
          </cell>
          <cell r="E407" t="str">
            <v>BT24</v>
          </cell>
          <cell r="F407">
            <v>1.4122600000000001</v>
          </cell>
          <cell r="G407">
            <v>0.453872</v>
          </cell>
          <cell r="H407">
            <v>-1.6376500000000001</v>
          </cell>
        </row>
        <row r="408">
          <cell r="A408" t="str">
            <v>GRMZM2G055150</v>
          </cell>
          <cell r="B408" t="str">
            <v>GO:0003824GO:0005992</v>
          </cell>
          <cell r="C408" t="str">
            <v>trehalose-phosphate phosphatase-like</v>
          </cell>
          <cell r="D408" t="str">
            <v>BT0</v>
          </cell>
          <cell r="E408" t="str">
            <v>BT24</v>
          </cell>
          <cell r="F408">
            <v>0.83784499999999995</v>
          </cell>
          <cell r="G408">
            <v>1.79189</v>
          </cell>
          <cell r="H408">
            <v>1.09673</v>
          </cell>
        </row>
        <row r="409">
          <cell r="A409" t="str">
            <v>GRMZM2G427444,RPS11</v>
          </cell>
          <cell r="B409" t="e">
            <v>#N/A</v>
          </cell>
          <cell r="C409" t="e">
            <v>#N/A</v>
          </cell>
          <cell r="D409" t="str">
            <v>BT0</v>
          </cell>
          <cell r="E409" t="str">
            <v>BT24</v>
          </cell>
          <cell r="F409">
            <v>12.464600000000001</v>
          </cell>
          <cell r="G409">
            <v>25.498000000000001</v>
          </cell>
          <cell r="H409">
            <v>1.0325500000000001</v>
          </cell>
        </row>
        <row r="410">
          <cell r="A410" t="str">
            <v>GRMZM2G428379</v>
          </cell>
          <cell r="B410" t="str">
            <v>GO:0004930GO:0016021GO:0006810GO:0005234GO:0030288GO:0004965GO:0007186GO:0004970</v>
          </cell>
          <cell r="C410" t="str">
            <v>glutamate receptor -like</v>
          </cell>
          <cell r="D410" t="str">
            <v>BT0</v>
          </cell>
          <cell r="E410" t="str">
            <v>BT24</v>
          </cell>
          <cell r="F410">
            <v>1.1620699999999999</v>
          </cell>
          <cell r="G410">
            <v>0.20282900000000001</v>
          </cell>
          <cell r="H410">
            <v>-2.5183599999999999</v>
          </cell>
        </row>
        <row r="411">
          <cell r="A411" t="str">
            <v>GRMZM5G879872</v>
          </cell>
          <cell r="B411" t="e">
            <v>#N/A</v>
          </cell>
          <cell r="C411" t="str">
            <v>metal ion binding</v>
          </cell>
          <cell r="D411" t="str">
            <v>BT0</v>
          </cell>
          <cell r="E411" t="str">
            <v>BT24</v>
          </cell>
          <cell r="F411">
            <v>2.0553599999999999</v>
          </cell>
          <cell r="G411">
            <v>0.98774200000000001</v>
          </cell>
          <cell r="H411">
            <v>-1.0571900000000001</v>
          </cell>
        </row>
        <row r="412">
          <cell r="A412" t="str">
            <v>AC220970.4_FG002</v>
          </cell>
          <cell r="B412" t="e">
            <v>#N/A</v>
          </cell>
          <cell r="C412" t="e">
            <v>#N/A</v>
          </cell>
          <cell r="D412" t="str">
            <v>BT0</v>
          </cell>
          <cell r="E412" t="str">
            <v>BT24</v>
          </cell>
          <cell r="F412">
            <v>1.41387</v>
          </cell>
          <cell r="G412">
            <v>0.33641100000000002</v>
          </cell>
          <cell r="H412">
            <v>-2.0713499999999998</v>
          </cell>
        </row>
        <row r="413">
          <cell r="A413" t="str">
            <v>AC190636.3_FG005</v>
          </cell>
          <cell r="B413" t="str">
            <v>GO:0016491</v>
          </cell>
          <cell r="C413" t="e">
            <v>#N/A</v>
          </cell>
          <cell r="D413" t="str">
            <v>BT0</v>
          </cell>
          <cell r="E413" t="str">
            <v>BT24</v>
          </cell>
          <cell r="F413">
            <v>1.7057899999999999</v>
          </cell>
          <cell r="G413">
            <v>0.84813000000000005</v>
          </cell>
          <cell r="H413">
            <v>-1.0080800000000001</v>
          </cell>
        </row>
        <row r="414">
          <cell r="A414" t="str">
            <v>GRMZM2G410865</v>
          </cell>
          <cell r="B414" t="str">
            <v>GO:0003824GO:0005488GO:0008152</v>
          </cell>
          <cell r="C414" t="str">
            <v>cinnamoyl- reductase</v>
          </cell>
          <cell r="D414" t="str">
            <v>BT0</v>
          </cell>
          <cell r="E414" t="str">
            <v>BT24</v>
          </cell>
          <cell r="F414">
            <v>1.8791800000000001</v>
          </cell>
          <cell r="G414">
            <v>4.1360799999999998</v>
          </cell>
          <cell r="H414">
            <v>1.1381600000000001</v>
          </cell>
        </row>
        <row r="415">
          <cell r="A415" t="str">
            <v>AC210013.4_FG018</v>
          </cell>
          <cell r="B415" t="e">
            <v>#N/A</v>
          </cell>
          <cell r="C415" t="e">
            <v>#N/A</v>
          </cell>
          <cell r="D415" t="str">
            <v>BT0</v>
          </cell>
          <cell r="E415" t="str">
            <v>BT24</v>
          </cell>
          <cell r="F415">
            <v>17.581800000000001</v>
          </cell>
          <cell r="G415">
            <v>7.6304600000000002</v>
          </cell>
          <cell r="H415">
            <v>-1.20424</v>
          </cell>
        </row>
        <row r="416">
          <cell r="A416" t="str">
            <v>GRMZM2G312069</v>
          </cell>
          <cell r="B416" t="str">
            <v>GO:0004497GO:0020037GO:0009055</v>
          </cell>
          <cell r="C416" t="str">
            <v>cytochrome p450</v>
          </cell>
          <cell r="D416" t="str">
            <v>BT0</v>
          </cell>
          <cell r="E416" t="str">
            <v>BT24</v>
          </cell>
          <cell r="F416">
            <v>1.31301</v>
          </cell>
          <cell r="G416">
            <v>0.34384799999999999</v>
          </cell>
          <cell r="H416">
            <v>-1.9330400000000001</v>
          </cell>
        </row>
        <row r="417">
          <cell r="A417" t="str">
            <v>GRMZM2G317614</v>
          </cell>
          <cell r="B417" t="e">
            <v>#N/A</v>
          </cell>
          <cell r="C417" t="str">
            <v>protein</v>
          </cell>
          <cell r="D417" t="str">
            <v>BT0</v>
          </cell>
          <cell r="E417" t="str">
            <v>BT24</v>
          </cell>
          <cell r="F417">
            <v>3.3123100000000001</v>
          </cell>
          <cell r="G417">
            <v>0.61398799999999998</v>
          </cell>
          <cell r="H417">
            <v>-2.4315600000000002</v>
          </cell>
        </row>
        <row r="418">
          <cell r="A418" t="str">
            <v>GRMZM2G018336</v>
          </cell>
          <cell r="B418" t="str">
            <v>GO:0006355GO:0005634GO:0004879GO:0003677</v>
          </cell>
          <cell r="C418" t="str">
            <v>dna-binding protein rav1</v>
          </cell>
          <cell r="D418" t="str">
            <v>BT0</v>
          </cell>
          <cell r="E418" t="str">
            <v>BT24</v>
          </cell>
          <cell r="F418">
            <v>2.5925099999999999</v>
          </cell>
          <cell r="G418">
            <v>0.97331199999999995</v>
          </cell>
          <cell r="H418">
            <v>-1.4133800000000001</v>
          </cell>
        </row>
        <row r="419">
          <cell r="A419" t="str">
            <v>GRMZM2G094543</v>
          </cell>
          <cell r="B419" t="str">
            <v>GO:0050825GO:0042309GO:0050826</v>
          </cell>
          <cell r="C419" t="str">
            <v>uncharacterized protein LOC100274993 precursor</v>
          </cell>
          <cell r="D419" t="str">
            <v>BT0</v>
          </cell>
          <cell r="E419" t="str">
            <v>BT24</v>
          </cell>
          <cell r="F419">
            <v>10.253500000000001</v>
          </cell>
          <cell r="G419">
            <v>5.1253099999999998</v>
          </cell>
          <cell r="H419">
            <v>-1.00041</v>
          </cell>
        </row>
        <row r="420">
          <cell r="A420" t="str">
            <v>GRMZM2G114793</v>
          </cell>
          <cell r="B420" t="str">
            <v>GO:0005524</v>
          </cell>
          <cell r="C420" t="str">
            <v>luminal binding protein</v>
          </cell>
          <cell r="D420" t="str">
            <v>BT0</v>
          </cell>
          <cell r="E420" t="str">
            <v>BT24</v>
          </cell>
          <cell r="F420">
            <v>49.238199999999999</v>
          </cell>
          <cell r="G420">
            <v>18.924800000000001</v>
          </cell>
          <cell r="H420">
            <v>-1.3794999999999999</v>
          </cell>
        </row>
        <row r="421">
          <cell r="A421" t="str">
            <v>GRMZM2G344205</v>
          </cell>
          <cell r="B421" t="e">
            <v>#N/A</v>
          </cell>
          <cell r="C421" t="str">
            <v>membrane related protein</v>
          </cell>
          <cell r="D421" t="str">
            <v>BT0</v>
          </cell>
          <cell r="E421" t="str">
            <v>BT24</v>
          </cell>
          <cell r="F421">
            <v>95.010800000000003</v>
          </cell>
          <cell r="G421">
            <v>206.60599999999999</v>
          </cell>
          <cell r="H421">
            <v>1.1207199999999999</v>
          </cell>
        </row>
        <row r="422">
          <cell r="A422" t="str">
            <v>GRMZM2G462118</v>
          </cell>
          <cell r="B422" t="e">
            <v>#N/A</v>
          </cell>
          <cell r="C422" t="str">
            <v>cyclin family expressed</v>
          </cell>
          <cell r="D422" t="str">
            <v>BT0</v>
          </cell>
          <cell r="E422" t="str">
            <v>BT24</v>
          </cell>
          <cell r="F422">
            <v>1.44001</v>
          </cell>
          <cell r="G422">
            <v>0.54995300000000003</v>
          </cell>
          <cell r="H422">
            <v>-1.3887</v>
          </cell>
        </row>
        <row r="423">
          <cell r="A423" t="str">
            <v>GRMZM2G085513</v>
          </cell>
          <cell r="B423" t="e">
            <v>#N/A</v>
          </cell>
          <cell r="C423" t="str">
            <v>cdc2 protein kinases-like</v>
          </cell>
          <cell r="D423" t="str">
            <v>BT0</v>
          </cell>
          <cell r="E423" t="str">
            <v>BT24</v>
          </cell>
          <cell r="F423">
            <v>2.2369500000000002</v>
          </cell>
          <cell r="G423">
            <v>0.76460399999999995</v>
          </cell>
          <cell r="H423">
            <v>-1.5487500000000001</v>
          </cell>
        </row>
        <row r="424">
          <cell r="A424" t="str">
            <v>GRMZM2G441417</v>
          </cell>
          <cell r="B424" t="e">
            <v>#N/A</v>
          </cell>
          <cell r="C424">
            <v>0</v>
          </cell>
          <cell r="D424" t="str">
            <v>BT0</v>
          </cell>
          <cell r="E424" t="str">
            <v>BT24</v>
          </cell>
          <cell r="F424">
            <v>1.5977399999999999</v>
          </cell>
          <cell r="G424">
            <v>0.47414499999999998</v>
          </cell>
          <cell r="H424">
            <v>-1.7526299999999999</v>
          </cell>
        </row>
        <row r="425">
          <cell r="A425" t="str">
            <v>GRMZM2G130055</v>
          </cell>
          <cell r="B425" t="str">
            <v>GO:0050825GO:0042309GO:0050826</v>
          </cell>
          <cell r="C425">
            <v>0</v>
          </cell>
          <cell r="D425" t="str">
            <v>BT0</v>
          </cell>
          <cell r="E425" t="str">
            <v>BT24</v>
          </cell>
          <cell r="F425">
            <v>2.3224499999999999</v>
          </cell>
          <cell r="G425">
            <v>4.9056699999999998</v>
          </cell>
          <cell r="H425">
            <v>1.07881</v>
          </cell>
        </row>
        <row r="426">
          <cell r="A426" t="str">
            <v>GRMZM2G455440</v>
          </cell>
          <cell r="B426" t="e">
            <v>#N/A</v>
          </cell>
          <cell r="C426" t="str">
            <v>uncharacterized protein LOC100276136</v>
          </cell>
          <cell r="D426" t="str">
            <v>BT0</v>
          </cell>
          <cell r="E426" t="str">
            <v>BT24</v>
          </cell>
          <cell r="F426">
            <v>22.814599999999999</v>
          </cell>
          <cell r="G426">
            <v>5.0983799999999997</v>
          </cell>
          <cell r="H426">
            <v>-2.1618499999999998</v>
          </cell>
        </row>
        <row r="427">
          <cell r="A427" t="str">
            <v>GRMZM2G127984</v>
          </cell>
          <cell r="B427" t="str">
            <v>GO:0004674GO:0006468GO:0004713GO:0005524</v>
          </cell>
          <cell r="C427" t="str">
            <v>protein kinase</v>
          </cell>
          <cell r="D427" t="str">
            <v>BT0</v>
          </cell>
          <cell r="E427" t="str">
            <v>BT24</v>
          </cell>
          <cell r="F427">
            <v>0.51043799999999995</v>
          </cell>
          <cell r="G427">
            <v>1.1597999999999999</v>
          </cell>
          <cell r="H427">
            <v>1.18407</v>
          </cell>
        </row>
        <row r="428">
          <cell r="A428" t="str">
            <v>GRMZM5G870219</v>
          </cell>
          <cell r="B428" t="e">
            <v>#N/A</v>
          </cell>
          <cell r="C428">
            <v>0</v>
          </cell>
          <cell r="D428" t="str">
            <v>BT0</v>
          </cell>
          <cell r="E428" t="str">
            <v>BT24</v>
          </cell>
          <cell r="F428">
            <v>41.402299999999997</v>
          </cell>
          <cell r="G428">
            <v>88.274900000000002</v>
          </cell>
          <cell r="H428">
            <v>1.09229</v>
          </cell>
        </row>
        <row r="429">
          <cell r="A429" t="str">
            <v>GRMZM2G443180</v>
          </cell>
          <cell r="B429" t="e">
            <v>#N/A</v>
          </cell>
          <cell r="C429" t="str">
            <v>uncharacterized protein LOC100191881</v>
          </cell>
          <cell r="D429" t="str">
            <v>BT0</v>
          </cell>
          <cell r="E429" t="str">
            <v>BT24</v>
          </cell>
          <cell r="F429">
            <v>1.2413400000000001</v>
          </cell>
          <cell r="G429">
            <v>0.58250599999999997</v>
          </cell>
          <cell r="H429">
            <v>-1.09155</v>
          </cell>
        </row>
        <row r="430">
          <cell r="A430" t="str">
            <v>GRMZM5G882364</v>
          </cell>
          <cell r="B430" t="e">
            <v>#N/A</v>
          </cell>
          <cell r="C430" t="str">
            <v>nbs-lrr class disease resistance protein</v>
          </cell>
          <cell r="D430" t="str">
            <v>BT0</v>
          </cell>
          <cell r="E430" t="str">
            <v>BT24</v>
          </cell>
          <cell r="F430">
            <v>1.4504999999999999</v>
          </cell>
          <cell r="G430">
            <v>0.41107700000000003</v>
          </cell>
          <cell r="H430">
            <v>-1.81907</v>
          </cell>
        </row>
        <row r="431">
          <cell r="A431" t="str">
            <v>AC233938.1_FG003</v>
          </cell>
          <cell r="B431" t="e">
            <v>#N/A</v>
          </cell>
          <cell r="C431" t="e">
            <v>#N/A</v>
          </cell>
          <cell r="D431" t="str">
            <v>BT0</v>
          </cell>
          <cell r="E431" t="str">
            <v>BT24</v>
          </cell>
          <cell r="F431">
            <v>2.1955100000000001</v>
          </cell>
          <cell r="G431">
            <v>10.702400000000001</v>
          </cell>
          <cell r="H431">
            <v>2.28531</v>
          </cell>
        </row>
        <row r="432">
          <cell r="A432" t="str">
            <v>GRMZM2G334660</v>
          </cell>
          <cell r="B432" t="str">
            <v>GO:0005737GO:0009058GO:0016841GO:0016211GO:0006559</v>
          </cell>
          <cell r="C432" t="str">
            <v>phenylalanine ammonia-lyase</v>
          </cell>
          <cell r="D432" t="str">
            <v>BT0</v>
          </cell>
          <cell r="E432" t="str">
            <v>BT24</v>
          </cell>
          <cell r="F432">
            <v>0.85164099999999998</v>
          </cell>
          <cell r="G432">
            <v>0.21985299999999999</v>
          </cell>
          <cell r="H432">
            <v>-1.9537100000000001</v>
          </cell>
        </row>
        <row r="433">
          <cell r="A433" t="str">
            <v>GRMZM2G170016</v>
          </cell>
          <cell r="B433" t="str">
            <v>GO:0020037</v>
          </cell>
          <cell r="C433" t="str">
            <v>membrane steroid-binding protein 2</v>
          </cell>
          <cell r="D433" t="str">
            <v>BT0</v>
          </cell>
          <cell r="E433" t="str">
            <v>BT24</v>
          </cell>
          <cell r="F433">
            <v>2.3009900000000001</v>
          </cell>
          <cell r="G433">
            <v>1.0973999999999999</v>
          </cell>
          <cell r="H433">
            <v>-1.0681700000000001</v>
          </cell>
        </row>
        <row r="434">
          <cell r="A434" t="str">
            <v>GRMZM2G117164</v>
          </cell>
          <cell r="B434" t="str">
            <v>GO:0043565GO:0006265GO:0003700GO:0005634GO:0006355GO:0003690</v>
          </cell>
          <cell r="C434" t="str">
            <v>homeodomain leucine zipper protein</v>
          </cell>
          <cell r="D434" t="str">
            <v>BT0</v>
          </cell>
          <cell r="E434" t="str">
            <v>BT24</v>
          </cell>
          <cell r="F434">
            <v>4.9817099999999996</v>
          </cell>
          <cell r="G434">
            <v>1.47048</v>
          </cell>
          <cell r="H434">
            <v>-1.7603500000000001</v>
          </cell>
        </row>
        <row r="435">
          <cell r="A435" t="str">
            <v>GRMZM2G135385</v>
          </cell>
          <cell r="B435" t="str">
            <v>GO:0020037</v>
          </cell>
          <cell r="C435" t="str">
            <v>cytochrome b5</v>
          </cell>
          <cell r="D435" t="str">
            <v>BT0</v>
          </cell>
          <cell r="E435" t="str">
            <v>BT24</v>
          </cell>
          <cell r="F435">
            <v>17.153099999999998</v>
          </cell>
          <cell r="G435">
            <v>8.0170700000000004</v>
          </cell>
          <cell r="H435">
            <v>-1.0973200000000001</v>
          </cell>
        </row>
        <row r="436">
          <cell r="A436" t="str">
            <v>YS1</v>
          </cell>
          <cell r="B436" t="e">
            <v>#N/A</v>
          </cell>
          <cell r="C436" t="e">
            <v>#N/A</v>
          </cell>
          <cell r="D436" t="str">
            <v>BT0</v>
          </cell>
          <cell r="E436" t="str">
            <v>BT24</v>
          </cell>
          <cell r="F436">
            <v>2.3320099999999999</v>
          </cell>
          <cell r="G436">
            <v>7.2999700000000001</v>
          </cell>
          <cell r="H436">
            <v>1.6463099999999999</v>
          </cell>
        </row>
        <row r="437">
          <cell r="A437" t="str">
            <v>GRMZM2G468585</v>
          </cell>
          <cell r="B437" t="e">
            <v>#N/A</v>
          </cell>
          <cell r="C437" t="str">
            <v>hypothetical protein SORBIDRAFT_04g026630</v>
          </cell>
          <cell r="D437" t="str">
            <v>BT0</v>
          </cell>
          <cell r="E437" t="str">
            <v>BT24</v>
          </cell>
          <cell r="F437">
            <v>4.4039299999999999</v>
          </cell>
          <cell r="G437">
            <v>2.16534</v>
          </cell>
          <cell r="H437">
            <v>-1.0242</v>
          </cell>
        </row>
        <row r="438">
          <cell r="A438" t="str">
            <v>GRMZM2G401436</v>
          </cell>
          <cell r="B438" t="str">
            <v>GO:0008270GO:0005515</v>
          </cell>
          <cell r="C438" t="str">
            <v>ring-h2 finger protein atl2l</v>
          </cell>
          <cell r="D438" t="str">
            <v>BT0</v>
          </cell>
          <cell r="E438" t="str">
            <v>BT24</v>
          </cell>
          <cell r="F438">
            <v>2.0848800000000001</v>
          </cell>
          <cell r="G438">
            <v>0.74038800000000005</v>
          </cell>
          <cell r="H438">
            <v>-1.4936100000000001</v>
          </cell>
        </row>
        <row r="439">
          <cell r="A439" t="str">
            <v>GRMZM2G111146</v>
          </cell>
          <cell r="B439" t="str">
            <v>GO:0005634GO:0045449GO:0030528</v>
          </cell>
          <cell r="C439" t="str">
            <v>transcription factor bhlh96-like</v>
          </cell>
          <cell r="D439" t="str">
            <v>BT0</v>
          </cell>
          <cell r="E439" t="str">
            <v>BT24</v>
          </cell>
          <cell r="F439">
            <v>1.6348</v>
          </cell>
          <cell r="G439">
            <v>3.31107</v>
          </cell>
          <cell r="H439">
            <v>1.0181899999999999</v>
          </cell>
        </row>
        <row r="440">
          <cell r="A440" t="str">
            <v>GRMZM2G164912</v>
          </cell>
          <cell r="B440" t="str">
            <v>GO:0050825GO:0042309GO:0050826</v>
          </cell>
          <cell r="C440" t="str">
            <v>unknown</v>
          </cell>
          <cell r="D440" t="str">
            <v>BT0</v>
          </cell>
          <cell r="E440" t="str">
            <v>BT24</v>
          </cell>
          <cell r="F440">
            <v>1.82142</v>
          </cell>
          <cell r="G440">
            <v>0.75722400000000001</v>
          </cell>
          <cell r="H440">
            <v>-1.26627</v>
          </cell>
        </row>
        <row r="441">
          <cell r="A441" t="str">
            <v>GRMZM2G059496</v>
          </cell>
          <cell r="B441" t="e">
            <v>#N/A</v>
          </cell>
          <cell r="C441" t="str">
            <v>uncharacterized protein LOC100382284</v>
          </cell>
          <cell r="D441" t="str">
            <v>BT0</v>
          </cell>
          <cell r="E441" t="str">
            <v>BT24</v>
          </cell>
          <cell r="F441">
            <v>5.3973699999999996</v>
          </cell>
          <cell r="G441">
            <v>2.4914399999999999</v>
          </cell>
          <cell r="H441">
            <v>-1.11528</v>
          </cell>
        </row>
        <row r="442">
          <cell r="A442" t="str">
            <v>GRMZM2G059526</v>
          </cell>
          <cell r="B442" t="e">
            <v>#N/A</v>
          </cell>
          <cell r="C442">
            <v>0</v>
          </cell>
          <cell r="D442" t="str">
            <v>BT0</v>
          </cell>
          <cell r="E442" t="str">
            <v>BT24</v>
          </cell>
          <cell r="F442">
            <v>1.8270500000000001</v>
          </cell>
          <cell r="G442">
            <v>0.48958499999999999</v>
          </cell>
          <cell r="H442">
            <v>-1.89988</v>
          </cell>
        </row>
        <row r="443">
          <cell r="A443" t="str">
            <v>GRMZM2G045927</v>
          </cell>
          <cell r="B443" t="str">
            <v>GO:0005507GO:0009055</v>
          </cell>
          <cell r="C443" t="str">
            <v>blue copper protein</v>
          </cell>
          <cell r="D443" t="str">
            <v>BT0</v>
          </cell>
          <cell r="E443" t="str">
            <v>BT24</v>
          </cell>
          <cell r="F443">
            <v>0.31018000000000001</v>
          </cell>
          <cell r="G443">
            <v>0.96739299999999995</v>
          </cell>
          <cell r="H443">
            <v>1.641</v>
          </cell>
        </row>
        <row r="444">
          <cell r="A444" t="str">
            <v>GRMZM5G857944</v>
          </cell>
          <cell r="B444" t="e">
            <v>#N/A</v>
          </cell>
          <cell r="C444" t="str">
            <v>ccaat-binding transcription factor</v>
          </cell>
          <cell r="D444" t="str">
            <v>BT0</v>
          </cell>
          <cell r="E444" t="str">
            <v>BT24</v>
          </cell>
          <cell r="F444">
            <v>0.78463899999999998</v>
          </cell>
          <cell r="G444">
            <v>1.86758</v>
          </cell>
          <cell r="H444">
            <v>1.2510699999999999</v>
          </cell>
        </row>
        <row r="445">
          <cell r="A445" t="str">
            <v>GRMZM5G886006</v>
          </cell>
          <cell r="B445" t="e">
            <v>#N/A</v>
          </cell>
          <cell r="C445" t="str">
            <v>unknown</v>
          </cell>
          <cell r="D445" t="str">
            <v>BT0</v>
          </cell>
          <cell r="E445" t="str">
            <v>BT24</v>
          </cell>
          <cell r="F445">
            <v>1.3326</v>
          </cell>
          <cell r="G445">
            <v>0.60324</v>
          </cell>
          <cell r="H445">
            <v>-1.14344</v>
          </cell>
        </row>
        <row r="446">
          <cell r="A446" t="str">
            <v>GRMZM2G127328</v>
          </cell>
          <cell r="B446" t="str">
            <v>GO:0016020GO:0006865</v>
          </cell>
          <cell r="C446" t="str">
            <v>lysine histidine transporter 1-like</v>
          </cell>
          <cell r="D446" t="str">
            <v>BT0</v>
          </cell>
          <cell r="E446" t="str">
            <v>BT24</v>
          </cell>
          <cell r="F446">
            <v>4.0178599999999998</v>
          </cell>
          <cell r="G446">
            <v>0.90687600000000002</v>
          </cell>
          <cell r="H446">
            <v>-2.1474500000000001</v>
          </cell>
        </row>
        <row r="447">
          <cell r="A447" t="str">
            <v>GRMZM2G429322</v>
          </cell>
          <cell r="B447" t="str">
            <v>GO:0016020GO:0006865GO:0008152GO:0016491</v>
          </cell>
          <cell r="C447" t="str">
            <v>lysine histidine transporter 1-like</v>
          </cell>
          <cell r="D447" t="str">
            <v>BT0</v>
          </cell>
          <cell r="E447" t="str">
            <v>BT24</v>
          </cell>
          <cell r="F447">
            <v>4.6199399999999997</v>
          </cell>
          <cell r="G447">
            <v>2.2341000000000002</v>
          </cell>
          <cell r="H447">
            <v>-1.0481799999999999</v>
          </cell>
        </row>
        <row r="448">
          <cell r="A448" t="str">
            <v>GRMZM2G021909</v>
          </cell>
          <cell r="B448" t="str">
            <v>GO:0005543</v>
          </cell>
          <cell r="C448" t="str">
            <v>epsin n-terminal homology domain-containing protein</v>
          </cell>
          <cell r="D448" t="str">
            <v>BT0</v>
          </cell>
          <cell r="E448" t="str">
            <v>BT24</v>
          </cell>
          <cell r="F448">
            <v>1.09548</v>
          </cell>
          <cell r="G448">
            <v>0.52393999999999996</v>
          </cell>
          <cell r="H448">
            <v>-1.06409</v>
          </cell>
        </row>
        <row r="449">
          <cell r="A449" t="str">
            <v>GRMZM2G124815</v>
          </cell>
          <cell r="B449" t="str">
            <v>GO:0016747</v>
          </cell>
          <cell r="C449" t="str">
            <v>uncharacterized acetyltransferase at3g50280-like</v>
          </cell>
          <cell r="D449" t="str">
            <v>BT0</v>
          </cell>
          <cell r="E449" t="str">
            <v>BT24</v>
          </cell>
          <cell r="F449">
            <v>2.4286599999999998</v>
          </cell>
          <cell r="G449">
            <v>1.1722300000000001</v>
          </cell>
          <cell r="H449">
            <v>-1.05091</v>
          </cell>
        </row>
        <row r="450">
          <cell r="A450" t="str">
            <v>GRMZM2G380377</v>
          </cell>
          <cell r="B450" t="str">
            <v>GO:0003700GO:0006355GO:0050825GO:0042309GO:0050826</v>
          </cell>
          <cell r="C450" t="str">
            <v>transcription factor cbf1</v>
          </cell>
          <cell r="D450" t="str">
            <v>BT0</v>
          </cell>
          <cell r="E450" t="str">
            <v>BT24</v>
          </cell>
          <cell r="F450">
            <v>1.78914</v>
          </cell>
          <cell r="G450">
            <v>0.82491800000000004</v>
          </cell>
          <cell r="H450">
            <v>-1.1169500000000001</v>
          </cell>
        </row>
        <row r="451">
          <cell r="A451" t="str">
            <v>GRMZM2G136571</v>
          </cell>
          <cell r="B451" t="str">
            <v>GO:0003824GO:0016021GO:0004969GO:0007186</v>
          </cell>
          <cell r="C451" t="str">
            <v>alpha beta fold family protein</v>
          </cell>
          <cell r="D451" t="str">
            <v>BT0</v>
          </cell>
          <cell r="E451" t="str">
            <v>BT24</v>
          </cell>
          <cell r="F451">
            <v>3.20777</v>
          </cell>
          <cell r="G451">
            <v>6.7915999999999999</v>
          </cell>
          <cell r="H451">
            <v>1.0821799999999999</v>
          </cell>
        </row>
        <row r="452">
          <cell r="A452" t="str">
            <v>GRMZM2G091490</v>
          </cell>
          <cell r="B452" t="str">
            <v>GO:0003677GO:0045449GO:0042309GO:0050826GO:0050825GO:0004618GO:0006096</v>
          </cell>
          <cell r="C452" t="str">
            <v>nac domain ipr003441</v>
          </cell>
          <cell r="D452" t="str">
            <v>BT0</v>
          </cell>
          <cell r="E452" t="str">
            <v>BT24</v>
          </cell>
          <cell r="F452">
            <v>2.5004200000000001</v>
          </cell>
          <cell r="G452">
            <v>0.51549100000000003</v>
          </cell>
          <cell r="H452">
            <v>-2.2781500000000001</v>
          </cell>
        </row>
        <row r="453">
          <cell r="A453" t="str">
            <v>GRMZM2G141931</v>
          </cell>
          <cell r="B453" t="str">
            <v>GO:0006457GO:0051082GO:0005524</v>
          </cell>
          <cell r="C453" t="str">
            <v>endoplasmin-like protein</v>
          </cell>
          <cell r="D453" t="str">
            <v>BT0</v>
          </cell>
          <cell r="E453" t="str">
            <v>BT24</v>
          </cell>
          <cell r="F453">
            <v>60.236899999999999</v>
          </cell>
          <cell r="G453">
            <v>28.555</v>
          </cell>
          <cell r="H453">
            <v>-1.0769</v>
          </cell>
        </row>
        <row r="454">
          <cell r="A454" t="str">
            <v>GRMZM2G170281</v>
          </cell>
          <cell r="B454" t="str">
            <v>GO:0016021</v>
          </cell>
          <cell r="C454" t="str">
            <v>endosomal p24a protein</v>
          </cell>
          <cell r="D454" t="str">
            <v>BT0</v>
          </cell>
          <cell r="E454" t="str">
            <v>BT24</v>
          </cell>
          <cell r="F454">
            <v>6.38462</v>
          </cell>
          <cell r="G454">
            <v>1.9826600000000001</v>
          </cell>
          <cell r="H454">
            <v>-1.68716</v>
          </cell>
        </row>
        <row r="455">
          <cell r="A455" t="str">
            <v>AC209050.3_FG003</v>
          </cell>
          <cell r="B455" t="str">
            <v>GO:0003700GO:0043565GO:0005634GO:0045449</v>
          </cell>
          <cell r="C455" t="e">
            <v>#N/A</v>
          </cell>
          <cell r="D455" t="str">
            <v>BT0</v>
          </cell>
          <cell r="E455" t="str">
            <v>BT24</v>
          </cell>
          <cell r="F455">
            <v>5.2603799999999996</v>
          </cell>
          <cell r="G455">
            <v>1.19153</v>
          </cell>
          <cell r="H455">
            <v>-2.14235</v>
          </cell>
        </row>
        <row r="456">
          <cell r="A456" t="str">
            <v>GRMZM2G403076</v>
          </cell>
          <cell r="B456" t="str">
            <v>GO:0050660GO:0016491</v>
          </cell>
          <cell r="C456" t="str">
            <v>reticuline oxidase-like</v>
          </cell>
          <cell r="D456" t="str">
            <v>BT0</v>
          </cell>
          <cell r="E456" t="str">
            <v>BT24</v>
          </cell>
          <cell r="F456">
            <v>2.5284200000000001</v>
          </cell>
          <cell r="G456">
            <v>1.1026</v>
          </cell>
          <cell r="H456">
            <v>-1.19733</v>
          </cell>
        </row>
        <row r="457">
          <cell r="A457" t="str">
            <v>GRMZM2G150187</v>
          </cell>
          <cell r="B457" t="str">
            <v>GO:0006629GO:0016788</v>
          </cell>
          <cell r="C457" t="str">
            <v>alpha-l-fucosidase 2 precursor</v>
          </cell>
          <cell r="D457" t="str">
            <v>BT0</v>
          </cell>
          <cell r="E457" t="str">
            <v>BT24</v>
          </cell>
          <cell r="F457">
            <v>6.9001400000000004</v>
          </cell>
          <cell r="G457">
            <v>3.1917399999999998</v>
          </cell>
          <cell r="H457">
            <v>-1.1122799999999999</v>
          </cell>
        </row>
        <row r="458">
          <cell r="A458" t="str">
            <v>GRMZM2G051806</v>
          </cell>
          <cell r="B458" t="str">
            <v>GO:0004396GO:0006096GO:0005524</v>
          </cell>
          <cell r="C458" t="str">
            <v>hexokinase 2</v>
          </cell>
          <cell r="D458" t="str">
            <v>BT0</v>
          </cell>
          <cell r="E458" t="str">
            <v>BT24</v>
          </cell>
          <cell r="F458">
            <v>10.7218</v>
          </cell>
          <cell r="G458">
            <v>3.4334600000000002</v>
          </cell>
          <cell r="H458">
            <v>-1.6428100000000001</v>
          </cell>
        </row>
        <row r="459">
          <cell r="A459" t="str">
            <v>GRMZM2G317426</v>
          </cell>
          <cell r="B459" t="e">
            <v>#N/A</v>
          </cell>
          <cell r="C459">
            <v>0</v>
          </cell>
          <cell r="D459" t="str">
            <v>BT0</v>
          </cell>
          <cell r="E459" t="str">
            <v>BT24</v>
          </cell>
          <cell r="F459">
            <v>3.50373</v>
          </cell>
          <cell r="G459">
            <v>0.58664099999999997</v>
          </cell>
          <cell r="H459">
            <v>-2.5783399999999999</v>
          </cell>
        </row>
        <row r="460">
          <cell r="A460" t="str">
            <v>GRMZM2G062333</v>
          </cell>
          <cell r="B460" t="str">
            <v>GO:0005634GO:0006270GO:0017111GO:0005524GO:0003677</v>
          </cell>
          <cell r="C460" t="str">
            <v>minichromosome maintenance protein</v>
          </cell>
          <cell r="D460" t="str">
            <v>BT0</v>
          </cell>
          <cell r="E460" t="str">
            <v>BT24</v>
          </cell>
          <cell r="F460">
            <v>1.34354</v>
          </cell>
          <cell r="G460">
            <v>0.59048400000000001</v>
          </cell>
          <cell r="H460">
            <v>-1.18607</v>
          </cell>
        </row>
        <row r="461">
          <cell r="A461" t="str">
            <v>GRMZM2G147245</v>
          </cell>
          <cell r="B461" t="str">
            <v>GO:0004497GO:0020037GO:0009055</v>
          </cell>
          <cell r="C461" t="str">
            <v>cinnamic acid 4-hydroxylase</v>
          </cell>
          <cell r="D461" t="str">
            <v>BT0</v>
          </cell>
          <cell r="E461" t="str">
            <v>BT24</v>
          </cell>
          <cell r="F461">
            <v>4.4005799999999997</v>
          </cell>
          <cell r="G461">
            <v>1.0616099999999999</v>
          </cell>
          <cell r="H461">
            <v>-2.0514299999999999</v>
          </cell>
        </row>
        <row r="462">
          <cell r="A462" t="str">
            <v>GRMZM5G898274</v>
          </cell>
          <cell r="B462" t="e">
            <v>#N/A</v>
          </cell>
          <cell r="C462" t="str">
            <v>hypothetical protein SORBIDRAFT_09g018300</v>
          </cell>
          <cell r="D462" t="str">
            <v>BT0</v>
          </cell>
          <cell r="E462" t="str">
            <v>BT24</v>
          </cell>
          <cell r="F462">
            <v>2.9943599999999999</v>
          </cell>
          <cell r="G462">
            <v>10.129099999999999</v>
          </cell>
          <cell r="H462">
            <v>1.7581899999999999</v>
          </cell>
        </row>
        <row r="463">
          <cell r="A463" t="str">
            <v>GRMZM2G132995</v>
          </cell>
          <cell r="B463" t="str">
            <v>GO:0015297GO:0016020GO:0006855GO:0015238</v>
          </cell>
          <cell r="C463" t="str">
            <v>transparent testa 12 protein</v>
          </cell>
          <cell r="D463" t="str">
            <v>BT0</v>
          </cell>
          <cell r="E463" t="str">
            <v>BT24</v>
          </cell>
          <cell r="F463">
            <v>4.6001000000000003</v>
          </cell>
          <cell r="G463">
            <v>0.63108399999999998</v>
          </cell>
          <cell r="H463">
            <v>-2.8657599999999999</v>
          </cell>
        </row>
        <row r="464">
          <cell r="A464" t="str">
            <v>GRMZM2G012021</v>
          </cell>
          <cell r="B464" t="e">
            <v>#N/A</v>
          </cell>
          <cell r="C464" t="str">
            <v>leaf senescence related</v>
          </cell>
          <cell r="D464" t="str">
            <v>BT0</v>
          </cell>
          <cell r="E464" t="str">
            <v>BT24</v>
          </cell>
          <cell r="F464">
            <v>2.3186300000000002</v>
          </cell>
          <cell r="G464">
            <v>1.0105599999999999</v>
          </cell>
          <cell r="H464">
            <v>-1.19811</v>
          </cell>
        </row>
        <row r="465">
          <cell r="A465" t="str">
            <v>GRMZM2G319109</v>
          </cell>
          <cell r="B465" t="str">
            <v>GO:0003924GO:0005525GO:0004789GO:0009228GO:0005622</v>
          </cell>
          <cell r="C465" t="str">
            <v>fzo-like protein</v>
          </cell>
          <cell r="D465" t="str">
            <v>BT0</v>
          </cell>
          <cell r="E465" t="str">
            <v>BT24</v>
          </cell>
          <cell r="F465">
            <v>10.242100000000001</v>
          </cell>
          <cell r="G465">
            <v>20.5258</v>
          </cell>
          <cell r="H465">
            <v>1.0029300000000001</v>
          </cell>
        </row>
        <row r="466">
          <cell r="A466" t="str">
            <v>GRMZM2G140721</v>
          </cell>
          <cell r="B466" t="str">
            <v>GO:0004674GO:0006468GO:0004713GO:0005524</v>
          </cell>
          <cell r="C466" t="str">
            <v>atp binding</v>
          </cell>
          <cell r="D466" t="str">
            <v>BT0</v>
          </cell>
          <cell r="E466" t="str">
            <v>BT24</v>
          </cell>
          <cell r="F466">
            <v>4.3860599999999996</v>
          </cell>
          <cell r="G466">
            <v>1.80416</v>
          </cell>
          <cell r="H466">
            <v>-1.2816000000000001</v>
          </cell>
        </row>
        <row r="467">
          <cell r="A467" t="str">
            <v>AC187896.3_FG006</v>
          </cell>
          <cell r="B467" t="e">
            <v>#N/A</v>
          </cell>
          <cell r="C467" t="e">
            <v>#N/A</v>
          </cell>
          <cell r="D467" t="str">
            <v>BT0</v>
          </cell>
          <cell r="E467" t="str">
            <v>BT24</v>
          </cell>
          <cell r="F467">
            <v>0</v>
          </cell>
          <cell r="G467">
            <v>0.95873600000000003</v>
          </cell>
          <cell r="H467" t="str">
            <v>inf</v>
          </cell>
        </row>
        <row r="468">
          <cell r="A468" t="str">
            <v>GRMZM2G132212</v>
          </cell>
          <cell r="B468" t="str">
            <v>GO:0004674GO:0006468GO:0005524GO:0005515GO:0004713</v>
          </cell>
          <cell r="C468" t="str">
            <v>receptor-like protein kinase hsl1-like</v>
          </cell>
          <cell r="D468" t="str">
            <v>BT0</v>
          </cell>
          <cell r="E468" t="str">
            <v>BT24</v>
          </cell>
          <cell r="F468">
            <v>7.2402899999999999</v>
          </cell>
          <cell r="G468">
            <v>2.3975200000000001</v>
          </cell>
          <cell r="H468">
            <v>-1.5945100000000001</v>
          </cell>
        </row>
        <row r="469">
          <cell r="A469" t="str">
            <v>GRMZM2G126079</v>
          </cell>
          <cell r="B469" t="str">
            <v>GO:0032312GO:0008060GO:0008270</v>
          </cell>
          <cell r="C469" t="str">
            <v>arf-gap domain and fg repeats-containing protein</v>
          </cell>
          <cell r="D469" t="str">
            <v>BT0</v>
          </cell>
          <cell r="E469" t="str">
            <v>BT24</v>
          </cell>
          <cell r="F469">
            <v>3.3238799999999999</v>
          </cell>
          <cell r="G469">
            <v>1.28331</v>
          </cell>
          <cell r="H469">
            <v>-1.373</v>
          </cell>
        </row>
        <row r="470">
          <cell r="A470" t="str">
            <v>GRMZM2G175232</v>
          </cell>
          <cell r="B470" t="str">
            <v>GO:0003677</v>
          </cell>
          <cell r="C470" t="str">
            <v>myb-related protein hv33</v>
          </cell>
          <cell r="D470" t="str">
            <v>BT0</v>
          </cell>
          <cell r="E470" t="str">
            <v>BT24</v>
          </cell>
          <cell r="F470">
            <v>4.3981700000000004</v>
          </cell>
          <cell r="G470">
            <v>1.69875</v>
          </cell>
          <cell r="H470">
            <v>-1.37243</v>
          </cell>
        </row>
        <row r="471">
          <cell r="A471" t="str">
            <v>GRMZM2G380738</v>
          </cell>
          <cell r="B471" t="e">
            <v>#N/A</v>
          </cell>
          <cell r="C471" t="str">
            <v>hypothetical protein SORBIDRAFT_09g027920</v>
          </cell>
          <cell r="D471" t="str">
            <v>BT0</v>
          </cell>
          <cell r="E471" t="str">
            <v>BT24</v>
          </cell>
          <cell r="F471">
            <v>3.1528999999999998</v>
          </cell>
          <cell r="G471">
            <v>6.7159300000000002</v>
          </cell>
          <cell r="H471">
            <v>1.09091</v>
          </cell>
        </row>
        <row r="472">
          <cell r="A472" t="str">
            <v>GRMZM2G175995</v>
          </cell>
          <cell r="B472" t="str">
            <v>GO:0050825GO:0042309GO:0050826</v>
          </cell>
          <cell r="C472" t="str">
            <v>auxin regulated gene involved in organ size 5</v>
          </cell>
          <cell r="D472" t="str">
            <v>BT0</v>
          </cell>
          <cell r="E472" t="str">
            <v>BT24</v>
          </cell>
          <cell r="F472">
            <v>12.2989</v>
          </cell>
          <cell r="G472">
            <v>25.370100000000001</v>
          </cell>
          <cell r="H472">
            <v>1.0446</v>
          </cell>
        </row>
        <row r="473">
          <cell r="A473" t="str">
            <v>GRMZM2G134130</v>
          </cell>
          <cell r="B473" t="str">
            <v>GO:0009523GO:0016021GO:0030145GO:0050825GO:0042309GO:0050826GO:0015979</v>
          </cell>
          <cell r="C473" t="str">
            <v>photosystem ii core complex proteins psby</v>
          </cell>
          <cell r="D473" t="str">
            <v>BT0</v>
          </cell>
          <cell r="E473" t="str">
            <v>BT24</v>
          </cell>
          <cell r="F473">
            <v>484.92500000000001</v>
          </cell>
          <cell r="G473">
            <v>1223.5999999999999</v>
          </cell>
          <cell r="H473">
            <v>1.3352900000000001</v>
          </cell>
        </row>
        <row r="474">
          <cell r="A474" t="str">
            <v>GRMZM2G057186</v>
          </cell>
          <cell r="B474" t="str">
            <v>GO:0003824</v>
          </cell>
          <cell r="C474" t="str">
            <v>vtc2-like protein</v>
          </cell>
          <cell r="D474" t="str">
            <v>BT0</v>
          </cell>
          <cell r="E474" t="str">
            <v>BT24</v>
          </cell>
          <cell r="F474">
            <v>64.732200000000006</v>
          </cell>
          <cell r="G474">
            <v>30.177900000000001</v>
          </cell>
          <cell r="H474">
            <v>-1.1009899999999999</v>
          </cell>
        </row>
        <row r="475">
          <cell r="A475" t="str">
            <v>GRMZM2G101625</v>
          </cell>
          <cell r="B475" t="str">
            <v>GO:0050825GO:0042309GO:0050826</v>
          </cell>
          <cell r="C475" t="str">
            <v>c21orf59 homolog ( sapiens) like</v>
          </cell>
          <cell r="D475" t="str">
            <v>BT0</v>
          </cell>
          <cell r="E475" t="str">
            <v>BT24</v>
          </cell>
          <cell r="F475">
            <v>1.7463500000000001</v>
          </cell>
          <cell r="G475">
            <v>0.81285700000000005</v>
          </cell>
          <cell r="H475">
            <v>-1.10327</v>
          </cell>
        </row>
        <row r="476">
          <cell r="A476" t="str">
            <v>GRMZM2G076329</v>
          </cell>
          <cell r="B476" t="str">
            <v>GO:0005634GO:0006260GO:0008270GO:0003677</v>
          </cell>
          <cell r="C476" t="str">
            <v>replication factor a</v>
          </cell>
          <cell r="D476" t="str">
            <v>BT0</v>
          </cell>
          <cell r="E476" t="str">
            <v>BT24</v>
          </cell>
          <cell r="F476">
            <v>0.79801699999999998</v>
          </cell>
          <cell r="G476">
            <v>0.37463999999999997</v>
          </cell>
          <cell r="H476">
            <v>-1.09091</v>
          </cell>
        </row>
        <row r="477">
          <cell r="A477" t="str">
            <v>GRMZM2G312997</v>
          </cell>
          <cell r="B477" t="str">
            <v>GO:0006979GO:0020037GO:0004601</v>
          </cell>
          <cell r="C477" t="str">
            <v>alpha- expressed</v>
          </cell>
          <cell r="D477" t="str">
            <v>BT0</v>
          </cell>
          <cell r="E477" t="str">
            <v>BT24</v>
          </cell>
          <cell r="F477">
            <v>3.7051799999999999</v>
          </cell>
          <cell r="G477">
            <v>7.8455199999999996</v>
          </cell>
          <cell r="H477">
            <v>1.0823199999999999</v>
          </cell>
        </row>
        <row r="478">
          <cell r="A478" t="str">
            <v>GRMZM2G145461</v>
          </cell>
          <cell r="B478" t="str">
            <v>GO:0004568GO:0006032GO:0008061GO:0016998</v>
          </cell>
          <cell r="C478" t="str">
            <v>chitinase</v>
          </cell>
          <cell r="D478" t="str">
            <v>BT0</v>
          </cell>
          <cell r="E478" t="str">
            <v>BT24</v>
          </cell>
          <cell r="F478">
            <v>228.00899999999999</v>
          </cell>
          <cell r="G478">
            <v>80.881799999999998</v>
          </cell>
          <cell r="H478">
            <v>-1.4952000000000001</v>
          </cell>
        </row>
        <row r="479">
          <cell r="A479" t="str">
            <v>GRMZM2G089400</v>
          </cell>
          <cell r="B479" t="str">
            <v>GO:0008289GO:0006869</v>
          </cell>
          <cell r="C479" t="str">
            <v>bifunctional inhibitor lipid-transfer protein seed storage 2s albumin-like protein</v>
          </cell>
          <cell r="D479" t="str">
            <v>BT0</v>
          </cell>
          <cell r="E479" t="str">
            <v>BT24</v>
          </cell>
          <cell r="F479">
            <v>7.8944900000000002</v>
          </cell>
          <cell r="G479">
            <v>3.59613</v>
          </cell>
          <cell r="H479">
            <v>-1.1344000000000001</v>
          </cell>
        </row>
        <row r="480">
          <cell r="A480" t="str">
            <v>GRMZM2G171028</v>
          </cell>
          <cell r="B480" t="e">
            <v>#N/A</v>
          </cell>
          <cell r="C480" t="str">
            <v>plant viral-response family expressed</v>
          </cell>
          <cell r="D480" t="str">
            <v>BT0</v>
          </cell>
          <cell r="E480" t="str">
            <v>BT24</v>
          </cell>
          <cell r="F480">
            <v>1.7680400000000001</v>
          </cell>
          <cell r="G480">
            <v>0.87371100000000002</v>
          </cell>
          <cell r="H480">
            <v>-1.01692</v>
          </cell>
        </row>
        <row r="481">
          <cell r="A481" t="str">
            <v>GRMZM2G122302</v>
          </cell>
          <cell r="B481" t="str">
            <v>GO:0005507GO:0009055</v>
          </cell>
          <cell r="C481" t="str">
            <v>blue copper protein</v>
          </cell>
          <cell r="D481" t="str">
            <v>BT0</v>
          </cell>
          <cell r="E481" t="str">
            <v>BT24</v>
          </cell>
          <cell r="F481">
            <v>22.359100000000002</v>
          </cell>
          <cell r="G481">
            <v>9.3239099999999997</v>
          </cell>
          <cell r="H481">
            <v>-1.2618499999999999</v>
          </cell>
        </row>
        <row r="482">
          <cell r="A482" t="str">
            <v>GRMZM2G064096</v>
          </cell>
          <cell r="B482" t="str">
            <v>GO:0048046GO:0030145GO:0045735</v>
          </cell>
          <cell r="C482" t="str">
            <v>germin-like protein</v>
          </cell>
          <cell r="D482" t="str">
            <v>BT0</v>
          </cell>
          <cell r="E482" t="str">
            <v>BT24</v>
          </cell>
          <cell r="F482">
            <v>310.68599999999998</v>
          </cell>
          <cell r="G482">
            <v>632.19399999999996</v>
          </cell>
          <cell r="H482">
            <v>1.02491</v>
          </cell>
        </row>
        <row r="483">
          <cell r="A483" t="str">
            <v>GRMZM2G001508</v>
          </cell>
          <cell r="B483" t="str">
            <v>GO:0003993</v>
          </cell>
          <cell r="C483" t="str">
            <v>stem 28 kda glycoprotein precursor</v>
          </cell>
          <cell r="D483" t="str">
            <v>BT0</v>
          </cell>
          <cell r="E483" t="str">
            <v>BT24</v>
          </cell>
          <cell r="F483">
            <v>1.37991</v>
          </cell>
          <cell r="G483">
            <v>5.8302100000000001</v>
          </cell>
          <cell r="H483">
            <v>2.07897</v>
          </cell>
        </row>
        <row r="484">
          <cell r="A484" t="str">
            <v>GRMZM2G339091</v>
          </cell>
          <cell r="B484" t="str">
            <v>GO:0003779GO:0006508GO:0004185</v>
          </cell>
          <cell r="C484" t="str">
            <v>serine carboxypeptidase ii</v>
          </cell>
          <cell r="D484" t="str">
            <v>BT0</v>
          </cell>
          <cell r="E484" t="str">
            <v>BT24</v>
          </cell>
          <cell r="F484">
            <v>33.7821</v>
          </cell>
          <cell r="G484">
            <v>14.918100000000001</v>
          </cell>
          <cell r="H484">
            <v>-1.17919</v>
          </cell>
        </row>
        <row r="485">
          <cell r="A485" t="str">
            <v>DHN1</v>
          </cell>
          <cell r="B485" t="e">
            <v>#N/A</v>
          </cell>
          <cell r="C485" t="e">
            <v>#N/A</v>
          </cell>
          <cell r="D485" t="str">
            <v>BT0</v>
          </cell>
          <cell r="E485" t="str">
            <v>BT24</v>
          </cell>
          <cell r="F485">
            <v>120.504</v>
          </cell>
          <cell r="G485">
            <v>22.567299999999999</v>
          </cell>
          <cell r="H485">
            <v>-2.4167700000000001</v>
          </cell>
        </row>
        <row r="486">
          <cell r="A486" t="str">
            <v>GRMZM2G309071</v>
          </cell>
          <cell r="B486" t="e">
            <v>#N/A</v>
          </cell>
          <cell r="C486" t="str">
            <v>protein</v>
          </cell>
          <cell r="D486" t="str">
            <v>BT0</v>
          </cell>
          <cell r="E486" t="str">
            <v>BT24</v>
          </cell>
          <cell r="F486">
            <v>6.4174300000000004</v>
          </cell>
          <cell r="G486">
            <v>17.0655</v>
          </cell>
          <cell r="H486">
            <v>1.4110199999999999</v>
          </cell>
        </row>
        <row r="487">
          <cell r="A487" t="str">
            <v>FDX6</v>
          </cell>
          <cell r="B487" t="e">
            <v>#N/A</v>
          </cell>
          <cell r="C487" t="e">
            <v>#N/A</v>
          </cell>
          <cell r="D487" t="str">
            <v>BT0</v>
          </cell>
          <cell r="E487" t="str">
            <v>BT24</v>
          </cell>
          <cell r="F487">
            <v>34.9771</v>
          </cell>
          <cell r="G487">
            <v>10.886900000000001</v>
          </cell>
          <cell r="H487">
            <v>-1.6838200000000001</v>
          </cell>
        </row>
        <row r="488">
          <cell r="A488" t="str">
            <v>GRMZM2G067156</v>
          </cell>
          <cell r="B488" t="e">
            <v>#N/A</v>
          </cell>
          <cell r="C488" t="str">
            <v>unknown</v>
          </cell>
          <cell r="D488" t="str">
            <v>BT0</v>
          </cell>
          <cell r="E488" t="str">
            <v>BT24</v>
          </cell>
          <cell r="F488">
            <v>2.2401900000000001</v>
          </cell>
          <cell r="G488">
            <v>1.1005799999999999</v>
          </cell>
          <cell r="H488">
            <v>-1.02535</v>
          </cell>
        </row>
        <row r="489">
          <cell r="A489" t="str">
            <v>GRMZM2G146152</v>
          </cell>
          <cell r="B489" t="str">
            <v>GO:0046274GO:0016020GO:0048046GO:0006835GO:0008471GO:0005507GO:0017153GO:0055114</v>
          </cell>
          <cell r="C489" t="str">
            <v>laccase precursor</v>
          </cell>
          <cell r="D489" t="str">
            <v>BT0</v>
          </cell>
          <cell r="E489" t="str">
            <v>BT24</v>
          </cell>
          <cell r="F489">
            <v>0.90907499999999997</v>
          </cell>
          <cell r="G489">
            <v>0.15714800000000001</v>
          </cell>
          <cell r="H489">
            <v>-2.5322800000000001</v>
          </cell>
        </row>
        <row r="490">
          <cell r="A490" t="str">
            <v>GRMZM2G075782</v>
          </cell>
          <cell r="B490" t="str">
            <v>GO:0008270GO:0005515</v>
          </cell>
          <cell r="C490" t="str">
            <v>ring-h2 finger protein atl66-like</v>
          </cell>
          <cell r="D490" t="str">
            <v>BT0</v>
          </cell>
          <cell r="E490" t="str">
            <v>BT24</v>
          </cell>
          <cell r="F490">
            <v>2.7931699999999999</v>
          </cell>
          <cell r="G490">
            <v>1.13262</v>
          </cell>
          <cell r="H490">
            <v>-1.30223</v>
          </cell>
        </row>
        <row r="491">
          <cell r="A491" t="str">
            <v>GRMZM2G174558</v>
          </cell>
          <cell r="B491" t="e">
            <v>#N/A</v>
          </cell>
          <cell r="C491" t="str">
            <v>dna-binding wrky</v>
          </cell>
          <cell r="D491" t="str">
            <v>BT0</v>
          </cell>
          <cell r="E491" t="str">
            <v>BT24</v>
          </cell>
          <cell r="F491">
            <v>10.466699999999999</v>
          </cell>
          <cell r="G491">
            <v>5.0131899999999998</v>
          </cell>
          <cell r="H491">
            <v>-1.0620000000000001</v>
          </cell>
        </row>
        <row r="492">
          <cell r="A492" t="str">
            <v>GRMZM2G013798</v>
          </cell>
          <cell r="B492" t="str">
            <v>GO:0033179GO:0045263GO:0015986GO:0015078</v>
          </cell>
          <cell r="C492" t="str">
            <v>ribosomal protein s2</v>
          </cell>
          <cell r="D492" t="str">
            <v>BT0</v>
          </cell>
          <cell r="E492" t="str">
            <v>BT24</v>
          </cell>
          <cell r="F492">
            <v>2.7787999999999999</v>
          </cell>
          <cell r="G492">
            <v>7.3628499999999999</v>
          </cell>
          <cell r="H492">
            <v>1.4057999999999999</v>
          </cell>
        </row>
        <row r="493">
          <cell r="A493" t="str">
            <v>GRMZM2G090245</v>
          </cell>
          <cell r="B493" t="e">
            <v>#N/A</v>
          </cell>
          <cell r="C493" t="str">
            <v>adenosine diphosphate glucose pyrophosphatase</v>
          </cell>
          <cell r="D493" t="str">
            <v>BT0</v>
          </cell>
          <cell r="E493" t="str">
            <v>BT24</v>
          </cell>
          <cell r="F493">
            <v>117.569</v>
          </cell>
          <cell r="G493">
            <v>54.377299999999998</v>
          </cell>
          <cell r="H493">
            <v>-1.11243</v>
          </cell>
        </row>
        <row r="494">
          <cell r="A494" t="str">
            <v>GRMZM2G163883</v>
          </cell>
          <cell r="B494" t="e">
            <v>#N/A</v>
          </cell>
          <cell r="C494" t="str">
            <v>glucan endo- -beta-glucosidase-like protein</v>
          </cell>
          <cell r="D494" t="str">
            <v>BT0</v>
          </cell>
          <cell r="E494" t="str">
            <v>BT24</v>
          </cell>
          <cell r="F494">
            <v>1.79372</v>
          </cell>
          <cell r="G494">
            <v>0.72582400000000002</v>
          </cell>
          <cell r="H494">
            <v>-1.3052600000000001</v>
          </cell>
        </row>
        <row r="495">
          <cell r="A495" t="str">
            <v>GRMZM2G163809</v>
          </cell>
          <cell r="B495" t="str">
            <v>GO:0016765GO:0008299GO:0009842GO:0015979</v>
          </cell>
          <cell r="C495" t="str">
            <v>solanesyl diphosphate synthase 2</v>
          </cell>
          <cell r="D495" t="str">
            <v>BT0</v>
          </cell>
          <cell r="E495" t="str">
            <v>BT24</v>
          </cell>
          <cell r="F495">
            <v>41.184199999999997</v>
          </cell>
          <cell r="G495">
            <v>16.8048</v>
          </cell>
          <cell r="H495">
            <v>-1.29322</v>
          </cell>
        </row>
        <row r="496">
          <cell r="A496" t="str">
            <v>GRMZM2G465226</v>
          </cell>
          <cell r="B496" t="e">
            <v>#N/A</v>
          </cell>
          <cell r="C496" t="str">
            <v>pathogenesis-related protein class i</v>
          </cell>
          <cell r="D496" t="str">
            <v>BT0</v>
          </cell>
          <cell r="E496" t="str">
            <v>BT24</v>
          </cell>
          <cell r="F496">
            <v>35.725099999999998</v>
          </cell>
          <cell r="G496">
            <v>3.4402499999999998</v>
          </cell>
          <cell r="H496">
            <v>-3.37635</v>
          </cell>
        </row>
        <row r="497">
          <cell r="A497" t="str">
            <v>GRMZM2G417954</v>
          </cell>
          <cell r="B497" t="e">
            <v>#N/A</v>
          </cell>
          <cell r="C497" t="str">
            <v>9-cis-epoxycarotenoid dioxygenase</v>
          </cell>
          <cell r="D497" t="str">
            <v>BT0</v>
          </cell>
          <cell r="E497" t="str">
            <v>BT24</v>
          </cell>
          <cell r="F497">
            <v>1.2563800000000001</v>
          </cell>
          <cell r="G497">
            <v>0.39192500000000002</v>
          </cell>
          <cell r="H497">
            <v>-1.68062</v>
          </cell>
        </row>
        <row r="498">
          <cell r="A498" t="str">
            <v>GRMZM2G162359</v>
          </cell>
          <cell r="B498" t="str">
            <v>GO:0005975GO:0004553</v>
          </cell>
          <cell r="C498" t="str">
            <v>xylanase inhibitor protein 1-like</v>
          </cell>
          <cell r="D498" t="str">
            <v>BT0</v>
          </cell>
          <cell r="E498" t="str">
            <v>BT24</v>
          </cell>
          <cell r="F498">
            <v>42.320900000000002</v>
          </cell>
          <cell r="G498">
            <v>18.239999999999998</v>
          </cell>
          <cell r="H498">
            <v>-1.2142599999999999</v>
          </cell>
        </row>
        <row r="499">
          <cell r="A499" t="str">
            <v>GRMZM2G340656</v>
          </cell>
          <cell r="B499" t="e">
            <v>#N/A</v>
          </cell>
          <cell r="C499" t="str">
            <v>stachyose synthase precursor</v>
          </cell>
          <cell r="D499" t="str">
            <v>BT0</v>
          </cell>
          <cell r="E499" t="str">
            <v>BT24</v>
          </cell>
          <cell r="F499">
            <v>995.572</v>
          </cell>
          <cell r="G499">
            <v>495.16199999999998</v>
          </cell>
          <cell r="H499">
            <v>-1.00763</v>
          </cell>
        </row>
        <row r="500">
          <cell r="A500" t="str">
            <v>GRMZM2G107065</v>
          </cell>
          <cell r="B500" t="e">
            <v>#N/A</v>
          </cell>
          <cell r="C500" t="str">
            <v>uncharacterized protein LOC100277591</v>
          </cell>
          <cell r="D500" t="str">
            <v>BT0</v>
          </cell>
          <cell r="E500" t="str">
            <v>BT24</v>
          </cell>
          <cell r="F500">
            <v>2.8201299999999998</v>
          </cell>
          <cell r="G500">
            <v>0.89882200000000001</v>
          </cell>
          <cell r="H500">
            <v>-1.6496500000000001</v>
          </cell>
        </row>
        <row r="501">
          <cell r="A501" t="str">
            <v>AC233933.1_FG001</v>
          </cell>
          <cell r="B501" t="str">
            <v>GO:0003700GO:0006355GO:0050825GO:0042309GO:0050826</v>
          </cell>
          <cell r="C501" t="e">
            <v>#N/A</v>
          </cell>
          <cell r="D501" t="str">
            <v>BT0</v>
          </cell>
          <cell r="E501" t="str">
            <v>BT24</v>
          </cell>
          <cell r="F501">
            <v>0.79898400000000003</v>
          </cell>
          <cell r="G501">
            <v>0.13158400000000001</v>
          </cell>
          <cell r="H501">
            <v>-2.6021899999999998</v>
          </cell>
        </row>
        <row r="502">
          <cell r="A502" t="str">
            <v>GRMZM2G154747</v>
          </cell>
          <cell r="B502" t="str">
            <v>GO:0016020GO:0017153GO:0006835</v>
          </cell>
          <cell r="C502" t="str">
            <v>plasma membrane associated protein</v>
          </cell>
          <cell r="D502" t="str">
            <v>BT0</v>
          </cell>
          <cell r="E502" t="str">
            <v>BT24</v>
          </cell>
          <cell r="F502">
            <v>1.16185</v>
          </cell>
          <cell r="G502">
            <v>0.25799699999999998</v>
          </cell>
          <cell r="H502">
            <v>-2.1709999999999998</v>
          </cell>
        </row>
        <row r="503">
          <cell r="A503" t="str">
            <v>GRMZM5G896560</v>
          </cell>
          <cell r="B503" t="e">
            <v>#N/A</v>
          </cell>
          <cell r="C503">
            <v>0</v>
          </cell>
          <cell r="D503" t="str">
            <v>BT0</v>
          </cell>
          <cell r="E503" t="str">
            <v>BT24</v>
          </cell>
          <cell r="F503">
            <v>4.9256500000000001</v>
          </cell>
          <cell r="G503">
            <v>12.1843</v>
          </cell>
          <cell r="H503">
            <v>1.30664</v>
          </cell>
        </row>
        <row r="504">
          <cell r="A504" t="str">
            <v>GRMZM2G054803</v>
          </cell>
          <cell r="B504" t="str">
            <v>GO:0016765</v>
          </cell>
          <cell r="C504" t="str">
            <v>undecaprenyl pyrophosphate synthetase</v>
          </cell>
          <cell r="D504" t="str">
            <v>BT0</v>
          </cell>
          <cell r="E504" t="str">
            <v>BT24</v>
          </cell>
          <cell r="F504">
            <v>203.636</v>
          </cell>
          <cell r="G504">
            <v>69.062299999999993</v>
          </cell>
          <cell r="H504">
            <v>-1.56002</v>
          </cell>
        </row>
        <row r="505">
          <cell r="A505" t="str">
            <v>GRMZM2G131836</v>
          </cell>
          <cell r="B505" t="str">
            <v>GO:0003854GO:0050662GO:0016564GO:0006808GO:0006694</v>
          </cell>
          <cell r="C505" t="str">
            <v>cinnamoyl- reductase</v>
          </cell>
          <cell r="D505" t="str">
            <v>BT0</v>
          </cell>
          <cell r="E505" t="str">
            <v>BT24</v>
          </cell>
          <cell r="F505">
            <v>1.8883099999999999</v>
          </cell>
          <cell r="G505">
            <v>0.81683799999999995</v>
          </cell>
          <cell r="H505">
            <v>-1.2089700000000001</v>
          </cell>
        </row>
        <row r="506">
          <cell r="A506" t="str">
            <v>GRMZM2G027198</v>
          </cell>
          <cell r="B506" t="str">
            <v>GO:0005507GO:0009055</v>
          </cell>
          <cell r="C506" t="str">
            <v>blue copper binding protein</v>
          </cell>
          <cell r="D506" t="str">
            <v>BT0</v>
          </cell>
          <cell r="E506" t="str">
            <v>BT24</v>
          </cell>
          <cell r="F506">
            <v>8.4133800000000001</v>
          </cell>
          <cell r="G506">
            <v>2.47749</v>
          </cell>
          <cell r="H506">
            <v>-1.7638</v>
          </cell>
        </row>
        <row r="507">
          <cell r="A507" t="str">
            <v>GRMZM2G448924</v>
          </cell>
          <cell r="B507" t="e">
            <v>#N/A</v>
          </cell>
          <cell r="C507">
            <v>0</v>
          </cell>
          <cell r="D507" t="str">
            <v>BT0</v>
          </cell>
          <cell r="E507" t="str">
            <v>BT24</v>
          </cell>
          <cell r="F507">
            <v>9.9636700000000005</v>
          </cell>
          <cell r="G507">
            <v>4.3981599999999998</v>
          </cell>
          <cell r="H507">
            <v>-1.1797800000000001</v>
          </cell>
        </row>
        <row r="508">
          <cell r="A508" t="str">
            <v>GRMZM2G315431</v>
          </cell>
          <cell r="B508" t="str">
            <v>GO:0016567GO:0004842GO:0000151GO:0005488</v>
          </cell>
          <cell r="C508" t="str">
            <v>u-box domain-containing protein 19-like</v>
          </cell>
          <cell r="D508" t="str">
            <v>BT0</v>
          </cell>
          <cell r="E508" t="str">
            <v>BT24</v>
          </cell>
          <cell r="F508">
            <v>9.3834</v>
          </cell>
          <cell r="G508">
            <v>3.0026000000000002</v>
          </cell>
          <cell r="H508">
            <v>-1.6438999999999999</v>
          </cell>
        </row>
        <row r="509">
          <cell r="A509" t="str">
            <v>GRMZM2G142898</v>
          </cell>
          <cell r="B509" t="str">
            <v>GO:0016020GO:0016760GO:0008270GO:0005515GO:0030244</v>
          </cell>
          <cell r="C509" t="str">
            <v>cellulose synthase</v>
          </cell>
          <cell r="D509" t="str">
            <v>BT0</v>
          </cell>
          <cell r="E509" t="str">
            <v>BT24</v>
          </cell>
          <cell r="F509">
            <v>4.7689500000000002</v>
          </cell>
          <cell r="G509">
            <v>2.3337400000000001</v>
          </cell>
          <cell r="H509">
            <v>-1.0310299999999999</v>
          </cell>
        </row>
        <row r="510">
          <cell r="A510" t="str">
            <v>GRMZM2G141219</v>
          </cell>
          <cell r="B510" t="str">
            <v>GO:0003700GO:0006355</v>
          </cell>
          <cell r="C510" t="str">
            <v>ap2-like ethylene-responsive transcription factor at1g16060-like</v>
          </cell>
          <cell r="D510" t="str">
            <v>BT0</v>
          </cell>
          <cell r="E510" t="str">
            <v>BT24</v>
          </cell>
          <cell r="F510">
            <v>0.38727299999999998</v>
          </cell>
          <cell r="G510">
            <v>1.0321899999999999</v>
          </cell>
          <cell r="H510">
            <v>1.41429</v>
          </cell>
        </row>
        <row r="511">
          <cell r="A511" t="str">
            <v>GRMZM2G388045</v>
          </cell>
          <cell r="B511" t="e">
            <v>#N/A</v>
          </cell>
          <cell r="C511" t="str">
            <v>uncharacterized protein LOC100382002</v>
          </cell>
          <cell r="D511" t="str">
            <v>BT0</v>
          </cell>
          <cell r="E511" t="str">
            <v>BT24</v>
          </cell>
          <cell r="F511">
            <v>0.98852300000000004</v>
          </cell>
          <cell r="G511">
            <v>0.406808</v>
          </cell>
          <cell r="H511">
            <v>-1.2809299999999999</v>
          </cell>
        </row>
        <row r="512">
          <cell r="A512" t="str">
            <v>GRMZM2G009045</v>
          </cell>
          <cell r="B512" t="str">
            <v>GO:0016020GO:0006810GO:0005488</v>
          </cell>
          <cell r="C512" t="str">
            <v>mitochondrial phosphate transporter</v>
          </cell>
          <cell r="D512" t="str">
            <v>BT0</v>
          </cell>
          <cell r="E512" t="str">
            <v>BT24</v>
          </cell>
          <cell r="F512">
            <v>9.0080600000000004</v>
          </cell>
          <cell r="G512">
            <v>2.07213</v>
          </cell>
          <cell r="H512">
            <v>-2.1200999999999999</v>
          </cell>
        </row>
        <row r="513">
          <cell r="A513" t="str">
            <v>GRMZM2G416632</v>
          </cell>
          <cell r="B513" t="str">
            <v>GO:0005737GO:0004364GO:0008152</v>
          </cell>
          <cell r="C513" t="str">
            <v>glutathione s-transferase</v>
          </cell>
          <cell r="D513" t="str">
            <v>BT0</v>
          </cell>
          <cell r="E513" t="str">
            <v>BT24</v>
          </cell>
          <cell r="F513">
            <v>42.481200000000001</v>
          </cell>
          <cell r="G513">
            <v>18.709900000000001</v>
          </cell>
          <cell r="H513">
            <v>-1.18302</v>
          </cell>
        </row>
        <row r="514">
          <cell r="A514" t="str">
            <v>GRMZM2G109405</v>
          </cell>
          <cell r="B514" t="str">
            <v>GO:0009401GO:0016787GO:0005351</v>
          </cell>
          <cell r="C514" t="str">
            <v>probable inactive purple acid phosphatase 29-like</v>
          </cell>
          <cell r="D514" t="str">
            <v>BT0</v>
          </cell>
          <cell r="E514" t="str">
            <v>BT24</v>
          </cell>
          <cell r="F514">
            <v>49.234200000000001</v>
          </cell>
          <cell r="G514">
            <v>20.7684</v>
          </cell>
          <cell r="H514">
            <v>-1.2452700000000001</v>
          </cell>
        </row>
        <row r="515">
          <cell r="A515" t="str">
            <v>GRMZM2G108615</v>
          </cell>
          <cell r="B515" t="str">
            <v>GO:0005737GO:0006813GO:0051260GO:0008076GO:0005249GO:0005525</v>
          </cell>
          <cell r="C515" t="str">
            <v>hypothetical protein SORBIDRAFT_02g034435</v>
          </cell>
          <cell r="D515" t="str">
            <v>BT0</v>
          </cell>
          <cell r="E515" t="str">
            <v>BT24</v>
          </cell>
          <cell r="F515">
            <v>2.8285800000000001</v>
          </cell>
          <cell r="G515">
            <v>7.1889099999999999</v>
          </cell>
          <cell r="H515">
            <v>1.3456999999999999</v>
          </cell>
        </row>
        <row r="516">
          <cell r="A516" t="str">
            <v>GRMZM2G075794</v>
          </cell>
          <cell r="B516" t="e">
            <v>#N/A</v>
          </cell>
          <cell r="C516" t="str">
            <v>hypothetical protein SORBIDRAFT_02g034730</v>
          </cell>
          <cell r="D516" t="str">
            <v>BT0</v>
          </cell>
          <cell r="E516" t="str">
            <v>BT24</v>
          </cell>
          <cell r="F516">
            <v>2.6664599999999998</v>
          </cell>
          <cell r="G516">
            <v>1.04566</v>
          </cell>
          <cell r="H516">
            <v>-1.3505199999999999</v>
          </cell>
        </row>
        <row r="517">
          <cell r="A517" t="str">
            <v>GRMZM2G057535</v>
          </cell>
          <cell r="B517" t="str">
            <v>GO:0005737GO:0003746GO:0006414GO:0003924GO:0005525</v>
          </cell>
          <cell r="C517" t="str">
            <v>elongation factor 1-</v>
          </cell>
          <cell r="D517" t="str">
            <v>BT0</v>
          </cell>
          <cell r="E517" t="str">
            <v>BT24</v>
          </cell>
          <cell r="F517">
            <v>174.67400000000001</v>
          </cell>
          <cell r="G517">
            <v>87.107699999999994</v>
          </cell>
          <cell r="H517">
            <v>-1.00379</v>
          </cell>
        </row>
        <row r="518">
          <cell r="A518" t="str">
            <v>AC203986.3_FG013</v>
          </cell>
          <cell r="B518" t="e">
            <v>#N/A</v>
          </cell>
          <cell r="C518" t="e">
            <v>#N/A</v>
          </cell>
          <cell r="D518" t="str">
            <v>BT0</v>
          </cell>
          <cell r="E518" t="str">
            <v>BT24</v>
          </cell>
          <cell r="F518">
            <v>22.916599999999999</v>
          </cell>
          <cell r="G518">
            <v>52.510100000000001</v>
          </cell>
          <cell r="H518">
            <v>1.19621</v>
          </cell>
        </row>
        <row r="519">
          <cell r="A519" t="str">
            <v>GRMZM2G152179</v>
          </cell>
          <cell r="B519" t="str">
            <v>GO:0008146</v>
          </cell>
          <cell r="C519" t="str">
            <v>flavonol sulfotransferase-like</v>
          </cell>
          <cell r="D519" t="str">
            <v>BT0</v>
          </cell>
          <cell r="E519" t="str">
            <v>BT24</v>
          </cell>
          <cell r="F519">
            <v>10.179399999999999</v>
          </cell>
          <cell r="G519">
            <v>2.1063499999999999</v>
          </cell>
          <cell r="H519">
            <v>-2.27284</v>
          </cell>
        </row>
        <row r="520">
          <cell r="A520" t="str">
            <v>GRMZM2G427815</v>
          </cell>
          <cell r="B520" t="str">
            <v>GO:0004601GO:0006979GO:0020037GO:0009055</v>
          </cell>
          <cell r="C520" t="str">
            <v>peroxidase</v>
          </cell>
          <cell r="D520" t="str">
            <v>BT0</v>
          </cell>
          <cell r="E520" t="str">
            <v>BT24</v>
          </cell>
          <cell r="F520">
            <v>35.804499999999997</v>
          </cell>
          <cell r="G520">
            <v>13.235300000000001</v>
          </cell>
          <cell r="H520">
            <v>-1.4357500000000001</v>
          </cell>
        </row>
        <row r="521">
          <cell r="A521" t="str">
            <v>GRMZM2G015654</v>
          </cell>
          <cell r="B521" t="str">
            <v>GO:0008107GO:0016020GO:0042546</v>
          </cell>
          <cell r="C521" t="str">
            <v>xyloglucan fucosyltransferase</v>
          </cell>
          <cell r="D521" t="str">
            <v>BT0</v>
          </cell>
          <cell r="E521" t="str">
            <v>BT24</v>
          </cell>
          <cell r="F521">
            <v>3.5211000000000001</v>
          </cell>
          <cell r="G521">
            <v>0.220612</v>
          </cell>
          <cell r="H521">
            <v>-3.9964400000000002</v>
          </cell>
        </row>
        <row r="522">
          <cell r="A522" t="str">
            <v>GRMZM2G123119</v>
          </cell>
          <cell r="B522" t="str">
            <v>GO:0003700GO:0006355</v>
          </cell>
          <cell r="C522" t="str">
            <v>ethylene responsive element binding protein</v>
          </cell>
          <cell r="D522" t="str">
            <v>BT0</v>
          </cell>
          <cell r="E522" t="str">
            <v>BT24</v>
          </cell>
          <cell r="F522">
            <v>10.1067</v>
          </cell>
          <cell r="G522">
            <v>2.7416399999999999</v>
          </cell>
          <cell r="H522">
            <v>-1.8822000000000001</v>
          </cell>
        </row>
        <row r="523">
          <cell r="A523" t="str">
            <v>GRMZM2G032766</v>
          </cell>
          <cell r="B523" t="str">
            <v>GO:0016020GO:0051260</v>
          </cell>
          <cell r="C523" t="str">
            <v>c2 domain-containing protein</v>
          </cell>
          <cell r="D523" t="str">
            <v>BT0</v>
          </cell>
          <cell r="E523" t="str">
            <v>BT24</v>
          </cell>
          <cell r="F523">
            <v>23.785</v>
          </cell>
          <cell r="G523">
            <v>11.7354</v>
          </cell>
          <cell r="H523">
            <v>-1.01918</v>
          </cell>
        </row>
        <row r="524">
          <cell r="A524" t="str">
            <v>AC189078.3_FG004</v>
          </cell>
          <cell r="B524" t="e">
            <v>#N/A</v>
          </cell>
          <cell r="C524" t="e">
            <v>#N/A</v>
          </cell>
          <cell r="D524" t="str">
            <v>BT0</v>
          </cell>
          <cell r="E524" t="str">
            <v>BT24</v>
          </cell>
          <cell r="F524">
            <v>4.3289</v>
          </cell>
          <cell r="G524">
            <v>1.42713</v>
          </cell>
          <cell r="H524">
            <v>-1.6008800000000001</v>
          </cell>
        </row>
        <row r="525">
          <cell r="A525" t="str">
            <v>GRMZM2G308615</v>
          </cell>
          <cell r="B525" t="str">
            <v>GO:0008287GO:0006470GO:0004722GO:0050825GO:0042309GO:0050826</v>
          </cell>
          <cell r="C525" t="str">
            <v>protein phosphatase 2c</v>
          </cell>
          <cell r="D525" t="str">
            <v>BT0</v>
          </cell>
          <cell r="E525" t="str">
            <v>BT24</v>
          </cell>
          <cell r="F525">
            <v>5.8880999999999997</v>
          </cell>
          <cell r="G525">
            <v>2.4565700000000001</v>
          </cell>
          <cell r="H525">
            <v>-1.26115</v>
          </cell>
        </row>
        <row r="526">
          <cell r="A526" t="str">
            <v>GRMZM2G353313</v>
          </cell>
          <cell r="B526" t="e">
            <v>#N/A</v>
          </cell>
          <cell r="C526" t="str">
            <v>hypothetical protein</v>
          </cell>
          <cell r="D526" t="str">
            <v>BT0</v>
          </cell>
          <cell r="E526" t="str">
            <v>BT24</v>
          </cell>
          <cell r="F526">
            <v>9.6581600000000005</v>
          </cell>
          <cell r="G526">
            <v>4.4164399999999997</v>
          </cell>
          <cell r="H526">
            <v>-1.12886</v>
          </cell>
        </row>
        <row r="527">
          <cell r="A527" t="str">
            <v>GRMZM2G125653</v>
          </cell>
          <cell r="B527" t="str">
            <v>GO:0003700GO:0043565GO:0005634GO:0045449</v>
          </cell>
          <cell r="C527" t="str">
            <v>wrky dna-binding protein</v>
          </cell>
          <cell r="D527" t="str">
            <v>BT0</v>
          </cell>
          <cell r="E527" t="str">
            <v>BT24</v>
          </cell>
          <cell r="F527">
            <v>13.834199999999999</v>
          </cell>
          <cell r="G527">
            <v>47.928699999999999</v>
          </cell>
          <cell r="H527">
            <v>1.7926500000000001</v>
          </cell>
        </row>
        <row r="528">
          <cell r="A528" t="str">
            <v>GRMZM2G169149</v>
          </cell>
          <cell r="B528" t="str">
            <v>GO:0003700GO:0043565GO:0005634GO:0045449</v>
          </cell>
          <cell r="C528" t="str">
            <v>wrky62 - superfamily of tfs having wrky and zinc finger domains</v>
          </cell>
          <cell r="D528" t="str">
            <v>BT0</v>
          </cell>
          <cell r="E528" t="str">
            <v>BT24</v>
          </cell>
          <cell r="F528">
            <v>2.7345100000000002</v>
          </cell>
          <cell r="G528">
            <v>7.7873999999999999</v>
          </cell>
          <cell r="H528">
            <v>1.50986</v>
          </cell>
        </row>
        <row r="529">
          <cell r="A529" t="str">
            <v>GRMZM2G339728</v>
          </cell>
          <cell r="B529" t="str">
            <v>GO:0016020GO:0051260</v>
          </cell>
          <cell r="C529">
            <v>0</v>
          </cell>
          <cell r="D529" t="str">
            <v>BT0</v>
          </cell>
          <cell r="E529" t="str">
            <v>BT24</v>
          </cell>
          <cell r="F529">
            <v>0.97496400000000005</v>
          </cell>
          <cell r="G529">
            <v>2.0994899999999999</v>
          </cell>
          <cell r="H529">
            <v>1.1066199999999999</v>
          </cell>
        </row>
        <row r="530">
          <cell r="A530" t="str">
            <v>AC234526.1_FG005</v>
          </cell>
          <cell r="B530" t="str">
            <v>GO:0003854GO:0050662GO:0006694</v>
          </cell>
          <cell r="C530" t="e">
            <v>#N/A</v>
          </cell>
          <cell r="D530" t="str">
            <v>BT0</v>
          </cell>
          <cell r="E530" t="str">
            <v>BT24</v>
          </cell>
          <cell r="F530">
            <v>1.9464999999999999</v>
          </cell>
          <cell r="G530">
            <v>0.70725099999999996</v>
          </cell>
          <cell r="H530">
            <v>-1.4605900000000001</v>
          </cell>
        </row>
        <row r="531">
          <cell r="A531" t="str">
            <v>GRMZM5G876112</v>
          </cell>
          <cell r="B531" t="e">
            <v>#N/A</v>
          </cell>
          <cell r="C531">
            <v>0</v>
          </cell>
          <cell r="D531" t="str">
            <v>BT0</v>
          </cell>
          <cell r="E531" t="str">
            <v>BT24</v>
          </cell>
          <cell r="F531">
            <v>9.5686199999999992</v>
          </cell>
          <cell r="G531">
            <v>3.97031</v>
          </cell>
          <cell r="H531">
            <v>-1.2690600000000001</v>
          </cell>
        </row>
        <row r="532">
          <cell r="A532" t="str">
            <v>GRMZM2G125448</v>
          </cell>
          <cell r="B532" t="str">
            <v>GO:0016747</v>
          </cell>
          <cell r="C532" t="str">
            <v>agmatine coumaroyltransferase-2-like</v>
          </cell>
          <cell r="D532" t="str">
            <v>BT0</v>
          </cell>
          <cell r="E532" t="str">
            <v>BT24</v>
          </cell>
          <cell r="F532">
            <v>3.2955199999999998</v>
          </cell>
          <cell r="G532">
            <v>0.46624399999999999</v>
          </cell>
          <cell r="H532">
            <v>-2.8213499999999998</v>
          </cell>
        </row>
        <row r="533">
          <cell r="A533" t="str">
            <v>GRMZM2G468657</v>
          </cell>
          <cell r="B533" t="str">
            <v>GO:0016021GO:0001619GO:0006835GO:0006508GO:0004190GO:0017153GO:0007186</v>
          </cell>
          <cell r="C533" t="str">
            <v>aspartic proteinase nepenthesin-1</v>
          </cell>
          <cell r="D533" t="str">
            <v>BT0</v>
          </cell>
          <cell r="E533" t="str">
            <v>BT24</v>
          </cell>
          <cell r="F533">
            <v>1.0944799999999999</v>
          </cell>
          <cell r="G533">
            <v>0.100797</v>
          </cell>
          <cell r="H533">
            <v>-3.4407199999999998</v>
          </cell>
        </row>
        <row r="534">
          <cell r="A534" t="str">
            <v>GRMZM2G010702</v>
          </cell>
          <cell r="B534" t="e">
            <v>#N/A</v>
          </cell>
          <cell r="C534" t="str">
            <v>uncharacterized protein LOC100382154</v>
          </cell>
          <cell r="D534" t="str">
            <v>BT0</v>
          </cell>
          <cell r="E534" t="str">
            <v>BT24</v>
          </cell>
          <cell r="F534">
            <v>6.3342799999999997</v>
          </cell>
          <cell r="G534">
            <v>1.51119</v>
          </cell>
          <cell r="H534">
            <v>-2.0674899999999998</v>
          </cell>
        </row>
        <row r="535">
          <cell r="A535" t="str">
            <v>GRMZM2G167497</v>
          </cell>
          <cell r="B535" t="str">
            <v>GO:0030246</v>
          </cell>
          <cell r="C535" t="str">
            <v>cobra-like protein 4</v>
          </cell>
          <cell r="D535" t="str">
            <v>BT0</v>
          </cell>
          <cell r="E535" t="str">
            <v>BT24</v>
          </cell>
          <cell r="F535">
            <v>5.3484499999999997</v>
          </cell>
          <cell r="G535">
            <v>1.6</v>
          </cell>
          <cell r="H535">
            <v>-1.74105</v>
          </cell>
        </row>
        <row r="536">
          <cell r="A536" t="str">
            <v>GRMZM2G459820</v>
          </cell>
          <cell r="B536" t="e">
            <v>#N/A</v>
          </cell>
          <cell r="C536" t="str">
            <v>hypothetical protein SORBIDRAFT_02g040030</v>
          </cell>
          <cell r="D536" t="str">
            <v>BT0</v>
          </cell>
          <cell r="E536" t="str">
            <v>BT24</v>
          </cell>
          <cell r="F536">
            <v>1.7861400000000001</v>
          </cell>
          <cell r="G536">
            <v>0.58648400000000001</v>
          </cell>
          <cell r="H536">
            <v>-1.6066800000000001</v>
          </cell>
        </row>
        <row r="537">
          <cell r="A537" t="str">
            <v>GRMZM2G381378</v>
          </cell>
          <cell r="B537" t="str">
            <v>GO:0003700GO:0043565GO:0005634GO:0045449</v>
          </cell>
          <cell r="C537" t="str">
            <v>wrky transcription factor</v>
          </cell>
          <cell r="D537" t="str">
            <v>BT0</v>
          </cell>
          <cell r="E537" t="str">
            <v>BT24</v>
          </cell>
          <cell r="F537">
            <v>3.0713300000000001</v>
          </cell>
          <cell r="G537">
            <v>6.8282499999999997</v>
          </cell>
          <cell r="H537">
            <v>1.15265</v>
          </cell>
        </row>
        <row r="538">
          <cell r="A538" t="str">
            <v>GRMZM2G095164</v>
          </cell>
          <cell r="B538" t="e">
            <v>#N/A</v>
          </cell>
          <cell r="C538" t="str">
            <v>rapid alkalinization factor 1 precursor</v>
          </cell>
          <cell r="D538" t="str">
            <v>BT0</v>
          </cell>
          <cell r="E538" t="str">
            <v>BT24</v>
          </cell>
          <cell r="F538">
            <v>0.56464999999999999</v>
          </cell>
          <cell r="G538">
            <v>1.6894100000000001</v>
          </cell>
          <cell r="H538">
            <v>1.5810900000000001</v>
          </cell>
        </row>
        <row r="539">
          <cell r="A539" t="str">
            <v>GRMZM2G058681</v>
          </cell>
          <cell r="B539" t="str">
            <v>GO:0003735GO:0008270GO:0006412GO:0005840</v>
          </cell>
          <cell r="C539" t="str">
            <v>protein</v>
          </cell>
          <cell r="D539" t="str">
            <v>BT0</v>
          </cell>
          <cell r="E539" t="str">
            <v>BT24</v>
          </cell>
          <cell r="F539">
            <v>0.68254000000000004</v>
          </cell>
          <cell r="G539">
            <v>1.5218100000000001</v>
          </cell>
          <cell r="H539">
            <v>1.1568099999999999</v>
          </cell>
        </row>
        <row r="540">
          <cell r="A540" t="str">
            <v>GRMZM2G022972</v>
          </cell>
          <cell r="B540" t="e">
            <v>#N/A</v>
          </cell>
          <cell r="C540" t="str">
            <v>protein</v>
          </cell>
          <cell r="D540" t="str">
            <v>BT0</v>
          </cell>
          <cell r="E540" t="str">
            <v>BT24</v>
          </cell>
          <cell r="F540">
            <v>1.1825000000000001</v>
          </cell>
          <cell r="G540">
            <v>0.14648700000000001</v>
          </cell>
          <cell r="H540">
            <v>-3.0129899999999998</v>
          </cell>
        </row>
        <row r="541">
          <cell r="A541" t="str">
            <v>GRMZM2G516301</v>
          </cell>
          <cell r="B541" t="str">
            <v>GO:0003700GO:0043565GO:0005634GO:0045449</v>
          </cell>
          <cell r="C541" t="str">
            <v>wrky transcription factor</v>
          </cell>
          <cell r="D541" t="str">
            <v>BT0</v>
          </cell>
          <cell r="E541" t="str">
            <v>BT24</v>
          </cell>
          <cell r="F541">
            <v>8.9835600000000007</v>
          </cell>
          <cell r="G541">
            <v>2.5358200000000002</v>
          </cell>
          <cell r="H541">
            <v>-1.82483</v>
          </cell>
        </row>
        <row r="542">
          <cell r="A542" t="str">
            <v>GRMZM2G095280</v>
          </cell>
          <cell r="B542" t="str">
            <v>GO:0016758GO:0008152</v>
          </cell>
          <cell r="C542" t="str">
            <v>indole-3-acetate beta-glucosyltransferase</v>
          </cell>
          <cell r="D542" t="str">
            <v>BT0</v>
          </cell>
          <cell r="E542" t="str">
            <v>BT24</v>
          </cell>
          <cell r="F542">
            <v>7.7362399999999996</v>
          </cell>
          <cell r="G542">
            <v>0.72689899999999996</v>
          </cell>
          <cell r="H542">
            <v>-3.41181</v>
          </cell>
        </row>
        <row r="543">
          <cell r="A543" t="str">
            <v>GRMZM2G049695</v>
          </cell>
          <cell r="B543" t="str">
            <v>GO:0003677GO:0050825GO:0008270GO:0042309GO:0050826</v>
          </cell>
          <cell r="C543" t="str">
            <v>mcb2 protein</v>
          </cell>
          <cell r="D543" t="str">
            <v>BT0</v>
          </cell>
          <cell r="E543" t="str">
            <v>BT24</v>
          </cell>
          <cell r="F543">
            <v>10.908799999999999</v>
          </cell>
          <cell r="G543">
            <v>3.30714</v>
          </cell>
          <cell r="H543">
            <v>-1.72184</v>
          </cell>
        </row>
        <row r="544">
          <cell r="A544" t="str">
            <v>GRMZM2G359018</v>
          </cell>
          <cell r="B544" t="str">
            <v>GO:0005783</v>
          </cell>
          <cell r="C544" t="str">
            <v>seed maturation protein</v>
          </cell>
          <cell r="D544" t="str">
            <v>BT0</v>
          </cell>
          <cell r="E544" t="str">
            <v>BT24</v>
          </cell>
          <cell r="F544">
            <v>3.7222599999999999</v>
          </cell>
          <cell r="G544">
            <v>1.76207</v>
          </cell>
          <cell r="H544">
            <v>-1.07891</v>
          </cell>
        </row>
        <row r="545">
          <cell r="A545" t="str">
            <v>GRMZM2G148904</v>
          </cell>
          <cell r="B545" t="str">
            <v>GO:0008168GO:0008152</v>
          </cell>
          <cell r="C545" t="str">
            <v>methyltransferase ddb_g0268948-like</v>
          </cell>
          <cell r="D545" t="str">
            <v>BT0</v>
          </cell>
          <cell r="E545" t="str">
            <v>BT24</v>
          </cell>
          <cell r="F545">
            <v>52.618499999999997</v>
          </cell>
          <cell r="G545">
            <v>10.454000000000001</v>
          </cell>
          <cell r="H545">
            <v>-2.3315100000000002</v>
          </cell>
        </row>
        <row r="546">
          <cell r="A546" t="str">
            <v>GRMZM2G004519</v>
          </cell>
          <cell r="B546" t="str">
            <v>GO:0008270GO:0005515</v>
          </cell>
          <cell r="C546" t="str">
            <v>ring-h2 finger protein atl2l</v>
          </cell>
          <cell r="D546" t="str">
            <v>BT0</v>
          </cell>
          <cell r="E546" t="str">
            <v>BT24</v>
          </cell>
          <cell r="F546">
            <v>3.2894000000000001</v>
          </cell>
          <cell r="G546">
            <v>1.2805599999999999</v>
          </cell>
          <cell r="H546">
            <v>-1.3610500000000001</v>
          </cell>
        </row>
        <row r="547">
          <cell r="A547" t="str">
            <v>GRMZM2G131055</v>
          </cell>
          <cell r="B547" t="str">
            <v>GO:0016757</v>
          </cell>
          <cell r="C547" t="str">
            <v>glycosyltransferase family 61 protein</v>
          </cell>
          <cell r="D547" t="str">
            <v>BT0</v>
          </cell>
          <cell r="E547" t="str">
            <v>BT24</v>
          </cell>
          <cell r="F547">
            <v>2.16147</v>
          </cell>
          <cell r="G547">
            <v>0.90241400000000005</v>
          </cell>
          <cell r="H547">
            <v>-1.2601500000000001</v>
          </cell>
        </row>
        <row r="548">
          <cell r="A548" t="str">
            <v>GRMZM2G477340</v>
          </cell>
          <cell r="B548" t="str">
            <v>GO:0006659</v>
          </cell>
          <cell r="C548" t="str">
            <v>phosphatidylserine synthase 2-like</v>
          </cell>
          <cell r="D548" t="str">
            <v>BT0</v>
          </cell>
          <cell r="E548" t="str">
            <v>BT24</v>
          </cell>
          <cell r="F548">
            <v>1.4782299999999999</v>
          </cell>
          <cell r="G548">
            <v>0.71665199999999996</v>
          </cell>
          <cell r="H548">
            <v>-1.04453</v>
          </cell>
        </row>
        <row r="549">
          <cell r="A549" t="str">
            <v>GRMZM2G031827</v>
          </cell>
          <cell r="B549" t="str">
            <v>GO:0005634GO:0008270GO:0003723</v>
          </cell>
          <cell r="C549" t="str">
            <v>splicing factor u2af 38 kda subunit</v>
          </cell>
          <cell r="D549" t="str">
            <v>BT0</v>
          </cell>
          <cell r="E549" t="str">
            <v>BT24</v>
          </cell>
          <cell r="F549">
            <v>2.2209599999999998</v>
          </cell>
          <cell r="G549">
            <v>0.59855700000000001</v>
          </cell>
          <cell r="H549">
            <v>-1.8916200000000001</v>
          </cell>
        </row>
        <row r="550">
          <cell r="A550" t="str">
            <v>GRMZM2G331393</v>
          </cell>
          <cell r="B550" t="str">
            <v>GO:0016021</v>
          </cell>
          <cell r="C550" t="str">
            <v>s-type anion channel slah3-like</v>
          </cell>
          <cell r="D550" t="str">
            <v>BT0</v>
          </cell>
          <cell r="E550" t="str">
            <v>BT24</v>
          </cell>
          <cell r="F550">
            <v>1.36663</v>
          </cell>
          <cell r="G550">
            <v>0.26003999999999999</v>
          </cell>
          <cell r="H550">
            <v>-2.3938199999999998</v>
          </cell>
        </row>
        <row r="551">
          <cell r="A551" t="str">
            <v>GRMZM2G062974</v>
          </cell>
          <cell r="B551" t="str">
            <v>GO:0004568GO:0006032GO:0008061GO:0016998</v>
          </cell>
          <cell r="C551" t="str">
            <v>protein</v>
          </cell>
          <cell r="D551" t="str">
            <v>BT0</v>
          </cell>
          <cell r="E551" t="str">
            <v>BT24</v>
          </cell>
          <cell r="F551">
            <v>8.2205399999999997</v>
          </cell>
          <cell r="G551">
            <v>3.1914899999999999</v>
          </cell>
          <cell r="H551">
            <v>-1.365</v>
          </cell>
        </row>
        <row r="552">
          <cell r="A552" t="str">
            <v>GRMZM2G060210</v>
          </cell>
          <cell r="B552" t="str">
            <v>GO:0016747</v>
          </cell>
          <cell r="C552" t="str">
            <v>3 -n-debenzoyl-2 -deoxytaxol n-benzoyltransferase-like</v>
          </cell>
          <cell r="D552" t="str">
            <v>BT0</v>
          </cell>
          <cell r="E552" t="str">
            <v>BT24</v>
          </cell>
          <cell r="F552">
            <v>7.7013999999999996</v>
          </cell>
          <cell r="G552">
            <v>3.5153500000000002</v>
          </cell>
          <cell r="H552">
            <v>-1.1314500000000001</v>
          </cell>
        </row>
        <row r="553">
          <cell r="A553" t="str">
            <v>GRMZM2G380561</v>
          </cell>
          <cell r="B553" t="str">
            <v>GO:0005975GO:0004553</v>
          </cell>
          <cell r="C553" t="str">
            <v>glucan endo- -beta-glucosidase gvi precursor</v>
          </cell>
          <cell r="D553" t="str">
            <v>BT0</v>
          </cell>
          <cell r="E553" t="str">
            <v>BT24</v>
          </cell>
          <cell r="F553">
            <v>1.2181500000000001</v>
          </cell>
          <cell r="G553">
            <v>0.51833399999999996</v>
          </cell>
          <cell r="H553">
            <v>-1.2327399999999999</v>
          </cell>
        </row>
        <row r="554">
          <cell r="A554" t="str">
            <v>GRMZM2G124759</v>
          </cell>
          <cell r="B554" t="str">
            <v>GO:0004806GO:0006629</v>
          </cell>
          <cell r="C554" t="str">
            <v>triacylglycerol lipase</v>
          </cell>
          <cell r="D554" t="str">
            <v>BT0</v>
          </cell>
          <cell r="E554" t="str">
            <v>BT24</v>
          </cell>
          <cell r="F554">
            <v>1.94963</v>
          </cell>
          <cell r="G554">
            <v>11.5223</v>
          </cell>
          <cell r="H554">
            <v>2.5631599999999999</v>
          </cell>
        </row>
        <row r="555">
          <cell r="A555" t="str">
            <v>GRMZM2G013448</v>
          </cell>
          <cell r="B555" t="e">
            <v>#N/A</v>
          </cell>
          <cell r="C555" t="str">
            <v>1-aminocyclopropane-1-carboxylic acid oxidase</v>
          </cell>
          <cell r="D555" t="str">
            <v>BT0</v>
          </cell>
          <cell r="E555" t="str">
            <v>BT24</v>
          </cell>
          <cell r="F555">
            <v>3.8626299999999998</v>
          </cell>
          <cell r="G555">
            <v>1.4980500000000001</v>
          </cell>
          <cell r="H555">
            <v>-1.3665</v>
          </cell>
        </row>
        <row r="556">
          <cell r="A556" t="str">
            <v>GRMZM2G063583</v>
          </cell>
          <cell r="B556" t="e">
            <v>#N/A</v>
          </cell>
          <cell r="C556" t="str">
            <v>hypothetical protein SORBIDRAFT_03g026630</v>
          </cell>
          <cell r="D556" t="str">
            <v>BT0</v>
          </cell>
          <cell r="E556" t="str">
            <v>BT24</v>
          </cell>
          <cell r="F556">
            <v>0</v>
          </cell>
          <cell r="G556">
            <v>5.8176600000000001</v>
          </cell>
          <cell r="H556" t="str">
            <v>inf</v>
          </cell>
        </row>
        <row r="557">
          <cell r="A557" t="str">
            <v>GRMZM2G131315</v>
          </cell>
          <cell r="B557" t="str">
            <v>GO:0006508GO:0004185</v>
          </cell>
          <cell r="C557" t="str">
            <v>serine carboxypeptidase</v>
          </cell>
          <cell r="D557" t="str">
            <v>BT0</v>
          </cell>
          <cell r="E557" t="str">
            <v>BT24</v>
          </cell>
          <cell r="F557">
            <v>1.1852799999999999</v>
          </cell>
          <cell r="G557">
            <v>0.275754</v>
          </cell>
          <cell r="H557">
            <v>-2.1037699999999999</v>
          </cell>
        </row>
        <row r="558">
          <cell r="A558" t="str">
            <v>GRMZM2G132547</v>
          </cell>
          <cell r="B558" t="str">
            <v>GO:0006221GO:0003883</v>
          </cell>
          <cell r="C558" t="str">
            <v>ctp synthase</v>
          </cell>
          <cell r="D558" t="str">
            <v>BT0</v>
          </cell>
          <cell r="E558" t="str">
            <v>BT24</v>
          </cell>
          <cell r="F558">
            <v>39.926600000000001</v>
          </cell>
          <cell r="G558">
            <v>16.1511</v>
          </cell>
          <cell r="H558">
            <v>-1.30572</v>
          </cell>
        </row>
        <row r="559">
          <cell r="A559" t="str">
            <v>GRMZM2G077187</v>
          </cell>
          <cell r="B559" t="str">
            <v>GO:0003824GO:0016020</v>
          </cell>
          <cell r="C559" t="str">
            <v>lipid phosphate phosphatase 3</v>
          </cell>
          <cell r="D559" t="str">
            <v>BT0</v>
          </cell>
          <cell r="E559" t="str">
            <v>BT24</v>
          </cell>
          <cell r="F559">
            <v>15.619300000000001</v>
          </cell>
          <cell r="G559">
            <v>6.5407599999999997</v>
          </cell>
          <cell r="H559">
            <v>-1.2558</v>
          </cell>
        </row>
        <row r="560">
          <cell r="A560" t="str">
            <v>GRMZM2G061602</v>
          </cell>
          <cell r="B560" t="str">
            <v>GO:0004674GO:0006468GO:0005524</v>
          </cell>
          <cell r="C560" t="str">
            <v>protein spa1-related 3-like</v>
          </cell>
          <cell r="D560" t="str">
            <v>BT0</v>
          </cell>
          <cell r="E560" t="str">
            <v>BT24</v>
          </cell>
          <cell r="F560">
            <v>0.83064499999999997</v>
          </cell>
          <cell r="G560">
            <v>1.70174</v>
          </cell>
          <cell r="H560">
            <v>1.03471</v>
          </cell>
        </row>
        <row r="561">
          <cell r="A561" t="str">
            <v>GRMZM2G061403</v>
          </cell>
          <cell r="B561" t="str">
            <v>GO:0007155GO:0016020GO:0005975GO:0004553</v>
          </cell>
          <cell r="C561" t="str">
            <v>endo- -beta-glucanase</v>
          </cell>
          <cell r="D561" t="str">
            <v>BT0</v>
          </cell>
          <cell r="E561" t="str">
            <v>BT24</v>
          </cell>
          <cell r="F561">
            <v>1.99238</v>
          </cell>
          <cell r="G561">
            <v>0.73576399999999997</v>
          </cell>
          <cell r="H561">
            <v>-1.4371799999999999</v>
          </cell>
        </row>
        <row r="562">
          <cell r="A562" t="str">
            <v>GRMZM2G579497</v>
          </cell>
          <cell r="B562" t="e">
            <v>#N/A</v>
          </cell>
          <cell r="C562">
            <v>0</v>
          </cell>
          <cell r="D562" t="str">
            <v>BT0</v>
          </cell>
          <cell r="E562" t="str">
            <v>BT24</v>
          </cell>
          <cell r="F562">
            <v>0.7994</v>
          </cell>
          <cell r="G562">
            <v>2.8257500000000002</v>
          </cell>
          <cell r="H562">
            <v>1.8216399999999999</v>
          </cell>
        </row>
        <row r="563">
          <cell r="A563" t="str">
            <v>GRMZM2G000581</v>
          </cell>
          <cell r="B563" t="str">
            <v>GO:0016020</v>
          </cell>
          <cell r="C563" t="str">
            <v>secondary cell wall-related glycosyltransferase family 47</v>
          </cell>
          <cell r="D563" t="str">
            <v>BT0</v>
          </cell>
          <cell r="E563" t="str">
            <v>BT24</v>
          </cell>
          <cell r="F563">
            <v>2.6083400000000001</v>
          </cell>
          <cell r="G563">
            <v>1.29813</v>
          </cell>
          <cell r="H563">
            <v>-1.0066999999999999</v>
          </cell>
        </row>
        <row r="564">
          <cell r="A564" t="str">
            <v>GRMZM2G700757</v>
          </cell>
          <cell r="B564" t="e">
            <v>#N/A</v>
          </cell>
          <cell r="C564" t="str">
            <v>dna repair protein reca homolog mitochondrial-like</v>
          </cell>
          <cell r="D564" t="str">
            <v>BT0</v>
          </cell>
          <cell r="E564" t="str">
            <v>BT24</v>
          </cell>
          <cell r="F564">
            <v>1.1201700000000001</v>
          </cell>
          <cell r="G564">
            <v>0.51100199999999996</v>
          </cell>
          <cell r="H564">
            <v>-1.1323099999999999</v>
          </cell>
        </row>
        <row r="565">
          <cell r="A565" t="str">
            <v>GRMZM2G148773</v>
          </cell>
          <cell r="B565" t="e">
            <v>#N/A</v>
          </cell>
          <cell r="C565" t="str">
            <v>unknown</v>
          </cell>
          <cell r="D565" t="str">
            <v>BT0</v>
          </cell>
          <cell r="E565" t="str">
            <v>BT24</v>
          </cell>
          <cell r="F565">
            <v>1.63801</v>
          </cell>
          <cell r="G565">
            <v>0.76749100000000003</v>
          </cell>
          <cell r="H565">
            <v>-1.0937300000000001</v>
          </cell>
        </row>
        <row r="566">
          <cell r="A566" t="str">
            <v>GRMZM2G146004</v>
          </cell>
          <cell r="B566" t="str">
            <v>GO:0050825GO:0042309GO:0050826</v>
          </cell>
          <cell r="C566">
            <v>0</v>
          </cell>
          <cell r="D566" t="str">
            <v>BT0</v>
          </cell>
          <cell r="E566" t="str">
            <v>BT24</v>
          </cell>
          <cell r="F566">
            <v>38.310400000000001</v>
          </cell>
          <cell r="G566">
            <v>78.247299999999996</v>
          </cell>
          <cell r="H566">
            <v>1.0303</v>
          </cell>
        </row>
        <row r="567">
          <cell r="A567" t="str">
            <v>GRMZM2G000035</v>
          </cell>
          <cell r="B567" t="e">
            <v>#N/A</v>
          </cell>
          <cell r="C567" t="str">
            <v>protein</v>
          </cell>
          <cell r="D567" t="str">
            <v>BT0</v>
          </cell>
          <cell r="E567" t="str">
            <v>BT24</v>
          </cell>
          <cell r="F567">
            <v>6.4558200000000001</v>
          </cell>
          <cell r="G567">
            <v>2.30294</v>
          </cell>
          <cell r="H567">
            <v>-1.48712</v>
          </cell>
        </row>
        <row r="568">
          <cell r="A568" t="str">
            <v>GRMZM2G375159</v>
          </cell>
          <cell r="B568" t="str">
            <v>GO:0016747</v>
          </cell>
          <cell r="C568" t="str">
            <v>3 -n-debenzoyl-2 -deoxytaxol n-benzoyltransferase-like</v>
          </cell>
          <cell r="D568" t="str">
            <v>BT0</v>
          </cell>
          <cell r="E568" t="str">
            <v>BT24</v>
          </cell>
          <cell r="F568">
            <v>16.8019</v>
          </cell>
          <cell r="G568">
            <v>6.8839499999999996</v>
          </cell>
          <cell r="H568">
            <v>-1.28731</v>
          </cell>
        </row>
        <row r="569">
          <cell r="A569" t="str">
            <v>GRMZM2G058491</v>
          </cell>
          <cell r="B569" t="e">
            <v>#N/A</v>
          </cell>
          <cell r="C569" t="str">
            <v>atp binding</v>
          </cell>
          <cell r="D569" t="str">
            <v>BT0</v>
          </cell>
          <cell r="E569" t="str">
            <v>BT24</v>
          </cell>
          <cell r="F569">
            <v>11.4526</v>
          </cell>
          <cell r="G569">
            <v>5.1172199999999997</v>
          </cell>
          <cell r="H569">
            <v>-1.1622399999999999</v>
          </cell>
        </row>
        <row r="570">
          <cell r="A570" t="str">
            <v>GRMZM2G142870</v>
          </cell>
          <cell r="B570" t="str">
            <v>GO:0016021GO:0006810GO:0042626GO:0005524</v>
          </cell>
          <cell r="C570" t="str">
            <v>abc transporter c family member 4-like</v>
          </cell>
          <cell r="D570" t="str">
            <v>BT0</v>
          </cell>
          <cell r="E570" t="str">
            <v>BT24</v>
          </cell>
          <cell r="F570">
            <v>13.5283</v>
          </cell>
          <cell r="G570">
            <v>6.3287699999999996</v>
          </cell>
          <cell r="H570">
            <v>-1.09598</v>
          </cell>
        </row>
        <row r="571">
          <cell r="A571" t="str">
            <v>FPS</v>
          </cell>
          <cell r="B571" t="e">
            <v>#N/A</v>
          </cell>
          <cell r="C571" t="e">
            <v>#N/A</v>
          </cell>
          <cell r="D571" t="str">
            <v>BT0</v>
          </cell>
          <cell r="E571" t="str">
            <v>BT24</v>
          </cell>
          <cell r="F571">
            <v>1.93133</v>
          </cell>
          <cell r="G571">
            <v>0.78715400000000002</v>
          </cell>
          <cell r="H571">
            <v>-1.29488</v>
          </cell>
        </row>
        <row r="572">
          <cell r="A572" t="str">
            <v>GRMZM2G063880</v>
          </cell>
          <cell r="B572" t="str">
            <v>GO:0003700GO:0043565GO:0005634GO:0045449</v>
          </cell>
          <cell r="C572" t="str">
            <v>wrky transcription factor</v>
          </cell>
          <cell r="D572" t="str">
            <v>BT0</v>
          </cell>
          <cell r="E572" t="str">
            <v>BT24</v>
          </cell>
          <cell r="F572">
            <v>9.5418099999999999</v>
          </cell>
          <cell r="G572">
            <v>2.0982599999999998</v>
          </cell>
          <cell r="H572">
            <v>-2.1850700000000001</v>
          </cell>
        </row>
        <row r="573">
          <cell r="A573" t="str">
            <v>GRMZM2G389070</v>
          </cell>
          <cell r="B573" t="e">
            <v>#N/A</v>
          </cell>
          <cell r="C573" t="str">
            <v>uncharacterized protein LOC100277691</v>
          </cell>
          <cell r="D573" t="str">
            <v>BT0</v>
          </cell>
          <cell r="E573" t="str">
            <v>BT24</v>
          </cell>
          <cell r="F573">
            <v>10.4193</v>
          </cell>
          <cell r="G573">
            <v>5.0990799999999998</v>
          </cell>
          <cell r="H573">
            <v>-1.03095</v>
          </cell>
        </row>
        <row r="574">
          <cell r="A574" t="str">
            <v>GRMZM2G082959</v>
          </cell>
          <cell r="B574" t="str">
            <v>GO:0016787GO:0008152</v>
          </cell>
          <cell r="C574" t="str">
            <v>cxe carboxylesterase</v>
          </cell>
          <cell r="D574" t="str">
            <v>BT0</v>
          </cell>
          <cell r="E574" t="str">
            <v>BT24</v>
          </cell>
          <cell r="F574">
            <v>2.5129899999999998</v>
          </cell>
          <cell r="G574">
            <v>1.2146600000000001</v>
          </cell>
          <cell r="H574">
            <v>-1.0488500000000001</v>
          </cell>
        </row>
        <row r="575">
          <cell r="A575" t="str">
            <v>GRMZM2G116238</v>
          </cell>
          <cell r="B575" t="e">
            <v>#N/A</v>
          </cell>
          <cell r="C575" t="str">
            <v>auxin-regulated protein</v>
          </cell>
          <cell r="D575" t="str">
            <v>BT0</v>
          </cell>
          <cell r="E575" t="str">
            <v>BT24</v>
          </cell>
          <cell r="F575">
            <v>0.98548800000000003</v>
          </cell>
          <cell r="G575">
            <v>0.28969299999999998</v>
          </cell>
          <cell r="H575">
            <v>-1.76631</v>
          </cell>
        </row>
        <row r="576">
          <cell r="A576" t="str">
            <v>GRMZM2G382035</v>
          </cell>
          <cell r="B576" t="e">
            <v>#N/A</v>
          </cell>
          <cell r="C576">
            <v>0</v>
          </cell>
          <cell r="D576" t="str">
            <v>BT0</v>
          </cell>
          <cell r="E576" t="str">
            <v>BT24</v>
          </cell>
          <cell r="F576">
            <v>2.5510100000000002</v>
          </cell>
          <cell r="G576">
            <v>0.87454100000000001</v>
          </cell>
          <cell r="H576">
            <v>-1.54447</v>
          </cell>
        </row>
        <row r="577">
          <cell r="A577" t="str">
            <v>AC197705.4_FG003</v>
          </cell>
          <cell r="B577" t="e">
            <v>#N/A</v>
          </cell>
          <cell r="C577" t="e">
            <v>#N/A</v>
          </cell>
          <cell r="D577" t="str">
            <v>BT0</v>
          </cell>
          <cell r="E577" t="str">
            <v>BT24</v>
          </cell>
          <cell r="F577">
            <v>11.661799999999999</v>
          </cell>
          <cell r="G577">
            <v>4.2900299999999998</v>
          </cell>
          <cell r="H577">
            <v>-1.4427300000000001</v>
          </cell>
        </row>
        <row r="578">
          <cell r="A578" t="str">
            <v>GRMZM2G034421</v>
          </cell>
          <cell r="B578" t="str">
            <v>GO:0003700GO:0043565GO:0005634GO:0045449</v>
          </cell>
          <cell r="C578" t="str">
            <v>wrky55 - superfamily of tfs having wrky and zinc finger domains</v>
          </cell>
          <cell r="D578" t="str">
            <v>BT0</v>
          </cell>
          <cell r="E578" t="str">
            <v>BT24</v>
          </cell>
          <cell r="F578">
            <v>1.2577100000000001</v>
          </cell>
          <cell r="G578">
            <v>3.5581200000000002</v>
          </cell>
          <cell r="H578">
            <v>1.5003200000000001</v>
          </cell>
        </row>
        <row r="579">
          <cell r="A579" t="str">
            <v>GRMZM2G432583</v>
          </cell>
          <cell r="B579" t="str">
            <v>GO:0003700GO:0043565GO:0005634GO:0045449</v>
          </cell>
          <cell r="C579" t="str">
            <v>wrky transcription factor 48-like protein</v>
          </cell>
          <cell r="D579" t="str">
            <v>BT0</v>
          </cell>
          <cell r="E579" t="str">
            <v>BT24</v>
          </cell>
          <cell r="F579">
            <v>0.46690999999999999</v>
          </cell>
          <cell r="G579">
            <v>1.361</v>
          </cell>
          <cell r="H579">
            <v>1.54345</v>
          </cell>
        </row>
        <row r="580">
          <cell r="A580" t="str">
            <v>GRMZM5G830949</v>
          </cell>
          <cell r="B580" t="e">
            <v>#N/A</v>
          </cell>
          <cell r="C580" t="str">
            <v>zinc finger</v>
          </cell>
          <cell r="D580" t="str">
            <v>BT0</v>
          </cell>
          <cell r="E580" t="str">
            <v>BT24</v>
          </cell>
          <cell r="F580">
            <v>1.31871</v>
          </cell>
          <cell r="G580">
            <v>0.38899699999999998</v>
          </cell>
          <cell r="H580">
            <v>-1.76129</v>
          </cell>
        </row>
        <row r="581">
          <cell r="A581" t="str">
            <v>GRMZM2G321290</v>
          </cell>
          <cell r="B581" t="str">
            <v>GO:0004806GO:0006629</v>
          </cell>
          <cell r="C581" t="str">
            <v>triacylglycerol lipase</v>
          </cell>
          <cell r="D581" t="str">
            <v>BT0</v>
          </cell>
          <cell r="E581" t="str">
            <v>BT24</v>
          </cell>
          <cell r="F581">
            <v>7.4150499999999999</v>
          </cell>
          <cell r="G581">
            <v>16.168600000000001</v>
          </cell>
          <cell r="H581">
            <v>1.12466</v>
          </cell>
        </row>
        <row r="582">
          <cell r="A582" t="str">
            <v>GRMZM5G812272</v>
          </cell>
          <cell r="B582" t="e">
            <v>#N/A</v>
          </cell>
          <cell r="C582" t="str">
            <v>wrky transcription</v>
          </cell>
          <cell r="D582" t="str">
            <v>BT0</v>
          </cell>
          <cell r="E582" t="str">
            <v>BT24</v>
          </cell>
          <cell r="F582">
            <v>2.59382</v>
          </cell>
          <cell r="G582">
            <v>1.2111400000000001</v>
          </cell>
          <cell r="H582">
            <v>-1.0987100000000001</v>
          </cell>
        </row>
        <row r="583">
          <cell r="A583" t="str">
            <v>GRMZM2G173965</v>
          </cell>
          <cell r="B583" t="str">
            <v>GO:0004674GO:0006468GO:0004713GO:0005524</v>
          </cell>
          <cell r="C583" t="str">
            <v>mitogen-activated protein kinase kinase kinase a-like</v>
          </cell>
          <cell r="D583" t="str">
            <v>BT0</v>
          </cell>
          <cell r="E583" t="str">
            <v>BT24</v>
          </cell>
          <cell r="F583">
            <v>1.04027</v>
          </cell>
          <cell r="G583">
            <v>0.40648499999999999</v>
          </cell>
          <cell r="H583">
            <v>-1.35568</v>
          </cell>
        </row>
        <row r="584">
          <cell r="A584" t="str">
            <v>GRMZM2G003406</v>
          </cell>
          <cell r="B584" t="str">
            <v>GO:0003677</v>
          </cell>
          <cell r="C584" t="str">
            <v>myb-related protein hv33</v>
          </cell>
          <cell r="D584" t="str">
            <v>BT0</v>
          </cell>
          <cell r="E584" t="str">
            <v>BT24</v>
          </cell>
          <cell r="F584">
            <v>2.3548800000000001</v>
          </cell>
          <cell r="G584">
            <v>0.65812199999999998</v>
          </cell>
          <cell r="H584">
            <v>-1.8392200000000001</v>
          </cell>
        </row>
        <row r="585">
          <cell r="A585" t="str">
            <v>GRMZM2G168375</v>
          </cell>
          <cell r="B585" t="str">
            <v>GO:0003824GO:0008152</v>
          </cell>
          <cell r="C585" t="str">
            <v>catalytic hydrolase</v>
          </cell>
          <cell r="D585" t="str">
            <v>BT0</v>
          </cell>
          <cell r="E585" t="str">
            <v>BT24</v>
          </cell>
          <cell r="F585">
            <v>1.64679</v>
          </cell>
          <cell r="G585">
            <v>0.48100199999999999</v>
          </cell>
          <cell r="H585">
            <v>-1.7755399999999999</v>
          </cell>
        </row>
        <row r="586">
          <cell r="A586" t="str">
            <v>GRMZM2G024799</v>
          </cell>
          <cell r="B586" t="e">
            <v>#N/A</v>
          </cell>
          <cell r="C586" t="str">
            <v>protein</v>
          </cell>
          <cell r="D586" t="str">
            <v>BT0</v>
          </cell>
          <cell r="E586" t="str">
            <v>BT24</v>
          </cell>
          <cell r="F586">
            <v>3.0855399999999999</v>
          </cell>
          <cell r="G586">
            <v>1.1734599999999999</v>
          </cell>
          <cell r="H586">
            <v>-1.3947499999999999</v>
          </cell>
        </row>
        <row r="587">
          <cell r="A587" t="str">
            <v>GRMZM2G143640</v>
          </cell>
          <cell r="B587" t="str">
            <v>GO:0003677</v>
          </cell>
          <cell r="C587" t="str">
            <v>myb-like transcription factor</v>
          </cell>
          <cell r="D587" t="str">
            <v>BT0</v>
          </cell>
          <cell r="E587" t="str">
            <v>BT24</v>
          </cell>
          <cell r="F587">
            <v>1.7602599999999999</v>
          </cell>
          <cell r="G587">
            <v>0.78063700000000003</v>
          </cell>
          <cell r="H587">
            <v>-1.1730700000000001</v>
          </cell>
        </row>
        <row r="588">
          <cell r="A588" t="str">
            <v>GRMZM2G147544</v>
          </cell>
          <cell r="B588" t="e">
            <v>#N/A</v>
          </cell>
          <cell r="C588" t="str">
            <v>protein</v>
          </cell>
          <cell r="D588" t="str">
            <v>BT0</v>
          </cell>
          <cell r="E588" t="str">
            <v>BT24</v>
          </cell>
          <cell r="F588">
            <v>0.91420599999999996</v>
          </cell>
          <cell r="G588">
            <v>2.1057299999999999</v>
          </cell>
          <cell r="H588">
            <v>1.20373</v>
          </cell>
        </row>
        <row r="589">
          <cell r="A589" t="str">
            <v>GRMZM2G169329</v>
          </cell>
          <cell r="B589" t="e">
            <v>#N/A</v>
          </cell>
          <cell r="C589" t="str">
            <v>heme-binding-like protein</v>
          </cell>
          <cell r="D589" t="str">
            <v>BT0</v>
          </cell>
          <cell r="E589" t="str">
            <v>BT24</v>
          </cell>
          <cell r="F589">
            <v>22.631</v>
          </cell>
          <cell r="G589">
            <v>7.0976299999999997</v>
          </cell>
          <cell r="H589">
            <v>-1.67289</v>
          </cell>
        </row>
        <row r="590">
          <cell r="A590" t="str">
            <v>GRMZM2G028535</v>
          </cell>
          <cell r="B590" t="str">
            <v>GO:0005737GO:0004349GO:0004350GO:0006561</v>
          </cell>
          <cell r="C590" t="str">
            <v>delta-1-pyrroline-5-carboxylate synthetase</v>
          </cell>
          <cell r="D590" t="str">
            <v>BT0</v>
          </cell>
          <cell r="E590" t="str">
            <v>BT24</v>
          </cell>
          <cell r="F590">
            <v>13.4358</v>
          </cell>
          <cell r="G590">
            <v>5.4520400000000002</v>
          </cell>
          <cell r="H590">
            <v>-1.30121</v>
          </cell>
        </row>
        <row r="591">
          <cell r="A591" t="str">
            <v>GRMZM2G149317</v>
          </cell>
          <cell r="B591" t="str">
            <v>GO:0016740GO:0009058</v>
          </cell>
          <cell r="C591" t="str">
            <v>phytoene synthase 2</v>
          </cell>
          <cell r="D591" t="str">
            <v>BT0</v>
          </cell>
          <cell r="E591" t="str">
            <v>BT24</v>
          </cell>
          <cell r="F591">
            <v>2.5872799999999998</v>
          </cell>
          <cell r="G591">
            <v>0.72979000000000005</v>
          </cell>
          <cell r="H591">
            <v>-1.82589</v>
          </cell>
        </row>
        <row r="592">
          <cell r="A592" t="str">
            <v>GRMZM2G447271</v>
          </cell>
          <cell r="B592" t="str">
            <v>GO:0048046GO:0005507GO:0046274GO:0008471GO:0055114</v>
          </cell>
          <cell r="C592" t="str">
            <v>laccase lac5-6</v>
          </cell>
          <cell r="D592" t="str">
            <v>BT0</v>
          </cell>
          <cell r="E592" t="str">
            <v>BT24</v>
          </cell>
          <cell r="F592">
            <v>0.75981799999999999</v>
          </cell>
          <cell r="G592">
            <v>0.29194100000000001</v>
          </cell>
          <cell r="H592">
            <v>-1.37998</v>
          </cell>
        </row>
        <row r="593">
          <cell r="A593" t="str">
            <v>HSP70</v>
          </cell>
          <cell r="B593" t="e">
            <v>#N/A</v>
          </cell>
          <cell r="C593" t="e">
            <v>#N/A</v>
          </cell>
          <cell r="D593" t="str">
            <v>BT0</v>
          </cell>
          <cell r="E593" t="str">
            <v>BT24</v>
          </cell>
          <cell r="F593">
            <v>2.6157400000000002</v>
          </cell>
          <cell r="G593">
            <v>0.86454299999999995</v>
          </cell>
          <cell r="H593">
            <v>-1.59721</v>
          </cell>
        </row>
        <row r="594">
          <cell r="A594" t="str">
            <v>GRMZM2G106344</v>
          </cell>
          <cell r="B594" t="str">
            <v>GO:0007242</v>
          </cell>
          <cell r="C594" t="str">
            <v>probable nucleoredoxin 2-like</v>
          </cell>
          <cell r="D594" t="str">
            <v>BT0</v>
          </cell>
          <cell r="E594" t="str">
            <v>BT24</v>
          </cell>
          <cell r="F594">
            <v>20.3626</v>
          </cell>
          <cell r="G594">
            <v>8.6988599999999998</v>
          </cell>
          <cell r="H594">
            <v>-1.2270300000000001</v>
          </cell>
        </row>
        <row r="595">
          <cell r="A595" t="str">
            <v>GRMZM5G812326</v>
          </cell>
          <cell r="B595" t="e">
            <v>#N/A</v>
          </cell>
          <cell r="C595" t="str">
            <v>PREDICTED: uncharacterized protein LOC100840153</v>
          </cell>
          <cell r="D595" t="str">
            <v>BT0</v>
          </cell>
          <cell r="E595" t="str">
            <v>BT24</v>
          </cell>
          <cell r="F595">
            <v>1.91411</v>
          </cell>
          <cell r="G595">
            <v>0.396144</v>
          </cell>
          <cell r="H595">
            <v>-2.27258</v>
          </cell>
        </row>
        <row r="596">
          <cell r="A596" t="str">
            <v>NIP2-3</v>
          </cell>
          <cell r="B596" t="e">
            <v>#N/A</v>
          </cell>
          <cell r="C596" t="e">
            <v>#N/A</v>
          </cell>
          <cell r="D596" t="str">
            <v>BT0</v>
          </cell>
          <cell r="E596" t="str">
            <v>BT24</v>
          </cell>
          <cell r="F596">
            <v>6.1892199999999997</v>
          </cell>
          <cell r="G596">
            <v>13.3963</v>
          </cell>
          <cell r="H596">
            <v>1.1140099999999999</v>
          </cell>
        </row>
        <row r="597">
          <cell r="A597" t="str">
            <v>GRMZM2G000236</v>
          </cell>
          <cell r="B597" t="str">
            <v>GO:0010181GO:0016491</v>
          </cell>
          <cell r="C597" t="str">
            <v>12-oxophytodienoic acid reductase</v>
          </cell>
          <cell r="D597" t="str">
            <v>BT0</v>
          </cell>
          <cell r="E597" t="str">
            <v>BT24</v>
          </cell>
          <cell r="F597">
            <v>13.463800000000001</v>
          </cell>
          <cell r="G597">
            <v>2.9878200000000001</v>
          </cell>
          <cell r="H597">
            <v>-2.1719200000000001</v>
          </cell>
        </row>
        <row r="598">
          <cell r="A598" t="str">
            <v>GRMZM2G106303</v>
          </cell>
          <cell r="B598" t="str">
            <v>GO:0010181GO:0016491</v>
          </cell>
          <cell r="C598" t="str">
            <v>12-oxophytodienoic acid reductase</v>
          </cell>
          <cell r="D598" t="str">
            <v>BT0</v>
          </cell>
          <cell r="E598" t="str">
            <v>BT24</v>
          </cell>
          <cell r="F598">
            <v>10.610799999999999</v>
          </cell>
          <cell r="G598">
            <v>3.3929900000000002</v>
          </cell>
          <cell r="H598">
            <v>-1.6449</v>
          </cell>
        </row>
        <row r="599">
          <cell r="A599" t="str">
            <v>GRMZM2G052562</v>
          </cell>
          <cell r="B599" t="str">
            <v>GO:0006629GO:0016788</v>
          </cell>
          <cell r="C599" t="str">
            <v>alpha-l-fucosidase 2 precursor</v>
          </cell>
          <cell r="D599" t="str">
            <v>BT0</v>
          </cell>
          <cell r="E599" t="str">
            <v>BT24</v>
          </cell>
          <cell r="F599">
            <v>3.4969700000000001</v>
          </cell>
          <cell r="G599">
            <v>0.85538400000000003</v>
          </cell>
          <cell r="H599">
            <v>-2.03146</v>
          </cell>
        </row>
        <row r="600">
          <cell r="A600" t="str">
            <v>GRMZM2G089506</v>
          </cell>
          <cell r="B600" t="str">
            <v>GO:0006508GO:0004190</v>
          </cell>
          <cell r="C600" t="str">
            <v>aspartic proteinase nepenthesin-2 precursor</v>
          </cell>
          <cell r="D600" t="str">
            <v>BT0</v>
          </cell>
          <cell r="E600" t="str">
            <v>BT24</v>
          </cell>
          <cell r="F600">
            <v>5.6726799999999997</v>
          </cell>
          <cell r="G600">
            <v>0.36879800000000001</v>
          </cell>
          <cell r="H600">
            <v>-3.94313</v>
          </cell>
        </row>
        <row r="601">
          <cell r="A601" t="str">
            <v>GRMZM2G084947</v>
          </cell>
          <cell r="B601" t="e">
            <v>#N/A</v>
          </cell>
          <cell r="C601" t="str">
            <v>hypothetical protein SORBIDRAFT_10g021910</v>
          </cell>
          <cell r="D601" t="str">
            <v>BT0</v>
          </cell>
          <cell r="E601" t="str">
            <v>BT24</v>
          </cell>
          <cell r="F601">
            <v>3.4470299999999998</v>
          </cell>
          <cell r="G601">
            <v>1.3156600000000001</v>
          </cell>
          <cell r="H601">
            <v>-1.3895599999999999</v>
          </cell>
        </row>
        <row r="602">
          <cell r="A602" t="str">
            <v>GRMZM2G080839</v>
          </cell>
          <cell r="B602" t="str">
            <v>GO:0050660GO:0016491</v>
          </cell>
          <cell r="C602" t="str">
            <v>reticuline oxidase-like</v>
          </cell>
          <cell r="D602" t="str">
            <v>BT0</v>
          </cell>
          <cell r="E602" t="str">
            <v>BT24</v>
          </cell>
          <cell r="F602">
            <v>3.8431799999999998</v>
          </cell>
          <cell r="G602">
            <v>1.1108199999999999</v>
          </cell>
          <cell r="H602">
            <v>-1.79068</v>
          </cell>
        </row>
        <row r="603">
          <cell r="A603" t="str">
            <v>GRMZM2G051135</v>
          </cell>
          <cell r="B603" t="str">
            <v>GO:0003677</v>
          </cell>
          <cell r="C603" t="str">
            <v>ethylene-responsive transciptional coactivator-like protein</v>
          </cell>
          <cell r="D603" t="str">
            <v>BT0</v>
          </cell>
          <cell r="E603" t="str">
            <v>BT24</v>
          </cell>
          <cell r="F603">
            <v>0.89119300000000001</v>
          </cell>
          <cell r="G603">
            <v>0</v>
          </cell>
          <cell r="H603" t="e">
            <v>#NAME?</v>
          </cell>
        </row>
        <row r="604">
          <cell r="A604" t="str">
            <v>GRMZM5G807957</v>
          </cell>
          <cell r="B604" t="e">
            <v>#N/A</v>
          </cell>
          <cell r="C604">
            <v>0</v>
          </cell>
          <cell r="D604" t="str">
            <v>BT0</v>
          </cell>
          <cell r="E604" t="str">
            <v>BT24</v>
          </cell>
          <cell r="F604">
            <v>0</v>
          </cell>
          <cell r="G604">
            <v>0.99831700000000001</v>
          </cell>
          <cell r="H604" t="str">
            <v>inf</v>
          </cell>
        </row>
        <row r="605">
          <cell r="A605" t="str">
            <v>GRMZM2G111711</v>
          </cell>
          <cell r="B605" t="str">
            <v>GO:0003700GO:0043565GO:0005634GO:0045449</v>
          </cell>
          <cell r="C605" t="str">
            <v>wrky transcription factor</v>
          </cell>
          <cell r="D605" t="str">
            <v>BT0</v>
          </cell>
          <cell r="E605" t="str">
            <v>BT24</v>
          </cell>
          <cell r="F605">
            <v>1.00936</v>
          </cell>
          <cell r="G605">
            <v>6.8843100000000004E-2</v>
          </cell>
          <cell r="H605">
            <v>-3.87399</v>
          </cell>
        </row>
        <row r="606">
          <cell r="A606" t="str">
            <v>GRMZM2G109326</v>
          </cell>
          <cell r="B606" t="str">
            <v>GO:0030246</v>
          </cell>
          <cell r="C606" t="str">
            <v>cobra-like protein 4</v>
          </cell>
          <cell r="D606" t="str">
            <v>BT0</v>
          </cell>
          <cell r="E606" t="str">
            <v>BT24</v>
          </cell>
          <cell r="F606">
            <v>6.7327300000000001</v>
          </cell>
          <cell r="G606">
            <v>3.35867</v>
          </cell>
          <cell r="H606">
            <v>-1.0033000000000001</v>
          </cell>
        </row>
        <row r="607">
          <cell r="A607" t="str">
            <v>GRMZM2G149273</v>
          </cell>
          <cell r="B607" t="str">
            <v>GO:0004601GO:0006979GO:0020037GO:0009055</v>
          </cell>
          <cell r="C607" t="str">
            <v>peroxidase 5-like</v>
          </cell>
          <cell r="D607" t="str">
            <v>BT0</v>
          </cell>
          <cell r="E607" t="str">
            <v>BT24</v>
          </cell>
          <cell r="F607">
            <v>4.7833100000000002</v>
          </cell>
          <cell r="G607">
            <v>10.507199999999999</v>
          </cell>
          <cell r="H607">
            <v>1.1352899999999999</v>
          </cell>
        </row>
        <row r="608">
          <cell r="A608" t="str">
            <v>GRMZM2G129815</v>
          </cell>
          <cell r="B608" t="e">
            <v>#N/A</v>
          </cell>
          <cell r="C608" t="str">
            <v>sigma factor binding protein</v>
          </cell>
          <cell r="D608" t="str">
            <v>BT0</v>
          </cell>
          <cell r="E608" t="str">
            <v>BT24</v>
          </cell>
          <cell r="F608">
            <v>7.1749999999999998</v>
          </cell>
          <cell r="G608">
            <v>2.8826000000000001</v>
          </cell>
          <cell r="H608">
            <v>-1.3156099999999999</v>
          </cell>
        </row>
        <row r="609">
          <cell r="A609" t="str">
            <v>GRMZM2G145568</v>
          </cell>
          <cell r="B609" t="e">
            <v>#N/A</v>
          </cell>
          <cell r="C609" t="str">
            <v>lob domain-containing protein 1-like</v>
          </cell>
          <cell r="D609" t="str">
            <v>BT0</v>
          </cell>
          <cell r="E609" t="str">
            <v>BT24</v>
          </cell>
          <cell r="F609">
            <v>1.55291</v>
          </cell>
          <cell r="G609">
            <v>0.41535899999999998</v>
          </cell>
          <cell r="H609">
            <v>-1.9025399999999999</v>
          </cell>
        </row>
        <row r="610">
          <cell r="A610" t="str">
            <v>GRMZM2G123107</v>
          </cell>
          <cell r="B610" t="str">
            <v>GO:0005975GO:0004553</v>
          </cell>
          <cell r="C610" t="str">
            <v>beta- -glucanase</v>
          </cell>
          <cell r="D610" t="str">
            <v>BT0</v>
          </cell>
          <cell r="E610" t="str">
            <v>BT24</v>
          </cell>
          <cell r="F610">
            <v>7.9269299999999996</v>
          </cell>
          <cell r="G610">
            <v>0.50451100000000004</v>
          </cell>
          <cell r="H610">
            <v>-3.9738099999999998</v>
          </cell>
        </row>
        <row r="611">
          <cell r="A611" t="str">
            <v>AC233899.1_FG005</v>
          </cell>
          <cell r="B611" t="str">
            <v>GO:0050825GO:0042309GO:0050826</v>
          </cell>
          <cell r="C611" t="e">
            <v>#N/A</v>
          </cell>
          <cell r="D611" t="str">
            <v>BT0</v>
          </cell>
          <cell r="E611" t="str">
            <v>BT24</v>
          </cell>
          <cell r="F611">
            <v>3.4885899999999999</v>
          </cell>
          <cell r="G611">
            <v>1.7346699999999999</v>
          </cell>
          <cell r="H611">
            <v>-1.0079800000000001</v>
          </cell>
        </row>
        <row r="612">
          <cell r="A612" t="str">
            <v>GRMZM2G428040</v>
          </cell>
          <cell r="B612" t="e">
            <v>#N/A</v>
          </cell>
          <cell r="C612" t="str">
            <v>transcription activator-related protein</v>
          </cell>
          <cell r="D612" t="str">
            <v>BT0</v>
          </cell>
          <cell r="E612" t="str">
            <v>BT24</v>
          </cell>
          <cell r="F612">
            <v>0.21152599999999999</v>
          </cell>
          <cell r="G612">
            <v>1.27582</v>
          </cell>
          <cell r="H612">
            <v>2.59253</v>
          </cell>
        </row>
        <row r="613">
          <cell r="A613" t="str">
            <v>GRMZM5G891656</v>
          </cell>
          <cell r="B613" t="e">
            <v>#N/A</v>
          </cell>
          <cell r="C613">
            <v>0</v>
          </cell>
          <cell r="D613" t="str">
            <v>BT0</v>
          </cell>
          <cell r="E613" t="str">
            <v>BT24</v>
          </cell>
          <cell r="F613">
            <v>7.7644000000000002</v>
          </cell>
          <cell r="G613">
            <v>0.43282599999999999</v>
          </cell>
          <cell r="H613">
            <v>-4.1650200000000002</v>
          </cell>
        </row>
        <row r="614">
          <cell r="A614" t="str">
            <v>GRMZM5G841893</v>
          </cell>
          <cell r="B614" t="e">
            <v>#N/A</v>
          </cell>
          <cell r="C614" t="str">
            <v>3-hydroxybenzoate 6-hydroxylase 1-like</v>
          </cell>
          <cell r="D614" t="str">
            <v>BT0</v>
          </cell>
          <cell r="E614" t="str">
            <v>BT24</v>
          </cell>
          <cell r="F614">
            <v>3.2642799999999998</v>
          </cell>
          <cell r="G614">
            <v>0.46982800000000002</v>
          </cell>
          <cell r="H614">
            <v>-2.7965599999999999</v>
          </cell>
        </row>
        <row r="615">
          <cell r="A615" t="str">
            <v>GRMZM5G855994</v>
          </cell>
          <cell r="B615" t="e">
            <v>#N/A</v>
          </cell>
          <cell r="C615" t="str">
            <v>u-box domain-containing protein 21-like</v>
          </cell>
          <cell r="D615" t="str">
            <v>BT0</v>
          </cell>
          <cell r="E615" t="str">
            <v>BT24</v>
          </cell>
          <cell r="F615">
            <v>1.08341</v>
          </cell>
          <cell r="G615">
            <v>0.445465</v>
          </cell>
          <cell r="H615">
            <v>-1.2822</v>
          </cell>
        </row>
        <row r="616">
          <cell r="A616" t="str">
            <v>GRMZM2G057672</v>
          </cell>
          <cell r="B616" t="e">
            <v>#N/A</v>
          </cell>
          <cell r="C616" t="str">
            <v>protein</v>
          </cell>
          <cell r="D616" t="str">
            <v>BT0</v>
          </cell>
          <cell r="E616" t="str">
            <v>BT24</v>
          </cell>
          <cell r="F616">
            <v>19.0151</v>
          </cell>
          <cell r="G616">
            <v>9.4216899999999999</v>
          </cell>
          <cell r="H616">
            <v>-1.01309</v>
          </cell>
        </row>
        <row r="617">
          <cell r="A617" t="str">
            <v>GRMZM2G014240</v>
          </cell>
          <cell r="B617" t="str">
            <v>GO:0016020GO:0015992GO:0009678GO:0004427</v>
          </cell>
          <cell r="C617" t="str">
            <v>vacuolar proton-inorganic pyrophosphatase</v>
          </cell>
          <cell r="D617" t="str">
            <v>BT0</v>
          </cell>
          <cell r="E617" t="str">
            <v>BT24</v>
          </cell>
          <cell r="F617">
            <v>59.792200000000001</v>
          </cell>
          <cell r="G617">
            <v>28.6816</v>
          </cell>
          <cell r="H617">
            <v>-1.05983</v>
          </cell>
        </row>
        <row r="618">
          <cell r="A618" t="str">
            <v>GRMZM2G099363</v>
          </cell>
          <cell r="B618" t="str">
            <v>GO:0008171</v>
          </cell>
          <cell r="C618" t="str">
            <v>caffeoyl 3-o-methyltransferase</v>
          </cell>
          <cell r="D618" t="str">
            <v>BT0</v>
          </cell>
          <cell r="E618" t="str">
            <v>BT24</v>
          </cell>
          <cell r="F618">
            <v>22.723500000000001</v>
          </cell>
          <cell r="G618">
            <v>9.7792200000000005</v>
          </cell>
          <cell r="H618">
            <v>-1.2163999999999999</v>
          </cell>
        </row>
        <row r="619">
          <cell r="A619" t="str">
            <v>GRMZM2G074611</v>
          </cell>
          <cell r="B619" t="e">
            <v>#N/A</v>
          </cell>
          <cell r="C619" t="str">
            <v>dirigent-like protein</v>
          </cell>
          <cell r="D619" t="str">
            <v>BT0</v>
          </cell>
          <cell r="E619" t="str">
            <v>BT24</v>
          </cell>
          <cell r="F619">
            <v>26.3996</v>
          </cell>
          <cell r="G619">
            <v>7.72431</v>
          </cell>
          <cell r="H619">
            <v>-1.7730399999999999</v>
          </cell>
        </row>
        <row r="620">
          <cell r="A620" t="str">
            <v>GRMZM2G171395</v>
          </cell>
          <cell r="B620" t="str">
            <v>GO:0045449GO:0003677</v>
          </cell>
          <cell r="C620" t="str">
            <v>7 protein</v>
          </cell>
          <cell r="D620" t="str">
            <v>BT0</v>
          </cell>
          <cell r="E620" t="str">
            <v>BT24</v>
          </cell>
          <cell r="F620">
            <v>8.1259999999999994</v>
          </cell>
          <cell r="G620">
            <v>1.6121099999999999</v>
          </cell>
          <cell r="H620">
            <v>-2.3336000000000001</v>
          </cell>
        </row>
        <row r="621">
          <cell r="A621" t="str">
            <v>GRMZM2G426678</v>
          </cell>
          <cell r="B621" t="e">
            <v>#N/A</v>
          </cell>
          <cell r="C621">
            <v>0</v>
          </cell>
          <cell r="D621" t="str">
            <v>BT0</v>
          </cell>
          <cell r="E621" t="str">
            <v>BT24</v>
          </cell>
          <cell r="F621">
            <v>0.90095999999999998</v>
          </cell>
          <cell r="G621">
            <v>0.31146600000000002</v>
          </cell>
          <cell r="H621">
            <v>-1.5323899999999999</v>
          </cell>
        </row>
        <row r="622">
          <cell r="A622" t="str">
            <v>GRMZM2G420619</v>
          </cell>
          <cell r="B622" t="e">
            <v>#N/A</v>
          </cell>
          <cell r="C622" t="str">
            <v>uncharacterized protein LOC100277853</v>
          </cell>
          <cell r="D622" t="str">
            <v>BT0</v>
          </cell>
          <cell r="E622" t="str">
            <v>BT24</v>
          </cell>
          <cell r="F622">
            <v>0.466306</v>
          </cell>
          <cell r="G622">
            <v>2.1493500000000001</v>
          </cell>
          <cell r="H622">
            <v>2.2045499999999998</v>
          </cell>
        </row>
        <row r="623">
          <cell r="A623" t="str">
            <v>GRMZM5G890783</v>
          </cell>
          <cell r="B623" t="e">
            <v>#N/A</v>
          </cell>
          <cell r="C623" t="str">
            <v>uncharacterized protein LOC100279463</v>
          </cell>
          <cell r="D623" t="str">
            <v>BT0</v>
          </cell>
          <cell r="E623" t="str">
            <v>BT24</v>
          </cell>
          <cell r="F623">
            <v>0</v>
          </cell>
          <cell r="G623">
            <v>13.0952</v>
          </cell>
          <cell r="H623" t="str">
            <v>inf</v>
          </cell>
        </row>
        <row r="624">
          <cell r="A624" t="str">
            <v>GRMZM2G115698</v>
          </cell>
          <cell r="B624" t="e">
            <v>#N/A</v>
          </cell>
          <cell r="C624" t="str">
            <v>uncharacterized protein LOC100216778</v>
          </cell>
          <cell r="D624" t="str">
            <v>BT0</v>
          </cell>
          <cell r="E624" t="str">
            <v>BT24</v>
          </cell>
          <cell r="F624">
            <v>0.59982000000000002</v>
          </cell>
          <cell r="G624">
            <v>1.9970600000000001</v>
          </cell>
          <cell r="H624">
            <v>1.7352799999999999</v>
          </cell>
        </row>
        <row r="625">
          <cell r="A625" t="str">
            <v>GRMZM2G480106</v>
          </cell>
          <cell r="B625" t="str">
            <v>GO:0008270GO:0005515</v>
          </cell>
          <cell r="C625" t="str">
            <v>zinc c3hc4 type family protein</v>
          </cell>
          <cell r="D625" t="str">
            <v>BT0</v>
          </cell>
          <cell r="E625" t="str">
            <v>BT24</v>
          </cell>
          <cell r="F625">
            <v>2.6558299999999999</v>
          </cell>
          <cell r="G625">
            <v>1.2370399999999999</v>
          </cell>
          <cell r="H625">
            <v>-1.1022700000000001</v>
          </cell>
        </row>
        <row r="626">
          <cell r="A626" t="str">
            <v>GRMZM2G138370</v>
          </cell>
          <cell r="B626" t="e">
            <v>#N/A</v>
          </cell>
          <cell r="C626" t="str">
            <v>vq motif family protein</v>
          </cell>
          <cell r="D626" t="str">
            <v>BT0</v>
          </cell>
          <cell r="E626" t="str">
            <v>BT24</v>
          </cell>
          <cell r="F626">
            <v>6.87052</v>
          </cell>
          <cell r="G626">
            <v>1.1855500000000001</v>
          </cell>
          <cell r="H626">
            <v>-2.5348700000000002</v>
          </cell>
        </row>
        <row r="627">
          <cell r="A627" t="str">
            <v>GRMZM2G125441</v>
          </cell>
          <cell r="B627" t="str">
            <v>GO:0003735GO:0016020GO:0051260GO:0006412GO:0005840</v>
          </cell>
          <cell r="C627" t="str">
            <v>meiosis 5</v>
          </cell>
          <cell r="D627" t="str">
            <v>BT0</v>
          </cell>
          <cell r="E627" t="str">
            <v>BT24</v>
          </cell>
          <cell r="F627">
            <v>0.173149</v>
          </cell>
          <cell r="G627">
            <v>0.852545</v>
          </cell>
          <cell r="H627">
            <v>2.29976</v>
          </cell>
        </row>
        <row r="628">
          <cell r="A628" t="str">
            <v>GRMZM2G161472</v>
          </cell>
          <cell r="B628" t="str">
            <v>GO:0004497GO:0020037GO:0009055</v>
          </cell>
          <cell r="C628" t="str">
            <v>ent-kaurene oxidase</v>
          </cell>
          <cell r="D628" t="str">
            <v>BT0</v>
          </cell>
          <cell r="E628" t="str">
            <v>BT24</v>
          </cell>
          <cell r="F628">
            <v>2.8086700000000002</v>
          </cell>
          <cell r="G628">
            <v>1.36496</v>
          </cell>
          <cell r="H628">
            <v>-1.0410299999999999</v>
          </cell>
        </row>
        <row r="629">
          <cell r="A629" t="str">
            <v>GRMZM2G159641</v>
          </cell>
          <cell r="B629" t="str">
            <v>GO:0016747GO:0008152GO:0016491</v>
          </cell>
          <cell r="C629" t="str">
            <v>3 -n-debenzoyl-2 -deoxytaxol n-benzoyltransferase-like</v>
          </cell>
          <cell r="D629" t="str">
            <v>BT0</v>
          </cell>
          <cell r="E629" t="str">
            <v>BT24</v>
          </cell>
          <cell r="F629">
            <v>1.7914000000000001</v>
          </cell>
          <cell r="G629">
            <v>0.76242399999999999</v>
          </cell>
          <cell r="H629">
            <v>-1.2324200000000001</v>
          </cell>
        </row>
        <row r="630">
          <cell r="A630" t="str">
            <v>GRMZM2G026143</v>
          </cell>
          <cell r="B630" t="e">
            <v>#N/A</v>
          </cell>
          <cell r="C630" t="str">
            <v>hypothetical protein</v>
          </cell>
          <cell r="D630" t="str">
            <v>BT0</v>
          </cell>
          <cell r="E630" t="str">
            <v>BT24</v>
          </cell>
          <cell r="F630">
            <v>100.709</v>
          </cell>
          <cell r="G630">
            <v>46.625999999999998</v>
          </cell>
          <cell r="H630">
            <v>-1.1109800000000001</v>
          </cell>
        </row>
        <row r="631">
          <cell r="A631" t="str">
            <v>GRMZM2G092146</v>
          </cell>
          <cell r="B631" t="e">
            <v>#N/A</v>
          </cell>
          <cell r="C631" t="str">
            <v>uncharacterized protein LOC100275352</v>
          </cell>
          <cell r="D631" t="str">
            <v>BT0</v>
          </cell>
          <cell r="E631" t="str">
            <v>BT24</v>
          </cell>
          <cell r="F631">
            <v>4.3807</v>
          </cell>
          <cell r="G631">
            <v>0.45774900000000002</v>
          </cell>
          <cell r="H631">
            <v>-3.2585299999999999</v>
          </cell>
        </row>
        <row r="632">
          <cell r="A632" t="str">
            <v>GRMZM2G407631</v>
          </cell>
          <cell r="B632" t="str">
            <v>GO:0003700GO:0006355GO:0046983GO:0005634GO:0043565</v>
          </cell>
          <cell r="C632">
            <v>0</v>
          </cell>
          <cell r="D632" t="str">
            <v>BT0</v>
          </cell>
          <cell r="E632" t="str">
            <v>BT24</v>
          </cell>
          <cell r="F632">
            <v>6.0348600000000001</v>
          </cell>
          <cell r="G632">
            <v>15.2623</v>
          </cell>
          <cell r="H632">
            <v>1.3385800000000001</v>
          </cell>
        </row>
        <row r="633">
          <cell r="A633" t="str">
            <v>GRMZM2G085246</v>
          </cell>
          <cell r="B633" t="str">
            <v>GO:0004674GO:0006468GO:0005524GO:0005515GO:0004713</v>
          </cell>
          <cell r="C633" t="str">
            <v>protein strubbelig-receptor family 3-like</v>
          </cell>
          <cell r="D633" t="str">
            <v>BT0</v>
          </cell>
          <cell r="E633" t="str">
            <v>BT24</v>
          </cell>
          <cell r="F633">
            <v>6.8632299999999997</v>
          </cell>
          <cell r="G633">
            <v>13.948700000000001</v>
          </cell>
          <cell r="H633">
            <v>1.0231699999999999</v>
          </cell>
        </row>
        <row r="634">
          <cell r="A634" t="str">
            <v>GRMZM2G082520</v>
          </cell>
          <cell r="B634" t="str">
            <v>GO:0005576GO:0019953</v>
          </cell>
          <cell r="C634" t="str">
            <v>beta-expansin 1a precursor</v>
          </cell>
          <cell r="D634" t="str">
            <v>BT0</v>
          </cell>
          <cell r="E634" t="str">
            <v>BT24</v>
          </cell>
          <cell r="F634">
            <v>1.12259</v>
          </cell>
          <cell r="G634">
            <v>2.4033500000000001</v>
          </cell>
          <cell r="H634">
            <v>1.09822</v>
          </cell>
        </row>
        <row r="635">
          <cell r="A635" t="str">
            <v>GRMZM2G125813</v>
          </cell>
          <cell r="B635" t="e">
            <v>#N/A</v>
          </cell>
          <cell r="C635" t="str">
            <v>hypothetical protein</v>
          </cell>
          <cell r="D635" t="str">
            <v>BT0</v>
          </cell>
          <cell r="E635" t="str">
            <v>BT24</v>
          </cell>
          <cell r="F635">
            <v>2.34517</v>
          </cell>
          <cell r="G635">
            <v>0.599719</v>
          </cell>
          <cell r="H635">
            <v>-1.96733</v>
          </cell>
        </row>
        <row r="636">
          <cell r="A636" t="str">
            <v>GRMZM2G178645</v>
          </cell>
          <cell r="B636" t="str">
            <v>GO:0017111GO:0005524</v>
          </cell>
          <cell r="C636" t="str">
            <v>aaa-type atpase</v>
          </cell>
          <cell r="D636" t="str">
            <v>BT0</v>
          </cell>
          <cell r="E636" t="str">
            <v>BT24</v>
          </cell>
          <cell r="F636">
            <v>146.245</v>
          </cell>
          <cell r="G636">
            <v>32.774700000000003</v>
          </cell>
          <cell r="H636">
            <v>-2.1577299999999999</v>
          </cell>
        </row>
        <row r="637">
          <cell r="A637" t="str">
            <v>GRMZM2G112402</v>
          </cell>
          <cell r="B637" t="e">
            <v>#N/A</v>
          </cell>
          <cell r="C637">
            <v>0</v>
          </cell>
          <cell r="D637" t="str">
            <v>BT0</v>
          </cell>
          <cell r="E637" t="str">
            <v>BT24</v>
          </cell>
          <cell r="F637">
            <v>1.4206799999999999</v>
          </cell>
          <cell r="G637">
            <v>0.58769700000000002</v>
          </cell>
          <cell r="H637">
            <v>-1.2734399999999999</v>
          </cell>
        </row>
        <row r="638">
          <cell r="A638" t="str">
            <v>GRMZM2G024996</v>
          </cell>
          <cell r="B638" t="str">
            <v>GO:0051260GO:0016021GO:0007186GO:0004930</v>
          </cell>
          <cell r="C638">
            <v>0</v>
          </cell>
          <cell r="D638" t="str">
            <v>BT0</v>
          </cell>
          <cell r="E638" t="str">
            <v>BT24</v>
          </cell>
          <cell r="F638">
            <v>18.880099999999999</v>
          </cell>
          <cell r="G638">
            <v>39.562199999999997</v>
          </cell>
          <cell r="H638">
            <v>1.06725</v>
          </cell>
        </row>
        <row r="639">
          <cell r="A639" t="str">
            <v>AC233955.1_FG008</v>
          </cell>
          <cell r="B639" t="e">
            <v>#N/A</v>
          </cell>
          <cell r="C639" t="e">
            <v>#N/A</v>
          </cell>
          <cell r="D639" t="str">
            <v>BT0</v>
          </cell>
          <cell r="E639" t="str">
            <v>BT24</v>
          </cell>
          <cell r="F639">
            <v>0.86429900000000004</v>
          </cell>
          <cell r="G639">
            <v>0.24938099999999999</v>
          </cell>
          <cell r="H639">
            <v>-1.79318</v>
          </cell>
        </row>
        <row r="640">
          <cell r="A640" t="str">
            <v>GRMZM2G361256</v>
          </cell>
          <cell r="B640" t="str">
            <v>GO:0016021GO:0006810GO:0042626GO:0005524</v>
          </cell>
          <cell r="C640" t="str">
            <v>abc transporter c family member 3-like</v>
          </cell>
          <cell r="D640" t="str">
            <v>BT0</v>
          </cell>
          <cell r="E640" t="str">
            <v>BT24</v>
          </cell>
          <cell r="F640">
            <v>9.0486500000000003</v>
          </cell>
          <cell r="G640">
            <v>3.7441599999999999</v>
          </cell>
          <cell r="H640">
            <v>-1.2730600000000001</v>
          </cell>
        </row>
        <row r="641">
          <cell r="A641" t="str">
            <v>ATPI</v>
          </cell>
          <cell r="B641" t="e">
            <v>#N/A</v>
          </cell>
          <cell r="C641" t="e">
            <v>#N/A</v>
          </cell>
          <cell r="D641" t="str">
            <v>BT0</v>
          </cell>
          <cell r="E641" t="str">
            <v>BT24</v>
          </cell>
          <cell r="F641">
            <v>1.01044</v>
          </cell>
          <cell r="G641">
            <v>3.2186599999999999</v>
          </cell>
          <cell r="H641">
            <v>1.6714800000000001</v>
          </cell>
        </row>
        <row r="642">
          <cell r="A642" t="str">
            <v>RPOA</v>
          </cell>
          <cell r="B642" t="e">
            <v>#N/A</v>
          </cell>
          <cell r="C642" t="e">
            <v>#N/A</v>
          </cell>
          <cell r="D642" t="str">
            <v>BT0</v>
          </cell>
          <cell r="E642" t="str">
            <v>BT24</v>
          </cell>
          <cell r="F642">
            <v>0.67841700000000005</v>
          </cell>
          <cell r="G642">
            <v>1.9271</v>
          </cell>
          <cell r="H642">
            <v>1.5061899999999999</v>
          </cell>
        </row>
        <row r="643">
          <cell r="A643" t="str">
            <v>RPL14</v>
          </cell>
          <cell r="B643" t="e">
            <v>#N/A</v>
          </cell>
          <cell r="C643" t="e">
            <v>#N/A</v>
          </cell>
          <cell r="D643" t="str">
            <v>BT0</v>
          </cell>
          <cell r="E643" t="str">
            <v>BT24</v>
          </cell>
          <cell r="F643">
            <v>3.2059600000000001</v>
          </cell>
          <cell r="G643">
            <v>8.1875</v>
          </cell>
          <cell r="H643">
            <v>1.35267</v>
          </cell>
        </row>
        <row r="644">
          <cell r="A644" t="str">
            <v>GRMZM5G853305</v>
          </cell>
          <cell r="B644" t="e">
            <v>#N/A</v>
          </cell>
          <cell r="C644" t="str">
            <v>ribosomal protein l16</v>
          </cell>
          <cell r="D644" t="str">
            <v>BT0</v>
          </cell>
          <cell r="E644" t="str">
            <v>BT24</v>
          </cell>
          <cell r="F644">
            <v>8.5740200000000009</v>
          </cell>
          <cell r="G644">
            <v>17.3049</v>
          </cell>
          <cell r="H644">
            <v>1.0131399999999999</v>
          </cell>
        </row>
        <row r="645">
          <cell r="A645" t="str">
            <v>GRMZM5G838396</v>
          </cell>
          <cell r="B645" t="e">
            <v>#N/A</v>
          </cell>
          <cell r="C645" t="str">
            <v>ribosomal protein s3</v>
          </cell>
          <cell r="D645" t="str">
            <v>BT0</v>
          </cell>
          <cell r="E645" t="str">
            <v>BT24</v>
          </cell>
          <cell r="F645">
            <v>3.2463899999999999</v>
          </cell>
          <cell r="G645">
            <v>10.4946</v>
          </cell>
          <cell r="H645">
            <v>1.6927399999999999</v>
          </cell>
        </row>
        <row r="646">
          <cell r="A646" t="str">
            <v>GRMZM6G880411</v>
          </cell>
          <cell r="B646" t="e">
            <v>#N/A</v>
          </cell>
          <cell r="C646" t="e">
            <v>#N/A</v>
          </cell>
          <cell r="D646" t="str">
            <v>BT0</v>
          </cell>
          <cell r="E646" t="str">
            <v>BT24</v>
          </cell>
          <cell r="F646">
            <v>4.0791700000000004</v>
          </cell>
          <cell r="G646">
            <v>1.5074399999999999</v>
          </cell>
          <cell r="H646">
            <v>-1.4361699999999999</v>
          </cell>
        </row>
        <row r="647">
          <cell r="A647" t="str">
            <v>GRMZM6G186438</v>
          </cell>
          <cell r="B647" t="e">
            <v>#N/A</v>
          </cell>
          <cell r="C647" t="e">
            <v>#N/A</v>
          </cell>
          <cell r="D647" t="str">
            <v>BT0</v>
          </cell>
          <cell r="E647" t="str">
            <v>BT24</v>
          </cell>
          <cell r="F647">
            <v>0.83474400000000004</v>
          </cell>
          <cell r="G647">
            <v>0</v>
          </cell>
          <cell r="H647" t="e">
            <v>#NAME?</v>
          </cell>
        </row>
        <row r="648">
          <cell r="A648" t="str">
            <v>GRMZM6G441368</v>
          </cell>
          <cell r="B648" t="e">
            <v>#N/A</v>
          </cell>
          <cell r="C648" t="e">
            <v>#N/A</v>
          </cell>
          <cell r="D648" t="str">
            <v>BT0</v>
          </cell>
          <cell r="E648" t="str">
            <v>BT24</v>
          </cell>
          <cell r="F648">
            <v>4.3029999999999999</v>
          </cell>
          <cell r="G648">
            <v>2.0553400000000002</v>
          </cell>
          <cell r="H648">
            <v>-1.0659700000000001</v>
          </cell>
        </row>
      </sheetData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始差异数据"/>
      <sheetName val="选择处理行"/>
      <sheetName val="fold change&gt;2"/>
      <sheetName val="up"/>
      <sheetName val="dow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gene</v>
          </cell>
          <cell r="B1" t="str">
            <v>GO term</v>
          </cell>
          <cell r="C1" t="str">
            <v>Description</v>
          </cell>
          <cell r="D1" t="str">
            <v>sample_1</v>
          </cell>
          <cell r="E1" t="str">
            <v>sample_2</v>
          </cell>
          <cell r="F1" t="str">
            <v>value_1</v>
          </cell>
          <cell r="G1" t="str">
            <v>value_2</v>
          </cell>
          <cell r="H1" t="str">
            <v>log2(fold_change)</v>
          </cell>
        </row>
        <row r="2">
          <cell r="A2" t="str">
            <v>GRMZM2G392863</v>
          </cell>
          <cell r="B2" t="str">
            <v>GO:0006952</v>
          </cell>
          <cell r="C2" t="str">
            <v>flower-specific gamma-thionin precursor</v>
          </cell>
          <cell r="D2" t="str">
            <v>MT0</v>
          </cell>
          <cell r="E2" t="str">
            <v>MT24</v>
          </cell>
          <cell r="F2">
            <v>5.2357500000000003</v>
          </cell>
          <cell r="G2">
            <v>11.190200000000001</v>
          </cell>
          <cell r="H2">
            <v>1.0957699999999999</v>
          </cell>
        </row>
        <row r="3">
          <cell r="A3" t="str">
            <v>GRMZM2G099454</v>
          </cell>
          <cell r="B3" t="str">
            <v>GO:0004568GO:0006032GO:0016998</v>
          </cell>
          <cell r="C3" t="str">
            <v>basic endochitinase c precursor</v>
          </cell>
          <cell r="D3" t="str">
            <v>MT0</v>
          </cell>
          <cell r="E3" t="str">
            <v>MT24</v>
          </cell>
          <cell r="F3">
            <v>1.6253299999999999</v>
          </cell>
          <cell r="G3">
            <v>4.7933700000000004</v>
          </cell>
          <cell r="H3">
            <v>1.5603100000000001</v>
          </cell>
        </row>
        <row r="4">
          <cell r="A4" t="str">
            <v>GRMZM2G018579</v>
          </cell>
          <cell r="B4" t="e">
            <v>#N/A</v>
          </cell>
          <cell r="C4" t="str">
            <v>protein</v>
          </cell>
          <cell r="D4" t="str">
            <v>MT0</v>
          </cell>
          <cell r="E4" t="str">
            <v>MT24</v>
          </cell>
          <cell r="F4">
            <v>15.9681</v>
          </cell>
          <cell r="G4">
            <v>32.473799999999997</v>
          </cell>
          <cell r="H4">
            <v>1.0240800000000001</v>
          </cell>
        </row>
        <row r="5">
          <cell r="A5" t="str">
            <v>GRMZM2G031790</v>
          </cell>
          <cell r="B5" t="str">
            <v>GO:0006633GO:0016020GO:0008415</v>
          </cell>
          <cell r="C5" t="str">
            <v>3-ketoacyl- synthase 11-like</v>
          </cell>
          <cell r="D5" t="str">
            <v>MT0</v>
          </cell>
          <cell r="E5" t="str">
            <v>MT24</v>
          </cell>
          <cell r="F5">
            <v>12.4711</v>
          </cell>
          <cell r="G5">
            <v>6.0807200000000003</v>
          </cell>
          <cell r="H5">
            <v>-1.0362800000000001</v>
          </cell>
        </row>
        <row r="6">
          <cell r="A6" t="str">
            <v>AC177946.2_FG004</v>
          </cell>
          <cell r="B6" t="str">
            <v>GO:0000015GO:0016020GO:0051260GO:0006096GO:0050825GO:0042309GO:0050826GO:0004634</v>
          </cell>
          <cell r="C6" t="e">
            <v>#N/A</v>
          </cell>
          <cell r="D6" t="str">
            <v>MT0</v>
          </cell>
          <cell r="E6" t="str">
            <v>MT24</v>
          </cell>
          <cell r="F6">
            <v>11.676</v>
          </cell>
          <cell r="G6">
            <v>4.9741999999999997</v>
          </cell>
          <cell r="H6">
            <v>-1.2310099999999999</v>
          </cell>
        </row>
        <row r="7">
          <cell r="A7" t="str">
            <v>GRMZM2G703561</v>
          </cell>
          <cell r="B7" t="e">
            <v>#N/A</v>
          </cell>
          <cell r="C7">
            <v>0</v>
          </cell>
          <cell r="D7" t="str">
            <v>MT0</v>
          </cell>
          <cell r="E7" t="str">
            <v>MT24</v>
          </cell>
          <cell r="F7">
            <v>1.4095</v>
          </cell>
          <cell r="G7">
            <v>0.57542199999999999</v>
          </cell>
          <cell r="H7">
            <v>-1.2924899999999999</v>
          </cell>
        </row>
        <row r="8">
          <cell r="A8" t="str">
            <v>AC208201.3_FG003</v>
          </cell>
          <cell r="B8" t="e">
            <v>#N/A</v>
          </cell>
          <cell r="C8" t="e">
            <v>#N/A</v>
          </cell>
          <cell r="D8" t="str">
            <v>MT0</v>
          </cell>
          <cell r="E8" t="str">
            <v>MT24</v>
          </cell>
          <cell r="F8">
            <v>1.0167200000000001</v>
          </cell>
          <cell r="G8">
            <v>2.9250799999999999</v>
          </cell>
          <cell r="H8">
            <v>1.5245500000000001</v>
          </cell>
        </row>
        <row r="9">
          <cell r="A9" t="str">
            <v>GRMZM2G340286</v>
          </cell>
          <cell r="B9" t="e">
            <v>#N/A</v>
          </cell>
          <cell r="C9" t="str">
            <v>uncharacterized protein LOC100275916</v>
          </cell>
          <cell r="D9" t="str">
            <v>MT0</v>
          </cell>
          <cell r="E9" t="str">
            <v>MT24</v>
          </cell>
          <cell r="F9">
            <v>0.75709499999999996</v>
          </cell>
          <cell r="G9">
            <v>0.28344000000000003</v>
          </cell>
          <cell r="H9">
            <v>-1.41743</v>
          </cell>
        </row>
        <row r="10">
          <cell r="A10" t="str">
            <v>GRMZM2G093962</v>
          </cell>
          <cell r="B10" t="str">
            <v>GO:0016021</v>
          </cell>
          <cell r="C10" t="str">
            <v>membrane protein</v>
          </cell>
          <cell r="D10" t="str">
            <v>MT0</v>
          </cell>
          <cell r="E10" t="str">
            <v>MT24</v>
          </cell>
          <cell r="F10">
            <v>1.0588200000000001</v>
          </cell>
          <cell r="G10">
            <v>0.48374600000000001</v>
          </cell>
          <cell r="H10">
            <v>-1.1301300000000001</v>
          </cell>
        </row>
        <row r="11">
          <cell r="A11" t="str">
            <v>GRMZM2G099467</v>
          </cell>
          <cell r="B11" t="str">
            <v>GO:0005506GO:0016491</v>
          </cell>
          <cell r="C11" t="str">
            <v>2og-fe oxygenase family expressed</v>
          </cell>
          <cell r="D11" t="str">
            <v>MT0</v>
          </cell>
          <cell r="E11" t="str">
            <v>MT24</v>
          </cell>
          <cell r="F11">
            <v>1.7720800000000001</v>
          </cell>
          <cell r="G11">
            <v>7.7421800000000003</v>
          </cell>
          <cell r="H11">
            <v>2.1272899999999999</v>
          </cell>
        </row>
        <row r="12">
          <cell r="A12" t="str">
            <v>AC199487.4_FG002</v>
          </cell>
          <cell r="B12" t="str">
            <v>GO:0009611GO:0004867</v>
          </cell>
          <cell r="C12" t="e">
            <v>#N/A</v>
          </cell>
          <cell r="D12" t="str">
            <v>MT0</v>
          </cell>
          <cell r="E12" t="str">
            <v>MT24</v>
          </cell>
          <cell r="F12">
            <v>1.8737999999999999</v>
          </cell>
          <cell r="G12">
            <v>0</v>
          </cell>
          <cell r="H12" t="e">
            <v>#NAME?</v>
          </cell>
        </row>
        <row r="13">
          <cell r="A13" t="str">
            <v>GRMZM2G037265</v>
          </cell>
          <cell r="B13" t="e">
            <v>#N/A</v>
          </cell>
          <cell r="C13" t="str">
            <v>alkaline alpha-galactosidase seed imbibition protein</v>
          </cell>
          <cell r="D13" t="str">
            <v>MT0</v>
          </cell>
          <cell r="E13" t="str">
            <v>MT24</v>
          </cell>
          <cell r="F13">
            <v>66.780900000000003</v>
          </cell>
          <cell r="G13">
            <v>32.634700000000002</v>
          </cell>
          <cell r="H13">
            <v>-1.0330299999999999</v>
          </cell>
        </row>
        <row r="14">
          <cell r="A14" t="str">
            <v>GRMZM2G059129</v>
          </cell>
          <cell r="B14" t="str">
            <v>GO:0006071GO:0006629GO:0008889</v>
          </cell>
          <cell r="C14" t="str">
            <v>probable glycerophosphoryl diester phosphodiesterase 2-like</v>
          </cell>
          <cell r="D14" t="str">
            <v>MT0</v>
          </cell>
          <cell r="E14" t="str">
            <v>MT24</v>
          </cell>
          <cell r="F14">
            <v>2.1010300000000002</v>
          </cell>
          <cell r="G14">
            <v>4.8321699999999996</v>
          </cell>
          <cell r="H14">
            <v>1.20157</v>
          </cell>
        </row>
        <row r="15">
          <cell r="A15" t="str">
            <v>GRMZM2G141607</v>
          </cell>
          <cell r="B15" t="str">
            <v>GO:0009239GO:0005488GO:0008667</v>
          </cell>
          <cell r="C15" t="str">
            <v>3-ketoacyl- reductase</v>
          </cell>
          <cell r="D15" t="str">
            <v>MT0</v>
          </cell>
          <cell r="E15" t="str">
            <v>MT24</v>
          </cell>
          <cell r="F15">
            <v>1.74996</v>
          </cell>
          <cell r="G15">
            <v>0.84696499999999997</v>
          </cell>
          <cell r="H15">
            <v>-1.04695</v>
          </cell>
        </row>
        <row r="16">
          <cell r="A16" t="str">
            <v>GRMZM2G324999</v>
          </cell>
          <cell r="B16" t="str">
            <v>GO:0003700GO:0043565GO:0005634GO:0045449</v>
          </cell>
          <cell r="C16" t="str">
            <v>wrky69 - superfamily of tfs having wrky and zinc finger domains</v>
          </cell>
          <cell r="D16" t="str">
            <v>MT0</v>
          </cell>
          <cell r="E16" t="str">
            <v>MT24</v>
          </cell>
          <cell r="F16">
            <v>0.34293400000000002</v>
          </cell>
          <cell r="G16">
            <v>1.02559</v>
          </cell>
          <cell r="H16">
            <v>1.58046</v>
          </cell>
        </row>
        <row r="17">
          <cell r="A17" t="str">
            <v>GRMZM2G130904</v>
          </cell>
          <cell r="B17" t="str">
            <v>GO:0004601GO:0006979GO:0020037GO:0009055</v>
          </cell>
          <cell r="C17" t="str">
            <v>peroxidase n-like</v>
          </cell>
          <cell r="D17" t="str">
            <v>MT0</v>
          </cell>
          <cell r="E17" t="str">
            <v>MT24</v>
          </cell>
          <cell r="F17">
            <v>0.37637599999999999</v>
          </cell>
          <cell r="G17">
            <v>1.25576</v>
          </cell>
          <cell r="H17">
            <v>1.73831</v>
          </cell>
        </row>
        <row r="18">
          <cell r="A18" t="str">
            <v>GRMZM2G162505</v>
          </cell>
          <cell r="B18" t="str">
            <v>GO:0004568GO:0006032</v>
          </cell>
          <cell r="C18" t="str">
            <v>chitinase 2-like</v>
          </cell>
          <cell r="D18" t="str">
            <v>MT0</v>
          </cell>
          <cell r="E18" t="str">
            <v>MT24</v>
          </cell>
          <cell r="F18">
            <v>0.49207600000000001</v>
          </cell>
          <cell r="G18">
            <v>1.24891</v>
          </cell>
          <cell r="H18">
            <v>1.34372</v>
          </cell>
        </row>
        <row r="19">
          <cell r="A19" t="str">
            <v>GRMZM5G805732</v>
          </cell>
          <cell r="B19" t="e">
            <v>#N/A</v>
          </cell>
          <cell r="C19" t="str">
            <v>cationic amino acid transporter</v>
          </cell>
          <cell r="D19" t="str">
            <v>MT0</v>
          </cell>
          <cell r="E19" t="str">
            <v>MT24</v>
          </cell>
          <cell r="F19">
            <v>0.53334999999999999</v>
          </cell>
          <cell r="G19">
            <v>1.1424799999999999</v>
          </cell>
          <cell r="H19">
            <v>1.0990200000000001</v>
          </cell>
        </row>
        <row r="20">
          <cell r="A20" t="str">
            <v>GRMZM2G021055</v>
          </cell>
          <cell r="B20" t="str">
            <v>GO:0015297GO:0016020GO:0006855GO:0015238</v>
          </cell>
          <cell r="C20" t="str">
            <v>protein transparent testa 12-like</v>
          </cell>
          <cell r="D20" t="str">
            <v>MT0</v>
          </cell>
          <cell r="E20" t="str">
            <v>MT24</v>
          </cell>
          <cell r="F20">
            <v>0.421456</v>
          </cell>
          <cell r="G20">
            <v>0.96562499999999996</v>
          </cell>
          <cell r="H20">
            <v>1.19608</v>
          </cell>
        </row>
        <row r="21">
          <cell r="A21" t="str">
            <v>GRMZM2G059964</v>
          </cell>
          <cell r="B21" t="e">
            <v>#N/A</v>
          </cell>
          <cell r="C21" t="str">
            <v>cortical cell-delineating protein precursor</v>
          </cell>
          <cell r="D21" t="str">
            <v>MT0</v>
          </cell>
          <cell r="E21" t="str">
            <v>MT24</v>
          </cell>
          <cell r="F21">
            <v>4.1367599999999998</v>
          </cell>
          <cell r="G21">
            <v>8.7829899999999999</v>
          </cell>
          <cell r="H21">
            <v>1.0862099999999999</v>
          </cell>
        </row>
        <row r="22">
          <cell r="A22" t="str">
            <v>GRMZM2G090043</v>
          </cell>
          <cell r="B22" t="e">
            <v>#N/A</v>
          </cell>
          <cell r="C22" t="str">
            <v>hypothetical protein</v>
          </cell>
          <cell r="D22" t="str">
            <v>MT0</v>
          </cell>
          <cell r="E22" t="str">
            <v>MT24</v>
          </cell>
          <cell r="F22">
            <v>1.0872599999999999</v>
          </cell>
          <cell r="G22">
            <v>2.5649299999999999</v>
          </cell>
          <cell r="H22">
            <v>1.2382299999999999</v>
          </cell>
        </row>
        <row r="23">
          <cell r="A23" t="str">
            <v>GRMZM2G301089</v>
          </cell>
          <cell r="B23" t="str">
            <v>GO:0005634GO:0045449GO:0030528</v>
          </cell>
          <cell r="C23" t="str">
            <v>transcription factor bhlh92</v>
          </cell>
          <cell r="D23" t="str">
            <v>MT0</v>
          </cell>
          <cell r="E23" t="str">
            <v>MT24</v>
          </cell>
          <cell r="F23">
            <v>1.57118</v>
          </cell>
          <cell r="G23">
            <v>3.4658199999999999</v>
          </cell>
          <cell r="H23">
            <v>1.1413500000000001</v>
          </cell>
        </row>
        <row r="24">
          <cell r="A24" t="str">
            <v>GRMZM2G475948</v>
          </cell>
          <cell r="B24" t="str">
            <v>GO:0004674GO:0006468GO:0005529GO:0004713GO:0005524</v>
          </cell>
          <cell r="C24" t="str">
            <v>l-type lectin-domain containing receptor kinase -like</v>
          </cell>
          <cell r="D24" t="str">
            <v>MT0</v>
          </cell>
          <cell r="E24" t="str">
            <v>MT24</v>
          </cell>
          <cell r="F24">
            <v>2.2064900000000001</v>
          </cell>
          <cell r="G24">
            <v>4.7786799999999996</v>
          </cell>
          <cell r="H24">
            <v>1.11486</v>
          </cell>
        </row>
        <row r="25">
          <cell r="A25" t="str">
            <v>GRMZM2G013206</v>
          </cell>
          <cell r="B25" t="str">
            <v>GO:0005840GO:0003735GO:0050825GO:0042309GO:0050826GO:0005507GO:0006412GO:0009055</v>
          </cell>
          <cell r="C25" t="str">
            <v>protein</v>
          </cell>
          <cell r="D25" t="str">
            <v>MT0</v>
          </cell>
          <cell r="E25" t="str">
            <v>MT24</v>
          </cell>
          <cell r="F25">
            <v>0.41630699999999998</v>
          </cell>
          <cell r="G25">
            <v>1.74882</v>
          </cell>
          <cell r="H25">
            <v>2.0706600000000002</v>
          </cell>
        </row>
        <row r="26">
          <cell r="A26" t="str">
            <v>GRMZM2G008064</v>
          </cell>
          <cell r="B26" t="e">
            <v>#N/A</v>
          </cell>
          <cell r="C26" t="str">
            <v>pentatricopeptide repeat-containing</v>
          </cell>
          <cell r="D26" t="str">
            <v>MT0</v>
          </cell>
          <cell r="E26" t="str">
            <v>MT24</v>
          </cell>
          <cell r="F26">
            <v>0.36792599999999998</v>
          </cell>
          <cell r="G26">
            <v>0.90292499999999998</v>
          </cell>
          <cell r="H26">
            <v>1.2951900000000001</v>
          </cell>
        </row>
        <row r="27">
          <cell r="A27" t="str">
            <v>GRMZM2G153920</v>
          </cell>
          <cell r="B27" t="str">
            <v>GO:0022891GO:0016021GO:0055085</v>
          </cell>
          <cell r="C27" t="str">
            <v>sorbitol transporter</v>
          </cell>
          <cell r="D27" t="str">
            <v>MT0</v>
          </cell>
          <cell r="E27" t="str">
            <v>MT24</v>
          </cell>
          <cell r="F27">
            <v>1.6700600000000001</v>
          </cell>
          <cell r="G27">
            <v>3.35006</v>
          </cell>
          <cell r="H27">
            <v>1.0042899999999999</v>
          </cell>
        </row>
        <row r="28">
          <cell r="A28" t="str">
            <v>GRMZM2G099522</v>
          </cell>
          <cell r="B28" t="str">
            <v>GO:0003700GO:0006355GO:0005634GO:0043565</v>
          </cell>
          <cell r="C28" t="str">
            <v>leafy hull sterile 1</v>
          </cell>
          <cell r="D28" t="str">
            <v>MT0</v>
          </cell>
          <cell r="E28" t="str">
            <v>MT24</v>
          </cell>
          <cell r="F28">
            <v>1.05522</v>
          </cell>
          <cell r="G28">
            <v>0.31259700000000001</v>
          </cell>
          <cell r="H28">
            <v>-1.75518</v>
          </cell>
        </row>
        <row r="29">
          <cell r="A29" t="str">
            <v>GRMZM2G043878</v>
          </cell>
          <cell r="B29" t="e">
            <v>#N/A</v>
          </cell>
          <cell r="C29" t="str">
            <v>33-kda secretory protein</v>
          </cell>
          <cell r="D29" t="str">
            <v>MT0</v>
          </cell>
          <cell r="E29" t="str">
            <v>MT24</v>
          </cell>
          <cell r="F29">
            <v>0.67612799999999995</v>
          </cell>
          <cell r="G29">
            <v>2.0664600000000002</v>
          </cell>
          <cell r="H29">
            <v>1.6117900000000001</v>
          </cell>
        </row>
        <row r="30">
          <cell r="A30" t="str">
            <v>GRMZM2G179462</v>
          </cell>
          <cell r="B30" t="str">
            <v>GO:0016021</v>
          </cell>
          <cell r="C30" t="str">
            <v>stress-induced hydrophobic peptide</v>
          </cell>
          <cell r="D30" t="str">
            <v>MT0</v>
          </cell>
          <cell r="E30" t="str">
            <v>MT24</v>
          </cell>
          <cell r="F30">
            <v>1.58091</v>
          </cell>
          <cell r="G30">
            <v>3.2036600000000002</v>
          </cell>
          <cell r="H30">
            <v>1.0189699999999999</v>
          </cell>
        </row>
        <row r="31">
          <cell r="A31" t="str">
            <v>AC185593.3_FG003</v>
          </cell>
          <cell r="B31" t="e">
            <v>#N/A</v>
          </cell>
          <cell r="C31" t="e">
            <v>#N/A</v>
          </cell>
          <cell r="D31" t="str">
            <v>MT0</v>
          </cell>
          <cell r="E31" t="str">
            <v>MT24</v>
          </cell>
          <cell r="F31">
            <v>6.6737599999999997</v>
          </cell>
          <cell r="G31">
            <v>2.69</v>
          </cell>
          <cell r="H31">
            <v>-1.3108900000000001</v>
          </cell>
        </row>
        <row r="32">
          <cell r="A32" t="str">
            <v>GRMZM2G401848</v>
          </cell>
          <cell r="B32" t="str">
            <v>GO:0003755</v>
          </cell>
          <cell r="C32" t="str">
            <v>peptidyl-prolyl cis-trans isomerase</v>
          </cell>
          <cell r="D32" t="str">
            <v>MT0</v>
          </cell>
          <cell r="E32" t="str">
            <v>MT24</v>
          </cell>
          <cell r="F32">
            <v>0.58434699999999995</v>
          </cell>
          <cell r="G32">
            <v>2.2350699999999999</v>
          </cell>
          <cell r="H32">
            <v>1.9354199999999999</v>
          </cell>
        </row>
        <row r="33">
          <cell r="A33" t="str">
            <v>GRMZM2G402631</v>
          </cell>
          <cell r="B33" t="e">
            <v>#N/A</v>
          </cell>
          <cell r="C33" t="str">
            <v>thaumatin-like protein</v>
          </cell>
          <cell r="D33" t="str">
            <v>MT0</v>
          </cell>
          <cell r="E33" t="str">
            <v>MT24</v>
          </cell>
          <cell r="F33">
            <v>125.63200000000001</v>
          </cell>
          <cell r="G33">
            <v>296.99200000000002</v>
          </cell>
          <cell r="H33">
            <v>1.24122</v>
          </cell>
        </row>
        <row r="34">
          <cell r="A34" t="str">
            <v>GRMZM5G893912</v>
          </cell>
          <cell r="B34" t="e">
            <v>#N/A</v>
          </cell>
          <cell r="C34" t="str">
            <v>cell division protein aaa atpase family</v>
          </cell>
          <cell r="D34" t="str">
            <v>MT0</v>
          </cell>
          <cell r="E34" t="str">
            <v>MT24</v>
          </cell>
          <cell r="F34">
            <v>0.425844</v>
          </cell>
          <cell r="G34">
            <v>1.3382400000000001</v>
          </cell>
          <cell r="H34">
            <v>1.65194</v>
          </cell>
        </row>
        <row r="35">
          <cell r="A35" t="str">
            <v>GRMZM2G136534</v>
          </cell>
          <cell r="B35" t="str">
            <v>GO:0004601GO:0006979GO:0020037GO:0009055</v>
          </cell>
          <cell r="C35" t="str">
            <v>tpa: class iii peroxidase 119 precursor</v>
          </cell>
          <cell r="D35" t="str">
            <v>MT0</v>
          </cell>
          <cell r="E35" t="str">
            <v>MT24</v>
          </cell>
          <cell r="F35">
            <v>10.3287</v>
          </cell>
          <cell r="G35">
            <v>5.1581099999999998</v>
          </cell>
          <cell r="H35">
            <v>-1.0017499999999999</v>
          </cell>
        </row>
        <row r="36">
          <cell r="A36" t="str">
            <v>GRMZM2G400156</v>
          </cell>
          <cell r="B36" t="e">
            <v>#N/A</v>
          </cell>
          <cell r="C36" t="str">
            <v>saur33 - auxin-responsive saur family member</v>
          </cell>
          <cell r="D36" t="str">
            <v>MT0</v>
          </cell>
          <cell r="E36" t="str">
            <v>MT24</v>
          </cell>
          <cell r="F36">
            <v>2.9752900000000002</v>
          </cell>
          <cell r="G36">
            <v>1.08639</v>
          </cell>
          <cell r="H36">
            <v>-1.4534899999999999</v>
          </cell>
        </row>
        <row r="37">
          <cell r="A37" t="str">
            <v>GRMZM2G131266</v>
          </cell>
          <cell r="B37" t="str">
            <v>GO:0003700GO:0006355</v>
          </cell>
          <cell r="C37" t="str">
            <v>ap2-like ethylene-responsive transcription factor at1g16060-like</v>
          </cell>
          <cell r="D37" t="str">
            <v>MT0</v>
          </cell>
          <cell r="E37" t="str">
            <v>MT24</v>
          </cell>
          <cell r="F37">
            <v>0.93967500000000004</v>
          </cell>
          <cell r="G37">
            <v>2.70459</v>
          </cell>
          <cell r="H37">
            <v>1.52518</v>
          </cell>
        </row>
        <row r="38">
          <cell r="A38" t="str">
            <v>GRMZM2G101116</v>
          </cell>
          <cell r="B38" t="e">
            <v>#N/A</v>
          </cell>
          <cell r="C38" t="str">
            <v>pirin-like protein</v>
          </cell>
          <cell r="D38" t="str">
            <v>MT0</v>
          </cell>
          <cell r="E38" t="str">
            <v>MT24</v>
          </cell>
          <cell r="F38">
            <v>2.4035199999999999</v>
          </cell>
          <cell r="G38">
            <v>5.5266000000000002</v>
          </cell>
          <cell r="H38">
            <v>1.2012499999999999</v>
          </cell>
        </row>
        <row r="39">
          <cell r="A39" t="str">
            <v>GRMZM2G320269</v>
          </cell>
          <cell r="B39" t="str">
            <v>GO:0004601GO:0006979GO:0020037GO:0009055</v>
          </cell>
          <cell r="C39" t="str">
            <v>protein</v>
          </cell>
          <cell r="D39" t="str">
            <v>MT0</v>
          </cell>
          <cell r="E39" t="str">
            <v>MT24</v>
          </cell>
          <cell r="F39">
            <v>4.2119200000000001</v>
          </cell>
          <cell r="G39">
            <v>2.0379399999999999</v>
          </cell>
          <cell r="H39">
            <v>-1.0473699999999999</v>
          </cell>
        </row>
        <row r="40">
          <cell r="A40" t="str">
            <v>GRMZM2G153208</v>
          </cell>
          <cell r="B40" t="str">
            <v>GO:0008962GO:0006629GO:0045735</v>
          </cell>
          <cell r="C40" t="str">
            <v>pr17c precursor</v>
          </cell>
          <cell r="D40" t="str">
            <v>MT0</v>
          </cell>
          <cell r="E40" t="str">
            <v>MT24</v>
          </cell>
          <cell r="F40">
            <v>1.6326099999999999</v>
          </cell>
          <cell r="G40">
            <v>5.6767300000000001</v>
          </cell>
          <cell r="H40">
            <v>1.7978799999999999</v>
          </cell>
        </row>
        <row r="41">
          <cell r="A41" t="str">
            <v>GRMZM2G145412</v>
          </cell>
          <cell r="B41" t="e">
            <v>#N/A</v>
          </cell>
          <cell r="C41" t="str">
            <v>zim motif family protein</v>
          </cell>
          <cell r="D41" t="str">
            <v>MT0</v>
          </cell>
          <cell r="E41" t="str">
            <v>MT24</v>
          </cell>
          <cell r="F41">
            <v>1.03277</v>
          </cell>
          <cell r="G41">
            <v>2.6063399999999999</v>
          </cell>
          <cell r="H41">
            <v>1.33551</v>
          </cell>
        </row>
        <row r="42">
          <cell r="A42" t="str">
            <v>GRMZM2G084486</v>
          </cell>
          <cell r="B42" t="e">
            <v>#N/A</v>
          </cell>
          <cell r="C42" t="str">
            <v>potassium transporter</v>
          </cell>
          <cell r="D42" t="str">
            <v>MT0</v>
          </cell>
          <cell r="E42" t="str">
            <v>MT24</v>
          </cell>
          <cell r="F42">
            <v>0.62633300000000003</v>
          </cell>
          <cell r="G42">
            <v>1.3210900000000001</v>
          </cell>
          <cell r="H42">
            <v>1.07673</v>
          </cell>
        </row>
        <row r="43">
          <cell r="A43" t="str">
            <v>GRMZM2G368886</v>
          </cell>
          <cell r="B43" t="str">
            <v>GO:0009664GO:0005576</v>
          </cell>
          <cell r="C43" t="str">
            <v>alpha-expansin 6 precursor</v>
          </cell>
          <cell r="D43" t="str">
            <v>MT0</v>
          </cell>
          <cell r="E43" t="str">
            <v>MT24</v>
          </cell>
          <cell r="F43">
            <v>0.82891800000000004</v>
          </cell>
          <cell r="G43">
            <v>0.29592200000000002</v>
          </cell>
          <cell r="H43">
            <v>-1.4860100000000001</v>
          </cell>
        </row>
        <row r="44">
          <cell r="A44" t="str">
            <v>GRMZM5G839644</v>
          </cell>
          <cell r="B44" t="e">
            <v>#N/A</v>
          </cell>
          <cell r="C44" t="str">
            <v>protein kinase xa21</v>
          </cell>
          <cell r="D44" t="str">
            <v>MT0</v>
          </cell>
          <cell r="E44" t="str">
            <v>MT24</v>
          </cell>
          <cell r="F44">
            <v>0.39066600000000001</v>
          </cell>
          <cell r="G44">
            <v>1.06982</v>
          </cell>
          <cell r="H44">
            <v>1.45336</v>
          </cell>
        </row>
        <row r="45">
          <cell r="A45" t="str">
            <v>GRMZM2G132273</v>
          </cell>
          <cell r="B45" t="e">
            <v>#N/A</v>
          </cell>
          <cell r="C45" t="str">
            <v>protein</v>
          </cell>
          <cell r="D45" t="str">
            <v>MT0</v>
          </cell>
          <cell r="E45" t="str">
            <v>MT24</v>
          </cell>
          <cell r="F45">
            <v>0.56521299999999997</v>
          </cell>
          <cell r="G45">
            <v>1.60707</v>
          </cell>
          <cell r="H45">
            <v>1.5075700000000001</v>
          </cell>
        </row>
        <row r="46">
          <cell r="A46" t="str">
            <v>GRMZM2G565911</v>
          </cell>
          <cell r="B46" t="e">
            <v>#N/A</v>
          </cell>
          <cell r="C46" t="str">
            <v>protein binding</v>
          </cell>
          <cell r="D46" t="str">
            <v>MT0</v>
          </cell>
          <cell r="E46" t="str">
            <v>MT24</v>
          </cell>
          <cell r="F46">
            <v>0.435699</v>
          </cell>
          <cell r="G46">
            <v>0.88316700000000004</v>
          </cell>
          <cell r="H46">
            <v>1.01935</v>
          </cell>
        </row>
        <row r="47">
          <cell r="A47" t="str">
            <v>GRMZM2G020054</v>
          </cell>
          <cell r="B47" t="str">
            <v>GO:0003700GO:0006355</v>
          </cell>
          <cell r="C47" t="str">
            <v>ethylene-responsive transcription factor 4</v>
          </cell>
          <cell r="D47" t="str">
            <v>MT0</v>
          </cell>
          <cell r="E47" t="str">
            <v>MT24</v>
          </cell>
          <cell r="F47">
            <v>0.72560400000000003</v>
          </cell>
          <cell r="G47">
            <v>1.9491400000000001</v>
          </cell>
          <cell r="H47">
            <v>1.4255800000000001</v>
          </cell>
        </row>
        <row r="48">
          <cell r="A48" t="str">
            <v>GRMZM2G136508</v>
          </cell>
          <cell r="B48" t="str">
            <v>GO:0006813GO:0016020GO:0006865GO:0015171GO:0005249</v>
          </cell>
          <cell r="C48" t="str">
            <v>amino acid permease</v>
          </cell>
          <cell r="D48" t="str">
            <v>MT0</v>
          </cell>
          <cell r="E48" t="str">
            <v>MT24</v>
          </cell>
          <cell r="F48">
            <v>0.42597400000000002</v>
          </cell>
          <cell r="G48">
            <v>1.04312</v>
          </cell>
          <cell r="H48">
            <v>1.2920700000000001</v>
          </cell>
        </row>
        <row r="49">
          <cell r="A49" t="str">
            <v>GRMZM2G397684</v>
          </cell>
          <cell r="B49" t="str">
            <v>GO:0008270GO:0005515</v>
          </cell>
          <cell r="C49" t="str">
            <v>ring zinc finger</v>
          </cell>
          <cell r="D49" t="str">
            <v>MT0</v>
          </cell>
          <cell r="E49" t="str">
            <v>MT24</v>
          </cell>
          <cell r="F49">
            <v>0.63522900000000004</v>
          </cell>
          <cell r="G49">
            <v>1.36086</v>
          </cell>
          <cell r="H49">
            <v>1.09917</v>
          </cell>
        </row>
        <row r="50">
          <cell r="A50" t="str">
            <v>GRMZM2G177340</v>
          </cell>
          <cell r="B50" t="str">
            <v>GO:0005634GO:0003676</v>
          </cell>
          <cell r="C50" t="str">
            <v>probable ccr4-associated factor 1 homolog 11-like</v>
          </cell>
          <cell r="D50" t="str">
            <v>MT0</v>
          </cell>
          <cell r="E50" t="str">
            <v>MT24</v>
          </cell>
          <cell r="F50">
            <v>2.09002</v>
          </cell>
          <cell r="G50">
            <v>4.3453999999999997</v>
          </cell>
          <cell r="H50">
            <v>1.0559799999999999</v>
          </cell>
        </row>
        <row r="51">
          <cell r="A51" t="str">
            <v>GRMZM2G172586</v>
          </cell>
          <cell r="B51" t="e">
            <v>#N/A</v>
          </cell>
          <cell r="C51" t="str">
            <v>zinc finger homeodomain protein 1</v>
          </cell>
          <cell r="D51" t="str">
            <v>MT0</v>
          </cell>
          <cell r="E51" t="str">
            <v>MT24</v>
          </cell>
          <cell r="F51">
            <v>2.04576</v>
          </cell>
          <cell r="G51">
            <v>0.77570899999999998</v>
          </cell>
          <cell r="H51">
            <v>-1.3990499999999999</v>
          </cell>
        </row>
        <row r="52">
          <cell r="A52" t="str">
            <v>GRMZM2G176472</v>
          </cell>
          <cell r="B52" t="e">
            <v>#N/A</v>
          </cell>
          <cell r="C52" t="str">
            <v>calmodulin-binding protein</v>
          </cell>
          <cell r="D52" t="str">
            <v>MT0</v>
          </cell>
          <cell r="E52" t="str">
            <v>MT24</v>
          </cell>
          <cell r="F52">
            <v>0.41559800000000002</v>
          </cell>
          <cell r="G52">
            <v>0.94675799999999999</v>
          </cell>
          <cell r="H52">
            <v>1.18781</v>
          </cell>
        </row>
        <row r="53">
          <cell r="A53" t="str">
            <v>GRMZM2G104489</v>
          </cell>
          <cell r="B53" t="str">
            <v>GO:0008270GO:0005622</v>
          </cell>
          <cell r="C53" t="str">
            <v>uncharacterized protein LOC100272609</v>
          </cell>
          <cell r="D53" t="str">
            <v>MT0</v>
          </cell>
          <cell r="E53" t="str">
            <v>MT24</v>
          </cell>
          <cell r="F53">
            <v>18.111999999999998</v>
          </cell>
          <cell r="G53">
            <v>7.1253399999999996</v>
          </cell>
          <cell r="H53">
            <v>-1.34592</v>
          </cell>
        </row>
        <row r="54">
          <cell r="A54" t="str">
            <v>GRMZM2G127336</v>
          </cell>
          <cell r="B54" t="str">
            <v>GO:0016829GO:0000287GO:0008152</v>
          </cell>
          <cell r="C54" t="e">
            <v>#NAME?</v>
          </cell>
          <cell r="D54" t="str">
            <v>MT0</v>
          </cell>
          <cell r="E54" t="str">
            <v>MT24</v>
          </cell>
          <cell r="F54">
            <v>0.50095699999999999</v>
          </cell>
          <cell r="G54">
            <v>1.38585</v>
          </cell>
          <cell r="H54">
            <v>1.46801</v>
          </cell>
        </row>
        <row r="55">
          <cell r="A55" t="str">
            <v>GRMZM2G176998</v>
          </cell>
          <cell r="B55" t="e">
            <v>#N/A</v>
          </cell>
          <cell r="C55" t="str">
            <v>wd40-like beta propeller repeat family expressed</v>
          </cell>
          <cell r="D55" t="str">
            <v>MT0</v>
          </cell>
          <cell r="E55" t="str">
            <v>MT24</v>
          </cell>
          <cell r="F55">
            <v>1.5906100000000001</v>
          </cell>
          <cell r="G55">
            <v>3.5581800000000001</v>
          </cell>
          <cell r="H55">
            <v>1.1615599999999999</v>
          </cell>
        </row>
        <row r="56">
          <cell r="A56" t="str">
            <v>GRMZM2G401883</v>
          </cell>
          <cell r="B56" t="e">
            <v>#N/A</v>
          </cell>
          <cell r="C56" t="str">
            <v>uncharacterized protein LOC100276969</v>
          </cell>
          <cell r="D56" t="str">
            <v>MT0</v>
          </cell>
          <cell r="E56" t="str">
            <v>MT24</v>
          </cell>
          <cell r="F56">
            <v>1.59565</v>
          </cell>
          <cell r="G56">
            <v>3.6979199999999999</v>
          </cell>
          <cell r="H56">
            <v>1.2125699999999999</v>
          </cell>
        </row>
        <row r="57">
          <cell r="A57" t="str">
            <v>GRMZM2G436448</v>
          </cell>
          <cell r="B57" t="str">
            <v>GO:0004674GO:0006468GO:0004713GO:0005524</v>
          </cell>
          <cell r="C57" t="str">
            <v>rust resistance kinase lr10</v>
          </cell>
          <cell r="D57" t="str">
            <v>MT0</v>
          </cell>
          <cell r="E57" t="str">
            <v>MT24</v>
          </cell>
          <cell r="F57">
            <v>2.6414900000000001</v>
          </cell>
          <cell r="G57">
            <v>7.2930200000000003</v>
          </cell>
          <cell r="H57">
            <v>1.4651700000000001</v>
          </cell>
        </row>
        <row r="58">
          <cell r="A58" t="str">
            <v>GRMZM2G119823</v>
          </cell>
          <cell r="B58" t="str">
            <v>GO:0005634GO:0045449GO:0030528</v>
          </cell>
          <cell r="C58" t="str">
            <v>transcription factor bhlh35</v>
          </cell>
          <cell r="D58" t="str">
            <v>MT0</v>
          </cell>
          <cell r="E58" t="str">
            <v>MT24</v>
          </cell>
          <cell r="F58">
            <v>1.9926699999999999</v>
          </cell>
          <cell r="G58">
            <v>4.2008099999999997</v>
          </cell>
          <cell r="H58">
            <v>1.0759700000000001</v>
          </cell>
        </row>
        <row r="59">
          <cell r="A59" t="str">
            <v>GRMZM5G894619</v>
          </cell>
          <cell r="B59" t="e">
            <v>#N/A</v>
          </cell>
          <cell r="C59" t="str">
            <v>1-aminocyclopropane-1-carboxylate synthase</v>
          </cell>
          <cell r="D59" t="str">
            <v>MT0</v>
          </cell>
          <cell r="E59" t="str">
            <v>MT24</v>
          </cell>
          <cell r="F59">
            <v>0.65427900000000005</v>
          </cell>
          <cell r="G59">
            <v>1.3574299999999999</v>
          </cell>
          <cell r="H59">
            <v>1.0528999999999999</v>
          </cell>
        </row>
        <row r="60">
          <cell r="A60" t="str">
            <v>GRMZM2G429000</v>
          </cell>
          <cell r="B60" t="e">
            <v>#N/A</v>
          </cell>
          <cell r="C60" t="str">
            <v>cortical cell-delineating protein precursor</v>
          </cell>
          <cell r="D60" t="str">
            <v>MT0</v>
          </cell>
          <cell r="E60" t="str">
            <v>MT24</v>
          </cell>
          <cell r="F60">
            <v>4.9717500000000001</v>
          </cell>
          <cell r="G60">
            <v>1.8991</v>
          </cell>
          <cell r="H60">
            <v>-1.3884399999999999</v>
          </cell>
        </row>
        <row r="61">
          <cell r="A61" t="str">
            <v>GRMZM2G085236</v>
          </cell>
          <cell r="B61" t="str">
            <v>GO:0042626GO:0016021GO:0006810GO:0019001GO:0004871GO:0007186GO:0005524</v>
          </cell>
          <cell r="C61" t="str">
            <v>abc transporter b family member 19-like</v>
          </cell>
          <cell r="D61" t="str">
            <v>MT0</v>
          </cell>
          <cell r="E61" t="str">
            <v>MT24</v>
          </cell>
          <cell r="F61">
            <v>0.42350199999999999</v>
          </cell>
          <cell r="G61">
            <v>0.88427800000000001</v>
          </cell>
          <cell r="H61">
            <v>1.06213</v>
          </cell>
        </row>
        <row r="62">
          <cell r="A62" t="str">
            <v>GRMZM2G084576</v>
          </cell>
          <cell r="B62" t="str">
            <v>GO:0005634GO:0045449GO:0030528</v>
          </cell>
          <cell r="C62" t="str">
            <v>ili1 binding bhlh 1 protein</v>
          </cell>
          <cell r="D62" t="str">
            <v>MT0</v>
          </cell>
          <cell r="E62" t="str">
            <v>MT24</v>
          </cell>
          <cell r="F62">
            <v>1.42134</v>
          </cell>
          <cell r="G62">
            <v>0.65485099999999996</v>
          </cell>
          <cell r="H62">
            <v>-1.1180099999999999</v>
          </cell>
        </row>
        <row r="63">
          <cell r="A63" t="str">
            <v>GRMZM2G018716</v>
          </cell>
          <cell r="B63" t="str">
            <v>GO:0006508GO:0005975GO:0004252GO:0004553</v>
          </cell>
          <cell r="C63" t="str">
            <v>glycosy1 hydrolase</v>
          </cell>
          <cell r="D63" t="str">
            <v>MT0</v>
          </cell>
          <cell r="E63" t="str">
            <v>MT24</v>
          </cell>
          <cell r="F63">
            <v>0.72439699999999996</v>
          </cell>
          <cell r="G63">
            <v>1.5466200000000001</v>
          </cell>
          <cell r="H63">
            <v>1.0942700000000001</v>
          </cell>
        </row>
        <row r="64">
          <cell r="A64" t="str">
            <v>GRMZM2G072820</v>
          </cell>
          <cell r="B64" t="str">
            <v>GO:0005634GO:0045449GO:0030528</v>
          </cell>
          <cell r="C64" t="str">
            <v>transcription factor</v>
          </cell>
          <cell r="D64" t="str">
            <v>MT0</v>
          </cell>
          <cell r="E64" t="str">
            <v>MT24</v>
          </cell>
          <cell r="F64">
            <v>18.9876</v>
          </cell>
          <cell r="G64">
            <v>8.4951000000000008</v>
          </cell>
          <cell r="H64">
            <v>-1.1603600000000001</v>
          </cell>
        </row>
        <row r="65">
          <cell r="A65" t="str">
            <v>GRMZM2G071771</v>
          </cell>
          <cell r="B65" t="str">
            <v>GO:0008289GO:0006869</v>
          </cell>
          <cell r="C65" t="str">
            <v>pvr3-like protein</v>
          </cell>
          <cell r="D65" t="str">
            <v>MT0</v>
          </cell>
          <cell r="E65" t="str">
            <v>MT24</v>
          </cell>
          <cell r="F65">
            <v>10.4535</v>
          </cell>
          <cell r="G65">
            <v>22.229900000000001</v>
          </cell>
          <cell r="H65">
            <v>1.0885199999999999</v>
          </cell>
        </row>
        <row r="66">
          <cell r="A66" t="str">
            <v>GRMZM2G050216</v>
          </cell>
          <cell r="B66" t="str">
            <v>GO:0008270GO:0005515</v>
          </cell>
          <cell r="C66" t="str">
            <v>zinc c3hc4 type family protein</v>
          </cell>
          <cell r="D66" t="str">
            <v>MT0</v>
          </cell>
          <cell r="E66" t="str">
            <v>MT24</v>
          </cell>
          <cell r="F66">
            <v>2.10982</v>
          </cell>
          <cell r="G66">
            <v>4.9287999999999998</v>
          </cell>
          <cell r="H66">
            <v>1.22411</v>
          </cell>
        </row>
        <row r="67">
          <cell r="A67" t="str">
            <v>GRMZM2G118345</v>
          </cell>
          <cell r="B67" t="str">
            <v>GO:0005737GO:0009058GO:0016841GO:0016211GO:0006559</v>
          </cell>
          <cell r="C67" t="str">
            <v>phenylalanine ammonia-lyase</v>
          </cell>
          <cell r="D67" t="str">
            <v>MT0</v>
          </cell>
          <cell r="E67" t="str">
            <v>MT24</v>
          </cell>
          <cell r="F67">
            <v>0.39105699999999999</v>
          </cell>
          <cell r="G67">
            <v>0.87256</v>
          </cell>
          <cell r="H67">
            <v>1.15787</v>
          </cell>
        </row>
        <row r="68">
          <cell r="A68" t="str">
            <v>LIP</v>
          </cell>
          <cell r="B68" t="e">
            <v>#N/A</v>
          </cell>
          <cell r="C68" t="e">
            <v>#N/A</v>
          </cell>
          <cell r="D68" t="str">
            <v>MT0</v>
          </cell>
          <cell r="E68" t="str">
            <v>MT24</v>
          </cell>
          <cell r="F68">
            <v>7.89316</v>
          </cell>
          <cell r="G68">
            <v>2.8633899999999999</v>
          </cell>
          <cell r="H68">
            <v>-1.46288</v>
          </cell>
        </row>
        <row r="69">
          <cell r="A69" t="str">
            <v>GRMZM2G119975</v>
          </cell>
          <cell r="B69" t="e">
            <v>#N/A</v>
          </cell>
          <cell r="C69" t="str">
            <v>heavy-metal-associated domain-containing protein</v>
          </cell>
          <cell r="D69" t="str">
            <v>MT0</v>
          </cell>
          <cell r="E69" t="str">
            <v>MT24</v>
          </cell>
          <cell r="F69">
            <v>5.5097300000000002</v>
          </cell>
          <cell r="G69">
            <v>15.5334</v>
          </cell>
          <cell r="H69">
            <v>1.49532</v>
          </cell>
        </row>
        <row r="70">
          <cell r="A70" t="str">
            <v>GRMZM2G157822</v>
          </cell>
          <cell r="B70" t="e">
            <v>#N/A</v>
          </cell>
          <cell r="C70" t="str">
            <v>myosin-j heavy chain-like</v>
          </cell>
          <cell r="D70" t="str">
            <v>MT0</v>
          </cell>
          <cell r="E70" t="str">
            <v>MT24</v>
          </cell>
          <cell r="F70">
            <v>5.8144799999999996</v>
          </cell>
          <cell r="G70">
            <v>2.63171</v>
          </cell>
          <cell r="H70">
            <v>-1.1436500000000001</v>
          </cell>
        </row>
        <row r="71">
          <cell r="A71" t="str">
            <v>GRMZM5G800014</v>
          </cell>
          <cell r="B71" t="e">
            <v>#N/A</v>
          </cell>
          <cell r="C71" t="str">
            <v>vamp protein sec22</v>
          </cell>
          <cell r="D71" t="str">
            <v>MT0</v>
          </cell>
          <cell r="E71" t="str">
            <v>MT24</v>
          </cell>
          <cell r="F71">
            <v>0.29505599999999998</v>
          </cell>
          <cell r="G71">
            <v>0.76588000000000001</v>
          </cell>
          <cell r="H71">
            <v>1.3761300000000001</v>
          </cell>
        </row>
        <row r="72">
          <cell r="A72" t="str">
            <v>GRMZM2G093826</v>
          </cell>
          <cell r="B72" t="str">
            <v>GO:0005247GO:0006813GO:0006821GO:0016020GO:0015079</v>
          </cell>
          <cell r="C72" t="str">
            <v>high-affinity potassium transporter</v>
          </cell>
          <cell r="D72" t="str">
            <v>MT0</v>
          </cell>
          <cell r="E72" t="str">
            <v>MT24</v>
          </cell>
          <cell r="F72">
            <v>4.5541499999999999</v>
          </cell>
          <cell r="G72">
            <v>9.6052999999999997</v>
          </cell>
          <cell r="H72">
            <v>1.0766500000000001</v>
          </cell>
        </row>
        <row r="73">
          <cell r="A73" t="str">
            <v>GRMZM2G178486</v>
          </cell>
          <cell r="B73" t="str">
            <v>GO:0008270GO:0005515</v>
          </cell>
          <cell r="C73" t="str">
            <v>protein</v>
          </cell>
          <cell r="D73" t="str">
            <v>MT0</v>
          </cell>
          <cell r="E73" t="str">
            <v>MT24</v>
          </cell>
          <cell r="F73">
            <v>1.6157300000000001</v>
          </cell>
          <cell r="G73">
            <v>3.9847000000000001</v>
          </cell>
          <cell r="H73">
            <v>1.3022899999999999</v>
          </cell>
        </row>
        <row r="74">
          <cell r="A74" t="str">
            <v>GRMZM5G871600</v>
          </cell>
          <cell r="B74" t="e">
            <v>#N/A</v>
          </cell>
          <cell r="C74" t="str">
            <v>unknown</v>
          </cell>
          <cell r="D74" t="str">
            <v>MT0</v>
          </cell>
          <cell r="E74" t="str">
            <v>MT24</v>
          </cell>
          <cell r="F74">
            <v>5.2130200000000002</v>
          </cell>
          <cell r="G74">
            <v>0</v>
          </cell>
          <cell r="H74" t="e">
            <v>#NAME?</v>
          </cell>
        </row>
        <row r="75">
          <cell r="A75" t="str">
            <v>AC235540.1_FG002</v>
          </cell>
          <cell r="B75" t="str">
            <v>GO:0004674GO:0006468GO:0005524GO:0005515GO:0004713</v>
          </cell>
          <cell r="C75" t="e">
            <v>#N/A</v>
          </cell>
          <cell r="D75" t="str">
            <v>MT0</v>
          </cell>
          <cell r="E75" t="str">
            <v>MT24</v>
          </cell>
          <cell r="F75">
            <v>0.36410500000000001</v>
          </cell>
          <cell r="G75">
            <v>0.87788500000000003</v>
          </cell>
          <cell r="H75">
            <v>1.2696799999999999</v>
          </cell>
        </row>
        <row r="76">
          <cell r="A76" t="str">
            <v>GRMZM2G330049</v>
          </cell>
          <cell r="B76" t="str">
            <v>GO:0006468GO:0005840GO:0003735GO:0004674GO:0004713GO:0006412GO:0005524GO:0007165</v>
          </cell>
          <cell r="C76" t="str">
            <v>cipk-like protein 1</v>
          </cell>
          <cell r="D76" t="str">
            <v>MT0</v>
          </cell>
          <cell r="E76" t="str">
            <v>MT24</v>
          </cell>
          <cell r="F76">
            <v>2.1268799999999999</v>
          </cell>
          <cell r="G76">
            <v>4.47722</v>
          </cell>
          <cell r="H76">
            <v>1.07386</v>
          </cell>
        </row>
        <row r="77">
          <cell r="A77" t="str">
            <v>GRMZM2G088819</v>
          </cell>
          <cell r="B77" t="str">
            <v>GO:0005509</v>
          </cell>
          <cell r="C77" t="str">
            <v>calcium-binding protein cml42</v>
          </cell>
          <cell r="D77" t="str">
            <v>MT0</v>
          </cell>
          <cell r="E77" t="str">
            <v>MT24</v>
          </cell>
          <cell r="F77">
            <v>2.0773899999999998</v>
          </cell>
          <cell r="G77">
            <v>5.7048100000000002</v>
          </cell>
          <cell r="H77">
            <v>1.4574</v>
          </cell>
        </row>
        <row r="78">
          <cell r="A78" t="str">
            <v>GRMZM2G125482</v>
          </cell>
          <cell r="B78" t="e">
            <v>#N/A</v>
          </cell>
          <cell r="C78" t="str">
            <v>elicitor-inducible cytochrome p450</v>
          </cell>
          <cell r="D78" t="str">
            <v>MT0</v>
          </cell>
          <cell r="E78" t="str">
            <v>MT24</v>
          </cell>
          <cell r="F78">
            <v>0.68375399999999997</v>
          </cell>
          <cell r="G78">
            <v>3.1591999999999998</v>
          </cell>
          <cell r="H78">
            <v>2.2080099999999998</v>
          </cell>
        </row>
        <row r="79">
          <cell r="A79" t="str">
            <v>GRMZM2G053833</v>
          </cell>
          <cell r="B79" t="str">
            <v>GO:0005509</v>
          </cell>
          <cell r="C79" t="str">
            <v>ef hand family protein</v>
          </cell>
          <cell r="D79" t="str">
            <v>MT0</v>
          </cell>
          <cell r="E79" t="str">
            <v>MT24</v>
          </cell>
          <cell r="F79">
            <v>0.46696199999999999</v>
          </cell>
          <cell r="G79">
            <v>1.53332</v>
          </cell>
          <cell r="H79">
            <v>1.7152799999999999</v>
          </cell>
        </row>
        <row r="80">
          <cell r="A80" t="str">
            <v>GRMZM2G099765</v>
          </cell>
          <cell r="B80" t="str">
            <v>GO:0006508GO:0004197</v>
          </cell>
          <cell r="C80" t="str">
            <v>cysteine proteinase</v>
          </cell>
          <cell r="D80" t="str">
            <v>MT0</v>
          </cell>
          <cell r="E80" t="str">
            <v>MT24</v>
          </cell>
          <cell r="F80">
            <v>3.49817</v>
          </cell>
          <cell r="G80">
            <v>1.3207899999999999</v>
          </cell>
          <cell r="H80">
            <v>-1.4052</v>
          </cell>
        </row>
        <row r="81">
          <cell r="A81" t="str">
            <v>GRMZM2G444560</v>
          </cell>
          <cell r="B81" t="str">
            <v>GO:0017111GO:0005524</v>
          </cell>
          <cell r="C81" t="str">
            <v>aaa-type atpase-like</v>
          </cell>
          <cell r="D81" t="str">
            <v>MT0</v>
          </cell>
          <cell r="E81" t="str">
            <v>MT24</v>
          </cell>
          <cell r="F81">
            <v>0.46317900000000001</v>
          </cell>
          <cell r="G81">
            <v>1.3702300000000001</v>
          </cell>
          <cell r="H81">
            <v>1.5647800000000001</v>
          </cell>
        </row>
        <row r="82">
          <cell r="A82" t="str">
            <v>GRMZM2G355752</v>
          </cell>
          <cell r="B82" t="str">
            <v>GO:0016020GO:0009765</v>
          </cell>
          <cell r="C82" t="str">
            <v>early light-induced protein</v>
          </cell>
          <cell r="D82" t="str">
            <v>MT0</v>
          </cell>
          <cell r="E82" t="str">
            <v>MT24</v>
          </cell>
          <cell r="F82">
            <v>3.0793900000000001</v>
          </cell>
          <cell r="G82">
            <v>11.6633</v>
          </cell>
          <cell r="H82">
            <v>1.92126</v>
          </cell>
        </row>
        <row r="83">
          <cell r="A83" t="str">
            <v>GRMZM2G082032</v>
          </cell>
          <cell r="B83" t="str">
            <v>GO:0016787</v>
          </cell>
          <cell r="C83" t="str">
            <v>l-asparaginase</v>
          </cell>
          <cell r="D83" t="str">
            <v>MT0</v>
          </cell>
          <cell r="E83" t="str">
            <v>MT24</v>
          </cell>
          <cell r="F83">
            <v>2.2638600000000002</v>
          </cell>
          <cell r="G83">
            <v>5.1645300000000001</v>
          </cell>
          <cell r="H83">
            <v>1.1898500000000001</v>
          </cell>
        </row>
        <row r="84">
          <cell r="A84" t="str">
            <v>GRMZM2G115705</v>
          </cell>
          <cell r="B84" t="str">
            <v>GO:0006468GO:0004674GO:0005529GO:0004713GO:0005524GO:0048544</v>
          </cell>
          <cell r="C84" t="str">
            <v>receptor-like serine threonine-protein kinase sd1-8-like</v>
          </cell>
          <cell r="D84" t="str">
            <v>MT0</v>
          </cell>
          <cell r="E84" t="str">
            <v>MT24</v>
          </cell>
          <cell r="F84">
            <v>0.44609300000000002</v>
          </cell>
          <cell r="G84">
            <v>0.95333000000000001</v>
          </cell>
          <cell r="H84">
            <v>1.0956300000000001</v>
          </cell>
        </row>
        <row r="85">
          <cell r="A85" t="str">
            <v>GRMZM2G114861</v>
          </cell>
          <cell r="B85" t="str">
            <v>GO:0007018GO:0003777GO:0005524GO:0005875</v>
          </cell>
          <cell r="C85" t="str">
            <v>kinesin 5</v>
          </cell>
          <cell r="D85" t="str">
            <v>MT0</v>
          </cell>
          <cell r="E85" t="str">
            <v>MT24</v>
          </cell>
          <cell r="F85">
            <v>1.1326400000000001</v>
          </cell>
          <cell r="G85">
            <v>2.2907000000000002</v>
          </cell>
          <cell r="H85">
            <v>1.0160899999999999</v>
          </cell>
        </row>
        <row r="86">
          <cell r="A86" t="str">
            <v>GRMZM2G122618</v>
          </cell>
          <cell r="B86" t="str">
            <v>GO:0009405GO:0009289</v>
          </cell>
          <cell r="C86" t="str">
            <v>uncharacterized membrane protein at1g06890-like</v>
          </cell>
          <cell r="D86" t="str">
            <v>MT0</v>
          </cell>
          <cell r="E86" t="str">
            <v>MT24</v>
          </cell>
          <cell r="F86">
            <v>0.690662</v>
          </cell>
          <cell r="G86">
            <v>1.6727700000000001</v>
          </cell>
          <cell r="H86">
            <v>1.2761899999999999</v>
          </cell>
        </row>
        <row r="87">
          <cell r="A87" t="str">
            <v>GRMZM2G081053</v>
          </cell>
          <cell r="B87" t="e">
            <v>#N/A</v>
          </cell>
          <cell r="C87" t="str">
            <v>ankyrin repeat domain-containing protein</v>
          </cell>
          <cell r="D87" t="str">
            <v>MT0</v>
          </cell>
          <cell r="E87" t="str">
            <v>MT24</v>
          </cell>
          <cell r="F87">
            <v>2.06094</v>
          </cell>
          <cell r="G87">
            <v>1.00735</v>
          </cell>
          <cell r="H87">
            <v>-1.0327299999999999</v>
          </cell>
        </row>
        <row r="88">
          <cell r="A88" t="str">
            <v>GRMZM2G126062</v>
          </cell>
          <cell r="B88" t="str">
            <v>GO:0055114GO:0016491</v>
          </cell>
          <cell r="C88" t="str">
            <v>aldose reductase</v>
          </cell>
          <cell r="D88" t="str">
            <v>MT0</v>
          </cell>
          <cell r="E88" t="str">
            <v>MT24</v>
          </cell>
          <cell r="F88">
            <v>0.81349899999999997</v>
          </cell>
          <cell r="G88">
            <v>2.2177099999999998</v>
          </cell>
          <cell r="H88">
            <v>1.44686</v>
          </cell>
        </row>
        <row r="89">
          <cell r="A89" t="str">
            <v>GRMZM2G157869</v>
          </cell>
          <cell r="B89" t="e">
            <v>#N/A</v>
          </cell>
          <cell r="C89" t="str">
            <v>hypersensitive-induced response protein</v>
          </cell>
          <cell r="D89" t="str">
            <v>MT0</v>
          </cell>
          <cell r="E89" t="str">
            <v>MT24</v>
          </cell>
          <cell r="F89">
            <v>8.1935099999999998</v>
          </cell>
          <cell r="G89">
            <v>3.8448000000000002</v>
          </cell>
          <cell r="H89">
            <v>-1.0915699999999999</v>
          </cell>
        </row>
        <row r="90">
          <cell r="A90" t="str">
            <v>GRMZM2G167613</v>
          </cell>
          <cell r="B90" t="str">
            <v>GO:0008270GO:0055114GO:0016491</v>
          </cell>
          <cell r="C90" t="str">
            <v>cinnamyl alcohol dehydrogenase-like protein</v>
          </cell>
          <cell r="D90" t="str">
            <v>MT0</v>
          </cell>
          <cell r="E90" t="str">
            <v>MT24</v>
          </cell>
          <cell r="F90">
            <v>1.31606</v>
          </cell>
          <cell r="G90">
            <v>6.6692499999999999</v>
          </cell>
          <cell r="H90">
            <v>2.3412999999999999</v>
          </cell>
        </row>
        <row r="91">
          <cell r="A91" t="str">
            <v>GRMZM2G318156</v>
          </cell>
          <cell r="B91" t="e">
            <v>#N/A</v>
          </cell>
          <cell r="C91">
            <v>0</v>
          </cell>
          <cell r="D91" t="str">
            <v>MT0</v>
          </cell>
          <cell r="E91" t="str">
            <v>MT24</v>
          </cell>
          <cell r="F91">
            <v>2.0111500000000002</v>
          </cell>
          <cell r="G91">
            <v>0.94283300000000003</v>
          </cell>
          <cell r="H91">
            <v>-1.0929500000000001</v>
          </cell>
        </row>
        <row r="92">
          <cell r="A92" t="str">
            <v>GRMZM2G153675</v>
          </cell>
          <cell r="B92" t="str">
            <v>GO:0003824</v>
          </cell>
          <cell r="C92" t="str">
            <v>protein phosphatase expressed</v>
          </cell>
          <cell r="D92" t="str">
            <v>MT0</v>
          </cell>
          <cell r="E92" t="str">
            <v>MT24</v>
          </cell>
          <cell r="F92">
            <v>1.28501</v>
          </cell>
          <cell r="G92">
            <v>0.57482800000000001</v>
          </cell>
          <cell r="H92">
            <v>-1.1605799999999999</v>
          </cell>
        </row>
        <row r="93">
          <cell r="A93" t="str">
            <v>GRMZM2G125850</v>
          </cell>
          <cell r="B93" t="str">
            <v>GO:0005215GO:0016021GO:0006810GO:0050825GO:0042309GO:0050826</v>
          </cell>
          <cell r="C93" t="str">
            <v>glucose-6-phosphate translocator</v>
          </cell>
          <cell r="D93" t="str">
            <v>MT0</v>
          </cell>
          <cell r="E93" t="str">
            <v>MT24</v>
          </cell>
          <cell r="F93">
            <v>1.15072</v>
          </cell>
          <cell r="G93">
            <v>3.05165</v>
          </cell>
          <cell r="H93">
            <v>1.4070499999999999</v>
          </cell>
        </row>
        <row r="94">
          <cell r="A94" t="str">
            <v>GRMZM2G087625</v>
          </cell>
          <cell r="B94" t="str">
            <v>GO:0004674GO:0006468GO:0004713GO:0005524</v>
          </cell>
          <cell r="C94" t="str">
            <v>serine threonine-specific protein kinase</v>
          </cell>
          <cell r="D94" t="str">
            <v>MT0</v>
          </cell>
          <cell r="E94" t="str">
            <v>MT24</v>
          </cell>
          <cell r="F94">
            <v>0.23902599999999999</v>
          </cell>
          <cell r="G94">
            <v>0.90870200000000001</v>
          </cell>
          <cell r="H94">
            <v>1.9266399999999999</v>
          </cell>
        </row>
        <row r="95">
          <cell r="A95" t="str">
            <v>GRMZM2G007324</v>
          </cell>
          <cell r="B95" t="e">
            <v>#N/A</v>
          </cell>
          <cell r="C95" t="str">
            <v>at3g19540 t31j18_4</v>
          </cell>
          <cell r="D95" t="str">
            <v>MT0</v>
          </cell>
          <cell r="E95" t="str">
            <v>MT24</v>
          </cell>
          <cell r="F95">
            <v>1.4238599999999999</v>
          </cell>
          <cell r="G95">
            <v>0.52838200000000002</v>
          </cell>
          <cell r="H95">
            <v>-1.4301600000000001</v>
          </cell>
        </row>
        <row r="96">
          <cell r="A96" t="str">
            <v>GRMZM2G139284</v>
          </cell>
          <cell r="B96" t="str">
            <v>GO:0003677</v>
          </cell>
          <cell r="C96" t="str">
            <v>myb transcription factor</v>
          </cell>
          <cell r="D96" t="str">
            <v>MT0</v>
          </cell>
          <cell r="E96" t="str">
            <v>MT24</v>
          </cell>
          <cell r="F96">
            <v>0.442056</v>
          </cell>
          <cell r="G96">
            <v>1.2786</v>
          </cell>
          <cell r="H96">
            <v>1.53226</v>
          </cell>
        </row>
        <row r="97">
          <cell r="A97" t="str">
            <v>GRMZM2G056329</v>
          </cell>
          <cell r="B97" t="str">
            <v>GO:0005524</v>
          </cell>
          <cell r="C97" t="str">
            <v>csplb_sorbi ame: full=casp-like protein sb05g019440</v>
          </cell>
          <cell r="D97" t="str">
            <v>MT0</v>
          </cell>
          <cell r="E97" t="str">
            <v>MT24</v>
          </cell>
          <cell r="F97">
            <v>5.0748800000000003</v>
          </cell>
          <cell r="G97">
            <v>12.413</v>
          </cell>
          <cell r="H97">
            <v>1.2904100000000001</v>
          </cell>
        </row>
        <row r="98">
          <cell r="A98" t="str">
            <v>GRMZM2G160515</v>
          </cell>
          <cell r="B98" t="e">
            <v>#N/A</v>
          </cell>
          <cell r="C98">
            <v>0</v>
          </cell>
          <cell r="D98" t="str">
            <v>MT0</v>
          </cell>
          <cell r="E98" t="str">
            <v>MT24</v>
          </cell>
          <cell r="F98">
            <v>0.92873600000000001</v>
          </cell>
          <cell r="G98">
            <v>3.4667400000000002</v>
          </cell>
          <cell r="H98">
            <v>1.9002399999999999</v>
          </cell>
        </row>
        <row r="99">
          <cell r="A99" t="str">
            <v>GRMZM2G099678</v>
          </cell>
          <cell r="B99" t="e">
            <v>#N/A</v>
          </cell>
          <cell r="C99" t="str">
            <v>bark storage protein a-like</v>
          </cell>
          <cell r="D99" t="str">
            <v>MT0</v>
          </cell>
          <cell r="E99" t="str">
            <v>MT24</v>
          </cell>
          <cell r="F99">
            <v>12.914999999999999</v>
          </cell>
          <cell r="G99">
            <v>30.642399999999999</v>
          </cell>
          <cell r="H99">
            <v>1.2464900000000001</v>
          </cell>
        </row>
        <row r="100">
          <cell r="A100" t="str">
            <v>GRMZM2G140032</v>
          </cell>
          <cell r="B100" t="str">
            <v>GO:0004969GO:0016021GO:0007186</v>
          </cell>
          <cell r="C100" t="str">
            <v>uncharacterized protein LOC100383606</v>
          </cell>
          <cell r="D100" t="str">
            <v>MT0</v>
          </cell>
          <cell r="E100" t="str">
            <v>MT24</v>
          </cell>
          <cell r="F100">
            <v>8.7213799999999999</v>
          </cell>
          <cell r="G100">
            <v>2.5461100000000001</v>
          </cell>
          <cell r="H100">
            <v>-1.77626</v>
          </cell>
        </row>
        <row r="101">
          <cell r="A101" t="str">
            <v>GRMZM2G108847</v>
          </cell>
          <cell r="B101" t="str">
            <v>GO:0004867</v>
          </cell>
          <cell r="C101" t="str">
            <v>serine-type endopeptidase inhibitor</v>
          </cell>
          <cell r="D101" t="str">
            <v>MT0</v>
          </cell>
          <cell r="E101" t="str">
            <v>MT24</v>
          </cell>
          <cell r="F101">
            <v>0</v>
          </cell>
          <cell r="G101">
            <v>2.09213</v>
          </cell>
          <cell r="H101" t="str">
            <v>inf</v>
          </cell>
        </row>
        <row r="102">
          <cell r="A102" t="str">
            <v>GRMZM2G454056</v>
          </cell>
          <cell r="B102" t="e">
            <v>#N/A</v>
          </cell>
          <cell r="C102" t="str">
            <v>uncharacterized protein LOC100274968</v>
          </cell>
          <cell r="D102" t="str">
            <v>MT0</v>
          </cell>
          <cell r="E102" t="str">
            <v>MT24</v>
          </cell>
          <cell r="F102">
            <v>0.82890799999999998</v>
          </cell>
          <cell r="G102">
            <v>2.78525</v>
          </cell>
          <cell r="H102">
            <v>1.7485200000000001</v>
          </cell>
        </row>
        <row r="103">
          <cell r="A103" t="str">
            <v>GRMZM2G001426</v>
          </cell>
          <cell r="B103" t="e">
            <v>#N/A</v>
          </cell>
          <cell r="C103" t="str">
            <v>della protein</v>
          </cell>
          <cell r="D103" t="str">
            <v>MT0</v>
          </cell>
          <cell r="E103" t="str">
            <v>MT24</v>
          </cell>
          <cell r="F103">
            <v>0.30208800000000002</v>
          </cell>
          <cell r="G103">
            <v>0.82847899999999997</v>
          </cell>
          <cell r="H103">
            <v>1.4555</v>
          </cell>
        </row>
        <row r="104">
          <cell r="A104" t="str">
            <v>GRMZM2G701596</v>
          </cell>
          <cell r="B104" t="e">
            <v>#N/A</v>
          </cell>
          <cell r="C104">
            <v>0</v>
          </cell>
          <cell r="D104" t="str">
            <v>MT0</v>
          </cell>
          <cell r="E104" t="str">
            <v>MT24</v>
          </cell>
          <cell r="F104">
            <v>5.7427900000000003</v>
          </cell>
          <cell r="G104">
            <v>16.7669</v>
          </cell>
          <cell r="H104">
            <v>1.5458000000000001</v>
          </cell>
        </row>
        <row r="105">
          <cell r="A105" t="str">
            <v>GRMZM2G065585</v>
          </cell>
          <cell r="B105" t="str">
            <v>GO:0016020GO:0005975GO:0004553</v>
          </cell>
          <cell r="C105" t="str">
            <v>beta glucanase</v>
          </cell>
          <cell r="D105" t="str">
            <v>MT0</v>
          </cell>
          <cell r="E105" t="str">
            <v>MT24</v>
          </cell>
          <cell r="F105">
            <v>4.2021199999999999</v>
          </cell>
          <cell r="G105">
            <v>26.6938</v>
          </cell>
          <cell r="H105">
            <v>2.6673200000000001</v>
          </cell>
        </row>
        <row r="106">
          <cell r="A106" t="str">
            <v>GRMZM2G145374</v>
          </cell>
          <cell r="B106" t="str">
            <v>GO:0008270GO:0005515</v>
          </cell>
          <cell r="C106" t="str">
            <v>ring u-box domain-containing protein</v>
          </cell>
          <cell r="D106" t="str">
            <v>MT0</v>
          </cell>
          <cell r="E106" t="str">
            <v>MT24</v>
          </cell>
          <cell r="F106">
            <v>0.52661899999999995</v>
          </cell>
          <cell r="G106">
            <v>1.05491</v>
          </cell>
          <cell r="H106">
            <v>1.0022800000000001</v>
          </cell>
        </row>
        <row r="107">
          <cell r="A107" t="str">
            <v>GRMZM2G072808</v>
          </cell>
          <cell r="B107" t="str">
            <v>GO:0048046GO:0005507GO:0046274GO:0008471GO:0055114</v>
          </cell>
          <cell r="C107" t="str">
            <v>l-ascorbate oxidase precursor</v>
          </cell>
          <cell r="D107" t="str">
            <v>MT0</v>
          </cell>
          <cell r="E107" t="str">
            <v>MT24</v>
          </cell>
          <cell r="F107">
            <v>2.1719300000000001</v>
          </cell>
          <cell r="G107">
            <v>5.9208299999999996</v>
          </cell>
          <cell r="H107">
            <v>1.44682</v>
          </cell>
        </row>
        <row r="108">
          <cell r="A108" t="str">
            <v>GRMZM2G023279</v>
          </cell>
          <cell r="B108" t="e">
            <v>#N/A</v>
          </cell>
          <cell r="C108" t="str">
            <v>atp binding</v>
          </cell>
          <cell r="D108" t="str">
            <v>MT0</v>
          </cell>
          <cell r="E108" t="str">
            <v>MT24</v>
          </cell>
          <cell r="F108">
            <v>0.36928899999999998</v>
          </cell>
          <cell r="G108">
            <v>0.94648299999999996</v>
          </cell>
          <cell r="H108">
            <v>1.3578300000000001</v>
          </cell>
        </row>
        <row r="109">
          <cell r="A109" t="str">
            <v>GRMZM2G091540</v>
          </cell>
          <cell r="B109" t="str">
            <v>GO:0006508GO:0046983GO:0016020GO:0051260GO:0008237</v>
          </cell>
          <cell r="C109" t="str">
            <v>iaa-amino acid hydrolase ilr1-like 4 precursor</v>
          </cell>
          <cell r="D109" t="str">
            <v>MT0</v>
          </cell>
          <cell r="E109" t="str">
            <v>MT24</v>
          </cell>
          <cell r="F109">
            <v>0.24396300000000001</v>
          </cell>
          <cell r="G109">
            <v>0.99698699999999996</v>
          </cell>
          <cell r="H109">
            <v>2.03091</v>
          </cell>
        </row>
        <row r="110">
          <cell r="A110" t="str">
            <v>GRMZM2G121753</v>
          </cell>
          <cell r="B110" t="str">
            <v>GO:0003677</v>
          </cell>
          <cell r="C110" t="str">
            <v>sant myb protein</v>
          </cell>
          <cell r="D110" t="str">
            <v>MT0</v>
          </cell>
          <cell r="E110" t="str">
            <v>MT24</v>
          </cell>
          <cell r="F110">
            <v>3.6671900000000002</v>
          </cell>
          <cell r="G110">
            <v>1.09918</v>
          </cell>
          <cell r="H110">
            <v>-1.7382500000000001</v>
          </cell>
        </row>
        <row r="111">
          <cell r="A111" t="str">
            <v>GRMZM2G125571</v>
          </cell>
          <cell r="B111" t="e">
            <v>#N/A</v>
          </cell>
          <cell r="C111" t="str">
            <v>l-type lectin-domain containing receptor kinase -like</v>
          </cell>
          <cell r="D111" t="str">
            <v>MT0</v>
          </cell>
          <cell r="E111" t="str">
            <v>MT24</v>
          </cell>
          <cell r="F111">
            <v>2.0567600000000001</v>
          </cell>
          <cell r="G111">
            <v>4.3145899999999999</v>
          </cell>
          <cell r="H111">
            <v>1.0688500000000001</v>
          </cell>
        </row>
        <row r="112">
          <cell r="A112" t="str">
            <v>GRMZM2G034985</v>
          </cell>
          <cell r="B112" t="e">
            <v>#N/A</v>
          </cell>
          <cell r="C112" t="str">
            <v>unknown</v>
          </cell>
          <cell r="D112" t="str">
            <v>MT0</v>
          </cell>
          <cell r="E112" t="str">
            <v>MT24</v>
          </cell>
          <cell r="F112">
            <v>28.128</v>
          </cell>
          <cell r="G112">
            <v>13.6874</v>
          </cell>
          <cell r="H112">
            <v>-1.0391600000000001</v>
          </cell>
        </row>
        <row r="113">
          <cell r="A113" t="str">
            <v>GRMZM2G071307</v>
          </cell>
          <cell r="B113" t="e">
            <v>#N/A</v>
          </cell>
          <cell r="C113" t="str">
            <v>uncharacterized protein LOC100383884</v>
          </cell>
          <cell r="D113" t="str">
            <v>MT0</v>
          </cell>
          <cell r="E113" t="str">
            <v>MT24</v>
          </cell>
          <cell r="F113">
            <v>1.31385</v>
          </cell>
          <cell r="G113">
            <v>0.63932800000000001</v>
          </cell>
          <cell r="H113">
            <v>-1.0391699999999999</v>
          </cell>
        </row>
        <row r="114">
          <cell r="A114" t="str">
            <v>GRMZM2G308619</v>
          </cell>
          <cell r="B114" t="str">
            <v>GO:0004674GO:0006468GO:0004713GO:0005524</v>
          </cell>
          <cell r="C114" t="str">
            <v>protein kinase g11a-like</v>
          </cell>
          <cell r="D114" t="str">
            <v>MT0</v>
          </cell>
          <cell r="E114" t="str">
            <v>MT24</v>
          </cell>
          <cell r="F114">
            <v>3.1097199999999998</v>
          </cell>
          <cell r="G114">
            <v>1.26311</v>
          </cell>
          <cell r="H114">
            <v>-1.2998099999999999</v>
          </cell>
        </row>
        <row r="115">
          <cell r="A115" t="str">
            <v>GRMZM2G169951</v>
          </cell>
          <cell r="B115" t="str">
            <v>GO:0016021</v>
          </cell>
          <cell r="C115" t="str">
            <v>s-type anion channel slah3-like</v>
          </cell>
          <cell r="D115" t="str">
            <v>MT0</v>
          </cell>
          <cell r="E115" t="str">
            <v>MT24</v>
          </cell>
          <cell r="F115">
            <v>0.63944900000000005</v>
          </cell>
          <cell r="G115">
            <v>1.3946000000000001</v>
          </cell>
          <cell r="H115">
            <v>1.1249499999999999</v>
          </cell>
        </row>
        <row r="116">
          <cell r="A116" t="str">
            <v>GRMZM2G126749</v>
          </cell>
          <cell r="B116" t="e">
            <v>#N/A</v>
          </cell>
          <cell r="C116" t="str">
            <v>hypothetical protein SORBIDRAFT_03g007000</v>
          </cell>
          <cell r="D116" t="str">
            <v>MT0</v>
          </cell>
          <cell r="E116" t="str">
            <v>MT24</v>
          </cell>
          <cell r="F116">
            <v>1.2925</v>
          </cell>
          <cell r="G116">
            <v>3.03607</v>
          </cell>
          <cell r="H116">
            <v>1.23204</v>
          </cell>
        </row>
        <row r="117">
          <cell r="A117" t="str">
            <v>GRMZM2G178875</v>
          </cell>
          <cell r="B117" t="e">
            <v>#N/A</v>
          </cell>
          <cell r="C117" t="str">
            <v>pathogen-related protein</v>
          </cell>
          <cell r="D117" t="str">
            <v>MT0</v>
          </cell>
          <cell r="E117" t="str">
            <v>MT24</v>
          </cell>
          <cell r="F117">
            <v>3.9996200000000002</v>
          </cell>
          <cell r="G117">
            <v>8.1065900000000006</v>
          </cell>
          <cell r="H117">
            <v>1.0192300000000001</v>
          </cell>
        </row>
        <row r="118">
          <cell r="A118" t="str">
            <v>GRMZM2G065088</v>
          </cell>
          <cell r="B118" t="str">
            <v>GO:0048046GO:0030145GO:0045735</v>
          </cell>
          <cell r="C118" t="str">
            <v>rhicadhesin receptor precursor</v>
          </cell>
          <cell r="D118" t="str">
            <v>MT0</v>
          </cell>
          <cell r="E118" t="str">
            <v>MT24</v>
          </cell>
          <cell r="F118">
            <v>0.29669000000000001</v>
          </cell>
          <cell r="G118">
            <v>1.24089</v>
          </cell>
          <cell r="H118">
            <v>2.0643500000000001</v>
          </cell>
        </row>
        <row r="119">
          <cell r="A119" t="str">
            <v>GRMZM2G082199</v>
          </cell>
          <cell r="B119" t="e">
            <v>#N/A</v>
          </cell>
          <cell r="C119" t="str">
            <v>calcium-dependent lipid-binding domain-containing protein</v>
          </cell>
          <cell r="D119" t="str">
            <v>MT0</v>
          </cell>
          <cell r="E119" t="str">
            <v>MT24</v>
          </cell>
          <cell r="F119">
            <v>5.15184</v>
          </cell>
          <cell r="G119">
            <v>11.2088</v>
          </cell>
          <cell r="H119">
            <v>1.12148</v>
          </cell>
        </row>
        <row r="120">
          <cell r="A120" t="str">
            <v>GRMZM2G092474</v>
          </cell>
          <cell r="B120" t="e">
            <v>#N/A</v>
          </cell>
          <cell r="C120" t="str">
            <v>p21 expressed</v>
          </cell>
          <cell r="D120" t="str">
            <v>MT0</v>
          </cell>
          <cell r="E120" t="str">
            <v>MT24</v>
          </cell>
          <cell r="F120">
            <v>1.4330700000000001</v>
          </cell>
          <cell r="G120">
            <v>3.1677399999999998</v>
          </cell>
          <cell r="H120">
            <v>1.14435</v>
          </cell>
        </row>
        <row r="121">
          <cell r="A121" t="str">
            <v>GRMZM2G078210</v>
          </cell>
          <cell r="B121" t="e">
            <v>#N/A</v>
          </cell>
          <cell r="C121" t="str">
            <v>protein</v>
          </cell>
          <cell r="D121" t="str">
            <v>MT0</v>
          </cell>
          <cell r="E121" t="str">
            <v>MT24</v>
          </cell>
          <cell r="F121">
            <v>1.4514800000000001</v>
          </cell>
          <cell r="G121">
            <v>0.69157599999999997</v>
          </cell>
          <cell r="H121">
            <v>-1.0695699999999999</v>
          </cell>
        </row>
        <row r="122">
          <cell r="A122" t="str">
            <v>GRMZM2G468111</v>
          </cell>
          <cell r="B122" t="e">
            <v>#N/A</v>
          </cell>
          <cell r="C122" t="str">
            <v>uncharacterized protein LOC100277849</v>
          </cell>
          <cell r="D122" t="str">
            <v>MT0</v>
          </cell>
          <cell r="E122" t="str">
            <v>MT24</v>
          </cell>
          <cell r="F122">
            <v>1.70723</v>
          </cell>
          <cell r="G122">
            <v>9.9009099999999997</v>
          </cell>
          <cell r="H122">
            <v>2.5358999999999998</v>
          </cell>
        </row>
        <row r="123">
          <cell r="A123" t="str">
            <v>GRMZM2G131099</v>
          </cell>
          <cell r="B123" t="e">
            <v>#N/A</v>
          </cell>
          <cell r="C123" t="str">
            <v>uncharacterized protein LOC100275282</v>
          </cell>
          <cell r="D123" t="str">
            <v>MT0</v>
          </cell>
          <cell r="E123" t="str">
            <v>MT24</v>
          </cell>
          <cell r="F123">
            <v>4.2759799999999997</v>
          </cell>
          <cell r="G123">
            <v>10.8805</v>
          </cell>
          <cell r="H123">
            <v>1.34741</v>
          </cell>
        </row>
        <row r="124">
          <cell r="A124" t="str">
            <v>GRMZM2G453805</v>
          </cell>
          <cell r="B124" t="str">
            <v>GO:0004568GO:0006032</v>
          </cell>
          <cell r="C124" t="str">
            <v>class iii chitinase</v>
          </cell>
          <cell r="D124" t="str">
            <v>MT0</v>
          </cell>
          <cell r="E124" t="str">
            <v>MT24</v>
          </cell>
          <cell r="F124">
            <v>18.654299999999999</v>
          </cell>
          <cell r="G124">
            <v>62.256500000000003</v>
          </cell>
          <cell r="H124">
            <v>1.73872</v>
          </cell>
        </row>
        <row r="125">
          <cell r="A125" t="str">
            <v>GRMZM2G147752</v>
          </cell>
          <cell r="B125" t="str">
            <v>GO:0004497GO:0020037GO:0009055</v>
          </cell>
          <cell r="C125" t="str">
            <v>secologanin synthase-like</v>
          </cell>
          <cell r="D125" t="str">
            <v>MT0</v>
          </cell>
          <cell r="E125" t="str">
            <v>MT24</v>
          </cell>
          <cell r="F125">
            <v>1.5641799999999999</v>
          </cell>
          <cell r="G125">
            <v>7.4547699999999999</v>
          </cell>
          <cell r="H125">
            <v>2.2527499999999998</v>
          </cell>
        </row>
        <row r="126">
          <cell r="A126" t="str">
            <v>GRMZM2G006480</v>
          </cell>
          <cell r="B126" t="str">
            <v>GO:0008483GO:0009058GO:0006520GO:0016847GO:0030170</v>
          </cell>
          <cell r="C126" t="str">
            <v>tyrosine nicotianamine aminotransferases family expressed</v>
          </cell>
          <cell r="D126" t="str">
            <v>MT0</v>
          </cell>
          <cell r="E126" t="str">
            <v>MT24</v>
          </cell>
          <cell r="F126">
            <v>5.89053</v>
          </cell>
          <cell r="G126">
            <v>2.37601</v>
          </cell>
          <cell r="H126">
            <v>-1.30986</v>
          </cell>
        </row>
        <row r="127">
          <cell r="A127" t="str">
            <v>GRMZM2G039630</v>
          </cell>
          <cell r="B127" t="e">
            <v>#N/A</v>
          </cell>
          <cell r="C127" t="str">
            <v>membrane protein</v>
          </cell>
          <cell r="D127" t="str">
            <v>MT0</v>
          </cell>
          <cell r="E127" t="str">
            <v>MT24</v>
          </cell>
          <cell r="F127">
            <v>1.0430699999999999</v>
          </cell>
          <cell r="G127">
            <v>2.44598</v>
          </cell>
          <cell r="H127">
            <v>1.2295799999999999</v>
          </cell>
        </row>
        <row r="128">
          <cell r="A128" t="str">
            <v>GRMZM2G081173</v>
          </cell>
          <cell r="B128" t="str">
            <v>GO:0022891GO:0016021GO:0050825GO:0042309GO:0050826GO:0055085</v>
          </cell>
          <cell r="C128" t="str">
            <v>sugar transporter family expressed</v>
          </cell>
          <cell r="D128" t="str">
            <v>MT0</v>
          </cell>
          <cell r="E128" t="str">
            <v>MT24</v>
          </cell>
          <cell r="F128">
            <v>0.38133099999999998</v>
          </cell>
          <cell r="G128">
            <v>0.94569700000000001</v>
          </cell>
          <cell r="H128">
            <v>1.31033</v>
          </cell>
        </row>
        <row r="129">
          <cell r="A129" t="str">
            <v>GRMZM2G154523</v>
          </cell>
          <cell r="B129" t="str">
            <v>GO:0006629</v>
          </cell>
          <cell r="C129" t="str">
            <v>patatin t5 precursor</v>
          </cell>
          <cell r="D129" t="str">
            <v>MT0</v>
          </cell>
          <cell r="E129" t="str">
            <v>MT24</v>
          </cell>
          <cell r="F129">
            <v>0.31321900000000003</v>
          </cell>
          <cell r="G129">
            <v>1.2757099999999999</v>
          </cell>
          <cell r="H129">
            <v>2.0260600000000002</v>
          </cell>
        </row>
        <row r="130">
          <cell r="A130" t="str">
            <v>GRMZM2G133781</v>
          </cell>
          <cell r="B130" t="str">
            <v>GO:0005975GO:0004553</v>
          </cell>
          <cell r="C130" t="str">
            <v>xylanase inhibitor protein 2 expressed</v>
          </cell>
          <cell r="D130" t="str">
            <v>MT0</v>
          </cell>
          <cell r="E130" t="str">
            <v>MT24</v>
          </cell>
          <cell r="F130">
            <v>0.78532199999999996</v>
          </cell>
          <cell r="G130">
            <v>0.31211699999999998</v>
          </cell>
          <cell r="H130">
            <v>-1.3311999999999999</v>
          </cell>
        </row>
        <row r="131">
          <cell r="A131" t="str">
            <v>GRMZM2G117942</v>
          </cell>
          <cell r="B131" t="str">
            <v>GO:0050832GO:0042742</v>
          </cell>
          <cell r="C131" t="str">
            <v>pathogenesis-related protein 4</v>
          </cell>
          <cell r="D131" t="str">
            <v>MT0</v>
          </cell>
          <cell r="E131" t="str">
            <v>MT24</v>
          </cell>
          <cell r="F131">
            <v>13.4184</v>
          </cell>
          <cell r="G131">
            <v>43.1081</v>
          </cell>
          <cell r="H131">
            <v>1.68374</v>
          </cell>
        </row>
        <row r="132">
          <cell r="A132" t="str">
            <v>GRMZM2G358153</v>
          </cell>
          <cell r="B132" t="str">
            <v>GO:0004568GO:0006032</v>
          </cell>
          <cell r="C132" t="str">
            <v>chitinase 1</v>
          </cell>
          <cell r="D132" t="str">
            <v>MT0</v>
          </cell>
          <cell r="E132" t="str">
            <v>MT24</v>
          </cell>
          <cell r="F132">
            <v>4.3198600000000003</v>
          </cell>
          <cell r="G132">
            <v>12.6433</v>
          </cell>
          <cell r="H132">
            <v>1.54931</v>
          </cell>
        </row>
        <row r="133">
          <cell r="A133" t="str">
            <v>GRMZM2G061230</v>
          </cell>
          <cell r="B133" t="str">
            <v>GO:0005179GO:0020037GO:0006979GO:0005576GO:0004601GO:0009055</v>
          </cell>
          <cell r="C133" t="str">
            <v>peroxidase</v>
          </cell>
          <cell r="D133" t="str">
            <v>MT0</v>
          </cell>
          <cell r="E133" t="str">
            <v>MT24</v>
          </cell>
          <cell r="F133">
            <v>4.5105899999999997</v>
          </cell>
          <cell r="G133">
            <v>2.0955300000000001</v>
          </cell>
          <cell r="H133">
            <v>-1.1060000000000001</v>
          </cell>
        </row>
        <row r="134">
          <cell r="A134" t="str">
            <v>GRMZM2G025109</v>
          </cell>
          <cell r="B134" t="str">
            <v>GO:0008270</v>
          </cell>
          <cell r="C134" t="str">
            <v>protein binding</v>
          </cell>
          <cell r="D134" t="str">
            <v>MT0</v>
          </cell>
          <cell r="E134" t="str">
            <v>MT24</v>
          </cell>
          <cell r="F134">
            <v>1.7181999999999999</v>
          </cell>
          <cell r="G134">
            <v>4.0351499999999998</v>
          </cell>
          <cell r="H134">
            <v>1.2317199999999999</v>
          </cell>
        </row>
        <row r="135">
          <cell r="A135" t="str">
            <v>GRMZM2G320705</v>
          </cell>
          <cell r="B135" t="e">
            <v>#N/A</v>
          </cell>
          <cell r="C135" t="str">
            <v>expressed protein</v>
          </cell>
          <cell r="D135" t="str">
            <v>MT0</v>
          </cell>
          <cell r="E135" t="str">
            <v>MT24</v>
          </cell>
          <cell r="F135">
            <v>1.4815799999999999</v>
          </cell>
          <cell r="G135">
            <v>3.26281</v>
          </cell>
          <cell r="H135">
            <v>1.1389800000000001</v>
          </cell>
        </row>
        <row r="136">
          <cell r="A136" t="str">
            <v>GRMZM2G003970</v>
          </cell>
          <cell r="B136" t="e">
            <v>#N/A</v>
          </cell>
          <cell r="C136" t="str">
            <v>uncharacterized protein LOC100193759</v>
          </cell>
          <cell r="D136" t="str">
            <v>MT0</v>
          </cell>
          <cell r="E136" t="str">
            <v>MT24</v>
          </cell>
          <cell r="F136">
            <v>6.3823800000000004</v>
          </cell>
          <cell r="G136">
            <v>14.2554</v>
          </cell>
          <cell r="H136">
            <v>1.15934</v>
          </cell>
        </row>
        <row r="137">
          <cell r="A137" t="str">
            <v>GRMZM2G155873</v>
          </cell>
          <cell r="B137" t="e">
            <v>#N/A</v>
          </cell>
          <cell r="C137">
            <v>0</v>
          </cell>
          <cell r="D137" t="str">
            <v>MT0</v>
          </cell>
          <cell r="E137" t="str">
            <v>MT24</v>
          </cell>
          <cell r="F137">
            <v>1.1266700000000001</v>
          </cell>
          <cell r="G137">
            <v>0.14790700000000001</v>
          </cell>
          <cell r="H137">
            <v>-2.9293100000000001</v>
          </cell>
        </row>
        <row r="138">
          <cell r="A138" t="str">
            <v>GRMZM2G165387</v>
          </cell>
          <cell r="B138" t="str">
            <v>GO:0004674GO:0006468GO:0005524GO:0005515GO:0004713</v>
          </cell>
          <cell r="C138" t="str">
            <v>protein kinase receptor type precursor</v>
          </cell>
          <cell r="D138" t="str">
            <v>MT0</v>
          </cell>
          <cell r="E138" t="str">
            <v>MT24</v>
          </cell>
          <cell r="F138">
            <v>0.70306900000000006</v>
          </cell>
          <cell r="G138">
            <v>1.42258</v>
          </cell>
          <cell r="H138">
            <v>1.01677</v>
          </cell>
        </row>
        <row r="139">
          <cell r="A139" t="str">
            <v>AC186156.3_FG005</v>
          </cell>
          <cell r="B139" t="e">
            <v>#N/A</v>
          </cell>
          <cell r="C139" t="e">
            <v>#N/A</v>
          </cell>
          <cell r="D139" t="str">
            <v>MT0</v>
          </cell>
          <cell r="E139" t="str">
            <v>MT24</v>
          </cell>
          <cell r="F139">
            <v>4.0718699999999997</v>
          </cell>
          <cell r="G139">
            <v>1.8041</v>
          </cell>
          <cell r="H139">
            <v>-1.17441</v>
          </cell>
        </row>
        <row r="140">
          <cell r="A140" t="str">
            <v>GRMZM2G111415</v>
          </cell>
          <cell r="B140" t="str">
            <v>GO:0003700GO:0006355GO:0050825GO:0042309GO:0050826</v>
          </cell>
          <cell r="C140" t="str">
            <v>ap2 erf domain-containing transcription factor</v>
          </cell>
          <cell r="D140" t="str">
            <v>MT0</v>
          </cell>
          <cell r="E140" t="str">
            <v>MT24</v>
          </cell>
          <cell r="F140">
            <v>9.6729800000000008</v>
          </cell>
          <cell r="G140">
            <v>4.0217799999999997</v>
          </cell>
          <cell r="H140">
            <v>-1.26613</v>
          </cell>
        </row>
        <row r="141">
          <cell r="A141" t="str">
            <v>GRMZM2G004699</v>
          </cell>
          <cell r="B141" t="str">
            <v>GO:0005618GO:0048046GO:0016762GO:0006073GO:0004553</v>
          </cell>
          <cell r="C141" t="str">
            <v>xyloglucan endotransglucosylase hydrolase protein a</v>
          </cell>
          <cell r="D141" t="str">
            <v>MT0</v>
          </cell>
          <cell r="E141" t="str">
            <v>MT24</v>
          </cell>
          <cell r="F141">
            <v>6.21685</v>
          </cell>
          <cell r="G141">
            <v>2.6338400000000002</v>
          </cell>
          <cell r="H141">
            <v>-1.23902</v>
          </cell>
        </row>
        <row r="142">
          <cell r="A142" t="str">
            <v>GRMZM2G050307</v>
          </cell>
          <cell r="B142" t="str">
            <v>GO:0008168</v>
          </cell>
          <cell r="C142" t="str">
            <v>salicylate o-methyltransferase-like</v>
          </cell>
          <cell r="D142" t="str">
            <v>MT0</v>
          </cell>
          <cell r="E142" t="str">
            <v>MT24</v>
          </cell>
          <cell r="F142">
            <v>9.1393500000000003</v>
          </cell>
          <cell r="G142">
            <v>22.128499999999999</v>
          </cell>
          <cell r="H142">
            <v>1.2757400000000001</v>
          </cell>
        </row>
        <row r="143">
          <cell r="A143" t="str">
            <v>GRMZM2G117064</v>
          </cell>
          <cell r="B143" t="str">
            <v>GO:0003824GO:0008152</v>
          </cell>
          <cell r="C143" t="str">
            <v>long chain acyl- synthetase 9</v>
          </cell>
          <cell r="D143" t="str">
            <v>MT0</v>
          </cell>
          <cell r="E143" t="str">
            <v>MT24</v>
          </cell>
          <cell r="F143">
            <v>0.66335900000000003</v>
          </cell>
          <cell r="G143">
            <v>1.38724</v>
          </cell>
          <cell r="H143">
            <v>1.0643499999999999</v>
          </cell>
        </row>
        <row r="144">
          <cell r="A144" t="str">
            <v>GRMZM2G132531</v>
          </cell>
          <cell r="B144" t="str">
            <v>GO:0008270GO:0005515</v>
          </cell>
          <cell r="C144" t="str">
            <v>nep1-interacting protein</v>
          </cell>
          <cell r="D144" t="str">
            <v>MT0</v>
          </cell>
          <cell r="E144" t="str">
            <v>MT24</v>
          </cell>
          <cell r="F144">
            <v>0.68444300000000002</v>
          </cell>
          <cell r="G144">
            <v>1.4762200000000001</v>
          </cell>
          <cell r="H144">
            <v>1.1089100000000001</v>
          </cell>
        </row>
        <row r="145">
          <cell r="A145" t="str">
            <v>GRMZM2G117706</v>
          </cell>
          <cell r="B145" t="str">
            <v>GO:0020037GO:0005576GO:0004601GO:0006979GO:0009055</v>
          </cell>
          <cell r="C145" t="str">
            <v>bacterial-induced peroxidase precursor</v>
          </cell>
          <cell r="D145" t="str">
            <v>MT0</v>
          </cell>
          <cell r="E145" t="str">
            <v>MT24</v>
          </cell>
          <cell r="F145">
            <v>0.404387</v>
          </cell>
          <cell r="G145">
            <v>2.3762400000000001</v>
          </cell>
          <cell r="H145">
            <v>2.5548700000000002</v>
          </cell>
        </row>
        <row r="146">
          <cell r="A146" t="str">
            <v>GRMZM2G010044</v>
          </cell>
          <cell r="B146" t="str">
            <v>GO:0008652GO:0016836GO:0051539</v>
          </cell>
          <cell r="C146" t="str">
            <v>3-isopropylmalate dehydratase</v>
          </cell>
          <cell r="D146" t="str">
            <v>MT0</v>
          </cell>
          <cell r="E146" t="str">
            <v>MT24</v>
          </cell>
          <cell r="F146">
            <v>6.3385999999999996</v>
          </cell>
          <cell r="G146">
            <v>46.332299999999996</v>
          </cell>
          <cell r="H146">
            <v>2.86978</v>
          </cell>
        </row>
        <row r="147">
          <cell r="A147" t="str">
            <v>GRMZM2G457287</v>
          </cell>
          <cell r="B147" t="e">
            <v>#N/A</v>
          </cell>
          <cell r="C147" t="str">
            <v>carboxyl-terminal peptidase</v>
          </cell>
          <cell r="D147" t="str">
            <v>MT0</v>
          </cell>
          <cell r="E147" t="str">
            <v>MT24</v>
          </cell>
          <cell r="F147">
            <v>0.834148</v>
          </cell>
          <cell r="G147">
            <v>2.79895</v>
          </cell>
          <cell r="H147">
            <v>1.74651</v>
          </cell>
        </row>
        <row r="148">
          <cell r="A148" t="str">
            <v>GRMZM2G117971</v>
          </cell>
          <cell r="B148" t="str">
            <v>GO:0050832GO:0042742</v>
          </cell>
          <cell r="C148" t="str">
            <v>pathogenesis-related protein 4</v>
          </cell>
          <cell r="D148" t="str">
            <v>MT0</v>
          </cell>
          <cell r="E148" t="str">
            <v>MT24</v>
          </cell>
          <cell r="F148">
            <v>19.782</v>
          </cell>
          <cell r="G148">
            <v>59.483400000000003</v>
          </cell>
          <cell r="H148">
            <v>1.5883</v>
          </cell>
        </row>
        <row r="149">
          <cell r="A149" t="str">
            <v>GRMZM2G402167</v>
          </cell>
          <cell r="B149" t="e">
            <v>#N/A</v>
          </cell>
          <cell r="C149">
            <v>0</v>
          </cell>
          <cell r="D149" t="str">
            <v>MT0</v>
          </cell>
          <cell r="E149" t="str">
            <v>MT24</v>
          </cell>
          <cell r="F149">
            <v>0.47049099999999999</v>
          </cell>
          <cell r="G149">
            <v>0.98170299999999999</v>
          </cell>
          <cell r="H149">
            <v>1.0611200000000001</v>
          </cell>
        </row>
        <row r="150">
          <cell r="A150" t="str">
            <v>ZRP4</v>
          </cell>
          <cell r="B150" t="e">
            <v>#N/A</v>
          </cell>
          <cell r="C150" t="e">
            <v>#N/A</v>
          </cell>
          <cell r="D150" t="str">
            <v>MT0</v>
          </cell>
          <cell r="E150" t="str">
            <v>MT24</v>
          </cell>
          <cell r="F150">
            <v>2.36022</v>
          </cell>
          <cell r="G150">
            <v>1.1682900000000001</v>
          </cell>
          <cell r="H150">
            <v>-1.0145200000000001</v>
          </cell>
        </row>
        <row r="151">
          <cell r="A151" t="str">
            <v>GRMZM2G469499</v>
          </cell>
          <cell r="B151" t="str">
            <v>GO:0005488</v>
          </cell>
          <cell r="C151" t="str">
            <v>protein</v>
          </cell>
          <cell r="D151" t="str">
            <v>MT0</v>
          </cell>
          <cell r="E151" t="str">
            <v>MT24</v>
          </cell>
          <cell r="F151">
            <v>1.8674999999999999</v>
          </cell>
          <cell r="G151">
            <v>0.84190399999999999</v>
          </cell>
          <cell r="H151">
            <v>-1.1493800000000001</v>
          </cell>
        </row>
        <row r="152">
          <cell r="A152" t="str">
            <v>GRMZM2G174449</v>
          </cell>
          <cell r="B152" t="e">
            <v>#N/A</v>
          </cell>
          <cell r="C152" t="str">
            <v>uncharacterized protein LOC100273307</v>
          </cell>
          <cell r="D152" t="str">
            <v>MT0</v>
          </cell>
          <cell r="E152" t="str">
            <v>MT24</v>
          </cell>
          <cell r="F152">
            <v>6.4358700000000004</v>
          </cell>
          <cell r="G152">
            <v>15.7575</v>
          </cell>
          <cell r="H152">
            <v>1.2918400000000001</v>
          </cell>
        </row>
        <row r="153">
          <cell r="A153" t="str">
            <v>AC193632.2_FG002</v>
          </cell>
          <cell r="B153" t="str">
            <v>GO:0006468GO:0004674GO:0004713GO:0004568GO:0006032GO:0005524</v>
          </cell>
          <cell r="C153" t="e">
            <v>#N/A</v>
          </cell>
          <cell r="D153" t="str">
            <v>MT0</v>
          </cell>
          <cell r="E153" t="str">
            <v>MT24</v>
          </cell>
          <cell r="F153">
            <v>0.44244800000000001</v>
          </cell>
          <cell r="G153">
            <v>1.04444</v>
          </cell>
          <cell r="H153">
            <v>1.2391399999999999</v>
          </cell>
        </row>
        <row r="154">
          <cell r="A154" t="str">
            <v>AC214635.3_FG006</v>
          </cell>
          <cell r="B154" t="e">
            <v>#N/A</v>
          </cell>
          <cell r="C154" t="e">
            <v>#N/A</v>
          </cell>
          <cell r="D154" t="str">
            <v>MT0</v>
          </cell>
          <cell r="E154" t="str">
            <v>MT24</v>
          </cell>
          <cell r="F154">
            <v>0</v>
          </cell>
          <cell r="G154">
            <v>3.45485</v>
          </cell>
          <cell r="H154" t="str">
            <v>inf</v>
          </cell>
        </row>
        <row r="155">
          <cell r="A155" t="str">
            <v>GRMZM2G127857</v>
          </cell>
          <cell r="B155" t="str">
            <v>GO:0003677</v>
          </cell>
          <cell r="C155" t="str">
            <v>myb-related protein myb4-like</v>
          </cell>
          <cell r="D155" t="str">
            <v>MT0</v>
          </cell>
          <cell r="E155" t="str">
            <v>MT24</v>
          </cell>
          <cell r="F155">
            <v>0.48077900000000001</v>
          </cell>
          <cell r="G155">
            <v>0.98192199999999996</v>
          </cell>
          <cell r="H155">
            <v>1.03024</v>
          </cell>
        </row>
        <row r="156">
          <cell r="A156" t="str">
            <v>GRMZM2G399112</v>
          </cell>
          <cell r="B156" t="e">
            <v>#N/A</v>
          </cell>
          <cell r="C156" t="str">
            <v>hypothetical protein SORBIDRAFT_04g032340</v>
          </cell>
          <cell r="D156" t="str">
            <v>MT0</v>
          </cell>
          <cell r="E156" t="str">
            <v>MT24</v>
          </cell>
          <cell r="F156">
            <v>3.8275299999999999</v>
          </cell>
          <cell r="G156">
            <v>1.87018</v>
          </cell>
          <cell r="H156">
            <v>-1.0332399999999999</v>
          </cell>
        </row>
        <row r="157">
          <cell r="A157" t="str">
            <v>GRMZM2G134023</v>
          </cell>
          <cell r="B157" t="str">
            <v>GO:0008270GO:0005515</v>
          </cell>
          <cell r="C157" t="str">
            <v>ring-h2 finger protein atl2l</v>
          </cell>
          <cell r="D157" t="str">
            <v>MT0</v>
          </cell>
          <cell r="E157" t="str">
            <v>MT24</v>
          </cell>
          <cell r="F157">
            <v>1.6926300000000001</v>
          </cell>
          <cell r="G157">
            <v>4.3150399999999998</v>
          </cell>
          <cell r="H157">
            <v>1.3501099999999999</v>
          </cell>
        </row>
        <row r="158">
          <cell r="A158" t="str">
            <v>GRMZM2G471594</v>
          </cell>
          <cell r="B158" t="str">
            <v>GO:0008107GO:0016020GO:0042546</v>
          </cell>
          <cell r="C158" t="str">
            <v>galactoside 2-alpha-l-fucosyltransferase</v>
          </cell>
          <cell r="D158" t="str">
            <v>MT0</v>
          </cell>
          <cell r="E158" t="str">
            <v>MT24</v>
          </cell>
          <cell r="F158">
            <v>1.03796</v>
          </cell>
          <cell r="G158">
            <v>0.51136599999999999</v>
          </cell>
          <cell r="H158">
            <v>-1.02132</v>
          </cell>
        </row>
        <row r="159">
          <cell r="A159" t="str">
            <v>GRMZM2G041699</v>
          </cell>
          <cell r="B159" t="str">
            <v>GO:0016758GO:0008152</v>
          </cell>
          <cell r="C159" t="str">
            <v>cytokinin-o-glucosyltransferase 2</v>
          </cell>
          <cell r="D159" t="str">
            <v>MT0</v>
          </cell>
          <cell r="E159" t="str">
            <v>MT24</v>
          </cell>
          <cell r="F159">
            <v>1.58294</v>
          </cell>
          <cell r="G159">
            <v>0.63175300000000001</v>
          </cell>
          <cell r="H159">
            <v>-1.32518</v>
          </cell>
        </row>
        <row r="160">
          <cell r="A160" t="str">
            <v>GRMZM2G116629</v>
          </cell>
          <cell r="B160" t="e">
            <v>#N/A</v>
          </cell>
          <cell r="C160" t="str">
            <v>o-glucosyltransferase rumi homolog</v>
          </cell>
          <cell r="D160" t="str">
            <v>MT0</v>
          </cell>
          <cell r="E160" t="str">
            <v>MT24</v>
          </cell>
          <cell r="F160">
            <v>0.59664300000000003</v>
          </cell>
          <cell r="G160">
            <v>1.23228</v>
          </cell>
          <cell r="H160">
            <v>1.0463899999999999</v>
          </cell>
        </row>
        <row r="161">
          <cell r="A161" t="str">
            <v>GRMZM2G332522</v>
          </cell>
          <cell r="B161" t="str">
            <v>GO:0008171</v>
          </cell>
          <cell r="C161" t="str">
            <v>caffeoyl- 3-o-methyltransferase 1</v>
          </cell>
          <cell r="D161" t="str">
            <v>MT0</v>
          </cell>
          <cell r="E161" t="str">
            <v>MT24</v>
          </cell>
          <cell r="F161">
            <v>4.3082799999999999</v>
          </cell>
          <cell r="G161">
            <v>9.7590000000000003</v>
          </cell>
          <cell r="H161">
            <v>1.1796199999999999</v>
          </cell>
        </row>
        <row r="162">
          <cell r="A162" t="str">
            <v>GRMZM2G033952</v>
          </cell>
          <cell r="B162" t="str">
            <v>GO:0008171</v>
          </cell>
          <cell r="C162" t="str">
            <v>caffeoyl- o-methyltransferase</v>
          </cell>
          <cell r="D162" t="str">
            <v>MT0</v>
          </cell>
          <cell r="E162" t="str">
            <v>MT24</v>
          </cell>
          <cell r="F162">
            <v>1.2241899999999999</v>
          </cell>
          <cell r="G162">
            <v>3.21922</v>
          </cell>
          <cell r="H162">
            <v>1.3948799999999999</v>
          </cell>
        </row>
        <row r="163">
          <cell r="A163" t="str">
            <v>GRMZM2G048584</v>
          </cell>
          <cell r="B163" t="str">
            <v>GO:0003676</v>
          </cell>
          <cell r="C163" t="str">
            <v>protein vip1-like</v>
          </cell>
          <cell r="D163" t="str">
            <v>MT0</v>
          </cell>
          <cell r="E163" t="str">
            <v>MT24</v>
          </cell>
          <cell r="F163">
            <v>1.0426899999999999</v>
          </cell>
          <cell r="G163">
            <v>0.43053399999999997</v>
          </cell>
          <cell r="H163">
            <v>-1.2761100000000001</v>
          </cell>
        </row>
        <row r="164">
          <cell r="A164" t="str">
            <v>GRMZM2G133988</v>
          </cell>
          <cell r="B164" t="str">
            <v>GO:0008152</v>
          </cell>
          <cell r="C164" t="str">
            <v>3-isopropylmalate dehydratase-like</v>
          </cell>
          <cell r="D164" t="str">
            <v>MT0</v>
          </cell>
          <cell r="E164" t="str">
            <v>MT24</v>
          </cell>
          <cell r="F164">
            <v>1.19113</v>
          </cell>
          <cell r="G164">
            <v>9.2512899999999991</v>
          </cell>
          <cell r="H164">
            <v>2.9573200000000002</v>
          </cell>
        </row>
        <row r="165">
          <cell r="A165" t="str">
            <v>GRMZM2G374074</v>
          </cell>
          <cell r="B165" t="e">
            <v>#N/A</v>
          </cell>
          <cell r="C165" t="str">
            <v>uncharacterized protein LOC100274621</v>
          </cell>
          <cell r="D165" t="str">
            <v>MT0</v>
          </cell>
          <cell r="E165" t="str">
            <v>MT24</v>
          </cell>
          <cell r="F165">
            <v>0.95603800000000005</v>
          </cell>
          <cell r="G165">
            <v>2.2376200000000002</v>
          </cell>
          <cell r="H165">
            <v>1.2268300000000001</v>
          </cell>
        </row>
        <row r="166">
          <cell r="A166" t="str">
            <v>CNR10</v>
          </cell>
          <cell r="B166" t="e">
            <v>#N/A</v>
          </cell>
          <cell r="C166" t="e">
            <v>#N/A</v>
          </cell>
          <cell r="D166" t="str">
            <v>MT0</v>
          </cell>
          <cell r="E166" t="str">
            <v>MT24</v>
          </cell>
          <cell r="F166">
            <v>14.6378</v>
          </cell>
          <cell r="G166">
            <v>29.3476</v>
          </cell>
          <cell r="H166">
            <v>1.0035400000000001</v>
          </cell>
        </row>
        <row r="167">
          <cell r="A167" t="str">
            <v>GRMZM2G166719</v>
          </cell>
          <cell r="B167" t="str">
            <v>GO:0004674GO:0006468GO:0004713GO:0005524</v>
          </cell>
          <cell r="C167" t="str">
            <v>protein kinase domain containing protein</v>
          </cell>
          <cell r="D167" t="str">
            <v>MT0</v>
          </cell>
          <cell r="E167" t="str">
            <v>MT24</v>
          </cell>
          <cell r="F167">
            <v>1.68712</v>
          </cell>
          <cell r="G167">
            <v>3.46469</v>
          </cell>
          <cell r="H167">
            <v>1.03816</v>
          </cell>
        </row>
        <row r="168">
          <cell r="A168" t="str">
            <v>TIP3-1</v>
          </cell>
          <cell r="B168" t="e">
            <v>#N/A</v>
          </cell>
          <cell r="C168" t="e">
            <v>#N/A</v>
          </cell>
          <cell r="D168" t="str">
            <v>MT0</v>
          </cell>
          <cell r="E168" t="str">
            <v>MT24</v>
          </cell>
          <cell r="F168">
            <v>2.03261</v>
          </cell>
          <cell r="G168">
            <v>0.97197199999999995</v>
          </cell>
          <cell r="H168">
            <v>-1.0643499999999999</v>
          </cell>
        </row>
        <row r="169">
          <cell r="A169" t="str">
            <v>GRMZM2G374475</v>
          </cell>
          <cell r="B169" t="str">
            <v>GO:0006629GO:0016788</v>
          </cell>
          <cell r="C169" t="str">
            <v>anther-specific proline-rich protein apg precursor</v>
          </cell>
          <cell r="D169" t="str">
            <v>MT0</v>
          </cell>
          <cell r="E169" t="str">
            <v>MT24</v>
          </cell>
          <cell r="F169">
            <v>1.8363700000000001</v>
          </cell>
          <cell r="G169">
            <v>0.54770200000000002</v>
          </cell>
          <cell r="H169">
            <v>-1.74539</v>
          </cell>
        </row>
        <row r="170">
          <cell r="A170" t="str">
            <v>GRMZM2G064406</v>
          </cell>
          <cell r="B170" t="str">
            <v>GO:0016829GO:0000287GO:0008152</v>
          </cell>
          <cell r="C170" t="str">
            <v>terpene synthase 2</v>
          </cell>
          <cell r="D170" t="str">
            <v>MT0</v>
          </cell>
          <cell r="E170" t="str">
            <v>MT24</v>
          </cell>
          <cell r="F170">
            <v>0.30907800000000002</v>
          </cell>
          <cell r="G170">
            <v>1.66597</v>
          </cell>
          <cell r="H170">
            <v>2.43032</v>
          </cell>
        </row>
        <row r="171">
          <cell r="A171" t="str">
            <v>GRMZM2G010321</v>
          </cell>
          <cell r="B171" t="str">
            <v>GO:0005960GO:0006546</v>
          </cell>
          <cell r="C171" t="str">
            <v>glycine decarboxylase complex h-protein</v>
          </cell>
          <cell r="D171" t="str">
            <v>MT0</v>
          </cell>
          <cell r="E171" t="str">
            <v>MT24</v>
          </cell>
          <cell r="F171">
            <v>1.29216</v>
          </cell>
          <cell r="G171">
            <v>3.5703499999999999</v>
          </cell>
          <cell r="H171">
            <v>1.46628</v>
          </cell>
        </row>
        <row r="172">
          <cell r="A172" t="str">
            <v>GRMZM2G133430</v>
          </cell>
          <cell r="B172" t="e">
            <v>#N/A</v>
          </cell>
          <cell r="C172" t="str">
            <v>uncharacterized protein LOC100275437</v>
          </cell>
          <cell r="D172" t="str">
            <v>MT0</v>
          </cell>
          <cell r="E172" t="str">
            <v>MT24</v>
          </cell>
          <cell r="F172">
            <v>7.7910300000000001</v>
          </cell>
          <cell r="G172">
            <v>19.075800000000001</v>
          </cell>
          <cell r="H172">
            <v>1.2918499999999999</v>
          </cell>
        </row>
        <row r="173">
          <cell r="A173" t="str">
            <v>GRMZM5G836353</v>
          </cell>
          <cell r="B173" t="e">
            <v>#N/A</v>
          </cell>
          <cell r="C173" t="str">
            <v>monooxygenase 1</v>
          </cell>
          <cell r="D173" t="str">
            <v>MT0</v>
          </cell>
          <cell r="E173" t="str">
            <v>MT24</v>
          </cell>
          <cell r="F173">
            <v>0.282559</v>
          </cell>
          <cell r="G173">
            <v>0.85202299999999997</v>
          </cell>
          <cell r="H173">
            <v>1.5923400000000001</v>
          </cell>
        </row>
        <row r="174">
          <cell r="A174" t="str">
            <v>GRMZM2G325683</v>
          </cell>
          <cell r="B174" t="e">
            <v>#N/A</v>
          </cell>
          <cell r="C174" t="str">
            <v>ygl010w-like protein</v>
          </cell>
          <cell r="D174" t="str">
            <v>MT0</v>
          </cell>
          <cell r="E174" t="str">
            <v>MT24</v>
          </cell>
          <cell r="F174">
            <v>1.5299199999999999</v>
          </cell>
          <cell r="G174">
            <v>3.2897799999999999</v>
          </cell>
          <cell r="H174">
            <v>1.1045400000000001</v>
          </cell>
        </row>
        <row r="175">
          <cell r="A175" t="str">
            <v>GRMZM2G122276</v>
          </cell>
          <cell r="B175" t="e">
            <v>#N/A</v>
          </cell>
          <cell r="C175" t="str">
            <v>glycine-rich cell wall structural protein precursor</v>
          </cell>
          <cell r="D175" t="str">
            <v>MT0</v>
          </cell>
          <cell r="E175" t="str">
            <v>MT24</v>
          </cell>
          <cell r="F175">
            <v>14.642799999999999</v>
          </cell>
          <cell r="G175">
            <v>56.98</v>
          </cell>
          <cell r="H175">
            <v>1.96027</v>
          </cell>
        </row>
        <row r="176">
          <cell r="A176" t="str">
            <v>GRMZM2G097884</v>
          </cell>
          <cell r="B176" t="e">
            <v>#N/A</v>
          </cell>
          <cell r="C176">
            <v>0</v>
          </cell>
          <cell r="D176" t="str">
            <v>MT0</v>
          </cell>
          <cell r="E176" t="str">
            <v>MT24</v>
          </cell>
          <cell r="F176">
            <v>1.1084499999999999</v>
          </cell>
          <cell r="G176">
            <v>2.2296900000000002</v>
          </cell>
          <cell r="H176">
            <v>1.0083</v>
          </cell>
        </row>
        <row r="177">
          <cell r="A177" t="str">
            <v>GRMZM2G434203</v>
          </cell>
          <cell r="B177" t="str">
            <v>GO:0003700GO:0006355GO:0050825GO:0042309GO:0050826</v>
          </cell>
          <cell r="C177" t="str">
            <v>ap2 erf domain-containing transcription factor</v>
          </cell>
          <cell r="D177" t="str">
            <v>MT0</v>
          </cell>
          <cell r="E177" t="str">
            <v>MT24</v>
          </cell>
          <cell r="F177">
            <v>2.08229</v>
          </cell>
          <cell r="G177">
            <v>1.03637</v>
          </cell>
          <cell r="H177">
            <v>-1.0066299999999999</v>
          </cell>
        </row>
        <row r="178">
          <cell r="A178" t="str">
            <v>AC220927.3_FG007</v>
          </cell>
          <cell r="B178" t="e">
            <v>#N/A</v>
          </cell>
          <cell r="C178" t="e">
            <v>#N/A</v>
          </cell>
          <cell r="D178" t="str">
            <v>MT0</v>
          </cell>
          <cell r="E178" t="str">
            <v>MT24</v>
          </cell>
          <cell r="F178">
            <v>12.1343</v>
          </cell>
          <cell r="G178">
            <v>5.2662000000000004</v>
          </cell>
          <cell r="H178">
            <v>-1.2042600000000001</v>
          </cell>
        </row>
        <row r="179">
          <cell r="A179" t="str">
            <v>GRMZM5G877956</v>
          </cell>
          <cell r="B179" t="e">
            <v>#N/A</v>
          </cell>
          <cell r="C179" t="str">
            <v>unknown</v>
          </cell>
          <cell r="D179" t="str">
            <v>MT0</v>
          </cell>
          <cell r="E179" t="str">
            <v>MT24</v>
          </cell>
          <cell r="F179">
            <v>0.91466199999999998</v>
          </cell>
          <cell r="G179">
            <v>0.32293699999999997</v>
          </cell>
          <cell r="H179">
            <v>-1.5019800000000001</v>
          </cell>
        </row>
        <row r="180">
          <cell r="A180" t="str">
            <v>AC220970.4_FG002</v>
          </cell>
          <cell r="B180" t="e">
            <v>#N/A</v>
          </cell>
          <cell r="C180" t="e">
            <v>#N/A</v>
          </cell>
          <cell r="D180" t="str">
            <v>MT0</v>
          </cell>
          <cell r="E180" t="str">
            <v>MT24</v>
          </cell>
          <cell r="F180">
            <v>0.92162699999999997</v>
          </cell>
          <cell r="G180">
            <v>1.93092</v>
          </cell>
          <cell r="H180">
            <v>1.0670299999999999</v>
          </cell>
        </row>
        <row r="181">
          <cell r="A181" t="str">
            <v>GRMZM2G364373</v>
          </cell>
          <cell r="B181" t="e">
            <v>#N/A</v>
          </cell>
          <cell r="C181" t="str">
            <v>protease do-like 7-like</v>
          </cell>
          <cell r="D181" t="str">
            <v>MT0</v>
          </cell>
          <cell r="E181" t="str">
            <v>MT24</v>
          </cell>
          <cell r="F181">
            <v>1.13879</v>
          </cell>
          <cell r="G181">
            <v>0.47020699999999999</v>
          </cell>
          <cell r="H181">
            <v>-1.2761400000000001</v>
          </cell>
        </row>
        <row r="182">
          <cell r="A182" t="str">
            <v>AC203048.3_FG001</v>
          </cell>
          <cell r="B182" t="e">
            <v>#N/A</v>
          </cell>
          <cell r="C182" t="e">
            <v>#N/A</v>
          </cell>
          <cell r="D182" t="str">
            <v>MT0</v>
          </cell>
          <cell r="E182" t="str">
            <v>MT24</v>
          </cell>
          <cell r="F182">
            <v>0</v>
          </cell>
          <cell r="G182">
            <v>1.5044999999999999</v>
          </cell>
          <cell r="H182" t="str">
            <v>inf</v>
          </cell>
        </row>
        <row r="183">
          <cell r="A183" t="str">
            <v>PETB</v>
          </cell>
          <cell r="B183" t="e">
            <v>#N/A</v>
          </cell>
          <cell r="C183" t="e">
            <v>#N/A</v>
          </cell>
          <cell r="D183" t="str">
            <v>MT0</v>
          </cell>
          <cell r="E183" t="str">
            <v>MT24</v>
          </cell>
          <cell r="F183">
            <v>1.50885</v>
          </cell>
          <cell r="G183">
            <v>4.5715399999999997</v>
          </cell>
          <cell r="H183">
            <v>1.59924</v>
          </cell>
        </row>
        <row r="184">
          <cell r="A184" t="str">
            <v>GRMZM5G865298</v>
          </cell>
          <cell r="B184" t="e">
            <v>#N/A</v>
          </cell>
          <cell r="C184" t="str">
            <v>peptide transporter ptr3-a-like</v>
          </cell>
          <cell r="D184" t="str">
            <v>MT0</v>
          </cell>
          <cell r="E184" t="str">
            <v>MT24</v>
          </cell>
          <cell r="F184">
            <v>0.435002</v>
          </cell>
          <cell r="G184">
            <v>0.92246399999999995</v>
          </cell>
          <cell r="H184">
            <v>1.08447</v>
          </cell>
        </row>
        <row r="185">
          <cell r="A185" t="str">
            <v>GRMZM2G042758</v>
          </cell>
          <cell r="B185" t="str">
            <v>GO:0016887GO:0006629GO:0016788GO:0005524</v>
          </cell>
          <cell r="C185" t="str">
            <v>gdsl-motif lipase hydrolase-like</v>
          </cell>
          <cell r="D185" t="str">
            <v>MT0</v>
          </cell>
          <cell r="E185" t="str">
            <v>MT24</v>
          </cell>
          <cell r="F185">
            <v>0.37701000000000001</v>
          </cell>
          <cell r="G185">
            <v>0.88007500000000005</v>
          </cell>
          <cell r="H185">
            <v>1.22302</v>
          </cell>
        </row>
        <row r="186">
          <cell r="A186" t="str">
            <v>GRMZM2G330012</v>
          </cell>
          <cell r="B186" t="e">
            <v>#N/A</v>
          </cell>
          <cell r="C186" t="str">
            <v>saur family protein</v>
          </cell>
          <cell r="D186" t="str">
            <v>MT0</v>
          </cell>
          <cell r="E186" t="str">
            <v>MT24</v>
          </cell>
          <cell r="F186">
            <v>1.9821200000000001</v>
          </cell>
          <cell r="G186">
            <v>0.92969100000000005</v>
          </cell>
          <cell r="H186">
            <v>-1.09222</v>
          </cell>
        </row>
        <row r="187">
          <cell r="A187" t="str">
            <v>GRMZM2G133262</v>
          </cell>
          <cell r="B187" t="str">
            <v>GO:0006355GO:0000156GO:0000160</v>
          </cell>
          <cell r="C187" t="str">
            <v>two-component response regulator arr2-like</v>
          </cell>
          <cell r="D187" t="str">
            <v>MT0</v>
          </cell>
          <cell r="E187" t="str">
            <v>MT24</v>
          </cell>
          <cell r="F187">
            <v>0.38610899999999998</v>
          </cell>
          <cell r="G187">
            <v>0.86829100000000004</v>
          </cell>
          <cell r="H187">
            <v>1.16917</v>
          </cell>
        </row>
        <row r="188">
          <cell r="A188" t="str">
            <v>GRMZM2G046615</v>
          </cell>
          <cell r="B188" t="str">
            <v>GO:0016829GO:0000287GO:0008152</v>
          </cell>
          <cell r="C188" t="str">
            <v>terpene synthase 2</v>
          </cell>
          <cell r="D188" t="str">
            <v>MT0</v>
          </cell>
          <cell r="E188" t="str">
            <v>MT24</v>
          </cell>
          <cell r="F188">
            <v>1.4604900000000001</v>
          </cell>
          <cell r="G188">
            <v>7.8779199999999996</v>
          </cell>
          <cell r="H188">
            <v>2.4313600000000002</v>
          </cell>
        </row>
        <row r="189">
          <cell r="A189" t="str">
            <v>GRMZM2G086587</v>
          </cell>
          <cell r="B189" t="e">
            <v>#N/A</v>
          </cell>
          <cell r="C189" t="str">
            <v>Os02g0189400</v>
          </cell>
          <cell r="D189" t="str">
            <v>MT0</v>
          </cell>
          <cell r="E189" t="str">
            <v>MT24</v>
          </cell>
          <cell r="F189">
            <v>3.5814599999999999</v>
          </cell>
          <cell r="G189">
            <v>1.6023099999999999</v>
          </cell>
          <cell r="H189">
            <v>-1.16039</v>
          </cell>
        </row>
        <row r="190">
          <cell r="A190" t="str">
            <v>GRMZM2G130055</v>
          </cell>
          <cell r="B190" t="str">
            <v>GO:0050825GO:0042309GO:0050826</v>
          </cell>
          <cell r="C190">
            <v>0</v>
          </cell>
          <cell r="D190" t="str">
            <v>MT0</v>
          </cell>
          <cell r="E190" t="str">
            <v>MT24</v>
          </cell>
          <cell r="F190">
            <v>3.26736</v>
          </cell>
          <cell r="G190">
            <v>1.6330499999999999</v>
          </cell>
          <cell r="H190">
            <v>-1.0005599999999999</v>
          </cell>
        </row>
        <row r="191">
          <cell r="A191" t="str">
            <v>GRMZM2G455440</v>
          </cell>
          <cell r="B191" t="e">
            <v>#N/A</v>
          </cell>
          <cell r="C191" t="str">
            <v>uncharacterized protein LOC100276136</v>
          </cell>
          <cell r="D191" t="str">
            <v>MT0</v>
          </cell>
          <cell r="E191" t="str">
            <v>MT24</v>
          </cell>
          <cell r="F191">
            <v>8.9064399999999999</v>
          </cell>
          <cell r="G191">
            <v>20.770600000000002</v>
          </cell>
          <cell r="H191">
            <v>1.2216199999999999</v>
          </cell>
        </row>
        <row r="192">
          <cell r="A192" t="str">
            <v>GRMZM2G405459</v>
          </cell>
          <cell r="B192" t="str">
            <v>GO:0004601GO:0006979GO:0020037GO:0009055</v>
          </cell>
          <cell r="C192" t="str">
            <v>peroxidase 52-like</v>
          </cell>
          <cell r="D192" t="str">
            <v>MT0</v>
          </cell>
          <cell r="E192" t="str">
            <v>MT24</v>
          </cell>
          <cell r="F192">
            <v>1.0301499999999999</v>
          </cell>
          <cell r="G192">
            <v>0.44484200000000002</v>
          </cell>
          <cell r="H192">
            <v>-1.21149</v>
          </cell>
        </row>
        <row r="193">
          <cell r="A193" t="str">
            <v>GRMZM2G160710</v>
          </cell>
          <cell r="B193" t="str">
            <v>GO:0046872GO:0030001</v>
          </cell>
          <cell r="C193" t="str">
            <v>nbs-lrr class disease resistance protein</v>
          </cell>
          <cell r="D193" t="str">
            <v>MT0</v>
          </cell>
          <cell r="E193" t="str">
            <v>MT24</v>
          </cell>
          <cell r="F193">
            <v>5.02677</v>
          </cell>
          <cell r="G193">
            <v>10.6076</v>
          </cell>
          <cell r="H193">
            <v>1.0773999999999999</v>
          </cell>
        </row>
        <row r="194">
          <cell r="A194" t="str">
            <v>GRMZM2G135385</v>
          </cell>
          <cell r="B194" t="str">
            <v>GO:0020037</v>
          </cell>
          <cell r="C194" t="str">
            <v>cytochrome b5</v>
          </cell>
          <cell r="D194" t="str">
            <v>MT0</v>
          </cell>
          <cell r="E194" t="str">
            <v>MT24</v>
          </cell>
          <cell r="F194">
            <v>0.39604699999999998</v>
          </cell>
          <cell r="G194">
            <v>2.83019</v>
          </cell>
          <cell r="H194">
            <v>2.8371599999999999</v>
          </cell>
        </row>
        <row r="195">
          <cell r="A195" t="str">
            <v>YS1</v>
          </cell>
          <cell r="B195" t="e">
            <v>#N/A</v>
          </cell>
          <cell r="C195" t="e">
            <v>#N/A</v>
          </cell>
          <cell r="D195" t="str">
            <v>MT0</v>
          </cell>
          <cell r="E195" t="str">
            <v>MT24</v>
          </cell>
          <cell r="F195">
            <v>1.2039800000000001</v>
          </cell>
          <cell r="G195">
            <v>3.2697400000000001</v>
          </cell>
          <cell r="H195">
            <v>1.44136</v>
          </cell>
        </row>
        <row r="196">
          <cell r="A196" t="str">
            <v>GRMZM2G466044</v>
          </cell>
          <cell r="B196" t="str">
            <v>GO:0003700GO:0006355GO:0050825GO:0042309GO:0050826</v>
          </cell>
          <cell r="C196" t="str">
            <v>ap2-related transcription factor</v>
          </cell>
          <cell r="D196" t="str">
            <v>MT0</v>
          </cell>
          <cell r="E196" t="str">
            <v>MT24</v>
          </cell>
          <cell r="F196">
            <v>1.9721599999999999</v>
          </cell>
          <cell r="G196">
            <v>5.3752800000000001</v>
          </cell>
          <cell r="H196">
            <v>1.4465600000000001</v>
          </cell>
        </row>
        <row r="197">
          <cell r="A197" t="str">
            <v>GRMZM2G057386</v>
          </cell>
          <cell r="B197" t="str">
            <v>GO:0003700GO:0006355</v>
          </cell>
          <cell r="C197" t="str">
            <v>ethylene responsive element binding factor 5</v>
          </cell>
          <cell r="D197" t="str">
            <v>MT0</v>
          </cell>
          <cell r="E197" t="str">
            <v>MT24</v>
          </cell>
          <cell r="F197">
            <v>0.78131499999999998</v>
          </cell>
          <cell r="G197">
            <v>1.5768</v>
          </cell>
          <cell r="H197">
            <v>1.01302</v>
          </cell>
        </row>
        <row r="198">
          <cell r="A198" t="str">
            <v>GRMZM2G071277</v>
          </cell>
          <cell r="B198" t="str">
            <v>GO:0008270GO:0005515GO:0009055</v>
          </cell>
          <cell r="C198" t="str">
            <v>ring zinc finger</v>
          </cell>
          <cell r="D198" t="str">
            <v>MT0</v>
          </cell>
          <cell r="E198" t="str">
            <v>MT24</v>
          </cell>
          <cell r="F198">
            <v>0.20066000000000001</v>
          </cell>
          <cell r="G198">
            <v>1.07697</v>
          </cell>
          <cell r="H198">
            <v>2.4241600000000001</v>
          </cell>
        </row>
        <row r="199">
          <cell r="A199" t="str">
            <v>GRMZM2G011006</v>
          </cell>
          <cell r="B199" t="e">
            <v>#N/A</v>
          </cell>
          <cell r="C199" t="str">
            <v>unknown</v>
          </cell>
          <cell r="D199" t="str">
            <v>MT0</v>
          </cell>
          <cell r="E199" t="str">
            <v>MT24</v>
          </cell>
          <cell r="F199">
            <v>271.16199999999998</v>
          </cell>
          <cell r="G199">
            <v>132.45099999999999</v>
          </cell>
          <cell r="H199">
            <v>-1.0337000000000001</v>
          </cell>
        </row>
        <row r="200">
          <cell r="A200" t="str">
            <v>GRMZM2G399921</v>
          </cell>
          <cell r="B200" t="str">
            <v>GO:0050825GO:0042309GO:0050826</v>
          </cell>
          <cell r="C200">
            <v>0</v>
          </cell>
          <cell r="D200" t="str">
            <v>MT0</v>
          </cell>
          <cell r="E200" t="str">
            <v>MT24</v>
          </cell>
          <cell r="F200">
            <v>1.78399</v>
          </cell>
          <cell r="G200">
            <v>0.44422299999999998</v>
          </cell>
          <cell r="H200">
            <v>-2.0057499999999999</v>
          </cell>
        </row>
        <row r="201">
          <cell r="A201" t="str">
            <v>GRMZM2G480364</v>
          </cell>
          <cell r="B201" t="e">
            <v>#N/A</v>
          </cell>
          <cell r="C201" t="str">
            <v>protein</v>
          </cell>
          <cell r="D201" t="str">
            <v>MT0</v>
          </cell>
          <cell r="E201" t="str">
            <v>MT24</v>
          </cell>
          <cell r="F201">
            <v>5.4162600000000003</v>
          </cell>
          <cell r="G201">
            <v>1.96546</v>
          </cell>
          <cell r="H201">
            <v>-1.4624299999999999</v>
          </cell>
        </row>
        <row r="202">
          <cell r="A202" t="str">
            <v>GRMZM2G467756</v>
          </cell>
          <cell r="B202" t="str">
            <v>GO:0008270GO:0005515</v>
          </cell>
          <cell r="C202" t="str">
            <v>ring u-box domain-containing protein</v>
          </cell>
          <cell r="D202" t="str">
            <v>MT0</v>
          </cell>
          <cell r="E202" t="str">
            <v>MT24</v>
          </cell>
          <cell r="F202">
            <v>52.354300000000002</v>
          </cell>
          <cell r="G202">
            <v>18.5915</v>
          </cell>
          <cell r="H202">
            <v>-1.49366</v>
          </cell>
        </row>
        <row r="203">
          <cell r="A203" t="str">
            <v>GRMZM2G034404</v>
          </cell>
          <cell r="B203" t="str">
            <v>GO:0016597GO:0008152</v>
          </cell>
          <cell r="C203" t="str">
            <v>act domain-containing protein</v>
          </cell>
          <cell r="D203" t="str">
            <v>MT0</v>
          </cell>
          <cell r="E203" t="str">
            <v>MT24</v>
          </cell>
          <cell r="F203">
            <v>3.6709499999999999</v>
          </cell>
          <cell r="G203">
            <v>1.2569999999999999</v>
          </cell>
          <cell r="H203">
            <v>-1.54617</v>
          </cell>
        </row>
        <row r="204">
          <cell r="A204" t="str">
            <v>GRMZM2G334181</v>
          </cell>
          <cell r="B204" t="e">
            <v>#N/A</v>
          </cell>
          <cell r="C204" t="str">
            <v>protein</v>
          </cell>
          <cell r="D204" t="str">
            <v>MT0</v>
          </cell>
          <cell r="E204" t="str">
            <v>MT24</v>
          </cell>
          <cell r="F204">
            <v>0.96927700000000006</v>
          </cell>
          <cell r="G204">
            <v>3.1265000000000001</v>
          </cell>
          <cell r="H204">
            <v>1.68957</v>
          </cell>
        </row>
        <row r="205">
          <cell r="A205" t="str">
            <v>GRMZM2G124815</v>
          </cell>
          <cell r="B205" t="str">
            <v>GO:0016747</v>
          </cell>
          <cell r="C205" t="str">
            <v>uncharacterized acetyltransferase at3g50280-like</v>
          </cell>
          <cell r="D205" t="str">
            <v>MT0</v>
          </cell>
          <cell r="E205" t="str">
            <v>MT24</v>
          </cell>
          <cell r="F205">
            <v>0.49836200000000003</v>
          </cell>
          <cell r="G205">
            <v>1.02715</v>
          </cell>
          <cell r="H205">
            <v>1.04338</v>
          </cell>
        </row>
        <row r="206">
          <cell r="A206" t="str">
            <v>GRMZM2G091490</v>
          </cell>
          <cell r="B206" t="str">
            <v>GO:0003677GO:0045449GO:0042309GO:0050826GO:0050825GO:0004618GO:0006096</v>
          </cell>
          <cell r="C206" t="str">
            <v>nac domain ipr003441</v>
          </cell>
          <cell r="D206" t="str">
            <v>MT0</v>
          </cell>
          <cell r="E206" t="str">
            <v>MT24</v>
          </cell>
          <cell r="F206">
            <v>0.44860499999999998</v>
          </cell>
          <cell r="G206">
            <v>0.95454499999999998</v>
          </cell>
          <cell r="H206">
            <v>1.0893699999999999</v>
          </cell>
        </row>
        <row r="207">
          <cell r="A207" t="str">
            <v>GRMZM2G074358</v>
          </cell>
          <cell r="B207" t="str">
            <v>GO:0045449GO:0003677</v>
          </cell>
          <cell r="C207" t="str">
            <v>nac domain-containing</v>
          </cell>
          <cell r="D207" t="str">
            <v>MT0</v>
          </cell>
          <cell r="E207" t="str">
            <v>MT24</v>
          </cell>
          <cell r="F207">
            <v>0.60714400000000002</v>
          </cell>
          <cell r="G207">
            <v>1.28373</v>
          </cell>
          <cell r="H207">
            <v>1.08023</v>
          </cell>
        </row>
        <row r="208">
          <cell r="A208" t="str">
            <v>GRMZM2G143782</v>
          </cell>
          <cell r="B208" t="str">
            <v>GO:0005515</v>
          </cell>
          <cell r="C208" t="str">
            <v>speckle-type poz protein</v>
          </cell>
          <cell r="D208" t="str">
            <v>MT0</v>
          </cell>
          <cell r="E208" t="str">
            <v>MT24</v>
          </cell>
          <cell r="F208">
            <v>0.50730200000000003</v>
          </cell>
          <cell r="G208">
            <v>1.0197700000000001</v>
          </cell>
          <cell r="H208">
            <v>1.0073300000000001</v>
          </cell>
        </row>
        <row r="209">
          <cell r="A209" t="str">
            <v>GRMZM2G403076</v>
          </cell>
          <cell r="B209" t="str">
            <v>GO:0050660GO:0016491</v>
          </cell>
          <cell r="C209" t="str">
            <v>reticuline oxidase-like</v>
          </cell>
          <cell r="D209" t="str">
            <v>MT0</v>
          </cell>
          <cell r="E209" t="str">
            <v>MT24</v>
          </cell>
          <cell r="F209">
            <v>0.32317499999999999</v>
          </cell>
          <cell r="G209">
            <v>0.94528800000000002</v>
          </cell>
          <cell r="H209">
            <v>1.54844</v>
          </cell>
        </row>
        <row r="210">
          <cell r="A210" t="str">
            <v>GRMZM2G025491</v>
          </cell>
          <cell r="B210" t="str">
            <v>GO:0006835GO:0016020GO:0017153GO:0004190GO:0006508</v>
          </cell>
          <cell r="C210" t="str">
            <v>eukaryotic aspartyl protease family expressed</v>
          </cell>
          <cell r="D210" t="str">
            <v>MT0</v>
          </cell>
          <cell r="E210" t="str">
            <v>MT24</v>
          </cell>
          <cell r="F210">
            <v>0.34606700000000001</v>
          </cell>
          <cell r="G210">
            <v>0.80725000000000002</v>
          </cell>
          <cell r="H210">
            <v>1.2219599999999999</v>
          </cell>
        </row>
        <row r="211">
          <cell r="A211" t="str">
            <v>GRMZM2G117057</v>
          </cell>
          <cell r="B211" t="e">
            <v>#N/A</v>
          </cell>
          <cell r="C211" t="str">
            <v>protein mother of ft and tf 1-like</v>
          </cell>
          <cell r="D211" t="str">
            <v>MT0</v>
          </cell>
          <cell r="E211" t="str">
            <v>MT24</v>
          </cell>
          <cell r="F211">
            <v>2.5070199999999998</v>
          </cell>
          <cell r="G211">
            <v>1.1370400000000001</v>
          </cell>
          <cell r="H211">
            <v>-1.1406799999999999</v>
          </cell>
        </row>
        <row r="212">
          <cell r="A212" t="str">
            <v>GRMZM2G122577</v>
          </cell>
          <cell r="B212" t="e">
            <v>#N/A</v>
          </cell>
          <cell r="C212" t="str">
            <v>uncharacterized protein LOC100280099</v>
          </cell>
          <cell r="D212" t="str">
            <v>MT0</v>
          </cell>
          <cell r="E212" t="str">
            <v>MT24</v>
          </cell>
          <cell r="F212">
            <v>8.2241199999999992</v>
          </cell>
          <cell r="G212">
            <v>3.25021</v>
          </cell>
          <cell r="H212">
            <v>-1.3393299999999999</v>
          </cell>
        </row>
        <row r="213">
          <cell r="A213" t="str">
            <v>GRMZM2G323888</v>
          </cell>
          <cell r="B213" t="e">
            <v>#N/A</v>
          </cell>
          <cell r="C213" t="str">
            <v>hypothetical protein</v>
          </cell>
          <cell r="D213" t="str">
            <v>MT0</v>
          </cell>
          <cell r="E213" t="str">
            <v>MT24</v>
          </cell>
          <cell r="F213">
            <v>155.86799999999999</v>
          </cell>
          <cell r="G213">
            <v>72.276200000000003</v>
          </cell>
          <cell r="H213">
            <v>-1.10873</v>
          </cell>
        </row>
        <row r="214">
          <cell r="A214" t="str">
            <v>GRMZM2G363116</v>
          </cell>
          <cell r="B214" t="str">
            <v>GO:0016787GO:0008152</v>
          </cell>
          <cell r="C214" t="str">
            <v>cxe carboxylesterase</v>
          </cell>
          <cell r="D214" t="str">
            <v>MT0</v>
          </cell>
          <cell r="E214" t="str">
            <v>MT24</v>
          </cell>
          <cell r="F214">
            <v>0.46269300000000002</v>
          </cell>
          <cell r="G214">
            <v>1.45939</v>
          </cell>
          <cell r="H214">
            <v>1.65724</v>
          </cell>
        </row>
        <row r="215">
          <cell r="A215" t="str">
            <v>AC188838.3_FG005</v>
          </cell>
          <cell r="B215" t="str">
            <v>GO:0009113GO:0004044GO:0009116</v>
          </cell>
          <cell r="C215" t="e">
            <v>#N/A</v>
          </cell>
          <cell r="D215" t="str">
            <v>MT0</v>
          </cell>
          <cell r="E215" t="str">
            <v>MT24</v>
          </cell>
          <cell r="F215">
            <v>0.53763899999999998</v>
          </cell>
          <cell r="G215">
            <v>1.2036100000000001</v>
          </cell>
          <cell r="H215">
            <v>1.16265</v>
          </cell>
        </row>
        <row r="216">
          <cell r="A216" t="str">
            <v>GRMZM2G059637</v>
          </cell>
          <cell r="B216" t="str">
            <v>GO:0008415GO:0008152</v>
          </cell>
          <cell r="C216" t="str">
            <v>glycerol-3-phosphate acyltransferase 5</v>
          </cell>
          <cell r="D216" t="str">
            <v>MT0</v>
          </cell>
          <cell r="E216" t="str">
            <v>MT24</v>
          </cell>
          <cell r="F216">
            <v>0.54596299999999998</v>
          </cell>
          <cell r="G216">
            <v>1.3027899999999999</v>
          </cell>
          <cell r="H216">
            <v>1.2547299999999999</v>
          </cell>
        </row>
        <row r="217">
          <cell r="A217" t="str">
            <v>GRMZM2G132212</v>
          </cell>
          <cell r="B217" t="str">
            <v>GO:0004674GO:0006468GO:0005524GO:0005515GO:0004713</v>
          </cell>
          <cell r="C217" t="str">
            <v>receptor-like protein kinase hsl1-like</v>
          </cell>
          <cell r="D217" t="str">
            <v>MT0</v>
          </cell>
          <cell r="E217" t="str">
            <v>MT24</v>
          </cell>
          <cell r="F217">
            <v>1.14445</v>
          </cell>
          <cell r="G217">
            <v>2.9807000000000001</v>
          </cell>
          <cell r="H217">
            <v>1.381</v>
          </cell>
        </row>
        <row r="218">
          <cell r="A218" t="str">
            <v>GRMZM2G313184</v>
          </cell>
          <cell r="B218" t="str">
            <v>GO:0004601GO:0006979GO:0020037GO:0009055</v>
          </cell>
          <cell r="C218" t="str">
            <v>peroxidase 47-like</v>
          </cell>
          <cell r="D218" t="str">
            <v>MT0</v>
          </cell>
          <cell r="E218" t="str">
            <v>MT24</v>
          </cell>
          <cell r="F218">
            <v>1.5629</v>
          </cell>
          <cell r="G218">
            <v>3.18485</v>
          </cell>
          <cell r="H218">
            <v>1.0269999999999999</v>
          </cell>
        </row>
        <row r="219">
          <cell r="A219" t="str">
            <v>GRMZM2G175995</v>
          </cell>
          <cell r="B219" t="str">
            <v>GO:0050825GO:0042309GO:0050826</v>
          </cell>
          <cell r="C219" t="str">
            <v>auxin regulated gene involved in organ size 5</v>
          </cell>
          <cell r="D219" t="str">
            <v>MT0</v>
          </cell>
          <cell r="E219" t="str">
            <v>MT24</v>
          </cell>
          <cell r="F219">
            <v>11.4343</v>
          </cell>
          <cell r="G219">
            <v>5.4442000000000004</v>
          </cell>
          <cell r="H219">
            <v>-1.0705800000000001</v>
          </cell>
        </row>
        <row r="220">
          <cell r="A220" t="str">
            <v>GRMZM2G002630</v>
          </cell>
          <cell r="B220" t="e">
            <v>#N/A</v>
          </cell>
          <cell r="C220" t="str">
            <v>jasmonate-induced protein</v>
          </cell>
          <cell r="D220" t="str">
            <v>MT0</v>
          </cell>
          <cell r="E220" t="str">
            <v>MT24</v>
          </cell>
          <cell r="F220">
            <v>10.684799999999999</v>
          </cell>
          <cell r="G220">
            <v>4.0705600000000004</v>
          </cell>
          <cell r="H220">
            <v>-1.39225</v>
          </cell>
        </row>
        <row r="221">
          <cell r="A221" t="str">
            <v>GRMZM2G163406</v>
          </cell>
          <cell r="B221" t="e">
            <v>#N/A</v>
          </cell>
          <cell r="C221" t="str">
            <v>jasmonate-induced protein</v>
          </cell>
          <cell r="D221" t="str">
            <v>MT0</v>
          </cell>
          <cell r="E221" t="str">
            <v>MT24</v>
          </cell>
          <cell r="F221">
            <v>0.54452599999999995</v>
          </cell>
          <cell r="G221">
            <v>1.8463099999999999</v>
          </cell>
          <cell r="H221">
            <v>1.7615700000000001</v>
          </cell>
        </row>
        <row r="222">
          <cell r="A222" t="str">
            <v>GRMZM2G069335</v>
          </cell>
          <cell r="B222" t="e">
            <v>#N/A</v>
          </cell>
          <cell r="C222" t="str">
            <v>bon1-associated protein 2-like</v>
          </cell>
          <cell r="D222" t="str">
            <v>MT0</v>
          </cell>
          <cell r="E222" t="str">
            <v>MT24</v>
          </cell>
          <cell r="F222">
            <v>1.2552000000000001</v>
          </cell>
          <cell r="G222">
            <v>3.1433399999999998</v>
          </cell>
          <cell r="H222">
            <v>1.32439</v>
          </cell>
        </row>
        <row r="223">
          <cell r="A223" t="str">
            <v>GRMZM2G533031</v>
          </cell>
          <cell r="B223" t="e">
            <v>#N/A</v>
          </cell>
          <cell r="C223" t="str">
            <v>protein tas-like</v>
          </cell>
          <cell r="D223" t="str">
            <v>MT0</v>
          </cell>
          <cell r="E223" t="str">
            <v>MT24</v>
          </cell>
          <cell r="F223">
            <v>4.1208799999999997</v>
          </cell>
          <cell r="G223">
            <v>1.7063900000000001</v>
          </cell>
          <cell r="H223">
            <v>-1.2720100000000001</v>
          </cell>
        </row>
        <row r="224">
          <cell r="A224" t="str">
            <v>GRMZM2G447347</v>
          </cell>
          <cell r="B224" t="e">
            <v>#N/A</v>
          </cell>
          <cell r="C224" t="str">
            <v>hypothetical protein SORBIDRAFT_10g002800</v>
          </cell>
          <cell r="D224" t="str">
            <v>MT0</v>
          </cell>
          <cell r="E224" t="str">
            <v>MT24</v>
          </cell>
          <cell r="F224">
            <v>0.77653799999999995</v>
          </cell>
          <cell r="G224">
            <v>2.4469099999999999</v>
          </cell>
          <cell r="H224">
            <v>1.6558299999999999</v>
          </cell>
        </row>
        <row r="225">
          <cell r="A225" t="str">
            <v>GRMZM5G813768</v>
          </cell>
          <cell r="B225" t="e">
            <v>#N/A</v>
          </cell>
          <cell r="C225" t="str">
            <v>unknown</v>
          </cell>
          <cell r="D225" t="str">
            <v>MT0</v>
          </cell>
          <cell r="E225" t="str">
            <v>MT24</v>
          </cell>
          <cell r="F225">
            <v>11.791499999999999</v>
          </cell>
          <cell r="G225">
            <v>5.6215400000000004</v>
          </cell>
          <cell r="H225">
            <v>-1.0687199999999999</v>
          </cell>
        </row>
        <row r="226">
          <cell r="A226" t="str">
            <v>GRMZM2G039383</v>
          </cell>
          <cell r="B226" t="e">
            <v>#N/A</v>
          </cell>
          <cell r="C226" t="str">
            <v>nonspecific lipid-transfer protein precursor</v>
          </cell>
          <cell r="D226" t="str">
            <v>MT0</v>
          </cell>
          <cell r="E226" t="str">
            <v>MT24</v>
          </cell>
          <cell r="F226">
            <v>7.4331100000000001</v>
          </cell>
          <cell r="G226">
            <v>2.2809499999999998</v>
          </cell>
          <cell r="H226">
            <v>-1.7043299999999999</v>
          </cell>
        </row>
        <row r="227">
          <cell r="A227" t="str">
            <v>GRMZM2G122302</v>
          </cell>
          <cell r="B227" t="str">
            <v>GO:0005507GO:0009055</v>
          </cell>
          <cell r="C227" t="str">
            <v>blue copper protein</v>
          </cell>
          <cell r="D227" t="str">
            <v>MT0</v>
          </cell>
          <cell r="E227" t="str">
            <v>MT24</v>
          </cell>
          <cell r="F227">
            <v>4.9151699999999998</v>
          </cell>
          <cell r="G227">
            <v>12.347</v>
          </cell>
          <cell r="H227">
            <v>1.3288500000000001</v>
          </cell>
        </row>
        <row r="228">
          <cell r="A228" t="str">
            <v>GRMZM2G001508</v>
          </cell>
          <cell r="B228" t="str">
            <v>GO:0003993</v>
          </cell>
          <cell r="C228" t="str">
            <v>stem 28 kda glycoprotein precursor</v>
          </cell>
          <cell r="D228" t="str">
            <v>MT0</v>
          </cell>
          <cell r="E228" t="str">
            <v>MT24</v>
          </cell>
          <cell r="F228">
            <v>6.6664399999999997</v>
          </cell>
          <cell r="G228">
            <v>20.982800000000001</v>
          </cell>
          <cell r="H228">
            <v>1.65422</v>
          </cell>
        </row>
        <row r="229">
          <cell r="A229" t="str">
            <v>GRMZM2G137535</v>
          </cell>
          <cell r="B229" t="str">
            <v>GO:0005975GO:0004553</v>
          </cell>
          <cell r="C229" t="str">
            <v>lichenase-2 precursor</v>
          </cell>
          <cell r="D229" t="str">
            <v>MT0</v>
          </cell>
          <cell r="E229" t="str">
            <v>MT24</v>
          </cell>
          <cell r="F229">
            <v>147.08500000000001</v>
          </cell>
          <cell r="G229">
            <v>35.334899999999998</v>
          </cell>
          <cell r="H229">
            <v>-2.05748</v>
          </cell>
        </row>
        <row r="230">
          <cell r="A230" t="str">
            <v>GRMZM2G135165</v>
          </cell>
          <cell r="B230" t="str">
            <v>GO:0005840GO:0016021GO:0003735GO:0050825GO:0042309GO:0050826GO:0007186GO:0006412</v>
          </cell>
          <cell r="C230" t="str">
            <v>uncharacterized protein LOC100384836</v>
          </cell>
          <cell r="D230" t="str">
            <v>MT0</v>
          </cell>
          <cell r="E230" t="str">
            <v>MT24</v>
          </cell>
          <cell r="F230">
            <v>1.7720499999999999</v>
          </cell>
          <cell r="G230">
            <v>5.3822700000000001</v>
          </cell>
          <cell r="H230">
            <v>1.6027899999999999</v>
          </cell>
        </row>
        <row r="231">
          <cell r="A231" t="str">
            <v>GRMZM2G174558</v>
          </cell>
          <cell r="B231" t="e">
            <v>#N/A</v>
          </cell>
          <cell r="C231" t="str">
            <v>dna-binding wrky</v>
          </cell>
          <cell r="D231" t="str">
            <v>MT0</v>
          </cell>
          <cell r="E231" t="str">
            <v>MT24</v>
          </cell>
          <cell r="F231">
            <v>1.07145</v>
          </cell>
          <cell r="G231">
            <v>2.5520800000000001</v>
          </cell>
          <cell r="H231">
            <v>1.2521100000000001</v>
          </cell>
        </row>
        <row r="232">
          <cell r="A232" t="str">
            <v>GRMZM2G465226</v>
          </cell>
          <cell r="B232" t="e">
            <v>#N/A</v>
          </cell>
          <cell r="C232" t="str">
            <v>pathogenesis-related protein class i</v>
          </cell>
          <cell r="D232" t="str">
            <v>MT0</v>
          </cell>
          <cell r="E232" t="str">
            <v>MT24</v>
          </cell>
          <cell r="F232">
            <v>1.14524</v>
          </cell>
          <cell r="G232">
            <v>4.2921699999999996</v>
          </cell>
          <cell r="H232">
            <v>1.90605</v>
          </cell>
        </row>
        <row r="233">
          <cell r="A233" t="str">
            <v>GRMZM2G493395</v>
          </cell>
          <cell r="B233" t="e">
            <v>#N/A</v>
          </cell>
          <cell r="C233" t="str">
            <v>1-deoxy-d-xylulose 5-phosphate synthase</v>
          </cell>
          <cell r="D233" t="str">
            <v>MT0</v>
          </cell>
          <cell r="E233" t="str">
            <v>MT24</v>
          </cell>
          <cell r="F233">
            <v>1.9628399999999999</v>
          </cell>
          <cell r="G233">
            <v>4.6059799999999997</v>
          </cell>
          <cell r="H233">
            <v>1.2305600000000001</v>
          </cell>
        </row>
        <row r="234">
          <cell r="A234" t="str">
            <v>GRMZM2G049990</v>
          </cell>
          <cell r="B234" t="e">
            <v>#N/A</v>
          </cell>
          <cell r="C234" t="str">
            <v>uncharacterized protein LOC100278276</v>
          </cell>
          <cell r="D234" t="str">
            <v>MT0</v>
          </cell>
          <cell r="E234" t="str">
            <v>MT24</v>
          </cell>
          <cell r="F234">
            <v>2.5253899999999998</v>
          </cell>
          <cell r="G234">
            <v>5.6534700000000004</v>
          </cell>
          <cell r="H234">
            <v>1.1626300000000001</v>
          </cell>
        </row>
        <row r="235">
          <cell r="A235" t="str">
            <v>H4C7</v>
          </cell>
          <cell r="B235" t="e">
            <v>#N/A</v>
          </cell>
          <cell r="C235" t="e">
            <v>#N/A</v>
          </cell>
          <cell r="D235" t="str">
            <v>MT0</v>
          </cell>
          <cell r="E235" t="str">
            <v>MT24</v>
          </cell>
          <cell r="F235">
            <v>19.536799999999999</v>
          </cell>
          <cell r="G235">
            <v>115.267</v>
          </cell>
          <cell r="H235">
            <v>2.5607099999999998</v>
          </cell>
        </row>
        <row r="236">
          <cell r="A236" t="str">
            <v>GRMZM2G431288</v>
          </cell>
          <cell r="B236" t="str">
            <v>GO:0004497GO:0020037GO:0009055</v>
          </cell>
          <cell r="C236" t="str">
            <v>elicitor-inducible cytochrome p450</v>
          </cell>
          <cell r="D236" t="str">
            <v>MT0</v>
          </cell>
          <cell r="E236" t="str">
            <v>MT24</v>
          </cell>
          <cell r="F236">
            <v>3.3915799999999998</v>
          </cell>
          <cell r="G236">
            <v>9.2575500000000002</v>
          </cell>
          <cell r="H236">
            <v>1.4486699999999999</v>
          </cell>
        </row>
        <row r="237">
          <cell r="A237" t="str">
            <v>GRMZM2G076778</v>
          </cell>
          <cell r="B237" t="e">
            <v>#N/A</v>
          </cell>
          <cell r="C237" t="str">
            <v>uncharacterized protein LOC100276620</v>
          </cell>
          <cell r="D237" t="str">
            <v>MT0</v>
          </cell>
          <cell r="E237" t="str">
            <v>MT24</v>
          </cell>
          <cell r="F237">
            <v>1.10076</v>
          </cell>
          <cell r="G237">
            <v>2.4778799999999999</v>
          </cell>
          <cell r="H237">
            <v>1.1706099999999999</v>
          </cell>
        </row>
        <row r="238">
          <cell r="A238" t="str">
            <v>GRMZM2G018108</v>
          </cell>
          <cell r="B238" t="str">
            <v>GO:0006508GO:0004190</v>
          </cell>
          <cell r="C238" t="str">
            <v>aspartic proteinase nepenthesin-1 precursor</v>
          </cell>
          <cell r="D238" t="str">
            <v>MT0</v>
          </cell>
          <cell r="E238" t="str">
            <v>MT24</v>
          </cell>
          <cell r="F238">
            <v>0.42467700000000003</v>
          </cell>
          <cell r="G238">
            <v>0.91515100000000005</v>
          </cell>
          <cell r="H238">
            <v>1.10764</v>
          </cell>
        </row>
        <row r="239">
          <cell r="A239" t="str">
            <v>AC196726.2_FG001</v>
          </cell>
          <cell r="B239" t="e">
            <v>#N/A</v>
          </cell>
          <cell r="C239" t="e">
            <v>#N/A</v>
          </cell>
          <cell r="D239" t="str">
            <v>MT0</v>
          </cell>
          <cell r="E239" t="str">
            <v>MT24</v>
          </cell>
          <cell r="F239">
            <v>0</v>
          </cell>
          <cell r="G239">
            <v>1.3039799999999999</v>
          </cell>
          <cell r="H239" t="str">
            <v>inf</v>
          </cell>
        </row>
        <row r="240">
          <cell r="A240" t="str">
            <v>GRMZM2G013530</v>
          </cell>
          <cell r="B240" t="str">
            <v>GO:0016747</v>
          </cell>
          <cell r="C240" t="str">
            <v>agmatine coumaroyltransferase-2-like</v>
          </cell>
          <cell r="D240" t="str">
            <v>MT0</v>
          </cell>
          <cell r="E240" t="str">
            <v>MT24</v>
          </cell>
          <cell r="F240">
            <v>1.0042599999999999</v>
          </cell>
          <cell r="G240">
            <v>0.48621900000000001</v>
          </cell>
          <cell r="H240">
            <v>-1.0464500000000001</v>
          </cell>
        </row>
        <row r="241">
          <cell r="A241" t="str">
            <v>GRMZM2G075794</v>
          </cell>
          <cell r="B241" t="e">
            <v>#N/A</v>
          </cell>
          <cell r="C241" t="str">
            <v>hypothetical protein SORBIDRAFT_02g034730</v>
          </cell>
          <cell r="D241" t="str">
            <v>MT0</v>
          </cell>
          <cell r="E241" t="str">
            <v>MT24</v>
          </cell>
          <cell r="F241">
            <v>0.56196800000000002</v>
          </cell>
          <cell r="G241">
            <v>1.33792</v>
          </cell>
          <cell r="H241">
            <v>1.25143</v>
          </cell>
        </row>
        <row r="242">
          <cell r="A242" t="str">
            <v>GRMZM2G431039</v>
          </cell>
          <cell r="B242" t="str">
            <v>GO:0005975GO:0004553</v>
          </cell>
          <cell r="C242" t="str">
            <v>beta- -glucanase</v>
          </cell>
          <cell r="D242" t="str">
            <v>MT0</v>
          </cell>
          <cell r="E242" t="str">
            <v>MT24</v>
          </cell>
          <cell r="F242">
            <v>0.87416000000000005</v>
          </cell>
          <cell r="G242">
            <v>3.2027399999999999</v>
          </cell>
          <cell r="H242">
            <v>1.87334</v>
          </cell>
        </row>
        <row r="243">
          <cell r="A243" t="str">
            <v>GRMZM2G459663</v>
          </cell>
          <cell r="B243" t="str">
            <v>GO:0050825GO:0005509GO:0042309GO:0050826</v>
          </cell>
          <cell r="C243" t="str">
            <v>ef hand family protein</v>
          </cell>
          <cell r="D243" t="str">
            <v>MT0</v>
          </cell>
          <cell r="E243" t="str">
            <v>MT24</v>
          </cell>
          <cell r="F243">
            <v>1.31369</v>
          </cell>
          <cell r="G243">
            <v>4.9887600000000001</v>
          </cell>
          <cell r="H243">
            <v>1.92506</v>
          </cell>
        </row>
        <row r="244">
          <cell r="A244" t="str">
            <v>GRMZM2G348863</v>
          </cell>
          <cell r="B244" t="e">
            <v>#N/A</v>
          </cell>
          <cell r="C244" t="str">
            <v>protein</v>
          </cell>
          <cell r="D244" t="str">
            <v>MT0</v>
          </cell>
          <cell r="E244" t="str">
            <v>MT24</v>
          </cell>
          <cell r="F244">
            <v>8.5692299999999992</v>
          </cell>
          <cell r="G244">
            <v>19.185400000000001</v>
          </cell>
          <cell r="H244">
            <v>1.1627700000000001</v>
          </cell>
        </row>
        <row r="245">
          <cell r="A245" t="str">
            <v>GRMZM2G170542</v>
          </cell>
          <cell r="B245" t="e">
            <v>#N/A</v>
          </cell>
          <cell r="C245" t="str">
            <v>uncharacterized protein LOC100382838</v>
          </cell>
          <cell r="D245" t="str">
            <v>MT0</v>
          </cell>
          <cell r="E245" t="str">
            <v>MT24</v>
          </cell>
          <cell r="F245">
            <v>21.600100000000001</v>
          </cell>
          <cell r="G245">
            <v>10.1302</v>
          </cell>
          <cell r="H245">
            <v>-1.0923700000000001</v>
          </cell>
        </row>
        <row r="246">
          <cell r="A246" t="str">
            <v>GRMZM2G076417</v>
          </cell>
          <cell r="B246" t="str">
            <v>GO:0006508GO:0043086GO:0042802GO:0004252</v>
          </cell>
          <cell r="C246" t="str">
            <v>subtilisin-like protease-like</v>
          </cell>
          <cell r="D246" t="str">
            <v>MT0</v>
          </cell>
          <cell r="E246" t="str">
            <v>MT24</v>
          </cell>
          <cell r="F246">
            <v>1.6393899999999999</v>
          </cell>
          <cell r="G246">
            <v>3.3403999999999998</v>
          </cell>
          <cell r="H246">
            <v>1.0268600000000001</v>
          </cell>
        </row>
        <row r="247">
          <cell r="A247" t="str">
            <v>GRMZM2G002396</v>
          </cell>
          <cell r="B247" t="e">
            <v>#N/A</v>
          </cell>
          <cell r="C247" t="str">
            <v>integral membrane family protein</v>
          </cell>
          <cell r="D247" t="str">
            <v>MT0</v>
          </cell>
          <cell r="E247" t="str">
            <v>MT24</v>
          </cell>
          <cell r="F247">
            <v>27.026499999999999</v>
          </cell>
          <cell r="G247">
            <v>12.1327</v>
          </cell>
          <cell r="H247">
            <v>-1.1554800000000001</v>
          </cell>
        </row>
        <row r="248">
          <cell r="A248" t="str">
            <v>GRMZM2G125653</v>
          </cell>
          <cell r="B248" t="str">
            <v>GO:0003700GO:0043565GO:0005634GO:0045449</v>
          </cell>
          <cell r="C248" t="str">
            <v>wrky dna-binding protein</v>
          </cell>
          <cell r="D248" t="str">
            <v>MT0</v>
          </cell>
          <cell r="E248" t="str">
            <v>MT24</v>
          </cell>
          <cell r="F248">
            <v>1.0212699999999999</v>
          </cell>
          <cell r="G248">
            <v>4.2843799999999996</v>
          </cell>
          <cell r="H248">
            <v>2.06873</v>
          </cell>
        </row>
        <row r="249">
          <cell r="A249" t="str">
            <v>GRMZM2G169149</v>
          </cell>
          <cell r="B249" t="str">
            <v>GO:0003700GO:0043565GO:0005634GO:0045449</v>
          </cell>
          <cell r="C249" t="str">
            <v>wrky62 - superfamily of tfs having wrky and zinc finger domains</v>
          </cell>
          <cell r="D249" t="str">
            <v>MT0</v>
          </cell>
          <cell r="E249" t="str">
            <v>MT24</v>
          </cell>
          <cell r="F249">
            <v>0.273982</v>
          </cell>
          <cell r="G249">
            <v>1.3799699999999999</v>
          </cell>
          <cell r="H249">
            <v>2.33249</v>
          </cell>
        </row>
        <row r="250">
          <cell r="A250" t="str">
            <v>GRMZM2G180080</v>
          </cell>
          <cell r="B250" t="str">
            <v>GO:0017111GO:0005524</v>
          </cell>
          <cell r="C250" t="str">
            <v>probable mitochondrial chaperone bcs1-b-like</v>
          </cell>
          <cell r="D250" t="str">
            <v>MT0</v>
          </cell>
          <cell r="E250" t="str">
            <v>MT24</v>
          </cell>
          <cell r="F250">
            <v>0.63456599999999996</v>
          </cell>
          <cell r="G250">
            <v>1.3706700000000001</v>
          </cell>
          <cell r="H250">
            <v>1.11104</v>
          </cell>
        </row>
        <row r="251">
          <cell r="A251" t="str">
            <v>GRMZM2G009103</v>
          </cell>
          <cell r="B251" t="str">
            <v>GO:0016020</v>
          </cell>
          <cell r="C251" t="str">
            <v>auxin-induced protein 5ng4-like</v>
          </cell>
          <cell r="D251" t="str">
            <v>MT0</v>
          </cell>
          <cell r="E251" t="str">
            <v>MT24</v>
          </cell>
          <cell r="F251">
            <v>0.420429</v>
          </cell>
          <cell r="G251">
            <v>0.91216900000000001</v>
          </cell>
          <cell r="H251">
            <v>1.11744</v>
          </cell>
        </row>
        <row r="252">
          <cell r="A252" t="str">
            <v>GRMZM2G374971</v>
          </cell>
          <cell r="B252" t="e">
            <v>#N/A</v>
          </cell>
          <cell r="C252" t="str">
            <v>zeamatin-like protein</v>
          </cell>
          <cell r="D252" t="str">
            <v>MT0</v>
          </cell>
          <cell r="E252" t="str">
            <v>MT24</v>
          </cell>
          <cell r="F252">
            <v>2.0800700000000001</v>
          </cell>
          <cell r="G252">
            <v>4.36233</v>
          </cell>
          <cell r="H252">
            <v>1.06846</v>
          </cell>
        </row>
        <row r="253">
          <cell r="A253" t="str">
            <v>GRMZM2G049882</v>
          </cell>
          <cell r="B253" t="str">
            <v>GO:0006508GO:0008234</v>
          </cell>
          <cell r="C253" t="str">
            <v>thiol protease sen102 precursor</v>
          </cell>
          <cell r="D253" t="str">
            <v>MT0</v>
          </cell>
          <cell r="E253" t="str">
            <v>MT24</v>
          </cell>
          <cell r="F253">
            <v>2.5417000000000001</v>
          </cell>
          <cell r="G253">
            <v>5.6402799999999997</v>
          </cell>
          <cell r="H253">
            <v>1.1499699999999999</v>
          </cell>
        </row>
        <row r="254">
          <cell r="A254" t="str">
            <v>GRMZM2G351469</v>
          </cell>
          <cell r="B254" t="e">
            <v>#N/A</v>
          </cell>
          <cell r="C254" t="str">
            <v>uncharacterized protein LOC100275855 precursor</v>
          </cell>
          <cell r="D254" t="str">
            <v>MT0</v>
          </cell>
          <cell r="E254" t="str">
            <v>MT24</v>
          </cell>
          <cell r="F254">
            <v>3.98814</v>
          </cell>
          <cell r="G254">
            <v>8.1445699999999999</v>
          </cell>
          <cell r="H254">
            <v>1.0301199999999999</v>
          </cell>
        </row>
        <row r="255">
          <cell r="A255" t="str">
            <v>GRMZM2G167497</v>
          </cell>
          <cell r="B255" t="str">
            <v>GO:0030246</v>
          </cell>
          <cell r="C255" t="str">
            <v>cobra-like protein 4</v>
          </cell>
          <cell r="D255" t="str">
            <v>MT0</v>
          </cell>
          <cell r="E255" t="str">
            <v>MT24</v>
          </cell>
          <cell r="F255">
            <v>1.2781</v>
          </cell>
          <cell r="G255">
            <v>3.96956</v>
          </cell>
          <cell r="H255">
            <v>1.6349800000000001</v>
          </cell>
        </row>
        <row r="256">
          <cell r="A256" t="str">
            <v>GRMZM2G014729</v>
          </cell>
          <cell r="B256" t="str">
            <v>GO:0003824GO:0005992</v>
          </cell>
          <cell r="C256" t="str">
            <v>ramosa 3</v>
          </cell>
          <cell r="D256" t="str">
            <v>MT0</v>
          </cell>
          <cell r="E256" t="str">
            <v>MT24</v>
          </cell>
          <cell r="F256">
            <v>2.2004299999999999</v>
          </cell>
          <cell r="G256">
            <v>1.0806800000000001</v>
          </cell>
          <cell r="H256">
            <v>-1.0258499999999999</v>
          </cell>
        </row>
        <row r="257">
          <cell r="A257" t="str">
            <v>GRMZM2G000451</v>
          </cell>
          <cell r="B257" t="e">
            <v>#N/A</v>
          </cell>
          <cell r="C257" t="str">
            <v>endonuclease exonuclease phosphatase domain-containing protein</v>
          </cell>
          <cell r="D257" t="str">
            <v>MT0</v>
          </cell>
          <cell r="E257" t="str">
            <v>MT24</v>
          </cell>
          <cell r="F257">
            <v>1.2860799999999999</v>
          </cell>
          <cell r="G257">
            <v>2.6039099999999999</v>
          </cell>
          <cell r="H257">
            <v>1.0177</v>
          </cell>
        </row>
        <row r="258">
          <cell r="A258" t="str">
            <v>GRMZM2G173124</v>
          </cell>
          <cell r="B258" t="str">
            <v>GO:0008270GO:0003676</v>
          </cell>
          <cell r="C258" t="str">
            <v>nucleic acid binding protein</v>
          </cell>
          <cell r="D258" t="str">
            <v>MT0</v>
          </cell>
          <cell r="E258" t="str">
            <v>MT24</v>
          </cell>
          <cell r="F258">
            <v>8.7642900000000008</v>
          </cell>
          <cell r="G258">
            <v>4.3768000000000002</v>
          </cell>
          <cell r="H258">
            <v>-1.00176</v>
          </cell>
        </row>
        <row r="259">
          <cell r="A259" t="str">
            <v>GRMZM2G148904</v>
          </cell>
          <cell r="B259" t="str">
            <v>GO:0008168GO:0008152</v>
          </cell>
          <cell r="C259" t="str">
            <v>methyltransferase ddb_g0268948-like</v>
          </cell>
          <cell r="D259" t="str">
            <v>MT0</v>
          </cell>
          <cell r="E259" t="str">
            <v>MT24</v>
          </cell>
          <cell r="F259">
            <v>1.85599</v>
          </cell>
          <cell r="G259">
            <v>4.8905599999999998</v>
          </cell>
          <cell r="H259">
            <v>1.39781</v>
          </cell>
        </row>
        <row r="260">
          <cell r="A260" t="str">
            <v>GRMZM2G004519</v>
          </cell>
          <cell r="B260" t="str">
            <v>GO:0008270GO:0005515</v>
          </cell>
          <cell r="C260" t="str">
            <v>ring-h2 finger protein atl2l</v>
          </cell>
          <cell r="D260" t="str">
            <v>MT0</v>
          </cell>
          <cell r="E260" t="str">
            <v>MT24</v>
          </cell>
          <cell r="F260">
            <v>0.75607899999999995</v>
          </cell>
          <cell r="G260">
            <v>1.5794900000000001</v>
          </cell>
          <cell r="H260">
            <v>1.0628500000000001</v>
          </cell>
        </row>
        <row r="261">
          <cell r="A261" t="str">
            <v>GRMZM5G813809</v>
          </cell>
          <cell r="B261" t="e">
            <v>#N/A</v>
          </cell>
          <cell r="C261">
            <v>0</v>
          </cell>
          <cell r="D261" t="str">
            <v>MT0</v>
          </cell>
          <cell r="E261" t="str">
            <v>MT24</v>
          </cell>
          <cell r="F261">
            <v>0</v>
          </cell>
          <cell r="G261">
            <v>1.93781</v>
          </cell>
          <cell r="H261" t="str">
            <v>inf</v>
          </cell>
        </row>
        <row r="262">
          <cell r="A262" t="str">
            <v>GRMZM2G414315</v>
          </cell>
          <cell r="B262" t="str">
            <v>GO:0003700GO:0043565GO:0005634GO:0045449</v>
          </cell>
          <cell r="C262" t="str">
            <v>wrky transcription factor 22-like</v>
          </cell>
          <cell r="D262" t="str">
            <v>MT0</v>
          </cell>
          <cell r="E262" t="str">
            <v>MT24</v>
          </cell>
          <cell r="F262">
            <v>0.45263100000000001</v>
          </cell>
          <cell r="G262">
            <v>1.1399900000000001</v>
          </cell>
          <cell r="H262">
            <v>1.3326100000000001</v>
          </cell>
        </row>
        <row r="263">
          <cell r="A263" t="str">
            <v>GRMZM5G887068</v>
          </cell>
          <cell r="B263" t="e">
            <v>#N/A</v>
          </cell>
          <cell r="C263" t="str">
            <v>universal stress protein family protein</v>
          </cell>
          <cell r="D263" t="str">
            <v>MT0</v>
          </cell>
          <cell r="E263" t="str">
            <v>MT24</v>
          </cell>
          <cell r="F263">
            <v>2.6737500000000001</v>
          </cell>
          <cell r="G263">
            <v>1.07531</v>
          </cell>
          <cell r="H263">
            <v>-1.3141099999999999</v>
          </cell>
        </row>
        <row r="264">
          <cell r="A264" t="str">
            <v>GRMZM2G166176</v>
          </cell>
          <cell r="B264" t="str">
            <v>GO:0005215GO:0016020GO:0006810GO:0008415GO:0008152</v>
          </cell>
          <cell r="C264" t="str">
            <v>glycerol-3-phosphate acyltransferase 5</v>
          </cell>
          <cell r="D264" t="str">
            <v>MT0</v>
          </cell>
          <cell r="E264" t="str">
            <v>MT24</v>
          </cell>
          <cell r="F264">
            <v>0.52573999999999999</v>
          </cell>
          <cell r="G264">
            <v>1.3131999999999999</v>
          </cell>
          <cell r="H264">
            <v>1.32067</v>
          </cell>
        </row>
        <row r="265">
          <cell r="A265" t="str">
            <v>GRMZM2G380561</v>
          </cell>
          <cell r="B265" t="str">
            <v>GO:0005975GO:0004553</v>
          </cell>
          <cell r="C265" t="str">
            <v>glucan endo- -beta-glucosidase gvi precursor</v>
          </cell>
          <cell r="D265" t="str">
            <v>MT0</v>
          </cell>
          <cell r="E265" t="str">
            <v>MT24</v>
          </cell>
          <cell r="F265">
            <v>0.30116199999999999</v>
          </cell>
          <cell r="G265">
            <v>0.98194999999999999</v>
          </cell>
          <cell r="H265">
            <v>1.7051099999999999</v>
          </cell>
        </row>
        <row r="266">
          <cell r="A266" t="str">
            <v>GRMZM2G124759</v>
          </cell>
          <cell r="B266" t="str">
            <v>GO:0004806GO:0006629</v>
          </cell>
          <cell r="C266" t="str">
            <v>triacylglycerol lipase</v>
          </cell>
          <cell r="D266" t="str">
            <v>MT0</v>
          </cell>
          <cell r="E266" t="str">
            <v>MT24</v>
          </cell>
          <cell r="F266">
            <v>0.29367100000000002</v>
          </cell>
          <cell r="G266">
            <v>1.3219399999999999</v>
          </cell>
          <cell r="H266">
            <v>2.1703800000000002</v>
          </cell>
        </row>
        <row r="267">
          <cell r="A267" t="str">
            <v>GRMZM2G132686</v>
          </cell>
          <cell r="B267" t="str">
            <v>GO:0007018GO:0003777GO:0005524GO:0005875</v>
          </cell>
          <cell r="C267" t="str">
            <v>kinesin-like protein kif2a-like</v>
          </cell>
          <cell r="D267" t="str">
            <v>MT0</v>
          </cell>
          <cell r="E267" t="str">
            <v>MT24</v>
          </cell>
          <cell r="F267">
            <v>0.38103900000000002</v>
          </cell>
          <cell r="G267">
            <v>0.84094899999999995</v>
          </cell>
          <cell r="H267">
            <v>1.14208</v>
          </cell>
        </row>
        <row r="268">
          <cell r="A268" t="str">
            <v>GRMZM2G012728</v>
          </cell>
          <cell r="B268" t="e">
            <v>#N/A</v>
          </cell>
          <cell r="C268" t="str">
            <v>protein phytochrome kinase substrate 4-like</v>
          </cell>
          <cell r="D268" t="str">
            <v>MT0</v>
          </cell>
          <cell r="E268" t="str">
            <v>MT24</v>
          </cell>
          <cell r="F268">
            <v>0.84363200000000005</v>
          </cell>
          <cell r="G268">
            <v>0.356379</v>
          </cell>
          <cell r="H268">
            <v>-1.2432000000000001</v>
          </cell>
        </row>
        <row r="269">
          <cell r="A269" t="str">
            <v>GRMZM2G147840</v>
          </cell>
          <cell r="B269" t="str">
            <v>GO:0050825GO:0042309GO:0050826</v>
          </cell>
          <cell r="C269" t="str">
            <v>hypothetical protein SORBIDRAFT_03g003180</v>
          </cell>
          <cell r="D269" t="str">
            <v>MT0</v>
          </cell>
          <cell r="E269" t="str">
            <v>MT24</v>
          </cell>
          <cell r="F269">
            <v>2.8555799999999998</v>
          </cell>
          <cell r="G269">
            <v>0.948515</v>
          </cell>
          <cell r="H269">
            <v>-1.5900399999999999</v>
          </cell>
        </row>
        <row r="270">
          <cell r="A270" t="str">
            <v>GRMZM2G107479</v>
          </cell>
          <cell r="B270" t="e">
            <v>#N/A</v>
          </cell>
          <cell r="C270" t="str">
            <v>protein</v>
          </cell>
          <cell r="D270" t="str">
            <v>MT0</v>
          </cell>
          <cell r="E270" t="str">
            <v>MT24</v>
          </cell>
          <cell r="F270">
            <v>1.9741500000000001</v>
          </cell>
          <cell r="G270">
            <v>0.80283899999999997</v>
          </cell>
          <cell r="H270">
            <v>-1.2980499999999999</v>
          </cell>
        </row>
        <row r="271">
          <cell r="A271" t="str">
            <v>GRMZM2G097141</v>
          </cell>
          <cell r="B271" t="e">
            <v>#N/A</v>
          </cell>
          <cell r="C271">
            <v>0</v>
          </cell>
          <cell r="D271" t="str">
            <v>MT0</v>
          </cell>
          <cell r="E271" t="str">
            <v>MT24</v>
          </cell>
          <cell r="F271">
            <v>1.24535</v>
          </cell>
          <cell r="G271">
            <v>3.30105</v>
          </cell>
          <cell r="H271">
            <v>1.4063699999999999</v>
          </cell>
        </row>
        <row r="272">
          <cell r="A272" t="str">
            <v>GRMZM2G063880</v>
          </cell>
          <cell r="B272" t="str">
            <v>GO:0003700GO:0043565GO:0005634GO:0045449</v>
          </cell>
          <cell r="C272" t="str">
            <v>wrky transcription factor</v>
          </cell>
          <cell r="D272" t="str">
            <v>MT0</v>
          </cell>
          <cell r="E272" t="str">
            <v>MT24</v>
          </cell>
          <cell r="F272">
            <v>0.210979</v>
          </cell>
          <cell r="G272">
            <v>1.3816900000000001</v>
          </cell>
          <cell r="H272">
            <v>2.7112599999999998</v>
          </cell>
        </row>
        <row r="273">
          <cell r="A273" t="str">
            <v>GRMZM2G154881</v>
          </cell>
          <cell r="B273" t="str">
            <v>GO:0016787</v>
          </cell>
          <cell r="C273" t="str">
            <v>endo- -beta-d-glucanase precursor</v>
          </cell>
          <cell r="D273" t="str">
            <v>MT0</v>
          </cell>
          <cell r="E273" t="str">
            <v>MT24</v>
          </cell>
          <cell r="F273">
            <v>17.814900000000002</v>
          </cell>
          <cell r="G273">
            <v>40.272399999999998</v>
          </cell>
          <cell r="H273">
            <v>1.1767099999999999</v>
          </cell>
        </row>
        <row r="274">
          <cell r="A274" t="str">
            <v>GRMZM2G057116</v>
          </cell>
          <cell r="B274" t="str">
            <v>GO:0003700GO:0043565GO:0005634GO:0045449</v>
          </cell>
          <cell r="C274" t="str">
            <v>wrky transcription factor</v>
          </cell>
          <cell r="D274" t="str">
            <v>MT0</v>
          </cell>
          <cell r="E274" t="str">
            <v>MT24</v>
          </cell>
          <cell r="F274">
            <v>1.44367</v>
          </cell>
          <cell r="G274">
            <v>6.8258200000000002</v>
          </cell>
          <cell r="H274">
            <v>2.2412700000000001</v>
          </cell>
        </row>
        <row r="275">
          <cell r="A275" t="str">
            <v>GRMZM2G055667</v>
          </cell>
          <cell r="B275" t="str">
            <v>GO:0005737GO:0006633GO:0016836</v>
          </cell>
          <cell r="C275" t="str">
            <v>beta-hydroxyacyl-acp dehydratase</v>
          </cell>
          <cell r="D275" t="str">
            <v>MT0</v>
          </cell>
          <cell r="E275" t="str">
            <v>MT24</v>
          </cell>
          <cell r="F275">
            <v>0.60204199999999997</v>
          </cell>
          <cell r="G275">
            <v>1.26708</v>
          </cell>
          <cell r="H275">
            <v>1.07358</v>
          </cell>
        </row>
        <row r="276">
          <cell r="A276" t="str">
            <v>GRMZM2G082959</v>
          </cell>
          <cell r="B276" t="str">
            <v>GO:0016787GO:0008152</v>
          </cell>
          <cell r="C276" t="str">
            <v>cxe carboxylesterase</v>
          </cell>
          <cell r="D276" t="str">
            <v>MT0</v>
          </cell>
          <cell r="E276" t="str">
            <v>MT24</v>
          </cell>
          <cell r="F276">
            <v>0.46313100000000001</v>
          </cell>
          <cell r="G276">
            <v>1.2183200000000001</v>
          </cell>
          <cell r="H276">
            <v>1.3954</v>
          </cell>
        </row>
        <row r="277">
          <cell r="A277" t="str">
            <v>GRMZM2G050286</v>
          </cell>
          <cell r="B277" t="e">
            <v>#N/A</v>
          </cell>
          <cell r="C277" t="str">
            <v>agp16 precursor</v>
          </cell>
          <cell r="D277" t="str">
            <v>MT0</v>
          </cell>
          <cell r="E277" t="str">
            <v>MT24</v>
          </cell>
          <cell r="F277">
            <v>2.9210500000000001</v>
          </cell>
          <cell r="G277">
            <v>0.83888700000000005</v>
          </cell>
          <cell r="H277">
            <v>-1.7999400000000001</v>
          </cell>
        </row>
        <row r="278">
          <cell r="A278" t="str">
            <v>GRMZM2G092804</v>
          </cell>
          <cell r="B278" t="str">
            <v>GO:0051260GO:0016021GO:0007186</v>
          </cell>
          <cell r="C278" t="str">
            <v>unknown</v>
          </cell>
          <cell r="D278" t="str">
            <v>MT0</v>
          </cell>
          <cell r="E278" t="str">
            <v>MT24</v>
          </cell>
          <cell r="F278">
            <v>8.3578700000000001</v>
          </cell>
          <cell r="G278">
            <v>3.6111499999999999</v>
          </cell>
          <cell r="H278">
            <v>-1.21068</v>
          </cell>
        </row>
        <row r="279">
          <cell r="A279" t="str">
            <v>GRMZM5G830949</v>
          </cell>
          <cell r="B279" t="e">
            <v>#N/A</v>
          </cell>
          <cell r="C279" t="str">
            <v>zinc finger</v>
          </cell>
          <cell r="D279" t="str">
            <v>MT0</v>
          </cell>
          <cell r="E279" t="str">
            <v>MT24</v>
          </cell>
          <cell r="F279">
            <v>0.219358</v>
          </cell>
          <cell r="G279">
            <v>0.95014200000000004</v>
          </cell>
          <cell r="H279">
            <v>2.1148500000000001</v>
          </cell>
        </row>
        <row r="280">
          <cell r="A280" t="str">
            <v>GRMZM2G024799</v>
          </cell>
          <cell r="B280" t="e">
            <v>#N/A</v>
          </cell>
          <cell r="C280" t="str">
            <v>protein</v>
          </cell>
          <cell r="D280" t="str">
            <v>MT0</v>
          </cell>
          <cell r="E280" t="str">
            <v>MT24</v>
          </cell>
          <cell r="F280">
            <v>0.84523499999999996</v>
          </cell>
          <cell r="G280">
            <v>1.89985</v>
          </cell>
          <cell r="H280">
            <v>1.1684600000000001</v>
          </cell>
        </row>
        <row r="281">
          <cell r="A281" t="str">
            <v>GRMZM2G148800</v>
          </cell>
          <cell r="B281" t="str">
            <v>GO:0006857GO:0005215GO:0016020</v>
          </cell>
          <cell r="C281" t="str">
            <v>oligopeptide transporter</v>
          </cell>
          <cell r="D281" t="str">
            <v>MT0</v>
          </cell>
          <cell r="E281" t="str">
            <v>MT24</v>
          </cell>
          <cell r="F281">
            <v>0.85007200000000005</v>
          </cell>
          <cell r="G281">
            <v>1.8971100000000001</v>
          </cell>
          <cell r="H281">
            <v>1.15815</v>
          </cell>
        </row>
        <row r="282">
          <cell r="A282" t="str">
            <v>GRMZM2G115422</v>
          </cell>
          <cell r="B282" t="str">
            <v>GO:0050825GO:0016747GO:0042309GO:0050826</v>
          </cell>
          <cell r="C282" t="str">
            <v>protein</v>
          </cell>
          <cell r="D282" t="str">
            <v>MT0</v>
          </cell>
          <cell r="E282" t="str">
            <v>MT24</v>
          </cell>
          <cell r="F282">
            <v>2.8478699999999999</v>
          </cell>
          <cell r="G282">
            <v>1.33674</v>
          </cell>
          <cell r="H282">
            <v>-1.09117</v>
          </cell>
        </row>
        <row r="283">
          <cell r="A283" t="str">
            <v>GRMZM2G064530</v>
          </cell>
          <cell r="B283" t="e">
            <v>#N/A</v>
          </cell>
          <cell r="C283" t="str">
            <v>uncharacterized protein LOC100384107 precursor</v>
          </cell>
          <cell r="D283" t="str">
            <v>MT0</v>
          </cell>
          <cell r="E283" t="str">
            <v>MT24</v>
          </cell>
          <cell r="F283">
            <v>4.0110700000000001</v>
          </cell>
          <cell r="G283">
            <v>1.99187</v>
          </cell>
          <cell r="H283">
            <v>-1.00986</v>
          </cell>
        </row>
        <row r="284">
          <cell r="A284" t="str">
            <v>GRMZM2G106303</v>
          </cell>
          <cell r="B284" t="str">
            <v>GO:0010181GO:0016491</v>
          </cell>
          <cell r="C284" t="str">
            <v>12-oxophytodienoic acid reductase</v>
          </cell>
          <cell r="D284" t="str">
            <v>MT0</v>
          </cell>
          <cell r="E284" t="str">
            <v>MT24</v>
          </cell>
          <cell r="F284">
            <v>1.2545200000000001</v>
          </cell>
          <cell r="G284">
            <v>0.30783300000000002</v>
          </cell>
          <cell r="H284">
            <v>-2.0269200000000001</v>
          </cell>
        </row>
        <row r="285">
          <cell r="A285" t="str">
            <v>GRMZM2G076613</v>
          </cell>
          <cell r="B285" t="e">
            <v>#N/A</v>
          </cell>
          <cell r="C285">
            <v>0</v>
          </cell>
          <cell r="D285" t="str">
            <v>MT0</v>
          </cell>
          <cell r="E285" t="str">
            <v>MT24</v>
          </cell>
          <cell r="F285">
            <v>1.64876</v>
          </cell>
          <cell r="G285">
            <v>0.82301299999999999</v>
          </cell>
          <cell r="H285">
            <v>-1.0024</v>
          </cell>
        </row>
        <row r="286">
          <cell r="A286" t="str">
            <v>GRMZM2G029912</v>
          </cell>
          <cell r="B286" t="str">
            <v>GO:0006633GO:0005506GO:0005783GO:0055114GO:0016491</v>
          </cell>
          <cell r="C286" t="str">
            <v>protein wax2-like isoform 2</v>
          </cell>
          <cell r="D286" t="str">
            <v>MT0</v>
          </cell>
          <cell r="E286" t="str">
            <v>MT24</v>
          </cell>
          <cell r="F286">
            <v>2.9749599999999998</v>
          </cell>
          <cell r="G286">
            <v>7.6640100000000002</v>
          </cell>
          <cell r="H286">
            <v>1.3652299999999999</v>
          </cell>
        </row>
        <row r="287">
          <cell r="A287" t="str">
            <v>GRMZM2G157749</v>
          </cell>
          <cell r="B287" t="str">
            <v>GO:0004932GO:0016020</v>
          </cell>
          <cell r="C287" t="str">
            <v>transmembrane protein 115-like</v>
          </cell>
          <cell r="D287" t="str">
            <v>MT0</v>
          </cell>
          <cell r="E287" t="str">
            <v>MT24</v>
          </cell>
          <cell r="F287">
            <v>0.29553200000000002</v>
          </cell>
          <cell r="G287">
            <v>0.77993400000000002</v>
          </cell>
          <cell r="H287">
            <v>1.40004</v>
          </cell>
        </row>
        <row r="288">
          <cell r="A288" t="str">
            <v>GRMZM2G129815</v>
          </cell>
          <cell r="B288" t="e">
            <v>#N/A</v>
          </cell>
          <cell r="C288" t="str">
            <v>sigma factor binding protein</v>
          </cell>
          <cell r="D288" t="str">
            <v>MT0</v>
          </cell>
          <cell r="E288" t="str">
            <v>MT24</v>
          </cell>
          <cell r="F288">
            <v>1.0661499999999999</v>
          </cell>
          <cell r="G288">
            <v>2.4591500000000002</v>
          </cell>
          <cell r="H288">
            <v>1.2057500000000001</v>
          </cell>
        </row>
        <row r="289">
          <cell r="A289" t="str">
            <v>GRMZM5G891656</v>
          </cell>
          <cell r="B289" t="e">
            <v>#N/A</v>
          </cell>
          <cell r="C289">
            <v>0</v>
          </cell>
          <cell r="D289" t="str">
            <v>MT0</v>
          </cell>
          <cell r="E289" t="str">
            <v>MT24</v>
          </cell>
          <cell r="F289">
            <v>0.18639900000000001</v>
          </cell>
          <cell r="G289">
            <v>0.95028599999999996</v>
          </cell>
          <cell r="H289">
            <v>2.3499699999999999</v>
          </cell>
        </row>
        <row r="290">
          <cell r="A290" t="str">
            <v>GRMZM2G478553</v>
          </cell>
          <cell r="B290" t="str">
            <v>GO:0008270GO:0005515</v>
          </cell>
          <cell r="C290" t="str">
            <v>ring-h2 zinc finger protein</v>
          </cell>
          <cell r="D290" t="str">
            <v>MT0</v>
          </cell>
          <cell r="E290" t="str">
            <v>MT24</v>
          </cell>
          <cell r="F290">
            <v>1.0480100000000001</v>
          </cell>
          <cell r="G290">
            <v>2.6434500000000001</v>
          </cell>
          <cell r="H290">
            <v>1.33477</v>
          </cell>
        </row>
        <row r="291">
          <cell r="A291" t="str">
            <v>GRMZM2G074611</v>
          </cell>
          <cell r="B291" t="e">
            <v>#N/A</v>
          </cell>
          <cell r="C291" t="str">
            <v>dirigent-like protein</v>
          </cell>
          <cell r="D291" t="str">
            <v>MT0</v>
          </cell>
          <cell r="E291" t="str">
            <v>MT24</v>
          </cell>
          <cell r="F291">
            <v>1.1978800000000001</v>
          </cell>
          <cell r="G291">
            <v>4.6419100000000002</v>
          </cell>
          <cell r="H291">
            <v>1.95424</v>
          </cell>
        </row>
        <row r="292">
          <cell r="A292" t="str">
            <v>GRMZM2G171395</v>
          </cell>
          <cell r="B292" t="str">
            <v>GO:0045449GO:0003677</v>
          </cell>
          <cell r="C292" t="str">
            <v>7 protein</v>
          </cell>
          <cell r="D292" t="str">
            <v>MT0</v>
          </cell>
          <cell r="E292" t="str">
            <v>MT24</v>
          </cell>
          <cell r="F292">
            <v>1.18364</v>
          </cell>
          <cell r="G292">
            <v>4.0355499999999997</v>
          </cell>
          <cell r="H292">
            <v>1.7695399999999999</v>
          </cell>
        </row>
        <row r="293">
          <cell r="A293" t="str">
            <v>GRMZM2G138370</v>
          </cell>
          <cell r="B293" t="e">
            <v>#N/A</v>
          </cell>
          <cell r="C293" t="str">
            <v>vq motif family protein</v>
          </cell>
          <cell r="D293" t="str">
            <v>MT0</v>
          </cell>
          <cell r="E293" t="str">
            <v>MT24</v>
          </cell>
          <cell r="F293">
            <v>0.76492800000000005</v>
          </cell>
          <cell r="G293">
            <v>2.2642799999999998</v>
          </cell>
          <cell r="H293">
            <v>1.5656600000000001</v>
          </cell>
        </row>
        <row r="294">
          <cell r="A294" t="str">
            <v>GRMZM2G026143</v>
          </cell>
          <cell r="B294" t="e">
            <v>#N/A</v>
          </cell>
          <cell r="C294" t="str">
            <v>hypothetical protein</v>
          </cell>
          <cell r="D294" t="str">
            <v>MT0</v>
          </cell>
          <cell r="E294" t="str">
            <v>MT24</v>
          </cell>
          <cell r="F294">
            <v>1.5256700000000001</v>
          </cell>
          <cell r="G294">
            <v>5.0885199999999999</v>
          </cell>
          <cell r="H294">
            <v>1.7378</v>
          </cell>
        </row>
        <row r="295">
          <cell r="A295" t="str">
            <v>GRMZM2G337594</v>
          </cell>
          <cell r="B295" t="e">
            <v>#N/A</v>
          </cell>
          <cell r="C295" t="str">
            <v>hypothetical protein</v>
          </cell>
          <cell r="D295" t="str">
            <v>MT0</v>
          </cell>
          <cell r="E295" t="str">
            <v>MT24</v>
          </cell>
          <cell r="F295">
            <v>0.56859899999999997</v>
          </cell>
          <cell r="G295">
            <v>5.8463000000000003</v>
          </cell>
          <cell r="H295">
            <v>3.3620399999999999</v>
          </cell>
        </row>
        <row r="296">
          <cell r="A296" t="str">
            <v>GRMZM2G178645</v>
          </cell>
          <cell r="B296" t="str">
            <v>GO:0017111GO:0005524</v>
          </cell>
          <cell r="C296" t="str">
            <v>aaa-type atpase</v>
          </cell>
          <cell r="D296" t="str">
            <v>MT0</v>
          </cell>
          <cell r="E296" t="str">
            <v>MT24</v>
          </cell>
          <cell r="F296">
            <v>1.80616</v>
          </cell>
          <cell r="G296">
            <v>7.7228700000000003</v>
          </cell>
          <cell r="H296">
            <v>2.0962100000000001</v>
          </cell>
        </row>
        <row r="297">
          <cell r="A297" t="str">
            <v>AC233955.1_FG008</v>
          </cell>
          <cell r="B297" t="e">
            <v>#N/A</v>
          </cell>
          <cell r="C297" t="e">
            <v>#N/A</v>
          </cell>
          <cell r="D297" t="str">
            <v>MT0</v>
          </cell>
          <cell r="E297" t="str">
            <v>MT24</v>
          </cell>
          <cell r="F297">
            <v>0.67998400000000003</v>
          </cell>
          <cell r="G297">
            <v>1.3794200000000001</v>
          </cell>
          <cell r="H297">
            <v>1.0204899999999999</v>
          </cell>
        </row>
        <row r="298">
          <cell r="A298" t="str">
            <v>GRMZM2G098875</v>
          </cell>
          <cell r="B298" t="str">
            <v>GO:0006536GO:0030170GO:0004351</v>
          </cell>
          <cell r="C298" t="str">
            <v>glutamate decarboxylase</v>
          </cell>
          <cell r="D298" t="str">
            <v>MT0</v>
          </cell>
          <cell r="E298" t="str">
            <v>MT24</v>
          </cell>
          <cell r="F298">
            <v>0.495645</v>
          </cell>
          <cell r="G298">
            <v>1.43963</v>
          </cell>
          <cell r="H298">
            <v>1.5383199999999999</v>
          </cell>
        </row>
        <row r="299">
          <cell r="A299" t="str">
            <v>GRMZM2G051689</v>
          </cell>
          <cell r="B299" t="e">
            <v>#N/A</v>
          </cell>
          <cell r="C299" t="str">
            <v>random slug protein</v>
          </cell>
          <cell r="D299" t="str">
            <v>MT0</v>
          </cell>
          <cell r="E299" t="str">
            <v>MT24</v>
          </cell>
          <cell r="F299">
            <v>0.34355400000000003</v>
          </cell>
          <cell r="G299">
            <v>0.81367299999999998</v>
          </cell>
          <cell r="H299">
            <v>1.2439100000000001</v>
          </cell>
        </row>
        <row r="300">
          <cell r="A300" t="str">
            <v>GRMZM2G036351</v>
          </cell>
          <cell r="B300" t="e">
            <v>#N/A</v>
          </cell>
          <cell r="C300" t="str">
            <v>zim motif family protein</v>
          </cell>
          <cell r="D300" t="str">
            <v>MT0</v>
          </cell>
          <cell r="E300" t="str">
            <v>MT24</v>
          </cell>
          <cell r="F300">
            <v>1.15368</v>
          </cell>
          <cell r="G300">
            <v>2.8591299999999999</v>
          </cell>
          <cell r="H300">
            <v>1.3093399999999999</v>
          </cell>
        </row>
        <row r="301">
          <cell r="A301" t="str">
            <v>PSBH</v>
          </cell>
          <cell r="B301" t="e">
            <v>#N/A</v>
          </cell>
          <cell r="C301" t="e">
            <v>#N/A</v>
          </cell>
          <cell r="D301" t="str">
            <v>MT0</v>
          </cell>
          <cell r="E301" t="str">
            <v>MT24</v>
          </cell>
          <cell r="F301">
            <v>1.87649</v>
          </cell>
          <cell r="G301">
            <v>6.2978199999999998</v>
          </cell>
          <cell r="H301">
            <v>1.74682</v>
          </cell>
        </row>
        <row r="302">
          <cell r="A302" t="str">
            <v>GRMZM6G449101</v>
          </cell>
          <cell r="B302" t="e">
            <v>#N/A</v>
          </cell>
          <cell r="C302" t="e">
            <v>#N/A</v>
          </cell>
          <cell r="D302" t="str">
            <v>MT0</v>
          </cell>
          <cell r="E302" t="str">
            <v>MT24</v>
          </cell>
          <cell r="F302">
            <v>2.9822000000000002</v>
          </cell>
          <cell r="G302">
            <v>6.6076600000000001</v>
          </cell>
          <cell r="H302">
            <v>1.1477599999999999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7"/>
  <sheetViews>
    <sheetView workbookViewId="0"/>
  </sheetViews>
  <sheetFormatPr defaultColWidth="8.875" defaultRowHeight="15" x14ac:dyDescent="0.2"/>
  <cols>
    <col min="1" max="2" width="22.125" style="2" customWidth="1"/>
    <col min="3" max="3" width="48.125" style="2" customWidth="1"/>
    <col min="4" max="5" width="9" style="2" customWidth="1"/>
    <col min="6" max="16384" width="8.875" style="2"/>
  </cols>
  <sheetData>
    <row r="1" spans="1:8" s="27" customFormat="1" ht="20.25" x14ac:dyDescent="0.2">
      <c r="A1" s="11" t="s">
        <v>3532</v>
      </c>
      <c r="B1" s="26"/>
    </row>
    <row r="2" spans="1:8" s="27" customFormat="1" ht="18" x14ac:dyDescent="0.2">
      <c r="A2" s="23" t="s">
        <v>3516</v>
      </c>
      <c r="B2" s="24"/>
      <c r="C2" s="25"/>
    </row>
    <row r="3" spans="1:8" s="27" customFormat="1" ht="18" x14ac:dyDescent="0.2">
      <c r="A3" s="23" t="s">
        <v>3517</v>
      </c>
      <c r="B3" s="24"/>
      <c r="C3" s="25"/>
    </row>
    <row r="4" spans="1:8" s="27" customFormat="1" ht="18" x14ac:dyDescent="0.2">
      <c r="A4" s="23" t="s">
        <v>3518</v>
      </c>
      <c r="B4" s="24"/>
      <c r="C4" s="25"/>
    </row>
    <row r="5" spans="1:8" s="27" customFormat="1" ht="18" x14ac:dyDescent="0.2">
      <c r="A5" s="23" t="s">
        <v>3519</v>
      </c>
      <c r="B5" s="24"/>
      <c r="C5" s="25"/>
    </row>
    <row r="6" spans="1:8" s="27" customFormat="1" ht="18" x14ac:dyDescent="0.2">
      <c r="A6" s="23" t="s">
        <v>3520</v>
      </c>
      <c r="B6" s="24"/>
      <c r="C6" s="25"/>
    </row>
    <row r="7" spans="1:8" s="27" customFormat="1" ht="18" x14ac:dyDescent="0.2">
      <c r="A7" s="23" t="s">
        <v>3521</v>
      </c>
      <c r="B7" s="24"/>
      <c r="C7" s="25"/>
    </row>
    <row r="8" spans="1:8" s="27" customFormat="1" ht="18" x14ac:dyDescent="0.2">
      <c r="A8" s="23" t="s">
        <v>3531</v>
      </c>
      <c r="B8" s="24"/>
      <c r="C8" s="25"/>
    </row>
    <row r="9" spans="1:8" s="27" customFormat="1" ht="18" x14ac:dyDescent="0.2">
      <c r="A9" s="23" t="s">
        <v>3522</v>
      </c>
      <c r="B9" s="24"/>
      <c r="C9" s="25"/>
    </row>
    <row r="10" spans="1:8" s="27" customFormat="1" ht="18" x14ac:dyDescent="0.2">
      <c r="A10" s="28" t="s">
        <v>3020</v>
      </c>
      <c r="B10" s="28" t="s">
        <v>3023</v>
      </c>
      <c r="C10" s="28" t="s">
        <v>1843</v>
      </c>
      <c r="D10" s="28" t="s">
        <v>0</v>
      </c>
      <c r="E10" s="28" t="s">
        <v>1</v>
      </c>
      <c r="F10" s="28" t="s">
        <v>2</v>
      </c>
      <c r="G10" s="28" t="s">
        <v>3</v>
      </c>
      <c r="H10" s="28" t="s">
        <v>4</v>
      </c>
    </row>
    <row r="11" spans="1:8" x14ac:dyDescent="0.2">
      <c r="A11" s="2" t="s">
        <v>823</v>
      </c>
      <c r="B11" s="2" t="s">
        <v>3015</v>
      </c>
      <c r="C11" s="2" t="s">
        <v>3019</v>
      </c>
      <c r="D11" s="2" t="s">
        <v>1839</v>
      </c>
      <c r="E11" s="2" t="s">
        <v>1841</v>
      </c>
      <c r="F11" s="2">
        <v>0.13825399999999999</v>
      </c>
      <c r="G11" s="2">
        <v>11.494999999999999</v>
      </c>
      <c r="H11" s="2">
        <v>6.3775399999999998</v>
      </c>
    </row>
    <row r="12" spans="1:8" x14ac:dyDescent="0.2">
      <c r="A12" s="2" t="s">
        <v>269</v>
      </c>
      <c r="B12" s="2" t="s">
        <v>3015</v>
      </c>
      <c r="C12" s="2" t="s">
        <v>1970</v>
      </c>
      <c r="D12" s="2" t="s">
        <v>1836</v>
      </c>
      <c r="E12" s="2" t="s">
        <v>1838</v>
      </c>
      <c r="F12" s="2">
        <v>0.62646100000000005</v>
      </c>
      <c r="G12" s="2">
        <v>38.702599999999997</v>
      </c>
      <c r="H12" s="2">
        <v>5.9490600000000002</v>
      </c>
    </row>
    <row r="13" spans="1:8" x14ac:dyDescent="0.2">
      <c r="A13" s="2" t="s">
        <v>145</v>
      </c>
      <c r="B13" s="2" t="s">
        <v>3015</v>
      </c>
      <c r="C13" s="2" t="s">
        <v>1910</v>
      </c>
      <c r="D13" s="2" t="s">
        <v>1836</v>
      </c>
      <c r="E13" s="2" t="s">
        <v>1838</v>
      </c>
      <c r="F13" s="2">
        <v>0.19189600000000001</v>
      </c>
      <c r="G13" s="2">
        <v>7.9798400000000003</v>
      </c>
      <c r="H13" s="2">
        <v>5.3779700000000004</v>
      </c>
    </row>
    <row r="14" spans="1:8" x14ac:dyDescent="0.2">
      <c r="A14" s="2" t="s">
        <v>498</v>
      </c>
      <c r="B14" s="2" t="s">
        <v>3015</v>
      </c>
      <c r="C14" s="2" t="s">
        <v>2078</v>
      </c>
      <c r="D14" s="2" t="s">
        <v>1839</v>
      </c>
      <c r="E14" s="2" t="s">
        <v>1841</v>
      </c>
      <c r="F14" s="2">
        <v>1.70723</v>
      </c>
      <c r="G14" s="2">
        <v>62.0608</v>
      </c>
      <c r="H14" s="2">
        <v>5.1839500000000003</v>
      </c>
    </row>
    <row r="15" spans="1:8" x14ac:dyDescent="0.2">
      <c r="A15" s="2" t="s">
        <v>266</v>
      </c>
      <c r="B15" s="2" t="s">
        <v>3103</v>
      </c>
      <c r="C15" s="2" t="s">
        <v>3015</v>
      </c>
      <c r="D15" s="2" t="s">
        <v>1836</v>
      </c>
      <c r="E15" s="2" t="s">
        <v>1838</v>
      </c>
      <c r="F15" s="2">
        <v>1.0129300000000001</v>
      </c>
      <c r="G15" s="2">
        <v>35.860199999999999</v>
      </c>
      <c r="H15" s="2">
        <v>5.1457800000000002</v>
      </c>
    </row>
    <row r="16" spans="1:8" x14ac:dyDescent="0.2">
      <c r="A16" s="2" t="s">
        <v>630</v>
      </c>
      <c r="B16" s="2" t="s">
        <v>3179</v>
      </c>
      <c r="C16" s="2" t="s">
        <v>2137</v>
      </c>
      <c r="D16" s="2" t="s">
        <v>1839</v>
      </c>
      <c r="E16" s="2" t="s">
        <v>1841</v>
      </c>
      <c r="F16" s="2">
        <v>1.19113</v>
      </c>
      <c r="G16" s="2">
        <v>41.421999999999997</v>
      </c>
      <c r="H16" s="2">
        <v>5.1199899999999996</v>
      </c>
    </row>
    <row r="17" spans="1:8" x14ac:dyDescent="0.2">
      <c r="A17" s="2" t="s">
        <v>243</v>
      </c>
      <c r="B17" s="2" t="s">
        <v>3015</v>
      </c>
      <c r="C17" s="2" t="s">
        <v>1957</v>
      </c>
      <c r="D17" s="2" t="s">
        <v>1836</v>
      </c>
      <c r="E17" s="2" t="s">
        <v>1837</v>
      </c>
      <c r="F17" s="2">
        <v>0.45131300000000002</v>
      </c>
      <c r="G17" s="2">
        <v>15.3552</v>
      </c>
      <c r="H17" s="2">
        <v>5.0884499999999999</v>
      </c>
    </row>
    <row r="18" spans="1:8" x14ac:dyDescent="0.2">
      <c r="A18" s="2" t="s">
        <v>581</v>
      </c>
      <c r="B18" s="2" t="s">
        <v>3167</v>
      </c>
      <c r="C18" s="2" t="s">
        <v>2117</v>
      </c>
      <c r="D18" s="2" t="s">
        <v>1839</v>
      </c>
      <c r="E18" s="2" t="s">
        <v>1841</v>
      </c>
      <c r="F18" s="2">
        <v>6.3385999999999996</v>
      </c>
      <c r="G18" s="2">
        <v>201.72900000000001</v>
      </c>
      <c r="H18" s="2">
        <v>4.9921100000000003</v>
      </c>
    </row>
    <row r="19" spans="1:8" x14ac:dyDescent="0.2">
      <c r="A19" s="2" t="s">
        <v>145</v>
      </c>
      <c r="B19" s="2" t="s">
        <v>3015</v>
      </c>
      <c r="C19" s="2" t="s">
        <v>1910</v>
      </c>
      <c r="D19" s="2" t="s">
        <v>1836</v>
      </c>
      <c r="E19" s="2" t="s">
        <v>1837</v>
      </c>
      <c r="F19" s="2">
        <v>0.19189600000000001</v>
      </c>
      <c r="G19" s="2">
        <v>5.8318300000000001</v>
      </c>
      <c r="H19" s="2">
        <v>4.9255599999999999</v>
      </c>
    </row>
    <row r="20" spans="1:8" x14ac:dyDescent="0.2">
      <c r="A20" s="2" t="s">
        <v>269</v>
      </c>
      <c r="B20" s="2" t="s">
        <v>3015</v>
      </c>
      <c r="C20" s="2" t="s">
        <v>1970</v>
      </c>
      <c r="D20" s="2" t="s">
        <v>1836</v>
      </c>
      <c r="E20" s="2" t="s">
        <v>1837</v>
      </c>
      <c r="F20" s="2">
        <v>0.62646100000000005</v>
      </c>
      <c r="G20" s="2">
        <v>12.7577</v>
      </c>
      <c r="H20" s="2">
        <v>4.3479999999999999</v>
      </c>
    </row>
    <row r="21" spans="1:8" x14ac:dyDescent="0.2">
      <c r="A21" s="2" t="s">
        <v>579</v>
      </c>
      <c r="B21" s="2" t="s">
        <v>3341</v>
      </c>
      <c r="C21" s="2" t="s">
        <v>2509</v>
      </c>
      <c r="D21" s="2" t="s">
        <v>1839</v>
      </c>
      <c r="E21" s="2" t="s">
        <v>1841</v>
      </c>
      <c r="F21" s="2">
        <v>0.404387</v>
      </c>
      <c r="G21" s="2">
        <v>8.2021099999999993</v>
      </c>
      <c r="H21" s="2">
        <v>4.3421900000000004</v>
      </c>
    </row>
    <row r="22" spans="1:8" x14ac:dyDescent="0.2">
      <c r="A22" s="2" t="s">
        <v>266</v>
      </c>
      <c r="B22" s="2" t="s">
        <v>3103</v>
      </c>
      <c r="C22" s="2" t="s">
        <v>3015</v>
      </c>
      <c r="D22" s="2" t="s">
        <v>1836</v>
      </c>
      <c r="E22" s="2" t="s">
        <v>1837</v>
      </c>
      <c r="F22" s="2">
        <v>1.0129300000000001</v>
      </c>
      <c r="G22" s="2">
        <v>20.145700000000001</v>
      </c>
      <c r="H22" s="2">
        <v>4.3138699999999996</v>
      </c>
    </row>
    <row r="23" spans="1:8" x14ac:dyDescent="0.2">
      <c r="A23" s="2" t="s">
        <v>1084</v>
      </c>
      <c r="B23" s="2" t="s">
        <v>3015</v>
      </c>
      <c r="C23" s="2" t="s">
        <v>1847</v>
      </c>
      <c r="D23" s="2" t="s">
        <v>1836</v>
      </c>
      <c r="E23" s="2" t="s">
        <v>1837</v>
      </c>
      <c r="F23" s="2">
        <v>0.154308</v>
      </c>
      <c r="G23" s="2">
        <v>2.7341299999999999</v>
      </c>
      <c r="H23" s="2">
        <v>4.1471900000000002</v>
      </c>
    </row>
    <row r="24" spans="1:8" x14ac:dyDescent="0.2">
      <c r="A24" s="2" t="s">
        <v>61</v>
      </c>
      <c r="B24" s="2" t="s">
        <v>3043</v>
      </c>
      <c r="C24" s="2" t="s">
        <v>1872</v>
      </c>
      <c r="D24" s="2" t="s">
        <v>1839</v>
      </c>
      <c r="E24" s="2" t="s">
        <v>1841</v>
      </c>
      <c r="F24" s="2">
        <v>0.49207600000000001</v>
      </c>
      <c r="G24" s="2">
        <v>8.6511999999999993</v>
      </c>
      <c r="H24" s="2">
        <v>4.1359500000000002</v>
      </c>
    </row>
    <row r="25" spans="1:8" x14ac:dyDescent="0.2">
      <c r="A25" s="2" t="s">
        <v>446</v>
      </c>
      <c r="B25" s="2" t="s">
        <v>3038</v>
      </c>
      <c r="C25" s="2" t="s">
        <v>2050</v>
      </c>
      <c r="D25" s="2" t="s">
        <v>1836</v>
      </c>
      <c r="E25" s="2" t="s">
        <v>1837</v>
      </c>
      <c r="F25" s="2">
        <v>6.15478E-2</v>
      </c>
      <c r="G25" s="2">
        <v>1.0560400000000001</v>
      </c>
      <c r="H25" s="2">
        <v>4.1008100000000001</v>
      </c>
    </row>
    <row r="26" spans="1:8" x14ac:dyDescent="0.2">
      <c r="A26" s="2" t="s">
        <v>823</v>
      </c>
      <c r="B26" s="2" t="s">
        <v>3015</v>
      </c>
      <c r="C26" s="2" t="s">
        <v>2218</v>
      </c>
      <c r="D26" s="2" t="s">
        <v>1836</v>
      </c>
      <c r="E26" s="2" t="s">
        <v>1837</v>
      </c>
      <c r="F26" s="2">
        <v>0.49745699999999998</v>
      </c>
      <c r="G26" s="2">
        <v>8.3309200000000008</v>
      </c>
      <c r="H26" s="2">
        <v>4.0658300000000001</v>
      </c>
    </row>
    <row r="27" spans="1:8" x14ac:dyDescent="0.2">
      <c r="A27" s="2" t="s">
        <v>360</v>
      </c>
      <c r="B27" s="2" t="s">
        <v>3124</v>
      </c>
      <c r="C27" s="2" t="s">
        <v>3015</v>
      </c>
      <c r="D27" s="2" t="s">
        <v>1836</v>
      </c>
      <c r="E27" s="2" t="s">
        <v>1837</v>
      </c>
      <c r="F27" s="2">
        <v>0.77188000000000001</v>
      </c>
      <c r="G27" s="2">
        <v>12.0535</v>
      </c>
      <c r="H27" s="2">
        <v>3.9649399999999999</v>
      </c>
    </row>
    <row r="28" spans="1:8" x14ac:dyDescent="0.2">
      <c r="A28" s="2" t="s">
        <v>92</v>
      </c>
      <c r="B28" s="2" t="s">
        <v>3024</v>
      </c>
      <c r="C28" s="2" t="s">
        <v>1883</v>
      </c>
      <c r="D28" s="2" t="s">
        <v>1836</v>
      </c>
      <c r="E28" s="2" t="s">
        <v>1837</v>
      </c>
      <c r="F28" s="2">
        <v>7.9632499999999995E-2</v>
      </c>
      <c r="G28" s="2">
        <v>1.1493899999999999</v>
      </c>
      <c r="H28" s="2">
        <v>3.8513700000000002</v>
      </c>
    </row>
    <row r="29" spans="1:8" x14ac:dyDescent="0.2">
      <c r="A29" s="2" t="s">
        <v>825</v>
      </c>
      <c r="B29" s="2" t="s">
        <v>3015</v>
      </c>
      <c r="C29" s="2" t="s">
        <v>2579</v>
      </c>
      <c r="D29" s="2" t="s">
        <v>1839</v>
      </c>
      <c r="E29" s="2" t="s">
        <v>1841</v>
      </c>
      <c r="F29" s="2">
        <v>1.14524</v>
      </c>
      <c r="G29" s="2">
        <v>16.429500000000001</v>
      </c>
      <c r="H29" s="2">
        <v>3.8425600000000002</v>
      </c>
    </row>
    <row r="30" spans="1:8" x14ac:dyDescent="0.2">
      <c r="A30" s="2" t="s">
        <v>136</v>
      </c>
      <c r="B30" s="2" t="s">
        <v>3037</v>
      </c>
      <c r="C30" s="2" t="s">
        <v>2232</v>
      </c>
      <c r="D30" s="2" t="s">
        <v>1839</v>
      </c>
      <c r="E30" s="2" t="s">
        <v>1841</v>
      </c>
      <c r="F30" s="2">
        <v>0.93967500000000004</v>
      </c>
      <c r="G30" s="2">
        <v>13.369</v>
      </c>
      <c r="H30" s="2">
        <v>3.8305899999999999</v>
      </c>
    </row>
    <row r="31" spans="1:8" x14ac:dyDescent="0.2">
      <c r="A31" s="2" t="s">
        <v>1143</v>
      </c>
      <c r="B31" s="2" t="s">
        <v>3179</v>
      </c>
      <c r="C31" s="2" t="s">
        <v>2375</v>
      </c>
      <c r="D31" s="2" t="s">
        <v>1836</v>
      </c>
      <c r="E31" s="2" t="s">
        <v>1838</v>
      </c>
      <c r="F31" s="2">
        <v>0.117338</v>
      </c>
      <c r="G31" s="2">
        <v>1.6271</v>
      </c>
      <c r="H31" s="2">
        <v>3.7935599999999998</v>
      </c>
    </row>
    <row r="32" spans="1:8" x14ac:dyDescent="0.2">
      <c r="A32" s="2" t="s">
        <v>360</v>
      </c>
      <c r="B32" s="2" t="s">
        <v>3124</v>
      </c>
      <c r="C32" s="2" t="s">
        <v>3015</v>
      </c>
      <c r="D32" s="2" t="s">
        <v>1839</v>
      </c>
      <c r="E32" s="2" t="s">
        <v>1841</v>
      </c>
      <c r="F32" s="2">
        <v>0.32437300000000002</v>
      </c>
      <c r="G32" s="2">
        <v>4.2087300000000001</v>
      </c>
      <c r="H32" s="2">
        <v>3.6976599999999999</v>
      </c>
    </row>
    <row r="33" spans="1:8" x14ac:dyDescent="0.2">
      <c r="A33" s="2" t="s">
        <v>406</v>
      </c>
      <c r="B33" s="2" t="s">
        <v>3326</v>
      </c>
      <c r="C33" s="2" t="s">
        <v>2473</v>
      </c>
      <c r="D33" s="2" t="s">
        <v>1839</v>
      </c>
      <c r="E33" s="2" t="s">
        <v>1841</v>
      </c>
      <c r="F33" s="2">
        <v>4.2021199999999999</v>
      </c>
      <c r="G33" s="2">
        <v>53.833199999999998</v>
      </c>
      <c r="H33" s="2">
        <v>3.6793100000000001</v>
      </c>
    </row>
    <row r="34" spans="1:8" x14ac:dyDescent="0.2">
      <c r="A34" s="2" t="s">
        <v>1755</v>
      </c>
      <c r="B34" s="2" t="s">
        <v>3015</v>
      </c>
      <c r="C34" s="2" t="s">
        <v>2924</v>
      </c>
      <c r="D34" s="2" t="s">
        <v>1839</v>
      </c>
      <c r="E34" s="2" t="s">
        <v>1841</v>
      </c>
      <c r="F34" s="2">
        <v>0.23058999999999999</v>
      </c>
      <c r="G34" s="2">
        <v>2.76789</v>
      </c>
      <c r="H34" s="2">
        <v>3.5853899999999999</v>
      </c>
    </row>
    <row r="35" spans="1:8" x14ac:dyDescent="0.2">
      <c r="A35" s="2" t="s">
        <v>1259</v>
      </c>
      <c r="B35" s="2" t="s">
        <v>3015</v>
      </c>
      <c r="C35" s="2" t="s">
        <v>3016</v>
      </c>
      <c r="D35" s="2" t="s">
        <v>1839</v>
      </c>
      <c r="E35" s="2" t="s">
        <v>1841</v>
      </c>
      <c r="F35" s="2">
        <v>0.92873600000000001</v>
      </c>
      <c r="G35" s="2">
        <v>10.382899999999999</v>
      </c>
      <c r="H35" s="2">
        <v>3.4827900000000001</v>
      </c>
    </row>
    <row r="36" spans="1:8" x14ac:dyDescent="0.2">
      <c r="A36" s="2" t="s">
        <v>924</v>
      </c>
      <c r="B36" s="2" t="s">
        <v>3239</v>
      </c>
      <c r="C36" s="2" t="s">
        <v>1847</v>
      </c>
      <c r="D36" s="2" t="s">
        <v>1836</v>
      </c>
      <c r="E36" s="2" t="s">
        <v>1837</v>
      </c>
      <c r="F36" s="2">
        <v>0.68254000000000004</v>
      </c>
      <c r="G36" s="2">
        <v>7.5961400000000001</v>
      </c>
      <c r="H36" s="2">
        <v>3.47628</v>
      </c>
    </row>
    <row r="37" spans="1:8" x14ac:dyDescent="0.2">
      <c r="A37" s="2" t="s">
        <v>1362</v>
      </c>
      <c r="B37" s="2" t="s">
        <v>3353</v>
      </c>
      <c r="C37" s="2" t="s">
        <v>2548</v>
      </c>
      <c r="D37" s="2" t="s">
        <v>1839</v>
      </c>
      <c r="E37" s="2" t="s">
        <v>1841</v>
      </c>
      <c r="F37" s="2">
        <v>0.39604699999999998</v>
      </c>
      <c r="G37" s="2">
        <v>4.3617699999999999</v>
      </c>
      <c r="H37" s="2">
        <v>3.4611700000000001</v>
      </c>
    </row>
    <row r="38" spans="1:8" x14ac:dyDescent="0.2">
      <c r="A38" s="2" t="s">
        <v>60</v>
      </c>
      <c r="B38" s="2" t="s">
        <v>3015</v>
      </c>
      <c r="C38" s="2" t="s">
        <v>1871</v>
      </c>
      <c r="D38" s="2" t="s">
        <v>1836</v>
      </c>
      <c r="E38" s="2" t="s">
        <v>1837</v>
      </c>
      <c r="F38" s="2">
        <v>1.17746</v>
      </c>
      <c r="G38" s="2">
        <v>12.6069</v>
      </c>
      <c r="H38" s="2">
        <v>3.4204599999999998</v>
      </c>
    </row>
    <row r="39" spans="1:8" x14ac:dyDescent="0.2">
      <c r="A39" s="2" t="s">
        <v>738</v>
      </c>
      <c r="B39" s="2" t="s">
        <v>3015</v>
      </c>
      <c r="C39" s="2" t="s">
        <v>1847</v>
      </c>
      <c r="D39" s="2" t="s">
        <v>1839</v>
      </c>
      <c r="E39" s="2" t="s">
        <v>1841</v>
      </c>
      <c r="F39" s="2">
        <v>0.96927700000000006</v>
      </c>
      <c r="G39" s="2">
        <v>10.285399999999999</v>
      </c>
      <c r="H39" s="2">
        <v>3.40754</v>
      </c>
    </row>
    <row r="40" spans="1:8" x14ac:dyDescent="0.2">
      <c r="A40" s="2" t="s">
        <v>215</v>
      </c>
      <c r="B40" s="2" t="s">
        <v>3015</v>
      </c>
      <c r="C40" s="2" t="s">
        <v>1946</v>
      </c>
      <c r="D40" s="2" t="s">
        <v>1836</v>
      </c>
      <c r="E40" s="2" t="s">
        <v>1837</v>
      </c>
      <c r="F40" s="2">
        <v>0.103158</v>
      </c>
      <c r="G40" s="2">
        <v>1.08331</v>
      </c>
      <c r="H40" s="2">
        <v>3.3925200000000002</v>
      </c>
    </row>
    <row r="41" spans="1:8" x14ac:dyDescent="0.2">
      <c r="A41" s="2" t="s">
        <v>1096</v>
      </c>
      <c r="B41" s="2" t="s">
        <v>3015</v>
      </c>
      <c r="C41" s="2" t="s">
        <v>1880</v>
      </c>
      <c r="D41" s="2" t="s">
        <v>1839</v>
      </c>
      <c r="E41" s="2" t="s">
        <v>1840</v>
      </c>
      <c r="F41" s="2">
        <v>0.56859899999999997</v>
      </c>
      <c r="G41" s="2">
        <v>5.8463000000000003</v>
      </c>
      <c r="H41" s="2">
        <v>3.3620399999999999</v>
      </c>
    </row>
    <row r="42" spans="1:8" x14ac:dyDescent="0.2">
      <c r="A42" s="2" t="s">
        <v>345</v>
      </c>
      <c r="B42" s="2" t="s">
        <v>3122</v>
      </c>
      <c r="C42" s="2" t="s">
        <v>1847</v>
      </c>
      <c r="D42" s="2" t="s">
        <v>1836</v>
      </c>
      <c r="E42" s="2" t="s">
        <v>1838</v>
      </c>
      <c r="F42" s="2">
        <v>0.44957799999999998</v>
      </c>
      <c r="G42" s="2">
        <v>4.5030999999999999</v>
      </c>
      <c r="H42" s="2">
        <v>3.3242799999999999</v>
      </c>
    </row>
    <row r="43" spans="1:8" x14ac:dyDescent="0.2">
      <c r="A43" s="2" t="s">
        <v>82</v>
      </c>
      <c r="B43" s="2" t="s">
        <v>3048</v>
      </c>
      <c r="C43" s="2" t="s">
        <v>1881</v>
      </c>
      <c r="D43" s="2" t="s">
        <v>1836</v>
      </c>
      <c r="E43" s="2" t="s">
        <v>1837</v>
      </c>
      <c r="F43" s="2">
        <v>0.47378100000000001</v>
      </c>
      <c r="G43" s="2">
        <v>4.6431300000000002</v>
      </c>
      <c r="H43" s="2">
        <v>3.2928099999999998</v>
      </c>
    </row>
    <row r="44" spans="1:8" x14ac:dyDescent="0.2">
      <c r="A44" s="2" t="s">
        <v>528</v>
      </c>
      <c r="B44" s="2" t="s">
        <v>3015</v>
      </c>
      <c r="C44" s="2" t="s">
        <v>1844</v>
      </c>
      <c r="D44" s="2" t="s">
        <v>1839</v>
      </c>
      <c r="E44" s="2" t="s">
        <v>1841</v>
      </c>
      <c r="F44" s="2">
        <v>1.0430699999999999</v>
      </c>
      <c r="G44" s="2">
        <v>10.1744</v>
      </c>
      <c r="H44" s="2">
        <v>3.2860399999999998</v>
      </c>
    </row>
    <row r="45" spans="1:8" x14ac:dyDescent="0.2">
      <c r="A45" s="2" t="s">
        <v>628</v>
      </c>
      <c r="B45" s="2" t="s">
        <v>3178</v>
      </c>
      <c r="C45" s="2" t="s">
        <v>2087</v>
      </c>
      <c r="D45" s="2" t="s">
        <v>1839</v>
      </c>
      <c r="E45" s="2" t="s">
        <v>1841</v>
      </c>
      <c r="F45" s="2">
        <v>0.51327699999999998</v>
      </c>
      <c r="G45" s="2">
        <v>4.8539099999999999</v>
      </c>
      <c r="H45" s="2">
        <v>3.2413400000000001</v>
      </c>
    </row>
    <row r="46" spans="1:8" x14ac:dyDescent="0.2">
      <c r="A46" s="2" t="s">
        <v>302</v>
      </c>
      <c r="B46" s="2" t="s">
        <v>3109</v>
      </c>
      <c r="C46" s="2" t="s">
        <v>1983</v>
      </c>
      <c r="D46" s="2" t="s">
        <v>1836</v>
      </c>
      <c r="E46" s="2" t="s">
        <v>1837</v>
      </c>
      <c r="F46" s="2">
        <v>0.58928599999999998</v>
      </c>
      <c r="G46" s="2">
        <v>5.5100100000000003</v>
      </c>
      <c r="H46" s="2">
        <v>3.2250200000000002</v>
      </c>
    </row>
    <row r="47" spans="1:8" x14ac:dyDescent="0.2">
      <c r="A47" s="2" t="s">
        <v>1057</v>
      </c>
      <c r="B47" s="2" t="s">
        <v>3183</v>
      </c>
      <c r="C47" s="2" t="s">
        <v>2958</v>
      </c>
      <c r="D47" s="2" t="s">
        <v>1839</v>
      </c>
      <c r="E47" s="2" t="s">
        <v>1841</v>
      </c>
      <c r="F47" s="2">
        <v>2.9749599999999998</v>
      </c>
      <c r="G47" s="2">
        <v>26.625800000000002</v>
      </c>
      <c r="H47" s="2">
        <v>3.16188</v>
      </c>
    </row>
    <row r="48" spans="1:8" x14ac:dyDescent="0.2">
      <c r="A48" s="2" t="s">
        <v>207</v>
      </c>
      <c r="B48" s="2" t="s">
        <v>3085</v>
      </c>
      <c r="C48" s="2" t="s">
        <v>1942</v>
      </c>
      <c r="D48" s="2" t="s">
        <v>1836</v>
      </c>
      <c r="E48" s="2" t="s">
        <v>1837</v>
      </c>
      <c r="F48" s="2">
        <v>0.185561</v>
      </c>
      <c r="G48" s="2">
        <v>1.6388199999999999</v>
      </c>
      <c r="H48" s="2">
        <v>3.14269</v>
      </c>
    </row>
    <row r="49" spans="1:8" x14ac:dyDescent="0.2">
      <c r="A49" s="2" t="s">
        <v>1096</v>
      </c>
      <c r="B49" s="2" t="s">
        <v>3015</v>
      </c>
      <c r="C49" s="2" t="s">
        <v>1880</v>
      </c>
      <c r="D49" s="2" t="s">
        <v>1839</v>
      </c>
      <c r="E49" s="2" t="s">
        <v>1841</v>
      </c>
      <c r="F49" s="2">
        <v>0.56859899999999997</v>
      </c>
      <c r="G49" s="2">
        <v>4.9472199999999997</v>
      </c>
      <c r="H49" s="2">
        <v>3.12113</v>
      </c>
    </row>
    <row r="50" spans="1:8" x14ac:dyDescent="0.2">
      <c r="A50" s="2" t="s">
        <v>1466</v>
      </c>
      <c r="B50" s="2" t="s">
        <v>3313</v>
      </c>
      <c r="C50" s="2" t="s">
        <v>2479</v>
      </c>
      <c r="D50" s="2" t="s">
        <v>1839</v>
      </c>
      <c r="E50" s="2" t="s">
        <v>1841</v>
      </c>
      <c r="F50" s="2">
        <v>1.80616</v>
      </c>
      <c r="G50" s="2">
        <v>15.4863</v>
      </c>
      <c r="H50" s="2">
        <v>3.09999</v>
      </c>
    </row>
    <row r="51" spans="1:8" x14ac:dyDescent="0.2">
      <c r="A51" s="2" t="s">
        <v>768</v>
      </c>
      <c r="B51" s="2" t="s">
        <v>3460</v>
      </c>
      <c r="C51" s="2" t="s">
        <v>3015</v>
      </c>
      <c r="D51" s="2" t="s">
        <v>1839</v>
      </c>
      <c r="E51" s="2" t="s">
        <v>1841</v>
      </c>
      <c r="F51" s="2">
        <v>0.20096900000000001</v>
      </c>
      <c r="G51" s="2">
        <v>1.71706</v>
      </c>
      <c r="H51" s="2">
        <v>3.0949</v>
      </c>
    </row>
    <row r="52" spans="1:8" x14ac:dyDescent="0.2">
      <c r="A52" s="2" t="s">
        <v>323</v>
      </c>
      <c r="B52" s="2" t="s">
        <v>3049</v>
      </c>
      <c r="C52" s="2" t="s">
        <v>1847</v>
      </c>
      <c r="D52" s="2" t="s">
        <v>1836</v>
      </c>
      <c r="E52" s="2" t="s">
        <v>1837</v>
      </c>
      <c r="F52" s="2">
        <v>0.26123499999999999</v>
      </c>
      <c r="G52" s="2">
        <v>2.2105800000000002</v>
      </c>
      <c r="H52" s="2">
        <v>3.08101</v>
      </c>
    </row>
    <row r="53" spans="1:8" x14ac:dyDescent="0.2">
      <c r="A53" s="2" t="s">
        <v>857</v>
      </c>
      <c r="B53" s="2" t="s">
        <v>3124</v>
      </c>
      <c r="C53" s="2" t="s">
        <v>2239</v>
      </c>
      <c r="D53" s="2" t="s">
        <v>1836</v>
      </c>
      <c r="E53" s="2" t="s">
        <v>1837</v>
      </c>
      <c r="F53" s="2">
        <v>0.35525699999999999</v>
      </c>
      <c r="G53" s="2">
        <v>2.9161899999999998</v>
      </c>
      <c r="H53" s="2">
        <v>3.03715</v>
      </c>
    </row>
    <row r="54" spans="1:8" x14ac:dyDescent="0.2">
      <c r="A54" s="2" t="s">
        <v>1691</v>
      </c>
      <c r="B54" s="2" t="s">
        <v>3015</v>
      </c>
      <c r="C54" s="2" t="s">
        <v>3016</v>
      </c>
      <c r="D54" s="2" t="s">
        <v>1839</v>
      </c>
      <c r="E54" s="2" t="s">
        <v>1841</v>
      </c>
      <c r="F54" s="2">
        <v>0.51646899999999996</v>
      </c>
      <c r="G54" s="2">
        <v>4.0503099999999996</v>
      </c>
      <c r="H54" s="2">
        <v>2.9712800000000001</v>
      </c>
    </row>
    <row r="55" spans="1:8" x14ac:dyDescent="0.2">
      <c r="A55" s="2" t="s">
        <v>1307</v>
      </c>
      <c r="B55" s="2" t="s">
        <v>3336</v>
      </c>
      <c r="C55" s="2" t="s">
        <v>2498</v>
      </c>
      <c r="D55" s="2" t="s">
        <v>1839</v>
      </c>
      <c r="E55" s="2" t="s">
        <v>1841</v>
      </c>
      <c r="F55" s="2">
        <v>19.782</v>
      </c>
      <c r="G55" s="2">
        <v>153.86199999999999</v>
      </c>
      <c r="H55" s="2">
        <v>2.9593799999999999</v>
      </c>
    </row>
    <row r="56" spans="1:8" x14ac:dyDescent="0.2">
      <c r="A56" s="2" t="s">
        <v>630</v>
      </c>
      <c r="B56" s="2" t="s">
        <v>3179</v>
      </c>
      <c r="C56" s="2" t="s">
        <v>2137</v>
      </c>
      <c r="D56" s="2" t="s">
        <v>1839</v>
      </c>
      <c r="E56" s="2" t="s">
        <v>1840</v>
      </c>
      <c r="F56" s="2">
        <v>1.19113</v>
      </c>
      <c r="G56" s="2">
        <v>9.2512899999999991</v>
      </c>
      <c r="H56" s="2">
        <v>2.9573200000000002</v>
      </c>
    </row>
    <row r="57" spans="1:8" x14ac:dyDescent="0.2">
      <c r="A57" s="2" t="s">
        <v>1450</v>
      </c>
      <c r="B57" s="2" t="s">
        <v>3175</v>
      </c>
      <c r="C57" s="2" t="s">
        <v>2557</v>
      </c>
      <c r="D57" s="2" t="s">
        <v>1839</v>
      </c>
      <c r="E57" s="2" t="s">
        <v>1841</v>
      </c>
      <c r="F57" s="2">
        <v>0.23741799999999999</v>
      </c>
      <c r="G57" s="2">
        <v>1.8116300000000001</v>
      </c>
      <c r="H57" s="2">
        <v>2.9317899999999999</v>
      </c>
    </row>
    <row r="58" spans="1:8" x14ac:dyDescent="0.2">
      <c r="A58" s="2" t="s">
        <v>988</v>
      </c>
      <c r="B58" s="2" t="s">
        <v>3047</v>
      </c>
      <c r="C58" s="2" t="s">
        <v>2277</v>
      </c>
      <c r="D58" s="2" t="s">
        <v>1839</v>
      </c>
      <c r="E58" s="2" t="s">
        <v>1841</v>
      </c>
      <c r="F58" s="2">
        <v>0.210979</v>
      </c>
      <c r="G58" s="2">
        <v>1.6082099999999999</v>
      </c>
      <c r="H58" s="2">
        <v>2.9302800000000002</v>
      </c>
    </row>
    <row r="59" spans="1:8" x14ac:dyDescent="0.2">
      <c r="A59" s="2" t="s">
        <v>1290</v>
      </c>
      <c r="B59" s="2" t="s">
        <v>3336</v>
      </c>
      <c r="C59" s="2" t="s">
        <v>2498</v>
      </c>
      <c r="D59" s="2" t="s">
        <v>1839</v>
      </c>
      <c r="E59" s="2" t="s">
        <v>1841</v>
      </c>
      <c r="F59" s="2">
        <v>13.4184</v>
      </c>
      <c r="G59" s="2">
        <v>100.02200000000001</v>
      </c>
      <c r="H59" s="2">
        <v>2.8980399999999999</v>
      </c>
    </row>
    <row r="60" spans="1:8" x14ac:dyDescent="0.2">
      <c r="A60" s="2" t="s">
        <v>581</v>
      </c>
      <c r="B60" s="2" t="s">
        <v>3167</v>
      </c>
      <c r="C60" s="2" t="s">
        <v>2117</v>
      </c>
      <c r="D60" s="2" t="s">
        <v>1839</v>
      </c>
      <c r="E60" s="2" t="s">
        <v>1840</v>
      </c>
      <c r="F60" s="2">
        <v>6.3385999999999996</v>
      </c>
      <c r="G60" s="2">
        <v>46.332299999999996</v>
      </c>
      <c r="H60" s="2">
        <v>2.86978</v>
      </c>
    </row>
    <row r="61" spans="1:8" x14ac:dyDescent="0.2">
      <c r="A61" s="2" t="s">
        <v>103</v>
      </c>
      <c r="B61" s="2" t="s">
        <v>3015</v>
      </c>
      <c r="C61" s="2" t="s">
        <v>1887</v>
      </c>
      <c r="D61" s="2" t="s">
        <v>1836</v>
      </c>
      <c r="E61" s="2" t="s">
        <v>1837</v>
      </c>
      <c r="F61" s="2">
        <v>0.43479699999999999</v>
      </c>
      <c r="G61" s="2">
        <v>3.1589</v>
      </c>
      <c r="H61" s="2">
        <v>2.8610099999999998</v>
      </c>
    </row>
    <row r="62" spans="1:8" x14ac:dyDescent="0.2">
      <c r="A62" s="2" t="s">
        <v>1362</v>
      </c>
      <c r="B62" s="2" t="s">
        <v>3353</v>
      </c>
      <c r="C62" s="2" t="s">
        <v>2548</v>
      </c>
      <c r="D62" s="2" t="s">
        <v>1839</v>
      </c>
      <c r="E62" s="2" t="s">
        <v>1840</v>
      </c>
      <c r="F62" s="2">
        <v>0.39604699999999998</v>
      </c>
      <c r="G62" s="2">
        <v>2.83019</v>
      </c>
      <c r="H62" s="2">
        <v>2.8371599999999999</v>
      </c>
    </row>
    <row r="63" spans="1:8" x14ac:dyDescent="0.2">
      <c r="A63" s="2" t="s">
        <v>339</v>
      </c>
      <c r="B63" s="2" t="s">
        <v>3109</v>
      </c>
      <c r="C63" s="2" t="s">
        <v>2734</v>
      </c>
      <c r="D63" s="2" t="s">
        <v>1839</v>
      </c>
      <c r="E63" s="2" t="s">
        <v>1841</v>
      </c>
      <c r="F63" s="2">
        <v>1.31606</v>
      </c>
      <c r="G63" s="2">
        <v>9.2818699999999996</v>
      </c>
      <c r="H63" s="2">
        <v>2.81819</v>
      </c>
    </row>
    <row r="64" spans="1:8" x14ac:dyDescent="0.2">
      <c r="A64" s="2" t="s">
        <v>858</v>
      </c>
      <c r="B64" s="2" t="s">
        <v>3224</v>
      </c>
      <c r="C64" s="2" t="s">
        <v>2240</v>
      </c>
      <c r="D64" s="2" t="s">
        <v>1839</v>
      </c>
      <c r="E64" s="2" t="s">
        <v>1841</v>
      </c>
      <c r="F64" s="2">
        <v>1.2313700000000001</v>
      </c>
      <c r="G64" s="2">
        <v>8.5493500000000004</v>
      </c>
      <c r="H64" s="2">
        <v>2.79555</v>
      </c>
    </row>
    <row r="65" spans="1:8" x14ac:dyDescent="0.2">
      <c r="A65" s="2" t="s">
        <v>1475</v>
      </c>
      <c r="B65" s="2" t="s">
        <v>3386</v>
      </c>
      <c r="C65" s="2" t="s">
        <v>1917</v>
      </c>
      <c r="D65" s="2" t="s">
        <v>1839</v>
      </c>
      <c r="E65" s="2" t="s">
        <v>1841</v>
      </c>
      <c r="F65" s="2">
        <v>0.13027</v>
      </c>
      <c r="G65" s="2">
        <v>0.89085199999999998</v>
      </c>
      <c r="H65" s="2">
        <v>2.7736800000000001</v>
      </c>
    </row>
    <row r="66" spans="1:8" x14ac:dyDescent="0.2">
      <c r="A66" s="2" t="s">
        <v>807</v>
      </c>
      <c r="B66" s="2" t="s">
        <v>3212</v>
      </c>
      <c r="C66" s="2" t="s">
        <v>2211</v>
      </c>
      <c r="D66" s="2" t="s">
        <v>1836</v>
      </c>
      <c r="E66" s="2" t="s">
        <v>1837</v>
      </c>
      <c r="F66" s="2">
        <v>2.8700299999999999</v>
      </c>
      <c r="G66" s="2">
        <v>19.206499999999998</v>
      </c>
      <c r="H66" s="2">
        <v>2.7424499999999998</v>
      </c>
    </row>
    <row r="67" spans="1:8" x14ac:dyDescent="0.2">
      <c r="A67" s="2" t="s">
        <v>877</v>
      </c>
      <c r="B67" s="2" t="s">
        <v>3015</v>
      </c>
      <c r="C67" s="2" t="s">
        <v>2218</v>
      </c>
      <c r="D67" s="2" t="s">
        <v>1836</v>
      </c>
      <c r="E67" s="2" t="s">
        <v>1837</v>
      </c>
      <c r="F67" s="2">
        <v>1.0554699999999999</v>
      </c>
      <c r="G67" s="2">
        <v>6.9134200000000003</v>
      </c>
      <c r="H67" s="2">
        <v>2.7115100000000001</v>
      </c>
    </row>
    <row r="68" spans="1:8" x14ac:dyDescent="0.2">
      <c r="A68" s="2" t="s">
        <v>988</v>
      </c>
      <c r="B68" s="2" t="s">
        <v>3047</v>
      </c>
      <c r="C68" s="2" t="s">
        <v>2277</v>
      </c>
      <c r="D68" s="2" t="s">
        <v>1839</v>
      </c>
      <c r="E68" s="2" t="s">
        <v>1840</v>
      </c>
      <c r="F68" s="2">
        <v>0.210979</v>
      </c>
      <c r="G68" s="2">
        <v>1.3816900000000001</v>
      </c>
      <c r="H68" s="2">
        <v>2.7112599999999998</v>
      </c>
    </row>
    <row r="69" spans="1:8" x14ac:dyDescent="0.2">
      <c r="A69" s="2" t="s">
        <v>821</v>
      </c>
      <c r="B69" s="2" t="s">
        <v>3015</v>
      </c>
      <c r="C69" s="2" t="s">
        <v>2216</v>
      </c>
      <c r="D69" s="2" t="s">
        <v>1839</v>
      </c>
      <c r="E69" s="2" t="s">
        <v>1841</v>
      </c>
      <c r="F69" s="2">
        <v>0.26499899999999998</v>
      </c>
      <c r="G69" s="2">
        <v>1.73248</v>
      </c>
      <c r="H69" s="2">
        <v>2.70878</v>
      </c>
    </row>
    <row r="70" spans="1:8" x14ac:dyDescent="0.2">
      <c r="A70" s="2" t="s">
        <v>179</v>
      </c>
      <c r="B70" s="2" t="s">
        <v>3073</v>
      </c>
      <c r="C70" s="2" t="s">
        <v>3015</v>
      </c>
      <c r="D70" s="2" t="s">
        <v>1836</v>
      </c>
      <c r="E70" s="2" t="s">
        <v>1837</v>
      </c>
      <c r="F70" s="2">
        <v>0.39915200000000001</v>
      </c>
      <c r="G70" s="2">
        <v>2.5778099999999999</v>
      </c>
      <c r="H70" s="2">
        <v>2.6911299999999998</v>
      </c>
    </row>
    <row r="71" spans="1:8" x14ac:dyDescent="0.2">
      <c r="A71" s="2" t="s">
        <v>1610</v>
      </c>
      <c r="B71" s="2" t="s">
        <v>3087</v>
      </c>
      <c r="C71" s="2" t="s">
        <v>2771</v>
      </c>
      <c r="D71" s="2" t="s">
        <v>1839</v>
      </c>
      <c r="E71" s="2" t="s">
        <v>1841</v>
      </c>
      <c r="F71" s="2">
        <v>0.29669000000000001</v>
      </c>
      <c r="G71" s="2">
        <v>1.8984799999999999</v>
      </c>
      <c r="H71" s="2">
        <v>2.6778200000000001</v>
      </c>
    </row>
    <row r="72" spans="1:8" x14ac:dyDescent="0.2">
      <c r="A72" s="2" t="s">
        <v>406</v>
      </c>
      <c r="B72" s="2" t="s">
        <v>3326</v>
      </c>
      <c r="C72" s="2" t="s">
        <v>2473</v>
      </c>
      <c r="D72" s="2" t="s">
        <v>1839</v>
      </c>
      <c r="E72" s="2" t="s">
        <v>1840</v>
      </c>
      <c r="F72" s="2">
        <v>4.2021199999999999</v>
      </c>
      <c r="G72" s="2">
        <v>26.6938</v>
      </c>
      <c r="H72" s="2">
        <v>2.6673200000000001</v>
      </c>
    </row>
    <row r="73" spans="1:8" x14ac:dyDescent="0.2">
      <c r="A73" s="2" t="s">
        <v>1437</v>
      </c>
      <c r="B73" s="2" t="s">
        <v>3015</v>
      </c>
      <c r="C73" s="2" t="s">
        <v>1847</v>
      </c>
      <c r="D73" s="2" t="s">
        <v>1839</v>
      </c>
      <c r="E73" s="2" t="s">
        <v>1841</v>
      </c>
      <c r="F73" s="2">
        <v>0.459756</v>
      </c>
      <c r="G73" s="2">
        <v>2.9192900000000002</v>
      </c>
      <c r="H73" s="2">
        <v>2.6666799999999999</v>
      </c>
    </row>
    <row r="74" spans="1:8" x14ac:dyDescent="0.2">
      <c r="A74" s="2" t="s">
        <v>1095</v>
      </c>
      <c r="B74" s="2" t="s">
        <v>3015</v>
      </c>
      <c r="C74" s="2" t="s">
        <v>1880</v>
      </c>
      <c r="D74" s="2" t="s">
        <v>1839</v>
      </c>
      <c r="E74" s="2" t="s">
        <v>1841</v>
      </c>
      <c r="F74" s="2">
        <v>1.5256700000000001</v>
      </c>
      <c r="G74" s="2">
        <v>9.6262799999999995</v>
      </c>
      <c r="H74" s="2">
        <v>2.65754</v>
      </c>
    </row>
    <row r="75" spans="1:8" x14ac:dyDescent="0.2">
      <c r="A75" s="2" t="s">
        <v>811</v>
      </c>
      <c r="B75" s="2" t="s">
        <v>3464</v>
      </c>
      <c r="C75" s="2" t="s">
        <v>2886</v>
      </c>
      <c r="D75" s="2" t="s">
        <v>1839</v>
      </c>
      <c r="E75" s="2" t="s">
        <v>1841</v>
      </c>
      <c r="F75" s="2">
        <v>0.179226</v>
      </c>
      <c r="G75" s="2">
        <v>1.12802</v>
      </c>
      <c r="H75" s="2">
        <v>2.65394</v>
      </c>
    </row>
    <row r="76" spans="1:8" x14ac:dyDescent="0.2">
      <c r="A76" s="2" t="s">
        <v>323</v>
      </c>
      <c r="B76" s="2" t="s">
        <v>3049</v>
      </c>
      <c r="C76" s="2" t="s">
        <v>1847</v>
      </c>
      <c r="D76" s="2" t="s">
        <v>1836</v>
      </c>
      <c r="E76" s="2" t="s">
        <v>1838</v>
      </c>
      <c r="F76" s="2">
        <v>0.26123499999999999</v>
      </c>
      <c r="G76" s="2">
        <v>1.6354200000000001</v>
      </c>
      <c r="H76" s="2">
        <v>2.6462400000000001</v>
      </c>
    </row>
    <row r="77" spans="1:8" x14ac:dyDescent="0.2">
      <c r="A77" s="2" t="s">
        <v>73</v>
      </c>
      <c r="B77" s="2" t="s">
        <v>3015</v>
      </c>
      <c r="C77" s="2" t="s">
        <v>1880</v>
      </c>
      <c r="D77" s="2" t="s">
        <v>1836</v>
      </c>
      <c r="E77" s="2" t="s">
        <v>1837</v>
      </c>
      <c r="F77" s="2">
        <v>1.7916399999999999</v>
      </c>
      <c r="G77" s="2">
        <v>11.158899999999999</v>
      </c>
      <c r="H77" s="2">
        <v>2.6388400000000001</v>
      </c>
    </row>
    <row r="78" spans="1:8" x14ac:dyDescent="0.2">
      <c r="A78" s="2" t="s">
        <v>870</v>
      </c>
      <c r="B78" s="2" t="s">
        <v>3015</v>
      </c>
      <c r="C78" s="2" t="s">
        <v>1847</v>
      </c>
      <c r="D78" s="2" t="s">
        <v>1836</v>
      </c>
      <c r="E78" s="2" t="s">
        <v>1837</v>
      </c>
      <c r="F78" s="2">
        <v>6.6129699999999998</v>
      </c>
      <c r="G78" s="2">
        <v>41.171399999999998</v>
      </c>
      <c r="H78" s="2">
        <v>2.6382699999999999</v>
      </c>
    </row>
    <row r="79" spans="1:8" x14ac:dyDescent="0.2">
      <c r="A79" s="2" t="s">
        <v>1596</v>
      </c>
      <c r="B79" s="2" t="s">
        <v>3424</v>
      </c>
      <c r="C79" s="2" t="s">
        <v>3015</v>
      </c>
      <c r="D79" s="2" t="s">
        <v>1839</v>
      </c>
      <c r="E79" s="2" t="s">
        <v>1841</v>
      </c>
      <c r="F79" s="2">
        <v>0.15182799999999999</v>
      </c>
      <c r="G79" s="2">
        <v>0.94114600000000004</v>
      </c>
      <c r="H79" s="2">
        <v>2.63198</v>
      </c>
    </row>
    <row r="80" spans="1:8" x14ac:dyDescent="0.2">
      <c r="A80" s="2" t="s">
        <v>1237</v>
      </c>
      <c r="B80" s="2" t="s">
        <v>3313</v>
      </c>
      <c r="C80" s="2" t="s">
        <v>2445</v>
      </c>
      <c r="D80" s="2" t="s">
        <v>1839</v>
      </c>
      <c r="E80" s="2" t="s">
        <v>1841</v>
      </c>
      <c r="F80" s="2">
        <v>0.46317900000000001</v>
      </c>
      <c r="G80" s="2">
        <v>2.8207300000000002</v>
      </c>
      <c r="H80" s="2">
        <v>2.60643</v>
      </c>
    </row>
    <row r="81" spans="1:8" x14ac:dyDescent="0.2">
      <c r="A81" s="2" t="s">
        <v>482</v>
      </c>
      <c r="B81" s="2" t="s">
        <v>3015</v>
      </c>
      <c r="C81" s="2" t="s">
        <v>2069</v>
      </c>
      <c r="D81" s="2" t="s">
        <v>1836</v>
      </c>
      <c r="E81" s="2" t="s">
        <v>1837</v>
      </c>
      <c r="F81" s="2">
        <v>1.3284100000000001</v>
      </c>
      <c r="G81" s="2">
        <v>8.0682899999999993</v>
      </c>
      <c r="H81" s="2">
        <v>2.60256</v>
      </c>
    </row>
    <row r="82" spans="1:8" x14ac:dyDescent="0.2">
      <c r="A82" s="2" t="s">
        <v>1456</v>
      </c>
      <c r="B82" s="2" t="s">
        <v>3015</v>
      </c>
      <c r="C82" s="2" t="s">
        <v>2603</v>
      </c>
      <c r="D82" s="2" t="s">
        <v>1836</v>
      </c>
      <c r="E82" s="2" t="s">
        <v>1838</v>
      </c>
      <c r="F82" s="2">
        <v>0.21152599999999999</v>
      </c>
      <c r="G82" s="2">
        <v>1.27582</v>
      </c>
      <c r="H82" s="2">
        <v>2.59253</v>
      </c>
    </row>
    <row r="83" spans="1:8" x14ac:dyDescent="0.2">
      <c r="A83" s="2" t="s">
        <v>514</v>
      </c>
      <c r="B83" s="2" t="s">
        <v>3045</v>
      </c>
      <c r="C83" s="2" t="s">
        <v>2491</v>
      </c>
      <c r="D83" s="2" t="s">
        <v>1839</v>
      </c>
      <c r="E83" s="2" t="s">
        <v>1841</v>
      </c>
      <c r="F83" s="2">
        <v>1.5641799999999999</v>
      </c>
      <c r="G83" s="2">
        <v>9.4170499999999997</v>
      </c>
      <c r="H83" s="2">
        <v>2.5898599999999998</v>
      </c>
    </row>
    <row r="84" spans="1:8" x14ac:dyDescent="0.2">
      <c r="A84" s="2" t="s">
        <v>1351</v>
      </c>
      <c r="B84" s="2" t="s">
        <v>3031</v>
      </c>
      <c r="C84" s="2" t="s">
        <v>2831</v>
      </c>
      <c r="D84" s="2" t="s">
        <v>1839</v>
      </c>
      <c r="E84" s="2" t="s">
        <v>1841</v>
      </c>
      <c r="F84" s="2">
        <v>1.4604900000000001</v>
      </c>
      <c r="G84" s="2">
        <v>8.7434100000000008</v>
      </c>
      <c r="H84" s="2">
        <v>2.5817399999999999</v>
      </c>
    </row>
    <row r="85" spans="1:8" x14ac:dyDescent="0.2">
      <c r="A85" s="2" t="s">
        <v>952</v>
      </c>
      <c r="B85" s="2" t="s">
        <v>3256</v>
      </c>
      <c r="C85" s="2" t="s">
        <v>2316</v>
      </c>
      <c r="D85" s="2" t="s">
        <v>1836</v>
      </c>
      <c r="E85" s="2" t="s">
        <v>1838</v>
      </c>
      <c r="F85" s="2">
        <v>1.94963</v>
      </c>
      <c r="G85" s="2">
        <v>11.5223</v>
      </c>
      <c r="H85" s="2">
        <v>2.5631599999999999</v>
      </c>
    </row>
    <row r="86" spans="1:8" x14ac:dyDescent="0.2">
      <c r="A86" s="2" t="s">
        <v>8</v>
      </c>
      <c r="B86" s="2" t="s">
        <v>3015</v>
      </c>
      <c r="C86" s="2" t="s">
        <v>3015</v>
      </c>
      <c r="D86" s="2" t="s">
        <v>1839</v>
      </c>
      <c r="E86" s="2" t="s">
        <v>1840</v>
      </c>
      <c r="F86" s="2">
        <v>19.536799999999999</v>
      </c>
      <c r="G86" s="2">
        <v>115.267</v>
      </c>
      <c r="H86" s="2">
        <v>2.5607099999999998</v>
      </c>
    </row>
    <row r="87" spans="1:8" x14ac:dyDescent="0.2">
      <c r="A87" s="2" t="s">
        <v>579</v>
      </c>
      <c r="B87" s="2" t="s">
        <v>3341</v>
      </c>
      <c r="C87" s="2" t="s">
        <v>2509</v>
      </c>
      <c r="D87" s="2" t="s">
        <v>1839</v>
      </c>
      <c r="E87" s="2" t="s">
        <v>1840</v>
      </c>
      <c r="F87" s="2">
        <v>0.404387</v>
      </c>
      <c r="G87" s="2">
        <v>2.3762400000000001</v>
      </c>
      <c r="H87" s="2">
        <v>2.5548700000000002</v>
      </c>
    </row>
    <row r="88" spans="1:8" x14ac:dyDescent="0.2">
      <c r="A88" s="2" t="s">
        <v>498</v>
      </c>
      <c r="B88" s="2" t="s">
        <v>3015</v>
      </c>
      <c r="C88" s="2" t="s">
        <v>2078</v>
      </c>
      <c r="D88" s="2" t="s">
        <v>1839</v>
      </c>
      <c r="E88" s="2" t="s">
        <v>1840</v>
      </c>
      <c r="F88" s="2">
        <v>1.70723</v>
      </c>
      <c r="G88" s="2">
        <v>9.9009099999999997</v>
      </c>
      <c r="H88" s="2">
        <v>2.5358999999999998</v>
      </c>
    </row>
    <row r="89" spans="1:8" x14ac:dyDescent="0.2">
      <c r="A89" s="2" t="s">
        <v>1242</v>
      </c>
      <c r="B89" s="2" t="s">
        <v>3300</v>
      </c>
      <c r="C89" s="2" t="s">
        <v>2450</v>
      </c>
      <c r="D89" s="2" t="s">
        <v>1839</v>
      </c>
      <c r="E89" s="2" t="s">
        <v>1841</v>
      </c>
      <c r="F89" s="2">
        <v>0.81349899999999997</v>
      </c>
      <c r="G89" s="2">
        <v>4.5639700000000003</v>
      </c>
      <c r="H89" s="2">
        <v>2.4880800000000001</v>
      </c>
    </row>
    <row r="90" spans="1:8" x14ac:dyDescent="0.2">
      <c r="A90" s="2" t="s">
        <v>1270</v>
      </c>
      <c r="B90" s="2" t="s">
        <v>3327</v>
      </c>
      <c r="C90" s="2" t="s">
        <v>2474</v>
      </c>
      <c r="D90" s="2" t="s">
        <v>1836</v>
      </c>
      <c r="E90" s="2" t="s">
        <v>1838</v>
      </c>
      <c r="F90" s="2">
        <v>0.164627</v>
      </c>
      <c r="G90" s="2">
        <v>0.92244099999999996</v>
      </c>
      <c r="H90" s="2">
        <v>2.4862600000000001</v>
      </c>
    </row>
    <row r="91" spans="1:8" x14ac:dyDescent="0.2">
      <c r="A91" s="2" t="s">
        <v>1709</v>
      </c>
      <c r="B91" s="2" t="s">
        <v>3129</v>
      </c>
      <c r="C91" s="2" t="s">
        <v>2595</v>
      </c>
      <c r="D91" s="2" t="s">
        <v>1839</v>
      </c>
      <c r="E91" s="2" t="s">
        <v>1841</v>
      </c>
      <c r="F91" s="2">
        <v>0.46269300000000002</v>
      </c>
      <c r="G91" s="2">
        <v>2.58744</v>
      </c>
      <c r="H91" s="2">
        <v>2.4834000000000001</v>
      </c>
    </row>
    <row r="92" spans="1:8" x14ac:dyDescent="0.2">
      <c r="A92" s="2" t="s">
        <v>476</v>
      </c>
      <c r="B92" s="2" t="s">
        <v>3147</v>
      </c>
      <c r="C92" s="2" t="s">
        <v>2066</v>
      </c>
      <c r="D92" s="2" t="s">
        <v>1836</v>
      </c>
      <c r="E92" s="2" t="s">
        <v>1838</v>
      </c>
      <c r="F92" s="2">
        <v>0.87570499999999996</v>
      </c>
      <c r="G92" s="2">
        <v>4.8879900000000003</v>
      </c>
      <c r="H92" s="2">
        <v>2.4807199999999998</v>
      </c>
    </row>
    <row r="93" spans="1:8" x14ac:dyDescent="0.2">
      <c r="A93" s="2" t="s">
        <v>150</v>
      </c>
      <c r="B93" s="2" t="s">
        <v>3015</v>
      </c>
      <c r="C93" s="2" t="s">
        <v>2409</v>
      </c>
      <c r="D93" s="2" t="s">
        <v>1839</v>
      </c>
      <c r="E93" s="2" t="s">
        <v>1841</v>
      </c>
      <c r="F93" s="2">
        <v>0.62633300000000003</v>
      </c>
      <c r="G93" s="2">
        <v>3.4843099999999998</v>
      </c>
      <c r="H93" s="2">
        <v>2.47587</v>
      </c>
    </row>
    <row r="94" spans="1:8" x14ac:dyDescent="0.2">
      <c r="A94" s="2" t="s">
        <v>103</v>
      </c>
      <c r="B94" s="2" t="s">
        <v>3015</v>
      </c>
      <c r="C94" s="2" t="s">
        <v>1887</v>
      </c>
      <c r="D94" s="2" t="s">
        <v>1839</v>
      </c>
      <c r="E94" s="2" t="s">
        <v>1841</v>
      </c>
      <c r="F94" s="2">
        <v>0.67612799999999995</v>
      </c>
      <c r="G94" s="2">
        <v>3.7468900000000001</v>
      </c>
      <c r="H94" s="2">
        <v>2.4703200000000001</v>
      </c>
    </row>
    <row r="95" spans="1:8" x14ac:dyDescent="0.2">
      <c r="A95" s="2" t="s">
        <v>143</v>
      </c>
      <c r="B95" s="2" t="s">
        <v>3294</v>
      </c>
      <c r="C95" s="2" t="s">
        <v>2407</v>
      </c>
      <c r="D95" s="2" t="s">
        <v>1839</v>
      </c>
      <c r="E95" s="2" t="s">
        <v>1841</v>
      </c>
      <c r="F95" s="2">
        <v>1.6326099999999999</v>
      </c>
      <c r="G95" s="2">
        <v>9.0201600000000006</v>
      </c>
      <c r="H95" s="2">
        <v>2.46597</v>
      </c>
    </row>
    <row r="96" spans="1:8" x14ac:dyDescent="0.2">
      <c r="A96" s="2" t="s">
        <v>1425</v>
      </c>
      <c r="B96" s="2" t="s">
        <v>3081</v>
      </c>
      <c r="C96" s="2" t="s">
        <v>1965</v>
      </c>
      <c r="D96" s="2" t="s">
        <v>1839</v>
      </c>
      <c r="E96" s="2" t="s">
        <v>1841</v>
      </c>
      <c r="F96" s="2">
        <v>0.75607899999999995</v>
      </c>
      <c r="G96" s="2">
        <v>4.1680299999999999</v>
      </c>
      <c r="H96" s="2">
        <v>2.4627599999999998</v>
      </c>
    </row>
    <row r="97" spans="1:8" x14ac:dyDescent="0.2">
      <c r="A97" s="2" t="s">
        <v>630</v>
      </c>
      <c r="B97" s="2" t="s">
        <v>3179</v>
      </c>
      <c r="C97" s="2" t="s">
        <v>2137</v>
      </c>
      <c r="D97" s="2" t="s">
        <v>1836</v>
      </c>
      <c r="E97" s="2" t="s">
        <v>1837</v>
      </c>
      <c r="F97" s="2">
        <v>9.6281999999999996</v>
      </c>
      <c r="G97" s="2">
        <v>53.067</v>
      </c>
      <c r="H97" s="2">
        <v>2.4624799999999998</v>
      </c>
    </row>
    <row r="98" spans="1:8" x14ac:dyDescent="0.2">
      <c r="A98" s="2" t="s">
        <v>807</v>
      </c>
      <c r="B98" s="2" t="s">
        <v>3212</v>
      </c>
      <c r="C98" s="2" t="s">
        <v>2211</v>
      </c>
      <c r="D98" s="2" t="s">
        <v>1839</v>
      </c>
      <c r="E98" s="2" t="s">
        <v>1841</v>
      </c>
      <c r="F98" s="2">
        <v>1.7720499999999999</v>
      </c>
      <c r="G98" s="2">
        <v>9.7557700000000001</v>
      </c>
      <c r="H98" s="2">
        <v>2.4608300000000001</v>
      </c>
    </row>
    <row r="99" spans="1:8" x14ac:dyDescent="0.2">
      <c r="A99" s="2" t="s">
        <v>581</v>
      </c>
      <c r="B99" s="2" t="s">
        <v>3167</v>
      </c>
      <c r="C99" s="2" t="s">
        <v>2117</v>
      </c>
      <c r="D99" s="2" t="s">
        <v>1836</v>
      </c>
      <c r="E99" s="2" t="s">
        <v>1837</v>
      </c>
      <c r="F99" s="2">
        <v>70.599400000000003</v>
      </c>
      <c r="G99" s="2">
        <v>386.38200000000001</v>
      </c>
      <c r="H99" s="2">
        <v>2.4523000000000001</v>
      </c>
    </row>
    <row r="100" spans="1:8" x14ac:dyDescent="0.2">
      <c r="A100" s="2" t="s">
        <v>127</v>
      </c>
      <c r="B100" s="2" t="s">
        <v>3015</v>
      </c>
      <c r="C100" s="2" t="s">
        <v>1902</v>
      </c>
      <c r="D100" s="2" t="s">
        <v>1839</v>
      </c>
      <c r="E100" s="2" t="s">
        <v>1841</v>
      </c>
      <c r="F100" s="2">
        <v>0.425844</v>
      </c>
      <c r="G100" s="2">
        <v>2.30871</v>
      </c>
      <c r="H100" s="2">
        <v>2.4386899999999998</v>
      </c>
    </row>
    <row r="101" spans="1:8" x14ac:dyDescent="0.2">
      <c r="A101" s="2" t="s">
        <v>1351</v>
      </c>
      <c r="B101" s="2" t="s">
        <v>3031</v>
      </c>
      <c r="C101" s="2" t="s">
        <v>2831</v>
      </c>
      <c r="D101" s="2" t="s">
        <v>1839</v>
      </c>
      <c r="E101" s="2" t="s">
        <v>1840</v>
      </c>
      <c r="F101" s="2">
        <v>1.4604900000000001</v>
      </c>
      <c r="G101" s="2">
        <v>7.8779199999999996</v>
      </c>
      <c r="H101" s="2">
        <v>2.4313600000000002</v>
      </c>
    </row>
    <row r="102" spans="1:8" x14ac:dyDescent="0.2">
      <c r="A102" s="2" t="s">
        <v>1666</v>
      </c>
      <c r="B102" s="2" t="s">
        <v>3031</v>
      </c>
      <c r="C102" s="2" t="s">
        <v>2831</v>
      </c>
      <c r="D102" s="2" t="s">
        <v>1839</v>
      </c>
      <c r="E102" s="2" t="s">
        <v>1840</v>
      </c>
      <c r="F102" s="2">
        <v>0.30907800000000002</v>
      </c>
      <c r="G102" s="2">
        <v>1.66597</v>
      </c>
      <c r="H102" s="2">
        <v>2.43032</v>
      </c>
    </row>
    <row r="103" spans="1:8" x14ac:dyDescent="0.2">
      <c r="A103" s="2" t="s">
        <v>1584</v>
      </c>
      <c r="B103" s="2" t="s">
        <v>3094</v>
      </c>
      <c r="C103" s="2" t="s">
        <v>2304</v>
      </c>
      <c r="D103" s="2" t="s">
        <v>1839</v>
      </c>
      <c r="E103" s="2" t="s">
        <v>1841</v>
      </c>
      <c r="F103" s="2">
        <v>0.442056</v>
      </c>
      <c r="G103" s="2">
        <v>2.3745799999999999</v>
      </c>
      <c r="H103" s="2">
        <v>2.42537</v>
      </c>
    </row>
    <row r="104" spans="1:8" x14ac:dyDescent="0.2">
      <c r="A104" s="2" t="s">
        <v>726</v>
      </c>
      <c r="B104" s="2" t="s">
        <v>3491</v>
      </c>
      <c r="C104" s="2" t="s">
        <v>1938</v>
      </c>
      <c r="D104" s="2" t="s">
        <v>1839</v>
      </c>
      <c r="E104" s="2" t="s">
        <v>1840</v>
      </c>
      <c r="F104" s="2">
        <v>0.20066000000000001</v>
      </c>
      <c r="G104" s="2">
        <v>1.07697</v>
      </c>
      <c r="H104" s="2">
        <v>2.4241600000000001</v>
      </c>
    </row>
    <row r="105" spans="1:8" x14ac:dyDescent="0.2">
      <c r="A105" s="2" t="s">
        <v>1134</v>
      </c>
      <c r="B105" s="2" t="s">
        <v>3089</v>
      </c>
      <c r="C105" s="2" t="s">
        <v>2622</v>
      </c>
      <c r="D105" s="2" t="s">
        <v>1839</v>
      </c>
      <c r="E105" s="2" t="s">
        <v>1841</v>
      </c>
      <c r="F105" s="2">
        <v>1.7720800000000001</v>
      </c>
      <c r="G105" s="2">
        <v>9.49057</v>
      </c>
      <c r="H105" s="2">
        <v>2.4210500000000001</v>
      </c>
    </row>
    <row r="106" spans="1:8" x14ac:dyDescent="0.2">
      <c r="A106" s="2" t="s">
        <v>1240</v>
      </c>
      <c r="B106" s="2" t="s">
        <v>3316</v>
      </c>
      <c r="C106" s="2" t="s">
        <v>2448</v>
      </c>
      <c r="D106" s="2" t="s">
        <v>1836</v>
      </c>
      <c r="E106" s="2" t="s">
        <v>1838</v>
      </c>
      <c r="F106" s="2">
        <v>2.6519499999999998</v>
      </c>
      <c r="G106" s="2">
        <v>14.186400000000001</v>
      </c>
      <c r="H106" s="2">
        <v>2.4193899999999999</v>
      </c>
    </row>
    <row r="107" spans="1:8" x14ac:dyDescent="0.2">
      <c r="A107" s="2" t="s">
        <v>345</v>
      </c>
      <c r="B107" s="2" t="s">
        <v>3122</v>
      </c>
      <c r="C107" s="2" t="s">
        <v>1847</v>
      </c>
      <c r="D107" s="2" t="s">
        <v>1836</v>
      </c>
      <c r="E107" s="2" t="s">
        <v>1837</v>
      </c>
      <c r="F107" s="2">
        <v>0.44957799999999998</v>
      </c>
      <c r="G107" s="2">
        <v>2.4007100000000001</v>
      </c>
      <c r="H107" s="2">
        <v>2.4168099999999999</v>
      </c>
    </row>
    <row r="108" spans="1:8" x14ac:dyDescent="0.2">
      <c r="A108" s="2" t="s">
        <v>1619</v>
      </c>
      <c r="B108" s="2" t="s">
        <v>3432</v>
      </c>
      <c r="C108" s="2" t="s">
        <v>1972</v>
      </c>
      <c r="D108" s="2" t="s">
        <v>1839</v>
      </c>
      <c r="E108" s="2" t="s">
        <v>1841</v>
      </c>
      <c r="F108" s="2">
        <v>0.145126</v>
      </c>
      <c r="G108" s="2">
        <v>0.76788500000000004</v>
      </c>
      <c r="H108" s="2">
        <v>2.4035899999999999</v>
      </c>
    </row>
    <row r="109" spans="1:8" x14ac:dyDescent="0.2">
      <c r="A109" s="2" t="s">
        <v>438</v>
      </c>
      <c r="B109" s="2" t="s">
        <v>3138</v>
      </c>
      <c r="C109" s="2" t="s">
        <v>2047</v>
      </c>
      <c r="D109" s="2" t="s">
        <v>1836</v>
      </c>
      <c r="E109" s="2" t="s">
        <v>1837</v>
      </c>
      <c r="F109" s="2">
        <v>86.625299999999996</v>
      </c>
      <c r="G109" s="2">
        <v>455.86399999999998</v>
      </c>
      <c r="H109" s="2">
        <v>2.39574</v>
      </c>
    </row>
    <row r="110" spans="1:8" x14ac:dyDescent="0.2">
      <c r="A110" s="2" t="s">
        <v>1082</v>
      </c>
      <c r="B110" s="2" t="s">
        <v>3015</v>
      </c>
      <c r="C110" s="2" t="s">
        <v>2349</v>
      </c>
      <c r="D110" s="2" t="s">
        <v>1839</v>
      </c>
      <c r="E110" s="2" t="s">
        <v>1841</v>
      </c>
      <c r="F110" s="2">
        <v>1.1978800000000001</v>
      </c>
      <c r="G110" s="2">
        <v>6.3005100000000001</v>
      </c>
      <c r="H110" s="2">
        <v>2.39499</v>
      </c>
    </row>
    <row r="111" spans="1:8" x14ac:dyDescent="0.2">
      <c r="A111" s="2" t="s">
        <v>1031</v>
      </c>
      <c r="B111" s="2" t="s">
        <v>3260</v>
      </c>
      <c r="C111" s="2" t="s">
        <v>2328</v>
      </c>
      <c r="D111" s="2" t="s">
        <v>1836</v>
      </c>
      <c r="E111" s="2" t="s">
        <v>1837</v>
      </c>
      <c r="F111" s="2">
        <v>0.251274</v>
      </c>
      <c r="G111" s="2">
        <v>1.30098</v>
      </c>
      <c r="H111" s="2">
        <v>2.3722599999999998</v>
      </c>
    </row>
    <row r="112" spans="1:8" x14ac:dyDescent="0.2">
      <c r="A112" s="2" t="s">
        <v>324</v>
      </c>
      <c r="B112" s="2" t="s">
        <v>3049</v>
      </c>
      <c r="C112" s="2" t="s">
        <v>1847</v>
      </c>
      <c r="D112" s="2" t="s">
        <v>1836</v>
      </c>
      <c r="E112" s="2" t="s">
        <v>1837</v>
      </c>
      <c r="F112" s="2">
        <v>0.22845099999999999</v>
      </c>
      <c r="G112" s="2">
        <v>1.1794</v>
      </c>
      <c r="H112" s="2">
        <v>2.3681000000000001</v>
      </c>
    </row>
    <row r="113" spans="1:8" x14ac:dyDescent="0.2">
      <c r="A113" s="2" t="s">
        <v>1490</v>
      </c>
      <c r="B113" s="2" t="s">
        <v>3047</v>
      </c>
      <c r="C113" s="2" t="s">
        <v>2634</v>
      </c>
      <c r="D113" s="2" t="s">
        <v>1839</v>
      </c>
      <c r="E113" s="2" t="s">
        <v>1841</v>
      </c>
      <c r="F113" s="2">
        <v>0.34293400000000002</v>
      </c>
      <c r="G113" s="2">
        <v>1.7581199999999999</v>
      </c>
      <c r="H113" s="2">
        <v>2.3580299999999998</v>
      </c>
    </row>
    <row r="114" spans="1:8" x14ac:dyDescent="0.2">
      <c r="A114" s="2" t="s">
        <v>661</v>
      </c>
      <c r="B114" s="2" t="s">
        <v>3015</v>
      </c>
      <c r="C114" s="2" t="s">
        <v>2834</v>
      </c>
      <c r="D114" s="2" t="s">
        <v>1839</v>
      </c>
      <c r="E114" s="2" t="s">
        <v>1841</v>
      </c>
      <c r="F114" s="2">
        <v>14.642799999999999</v>
      </c>
      <c r="G114" s="2">
        <v>74.968400000000003</v>
      </c>
      <c r="H114" s="2">
        <v>2.35609</v>
      </c>
    </row>
    <row r="115" spans="1:8" x14ac:dyDescent="0.2">
      <c r="A115" s="2" t="s">
        <v>1457</v>
      </c>
      <c r="B115" s="2" t="s">
        <v>3015</v>
      </c>
      <c r="C115" s="2" t="s">
        <v>3016</v>
      </c>
      <c r="D115" s="2" t="s">
        <v>1839</v>
      </c>
      <c r="E115" s="2" t="s">
        <v>1840</v>
      </c>
      <c r="F115" s="2">
        <v>0.18639900000000001</v>
      </c>
      <c r="G115" s="2">
        <v>0.95028599999999996</v>
      </c>
      <c r="H115" s="2">
        <v>2.3499699999999999</v>
      </c>
    </row>
    <row r="116" spans="1:8" x14ac:dyDescent="0.2">
      <c r="A116" s="2" t="s">
        <v>339</v>
      </c>
      <c r="B116" s="2" t="s">
        <v>3109</v>
      </c>
      <c r="C116" s="2" t="s">
        <v>2734</v>
      </c>
      <c r="D116" s="2" t="s">
        <v>1839</v>
      </c>
      <c r="E116" s="2" t="s">
        <v>1840</v>
      </c>
      <c r="F116" s="2">
        <v>1.31606</v>
      </c>
      <c r="G116" s="2">
        <v>6.6692499999999999</v>
      </c>
      <c r="H116" s="2">
        <v>2.3412999999999999</v>
      </c>
    </row>
    <row r="117" spans="1:8" x14ac:dyDescent="0.2">
      <c r="A117" s="2" t="s">
        <v>895</v>
      </c>
      <c r="B117" s="2" t="s">
        <v>3047</v>
      </c>
      <c r="C117" s="2" t="s">
        <v>2258</v>
      </c>
      <c r="D117" s="2" t="s">
        <v>1839</v>
      </c>
      <c r="E117" s="2" t="s">
        <v>1840</v>
      </c>
      <c r="F117" s="2">
        <v>0.273982</v>
      </c>
      <c r="G117" s="2">
        <v>1.3799699999999999</v>
      </c>
      <c r="H117" s="2">
        <v>2.33249</v>
      </c>
    </row>
    <row r="118" spans="1:8" x14ac:dyDescent="0.2">
      <c r="A118" s="2" t="s">
        <v>419</v>
      </c>
      <c r="B118" s="2" t="s">
        <v>3015</v>
      </c>
      <c r="C118" s="2" t="s">
        <v>2037</v>
      </c>
      <c r="D118" s="2" t="s">
        <v>1836</v>
      </c>
      <c r="E118" s="2" t="s">
        <v>1837</v>
      </c>
      <c r="F118" s="2">
        <v>0.55498800000000004</v>
      </c>
      <c r="G118" s="2">
        <v>2.7637100000000001</v>
      </c>
      <c r="H118" s="2">
        <v>2.3160799999999999</v>
      </c>
    </row>
    <row r="119" spans="1:8" x14ac:dyDescent="0.2">
      <c r="A119" s="2" t="s">
        <v>1469</v>
      </c>
      <c r="B119" s="2" t="s">
        <v>3253</v>
      </c>
      <c r="C119" s="2" t="s">
        <v>2611</v>
      </c>
      <c r="D119" s="2" t="s">
        <v>1839</v>
      </c>
      <c r="E119" s="2" t="s">
        <v>1841</v>
      </c>
      <c r="F119" s="2">
        <v>0.27337699999999998</v>
      </c>
      <c r="G119" s="2">
        <v>1.3577300000000001</v>
      </c>
      <c r="H119" s="2">
        <v>2.31223</v>
      </c>
    </row>
    <row r="120" spans="1:8" x14ac:dyDescent="0.2">
      <c r="A120" s="2" t="s">
        <v>438</v>
      </c>
      <c r="B120" s="2" t="s">
        <v>3138</v>
      </c>
      <c r="C120" s="2" t="s">
        <v>2047</v>
      </c>
      <c r="D120" s="2" t="s">
        <v>1836</v>
      </c>
      <c r="E120" s="2" t="s">
        <v>1838</v>
      </c>
      <c r="F120" s="2">
        <v>86.625299999999996</v>
      </c>
      <c r="G120" s="2">
        <v>428.19299999999998</v>
      </c>
      <c r="H120" s="2">
        <v>2.3054000000000001</v>
      </c>
    </row>
    <row r="121" spans="1:8" x14ac:dyDescent="0.2">
      <c r="A121" s="2" t="s">
        <v>195</v>
      </c>
      <c r="B121" s="2" t="s">
        <v>3015</v>
      </c>
      <c r="C121" s="2" t="s">
        <v>1847</v>
      </c>
      <c r="D121" s="2" t="s">
        <v>1836</v>
      </c>
      <c r="E121" s="2" t="s">
        <v>1837</v>
      </c>
      <c r="F121" s="2">
        <v>0.57696999999999998</v>
      </c>
      <c r="G121" s="2">
        <v>2.8422399999999999</v>
      </c>
      <c r="H121" s="2">
        <v>2.3004600000000002</v>
      </c>
    </row>
    <row r="122" spans="1:8" x14ac:dyDescent="0.2">
      <c r="A122" s="2" t="s">
        <v>1093</v>
      </c>
      <c r="B122" s="2" t="s">
        <v>3268</v>
      </c>
      <c r="C122" s="2" t="s">
        <v>2355</v>
      </c>
      <c r="D122" s="2" t="s">
        <v>1836</v>
      </c>
      <c r="E122" s="2" t="s">
        <v>1838</v>
      </c>
      <c r="F122" s="2">
        <v>0.173149</v>
      </c>
      <c r="G122" s="2">
        <v>0.852545</v>
      </c>
      <c r="H122" s="2">
        <v>2.29976</v>
      </c>
    </row>
    <row r="123" spans="1:8" x14ac:dyDescent="0.2">
      <c r="A123" s="2" t="s">
        <v>1666</v>
      </c>
      <c r="B123" s="2" t="s">
        <v>3031</v>
      </c>
      <c r="C123" s="2" t="s">
        <v>2831</v>
      </c>
      <c r="D123" s="2" t="s">
        <v>1839</v>
      </c>
      <c r="E123" s="2" t="s">
        <v>1841</v>
      </c>
      <c r="F123" s="2">
        <v>0.30907800000000002</v>
      </c>
      <c r="G123" s="2">
        <v>1.51953</v>
      </c>
      <c r="H123" s="2">
        <v>2.29759</v>
      </c>
    </row>
    <row r="124" spans="1:8" x14ac:dyDescent="0.2">
      <c r="A124" s="2" t="s">
        <v>322</v>
      </c>
      <c r="B124" s="2" t="s">
        <v>3015</v>
      </c>
      <c r="C124" s="2" t="s">
        <v>1995</v>
      </c>
      <c r="D124" s="2" t="s">
        <v>1839</v>
      </c>
      <c r="E124" s="2" t="s">
        <v>1841</v>
      </c>
      <c r="F124" s="2">
        <v>0.44319599999999998</v>
      </c>
      <c r="G124" s="2">
        <v>2.1774300000000002</v>
      </c>
      <c r="H124" s="2">
        <v>2.2966099999999998</v>
      </c>
    </row>
    <row r="125" spans="1:8" x14ac:dyDescent="0.2">
      <c r="A125" s="2" t="s">
        <v>1359</v>
      </c>
      <c r="B125" s="2" t="s">
        <v>3015</v>
      </c>
      <c r="C125" s="2" t="s">
        <v>3015</v>
      </c>
      <c r="D125" s="2" t="s">
        <v>1836</v>
      </c>
      <c r="E125" s="2" t="s">
        <v>1838</v>
      </c>
      <c r="F125" s="2">
        <v>2.1955100000000001</v>
      </c>
      <c r="G125" s="2">
        <v>10.702400000000001</v>
      </c>
      <c r="H125" s="2">
        <v>2.28531</v>
      </c>
    </row>
    <row r="126" spans="1:8" x14ac:dyDescent="0.2">
      <c r="A126" s="2" t="s">
        <v>1781</v>
      </c>
      <c r="B126" s="2" t="s">
        <v>3015</v>
      </c>
      <c r="C126" s="2" t="s">
        <v>2231</v>
      </c>
      <c r="D126" s="2" t="s">
        <v>1839</v>
      </c>
      <c r="E126" s="2" t="s">
        <v>1841</v>
      </c>
      <c r="F126" s="2">
        <v>0.204984</v>
      </c>
      <c r="G126" s="2">
        <v>0.99812699999999999</v>
      </c>
      <c r="H126" s="2">
        <v>2.2837100000000001</v>
      </c>
    </row>
    <row r="127" spans="1:8" x14ac:dyDescent="0.2">
      <c r="A127" s="2" t="s">
        <v>669</v>
      </c>
      <c r="B127" s="2" t="s">
        <v>3015</v>
      </c>
      <c r="C127" s="2" t="s">
        <v>2154</v>
      </c>
      <c r="D127" s="2" t="s">
        <v>1839</v>
      </c>
      <c r="E127" s="2" t="s">
        <v>1841</v>
      </c>
      <c r="F127" s="2">
        <v>138.417</v>
      </c>
      <c r="G127" s="2">
        <v>672.24199999999996</v>
      </c>
      <c r="H127" s="2">
        <v>2.27996</v>
      </c>
    </row>
    <row r="128" spans="1:8" x14ac:dyDescent="0.2">
      <c r="A128" s="2" t="s">
        <v>792</v>
      </c>
      <c r="B128" s="2" t="s">
        <v>3015</v>
      </c>
      <c r="C128" s="2" t="s">
        <v>2882</v>
      </c>
      <c r="D128" s="2" t="s">
        <v>1839</v>
      </c>
      <c r="E128" s="2" t="s">
        <v>1841</v>
      </c>
      <c r="F128" s="2">
        <v>0.77653799999999995</v>
      </c>
      <c r="G128" s="2">
        <v>3.7486000000000002</v>
      </c>
      <c r="H128" s="2">
        <v>2.27122</v>
      </c>
    </row>
    <row r="129" spans="1:8" x14ac:dyDescent="0.2">
      <c r="A129" s="2" t="s">
        <v>848</v>
      </c>
      <c r="B129" s="2" t="s">
        <v>3015</v>
      </c>
      <c r="C129" s="2" t="s">
        <v>2234</v>
      </c>
      <c r="D129" s="2" t="s">
        <v>1839</v>
      </c>
      <c r="E129" s="2" t="s">
        <v>1841</v>
      </c>
      <c r="F129" s="2">
        <v>0.214089</v>
      </c>
      <c r="G129" s="2">
        <v>1.0317499999999999</v>
      </c>
      <c r="H129" s="2">
        <v>2.2688000000000001</v>
      </c>
    </row>
    <row r="130" spans="1:8" x14ac:dyDescent="0.2">
      <c r="A130" s="2" t="s">
        <v>509</v>
      </c>
      <c r="B130" s="2" t="s">
        <v>3043</v>
      </c>
      <c r="C130" s="2" t="s">
        <v>2781</v>
      </c>
      <c r="D130" s="2" t="s">
        <v>1839</v>
      </c>
      <c r="E130" s="2" t="s">
        <v>1841</v>
      </c>
      <c r="F130" s="2">
        <v>18.654299999999999</v>
      </c>
      <c r="G130" s="2">
        <v>89.846400000000003</v>
      </c>
      <c r="H130" s="2">
        <v>2.2679499999999999</v>
      </c>
    </row>
    <row r="131" spans="1:8" x14ac:dyDescent="0.2">
      <c r="A131" s="2" t="s">
        <v>1795</v>
      </c>
      <c r="B131" s="2" t="s">
        <v>3261</v>
      </c>
      <c r="C131" s="2" t="s">
        <v>2975</v>
      </c>
      <c r="D131" s="2" t="s">
        <v>1839</v>
      </c>
      <c r="E131" s="2" t="s">
        <v>1841</v>
      </c>
      <c r="F131" s="2">
        <v>0.262797</v>
      </c>
      <c r="G131" s="2">
        <v>1.2638799999999999</v>
      </c>
      <c r="H131" s="2">
        <v>2.2658399999999999</v>
      </c>
    </row>
    <row r="132" spans="1:8" x14ac:dyDescent="0.2">
      <c r="A132" s="2" t="s">
        <v>389</v>
      </c>
      <c r="B132" s="2" t="s">
        <v>3015</v>
      </c>
      <c r="C132" s="2" t="s">
        <v>2024</v>
      </c>
      <c r="D132" s="2" t="s">
        <v>1839</v>
      </c>
      <c r="E132" s="2" t="s">
        <v>1841</v>
      </c>
      <c r="F132" s="2">
        <v>0.82890799999999998</v>
      </c>
      <c r="G132" s="2">
        <v>3.9839600000000002</v>
      </c>
      <c r="H132" s="2">
        <v>2.26492</v>
      </c>
    </row>
    <row r="133" spans="1:8" x14ac:dyDescent="0.2">
      <c r="A133" s="2" t="s">
        <v>1651</v>
      </c>
      <c r="B133" s="2" t="s">
        <v>3158</v>
      </c>
      <c r="C133" s="2" t="s">
        <v>2819</v>
      </c>
      <c r="D133" s="2" t="s">
        <v>1839</v>
      </c>
      <c r="E133" s="2" t="s">
        <v>1841</v>
      </c>
      <c r="F133" s="2">
        <v>1.2241899999999999</v>
      </c>
      <c r="G133" s="2">
        <v>5.8654200000000003</v>
      </c>
      <c r="H133" s="2">
        <v>2.2604000000000002</v>
      </c>
    </row>
    <row r="134" spans="1:8" x14ac:dyDescent="0.2">
      <c r="A134" s="2" t="s">
        <v>400</v>
      </c>
      <c r="B134" s="2" t="s">
        <v>3015</v>
      </c>
      <c r="C134" s="2" t="s">
        <v>2028</v>
      </c>
      <c r="D134" s="2" t="s">
        <v>1836</v>
      </c>
      <c r="E134" s="2" t="s">
        <v>1837</v>
      </c>
      <c r="F134" s="2">
        <v>0.295597</v>
      </c>
      <c r="G134" s="2">
        <v>1.41212</v>
      </c>
      <c r="H134" s="2">
        <v>2.2561599999999999</v>
      </c>
    </row>
    <row r="135" spans="1:8" x14ac:dyDescent="0.2">
      <c r="A135" s="2" t="s">
        <v>514</v>
      </c>
      <c r="B135" s="2" t="s">
        <v>3045</v>
      </c>
      <c r="C135" s="2" t="s">
        <v>2491</v>
      </c>
      <c r="D135" s="2" t="s">
        <v>1839</v>
      </c>
      <c r="E135" s="2" t="s">
        <v>1840</v>
      </c>
      <c r="F135" s="2">
        <v>1.5641799999999999</v>
      </c>
      <c r="G135" s="2">
        <v>7.4547699999999999</v>
      </c>
      <c r="H135" s="2">
        <v>2.2527499999999998</v>
      </c>
    </row>
    <row r="136" spans="1:8" x14ac:dyDescent="0.2">
      <c r="A136" s="2" t="s">
        <v>996</v>
      </c>
      <c r="B136" s="2" t="s">
        <v>3047</v>
      </c>
      <c r="C136" s="2" t="s">
        <v>2277</v>
      </c>
      <c r="D136" s="2" t="s">
        <v>1839</v>
      </c>
      <c r="E136" s="2" t="s">
        <v>1840</v>
      </c>
      <c r="F136" s="2">
        <v>1.44367</v>
      </c>
      <c r="G136" s="2">
        <v>6.8258200000000002</v>
      </c>
      <c r="H136" s="2">
        <v>2.2412700000000001</v>
      </c>
    </row>
    <row r="137" spans="1:8" x14ac:dyDescent="0.2">
      <c r="A137" s="2" t="s">
        <v>1282</v>
      </c>
      <c r="B137" s="2" t="s">
        <v>3047</v>
      </c>
      <c r="C137" s="2" t="s">
        <v>1879</v>
      </c>
      <c r="D137" s="2" t="s">
        <v>1839</v>
      </c>
      <c r="E137" s="2" t="s">
        <v>1841</v>
      </c>
      <c r="F137" s="2">
        <v>0.170211</v>
      </c>
      <c r="G137" s="2">
        <v>0.80313500000000004</v>
      </c>
      <c r="H137" s="2">
        <v>2.2383199999999999</v>
      </c>
    </row>
    <row r="138" spans="1:8" x14ac:dyDescent="0.2">
      <c r="A138" s="2" t="s">
        <v>1213</v>
      </c>
      <c r="B138" s="2" t="s">
        <v>3015</v>
      </c>
      <c r="C138" s="2" t="s">
        <v>2431</v>
      </c>
      <c r="D138" s="2" t="s">
        <v>1839</v>
      </c>
      <c r="E138" s="2" t="s">
        <v>1841</v>
      </c>
      <c r="F138" s="2">
        <v>5.5097300000000002</v>
      </c>
      <c r="G138" s="2">
        <v>25.9848</v>
      </c>
      <c r="H138" s="2">
        <v>2.2376100000000001</v>
      </c>
    </row>
    <row r="139" spans="1:8" x14ac:dyDescent="0.2">
      <c r="A139" s="2" t="s">
        <v>1457</v>
      </c>
      <c r="B139" s="2" t="s">
        <v>3015</v>
      </c>
      <c r="C139" s="2" t="s">
        <v>3016</v>
      </c>
      <c r="D139" s="2" t="s">
        <v>1839</v>
      </c>
      <c r="E139" s="2" t="s">
        <v>1841</v>
      </c>
      <c r="F139" s="2">
        <v>0.18639900000000001</v>
      </c>
      <c r="G139" s="2">
        <v>0.86850899999999998</v>
      </c>
      <c r="H139" s="2">
        <v>2.2201399999999998</v>
      </c>
    </row>
    <row r="140" spans="1:8" x14ac:dyDescent="0.2">
      <c r="A140" s="2" t="s">
        <v>887</v>
      </c>
      <c r="B140" s="2" t="s">
        <v>3015</v>
      </c>
      <c r="C140" s="2" t="s">
        <v>3015</v>
      </c>
      <c r="D140" s="2" t="s">
        <v>1839</v>
      </c>
      <c r="E140" s="2" t="s">
        <v>1841</v>
      </c>
      <c r="F140" s="2">
        <v>0.517127</v>
      </c>
      <c r="G140" s="2">
        <v>2.4022100000000002</v>
      </c>
      <c r="H140" s="2">
        <v>2.21577</v>
      </c>
    </row>
    <row r="141" spans="1:8" x14ac:dyDescent="0.2">
      <c r="A141" s="2" t="s">
        <v>573</v>
      </c>
      <c r="B141" s="2" t="s">
        <v>3164</v>
      </c>
      <c r="C141" s="2" t="s">
        <v>2112</v>
      </c>
      <c r="D141" s="2" t="s">
        <v>1839</v>
      </c>
      <c r="E141" s="2" t="s">
        <v>1841</v>
      </c>
      <c r="F141" s="2">
        <v>9.1393500000000003</v>
      </c>
      <c r="G141" s="2">
        <v>42.3917</v>
      </c>
      <c r="H141" s="2">
        <v>2.2136200000000001</v>
      </c>
    </row>
    <row r="142" spans="1:8" x14ac:dyDescent="0.2">
      <c r="A142" s="2" t="s">
        <v>290</v>
      </c>
      <c r="B142" s="2" t="s">
        <v>3015</v>
      </c>
      <c r="C142" s="2" t="s">
        <v>1986</v>
      </c>
      <c r="D142" s="2" t="s">
        <v>1839</v>
      </c>
      <c r="E142" s="2" t="s">
        <v>1841</v>
      </c>
      <c r="F142" s="2">
        <v>0.68375399999999997</v>
      </c>
      <c r="G142" s="2">
        <v>3.1685699999999999</v>
      </c>
      <c r="H142" s="2">
        <v>2.2122799999999998</v>
      </c>
    </row>
    <row r="143" spans="1:8" x14ac:dyDescent="0.2">
      <c r="A143" s="2" t="s">
        <v>290</v>
      </c>
      <c r="B143" s="2" t="s">
        <v>3015</v>
      </c>
      <c r="C143" s="2" t="s">
        <v>1986</v>
      </c>
      <c r="D143" s="2" t="s">
        <v>1839</v>
      </c>
      <c r="E143" s="2" t="s">
        <v>1840</v>
      </c>
      <c r="F143" s="2">
        <v>0.68375399999999997</v>
      </c>
      <c r="G143" s="2">
        <v>3.1591999999999998</v>
      </c>
      <c r="H143" s="2">
        <v>2.2080099999999998</v>
      </c>
    </row>
    <row r="144" spans="1:8" x14ac:dyDescent="0.2">
      <c r="A144" s="2" t="s">
        <v>724</v>
      </c>
      <c r="B144" s="2" t="s">
        <v>3037</v>
      </c>
      <c r="C144" s="2" t="s">
        <v>2180</v>
      </c>
      <c r="D144" s="2" t="s">
        <v>1839</v>
      </c>
      <c r="E144" s="2" t="s">
        <v>1841</v>
      </c>
      <c r="F144" s="2">
        <v>0.78131499999999998</v>
      </c>
      <c r="G144" s="2">
        <v>3.6014699999999999</v>
      </c>
      <c r="H144" s="2">
        <v>2.2046100000000002</v>
      </c>
    </row>
    <row r="145" spans="1:8" x14ac:dyDescent="0.2">
      <c r="A145" s="2" t="s">
        <v>1461</v>
      </c>
      <c r="B145" s="2" t="s">
        <v>3015</v>
      </c>
      <c r="C145" s="2" t="s">
        <v>2608</v>
      </c>
      <c r="D145" s="2" t="s">
        <v>1836</v>
      </c>
      <c r="E145" s="2" t="s">
        <v>1838</v>
      </c>
      <c r="F145" s="2">
        <v>0.466306</v>
      </c>
      <c r="G145" s="2">
        <v>2.1493500000000001</v>
      </c>
      <c r="H145" s="2">
        <v>2.2045499999999998</v>
      </c>
    </row>
    <row r="146" spans="1:8" x14ac:dyDescent="0.2">
      <c r="A146" s="2" t="s">
        <v>431</v>
      </c>
      <c r="B146" s="2" t="s">
        <v>3015</v>
      </c>
      <c r="C146" s="2" t="s">
        <v>3016</v>
      </c>
      <c r="D146" s="2" t="s">
        <v>1836</v>
      </c>
      <c r="E146" s="2" t="s">
        <v>1838</v>
      </c>
      <c r="F146" s="2">
        <v>5.0835900000000001</v>
      </c>
      <c r="G146" s="2">
        <v>23.232900000000001</v>
      </c>
      <c r="H146" s="2">
        <v>2.19225</v>
      </c>
    </row>
    <row r="147" spans="1:8" x14ac:dyDescent="0.2">
      <c r="A147" s="2" t="s">
        <v>1070</v>
      </c>
      <c r="B147" s="2" t="s">
        <v>3037</v>
      </c>
      <c r="C147" s="2" t="s">
        <v>2343</v>
      </c>
      <c r="D147" s="2" t="s">
        <v>1839</v>
      </c>
      <c r="E147" s="2" t="s">
        <v>1841</v>
      </c>
      <c r="F147" s="2">
        <v>3.4451800000000001</v>
      </c>
      <c r="G147" s="2">
        <v>15.7372</v>
      </c>
      <c r="H147" s="2">
        <v>2.1915300000000002</v>
      </c>
    </row>
    <row r="148" spans="1:8" x14ac:dyDescent="0.2">
      <c r="A148" s="2" t="s">
        <v>1093</v>
      </c>
      <c r="B148" s="2" t="s">
        <v>3268</v>
      </c>
      <c r="C148" s="2" t="s">
        <v>2355</v>
      </c>
      <c r="D148" s="2" t="s">
        <v>1836</v>
      </c>
      <c r="E148" s="2" t="s">
        <v>1837</v>
      </c>
      <c r="F148" s="2">
        <v>0.173149</v>
      </c>
      <c r="G148" s="2">
        <v>0.78480499999999997</v>
      </c>
      <c r="H148" s="2">
        <v>2.18032</v>
      </c>
    </row>
    <row r="149" spans="1:8" x14ac:dyDescent="0.2">
      <c r="A149" s="2" t="s">
        <v>1028</v>
      </c>
      <c r="B149" s="2" t="s">
        <v>3015</v>
      </c>
      <c r="C149" s="2" t="s">
        <v>2326</v>
      </c>
      <c r="D149" s="2" t="s">
        <v>1836</v>
      </c>
      <c r="E149" s="2" t="s">
        <v>1837</v>
      </c>
      <c r="F149" s="2">
        <v>22.631</v>
      </c>
      <c r="G149" s="2">
        <v>102.53700000000001</v>
      </c>
      <c r="H149" s="2">
        <v>2.17977</v>
      </c>
    </row>
    <row r="150" spans="1:8" x14ac:dyDescent="0.2">
      <c r="A150" s="2" t="s">
        <v>733</v>
      </c>
      <c r="B150" s="2" t="s">
        <v>3015</v>
      </c>
      <c r="C150" s="2" t="s">
        <v>2098</v>
      </c>
      <c r="D150" s="2" t="s">
        <v>1836</v>
      </c>
      <c r="E150" s="2" t="s">
        <v>1837</v>
      </c>
      <c r="F150" s="2">
        <v>1.0208299999999999</v>
      </c>
      <c r="G150" s="2">
        <v>4.6105</v>
      </c>
      <c r="H150" s="2">
        <v>2.17517</v>
      </c>
    </row>
    <row r="151" spans="1:8" x14ac:dyDescent="0.2">
      <c r="A151" s="2" t="s">
        <v>952</v>
      </c>
      <c r="B151" s="2" t="s">
        <v>3256</v>
      </c>
      <c r="C151" s="2" t="s">
        <v>2316</v>
      </c>
      <c r="D151" s="2" t="s">
        <v>1839</v>
      </c>
      <c r="E151" s="2" t="s">
        <v>1840</v>
      </c>
      <c r="F151" s="2">
        <v>0.29367100000000002</v>
      </c>
      <c r="G151" s="2">
        <v>1.3219399999999999</v>
      </c>
      <c r="H151" s="2">
        <v>2.1703800000000002</v>
      </c>
    </row>
    <row r="152" spans="1:8" x14ac:dyDescent="0.2">
      <c r="A152" s="2" t="s">
        <v>504</v>
      </c>
      <c r="B152" s="2" t="s">
        <v>3253</v>
      </c>
      <c r="C152" s="2" t="s">
        <v>3015</v>
      </c>
      <c r="D152" s="2" t="s">
        <v>1839</v>
      </c>
      <c r="E152" s="2" t="s">
        <v>1841</v>
      </c>
      <c r="F152" s="2">
        <v>0.21365000000000001</v>
      </c>
      <c r="G152" s="2">
        <v>0.95785299999999995</v>
      </c>
      <c r="H152" s="2">
        <v>2.1645500000000002</v>
      </c>
    </row>
    <row r="153" spans="1:8" x14ac:dyDescent="0.2">
      <c r="A153" s="2" t="s">
        <v>588</v>
      </c>
      <c r="B153" s="2" t="s">
        <v>3015</v>
      </c>
      <c r="C153" s="2" t="s">
        <v>2120</v>
      </c>
      <c r="D153" s="2" t="s">
        <v>1836</v>
      </c>
      <c r="E153" s="2" t="s">
        <v>1837</v>
      </c>
      <c r="F153" s="2">
        <v>4.5272600000000001</v>
      </c>
      <c r="G153" s="2">
        <v>20.1816</v>
      </c>
      <c r="H153" s="2">
        <v>2.1563300000000001</v>
      </c>
    </row>
    <row r="154" spans="1:8" x14ac:dyDescent="0.2">
      <c r="A154" s="2" t="s">
        <v>952</v>
      </c>
      <c r="B154" s="2" t="s">
        <v>3256</v>
      </c>
      <c r="C154" s="2" t="s">
        <v>2316</v>
      </c>
      <c r="D154" s="2" t="s">
        <v>1839</v>
      </c>
      <c r="E154" s="2" t="s">
        <v>1841</v>
      </c>
      <c r="F154" s="2">
        <v>0.29367100000000002</v>
      </c>
      <c r="G154" s="2">
        <v>1.3001100000000001</v>
      </c>
      <c r="H154" s="2">
        <v>2.14636</v>
      </c>
    </row>
    <row r="155" spans="1:8" x14ac:dyDescent="0.2">
      <c r="A155" s="2" t="s">
        <v>876</v>
      </c>
      <c r="B155" s="2" t="s">
        <v>3191</v>
      </c>
      <c r="C155" s="2" t="s">
        <v>2248</v>
      </c>
      <c r="D155" s="2" t="s">
        <v>1839</v>
      </c>
      <c r="E155" s="2" t="s">
        <v>1841</v>
      </c>
      <c r="F155" s="2">
        <v>3.03437</v>
      </c>
      <c r="G155" s="2">
        <v>13.402699999999999</v>
      </c>
      <c r="H155" s="2">
        <v>2.1430600000000002</v>
      </c>
    </row>
    <row r="156" spans="1:8" x14ac:dyDescent="0.2">
      <c r="A156" s="2" t="s">
        <v>556</v>
      </c>
      <c r="B156" s="2" t="s">
        <v>3158</v>
      </c>
      <c r="C156" s="2" t="s">
        <v>1858</v>
      </c>
      <c r="D156" s="2" t="s">
        <v>1836</v>
      </c>
      <c r="E156" s="2" t="s">
        <v>1838</v>
      </c>
      <c r="F156" s="2">
        <v>0.26356299999999999</v>
      </c>
      <c r="G156" s="2">
        <v>1.16221</v>
      </c>
      <c r="H156" s="2">
        <v>2.1406499999999999</v>
      </c>
    </row>
    <row r="157" spans="1:8" x14ac:dyDescent="0.2">
      <c r="A157" s="2" t="s">
        <v>59</v>
      </c>
      <c r="B157" s="2" t="s">
        <v>3042</v>
      </c>
      <c r="C157" s="2" t="s">
        <v>1870</v>
      </c>
      <c r="D157" s="2" t="s">
        <v>1836</v>
      </c>
      <c r="E157" s="2" t="s">
        <v>1837</v>
      </c>
      <c r="F157" s="2">
        <v>0.23900299999999999</v>
      </c>
      <c r="G157" s="2">
        <v>1.0455700000000001</v>
      </c>
      <c r="H157" s="2">
        <v>2.1291899999999999</v>
      </c>
    </row>
    <row r="158" spans="1:8" x14ac:dyDescent="0.2">
      <c r="A158" s="2" t="s">
        <v>1134</v>
      </c>
      <c r="B158" s="2" t="s">
        <v>3089</v>
      </c>
      <c r="C158" s="2" t="s">
        <v>2622</v>
      </c>
      <c r="D158" s="2" t="s">
        <v>1839</v>
      </c>
      <c r="E158" s="2" t="s">
        <v>1840</v>
      </c>
      <c r="F158" s="2">
        <v>1.7720800000000001</v>
      </c>
      <c r="G158" s="2">
        <v>7.7421800000000003</v>
      </c>
      <c r="H158" s="2">
        <v>2.1272899999999999</v>
      </c>
    </row>
    <row r="159" spans="1:8" x14ac:dyDescent="0.2">
      <c r="A159" s="2" t="s">
        <v>870</v>
      </c>
      <c r="B159" s="2" t="s">
        <v>3015</v>
      </c>
      <c r="C159" s="2" t="s">
        <v>1847</v>
      </c>
      <c r="D159" s="2" t="s">
        <v>1839</v>
      </c>
      <c r="E159" s="2" t="s">
        <v>1841</v>
      </c>
      <c r="F159" s="2">
        <v>8.5692299999999992</v>
      </c>
      <c r="G159" s="2">
        <v>37.3872</v>
      </c>
      <c r="H159" s="2">
        <v>2.1253099999999998</v>
      </c>
    </row>
    <row r="160" spans="1:8" x14ac:dyDescent="0.2">
      <c r="A160" s="2" t="s">
        <v>1010</v>
      </c>
      <c r="B160" s="2" t="s">
        <v>3015</v>
      </c>
      <c r="C160" s="2" t="s">
        <v>1915</v>
      </c>
      <c r="D160" s="2" t="s">
        <v>1839</v>
      </c>
      <c r="E160" s="2" t="s">
        <v>1840</v>
      </c>
      <c r="F160" s="2">
        <v>0.219358</v>
      </c>
      <c r="G160" s="2">
        <v>0.95014200000000004</v>
      </c>
      <c r="H160" s="2">
        <v>2.1148500000000001</v>
      </c>
    </row>
    <row r="161" spans="1:8" x14ac:dyDescent="0.2">
      <c r="A161" s="2" t="s">
        <v>815</v>
      </c>
      <c r="B161" s="2" t="s">
        <v>3033</v>
      </c>
      <c r="C161" s="2" t="s">
        <v>1858</v>
      </c>
      <c r="D161" s="2" t="s">
        <v>1836</v>
      </c>
      <c r="E161" s="2" t="s">
        <v>1837</v>
      </c>
      <c r="F161" s="2">
        <v>0.47121400000000002</v>
      </c>
      <c r="G161" s="2">
        <v>2.0369199999999998</v>
      </c>
      <c r="H161" s="2">
        <v>2.1119400000000002</v>
      </c>
    </row>
    <row r="162" spans="1:8" x14ac:dyDescent="0.2">
      <c r="A162" s="2" t="s">
        <v>61</v>
      </c>
      <c r="B162" s="2" t="s">
        <v>3043</v>
      </c>
      <c r="C162" s="2" t="s">
        <v>1872</v>
      </c>
      <c r="D162" s="2" t="s">
        <v>1836</v>
      </c>
      <c r="E162" s="2" t="s">
        <v>1837</v>
      </c>
      <c r="F162" s="2">
        <v>2.0632700000000002</v>
      </c>
      <c r="G162" s="2">
        <v>8.9163999999999994</v>
      </c>
      <c r="H162" s="2">
        <v>2.1115300000000001</v>
      </c>
    </row>
    <row r="163" spans="1:8" x14ac:dyDescent="0.2">
      <c r="A163" s="2" t="s">
        <v>1118</v>
      </c>
      <c r="B163" s="2" t="s">
        <v>3275</v>
      </c>
      <c r="C163" s="2" t="s">
        <v>2359</v>
      </c>
      <c r="D163" s="2" t="s">
        <v>1836</v>
      </c>
      <c r="E163" s="2" t="s">
        <v>1837</v>
      </c>
      <c r="F163" s="2">
        <v>0.63185199999999997</v>
      </c>
      <c r="G163" s="2">
        <v>2.72384</v>
      </c>
      <c r="H163" s="2">
        <v>2.10798</v>
      </c>
    </row>
    <row r="164" spans="1:8" x14ac:dyDescent="0.2">
      <c r="A164" s="2" t="s">
        <v>651</v>
      </c>
      <c r="B164" s="2" t="s">
        <v>3015</v>
      </c>
      <c r="C164" s="2" t="s">
        <v>2147</v>
      </c>
      <c r="D164" s="2" t="s">
        <v>1836</v>
      </c>
      <c r="E164" s="2" t="s">
        <v>1837</v>
      </c>
      <c r="F164" s="2">
        <v>2.0388500000000001</v>
      </c>
      <c r="G164" s="2">
        <v>8.7523499999999999</v>
      </c>
      <c r="H164" s="2">
        <v>2.1019199999999998</v>
      </c>
    </row>
    <row r="165" spans="1:8" x14ac:dyDescent="0.2">
      <c r="A165" s="2" t="s">
        <v>185</v>
      </c>
      <c r="B165" s="2" t="s">
        <v>3015</v>
      </c>
      <c r="C165" s="2" t="s">
        <v>1930</v>
      </c>
      <c r="D165" s="2" t="s">
        <v>1836</v>
      </c>
      <c r="E165" s="2" t="s">
        <v>1837</v>
      </c>
      <c r="F165" s="2">
        <v>0.27961999999999998</v>
      </c>
      <c r="G165" s="2">
        <v>1.1974800000000001</v>
      </c>
      <c r="H165" s="2">
        <v>2.0984600000000002</v>
      </c>
    </row>
    <row r="166" spans="1:8" x14ac:dyDescent="0.2">
      <c r="A166" s="2" t="s">
        <v>1466</v>
      </c>
      <c r="B166" s="2" t="s">
        <v>3313</v>
      </c>
      <c r="C166" s="2" t="s">
        <v>2479</v>
      </c>
      <c r="D166" s="2" t="s">
        <v>1839</v>
      </c>
      <c r="E166" s="2" t="s">
        <v>1840</v>
      </c>
      <c r="F166" s="2">
        <v>1.80616</v>
      </c>
      <c r="G166" s="2">
        <v>7.7228700000000003</v>
      </c>
      <c r="H166" s="2">
        <v>2.0962100000000001</v>
      </c>
    </row>
    <row r="167" spans="1:8" x14ac:dyDescent="0.2">
      <c r="A167" s="2" t="s">
        <v>937</v>
      </c>
      <c r="B167" s="2" t="s">
        <v>3137</v>
      </c>
      <c r="C167" s="2" t="s">
        <v>2280</v>
      </c>
      <c r="D167" s="2" t="s">
        <v>1839</v>
      </c>
      <c r="E167" s="2" t="s">
        <v>1841</v>
      </c>
      <c r="F167" s="2">
        <v>1.85599</v>
      </c>
      <c r="G167" s="2">
        <v>7.8863500000000002</v>
      </c>
      <c r="H167" s="2">
        <v>2.08717</v>
      </c>
    </row>
    <row r="168" spans="1:8" x14ac:dyDescent="0.2">
      <c r="A168" s="2" t="s">
        <v>1429</v>
      </c>
      <c r="B168" s="2" t="s">
        <v>3093</v>
      </c>
      <c r="C168" s="2" t="s">
        <v>2589</v>
      </c>
      <c r="D168" s="2" t="s">
        <v>1839</v>
      </c>
      <c r="E168" s="2" t="s">
        <v>1841</v>
      </c>
      <c r="F168" s="2">
        <v>0.30116199999999999</v>
      </c>
      <c r="G168" s="2">
        <v>1.2758100000000001</v>
      </c>
      <c r="H168" s="2">
        <v>2.0828099999999998</v>
      </c>
    </row>
    <row r="169" spans="1:8" x14ac:dyDescent="0.2">
      <c r="A169" s="2" t="s">
        <v>799</v>
      </c>
      <c r="B169" s="2" t="s">
        <v>3085</v>
      </c>
      <c r="C169" s="2" t="s">
        <v>2207</v>
      </c>
      <c r="D169" s="2" t="s">
        <v>1836</v>
      </c>
      <c r="E169" s="2" t="s">
        <v>1838</v>
      </c>
      <c r="F169" s="2">
        <v>1.37991</v>
      </c>
      <c r="G169" s="2">
        <v>5.8302100000000001</v>
      </c>
      <c r="H169" s="2">
        <v>2.07897</v>
      </c>
    </row>
    <row r="170" spans="1:8" x14ac:dyDescent="0.2">
      <c r="A170" s="2" t="s">
        <v>306</v>
      </c>
      <c r="B170" s="2" t="s">
        <v>3045</v>
      </c>
      <c r="C170" s="2" t="s">
        <v>1986</v>
      </c>
      <c r="D170" s="2" t="s">
        <v>1836</v>
      </c>
      <c r="E170" s="2" t="s">
        <v>1837</v>
      </c>
      <c r="F170" s="2">
        <v>13.856999999999999</v>
      </c>
      <c r="G170" s="2">
        <v>58.524700000000003</v>
      </c>
      <c r="H170" s="2">
        <v>2.07843</v>
      </c>
    </row>
    <row r="171" spans="1:8" x14ac:dyDescent="0.2">
      <c r="A171" s="2" t="s">
        <v>1799</v>
      </c>
      <c r="B171" s="2" t="s">
        <v>3488</v>
      </c>
      <c r="C171" s="2" t="s">
        <v>1847</v>
      </c>
      <c r="D171" s="2" t="s">
        <v>1839</v>
      </c>
      <c r="E171" s="2" t="s">
        <v>1840</v>
      </c>
      <c r="F171" s="2">
        <v>0.41630699999999998</v>
      </c>
      <c r="G171" s="2">
        <v>1.74882</v>
      </c>
      <c r="H171" s="2">
        <v>2.0706600000000002</v>
      </c>
    </row>
    <row r="172" spans="1:8" x14ac:dyDescent="0.2">
      <c r="A172" s="2" t="s">
        <v>1505</v>
      </c>
      <c r="B172" s="2" t="s">
        <v>3015</v>
      </c>
      <c r="C172" s="2" t="s">
        <v>2655</v>
      </c>
      <c r="D172" s="2" t="s">
        <v>1839</v>
      </c>
      <c r="E172" s="2" t="s">
        <v>1841</v>
      </c>
      <c r="F172" s="2">
        <v>0.189944</v>
      </c>
      <c r="G172" s="2">
        <v>0.79780700000000004</v>
      </c>
      <c r="H172" s="2">
        <v>2.0704699999999998</v>
      </c>
    </row>
    <row r="173" spans="1:8" x14ac:dyDescent="0.2">
      <c r="A173" s="2" t="s">
        <v>1415</v>
      </c>
      <c r="B173" s="2" t="s">
        <v>3047</v>
      </c>
      <c r="C173" s="2" t="s">
        <v>2585</v>
      </c>
      <c r="D173" s="2" t="s">
        <v>1839</v>
      </c>
      <c r="E173" s="2" t="s">
        <v>1840</v>
      </c>
      <c r="F173" s="2">
        <v>1.0212699999999999</v>
      </c>
      <c r="G173" s="2">
        <v>4.2843799999999996</v>
      </c>
      <c r="H173" s="2">
        <v>2.06873</v>
      </c>
    </row>
    <row r="174" spans="1:8" x14ac:dyDescent="0.2">
      <c r="A174" s="2" t="s">
        <v>160</v>
      </c>
      <c r="B174" s="2" t="s">
        <v>3209</v>
      </c>
      <c r="C174" s="2" t="s">
        <v>2670</v>
      </c>
      <c r="D174" s="2" t="s">
        <v>1839</v>
      </c>
      <c r="E174" s="2" t="s">
        <v>1841</v>
      </c>
      <c r="F174" s="2">
        <v>0.77662600000000004</v>
      </c>
      <c r="G174" s="2">
        <v>3.2541000000000002</v>
      </c>
      <c r="H174" s="2">
        <v>2.06697</v>
      </c>
    </row>
    <row r="175" spans="1:8" x14ac:dyDescent="0.2">
      <c r="A175" s="2" t="s">
        <v>1610</v>
      </c>
      <c r="B175" s="2" t="s">
        <v>3087</v>
      </c>
      <c r="C175" s="2" t="s">
        <v>2771</v>
      </c>
      <c r="D175" s="2" t="s">
        <v>1839</v>
      </c>
      <c r="E175" s="2" t="s">
        <v>1840</v>
      </c>
      <c r="F175" s="2">
        <v>0.29669000000000001</v>
      </c>
      <c r="G175" s="2">
        <v>1.24089</v>
      </c>
      <c r="H175" s="2">
        <v>2.0643500000000001</v>
      </c>
    </row>
    <row r="176" spans="1:8" x14ac:dyDescent="0.2">
      <c r="A176" s="2" t="s">
        <v>1254</v>
      </c>
      <c r="B176" s="2" t="s">
        <v>3038</v>
      </c>
      <c r="C176" s="2" t="s">
        <v>2742</v>
      </c>
      <c r="D176" s="2" t="s">
        <v>1839</v>
      </c>
      <c r="E176" s="2" t="s">
        <v>1841</v>
      </c>
      <c r="F176" s="2">
        <v>0.23902599999999999</v>
      </c>
      <c r="G176" s="2">
        <v>0.99580800000000003</v>
      </c>
      <c r="H176" s="2">
        <v>2.0587</v>
      </c>
    </row>
    <row r="177" spans="1:8" x14ac:dyDescent="0.2">
      <c r="A177" s="2" t="s">
        <v>1544</v>
      </c>
      <c r="B177" s="2" t="s">
        <v>3015</v>
      </c>
      <c r="C177" s="2" t="s">
        <v>2218</v>
      </c>
      <c r="D177" s="2" t="s">
        <v>1839</v>
      </c>
      <c r="E177" s="2" t="s">
        <v>1841</v>
      </c>
      <c r="F177" s="2">
        <v>1.4461900000000001</v>
      </c>
      <c r="G177" s="2">
        <v>6.0044199999999996</v>
      </c>
      <c r="H177" s="2">
        <v>2.05376</v>
      </c>
    </row>
    <row r="178" spans="1:8" x14ac:dyDescent="0.2">
      <c r="A178" s="2" t="s">
        <v>669</v>
      </c>
      <c r="B178" s="2" t="s">
        <v>3015</v>
      </c>
      <c r="C178" s="2" t="s">
        <v>2154</v>
      </c>
      <c r="D178" s="2" t="s">
        <v>1836</v>
      </c>
      <c r="E178" s="2" t="s">
        <v>1837</v>
      </c>
      <c r="F178" s="2">
        <v>145.02500000000001</v>
      </c>
      <c r="G178" s="2">
        <v>598.78399999999999</v>
      </c>
      <c r="H178" s="2">
        <v>2.0457299999999998</v>
      </c>
    </row>
    <row r="179" spans="1:8" x14ac:dyDescent="0.2">
      <c r="A179" s="2" t="s">
        <v>847</v>
      </c>
      <c r="B179" s="2" t="s">
        <v>3045</v>
      </c>
      <c r="C179" s="2" t="s">
        <v>1986</v>
      </c>
      <c r="D179" s="2" t="s">
        <v>1839</v>
      </c>
      <c r="E179" s="2" t="s">
        <v>1841</v>
      </c>
      <c r="F179" s="2">
        <v>3.3915799999999998</v>
      </c>
      <c r="G179" s="2">
        <v>13.915800000000001</v>
      </c>
      <c r="H179" s="2">
        <v>2.0366900000000001</v>
      </c>
    </row>
    <row r="180" spans="1:8" x14ac:dyDescent="0.2">
      <c r="A180" s="2" t="s">
        <v>387</v>
      </c>
      <c r="B180" s="2" t="s">
        <v>3131</v>
      </c>
      <c r="C180" s="2" t="s">
        <v>2022</v>
      </c>
      <c r="D180" s="2" t="s">
        <v>1836</v>
      </c>
      <c r="E180" s="2" t="s">
        <v>1837</v>
      </c>
      <c r="F180" s="2">
        <v>0.39381100000000002</v>
      </c>
      <c r="G180" s="2">
        <v>1.61511</v>
      </c>
      <c r="H180" s="2">
        <v>2.03606</v>
      </c>
    </row>
    <row r="181" spans="1:8" x14ac:dyDescent="0.2">
      <c r="A181" s="2" t="s">
        <v>422</v>
      </c>
      <c r="B181" s="2" t="s">
        <v>3136</v>
      </c>
      <c r="C181" s="2" t="s">
        <v>2039</v>
      </c>
      <c r="D181" s="2" t="s">
        <v>1839</v>
      </c>
      <c r="E181" s="2" t="s">
        <v>1840</v>
      </c>
      <c r="F181" s="2">
        <v>0.24396300000000001</v>
      </c>
      <c r="G181" s="2">
        <v>0.99698699999999996</v>
      </c>
      <c r="H181" s="2">
        <v>2.03091</v>
      </c>
    </row>
    <row r="182" spans="1:8" x14ac:dyDescent="0.2">
      <c r="A182" s="2" t="s">
        <v>799</v>
      </c>
      <c r="B182" s="2" t="s">
        <v>3085</v>
      </c>
      <c r="C182" s="2" t="s">
        <v>2207</v>
      </c>
      <c r="D182" s="2" t="s">
        <v>1836</v>
      </c>
      <c r="E182" s="2" t="s">
        <v>1837</v>
      </c>
      <c r="F182" s="2">
        <v>1.37991</v>
      </c>
      <c r="G182" s="2">
        <v>5.6384499999999997</v>
      </c>
      <c r="H182" s="2">
        <v>2.0307200000000001</v>
      </c>
    </row>
    <row r="183" spans="1:8" x14ac:dyDescent="0.2">
      <c r="A183" s="2" t="s">
        <v>1151</v>
      </c>
      <c r="B183" s="2" t="s">
        <v>3015</v>
      </c>
      <c r="C183" s="2" t="s">
        <v>2636</v>
      </c>
      <c r="D183" s="2" t="s">
        <v>1839</v>
      </c>
      <c r="E183" s="2" t="s">
        <v>1841</v>
      </c>
      <c r="F183" s="2">
        <v>0.53334999999999999</v>
      </c>
      <c r="G183" s="2">
        <v>2.17767</v>
      </c>
      <c r="H183" s="2">
        <v>2.02963</v>
      </c>
    </row>
    <row r="184" spans="1:8" x14ac:dyDescent="0.2">
      <c r="A184" s="2" t="s">
        <v>1816</v>
      </c>
      <c r="B184" s="2" t="s">
        <v>3180</v>
      </c>
      <c r="C184" s="2" t="s">
        <v>2993</v>
      </c>
      <c r="D184" s="2" t="s">
        <v>1839</v>
      </c>
      <c r="E184" s="2" t="s">
        <v>1840</v>
      </c>
      <c r="F184" s="2">
        <v>0.31321900000000003</v>
      </c>
      <c r="G184" s="2">
        <v>1.2757099999999999</v>
      </c>
      <c r="H184" s="2">
        <v>2.0260600000000002</v>
      </c>
    </row>
    <row r="185" spans="1:8" x14ac:dyDescent="0.2">
      <c r="A185" s="2" t="s">
        <v>994</v>
      </c>
      <c r="B185" s="2" t="s">
        <v>3120</v>
      </c>
      <c r="C185" s="2" t="s">
        <v>1862</v>
      </c>
      <c r="D185" s="2" t="s">
        <v>1836</v>
      </c>
      <c r="E185" s="2" t="s">
        <v>1837</v>
      </c>
      <c r="F185" s="2">
        <v>0.535806</v>
      </c>
      <c r="G185" s="2">
        <v>2.1802299999999999</v>
      </c>
      <c r="H185" s="2">
        <v>2.0247000000000002</v>
      </c>
    </row>
    <row r="186" spans="1:8" x14ac:dyDescent="0.2">
      <c r="A186" s="2" t="s">
        <v>60</v>
      </c>
      <c r="B186" s="2" t="s">
        <v>3015</v>
      </c>
      <c r="C186" s="2" t="s">
        <v>1871</v>
      </c>
      <c r="D186" s="2" t="s">
        <v>1836</v>
      </c>
      <c r="E186" s="2" t="s">
        <v>1838</v>
      </c>
      <c r="F186" s="2">
        <v>1.17746</v>
      </c>
      <c r="G186" s="2">
        <v>4.7757300000000003</v>
      </c>
      <c r="H186" s="2">
        <v>2.0200399999999998</v>
      </c>
    </row>
    <row r="187" spans="1:8" x14ac:dyDescent="0.2">
      <c r="A187" s="2" t="s">
        <v>70</v>
      </c>
      <c r="B187" s="2" t="s">
        <v>3301</v>
      </c>
      <c r="C187" s="2" t="s">
        <v>2638</v>
      </c>
      <c r="D187" s="2" t="s">
        <v>1839</v>
      </c>
      <c r="E187" s="2" t="s">
        <v>1841</v>
      </c>
      <c r="F187" s="2">
        <v>2.01763</v>
      </c>
      <c r="G187" s="2">
        <v>8.1595300000000002</v>
      </c>
      <c r="H187" s="2">
        <v>2.0158299999999998</v>
      </c>
    </row>
    <row r="188" spans="1:8" x14ac:dyDescent="0.2">
      <c r="A188" s="2" t="s">
        <v>1345</v>
      </c>
      <c r="B188" s="2" t="s">
        <v>3015</v>
      </c>
      <c r="C188" s="2" t="s">
        <v>2539</v>
      </c>
      <c r="D188" s="2" t="s">
        <v>1839</v>
      </c>
      <c r="E188" s="2" t="s">
        <v>1841</v>
      </c>
      <c r="F188" s="2">
        <v>0.43188900000000002</v>
      </c>
      <c r="G188" s="2">
        <v>1.74657</v>
      </c>
      <c r="H188" s="2">
        <v>2.01579</v>
      </c>
    </row>
    <row r="189" spans="1:8" x14ac:dyDescent="0.2">
      <c r="A189" s="2" t="s">
        <v>81</v>
      </c>
      <c r="B189" s="2" t="s">
        <v>3271</v>
      </c>
      <c r="C189" s="2" t="s">
        <v>2386</v>
      </c>
      <c r="D189" s="2" t="s">
        <v>1839</v>
      </c>
      <c r="E189" s="2" t="s">
        <v>1841</v>
      </c>
      <c r="F189" s="2">
        <v>0.707202</v>
      </c>
      <c r="G189" s="2">
        <v>2.8582399999999999</v>
      </c>
      <c r="H189" s="2">
        <v>2.0149300000000001</v>
      </c>
    </row>
    <row r="190" spans="1:8" x14ac:dyDescent="0.2">
      <c r="A190" s="2" t="s">
        <v>259</v>
      </c>
      <c r="B190" s="2" t="s">
        <v>3197</v>
      </c>
      <c r="C190" s="2" t="s">
        <v>2179</v>
      </c>
      <c r="D190" s="2" t="s">
        <v>1839</v>
      </c>
      <c r="E190" s="2" t="s">
        <v>1841</v>
      </c>
      <c r="F190" s="2">
        <v>0.39105699999999999</v>
      </c>
      <c r="G190" s="2">
        <v>1.5764899999999999</v>
      </c>
      <c r="H190" s="2">
        <v>2.01126</v>
      </c>
    </row>
    <row r="191" spans="1:8" x14ac:dyDescent="0.2">
      <c r="A191" s="2" t="s">
        <v>1700</v>
      </c>
      <c r="B191" s="2" t="s">
        <v>3015</v>
      </c>
      <c r="C191" s="2" t="s">
        <v>2188</v>
      </c>
      <c r="D191" s="2" t="s">
        <v>1839</v>
      </c>
      <c r="E191" s="2" t="s">
        <v>1841</v>
      </c>
      <c r="F191" s="2">
        <v>0.23753199999999999</v>
      </c>
      <c r="G191" s="2">
        <v>0.95703400000000005</v>
      </c>
      <c r="H191" s="2">
        <v>2.0104500000000001</v>
      </c>
    </row>
    <row r="192" spans="1:8" x14ac:dyDescent="0.2">
      <c r="A192" s="2" t="s">
        <v>1004</v>
      </c>
      <c r="B192" s="2" t="s">
        <v>3015</v>
      </c>
      <c r="C192" s="2" t="s">
        <v>3015</v>
      </c>
      <c r="D192" s="2" t="s">
        <v>1836</v>
      </c>
      <c r="E192" s="2" t="s">
        <v>1837</v>
      </c>
      <c r="F192" s="2">
        <v>26.915800000000001</v>
      </c>
      <c r="G192" s="2">
        <v>108.28400000000001</v>
      </c>
      <c r="H192" s="2">
        <v>2.0083000000000002</v>
      </c>
    </row>
    <row r="193" spans="1:8" x14ac:dyDescent="0.2">
      <c r="A193" s="2" t="s">
        <v>1263</v>
      </c>
      <c r="B193" s="2" t="s">
        <v>3323</v>
      </c>
      <c r="C193" s="2" t="s">
        <v>2191</v>
      </c>
      <c r="D193" s="2" t="s">
        <v>1836</v>
      </c>
      <c r="E193" s="2" t="s">
        <v>1838</v>
      </c>
      <c r="F193" s="2">
        <v>0.479522</v>
      </c>
      <c r="G193" s="2">
        <v>1.9263999999999999</v>
      </c>
      <c r="H193" s="2">
        <v>2.00624</v>
      </c>
    </row>
    <row r="194" spans="1:8" x14ac:dyDescent="0.2">
      <c r="A194" s="2" t="s">
        <v>1485</v>
      </c>
      <c r="B194" s="2" t="s">
        <v>3015</v>
      </c>
      <c r="C194" s="2" t="s">
        <v>2626</v>
      </c>
      <c r="D194" s="2" t="s">
        <v>1839</v>
      </c>
      <c r="E194" s="2" t="s">
        <v>1841</v>
      </c>
      <c r="F194" s="2">
        <v>0.22892100000000001</v>
      </c>
      <c r="G194" s="2">
        <v>0.91931700000000005</v>
      </c>
      <c r="H194" s="2">
        <v>2.0057100000000001</v>
      </c>
    </row>
    <row r="195" spans="1:8" x14ac:dyDescent="0.2">
      <c r="A195" s="2" t="s">
        <v>1601</v>
      </c>
      <c r="B195" s="2" t="s">
        <v>3047</v>
      </c>
      <c r="C195" s="2" t="s">
        <v>2762</v>
      </c>
      <c r="D195" s="2" t="s">
        <v>1839</v>
      </c>
      <c r="E195" s="2" t="s">
        <v>1841</v>
      </c>
      <c r="F195" s="2">
        <v>0.19380500000000001</v>
      </c>
      <c r="G195" s="2">
        <v>0.77738600000000002</v>
      </c>
      <c r="H195" s="2">
        <v>2.0040200000000001</v>
      </c>
    </row>
    <row r="196" spans="1:8" x14ac:dyDescent="0.2">
      <c r="A196" s="2" t="s">
        <v>388</v>
      </c>
      <c r="B196" s="2" t="s">
        <v>3015</v>
      </c>
      <c r="C196" s="2" t="s">
        <v>2023</v>
      </c>
      <c r="D196" s="2" t="s">
        <v>1836</v>
      </c>
      <c r="E196" s="2" t="s">
        <v>1837</v>
      </c>
      <c r="F196" s="2">
        <v>3.0101499999999999</v>
      </c>
      <c r="G196" s="2">
        <v>12.058</v>
      </c>
      <c r="H196" s="2">
        <v>2.0020799999999999</v>
      </c>
    </row>
    <row r="197" spans="1:8" x14ac:dyDescent="0.2">
      <c r="A197" s="2" t="s">
        <v>383</v>
      </c>
      <c r="B197" s="2" t="s">
        <v>3015</v>
      </c>
      <c r="C197" s="2" t="s">
        <v>3016</v>
      </c>
      <c r="D197" s="2" t="s">
        <v>1839</v>
      </c>
      <c r="E197" s="2" t="s">
        <v>1841</v>
      </c>
      <c r="F197" s="2">
        <v>1.82996</v>
      </c>
      <c r="G197" s="2">
        <v>7.3208299999999999</v>
      </c>
      <c r="H197" s="2">
        <v>2.0002</v>
      </c>
    </row>
    <row r="198" spans="1:8" x14ac:dyDescent="0.2">
      <c r="A198" s="2" t="s">
        <v>673</v>
      </c>
      <c r="B198" s="2" t="s">
        <v>3188</v>
      </c>
      <c r="C198" s="2" t="s">
        <v>2156</v>
      </c>
      <c r="D198" s="2" t="s">
        <v>1836</v>
      </c>
      <c r="E198" s="2" t="s">
        <v>1837</v>
      </c>
      <c r="F198" s="2">
        <v>2.33358</v>
      </c>
      <c r="G198" s="2">
        <v>9.2895699999999994</v>
      </c>
      <c r="H198" s="2">
        <v>1.9930600000000001</v>
      </c>
    </row>
    <row r="199" spans="1:8" x14ac:dyDescent="0.2">
      <c r="A199" s="2" t="s">
        <v>1377</v>
      </c>
      <c r="B199" s="2" t="s">
        <v>3080</v>
      </c>
      <c r="C199" s="2" t="s">
        <v>2866</v>
      </c>
      <c r="D199" s="2" t="s">
        <v>1839</v>
      </c>
      <c r="E199" s="2" t="s">
        <v>1841</v>
      </c>
      <c r="F199" s="2">
        <v>0.60714400000000002</v>
      </c>
      <c r="G199" s="2">
        <v>2.4113600000000002</v>
      </c>
      <c r="H199" s="2">
        <v>1.9897400000000001</v>
      </c>
    </row>
    <row r="200" spans="1:8" x14ac:dyDescent="0.2">
      <c r="A200" s="2" t="s">
        <v>1201</v>
      </c>
      <c r="B200" s="2" t="s">
        <v>3015</v>
      </c>
      <c r="C200" s="2" t="s">
        <v>2425</v>
      </c>
      <c r="D200" s="2" t="s">
        <v>1836</v>
      </c>
      <c r="E200" s="2" t="s">
        <v>1838</v>
      </c>
      <c r="F200" s="2">
        <v>7.3511199999999999</v>
      </c>
      <c r="G200" s="2">
        <v>29.153300000000002</v>
      </c>
      <c r="H200" s="2">
        <v>1.98763</v>
      </c>
    </row>
    <row r="201" spans="1:8" x14ac:dyDescent="0.2">
      <c r="A201" s="2" t="s">
        <v>898</v>
      </c>
      <c r="B201" s="2" t="s">
        <v>3015</v>
      </c>
      <c r="C201" s="2" t="s">
        <v>1847</v>
      </c>
      <c r="D201" s="2" t="s">
        <v>1839</v>
      </c>
      <c r="E201" s="2" t="s">
        <v>1841</v>
      </c>
      <c r="F201" s="2">
        <v>1.7448900000000001</v>
      </c>
      <c r="G201" s="2">
        <v>6.8705800000000004</v>
      </c>
      <c r="H201" s="2">
        <v>1.9773000000000001</v>
      </c>
    </row>
    <row r="202" spans="1:8" x14ac:dyDescent="0.2">
      <c r="A202" s="2" t="s">
        <v>395</v>
      </c>
      <c r="B202" s="2" t="s">
        <v>3015</v>
      </c>
      <c r="C202" s="2" t="s">
        <v>3016</v>
      </c>
      <c r="D202" s="2" t="s">
        <v>1836</v>
      </c>
      <c r="E202" s="2" t="s">
        <v>1838</v>
      </c>
      <c r="F202" s="2">
        <v>0.39205699999999999</v>
      </c>
      <c r="G202" s="2">
        <v>1.54118</v>
      </c>
      <c r="H202" s="2">
        <v>1.9749000000000001</v>
      </c>
    </row>
    <row r="203" spans="1:8" x14ac:dyDescent="0.2">
      <c r="A203" s="2" t="s">
        <v>562</v>
      </c>
      <c r="B203" s="2" t="s">
        <v>3160</v>
      </c>
      <c r="C203" s="2" t="s">
        <v>2098</v>
      </c>
      <c r="D203" s="2" t="s">
        <v>1836</v>
      </c>
      <c r="E203" s="2" t="s">
        <v>1837</v>
      </c>
      <c r="F203" s="2">
        <v>1.0845199999999999</v>
      </c>
      <c r="G203" s="2">
        <v>4.25976</v>
      </c>
      <c r="H203" s="2">
        <v>1.9737199999999999</v>
      </c>
    </row>
    <row r="204" spans="1:8" x14ac:dyDescent="0.2">
      <c r="A204" s="2" t="s">
        <v>155</v>
      </c>
      <c r="B204" s="2" t="s">
        <v>3100</v>
      </c>
      <c r="C204" s="2" t="s">
        <v>1847</v>
      </c>
      <c r="D204" s="2" t="s">
        <v>1839</v>
      </c>
      <c r="E204" s="2" t="s">
        <v>1841</v>
      </c>
      <c r="F204" s="2">
        <v>0.646173</v>
      </c>
      <c r="G204" s="2">
        <v>2.5180699999999998</v>
      </c>
      <c r="H204" s="2">
        <v>1.9623299999999999</v>
      </c>
    </row>
    <row r="205" spans="1:8" x14ac:dyDescent="0.2">
      <c r="A205" s="2" t="s">
        <v>661</v>
      </c>
      <c r="B205" s="2" t="s">
        <v>3015</v>
      </c>
      <c r="C205" s="2" t="s">
        <v>2834</v>
      </c>
      <c r="D205" s="2" t="s">
        <v>1839</v>
      </c>
      <c r="E205" s="2" t="s">
        <v>1840</v>
      </c>
      <c r="F205" s="2">
        <v>14.642799999999999</v>
      </c>
      <c r="G205" s="2">
        <v>56.98</v>
      </c>
      <c r="H205" s="2">
        <v>1.96027</v>
      </c>
    </row>
    <row r="206" spans="1:8" x14ac:dyDescent="0.2">
      <c r="A206" s="2" t="s">
        <v>685</v>
      </c>
      <c r="B206" s="2" t="s">
        <v>3015</v>
      </c>
      <c r="C206" s="2" t="s">
        <v>2161</v>
      </c>
      <c r="D206" s="2" t="s">
        <v>1836</v>
      </c>
      <c r="E206" s="2" t="s">
        <v>1837</v>
      </c>
      <c r="F206" s="2">
        <v>9.6047999999999991</v>
      </c>
      <c r="G206" s="2">
        <v>37.364400000000003</v>
      </c>
      <c r="H206" s="2">
        <v>1.95984</v>
      </c>
    </row>
    <row r="207" spans="1:8" x14ac:dyDescent="0.2">
      <c r="A207" s="2" t="s">
        <v>664</v>
      </c>
      <c r="B207" s="2" t="s">
        <v>3243</v>
      </c>
      <c r="C207" s="2" t="s">
        <v>2835</v>
      </c>
      <c r="D207" s="2" t="s">
        <v>1839</v>
      </c>
      <c r="E207" s="2" t="s">
        <v>1841</v>
      </c>
      <c r="F207" s="2">
        <v>6.0672199999999998</v>
      </c>
      <c r="G207" s="2">
        <v>23.596599999999999</v>
      </c>
      <c r="H207" s="2">
        <v>1.95947</v>
      </c>
    </row>
    <row r="208" spans="1:8" x14ac:dyDescent="0.2">
      <c r="A208" s="2" t="s">
        <v>1253</v>
      </c>
      <c r="B208" s="2" t="s">
        <v>3321</v>
      </c>
      <c r="C208" s="2" t="s">
        <v>2461</v>
      </c>
      <c r="D208" s="2" t="s">
        <v>1839</v>
      </c>
      <c r="E208" s="2" t="s">
        <v>1841</v>
      </c>
      <c r="F208" s="2">
        <v>1.15072</v>
      </c>
      <c r="G208" s="2">
        <v>4.4716699999999996</v>
      </c>
      <c r="H208" s="2">
        <v>1.95828</v>
      </c>
    </row>
    <row r="209" spans="1:8" x14ac:dyDescent="0.2">
      <c r="A209" s="2" t="s">
        <v>738</v>
      </c>
      <c r="B209" s="2" t="s">
        <v>3015</v>
      </c>
      <c r="C209" s="2" t="s">
        <v>1847</v>
      </c>
      <c r="D209" s="2" t="s">
        <v>1836</v>
      </c>
      <c r="E209" s="2" t="s">
        <v>1837</v>
      </c>
      <c r="F209" s="2">
        <v>6.2729999999999997</v>
      </c>
      <c r="G209" s="2">
        <v>24.3582</v>
      </c>
      <c r="H209" s="2">
        <v>1.9571799999999999</v>
      </c>
    </row>
    <row r="210" spans="1:8" x14ac:dyDescent="0.2">
      <c r="A210" s="2" t="s">
        <v>104</v>
      </c>
      <c r="B210" s="2" t="s">
        <v>3015</v>
      </c>
      <c r="C210" s="2" t="s">
        <v>1847</v>
      </c>
      <c r="D210" s="2" t="s">
        <v>1836</v>
      </c>
      <c r="E210" s="2" t="s">
        <v>1837</v>
      </c>
      <c r="F210" s="2">
        <v>0.459146</v>
      </c>
      <c r="G210" s="2">
        <v>1.78216</v>
      </c>
      <c r="H210" s="2">
        <v>1.9565999999999999</v>
      </c>
    </row>
    <row r="211" spans="1:8" x14ac:dyDescent="0.2">
      <c r="A211" s="2" t="s">
        <v>532</v>
      </c>
      <c r="B211" s="2" t="s">
        <v>3043</v>
      </c>
      <c r="C211" s="2" t="s">
        <v>2095</v>
      </c>
      <c r="D211" s="2" t="s">
        <v>1839</v>
      </c>
      <c r="E211" s="2" t="s">
        <v>1841</v>
      </c>
      <c r="F211" s="2">
        <v>4.3198600000000003</v>
      </c>
      <c r="G211" s="2">
        <v>16.761800000000001</v>
      </c>
      <c r="H211" s="2">
        <v>1.9561200000000001</v>
      </c>
    </row>
    <row r="212" spans="1:8" x14ac:dyDescent="0.2">
      <c r="A212" s="2" t="s">
        <v>556</v>
      </c>
      <c r="B212" s="2" t="s">
        <v>3158</v>
      </c>
      <c r="C212" s="2" t="s">
        <v>1858</v>
      </c>
      <c r="D212" s="2" t="s">
        <v>1836</v>
      </c>
      <c r="E212" s="2" t="s">
        <v>1837</v>
      </c>
      <c r="F212" s="2">
        <v>0.26356299999999999</v>
      </c>
      <c r="G212" s="2">
        <v>1.0223100000000001</v>
      </c>
      <c r="H212" s="2">
        <v>1.9556199999999999</v>
      </c>
    </row>
    <row r="213" spans="1:8" x14ac:dyDescent="0.2">
      <c r="A213" s="2" t="s">
        <v>1082</v>
      </c>
      <c r="B213" s="2" t="s">
        <v>3015</v>
      </c>
      <c r="C213" s="2" t="s">
        <v>2349</v>
      </c>
      <c r="D213" s="2" t="s">
        <v>1839</v>
      </c>
      <c r="E213" s="2" t="s">
        <v>1840</v>
      </c>
      <c r="F213" s="2">
        <v>1.1978800000000001</v>
      </c>
      <c r="G213" s="2">
        <v>4.6419100000000002</v>
      </c>
      <c r="H213" s="2">
        <v>1.95424</v>
      </c>
    </row>
    <row r="214" spans="1:8" x14ac:dyDescent="0.2">
      <c r="A214" s="2" t="s">
        <v>257</v>
      </c>
      <c r="B214" s="2" t="s">
        <v>3100</v>
      </c>
      <c r="C214" s="2" t="s">
        <v>1966</v>
      </c>
      <c r="D214" s="2" t="s">
        <v>1836</v>
      </c>
      <c r="E214" s="2" t="s">
        <v>1837</v>
      </c>
      <c r="F214" s="2">
        <v>4.3836199999999996</v>
      </c>
      <c r="G214" s="2">
        <v>16.9499</v>
      </c>
      <c r="H214" s="2">
        <v>1.9510799999999999</v>
      </c>
    </row>
    <row r="215" spans="1:8" x14ac:dyDescent="0.2">
      <c r="A215" s="2" t="s">
        <v>95</v>
      </c>
      <c r="B215" s="2" t="s">
        <v>3049</v>
      </c>
      <c r="C215" s="2" t="s">
        <v>1884</v>
      </c>
      <c r="D215" s="2" t="s">
        <v>1836</v>
      </c>
      <c r="E215" s="2" t="s">
        <v>1837</v>
      </c>
      <c r="F215" s="2">
        <v>0.54042000000000001</v>
      </c>
      <c r="G215" s="2">
        <v>2.0803199999999999</v>
      </c>
      <c r="H215" s="2">
        <v>1.94465</v>
      </c>
    </row>
    <row r="216" spans="1:8" x14ac:dyDescent="0.2">
      <c r="A216" s="2" t="s">
        <v>115</v>
      </c>
      <c r="B216" s="2" t="s">
        <v>3053</v>
      </c>
      <c r="C216" s="2" t="s">
        <v>1893</v>
      </c>
      <c r="D216" s="2" t="s">
        <v>1836</v>
      </c>
      <c r="E216" s="2" t="s">
        <v>1837</v>
      </c>
      <c r="F216" s="2">
        <v>0.38508999999999999</v>
      </c>
      <c r="G216" s="2">
        <v>1.4740500000000001</v>
      </c>
      <c r="H216" s="2">
        <v>1.93652</v>
      </c>
    </row>
    <row r="217" spans="1:8" x14ac:dyDescent="0.2">
      <c r="A217" s="2" t="s">
        <v>1509</v>
      </c>
      <c r="B217" s="2" t="s">
        <v>3396</v>
      </c>
      <c r="C217" s="2" t="s">
        <v>2662</v>
      </c>
      <c r="D217" s="2" t="s">
        <v>1839</v>
      </c>
      <c r="E217" s="2" t="s">
        <v>1840</v>
      </c>
      <c r="F217" s="2">
        <v>0.58434699999999995</v>
      </c>
      <c r="G217" s="2">
        <v>2.2350699999999999</v>
      </c>
      <c r="H217" s="2">
        <v>1.9354199999999999</v>
      </c>
    </row>
    <row r="218" spans="1:8" x14ac:dyDescent="0.2">
      <c r="A218" s="2" t="s">
        <v>1028</v>
      </c>
      <c r="B218" s="2" t="s">
        <v>3015</v>
      </c>
      <c r="C218" s="2" t="s">
        <v>2326</v>
      </c>
      <c r="D218" s="2" t="s">
        <v>1839</v>
      </c>
      <c r="E218" s="2" t="s">
        <v>1841</v>
      </c>
      <c r="F218" s="2">
        <v>6.3791099999999998</v>
      </c>
      <c r="G218" s="2">
        <v>24.348800000000001</v>
      </c>
      <c r="H218" s="2">
        <v>1.93242</v>
      </c>
    </row>
    <row r="219" spans="1:8" x14ac:dyDescent="0.2">
      <c r="A219" s="2" t="s">
        <v>311</v>
      </c>
      <c r="B219" s="2" t="s">
        <v>3111</v>
      </c>
      <c r="C219" s="2" t="s">
        <v>1988</v>
      </c>
      <c r="D219" s="2" t="s">
        <v>1839</v>
      </c>
      <c r="E219" s="2" t="s">
        <v>1841</v>
      </c>
      <c r="F219" s="2">
        <v>0.44609300000000002</v>
      </c>
      <c r="G219" s="2">
        <v>1.70025</v>
      </c>
      <c r="H219" s="2">
        <v>1.9303399999999999</v>
      </c>
    </row>
    <row r="220" spans="1:8" x14ac:dyDescent="0.2">
      <c r="A220" s="2" t="s">
        <v>1254</v>
      </c>
      <c r="B220" s="2" t="s">
        <v>3038</v>
      </c>
      <c r="C220" s="2" t="s">
        <v>2742</v>
      </c>
      <c r="D220" s="2" t="s">
        <v>1839</v>
      </c>
      <c r="E220" s="2" t="s">
        <v>1840</v>
      </c>
      <c r="F220" s="2">
        <v>0.23902599999999999</v>
      </c>
      <c r="G220" s="2">
        <v>0.90870200000000001</v>
      </c>
      <c r="H220" s="2">
        <v>1.9266399999999999</v>
      </c>
    </row>
    <row r="221" spans="1:8" x14ac:dyDescent="0.2">
      <c r="A221" s="2" t="s">
        <v>1413</v>
      </c>
      <c r="B221" s="2" t="s">
        <v>3466</v>
      </c>
      <c r="C221" s="2" t="s">
        <v>2720</v>
      </c>
      <c r="D221" s="2" t="s">
        <v>1839</v>
      </c>
      <c r="E221" s="2" t="s">
        <v>1840</v>
      </c>
      <c r="F221" s="2">
        <v>1.31369</v>
      </c>
      <c r="G221" s="2">
        <v>4.9887600000000001</v>
      </c>
      <c r="H221" s="2">
        <v>1.92506</v>
      </c>
    </row>
    <row r="222" spans="1:8" x14ac:dyDescent="0.2">
      <c r="A222" s="2" t="s">
        <v>305</v>
      </c>
      <c r="B222" s="2" t="s">
        <v>3138</v>
      </c>
      <c r="C222" s="2" t="s">
        <v>2220</v>
      </c>
      <c r="D222" s="2" t="s">
        <v>1839</v>
      </c>
      <c r="E222" s="2" t="s">
        <v>1840</v>
      </c>
      <c r="F222" s="2">
        <v>3.0793900000000001</v>
      </c>
      <c r="G222" s="2">
        <v>11.6633</v>
      </c>
      <c r="H222" s="2">
        <v>1.92126</v>
      </c>
    </row>
    <row r="223" spans="1:8" x14ac:dyDescent="0.2">
      <c r="A223" s="2" t="s">
        <v>658</v>
      </c>
      <c r="B223" s="2" t="s">
        <v>3015</v>
      </c>
      <c r="C223" s="2" t="s">
        <v>2151</v>
      </c>
      <c r="D223" s="2" t="s">
        <v>1836</v>
      </c>
      <c r="E223" s="2" t="s">
        <v>1837</v>
      </c>
      <c r="F223" s="2">
        <v>1.1596200000000001</v>
      </c>
      <c r="G223" s="2">
        <v>4.3821399999999997</v>
      </c>
      <c r="H223" s="2">
        <v>1.9179900000000001</v>
      </c>
    </row>
    <row r="224" spans="1:8" x14ac:dyDescent="0.2">
      <c r="A224" s="2" t="s">
        <v>1000</v>
      </c>
      <c r="B224" s="2" t="s">
        <v>3015</v>
      </c>
      <c r="C224" s="2" t="s">
        <v>3016</v>
      </c>
      <c r="D224" s="2" t="s">
        <v>1839</v>
      </c>
      <c r="E224" s="2" t="s">
        <v>1841</v>
      </c>
      <c r="F224" s="2">
        <v>0.38102799999999998</v>
      </c>
      <c r="G224" s="2">
        <v>1.43371</v>
      </c>
      <c r="H224" s="2">
        <v>1.9117900000000001</v>
      </c>
    </row>
    <row r="225" spans="1:8" x14ac:dyDescent="0.2">
      <c r="A225" s="2" t="s">
        <v>1611</v>
      </c>
      <c r="B225" s="2" t="s">
        <v>3428</v>
      </c>
      <c r="C225" s="2" t="s">
        <v>2773</v>
      </c>
      <c r="D225" s="2" t="s">
        <v>1839</v>
      </c>
      <c r="E225" s="2" t="s">
        <v>1841</v>
      </c>
      <c r="F225" s="2">
        <v>0.29382799999999998</v>
      </c>
      <c r="G225" s="2">
        <v>1.1048800000000001</v>
      </c>
      <c r="H225" s="2">
        <v>1.9108499999999999</v>
      </c>
    </row>
    <row r="226" spans="1:8" x14ac:dyDescent="0.2">
      <c r="A226" s="2" t="s">
        <v>825</v>
      </c>
      <c r="B226" s="2" t="s">
        <v>3015</v>
      </c>
      <c r="C226" s="2" t="s">
        <v>2579</v>
      </c>
      <c r="D226" s="2" t="s">
        <v>1839</v>
      </c>
      <c r="E226" s="2" t="s">
        <v>1840</v>
      </c>
      <c r="F226" s="2">
        <v>1.14524</v>
      </c>
      <c r="G226" s="2">
        <v>4.2921699999999996</v>
      </c>
      <c r="H226" s="2">
        <v>1.90605</v>
      </c>
    </row>
    <row r="227" spans="1:8" x14ac:dyDescent="0.2">
      <c r="A227" s="2" t="s">
        <v>476</v>
      </c>
      <c r="B227" s="2" t="s">
        <v>3147</v>
      </c>
      <c r="C227" s="2" t="s">
        <v>2066</v>
      </c>
      <c r="D227" s="2" t="s">
        <v>1836</v>
      </c>
      <c r="E227" s="2" t="s">
        <v>1837</v>
      </c>
      <c r="F227" s="2">
        <v>0.87570499999999996</v>
      </c>
      <c r="G227" s="2">
        <v>3.2721200000000001</v>
      </c>
      <c r="H227" s="2">
        <v>1.90171</v>
      </c>
    </row>
    <row r="228" spans="1:8" x14ac:dyDescent="0.2">
      <c r="A228" s="2" t="s">
        <v>1259</v>
      </c>
      <c r="B228" s="2" t="s">
        <v>3015</v>
      </c>
      <c r="C228" s="2" t="s">
        <v>3016</v>
      </c>
      <c r="D228" s="2" t="s">
        <v>1839</v>
      </c>
      <c r="E228" s="2" t="s">
        <v>1840</v>
      </c>
      <c r="F228" s="2">
        <v>0.92873600000000001</v>
      </c>
      <c r="G228" s="2">
        <v>3.4667400000000002</v>
      </c>
      <c r="H228" s="2">
        <v>1.9002399999999999</v>
      </c>
    </row>
    <row r="229" spans="1:8" x14ac:dyDescent="0.2">
      <c r="A229" s="2" t="s">
        <v>549</v>
      </c>
      <c r="B229" s="2" t="s">
        <v>3053</v>
      </c>
      <c r="C229" s="2" t="s">
        <v>2103</v>
      </c>
      <c r="D229" s="2" t="s">
        <v>1836</v>
      </c>
      <c r="E229" s="2" t="s">
        <v>1838</v>
      </c>
      <c r="F229" s="2">
        <v>1.39297</v>
      </c>
      <c r="G229" s="2">
        <v>5.1764799999999997</v>
      </c>
      <c r="H229" s="2">
        <v>1.89381</v>
      </c>
    </row>
    <row r="230" spans="1:8" x14ac:dyDescent="0.2">
      <c r="A230" s="2" t="s">
        <v>652</v>
      </c>
      <c r="B230" s="2" t="s">
        <v>3183</v>
      </c>
      <c r="C230" s="2" t="s">
        <v>2148</v>
      </c>
      <c r="D230" s="2" t="s">
        <v>1839</v>
      </c>
      <c r="E230" s="2" t="s">
        <v>1841</v>
      </c>
      <c r="F230" s="2">
        <v>12.494300000000001</v>
      </c>
      <c r="G230" s="2">
        <v>46.430199999999999</v>
      </c>
      <c r="H230" s="2">
        <v>1.8937900000000001</v>
      </c>
    </row>
    <row r="231" spans="1:8" x14ac:dyDescent="0.2">
      <c r="A231" s="2" t="s">
        <v>1681</v>
      </c>
      <c r="B231" s="2" t="s">
        <v>3453</v>
      </c>
      <c r="C231" s="2" t="s">
        <v>2847</v>
      </c>
      <c r="D231" s="2" t="s">
        <v>1839</v>
      </c>
      <c r="E231" s="2" t="s">
        <v>1841</v>
      </c>
      <c r="F231" s="2">
        <v>0.37701000000000001</v>
      </c>
      <c r="G231" s="2">
        <v>1.39706</v>
      </c>
      <c r="H231" s="2">
        <v>1.8897200000000001</v>
      </c>
    </row>
    <row r="232" spans="1:8" x14ac:dyDescent="0.2">
      <c r="A232" s="2" t="s">
        <v>470</v>
      </c>
      <c r="B232" s="2" t="s">
        <v>3015</v>
      </c>
      <c r="C232" s="2" t="s">
        <v>2769</v>
      </c>
      <c r="D232" s="2" t="s">
        <v>1839</v>
      </c>
      <c r="E232" s="2" t="s">
        <v>1841</v>
      </c>
      <c r="F232" s="2">
        <v>60.847099999999998</v>
      </c>
      <c r="G232" s="2">
        <v>224.78800000000001</v>
      </c>
      <c r="H232" s="2">
        <v>1.88531</v>
      </c>
    </row>
    <row r="233" spans="1:8" x14ac:dyDescent="0.2">
      <c r="A233" s="2" t="s">
        <v>573</v>
      </c>
      <c r="B233" s="2" t="s">
        <v>3164</v>
      </c>
      <c r="C233" s="2" t="s">
        <v>2112</v>
      </c>
      <c r="D233" s="2" t="s">
        <v>1836</v>
      </c>
      <c r="E233" s="2" t="s">
        <v>1837</v>
      </c>
      <c r="F233" s="2">
        <v>25.067900000000002</v>
      </c>
      <c r="G233" s="2">
        <v>92.595399999999998</v>
      </c>
      <c r="H233" s="2">
        <v>1.8851</v>
      </c>
    </row>
    <row r="234" spans="1:8" x14ac:dyDescent="0.2">
      <c r="A234" s="2" t="s">
        <v>507</v>
      </c>
      <c r="B234" s="2" t="s">
        <v>3015</v>
      </c>
      <c r="C234" s="2" t="s">
        <v>2082</v>
      </c>
      <c r="D234" s="2" t="s">
        <v>1839</v>
      </c>
      <c r="E234" s="2" t="s">
        <v>1841</v>
      </c>
      <c r="F234" s="2">
        <v>0.61633300000000002</v>
      </c>
      <c r="G234" s="2">
        <v>2.2754799999999999</v>
      </c>
      <c r="H234" s="2">
        <v>1.88439</v>
      </c>
    </row>
    <row r="235" spans="1:8" x14ac:dyDescent="0.2">
      <c r="A235" s="2" t="s">
        <v>1306</v>
      </c>
      <c r="B235" s="2" t="s">
        <v>3015</v>
      </c>
      <c r="C235" s="2" t="s">
        <v>2806</v>
      </c>
      <c r="D235" s="2" t="s">
        <v>1839</v>
      </c>
      <c r="E235" s="2" t="s">
        <v>1841</v>
      </c>
      <c r="F235" s="2">
        <v>0.834148</v>
      </c>
      <c r="G235" s="2">
        <v>3.0684300000000002</v>
      </c>
      <c r="H235" s="2">
        <v>1.8791199999999999</v>
      </c>
    </row>
    <row r="236" spans="1:8" x14ac:dyDescent="0.2">
      <c r="A236" s="2" t="s">
        <v>1477</v>
      </c>
      <c r="B236" s="2" t="s">
        <v>3015</v>
      </c>
      <c r="C236" s="2" t="s">
        <v>2618</v>
      </c>
      <c r="D236" s="2" t="s">
        <v>1839</v>
      </c>
      <c r="E236" s="2" t="s">
        <v>1841</v>
      </c>
      <c r="F236" s="2">
        <v>0.28669899999999998</v>
      </c>
      <c r="G236" s="2">
        <v>1.0542199999999999</v>
      </c>
      <c r="H236" s="2">
        <v>1.8785700000000001</v>
      </c>
    </row>
    <row r="237" spans="1:8" x14ac:dyDescent="0.2">
      <c r="A237" s="2" t="s">
        <v>1146</v>
      </c>
      <c r="B237" s="2" t="s">
        <v>3284</v>
      </c>
      <c r="C237" s="2" t="s">
        <v>2378</v>
      </c>
      <c r="D237" s="2" t="s">
        <v>1836</v>
      </c>
      <c r="E237" s="2" t="s">
        <v>1838</v>
      </c>
      <c r="F237" s="2">
        <v>4.0926499999999999</v>
      </c>
      <c r="G237" s="2">
        <v>15.0375</v>
      </c>
      <c r="H237" s="2">
        <v>1.8774599999999999</v>
      </c>
    </row>
    <row r="238" spans="1:8" x14ac:dyDescent="0.2">
      <c r="A238" s="2" t="s">
        <v>1404</v>
      </c>
      <c r="B238" s="2" t="s">
        <v>3015</v>
      </c>
      <c r="C238" s="2" t="s">
        <v>2893</v>
      </c>
      <c r="D238" s="2" t="s">
        <v>1839</v>
      </c>
      <c r="E238" s="2" t="s">
        <v>1841</v>
      </c>
      <c r="F238" s="2">
        <v>0.32739800000000002</v>
      </c>
      <c r="G238" s="2">
        <v>1.20146</v>
      </c>
      <c r="H238" s="2">
        <v>1.8756699999999999</v>
      </c>
    </row>
    <row r="239" spans="1:8" x14ac:dyDescent="0.2">
      <c r="A239" s="2" t="s">
        <v>860</v>
      </c>
      <c r="B239" s="2" t="s">
        <v>3093</v>
      </c>
      <c r="C239" s="2" t="s">
        <v>2029</v>
      </c>
      <c r="D239" s="2" t="s">
        <v>1839</v>
      </c>
      <c r="E239" s="2" t="s">
        <v>1840</v>
      </c>
      <c r="F239" s="2">
        <v>0.87416000000000005</v>
      </c>
      <c r="G239" s="2">
        <v>3.2027399999999999</v>
      </c>
      <c r="H239" s="2">
        <v>1.87334</v>
      </c>
    </row>
    <row r="240" spans="1:8" x14ac:dyDescent="0.2">
      <c r="A240" s="2" t="s">
        <v>288</v>
      </c>
      <c r="B240" s="2" t="s">
        <v>3410</v>
      </c>
      <c r="C240" s="2" t="s">
        <v>2717</v>
      </c>
      <c r="D240" s="2" t="s">
        <v>1839</v>
      </c>
      <c r="E240" s="2" t="s">
        <v>1841</v>
      </c>
      <c r="F240" s="2">
        <v>2.1268799999999999</v>
      </c>
      <c r="G240" s="2">
        <v>7.7660299999999998</v>
      </c>
      <c r="H240" s="2">
        <v>1.8684400000000001</v>
      </c>
    </row>
    <row r="241" spans="1:8" x14ac:dyDescent="0.2">
      <c r="A241" s="2" t="s">
        <v>306</v>
      </c>
      <c r="B241" s="2" t="s">
        <v>3045</v>
      </c>
      <c r="C241" s="2" t="s">
        <v>1986</v>
      </c>
      <c r="D241" s="2" t="s">
        <v>1839</v>
      </c>
      <c r="E241" s="2" t="s">
        <v>1841</v>
      </c>
      <c r="F241" s="2">
        <v>2.29678</v>
      </c>
      <c r="G241" s="2">
        <v>8.3637899999999998</v>
      </c>
      <c r="H241" s="2">
        <v>1.8645400000000001</v>
      </c>
    </row>
    <row r="242" spans="1:8" x14ac:dyDescent="0.2">
      <c r="A242" s="2" t="s">
        <v>1621</v>
      </c>
      <c r="B242" s="2" t="s">
        <v>3434</v>
      </c>
      <c r="C242" s="2" t="s">
        <v>2787</v>
      </c>
      <c r="D242" s="2" t="s">
        <v>1839</v>
      </c>
      <c r="E242" s="2" t="s">
        <v>1841</v>
      </c>
      <c r="F242" s="2">
        <v>0.38133099999999998</v>
      </c>
      <c r="G242" s="2">
        <v>1.3755200000000001</v>
      </c>
      <c r="H242" s="2">
        <v>1.8508599999999999</v>
      </c>
    </row>
    <row r="243" spans="1:8" x14ac:dyDescent="0.2">
      <c r="A243" s="2" t="s">
        <v>1756</v>
      </c>
      <c r="B243" s="2" t="s">
        <v>3245</v>
      </c>
      <c r="C243" s="2" t="s">
        <v>2590</v>
      </c>
      <c r="D243" s="2" t="s">
        <v>1839</v>
      </c>
      <c r="E243" s="2" t="s">
        <v>1841</v>
      </c>
      <c r="F243" s="2">
        <v>0.361294</v>
      </c>
      <c r="G243" s="2">
        <v>1.30298</v>
      </c>
      <c r="H243" s="2">
        <v>1.85057</v>
      </c>
    </row>
    <row r="244" spans="1:8" x14ac:dyDescent="0.2">
      <c r="A244" s="2" t="s">
        <v>1521</v>
      </c>
      <c r="B244" s="2" t="s">
        <v>3015</v>
      </c>
      <c r="C244" s="2" t="s">
        <v>2674</v>
      </c>
      <c r="D244" s="2" t="s">
        <v>1839</v>
      </c>
      <c r="E244" s="2" t="s">
        <v>1841</v>
      </c>
      <c r="F244" s="2">
        <v>0.435699</v>
      </c>
      <c r="G244" s="2">
        <v>1.5700700000000001</v>
      </c>
      <c r="H244" s="2">
        <v>1.8494299999999999</v>
      </c>
    </row>
    <row r="245" spans="1:8" x14ac:dyDescent="0.2">
      <c r="A245" s="2" t="s">
        <v>1723</v>
      </c>
      <c r="B245" s="2" t="s">
        <v>3015</v>
      </c>
      <c r="C245" s="2" t="s">
        <v>2887</v>
      </c>
      <c r="D245" s="2" t="s">
        <v>1839</v>
      </c>
      <c r="E245" s="2" t="s">
        <v>1841</v>
      </c>
      <c r="F245" s="2">
        <v>0.77668300000000001</v>
      </c>
      <c r="G245" s="2">
        <v>2.7851300000000001</v>
      </c>
      <c r="H245" s="2">
        <v>1.8423499999999999</v>
      </c>
    </row>
    <row r="246" spans="1:8" x14ac:dyDescent="0.2">
      <c r="A246" s="2" t="s">
        <v>1147</v>
      </c>
      <c r="B246" s="2" t="s">
        <v>3285</v>
      </c>
      <c r="C246" s="2" t="s">
        <v>2379</v>
      </c>
      <c r="D246" s="2" t="s">
        <v>1836</v>
      </c>
      <c r="E246" s="2" t="s">
        <v>1838</v>
      </c>
      <c r="F246" s="2">
        <v>0.70819200000000004</v>
      </c>
      <c r="G246" s="2">
        <v>2.5365199999999999</v>
      </c>
      <c r="H246" s="2">
        <v>1.8406400000000001</v>
      </c>
    </row>
    <row r="247" spans="1:8" x14ac:dyDescent="0.2">
      <c r="A247" s="2" t="s">
        <v>486</v>
      </c>
      <c r="B247" s="2" t="s">
        <v>3015</v>
      </c>
      <c r="C247" s="2" t="s">
        <v>1847</v>
      </c>
      <c r="D247" s="2" t="s">
        <v>1839</v>
      </c>
      <c r="E247" s="2" t="s">
        <v>1841</v>
      </c>
      <c r="F247" s="2">
        <v>27.205400000000001</v>
      </c>
      <c r="G247" s="2">
        <v>97.192999999999998</v>
      </c>
      <c r="H247" s="2">
        <v>1.8369599999999999</v>
      </c>
    </row>
    <row r="248" spans="1:8" x14ac:dyDescent="0.2">
      <c r="A248" s="2" t="s">
        <v>770</v>
      </c>
      <c r="B248" s="2" t="s">
        <v>3189</v>
      </c>
      <c r="C248" s="2" t="s">
        <v>2761</v>
      </c>
      <c r="D248" s="2" t="s">
        <v>1839</v>
      </c>
      <c r="E248" s="2" t="s">
        <v>1841</v>
      </c>
      <c r="F248" s="2">
        <v>0.41989100000000001</v>
      </c>
      <c r="G248" s="2">
        <v>1.49617</v>
      </c>
      <c r="H248" s="2">
        <v>1.8331900000000001</v>
      </c>
    </row>
    <row r="249" spans="1:8" x14ac:dyDescent="0.2">
      <c r="A249" s="2" t="s">
        <v>382</v>
      </c>
      <c r="B249" s="2" t="s">
        <v>3030</v>
      </c>
      <c r="C249" s="2" t="s">
        <v>2467</v>
      </c>
      <c r="D249" s="2" t="s">
        <v>1836</v>
      </c>
      <c r="E249" s="2" t="s">
        <v>1838</v>
      </c>
      <c r="F249" s="2">
        <v>15.6236</v>
      </c>
      <c r="G249" s="2">
        <v>55.630099999999999</v>
      </c>
      <c r="H249" s="2">
        <v>1.8321400000000001</v>
      </c>
    </row>
    <row r="250" spans="1:8" x14ac:dyDescent="0.2">
      <c r="A250" s="2" t="s">
        <v>1415</v>
      </c>
      <c r="B250" s="2" t="s">
        <v>3047</v>
      </c>
      <c r="C250" s="2" t="s">
        <v>2585</v>
      </c>
      <c r="D250" s="2" t="s">
        <v>1839</v>
      </c>
      <c r="E250" s="2" t="s">
        <v>1841</v>
      </c>
      <c r="F250" s="2">
        <v>1.0212699999999999</v>
      </c>
      <c r="G250" s="2">
        <v>3.63408</v>
      </c>
      <c r="H250" s="2">
        <v>1.8312299999999999</v>
      </c>
    </row>
    <row r="251" spans="1:8" x14ac:dyDescent="0.2">
      <c r="A251" s="2" t="s">
        <v>1154</v>
      </c>
      <c r="B251" s="2" t="s">
        <v>3087</v>
      </c>
      <c r="C251" s="2" t="s">
        <v>2643</v>
      </c>
      <c r="D251" s="2" t="s">
        <v>1839</v>
      </c>
      <c r="E251" s="2" t="s">
        <v>1841</v>
      </c>
      <c r="F251" s="2">
        <v>0.59479300000000002</v>
      </c>
      <c r="G251" s="2">
        <v>2.1133600000000001</v>
      </c>
      <c r="H251" s="2">
        <v>1.82908</v>
      </c>
    </row>
    <row r="252" spans="1:8" x14ac:dyDescent="0.2">
      <c r="A252" s="2" t="s">
        <v>1317</v>
      </c>
      <c r="B252" s="2" t="s">
        <v>3197</v>
      </c>
      <c r="C252" s="2" t="s">
        <v>2179</v>
      </c>
      <c r="D252" s="2" t="s">
        <v>1839</v>
      </c>
      <c r="E252" s="2" t="s">
        <v>1841</v>
      </c>
      <c r="F252" s="2">
        <v>5.4893999999999998</v>
      </c>
      <c r="G252" s="2">
        <v>19.483899999999998</v>
      </c>
      <c r="H252" s="2">
        <v>1.8275600000000001</v>
      </c>
    </row>
    <row r="253" spans="1:8" x14ac:dyDescent="0.2">
      <c r="A253" s="2" t="s">
        <v>858</v>
      </c>
      <c r="B253" s="2" t="s">
        <v>3224</v>
      </c>
      <c r="C253" s="2" t="s">
        <v>2240</v>
      </c>
      <c r="D253" s="2" t="s">
        <v>1836</v>
      </c>
      <c r="E253" s="2" t="s">
        <v>1837</v>
      </c>
      <c r="F253" s="2">
        <v>2.8285800000000001</v>
      </c>
      <c r="G253" s="2">
        <v>10.031599999999999</v>
      </c>
      <c r="H253" s="2">
        <v>1.8264100000000001</v>
      </c>
    </row>
    <row r="254" spans="1:8" x14ac:dyDescent="0.2">
      <c r="A254" s="2" t="s">
        <v>1712</v>
      </c>
      <c r="B254" s="2" t="s">
        <v>3131</v>
      </c>
      <c r="C254" s="2" t="s">
        <v>2874</v>
      </c>
      <c r="D254" s="2" t="s">
        <v>1839</v>
      </c>
      <c r="E254" s="2" t="s">
        <v>1841</v>
      </c>
      <c r="F254" s="2">
        <v>0.54596299999999998</v>
      </c>
      <c r="G254" s="2">
        <v>1.9349099999999999</v>
      </c>
      <c r="H254" s="2">
        <v>1.8253900000000001</v>
      </c>
    </row>
    <row r="255" spans="1:8" x14ac:dyDescent="0.2">
      <c r="A255" s="2" t="s">
        <v>991</v>
      </c>
      <c r="B255" s="2" t="s">
        <v>3073</v>
      </c>
      <c r="C255" s="2" t="s">
        <v>2310</v>
      </c>
      <c r="D255" s="2" t="s">
        <v>1836</v>
      </c>
      <c r="E255" s="2" t="s">
        <v>1837</v>
      </c>
      <c r="F255" s="2">
        <v>0.46106200000000003</v>
      </c>
      <c r="G255" s="2">
        <v>1.6323399999999999</v>
      </c>
      <c r="H255" s="2">
        <v>1.8239099999999999</v>
      </c>
    </row>
    <row r="256" spans="1:8" x14ac:dyDescent="0.2">
      <c r="A256" s="2" t="s">
        <v>1434</v>
      </c>
      <c r="B256" s="2" t="s">
        <v>3015</v>
      </c>
      <c r="C256" s="2" t="s">
        <v>3016</v>
      </c>
      <c r="D256" s="2" t="s">
        <v>1836</v>
      </c>
      <c r="E256" s="2" t="s">
        <v>1838</v>
      </c>
      <c r="F256" s="2">
        <v>0.7994</v>
      </c>
      <c r="G256" s="2">
        <v>2.8257500000000002</v>
      </c>
      <c r="H256" s="2">
        <v>1.8216399999999999</v>
      </c>
    </row>
    <row r="257" spans="1:8" x14ac:dyDescent="0.2">
      <c r="A257" s="2" t="s">
        <v>82</v>
      </c>
      <c r="B257" s="2" t="s">
        <v>3048</v>
      </c>
      <c r="C257" s="2" t="s">
        <v>1881</v>
      </c>
      <c r="D257" s="2" t="s">
        <v>1836</v>
      </c>
      <c r="E257" s="2" t="s">
        <v>1838</v>
      </c>
      <c r="F257" s="2">
        <v>0.47378100000000001</v>
      </c>
      <c r="G257" s="2">
        <v>1.6698599999999999</v>
      </c>
      <c r="H257" s="2">
        <v>1.8174300000000001</v>
      </c>
    </row>
    <row r="258" spans="1:8" x14ac:dyDescent="0.2">
      <c r="A258" s="2" t="s">
        <v>1193</v>
      </c>
      <c r="B258" s="2" t="s">
        <v>3399</v>
      </c>
      <c r="C258" s="2" t="s">
        <v>2003</v>
      </c>
      <c r="D258" s="2" t="s">
        <v>1839</v>
      </c>
      <c r="E258" s="2" t="s">
        <v>1841</v>
      </c>
      <c r="F258" s="2">
        <v>0.42597400000000002</v>
      </c>
      <c r="G258" s="2">
        <v>1.49268</v>
      </c>
      <c r="H258" s="2">
        <v>1.80907</v>
      </c>
    </row>
    <row r="259" spans="1:8" x14ac:dyDescent="0.2">
      <c r="A259" s="2" t="s">
        <v>260</v>
      </c>
      <c r="B259" s="2" t="s">
        <v>3197</v>
      </c>
      <c r="C259" s="2" t="s">
        <v>2179</v>
      </c>
      <c r="D259" s="2" t="s">
        <v>1839</v>
      </c>
      <c r="E259" s="2" t="s">
        <v>1841</v>
      </c>
      <c r="F259" s="2">
        <v>1.93509</v>
      </c>
      <c r="G259" s="2">
        <v>6.7788000000000004</v>
      </c>
      <c r="H259" s="2">
        <v>1.80863</v>
      </c>
    </row>
    <row r="260" spans="1:8" x14ac:dyDescent="0.2">
      <c r="A260" s="2" t="s">
        <v>758</v>
      </c>
      <c r="B260" s="2" t="s">
        <v>3093</v>
      </c>
      <c r="C260" s="2" t="s">
        <v>2189</v>
      </c>
      <c r="D260" s="2" t="s">
        <v>1836</v>
      </c>
      <c r="E260" s="2" t="s">
        <v>1837</v>
      </c>
      <c r="F260" s="2">
        <v>1.6951700000000001</v>
      </c>
      <c r="G260" s="2">
        <v>5.9176200000000003</v>
      </c>
      <c r="H260" s="2">
        <v>1.80359</v>
      </c>
    </row>
    <row r="261" spans="1:8" x14ac:dyDescent="0.2">
      <c r="A261" s="2" t="s">
        <v>37</v>
      </c>
      <c r="B261" s="2" t="s">
        <v>3035</v>
      </c>
      <c r="C261" s="2" t="s">
        <v>1860</v>
      </c>
      <c r="D261" s="2" t="s">
        <v>1836</v>
      </c>
      <c r="E261" s="2" t="s">
        <v>1837</v>
      </c>
      <c r="F261" s="2">
        <v>5.7308899999999996</v>
      </c>
      <c r="G261" s="2">
        <v>19.993600000000001</v>
      </c>
      <c r="H261" s="2">
        <v>1.80271</v>
      </c>
    </row>
    <row r="262" spans="1:8" x14ac:dyDescent="0.2">
      <c r="A262" s="2" t="s">
        <v>143</v>
      </c>
      <c r="B262" s="2" t="s">
        <v>3294</v>
      </c>
      <c r="C262" s="2" t="s">
        <v>2407</v>
      </c>
      <c r="D262" s="2" t="s">
        <v>1839</v>
      </c>
      <c r="E262" s="2" t="s">
        <v>1840</v>
      </c>
      <c r="F262" s="2">
        <v>1.6326099999999999</v>
      </c>
      <c r="G262" s="2">
        <v>5.6767300000000001</v>
      </c>
      <c r="H262" s="2">
        <v>1.7978799999999999</v>
      </c>
    </row>
    <row r="263" spans="1:8" x14ac:dyDescent="0.2">
      <c r="A263" s="2" t="s">
        <v>436</v>
      </c>
      <c r="B263" s="2" t="s">
        <v>3323</v>
      </c>
      <c r="C263" s="2" t="s">
        <v>2760</v>
      </c>
      <c r="D263" s="2" t="s">
        <v>1839</v>
      </c>
      <c r="E263" s="2" t="s">
        <v>1841</v>
      </c>
      <c r="F263" s="2">
        <v>2.0226899999999999</v>
      </c>
      <c r="G263" s="2">
        <v>7.0304599999999997</v>
      </c>
      <c r="H263" s="2">
        <v>1.79735</v>
      </c>
    </row>
    <row r="264" spans="1:8" x14ac:dyDescent="0.2">
      <c r="A264" s="2" t="s">
        <v>1034</v>
      </c>
      <c r="B264" s="2" t="s">
        <v>3015</v>
      </c>
      <c r="C264" s="2" t="s">
        <v>2949</v>
      </c>
      <c r="D264" s="2" t="s">
        <v>1839</v>
      </c>
      <c r="E264" s="2" t="s">
        <v>1841</v>
      </c>
      <c r="F264" s="2">
        <v>1.6415200000000001</v>
      </c>
      <c r="G264" s="2">
        <v>5.6986100000000004</v>
      </c>
      <c r="H264" s="2">
        <v>1.79558</v>
      </c>
    </row>
    <row r="265" spans="1:8" x14ac:dyDescent="0.2">
      <c r="A265" s="2" t="s">
        <v>425</v>
      </c>
      <c r="B265" s="2" t="s">
        <v>3015</v>
      </c>
      <c r="C265" s="2" t="s">
        <v>2040</v>
      </c>
      <c r="D265" s="2" t="s">
        <v>1839</v>
      </c>
      <c r="E265" s="2" t="s">
        <v>1841</v>
      </c>
      <c r="F265" s="2">
        <v>0.50812999999999997</v>
      </c>
      <c r="G265" s="2">
        <v>1.7610600000000001</v>
      </c>
      <c r="H265" s="2">
        <v>1.7931699999999999</v>
      </c>
    </row>
    <row r="266" spans="1:8" x14ac:dyDescent="0.2">
      <c r="A266" s="2" t="s">
        <v>1291</v>
      </c>
      <c r="B266" s="2" t="s">
        <v>3015</v>
      </c>
      <c r="C266" s="2" t="s">
        <v>2499</v>
      </c>
      <c r="D266" s="2" t="s">
        <v>1839</v>
      </c>
      <c r="E266" s="2" t="s">
        <v>1841</v>
      </c>
      <c r="F266" s="2">
        <v>6.3823800000000004</v>
      </c>
      <c r="G266" s="2">
        <v>22.118400000000001</v>
      </c>
      <c r="H266" s="2">
        <v>1.79308</v>
      </c>
    </row>
    <row r="267" spans="1:8" x14ac:dyDescent="0.2">
      <c r="A267" s="2" t="s">
        <v>1415</v>
      </c>
      <c r="B267" s="2" t="s">
        <v>3047</v>
      </c>
      <c r="C267" s="2" t="s">
        <v>2585</v>
      </c>
      <c r="D267" s="2" t="s">
        <v>1836</v>
      </c>
      <c r="E267" s="2" t="s">
        <v>1838</v>
      </c>
      <c r="F267" s="2">
        <v>13.834199999999999</v>
      </c>
      <c r="G267" s="2">
        <v>47.928699999999999</v>
      </c>
      <c r="H267" s="2">
        <v>1.7926500000000001</v>
      </c>
    </row>
    <row r="268" spans="1:8" x14ac:dyDescent="0.2">
      <c r="A268" s="2" t="s">
        <v>1509</v>
      </c>
      <c r="B268" s="2" t="s">
        <v>3396</v>
      </c>
      <c r="C268" s="2" t="s">
        <v>2662</v>
      </c>
      <c r="D268" s="2" t="s">
        <v>1839</v>
      </c>
      <c r="E268" s="2" t="s">
        <v>1841</v>
      </c>
      <c r="F268" s="2">
        <v>0.58434699999999995</v>
      </c>
      <c r="G268" s="2">
        <v>2.0105499999999998</v>
      </c>
      <c r="H268" s="2">
        <v>1.7826900000000001</v>
      </c>
    </row>
    <row r="269" spans="1:8" x14ac:dyDescent="0.2">
      <c r="A269" s="2" t="s">
        <v>321</v>
      </c>
      <c r="B269" s="2" t="s">
        <v>3114</v>
      </c>
      <c r="C269" s="2" t="s">
        <v>3015</v>
      </c>
      <c r="D269" s="2" t="s">
        <v>1836</v>
      </c>
      <c r="E269" s="2" t="s">
        <v>1837</v>
      </c>
      <c r="F269" s="2">
        <v>0.32389600000000002</v>
      </c>
      <c r="G269" s="2">
        <v>1.11111</v>
      </c>
      <c r="H269" s="2">
        <v>1.7784</v>
      </c>
    </row>
    <row r="270" spans="1:8" x14ac:dyDescent="0.2">
      <c r="A270" s="2" t="s">
        <v>435</v>
      </c>
      <c r="B270" s="2" t="s">
        <v>3137</v>
      </c>
      <c r="C270" s="2" t="s">
        <v>2046</v>
      </c>
      <c r="D270" s="2" t="s">
        <v>1836</v>
      </c>
      <c r="E270" s="2" t="s">
        <v>1837</v>
      </c>
      <c r="F270" s="2">
        <v>1.03884</v>
      </c>
      <c r="G270" s="2">
        <v>3.54759</v>
      </c>
      <c r="H270" s="2">
        <v>1.7718700000000001</v>
      </c>
    </row>
    <row r="271" spans="1:8" x14ac:dyDescent="0.2">
      <c r="A271" s="2" t="s">
        <v>1083</v>
      </c>
      <c r="B271" s="2" t="s">
        <v>3080</v>
      </c>
      <c r="C271" s="2" t="s">
        <v>2350</v>
      </c>
      <c r="D271" s="2" t="s">
        <v>1839</v>
      </c>
      <c r="E271" s="2" t="s">
        <v>1840</v>
      </c>
      <c r="F271" s="2">
        <v>1.18364</v>
      </c>
      <c r="G271" s="2">
        <v>4.0355499999999997</v>
      </c>
      <c r="H271" s="2">
        <v>1.7695399999999999</v>
      </c>
    </row>
    <row r="272" spans="1:8" x14ac:dyDescent="0.2">
      <c r="A272" s="2" t="s">
        <v>1258</v>
      </c>
      <c r="B272" s="2" t="s">
        <v>3153</v>
      </c>
      <c r="C272" s="2" t="s">
        <v>2462</v>
      </c>
      <c r="D272" s="2" t="s">
        <v>1839</v>
      </c>
      <c r="E272" s="2" t="s">
        <v>1841</v>
      </c>
      <c r="F272" s="2">
        <v>5.0748800000000003</v>
      </c>
      <c r="G272" s="2">
        <v>17.291799999999999</v>
      </c>
      <c r="H272" s="2">
        <v>1.76864</v>
      </c>
    </row>
    <row r="273" spans="1:8" x14ac:dyDescent="0.2">
      <c r="A273" s="2" t="s">
        <v>628</v>
      </c>
      <c r="B273" s="2" t="s">
        <v>3178</v>
      </c>
      <c r="C273" s="2" t="s">
        <v>2087</v>
      </c>
      <c r="D273" s="2" t="s">
        <v>1836</v>
      </c>
      <c r="E273" s="2" t="s">
        <v>1837</v>
      </c>
      <c r="F273" s="2">
        <v>0.94500600000000001</v>
      </c>
      <c r="G273" s="2">
        <v>3.2191399999999999</v>
      </c>
      <c r="H273" s="2">
        <v>1.7682800000000001</v>
      </c>
    </row>
    <row r="274" spans="1:8" x14ac:dyDescent="0.2">
      <c r="A274" s="2" t="s">
        <v>1087</v>
      </c>
      <c r="B274" s="2" t="s">
        <v>3015</v>
      </c>
      <c r="C274" s="2" t="s">
        <v>2352</v>
      </c>
      <c r="D274" s="2" t="s">
        <v>1836</v>
      </c>
      <c r="E274" s="2" t="s">
        <v>1837</v>
      </c>
      <c r="F274" s="2">
        <v>0.59982000000000002</v>
      </c>
      <c r="G274" s="2">
        <v>2.0366599999999999</v>
      </c>
      <c r="H274" s="2">
        <v>1.7636099999999999</v>
      </c>
    </row>
    <row r="275" spans="1:8" x14ac:dyDescent="0.2">
      <c r="A275" s="2" t="s">
        <v>1495</v>
      </c>
      <c r="B275" s="2" t="s">
        <v>3015</v>
      </c>
      <c r="C275" s="2" t="s">
        <v>2639</v>
      </c>
      <c r="D275" s="2" t="s">
        <v>1839</v>
      </c>
      <c r="E275" s="2" t="s">
        <v>1841</v>
      </c>
      <c r="F275" s="2">
        <v>4.1367599999999998</v>
      </c>
      <c r="G275" s="2">
        <v>14.0306</v>
      </c>
      <c r="H275" s="2">
        <v>1.762</v>
      </c>
    </row>
    <row r="276" spans="1:8" x14ac:dyDescent="0.2">
      <c r="A276" s="2" t="s">
        <v>790</v>
      </c>
      <c r="B276" s="2" t="s">
        <v>3015</v>
      </c>
      <c r="C276" s="2" t="s">
        <v>2202</v>
      </c>
      <c r="D276" s="2" t="s">
        <v>1839</v>
      </c>
      <c r="E276" s="2" t="s">
        <v>1840</v>
      </c>
      <c r="F276" s="2">
        <v>0.54452599999999995</v>
      </c>
      <c r="G276" s="2">
        <v>1.8463099999999999</v>
      </c>
      <c r="H276" s="2">
        <v>1.7615700000000001</v>
      </c>
    </row>
    <row r="277" spans="1:8" x14ac:dyDescent="0.2">
      <c r="A277" s="2" t="s">
        <v>125</v>
      </c>
      <c r="B277" s="2" t="s">
        <v>3015</v>
      </c>
      <c r="C277" s="2" t="s">
        <v>2400</v>
      </c>
      <c r="D277" s="2" t="s">
        <v>1839</v>
      </c>
      <c r="E277" s="2" t="s">
        <v>1841</v>
      </c>
      <c r="F277" s="2">
        <v>125.63200000000001</v>
      </c>
      <c r="G277" s="2">
        <v>425.64400000000001</v>
      </c>
      <c r="H277" s="2">
        <v>1.7604500000000001</v>
      </c>
    </row>
    <row r="278" spans="1:8" x14ac:dyDescent="0.2">
      <c r="A278" s="2" t="s">
        <v>981</v>
      </c>
      <c r="B278" s="2" t="s">
        <v>3015</v>
      </c>
      <c r="C278" s="2" t="s">
        <v>2942</v>
      </c>
      <c r="D278" s="2" t="s">
        <v>1839</v>
      </c>
      <c r="E278" s="2" t="s">
        <v>1841</v>
      </c>
      <c r="F278" s="2">
        <v>0.95325400000000005</v>
      </c>
      <c r="G278" s="2">
        <v>3.2276699999999998</v>
      </c>
      <c r="H278" s="2">
        <v>1.75956</v>
      </c>
    </row>
    <row r="279" spans="1:8" x14ac:dyDescent="0.2">
      <c r="A279" s="2" t="s">
        <v>1676</v>
      </c>
      <c r="B279" s="2" t="s">
        <v>3015</v>
      </c>
      <c r="C279" s="2" t="s">
        <v>2843</v>
      </c>
      <c r="D279" s="2" t="s">
        <v>1839</v>
      </c>
      <c r="E279" s="2" t="s">
        <v>1841</v>
      </c>
      <c r="F279" s="2">
        <v>0.81266099999999997</v>
      </c>
      <c r="G279" s="2">
        <v>2.7509299999999999</v>
      </c>
      <c r="H279" s="2">
        <v>1.75919</v>
      </c>
    </row>
    <row r="280" spans="1:8" x14ac:dyDescent="0.2">
      <c r="A280" s="2" t="s">
        <v>1383</v>
      </c>
      <c r="B280" s="2" t="s">
        <v>3015</v>
      </c>
      <c r="C280" s="2" t="s">
        <v>2559</v>
      </c>
      <c r="D280" s="2" t="s">
        <v>1836</v>
      </c>
      <c r="E280" s="2" t="s">
        <v>1838</v>
      </c>
      <c r="F280" s="2">
        <v>2.9943599999999999</v>
      </c>
      <c r="G280" s="2">
        <v>10.129099999999999</v>
      </c>
      <c r="H280" s="2">
        <v>1.7581899999999999</v>
      </c>
    </row>
    <row r="281" spans="1:8" x14ac:dyDescent="0.2">
      <c r="A281" s="2" t="s">
        <v>1566</v>
      </c>
      <c r="B281" s="2" t="s">
        <v>3258</v>
      </c>
      <c r="C281" s="2" t="s">
        <v>2720</v>
      </c>
      <c r="D281" s="2" t="s">
        <v>1839</v>
      </c>
      <c r="E281" s="2" t="s">
        <v>1841</v>
      </c>
      <c r="F281" s="2">
        <v>0.46696199999999999</v>
      </c>
      <c r="G281" s="2">
        <v>1.5773200000000001</v>
      </c>
      <c r="H281" s="2">
        <v>1.7561</v>
      </c>
    </row>
    <row r="282" spans="1:8" x14ac:dyDescent="0.2">
      <c r="A282" s="2" t="s">
        <v>439</v>
      </c>
      <c r="B282" s="2" t="s">
        <v>3138</v>
      </c>
      <c r="C282" s="2" t="s">
        <v>3015</v>
      </c>
      <c r="D282" s="2" t="s">
        <v>1836</v>
      </c>
      <c r="E282" s="2" t="s">
        <v>1837</v>
      </c>
      <c r="F282" s="2">
        <v>360.56200000000001</v>
      </c>
      <c r="G282" s="2">
        <v>1214.1600000000001</v>
      </c>
      <c r="H282" s="2">
        <v>1.7516400000000001</v>
      </c>
    </row>
    <row r="283" spans="1:8" x14ac:dyDescent="0.2">
      <c r="A283" s="2" t="s">
        <v>539</v>
      </c>
      <c r="B283" s="2" t="s">
        <v>3015</v>
      </c>
      <c r="C283" s="2" t="s">
        <v>2098</v>
      </c>
      <c r="D283" s="2" t="s">
        <v>1836</v>
      </c>
      <c r="E283" s="2" t="s">
        <v>1837</v>
      </c>
      <c r="F283" s="2">
        <v>24.446300000000001</v>
      </c>
      <c r="G283" s="2">
        <v>82.249200000000002</v>
      </c>
      <c r="H283" s="2">
        <v>1.7503899999999999</v>
      </c>
    </row>
    <row r="284" spans="1:8" x14ac:dyDescent="0.2">
      <c r="A284" s="2" t="s">
        <v>389</v>
      </c>
      <c r="B284" s="2" t="s">
        <v>3015</v>
      </c>
      <c r="C284" s="2" t="s">
        <v>2024</v>
      </c>
      <c r="D284" s="2" t="s">
        <v>1839</v>
      </c>
      <c r="E284" s="2" t="s">
        <v>1840</v>
      </c>
      <c r="F284" s="2">
        <v>0.82890799999999998</v>
      </c>
      <c r="G284" s="2">
        <v>2.78525</v>
      </c>
      <c r="H284" s="2">
        <v>1.7485200000000001</v>
      </c>
    </row>
    <row r="285" spans="1:8" x14ac:dyDescent="0.2">
      <c r="A285" s="2" t="s">
        <v>539</v>
      </c>
      <c r="B285" s="2" t="s">
        <v>3015</v>
      </c>
      <c r="C285" s="2" t="s">
        <v>2098</v>
      </c>
      <c r="D285" s="2" t="s">
        <v>1839</v>
      </c>
      <c r="E285" s="2" t="s">
        <v>1841</v>
      </c>
      <c r="F285" s="2">
        <v>42.533700000000003</v>
      </c>
      <c r="G285" s="2">
        <v>142.87100000000001</v>
      </c>
      <c r="H285" s="2">
        <v>1.74804</v>
      </c>
    </row>
    <row r="286" spans="1:8" x14ac:dyDescent="0.2">
      <c r="A286" s="2" t="s">
        <v>1835</v>
      </c>
      <c r="B286" s="2" t="s">
        <v>3015</v>
      </c>
      <c r="C286" s="2" t="s">
        <v>3015</v>
      </c>
      <c r="D286" s="2" t="s">
        <v>1839</v>
      </c>
      <c r="E286" s="2" t="s">
        <v>1840</v>
      </c>
      <c r="F286" s="2">
        <v>1.87649</v>
      </c>
      <c r="G286" s="2">
        <v>6.2978199999999998</v>
      </c>
      <c r="H286" s="2">
        <v>1.74682</v>
      </c>
    </row>
    <row r="287" spans="1:8" x14ac:dyDescent="0.2">
      <c r="A287" s="2" t="s">
        <v>1722</v>
      </c>
      <c r="B287" s="2" t="s">
        <v>3015</v>
      </c>
      <c r="C287" s="2" t="s">
        <v>3016</v>
      </c>
      <c r="D287" s="2" t="s">
        <v>1839</v>
      </c>
      <c r="E287" s="2" t="s">
        <v>1841</v>
      </c>
      <c r="F287" s="2">
        <v>1.63693</v>
      </c>
      <c r="G287" s="2">
        <v>5.4935099999999997</v>
      </c>
      <c r="H287" s="2">
        <v>1.74674</v>
      </c>
    </row>
    <row r="288" spans="1:8" x14ac:dyDescent="0.2">
      <c r="A288" s="2" t="s">
        <v>1306</v>
      </c>
      <c r="B288" s="2" t="s">
        <v>3015</v>
      </c>
      <c r="C288" s="2" t="s">
        <v>2806</v>
      </c>
      <c r="D288" s="2" t="s">
        <v>1839</v>
      </c>
      <c r="E288" s="2" t="s">
        <v>1840</v>
      </c>
      <c r="F288" s="2">
        <v>0.834148</v>
      </c>
      <c r="G288" s="2">
        <v>2.79895</v>
      </c>
      <c r="H288" s="2">
        <v>1.74651</v>
      </c>
    </row>
    <row r="289" spans="1:8" x14ac:dyDescent="0.2">
      <c r="A289" s="2" t="s">
        <v>1340</v>
      </c>
      <c r="B289" s="2" t="s">
        <v>3350</v>
      </c>
      <c r="C289" s="2" t="s">
        <v>2535</v>
      </c>
      <c r="D289" s="2" t="s">
        <v>1836</v>
      </c>
      <c r="E289" s="2" t="s">
        <v>1838</v>
      </c>
      <c r="F289" s="2">
        <v>0.65120900000000004</v>
      </c>
      <c r="G289" s="2">
        <v>2.1782300000000001</v>
      </c>
      <c r="H289" s="2">
        <v>1.74196</v>
      </c>
    </row>
    <row r="290" spans="1:8" x14ac:dyDescent="0.2">
      <c r="A290" s="2" t="s">
        <v>1035</v>
      </c>
      <c r="B290" s="2" t="s">
        <v>3015</v>
      </c>
      <c r="C290" s="2" t="s">
        <v>2951</v>
      </c>
      <c r="D290" s="2" t="s">
        <v>1839</v>
      </c>
      <c r="E290" s="2" t="s">
        <v>1841</v>
      </c>
      <c r="F290" s="2">
        <v>1.56921</v>
      </c>
      <c r="G290" s="2">
        <v>5.2470699999999999</v>
      </c>
      <c r="H290" s="2">
        <v>1.7414700000000001</v>
      </c>
    </row>
    <row r="291" spans="1:8" x14ac:dyDescent="0.2">
      <c r="A291" s="2" t="s">
        <v>353</v>
      </c>
      <c r="B291" s="2" t="s">
        <v>3123</v>
      </c>
      <c r="C291" s="2" t="s">
        <v>2007</v>
      </c>
      <c r="D291" s="2" t="s">
        <v>1836</v>
      </c>
      <c r="E291" s="2" t="s">
        <v>1838</v>
      </c>
      <c r="F291" s="2">
        <v>0.59132899999999999</v>
      </c>
      <c r="G291" s="2">
        <v>1.97414</v>
      </c>
      <c r="H291" s="2">
        <v>1.73919</v>
      </c>
    </row>
    <row r="292" spans="1:8" x14ac:dyDescent="0.2">
      <c r="A292" s="2" t="s">
        <v>440</v>
      </c>
      <c r="B292" s="2" t="s">
        <v>3138</v>
      </c>
      <c r="C292" s="2" t="s">
        <v>1847</v>
      </c>
      <c r="D292" s="2" t="s">
        <v>1836</v>
      </c>
      <c r="E292" s="2" t="s">
        <v>1837</v>
      </c>
      <c r="F292" s="2">
        <v>326.73700000000002</v>
      </c>
      <c r="G292" s="2">
        <v>1090.46</v>
      </c>
      <c r="H292" s="2">
        <v>1.73874</v>
      </c>
    </row>
    <row r="293" spans="1:8" x14ac:dyDescent="0.2">
      <c r="A293" s="2" t="s">
        <v>509</v>
      </c>
      <c r="B293" s="2" t="s">
        <v>3043</v>
      </c>
      <c r="C293" s="2" t="s">
        <v>2781</v>
      </c>
      <c r="D293" s="2" t="s">
        <v>1839</v>
      </c>
      <c r="E293" s="2" t="s">
        <v>1840</v>
      </c>
      <c r="F293" s="2">
        <v>18.654299999999999</v>
      </c>
      <c r="G293" s="2">
        <v>62.256500000000003</v>
      </c>
      <c r="H293" s="2">
        <v>1.73872</v>
      </c>
    </row>
    <row r="294" spans="1:8" x14ac:dyDescent="0.2">
      <c r="A294" s="2" t="s">
        <v>1492</v>
      </c>
      <c r="B294" s="2" t="s">
        <v>3049</v>
      </c>
      <c r="C294" s="2" t="s">
        <v>1884</v>
      </c>
      <c r="D294" s="2" t="s">
        <v>1839</v>
      </c>
      <c r="E294" s="2" t="s">
        <v>1840</v>
      </c>
      <c r="F294" s="2">
        <v>0.37637599999999999</v>
      </c>
      <c r="G294" s="2">
        <v>1.25576</v>
      </c>
      <c r="H294" s="2">
        <v>1.73831</v>
      </c>
    </row>
    <row r="295" spans="1:8" x14ac:dyDescent="0.2">
      <c r="A295" s="2" t="s">
        <v>589</v>
      </c>
      <c r="B295" s="2" t="s">
        <v>3169</v>
      </c>
      <c r="C295" s="2" t="s">
        <v>2121</v>
      </c>
      <c r="D295" s="2" t="s">
        <v>1836</v>
      </c>
      <c r="E295" s="2" t="s">
        <v>1837</v>
      </c>
      <c r="F295" s="2">
        <v>2.2469299999999999</v>
      </c>
      <c r="G295" s="2">
        <v>7.4943900000000001</v>
      </c>
      <c r="H295" s="2">
        <v>1.7378499999999999</v>
      </c>
    </row>
    <row r="296" spans="1:8" x14ac:dyDescent="0.2">
      <c r="A296" s="2" t="s">
        <v>1095</v>
      </c>
      <c r="B296" s="2" t="s">
        <v>3015</v>
      </c>
      <c r="C296" s="2" t="s">
        <v>1880</v>
      </c>
      <c r="D296" s="2" t="s">
        <v>1839</v>
      </c>
      <c r="E296" s="2" t="s">
        <v>1840</v>
      </c>
      <c r="F296" s="2">
        <v>1.5256700000000001</v>
      </c>
      <c r="G296" s="2">
        <v>5.0885199999999999</v>
      </c>
      <c r="H296" s="2">
        <v>1.7378</v>
      </c>
    </row>
    <row r="297" spans="1:8" x14ac:dyDescent="0.2">
      <c r="A297" s="2" t="s">
        <v>1195</v>
      </c>
      <c r="B297" s="2" t="s">
        <v>3400</v>
      </c>
      <c r="C297" s="2" t="s">
        <v>2430</v>
      </c>
      <c r="D297" s="2" t="s">
        <v>1839</v>
      </c>
      <c r="E297" s="2" t="s">
        <v>1841</v>
      </c>
      <c r="F297" s="2">
        <v>0.93444300000000002</v>
      </c>
      <c r="G297" s="2">
        <v>3.1159300000000001</v>
      </c>
      <c r="H297" s="2">
        <v>1.7374799999999999</v>
      </c>
    </row>
    <row r="298" spans="1:8" x14ac:dyDescent="0.2">
      <c r="A298" s="2" t="s">
        <v>1087</v>
      </c>
      <c r="B298" s="2" t="s">
        <v>3015</v>
      </c>
      <c r="C298" s="2" t="s">
        <v>2352</v>
      </c>
      <c r="D298" s="2" t="s">
        <v>1836</v>
      </c>
      <c r="E298" s="2" t="s">
        <v>1838</v>
      </c>
      <c r="F298" s="2">
        <v>0.59982000000000002</v>
      </c>
      <c r="G298" s="2">
        <v>1.9970600000000001</v>
      </c>
      <c r="H298" s="2">
        <v>1.7352799999999999</v>
      </c>
    </row>
    <row r="299" spans="1:8" x14ac:dyDescent="0.2">
      <c r="A299" s="2" t="s">
        <v>1077</v>
      </c>
      <c r="B299" s="2" t="s">
        <v>3159</v>
      </c>
      <c r="C299" s="2" t="s">
        <v>2107</v>
      </c>
      <c r="D299" s="2" t="s">
        <v>1836</v>
      </c>
      <c r="E299" s="2" t="s">
        <v>1837</v>
      </c>
      <c r="F299" s="2">
        <v>25.5382</v>
      </c>
      <c r="G299" s="2">
        <v>84.9846</v>
      </c>
      <c r="H299" s="2">
        <v>1.73454</v>
      </c>
    </row>
    <row r="300" spans="1:8" x14ac:dyDescent="0.2">
      <c r="A300" s="2" t="s">
        <v>902</v>
      </c>
      <c r="B300" s="2" t="s">
        <v>3015</v>
      </c>
      <c r="C300" s="2" t="s">
        <v>2262</v>
      </c>
      <c r="D300" s="2" t="s">
        <v>1836</v>
      </c>
      <c r="E300" s="2" t="s">
        <v>1837</v>
      </c>
      <c r="F300" s="2">
        <v>0.93955900000000003</v>
      </c>
      <c r="G300" s="2">
        <v>3.11496</v>
      </c>
      <c r="H300" s="2">
        <v>1.72916</v>
      </c>
    </row>
    <row r="301" spans="1:8" x14ac:dyDescent="0.2">
      <c r="A301" s="2" t="s">
        <v>884</v>
      </c>
      <c r="B301" s="2" t="s">
        <v>3067</v>
      </c>
      <c r="C301" s="2" t="s">
        <v>2254</v>
      </c>
      <c r="D301" s="2" t="s">
        <v>1836</v>
      </c>
      <c r="E301" s="2" t="s">
        <v>1837</v>
      </c>
      <c r="F301" s="2">
        <v>1.82369</v>
      </c>
      <c r="G301" s="2">
        <v>6.0398500000000004</v>
      </c>
      <c r="H301" s="2">
        <v>1.7276499999999999</v>
      </c>
    </row>
    <row r="302" spans="1:8" x14ac:dyDescent="0.2">
      <c r="A302" s="2" t="s">
        <v>298</v>
      </c>
      <c r="B302" s="2" t="s">
        <v>3015</v>
      </c>
      <c r="C302" s="2" t="s">
        <v>1981</v>
      </c>
      <c r="D302" s="2" t="s">
        <v>1836</v>
      </c>
      <c r="E302" s="2" t="s">
        <v>1837</v>
      </c>
      <c r="F302" s="2">
        <v>0.56625999999999999</v>
      </c>
      <c r="G302" s="2">
        <v>1.87077</v>
      </c>
      <c r="H302" s="2">
        <v>1.7241</v>
      </c>
    </row>
    <row r="303" spans="1:8" x14ac:dyDescent="0.2">
      <c r="A303" s="2" t="s">
        <v>1566</v>
      </c>
      <c r="B303" s="2" t="s">
        <v>3258</v>
      </c>
      <c r="C303" s="2" t="s">
        <v>2720</v>
      </c>
      <c r="D303" s="2" t="s">
        <v>1839</v>
      </c>
      <c r="E303" s="2" t="s">
        <v>1840</v>
      </c>
      <c r="F303" s="2">
        <v>0.46696199999999999</v>
      </c>
      <c r="G303" s="2">
        <v>1.53332</v>
      </c>
      <c r="H303" s="2">
        <v>1.7152799999999999</v>
      </c>
    </row>
    <row r="304" spans="1:8" x14ac:dyDescent="0.2">
      <c r="A304" s="2" t="s">
        <v>3017</v>
      </c>
      <c r="B304" s="2" t="s">
        <v>3015</v>
      </c>
      <c r="C304" s="2" t="s">
        <v>3015</v>
      </c>
      <c r="D304" s="2" t="s">
        <v>1839</v>
      </c>
      <c r="E304" s="2" t="s">
        <v>1841</v>
      </c>
      <c r="F304" s="2">
        <v>0.64634400000000003</v>
      </c>
      <c r="G304" s="2">
        <v>2.1168100000000001</v>
      </c>
      <c r="H304" s="2">
        <v>1.7115100000000001</v>
      </c>
    </row>
    <row r="305" spans="1:8" x14ac:dyDescent="0.2">
      <c r="A305" s="2" t="s">
        <v>562</v>
      </c>
      <c r="B305" s="2" t="s">
        <v>3160</v>
      </c>
      <c r="C305" s="2" t="s">
        <v>2098</v>
      </c>
      <c r="D305" s="2" t="s">
        <v>1839</v>
      </c>
      <c r="E305" s="2" t="s">
        <v>1841</v>
      </c>
      <c r="F305" s="2">
        <v>1.7665</v>
      </c>
      <c r="G305" s="2">
        <v>5.7663200000000003</v>
      </c>
      <c r="H305" s="2">
        <v>1.70675</v>
      </c>
    </row>
    <row r="306" spans="1:8" x14ac:dyDescent="0.2">
      <c r="A306" s="2" t="s">
        <v>1429</v>
      </c>
      <c r="B306" s="2" t="s">
        <v>3093</v>
      </c>
      <c r="C306" s="2" t="s">
        <v>2589</v>
      </c>
      <c r="D306" s="2" t="s">
        <v>1839</v>
      </c>
      <c r="E306" s="2" t="s">
        <v>1840</v>
      </c>
      <c r="F306" s="2">
        <v>0.30116199999999999</v>
      </c>
      <c r="G306" s="2">
        <v>0.98194999999999999</v>
      </c>
      <c r="H306" s="2">
        <v>1.7051099999999999</v>
      </c>
    </row>
    <row r="307" spans="1:8" x14ac:dyDescent="0.2">
      <c r="A307" s="2" t="s">
        <v>304</v>
      </c>
      <c r="B307" s="2" t="s">
        <v>3015</v>
      </c>
      <c r="C307" s="2" t="s">
        <v>1985</v>
      </c>
      <c r="D307" s="2" t="s">
        <v>1836</v>
      </c>
      <c r="E307" s="2" t="s">
        <v>1837</v>
      </c>
      <c r="F307" s="2">
        <v>35.8322</v>
      </c>
      <c r="G307" s="2">
        <v>116.60599999999999</v>
      </c>
      <c r="H307" s="2">
        <v>1.70231</v>
      </c>
    </row>
    <row r="308" spans="1:8" x14ac:dyDescent="0.2">
      <c r="A308" s="2" t="s">
        <v>1413</v>
      </c>
      <c r="B308" s="2" t="s">
        <v>3466</v>
      </c>
      <c r="C308" s="2" t="s">
        <v>2720</v>
      </c>
      <c r="D308" s="2" t="s">
        <v>1839</v>
      </c>
      <c r="E308" s="2" t="s">
        <v>1841</v>
      </c>
      <c r="F308" s="2">
        <v>1.31369</v>
      </c>
      <c r="G308" s="2">
        <v>4.2734699999999997</v>
      </c>
      <c r="H308" s="2">
        <v>1.7017800000000001</v>
      </c>
    </row>
    <row r="309" spans="1:8" x14ac:dyDescent="0.2">
      <c r="A309" s="2" t="s">
        <v>1120</v>
      </c>
      <c r="B309" s="2" t="s">
        <v>3015</v>
      </c>
      <c r="C309" s="2" t="s">
        <v>2378</v>
      </c>
      <c r="D309" s="2" t="s">
        <v>1836</v>
      </c>
      <c r="E309" s="2" t="s">
        <v>1838</v>
      </c>
      <c r="F309" s="2">
        <v>3.2463899999999999</v>
      </c>
      <c r="G309" s="2">
        <v>10.4946</v>
      </c>
      <c r="H309" s="2">
        <v>1.6927399999999999</v>
      </c>
    </row>
    <row r="310" spans="1:8" x14ac:dyDescent="0.2">
      <c r="A310" s="2" t="s">
        <v>1653</v>
      </c>
      <c r="B310" s="2" t="s">
        <v>3038</v>
      </c>
      <c r="C310" s="2" t="s">
        <v>2820</v>
      </c>
      <c r="D310" s="2" t="s">
        <v>1839</v>
      </c>
      <c r="E310" s="2" t="s">
        <v>1841</v>
      </c>
      <c r="F310" s="2">
        <v>0.48227799999999998</v>
      </c>
      <c r="G310" s="2">
        <v>1.55585</v>
      </c>
      <c r="H310" s="2">
        <v>1.68977</v>
      </c>
    </row>
    <row r="311" spans="1:8" x14ac:dyDescent="0.2">
      <c r="A311" s="2" t="s">
        <v>738</v>
      </c>
      <c r="B311" s="2" t="s">
        <v>3015</v>
      </c>
      <c r="C311" s="2" t="s">
        <v>1847</v>
      </c>
      <c r="D311" s="2" t="s">
        <v>1839</v>
      </c>
      <c r="E311" s="2" t="s">
        <v>1840</v>
      </c>
      <c r="F311" s="2">
        <v>0.96927700000000006</v>
      </c>
      <c r="G311" s="2">
        <v>3.1265000000000001</v>
      </c>
      <c r="H311" s="2">
        <v>1.68957</v>
      </c>
    </row>
    <row r="312" spans="1:8" x14ac:dyDescent="0.2">
      <c r="A312" s="2" t="s">
        <v>315</v>
      </c>
      <c r="B312" s="2" t="s">
        <v>3015</v>
      </c>
      <c r="C312" s="2" t="s">
        <v>1990</v>
      </c>
      <c r="D312" s="2" t="s">
        <v>1836</v>
      </c>
      <c r="E312" s="2" t="s">
        <v>1837</v>
      </c>
      <c r="F312" s="2">
        <v>6.3260800000000001</v>
      </c>
      <c r="G312" s="2">
        <v>20.378900000000002</v>
      </c>
      <c r="H312" s="2">
        <v>1.6876899999999999</v>
      </c>
    </row>
    <row r="313" spans="1:8" x14ac:dyDescent="0.2">
      <c r="A313" s="2" t="s">
        <v>422</v>
      </c>
      <c r="B313" s="2" t="s">
        <v>3136</v>
      </c>
      <c r="C313" s="2" t="s">
        <v>2039</v>
      </c>
      <c r="D313" s="2" t="s">
        <v>1839</v>
      </c>
      <c r="E313" s="2" t="s">
        <v>1841</v>
      </c>
      <c r="F313" s="2">
        <v>0.24396300000000001</v>
      </c>
      <c r="G313" s="2">
        <v>0.78491599999999995</v>
      </c>
      <c r="H313" s="2">
        <v>1.68588</v>
      </c>
    </row>
    <row r="314" spans="1:8" x14ac:dyDescent="0.2">
      <c r="A314" s="2" t="s">
        <v>549</v>
      </c>
      <c r="B314" s="2" t="s">
        <v>3053</v>
      </c>
      <c r="C314" s="2" t="s">
        <v>2103</v>
      </c>
      <c r="D314" s="2" t="s">
        <v>1836</v>
      </c>
      <c r="E314" s="2" t="s">
        <v>1837</v>
      </c>
      <c r="F314" s="2">
        <v>1.39297</v>
      </c>
      <c r="G314" s="2">
        <v>4.47872</v>
      </c>
      <c r="H314" s="2">
        <v>1.68492</v>
      </c>
    </row>
    <row r="315" spans="1:8" x14ac:dyDescent="0.2">
      <c r="A315" s="2" t="s">
        <v>1290</v>
      </c>
      <c r="B315" s="2" t="s">
        <v>3336</v>
      </c>
      <c r="C315" s="2" t="s">
        <v>2498</v>
      </c>
      <c r="D315" s="2" t="s">
        <v>1839</v>
      </c>
      <c r="E315" s="2" t="s">
        <v>1840</v>
      </c>
      <c r="F315" s="2">
        <v>13.4184</v>
      </c>
      <c r="G315" s="2">
        <v>43.1081</v>
      </c>
      <c r="H315" s="2">
        <v>1.68374</v>
      </c>
    </row>
    <row r="316" spans="1:8" x14ac:dyDescent="0.2">
      <c r="A316" s="2" t="s">
        <v>62</v>
      </c>
      <c r="B316" s="2" t="s">
        <v>3031</v>
      </c>
      <c r="C316" s="2" t="s">
        <v>1873</v>
      </c>
      <c r="D316" s="2" t="s">
        <v>1836</v>
      </c>
      <c r="E316" s="2" t="s">
        <v>1837</v>
      </c>
      <c r="F316" s="2">
        <v>0.364124</v>
      </c>
      <c r="G316" s="2">
        <v>1.16787</v>
      </c>
      <c r="H316" s="2">
        <v>1.68137</v>
      </c>
    </row>
    <row r="317" spans="1:8" x14ac:dyDescent="0.2">
      <c r="A317" s="2" t="s">
        <v>1657</v>
      </c>
      <c r="B317" s="2" t="s">
        <v>3015</v>
      </c>
      <c r="C317" s="2" t="s">
        <v>2825</v>
      </c>
      <c r="D317" s="2" t="s">
        <v>1839</v>
      </c>
      <c r="E317" s="2" t="s">
        <v>1841</v>
      </c>
      <c r="F317" s="2">
        <v>0.95603800000000005</v>
      </c>
      <c r="G317" s="2">
        <v>3.0633499999999998</v>
      </c>
      <c r="H317" s="2">
        <v>1.67997</v>
      </c>
    </row>
    <row r="318" spans="1:8" x14ac:dyDescent="0.2">
      <c r="A318" s="2" t="s">
        <v>999</v>
      </c>
      <c r="B318" s="2" t="s">
        <v>3478</v>
      </c>
      <c r="C318" s="2" t="s">
        <v>2943</v>
      </c>
      <c r="D318" s="2" t="s">
        <v>1839</v>
      </c>
      <c r="E318" s="2" t="s">
        <v>1841</v>
      </c>
      <c r="F318" s="2">
        <v>0.60204199999999997</v>
      </c>
      <c r="G318" s="2">
        <v>1.9290400000000001</v>
      </c>
      <c r="H318" s="2">
        <v>1.67994</v>
      </c>
    </row>
    <row r="319" spans="1:8" x14ac:dyDescent="0.2">
      <c r="A319" s="2" t="s">
        <v>673</v>
      </c>
      <c r="B319" s="2" t="s">
        <v>3188</v>
      </c>
      <c r="C319" s="2" t="s">
        <v>2156</v>
      </c>
      <c r="D319" s="2" t="s">
        <v>1839</v>
      </c>
      <c r="E319" s="2" t="s">
        <v>1841</v>
      </c>
      <c r="F319" s="2">
        <v>1.6027400000000001</v>
      </c>
      <c r="G319" s="2">
        <v>5.1239999999999997</v>
      </c>
      <c r="H319" s="2">
        <v>1.6767399999999999</v>
      </c>
    </row>
    <row r="320" spans="1:8" x14ac:dyDescent="0.2">
      <c r="A320" s="2" t="s">
        <v>746</v>
      </c>
      <c r="B320" s="2" t="s">
        <v>3062</v>
      </c>
      <c r="C320" s="2" t="s">
        <v>2865</v>
      </c>
      <c r="D320" s="2" t="s">
        <v>1839</v>
      </c>
      <c r="E320" s="2" t="s">
        <v>1841</v>
      </c>
      <c r="F320" s="2">
        <v>9.2404299999999999</v>
      </c>
      <c r="G320" s="2">
        <v>29.498699999999999</v>
      </c>
      <c r="H320" s="2">
        <v>1.67462</v>
      </c>
    </row>
    <row r="321" spans="1:8" x14ac:dyDescent="0.2">
      <c r="A321" s="2" t="s">
        <v>1224</v>
      </c>
      <c r="B321" s="2" t="s">
        <v>3308</v>
      </c>
      <c r="C321" s="2" t="s">
        <v>1976</v>
      </c>
      <c r="D321" s="2" t="s">
        <v>1836</v>
      </c>
      <c r="E321" s="2" t="s">
        <v>1838</v>
      </c>
      <c r="F321" s="2">
        <v>0.530559</v>
      </c>
      <c r="G321" s="2">
        <v>1.6916500000000001</v>
      </c>
      <c r="H321" s="2">
        <v>1.6728499999999999</v>
      </c>
    </row>
    <row r="322" spans="1:8" x14ac:dyDescent="0.2">
      <c r="A322" s="2" t="s">
        <v>1624</v>
      </c>
      <c r="B322" s="2" t="s">
        <v>3015</v>
      </c>
      <c r="C322" s="2" t="s">
        <v>2788</v>
      </c>
      <c r="D322" s="2" t="s">
        <v>1839</v>
      </c>
      <c r="E322" s="2" t="s">
        <v>1841</v>
      </c>
      <c r="F322" s="2">
        <v>1.4815799999999999</v>
      </c>
      <c r="G322" s="2">
        <v>4.7215600000000002</v>
      </c>
      <c r="H322" s="2">
        <v>1.6721299999999999</v>
      </c>
    </row>
    <row r="323" spans="1:8" x14ac:dyDescent="0.2">
      <c r="A323" s="2" t="s">
        <v>938</v>
      </c>
      <c r="B323" s="2" t="s">
        <v>3015</v>
      </c>
      <c r="C323" s="2" t="s">
        <v>2281</v>
      </c>
      <c r="D323" s="2" t="s">
        <v>1839</v>
      </c>
      <c r="E323" s="2" t="s">
        <v>1841</v>
      </c>
      <c r="F323" s="2">
        <v>2.2892700000000001</v>
      </c>
      <c r="G323" s="2">
        <v>7.2955199999999998</v>
      </c>
      <c r="H323" s="2">
        <v>1.6721200000000001</v>
      </c>
    </row>
    <row r="324" spans="1:8" x14ac:dyDescent="0.2">
      <c r="A324" s="2" t="s">
        <v>1470</v>
      </c>
      <c r="B324" s="2" t="s">
        <v>3015</v>
      </c>
      <c r="C324" s="2" t="s">
        <v>3015</v>
      </c>
      <c r="D324" s="2" t="s">
        <v>1836</v>
      </c>
      <c r="E324" s="2" t="s">
        <v>1838</v>
      </c>
      <c r="F324" s="2">
        <v>1.01044</v>
      </c>
      <c r="G324" s="2">
        <v>3.2186599999999999</v>
      </c>
      <c r="H324" s="2">
        <v>1.6714800000000001</v>
      </c>
    </row>
    <row r="325" spans="1:8" x14ac:dyDescent="0.2">
      <c r="A325" s="2" t="s">
        <v>711</v>
      </c>
      <c r="B325" s="2" t="s">
        <v>3015</v>
      </c>
      <c r="C325" s="2" t="s">
        <v>2173</v>
      </c>
      <c r="D325" s="2" t="s">
        <v>1836</v>
      </c>
      <c r="E325" s="2" t="s">
        <v>1837</v>
      </c>
      <c r="F325" s="2">
        <v>59.829799999999999</v>
      </c>
      <c r="G325" s="2">
        <v>190.53700000000001</v>
      </c>
      <c r="H325" s="2">
        <v>1.67113</v>
      </c>
    </row>
    <row r="326" spans="1:8" x14ac:dyDescent="0.2">
      <c r="A326" s="2" t="s">
        <v>917</v>
      </c>
      <c r="B326" s="2" t="s">
        <v>3236</v>
      </c>
      <c r="C326" s="2" t="s">
        <v>2270</v>
      </c>
      <c r="D326" s="2" t="s">
        <v>1836</v>
      </c>
      <c r="E326" s="2" t="s">
        <v>1837</v>
      </c>
      <c r="F326" s="2">
        <v>17.425899999999999</v>
      </c>
      <c r="G326" s="2">
        <v>55.494100000000003</v>
      </c>
      <c r="H326" s="2">
        <v>1.6711</v>
      </c>
    </row>
    <row r="327" spans="1:8" x14ac:dyDescent="0.2">
      <c r="A327" s="2" t="s">
        <v>1194</v>
      </c>
      <c r="B327" s="2" t="s">
        <v>3300</v>
      </c>
      <c r="C327" s="2" t="s">
        <v>2420</v>
      </c>
      <c r="D327" s="2" t="s">
        <v>1839</v>
      </c>
      <c r="E327" s="2" t="s">
        <v>1841</v>
      </c>
      <c r="F327" s="2">
        <v>0.49527199999999999</v>
      </c>
      <c r="G327" s="2">
        <v>1.57497</v>
      </c>
      <c r="H327" s="2">
        <v>1.66903</v>
      </c>
    </row>
    <row r="328" spans="1:8" x14ac:dyDescent="0.2">
      <c r="A328" s="2" t="s">
        <v>328</v>
      </c>
      <c r="B328" s="2" t="s">
        <v>3115</v>
      </c>
      <c r="C328" s="2" t="s">
        <v>1997</v>
      </c>
      <c r="D328" s="2" t="s">
        <v>1836</v>
      </c>
      <c r="E328" s="2" t="s">
        <v>1838</v>
      </c>
      <c r="F328" s="2">
        <v>0.91765699999999994</v>
      </c>
      <c r="G328" s="2">
        <v>2.9170199999999999</v>
      </c>
      <c r="H328" s="2">
        <v>1.6684699999999999</v>
      </c>
    </row>
    <row r="329" spans="1:8" x14ac:dyDescent="0.2">
      <c r="A329" s="2" t="s">
        <v>462</v>
      </c>
      <c r="B329" s="2" t="s">
        <v>3015</v>
      </c>
      <c r="C329" s="2" t="s">
        <v>2061</v>
      </c>
      <c r="D329" s="2" t="s">
        <v>1836</v>
      </c>
      <c r="E329" s="2" t="s">
        <v>1837</v>
      </c>
      <c r="F329" s="2">
        <v>0.94986999999999999</v>
      </c>
      <c r="G329" s="2">
        <v>3.0189400000000002</v>
      </c>
      <c r="H329" s="2">
        <v>1.6682399999999999</v>
      </c>
    </row>
    <row r="330" spans="1:8" x14ac:dyDescent="0.2">
      <c r="A330" s="2" t="s">
        <v>331</v>
      </c>
      <c r="B330" s="2" t="s">
        <v>3117</v>
      </c>
      <c r="C330" s="2" t="s">
        <v>1999</v>
      </c>
      <c r="D330" s="2" t="s">
        <v>1836</v>
      </c>
      <c r="E330" s="2" t="s">
        <v>1837</v>
      </c>
      <c r="F330" s="2">
        <v>15.4533</v>
      </c>
      <c r="G330" s="2">
        <v>49.073399999999999</v>
      </c>
      <c r="H330" s="2">
        <v>1.6670199999999999</v>
      </c>
    </row>
    <row r="331" spans="1:8" x14ac:dyDescent="0.2">
      <c r="A331" s="2" t="s">
        <v>881</v>
      </c>
      <c r="B331" s="2" t="s">
        <v>3045</v>
      </c>
      <c r="C331" s="2" t="s">
        <v>1986</v>
      </c>
      <c r="D331" s="2" t="s">
        <v>1839</v>
      </c>
      <c r="E331" s="2" t="s">
        <v>1841</v>
      </c>
      <c r="F331" s="2">
        <v>4.1311</v>
      </c>
      <c r="G331" s="2">
        <v>13.113300000000001</v>
      </c>
      <c r="H331" s="2">
        <v>1.6664300000000001</v>
      </c>
    </row>
    <row r="332" spans="1:8" x14ac:dyDescent="0.2">
      <c r="A332" s="2" t="s">
        <v>656</v>
      </c>
      <c r="B332" s="2" t="s">
        <v>3015</v>
      </c>
      <c r="C332" s="2" t="s">
        <v>3016</v>
      </c>
      <c r="D332" s="2" t="s">
        <v>1839</v>
      </c>
      <c r="E332" s="2" t="s">
        <v>1841</v>
      </c>
      <c r="F332" s="2">
        <v>1.2096899999999999</v>
      </c>
      <c r="G332" s="2">
        <v>3.8378100000000002</v>
      </c>
      <c r="H332" s="2">
        <v>1.6656500000000001</v>
      </c>
    </row>
    <row r="333" spans="1:8" x14ac:dyDescent="0.2">
      <c r="A333" s="2" t="s">
        <v>132</v>
      </c>
      <c r="B333" s="2" t="s">
        <v>3015</v>
      </c>
      <c r="C333" s="2" t="s">
        <v>1903</v>
      </c>
      <c r="D333" s="2" t="s">
        <v>1836</v>
      </c>
      <c r="E333" s="2" t="s">
        <v>1837</v>
      </c>
      <c r="F333" s="2">
        <v>0.26200299999999999</v>
      </c>
      <c r="G333" s="2">
        <v>0.82860199999999995</v>
      </c>
      <c r="H333" s="2">
        <v>1.6611</v>
      </c>
    </row>
    <row r="334" spans="1:8" x14ac:dyDescent="0.2">
      <c r="A334" s="2" t="s">
        <v>1709</v>
      </c>
      <c r="B334" s="2" t="s">
        <v>3129</v>
      </c>
      <c r="C334" s="2" t="s">
        <v>2595</v>
      </c>
      <c r="D334" s="2" t="s">
        <v>1839</v>
      </c>
      <c r="E334" s="2" t="s">
        <v>1840</v>
      </c>
      <c r="F334" s="2">
        <v>0.46269300000000002</v>
      </c>
      <c r="G334" s="2">
        <v>1.45939</v>
      </c>
      <c r="H334" s="2">
        <v>1.65724</v>
      </c>
    </row>
    <row r="335" spans="1:8" x14ac:dyDescent="0.2">
      <c r="A335" s="2" t="s">
        <v>691</v>
      </c>
      <c r="B335" s="2" t="s">
        <v>3015</v>
      </c>
      <c r="C335" s="2" t="s">
        <v>2164</v>
      </c>
      <c r="D335" s="2" t="s">
        <v>1839</v>
      </c>
      <c r="E335" s="2" t="s">
        <v>1841</v>
      </c>
      <c r="F335" s="2">
        <v>0.30870500000000001</v>
      </c>
      <c r="G335" s="2">
        <v>0.97344200000000003</v>
      </c>
      <c r="H335" s="2">
        <v>1.65686</v>
      </c>
    </row>
    <row r="336" spans="1:8" x14ac:dyDescent="0.2">
      <c r="A336" s="2" t="s">
        <v>792</v>
      </c>
      <c r="B336" s="2" t="s">
        <v>3015</v>
      </c>
      <c r="C336" s="2" t="s">
        <v>2882</v>
      </c>
      <c r="D336" s="2" t="s">
        <v>1839</v>
      </c>
      <c r="E336" s="2" t="s">
        <v>1840</v>
      </c>
      <c r="F336" s="2">
        <v>0.77653799999999995</v>
      </c>
      <c r="G336" s="2">
        <v>2.4469099999999999</v>
      </c>
      <c r="H336" s="2">
        <v>1.6558299999999999</v>
      </c>
    </row>
    <row r="337" spans="1:8" x14ac:dyDescent="0.2">
      <c r="A337" s="2" t="s">
        <v>799</v>
      </c>
      <c r="B337" s="2" t="s">
        <v>3085</v>
      </c>
      <c r="C337" s="2" t="s">
        <v>2207</v>
      </c>
      <c r="D337" s="2" t="s">
        <v>1839</v>
      </c>
      <c r="E337" s="2" t="s">
        <v>1840</v>
      </c>
      <c r="F337" s="2">
        <v>6.6664399999999997</v>
      </c>
      <c r="G337" s="2">
        <v>20.982800000000001</v>
      </c>
      <c r="H337" s="2">
        <v>1.65422</v>
      </c>
    </row>
    <row r="338" spans="1:8" x14ac:dyDescent="0.2">
      <c r="A338" s="2" t="s">
        <v>127</v>
      </c>
      <c r="B338" s="2" t="s">
        <v>3015</v>
      </c>
      <c r="C338" s="2" t="s">
        <v>1902</v>
      </c>
      <c r="D338" s="2" t="s">
        <v>1839</v>
      </c>
      <c r="E338" s="2" t="s">
        <v>1840</v>
      </c>
      <c r="F338" s="2">
        <v>0.425844</v>
      </c>
      <c r="G338" s="2">
        <v>1.3382400000000001</v>
      </c>
      <c r="H338" s="2">
        <v>1.65194</v>
      </c>
    </row>
    <row r="339" spans="1:8" x14ac:dyDescent="0.2">
      <c r="A339" s="2" t="s">
        <v>940</v>
      </c>
      <c r="B339" s="2" t="s">
        <v>3242</v>
      </c>
      <c r="C339" s="2" t="s">
        <v>2282</v>
      </c>
      <c r="D339" s="2" t="s">
        <v>1836</v>
      </c>
      <c r="E339" s="2" t="s">
        <v>1837</v>
      </c>
      <c r="F339" s="2">
        <v>2.2209599999999998</v>
      </c>
      <c r="G339" s="2">
        <v>6.9764499999999998</v>
      </c>
      <c r="H339" s="2">
        <v>1.6513100000000001</v>
      </c>
    </row>
    <row r="340" spans="1:8" x14ac:dyDescent="0.2">
      <c r="A340" s="2" t="s">
        <v>331</v>
      </c>
      <c r="B340" s="2" t="s">
        <v>3117</v>
      </c>
      <c r="C340" s="2" t="s">
        <v>1999</v>
      </c>
      <c r="D340" s="2" t="s">
        <v>1839</v>
      </c>
      <c r="E340" s="2" t="s">
        <v>1841</v>
      </c>
      <c r="F340" s="2">
        <v>4.7731000000000003</v>
      </c>
      <c r="G340" s="2">
        <v>14.983499999999999</v>
      </c>
      <c r="H340" s="2">
        <v>1.6503699999999999</v>
      </c>
    </row>
    <row r="341" spans="1:8" x14ac:dyDescent="0.2">
      <c r="A341" s="2" t="s">
        <v>1534</v>
      </c>
      <c r="B341" s="2" t="s">
        <v>3015</v>
      </c>
      <c r="C341" s="2" t="s">
        <v>2685</v>
      </c>
      <c r="D341" s="2" t="s">
        <v>1839</v>
      </c>
      <c r="E341" s="2" t="s">
        <v>1841</v>
      </c>
      <c r="F341" s="2">
        <v>1.5906100000000001</v>
      </c>
      <c r="G341" s="2">
        <v>4.9900200000000003</v>
      </c>
      <c r="H341" s="2">
        <v>1.64947</v>
      </c>
    </row>
    <row r="342" spans="1:8" x14ac:dyDescent="0.2">
      <c r="A342" s="2" t="s">
        <v>722</v>
      </c>
      <c r="B342" s="2" t="s">
        <v>3015</v>
      </c>
      <c r="C342" s="2" t="s">
        <v>3015</v>
      </c>
      <c r="D342" s="2" t="s">
        <v>1836</v>
      </c>
      <c r="E342" s="2" t="s">
        <v>1838</v>
      </c>
      <c r="F342" s="2">
        <v>2.3320099999999999</v>
      </c>
      <c r="G342" s="2">
        <v>7.2999700000000001</v>
      </c>
      <c r="H342" s="2">
        <v>1.6463099999999999</v>
      </c>
    </row>
    <row r="343" spans="1:8" x14ac:dyDescent="0.2">
      <c r="A343" s="2" t="s">
        <v>55</v>
      </c>
      <c r="B343" s="2" t="s">
        <v>3372</v>
      </c>
      <c r="C343" s="2" t="s">
        <v>2226</v>
      </c>
      <c r="D343" s="2" t="s">
        <v>1839</v>
      </c>
      <c r="E343" s="2" t="s">
        <v>1841</v>
      </c>
      <c r="F343" s="2">
        <v>5.0469600000000003</v>
      </c>
      <c r="G343" s="2">
        <v>15.788600000000001</v>
      </c>
      <c r="H343" s="2">
        <v>1.6454</v>
      </c>
    </row>
    <row r="344" spans="1:8" x14ac:dyDescent="0.2">
      <c r="A344" s="2" t="s">
        <v>926</v>
      </c>
      <c r="B344" s="2" t="s">
        <v>3015</v>
      </c>
      <c r="C344" s="2" t="s">
        <v>2274</v>
      </c>
      <c r="D344" s="2" t="s">
        <v>1836</v>
      </c>
      <c r="E344" s="2" t="s">
        <v>1837</v>
      </c>
      <c r="F344" s="2">
        <v>0.62778699999999998</v>
      </c>
      <c r="G344" s="2">
        <v>1.96384</v>
      </c>
      <c r="H344" s="2">
        <v>1.64533</v>
      </c>
    </row>
    <row r="345" spans="1:8" x14ac:dyDescent="0.2">
      <c r="A345" s="2" t="s">
        <v>1369</v>
      </c>
      <c r="B345" s="2" t="s">
        <v>3209</v>
      </c>
      <c r="C345" s="2" t="s">
        <v>2205</v>
      </c>
      <c r="D345" s="2" t="s">
        <v>1836</v>
      </c>
      <c r="E345" s="2" t="s">
        <v>1838</v>
      </c>
      <c r="F345" s="2">
        <v>0.31018000000000001</v>
      </c>
      <c r="G345" s="2">
        <v>0.96739299999999995</v>
      </c>
      <c r="H345" s="2">
        <v>1.641</v>
      </c>
    </row>
    <row r="346" spans="1:8" x14ac:dyDescent="0.2">
      <c r="A346" s="2" t="s">
        <v>685</v>
      </c>
      <c r="B346" s="2" t="s">
        <v>3015</v>
      </c>
      <c r="C346" s="2" t="s">
        <v>2161</v>
      </c>
      <c r="D346" s="2" t="s">
        <v>1839</v>
      </c>
      <c r="E346" s="2" t="s">
        <v>1841</v>
      </c>
      <c r="F346" s="2">
        <v>9.2467400000000008</v>
      </c>
      <c r="G346" s="2">
        <v>28.836400000000001</v>
      </c>
      <c r="H346" s="2">
        <v>1.6408700000000001</v>
      </c>
    </row>
    <row r="347" spans="1:8" x14ac:dyDescent="0.2">
      <c r="A347" s="2" t="s">
        <v>415</v>
      </c>
      <c r="B347" s="2" t="s">
        <v>3134</v>
      </c>
      <c r="C347" s="2" t="s">
        <v>2035</v>
      </c>
      <c r="D347" s="2" t="s">
        <v>1836</v>
      </c>
      <c r="E347" s="2" t="s">
        <v>1837</v>
      </c>
      <c r="F347" s="2">
        <v>5.1953800000000001</v>
      </c>
      <c r="G347" s="2">
        <v>16.1738</v>
      </c>
      <c r="H347" s="2">
        <v>1.63836</v>
      </c>
    </row>
    <row r="348" spans="1:8" x14ac:dyDescent="0.2">
      <c r="A348" s="2" t="s">
        <v>859</v>
      </c>
      <c r="B348" s="2" t="s">
        <v>3015</v>
      </c>
      <c r="C348" s="2" t="s">
        <v>2241</v>
      </c>
      <c r="D348" s="2" t="s">
        <v>1839</v>
      </c>
      <c r="E348" s="2" t="s">
        <v>1841</v>
      </c>
      <c r="F348" s="2">
        <v>0.56196800000000002</v>
      </c>
      <c r="G348" s="2">
        <v>1.7454499999999999</v>
      </c>
      <c r="H348" s="2">
        <v>1.63504</v>
      </c>
    </row>
    <row r="349" spans="1:8" x14ac:dyDescent="0.2">
      <c r="A349" s="2" t="s">
        <v>913</v>
      </c>
      <c r="B349" s="2" t="s">
        <v>3235</v>
      </c>
      <c r="C349" s="2" t="s">
        <v>2267</v>
      </c>
      <c r="D349" s="2" t="s">
        <v>1839</v>
      </c>
      <c r="E349" s="2" t="s">
        <v>1840</v>
      </c>
      <c r="F349" s="2">
        <v>1.2781</v>
      </c>
      <c r="G349" s="2">
        <v>3.96956</v>
      </c>
      <c r="H349" s="2">
        <v>1.6349800000000001</v>
      </c>
    </row>
    <row r="350" spans="1:8" x14ac:dyDescent="0.2">
      <c r="A350" s="2" t="s">
        <v>211</v>
      </c>
      <c r="B350" s="2" t="s">
        <v>3086</v>
      </c>
      <c r="C350" s="2" t="s">
        <v>3015</v>
      </c>
      <c r="D350" s="2" t="s">
        <v>1836</v>
      </c>
      <c r="E350" s="2" t="s">
        <v>1837</v>
      </c>
      <c r="F350" s="2">
        <v>0.982734</v>
      </c>
      <c r="G350" s="2">
        <v>3.0369999999999999</v>
      </c>
      <c r="H350" s="2">
        <v>1.6277699999999999</v>
      </c>
    </row>
    <row r="351" spans="1:8" x14ac:dyDescent="0.2">
      <c r="A351" s="2" t="s">
        <v>1439</v>
      </c>
      <c r="B351" s="2" t="s">
        <v>3129</v>
      </c>
      <c r="C351" s="2" t="s">
        <v>2595</v>
      </c>
      <c r="D351" s="2" t="s">
        <v>1839</v>
      </c>
      <c r="E351" s="2" t="s">
        <v>1841</v>
      </c>
      <c r="F351" s="2">
        <v>0.46313100000000001</v>
      </c>
      <c r="G351" s="2">
        <v>1.4236200000000001</v>
      </c>
      <c r="H351" s="2">
        <v>1.6200699999999999</v>
      </c>
    </row>
    <row r="352" spans="1:8" x14ac:dyDescent="0.2">
      <c r="A352" s="2" t="s">
        <v>1498</v>
      </c>
      <c r="B352" s="2" t="s">
        <v>3015</v>
      </c>
      <c r="C352" s="2" t="s">
        <v>2646</v>
      </c>
      <c r="D352" s="2" t="s">
        <v>1839</v>
      </c>
      <c r="E352" s="2" t="s">
        <v>1841</v>
      </c>
      <c r="F352" s="2">
        <v>1.17777</v>
      </c>
      <c r="G352" s="2">
        <v>3.61958</v>
      </c>
      <c r="H352" s="2">
        <v>1.6197600000000001</v>
      </c>
    </row>
    <row r="353" spans="1:8" x14ac:dyDescent="0.2">
      <c r="A353" s="2" t="s">
        <v>128</v>
      </c>
      <c r="B353" s="2" t="s">
        <v>3397</v>
      </c>
      <c r="C353" s="2" t="s">
        <v>1902</v>
      </c>
      <c r="D353" s="2" t="s">
        <v>1839</v>
      </c>
      <c r="E353" s="2" t="s">
        <v>1841</v>
      </c>
      <c r="F353" s="2">
        <v>1.1677</v>
      </c>
      <c r="G353" s="2">
        <v>3.5741000000000001</v>
      </c>
      <c r="H353" s="2">
        <v>1.61392</v>
      </c>
    </row>
    <row r="354" spans="1:8" x14ac:dyDescent="0.2">
      <c r="A354" s="2" t="s">
        <v>1365</v>
      </c>
      <c r="B354" s="2" t="s">
        <v>3081</v>
      </c>
      <c r="C354" s="2" t="s">
        <v>1965</v>
      </c>
      <c r="D354" s="2" t="s">
        <v>1839</v>
      </c>
      <c r="E354" s="2" t="s">
        <v>1841</v>
      </c>
      <c r="F354" s="2">
        <v>0.33297500000000002</v>
      </c>
      <c r="G354" s="2">
        <v>1.0188900000000001</v>
      </c>
      <c r="H354" s="2">
        <v>1.6135200000000001</v>
      </c>
    </row>
    <row r="355" spans="1:8" x14ac:dyDescent="0.2">
      <c r="A355" s="2" t="s">
        <v>103</v>
      </c>
      <c r="B355" s="2" t="s">
        <v>3015</v>
      </c>
      <c r="C355" s="2" t="s">
        <v>1887</v>
      </c>
      <c r="D355" s="2" t="s">
        <v>1839</v>
      </c>
      <c r="E355" s="2" t="s">
        <v>1840</v>
      </c>
      <c r="F355" s="2">
        <v>0.67612799999999995</v>
      </c>
      <c r="G355" s="2">
        <v>2.0664600000000002</v>
      </c>
      <c r="H355" s="2">
        <v>1.6117900000000001</v>
      </c>
    </row>
    <row r="356" spans="1:8" x14ac:dyDescent="0.2">
      <c r="A356" s="2" t="s">
        <v>498</v>
      </c>
      <c r="B356" s="2" t="s">
        <v>3015</v>
      </c>
      <c r="C356" s="2" t="s">
        <v>2078</v>
      </c>
      <c r="D356" s="2" t="s">
        <v>1836</v>
      </c>
      <c r="E356" s="2" t="s">
        <v>1837</v>
      </c>
      <c r="F356" s="2">
        <v>35.1813</v>
      </c>
      <c r="G356" s="2">
        <v>107.474</v>
      </c>
      <c r="H356" s="2">
        <v>1.61111</v>
      </c>
    </row>
    <row r="357" spans="1:8" x14ac:dyDescent="0.2">
      <c r="A357" s="2" t="s">
        <v>1670</v>
      </c>
      <c r="B357" s="2" t="s">
        <v>3015</v>
      </c>
      <c r="C357" s="2" t="s">
        <v>3015</v>
      </c>
      <c r="D357" s="2" t="s">
        <v>1839</v>
      </c>
      <c r="E357" s="2" t="s">
        <v>1841</v>
      </c>
      <c r="F357" s="2">
        <v>4.8124200000000004</v>
      </c>
      <c r="G357" s="2">
        <v>14.701000000000001</v>
      </c>
      <c r="H357" s="2">
        <v>1.6110800000000001</v>
      </c>
    </row>
    <row r="358" spans="1:8" x14ac:dyDescent="0.2">
      <c r="A358" s="2" t="s">
        <v>1313</v>
      </c>
      <c r="B358" s="2" t="s">
        <v>3441</v>
      </c>
      <c r="C358" s="2" t="s">
        <v>3015</v>
      </c>
      <c r="D358" s="2" t="s">
        <v>1839</v>
      </c>
      <c r="E358" s="2" t="s">
        <v>1841</v>
      </c>
      <c r="F358" s="2">
        <v>0.44244800000000001</v>
      </c>
      <c r="G358" s="2">
        <v>1.3504100000000001</v>
      </c>
      <c r="H358" s="2">
        <v>1.60982</v>
      </c>
    </row>
    <row r="359" spans="1:8" x14ac:dyDescent="0.2">
      <c r="A359" s="2" t="s">
        <v>1298</v>
      </c>
      <c r="B359" s="2" t="s">
        <v>3068</v>
      </c>
      <c r="C359" s="2" t="s">
        <v>2799</v>
      </c>
      <c r="D359" s="2" t="s">
        <v>1839</v>
      </c>
      <c r="E359" s="2" t="s">
        <v>1841</v>
      </c>
      <c r="F359" s="2">
        <v>0.70306900000000006</v>
      </c>
      <c r="G359" s="2">
        <v>2.1451099999999999</v>
      </c>
      <c r="H359" s="2">
        <v>1.60931</v>
      </c>
    </row>
    <row r="360" spans="1:8" x14ac:dyDescent="0.2">
      <c r="A360" s="2" t="s">
        <v>179</v>
      </c>
      <c r="B360" s="2" t="s">
        <v>3073</v>
      </c>
      <c r="C360" s="2" t="s">
        <v>3015</v>
      </c>
      <c r="D360" s="2" t="s">
        <v>1836</v>
      </c>
      <c r="E360" s="2" t="s">
        <v>1838</v>
      </c>
      <c r="F360" s="2">
        <v>0.39915200000000001</v>
      </c>
      <c r="G360" s="2">
        <v>1.2174</v>
      </c>
      <c r="H360" s="2">
        <v>1.6088</v>
      </c>
    </row>
    <row r="361" spans="1:8" x14ac:dyDescent="0.2">
      <c r="A361" s="2" t="s">
        <v>1552</v>
      </c>
      <c r="B361" s="2" t="s">
        <v>3015</v>
      </c>
      <c r="C361" s="2" t="s">
        <v>2704</v>
      </c>
      <c r="D361" s="2" t="s">
        <v>1839</v>
      </c>
      <c r="E361" s="2" t="s">
        <v>1841</v>
      </c>
      <c r="F361" s="2">
        <v>1.2105300000000001</v>
      </c>
      <c r="G361" s="2">
        <v>3.6908799999999999</v>
      </c>
      <c r="H361" s="2">
        <v>1.60832</v>
      </c>
    </row>
    <row r="362" spans="1:8" x14ac:dyDescent="0.2">
      <c r="A362" s="2" t="s">
        <v>311</v>
      </c>
      <c r="B362" s="2" t="s">
        <v>3111</v>
      </c>
      <c r="C362" s="2" t="s">
        <v>1988</v>
      </c>
      <c r="D362" s="2" t="s">
        <v>1836</v>
      </c>
      <c r="E362" s="2" t="s">
        <v>1837</v>
      </c>
      <c r="F362" s="2">
        <v>0.32039299999999998</v>
      </c>
      <c r="G362" s="2">
        <v>0.97678200000000004</v>
      </c>
      <c r="H362" s="2">
        <v>1.60819</v>
      </c>
    </row>
    <row r="363" spans="1:8" x14ac:dyDescent="0.2">
      <c r="A363" s="2" t="s">
        <v>790</v>
      </c>
      <c r="B363" s="2" t="s">
        <v>3015</v>
      </c>
      <c r="C363" s="2" t="s">
        <v>2202</v>
      </c>
      <c r="D363" s="2" t="s">
        <v>1839</v>
      </c>
      <c r="E363" s="2" t="s">
        <v>1841</v>
      </c>
      <c r="F363" s="2">
        <v>0.54452599999999995</v>
      </c>
      <c r="G363" s="2">
        <v>1.6599699999999999</v>
      </c>
      <c r="H363" s="2">
        <v>1.60808</v>
      </c>
    </row>
    <row r="364" spans="1:8" x14ac:dyDescent="0.2">
      <c r="A364" s="2" t="s">
        <v>1013</v>
      </c>
      <c r="B364" s="2" t="s">
        <v>3257</v>
      </c>
      <c r="C364" s="2" t="s">
        <v>2318</v>
      </c>
      <c r="D364" s="2" t="s">
        <v>1836</v>
      </c>
      <c r="E364" s="2" t="s">
        <v>1837</v>
      </c>
      <c r="F364" s="2">
        <v>3.92008</v>
      </c>
      <c r="G364" s="2">
        <v>11.9437</v>
      </c>
      <c r="H364" s="2">
        <v>1.6073</v>
      </c>
    </row>
    <row r="365" spans="1:8" x14ac:dyDescent="0.2">
      <c r="A365" s="2" t="s">
        <v>153</v>
      </c>
      <c r="B365" s="2" t="s">
        <v>3045</v>
      </c>
      <c r="C365" s="2" t="s">
        <v>1875</v>
      </c>
      <c r="D365" s="2" t="s">
        <v>1836</v>
      </c>
      <c r="E365" s="2" t="s">
        <v>1837</v>
      </c>
      <c r="F365" s="2">
        <v>0.39899600000000002</v>
      </c>
      <c r="G365" s="2">
        <v>1.21532</v>
      </c>
      <c r="H365" s="2">
        <v>1.6068899999999999</v>
      </c>
    </row>
    <row r="366" spans="1:8" x14ac:dyDescent="0.2">
      <c r="A366" s="2" t="s">
        <v>568</v>
      </c>
      <c r="B366" s="2" t="s">
        <v>3163</v>
      </c>
      <c r="C366" s="2" t="s">
        <v>2111</v>
      </c>
      <c r="D366" s="2" t="s">
        <v>1836</v>
      </c>
      <c r="E366" s="2" t="s">
        <v>1837</v>
      </c>
      <c r="F366" s="2">
        <v>10.074400000000001</v>
      </c>
      <c r="G366" s="2">
        <v>30.608599999999999</v>
      </c>
      <c r="H366" s="2">
        <v>1.60324</v>
      </c>
    </row>
    <row r="367" spans="1:8" x14ac:dyDescent="0.2">
      <c r="A367" s="2" t="s">
        <v>807</v>
      </c>
      <c r="B367" s="2" t="s">
        <v>3212</v>
      </c>
      <c r="C367" s="2" t="s">
        <v>2211</v>
      </c>
      <c r="D367" s="2" t="s">
        <v>1839</v>
      </c>
      <c r="E367" s="2" t="s">
        <v>1840</v>
      </c>
      <c r="F367" s="2">
        <v>1.7720499999999999</v>
      </c>
      <c r="G367" s="2">
        <v>5.3822700000000001</v>
      </c>
      <c r="H367" s="2">
        <v>1.6027899999999999</v>
      </c>
    </row>
    <row r="368" spans="1:8" x14ac:dyDescent="0.2">
      <c r="A368" s="2" t="s">
        <v>1131</v>
      </c>
      <c r="B368" s="2" t="s">
        <v>3015</v>
      </c>
      <c r="C368" s="2" t="s">
        <v>2054</v>
      </c>
      <c r="D368" s="2" t="s">
        <v>1839</v>
      </c>
      <c r="E368" s="2" t="s">
        <v>1841</v>
      </c>
      <c r="F368" s="2">
        <v>1.11351</v>
      </c>
      <c r="G368" s="2">
        <v>3.3804099999999999</v>
      </c>
      <c r="H368" s="2">
        <v>1.60209</v>
      </c>
    </row>
    <row r="369" spans="1:8" x14ac:dyDescent="0.2">
      <c r="A369" s="2" t="s">
        <v>702</v>
      </c>
      <c r="B369" s="2" t="s">
        <v>3015</v>
      </c>
      <c r="C369" s="2" t="s">
        <v>2852</v>
      </c>
      <c r="D369" s="2" t="s">
        <v>1839</v>
      </c>
      <c r="E369" s="2" t="s">
        <v>1841</v>
      </c>
      <c r="F369" s="2">
        <v>3.8462800000000001</v>
      </c>
      <c r="G369" s="2">
        <v>11.664199999999999</v>
      </c>
      <c r="H369" s="2">
        <v>1.6005499999999999</v>
      </c>
    </row>
    <row r="370" spans="1:8" x14ac:dyDescent="0.2">
      <c r="A370" s="2" t="s">
        <v>1349</v>
      </c>
      <c r="B370" s="2" t="s">
        <v>3015</v>
      </c>
      <c r="C370" s="2" t="s">
        <v>3015</v>
      </c>
      <c r="D370" s="2" t="s">
        <v>1839</v>
      </c>
      <c r="E370" s="2" t="s">
        <v>1840</v>
      </c>
      <c r="F370" s="2">
        <v>1.50885</v>
      </c>
      <c r="G370" s="2">
        <v>4.5715399999999997</v>
      </c>
      <c r="H370" s="2">
        <v>1.59924</v>
      </c>
    </row>
    <row r="371" spans="1:8" x14ac:dyDescent="0.2">
      <c r="A371" s="2" t="s">
        <v>1558</v>
      </c>
      <c r="B371" s="2" t="s">
        <v>3015</v>
      </c>
      <c r="C371" s="2" t="s">
        <v>2710</v>
      </c>
      <c r="D371" s="2" t="s">
        <v>1839</v>
      </c>
      <c r="E371" s="2" t="s">
        <v>1841</v>
      </c>
      <c r="F371" s="2">
        <v>0.30795</v>
      </c>
      <c r="G371" s="2">
        <v>0.93127300000000002</v>
      </c>
      <c r="H371" s="2">
        <v>1.5965100000000001</v>
      </c>
    </row>
    <row r="372" spans="1:8" x14ac:dyDescent="0.2">
      <c r="A372" s="2" t="s">
        <v>535</v>
      </c>
      <c r="B372" s="2" t="s">
        <v>3100</v>
      </c>
      <c r="C372" s="2" t="s">
        <v>1847</v>
      </c>
      <c r="D372" s="2" t="s">
        <v>1839</v>
      </c>
      <c r="E372" s="2" t="s">
        <v>1841</v>
      </c>
      <c r="F372" s="2">
        <v>0.781802</v>
      </c>
      <c r="G372" s="2">
        <v>2.35975</v>
      </c>
      <c r="H372" s="2">
        <v>1.5937600000000001</v>
      </c>
    </row>
    <row r="373" spans="1:8" x14ac:dyDescent="0.2">
      <c r="A373" s="2" t="s">
        <v>1337</v>
      </c>
      <c r="B373" s="2" t="s">
        <v>3015</v>
      </c>
      <c r="C373" s="2" t="s">
        <v>2531</v>
      </c>
      <c r="D373" s="2" t="s">
        <v>1839</v>
      </c>
      <c r="E373" s="2" t="s">
        <v>1840</v>
      </c>
      <c r="F373" s="2">
        <v>0.282559</v>
      </c>
      <c r="G373" s="2">
        <v>0.85202299999999997</v>
      </c>
      <c r="H373" s="2">
        <v>1.5923400000000001</v>
      </c>
    </row>
    <row r="374" spans="1:8" x14ac:dyDescent="0.2">
      <c r="A374" s="2" t="s">
        <v>1616</v>
      </c>
      <c r="B374" s="2" t="s">
        <v>3015</v>
      </c>
      <c r="C374" s="2" t="s">
        <v>3016</v>
      </c>
      <c r="D374" s="2" t="s">
        <v>1839</v>
      </c>
      <c r="E374" s="2" t="s">
        <v>1841</v>
      </c>
      <c r="F374" s="2">
        <v>0.33174199999999998</v>
      </c>
      <c r="G374" s="2">
        <v>0.99999800000000005</v>
      </c>
      <c r="H374" s="2">
        <v>1.5918600000000001</v>
      </c>
    </row>
    <row r="375" spans="1:8" x14ac:dyDescent="0.2">
      <c r="A375" s="2" t="s">
        <v>223</v>
      </c>
      <c r="B375" s="2" t="s">
        <v>3015</v>
      </c>
      <c r="C375" s="2" t="s">
        <v>1880</v>
      </c>
      <c r="D375" s="2" t="s">
        <v>1836</v>
      </c>
      <c r="E375" s="2" t="s">
        <v>1837</v>
      </c>
      <c r="F375" s="2">
        <v>7.7205899999999996</v>
      </c>
      <c r="G375" s="2">
        <v>23.229800000000001</v>
      </c>
      <c r="H375" s="2">
        <v>1.5891900000000001</v>
      </c>
    </row>
    <row r="376" spans="1:8" x14ac:dyDescent="0.2">
      <c r="A376" s="2" t="s">
        <v>367</v>
      </c>
      <c r="B376" s="2" t="s">
        <v>3128</v>
      </c>
      <c r="C376" s="2" t="s">
        <v>2013</v>
      </c>
      <c r="D376" s="2" t="s">
        <v>1836</v>
      </c>
      <c r="E376" s="2" t="s">
        <v>1837</v>
      </c>
      <c r="F376" s="2">
        <v>0.51770099999999997</v>
      </c>
      <c r="G376" s="2">
        <v>1.5575000000000001</v>
      </c>
      <c r="H376" s="2">
        <v>1.58904</v>
      </c>
    </row>
    <row r="377" spans="1:8" x14ac:dyDescent="0.2">
      <c r="A377" s="2" t="s">
        <v>1307</v>
      </c>
      <c r="B377" s="2" t="s">
        <v>3336</v>
      </c>
      <c r="C377" s="2" t="s">
        <v>2498</v>
      </c>
      <c r="D377" s="2" t="s">
        <v>1839</v>
      </c>
      <c r="E377" s="2" t="s">
        <v>1840</v>
      </c>
      <c r="F377" s="2">
        <v>19.782</v>
      </c>
      <c r="G377" s="2">
        <v>59.483400000000003</v>
      </c>
      <c r="H377" s="2">
        <v>1.5883</v>
      </c>
    </row>
    <row r="378" spans="1:8" x14ac:dyDescent="0.2">
      <c r="A378" s="2" t="s">
        <v>1734</v>
      </c>
      <c r="B378" s="2" t="s">
        <v>3015</v>
      </c>
      <c r="C378" s="2" t="s">
        <v>2160</v>
      </c>
      <c r="D378" s="2" t="s">
        <v>1839</v>
      </c>
      <c r="E378" s="2" t="s">
        <v>1841</v>
      </c>
      <c r="F378" s="2">
        <v>0.31065199999999998</v>
      </c>
      <c r="G378" s="2">
        <v>0.92958200000000002</v>
      </c>
      <c r="H378" s="2">
        <v>1.58128</v>
      </c>
    </row>
    <row r="379" spans="1:8" x14ac:dyDescent="0.2">
      <c r="A379" s="2" t="s">
        <v>1423</v>
      </c>
      <c r="B379" s="2" t="s">
        <v>3015</v>
      </c>
      <c r="C379" s="2" t="s">
        <v>2586</v>
      </c>
      <c r="D379" s="2" t="s">
        <v>1836</v>
      </c>
      <c r="E379" s="2" t="s">
        <v>1838</v>
      </c>
      <c r="F379" s="2">
        <v>0.56464999999999999</v>
      </c>
      <c r="G379" s="2">
        <v>1.6894100000000001</v>
      </c>
      <c r="H379" s="2">
        <v>1.5810900000000001</v>
      </c>
    </row>
    <row r="380" spans="1:8" x14ac:dyDescent="0.2">
      <c r="A380" s="2" t="s">
        <v>1490</v>
      </c>
      <c r="B380" s="2" t="s">
        <v>3047</v>
      </c>
      <c r="C380" s="2" t="s">
        <v>2634</v>
      </c>
      <c r="D380" s="2" t="s">
        <v>1839</v>
      </c>
      <c r="E380" s="2" t="s">
        <v>1840</v>
      </c>
      <c r="F380" s="2">
        <v>0.34293400000000002</v>
      </c>
      <c r="G380" s="2">
        <v>1.02559</v>
      </c>
      <c r="H380" s="2">
        <v>1.58046</v>
      </c>
    </row>
    <row r="381" spans="1:8" x14ac:dyDescent="0.2">
      <c r="A381" s="2" t="s">
        <v>449</v>
      </c>
      <c r="B381" s="2" t="s">
        <v>3024</v>
      </c>
      <c r="C381" s="2" t="s">
        <v>2053</v>
      </c>
      <c r="D381" s="2" t="s">
        <v>1839</v>
      </c>
      <c r="E381" s="2" t="s">
        <v>1841</v>
      </c>
      <c r="F381" s="2">
        <v>0.63944900000000005</v>
      </c>
      <c r="G381" s="2">
        <v>1.9082399999999999</v>
      </c>
      <c r="H381" s="2">
        <v>1.57734</v>
      </c>
    </row>
    <row r="382" spans="1:8" x14ac:dyDescent="0.2">
      <c r="A382" s="2" t="s">
        <v>651</v>
      </c>
      <c r="B382" s="2" t="s">
        <v>3015</v>
      </c>
      <c r="C382" s="2" t="s">
        <v>2147</v>
      </c>
      <c r="D382" s="2" t="s">
        <v>1836</v>
      </c>
      <c r="E382" s="2" t="s">
        <v>1838</v>
      </c>
      <c r="F382" s="2">
        <v>2.0388500000000001</v>
      </c>
      <c r="G382" s="2">
        <v>6.0813100000000002</v>
      </c>
      <c r="H382" s="2">
        <v>1.57663</v>
      </c>
    </row>
    <row r="383" spans="1:8" x14ac:dyDescent="0.2">
      <c r="A383" s="2" t="s">
        <v>329</v>
      </c>
      <c r="B383" s="2" t="s">
        <v>3116</v>
      </c>
      <c r="C383" s="2" t="s">
        <v>1998</v>
      </c>
      <c r="D383" s="2" t="s">
        <v>1836</v>
      </c>
      <c r="E383" s="2" t="s">
        <v>1837</v>
      </c>
      <c r="F383" s="2">
        <v>1.83968</v>
      </c>
      <c r="G383" s="2">
        <v>5.48651</v>
      </c>
      <c r="H383" s="2">
        <v>1.5764400000000001</v>
      </c>
    </row>
    <row r="384" spans="1:8" x14ac:dyDescent="0.2">
      <c r="A384" s="2" t="s">
        <v>1520</v>
      </c>
      <c r="B384" s="2" t="s">
        <v>3015</v>
      </c>
      <c r="C384" s="2" t="s">
        <v>2673</v>
      </c>
      <c r="D384" s="2" t="s">
        <v>1839</v>
      </c>
      <c r="E384" s="2" t="s">
        <v>1841</v>
      </c>
      <c r="F384" s="2">
        <v>0.39066600000000001</v>
      </c>
      <c r="G384" s="2">
        <v>1.1645300000000001</v>
      </c>
      <c r="H384" s="2">
        <v>1.5757399999999999</v>
      </c>
    </row>
    <row r="385" spans="1:8" x14ac:dyDescent="0.2">
      <c r="A385" s="2" t="s">
        <v>797</v>
      </c>
      <c r="B385" s="2" t="s">
        <v>3209</v>
      </c>
      <c r="C385" s="2" t="s">
        <v>2205</v>
      </c>
      <c r="D385" s="2" t="s">
        <v>1839</v>
      </c>
      <c r="E385" s="2" t="s">
        <v>1841</v>
      </c>
      <c r="F385" s="2">
        <v>4.9151699999999998</v>
      </c>
      <c r="G385" s="2">
        <v>14.630599999999999</v>
      </c>
      <c r="H385" s="2">
        <v>1.57368</v>
      </c>
    </row>
    <row r="386" spans="1:8" x14ac:dyDescent="0.2">
      <c r="A386" s="2" t="s">
        <v>508</v>
      </c>
      <c r="B386" s="2" t="s">
        <v>3150</v>
      </c>
      <c r="C386" s="2" t="s">
        <v>2083</v>
      </c>
      <c r="D386" s="2" t="s">
        <v>1836</v>
      </c>
      <c r="E386" s="2" t="s">
        <v>1837</v>
      </c>
      <c r="F386" s="2">
        <v>0.39847100000000002</v>
      </c>
      <c r="G386" s="2">
        <v>1.18543</v>
      </c>
      <c r="H386" s="2">
        <v>1.5728599999999999</v>
      </c>
    </row>
    <row r="387" spans="1:8" x14ac:dyDescent="0.2">
      <c r="A387" s="2" t="s">
        <v>188</v>
      </c>
      <c r="B387" s="2" t="s">
        <v>3037</v>
      </c>
      <c r="C387" s="2" t="s">
        <v>2677</v>
      </c>
      <c r="D387" s="2" t="s">
        <v>1839</v>
      </c>
      <c r="E387" s="2" t="s">
        <v>1841</v>
      </c>
      <c r="F387" s="2">
        <v>0.72560400000000003</v>
      </c>
      <c r="G387" s="2">
        <v>2.1555300000000002</v>
      </c>
      <c r="H387" s="2">
        <v>1.5707899999999999</v>
      </c>
    </row>
    <row r="388" spans="1:8" x14ac:dyDescent="0.2">
      <c r="A388" s="2" t="s">
        <v>1402</v>
      </c>
      <c r="B388" s="2" t="s">
        <v>3015</v>
      </c>
      <c r="C388" s="2" t="s">
        <v>2891</v>
      </c>
      <c r="D388" s="2" t="s">
        <v>1839</v>
      </c>
      <c r="E388" s="2" t="s">
        <v>1841</v>
      </c>
      <c r="F388" s="2">
        <v>1.9628399999999999</v>
      </c>
      <c r="G388" s="2">
        <v>5.8297800000000004</v>
      </c>
      <c r="H388" s="2">
        <v>1.5705</v>
      </c>
    </row>
    <row r="389" spans="1:8" x14ac:dyDescent="0.2">
      <c r="A389" s="2" t="s">
        <v>1182</v>
      </c>
      <c r="B389" s="2" t="s">
        <v>3295</v>
      </c>
      <c r="C389" s="2" t="s">
        <v>2409</v>
      </c>
      <c r="D389" s="2" t="s">
        <v>1839</v>
      </c>
      <c r="E389" s="2" t="s">
        <v>1841</v>
      </c>
      <c r="F389" s="2">
        <v>1.20204</v>
      </c>
      <c r="G389" s="2">
        <v>3.56819</v>
      </c>
      <c r="H389" s="2">
        <v>1.5697000000000001</v>
      </c>
    </row>
    <row r="390" spans="1:8" x14ac:dyDescent="0.2">
      <c r="A390" s="2" t="s">
        <v>1187</v>
      </c>
      <c r="B390" s="2" t="s">
        <v>3015</v>
      </c>
      <c r="C390" s="2" t="s">
        <v>2413</v>
      </c>
      <c r="D390" s="2" t="s">
        <v>1836</v>
      </c>
      <c r="E390" s="2" t="s">
        <v>1838</v>
      </c>
      <c r="F390" s="2">
        <v>3.30965</v>
      </c>
      <c r="G390" s="2">
        <v>9.8173600000000008</v>
      </c>
      <c r="H390" s="2">
        <v>1.5686599999999999</v>
      </c>
    </row>
    <row r="391" spans="1:8" x14ac:dyDescent="0.2">
      <c r="A391" s="2" t="s">
        <v>660</v>
      </c>
      <c r="B391" s="2" t="s">
        <v>3015</v>
      </c>
      <c r="C391" s="2" t="s">
        <v>2152</v>
      </c>
      <c r="D391" s="2" t="s">
        <v>1839</v>
      </c>
      <c r="E391" s="2" t="s">
        <v>1841</v>
      </c>
      <c r="F391" s="2">
        <v>0.74981500000000001</v>
      </c>
      <c r="G391" s="2">
        <v>2.2230400000000001</v>
      </c>
      <c r="H391" s="2">
        <v>1.56793</v>
      </c>
    </row>
    <row r="392" spans="1:8" x14ac:dyDescent="0.2">
      <c r="A392" s="2" t="s">
        <v>1089</v>
      </c>
      <c r="B392" s="2" t="s">
        <v>3015</v>
      </c>
      <c r="C392" s="2" t="s">
        <v>1917</v>
      </c>
      <c r="D392" s="2" t="s">
        <v>1839</v>
      </c>
      <c r="E392" s="2" t="s">
        <v>1840</v>
      </c>
      <c r="F392" s="2">
        <v>0.76492800000000005</v>
      </c>
      <c r="G392" s="2">
        <v>2.2642799999999998</v>
      </c>
      <c r="H392" s="2">
        <v>1.5656600000000001</v>
      </c>
    </row>
    <row r="393" spans="1:8" x14ac:dyDescent="0.2">
      <c r="A393" s="2" t="s">
        <v>782</v>
      </c>
      <c r="B393" s="2" t="s">
        <v>3208</v>
      </c>
      <c r="C393" s="2" t="s">
        <v>2199</v>
      </c>
      <c r="D393" s="2" t="s">
        <v>1839</v>
      </c>
      <c r="E393" s="2" t="s">
        <v>1841</v>
      </c>
      <c r="F393" s="2">
        <v>0.47748299999999999</v>
      </c>
      <c r="G393" s="2">
        <v>1.4133199999999999</v>
      </c>
      <c r="H393" s="2">
        <v>1.5655699999999999</v>
      </c>
    </row>
    <row r="394" spans="1:8" x14ac:dyDescent="0.2">
      <c r="A394" s="2" t="s">
        <v>1237</v>
      </c>
      <c r="B394" s="2" t="s">
        <v>3313</v>
      </c>
      <c r="C394" s="2" t="s">
        <v>2445</v>
      </c>
      <c r="D394" s="2" t="s">
        <v>1839</v>
      </c>
      <c r="E394" s="2" t="s">
        <v>1840</v>
      </c>
      <c r="F394" s="2">
        <v>0.46317900000000001</v>
      </c>
      <c r="G394" s="2">
        <v>1.3702300000000001</v>
      </c>
      <c r="H394" s="2">
        <v>1.5647800000000001</v>
      </c>
    </row>
    <row r="395" spans="1:8" x14ac:dyDescent="0.2">
      <c r="A395" s="2" t="s">
        <v>677</v>
      </c>
      <c r="B395" s="2" t="s">
        <v>3190</v>
      </c>
      <c r="C395" s="2" t="s">
        <v>2159</v>
      </c>
      <c r="D395" s="2" t="s">
        <v>1836</v>
      </c>
      <c r="E395" s="2" t="s">
        <v>1837</v>
      </c>
      <c r="F395" s="2">
        <v>0.83784499999999995</v>
      </c>
      <c r="G395" s="2">
        <v>2.4750800000000002</v>
      </c>
      <c r="H395" s="2">
        <v>1.5627200000000001</v>
      </c>
    </row>
    <row r="396" spans="1:8" x14ac:dyDescent="0.2">
      <c r="A396" s="2" t="s">
        <v>194</v>
      </c>
      <c r="B396" s="2" t="s">
        <v>3015</v>
      </c>
      <c r="C396" s="2" t="s">
        <v>1933</v>
      </c>
      <c r="D396" s="2" t="s">
        <v>1836</v>
      </c>
      <c r="E396" s="2" t="s">
        <v>1838</v>
      </c>
      <c r="F396" s="2">
        <v>0.89725999999999995</v>
      </c>
      <c r="G396" s="2">
        <v>2.6488700000000001</v>
      </c>
      <c r="H396" s="2">
        <v>1.5617799999999999</v>
      </c>
    </row>
    <row r="397" spans="1:8" x14ac:dyDescent="0.2">
      <c r="A397" s="2" t="s">
        <v>574</v>
      </c>
      <c r="B397" s="2" t="s">
        <v>3439</v>
      </c>
      <c r="C397" s="2" t="s">
        <v>1847</v>
      </c>
      <c r="D397" s="2" t="s">
        <v>1839</v>
      </c>
      <c r="E397" s="2" t="s">
        <v>1841</v>
      </c>
      <c r="F397" s="2">
        <v>4.7276600000000002</v>
      </c>
      <c r="G397" s="2">
        <v>13.949</v>
      </c>
      <c r="H397" s="2">
        <v>1.56097</v>
      </c>
    </row>
    <row r="398" spans="1:8" x14ac:dyDescent="0.2">
      <c r="A398" s="2" t="s">
        <v>11</v>
      </c>
      <c r="B398" s="2" t="s">
        <v>3385</v>
      </c>
      <c r="C398" s="2" t="s">
        <v>2613</v>
      </c>
      <c r="D398" s="2" t="s">
        <v>1839</v>
      </c>
      <c r="E398" s="2" t="s">
        <v>1840</v>
      </c>
      <c r="F398" s="2">
        <v>1.6253299999999999</v>
      </c>
      <c r="G398" s="2">
        <v>4.7933700000000004</v>
      </c>
      <c r="H398" s="2">
        <v>1.5603100000000001</v>
      </c>
    </row>
    <row r="399" spans="1:8" x14ac:dyDescent="0.2">
      <c r="A399" s="2" t="s">
        <v>1284</v>
      </c>
      <c r="B399" s="2" t="s">
        <v>3103</v>
      </c>
      <c r="C399" s="2" t="s">
        <v>2400</v>
      </c>
      <c r="D399" s="2" t="s">
        <v>1836</v>
      </c>
      <c r="E399" s="2" t="s">
        <v>1838</v>
      </c>
      <c r="F399" s="2">
        <v>0.76064500000000002</v>
      </c>
      <c r="G399" s="2">
        <v>2.2421199999999999</v>
      </c>
      <c r="H399" s="2">
        <v>1.5595699999999999</v>
      </c>
    </row>
    <row r="400" spans="1:8" x14ac:dyDescent="0.2">
      <c r="A400" s="2" t="s">
        <v>408</v>
      </c>
      <c r="B400" s="2" t="s">
        <v>3015</v>
      </c>
      <c r="C400" s="2" t="s">
        <v>2755</v>
      </c>
      <c r="D400" s="2" t="s">
        <v>1839</v>
      </c>
      <c r="E400" s="2" t="s">
        <v>1841</v>
      </c>
      <c r="F400" s="2">
        <v>1.3965799999999999</v>
      </c>
      <c r="G400" s="2">
        <v>4.1144100000000003</v>
      </c>
      <c r="H400" s="2">
        <v>1.5587899999999999</v>
      </c>
    </row>
    <row r="401" spans="1:8" x14ac:dyDescent="0.2">
      <c r="A401" s="2" t="s">
        <v>487</v>
      </c>
      <c r="B401" s="2" t="s">
        <v>3015</v>
      </c>
      <c r="C401" s="2" t="s">
        <v>2071</v>
      </c>
      <c r="D401" s="2" t="s">
        <v>1839</v>
      </c>
      <c r="E401" s="2" t="s">
        <v>1841</v>
      </c>
      <c r="F401" s="2">
        <v>1.4330700000000001</v>
      </c>
      <c r="G401" s="2">
        <v>4.2088799999999997</v>
      </c>
      <c r="H401" s="2">
        <v>1.55433</v>
      </c>
    </row>
    <row r="402" spans="1:8" x14ac:dyDescent="0.2">
      <c r="A402" s="2" t="s">
        <v>29</v>
      </c>
      <c r="B402" s="2" t="s">
        <v>3031</v>
      </c>
      <c r="C402" s="2" t="s">
        <v>1856</v>
      </c>
      <c r="D402" s="2" t="s">
        <v>1836</v>
      </c>
      <c r="E402" s="2" t="s">
        <v>1837</v>
      </c>
      <c r="F402" s="2">
        <v>1.19275</v>
      </c>
      <c r="G402" s="2">
        <v>3.5014500000000002</v>
      </c>
      <c r="H402" s="2">
        <v>1.55366</v>
      </c>
    </row>
    <row r="403" spans="1:8" x14ac:dyDescent="0.2">
      <c r="A403" s="2" t="s">
        <v>590</v>
      </c>
      <c r="B403" s="2" t="s">
        <v>3015</v>
      </c>
      <c r="C403" s="2" t="s">
        <v>3015</v>
      </c>
      <c r="D403" s="2" t="s">
        <v>1836</v>
      </c>
      <c r="E403" s="2" t="s">
        <v>1838</v>
      </c>
      <c r="F403" s="2">
        <v>0.33421000000000001</v>
      </c>
      <c r="G403" s="2">
        <v>0.97919599999999996</v>
      </c>
      <c r="H403" s="2">
        <v>1.55084</v>
      </c>
    </row>
    <row r="404" spans="1:8" x14ac:dyDescent="0.2">
      <c r="A404" s="2" t="s">
        <v>979</v>
      </c>
      <c r="B404" s="2" t="s">
        <v>3015</v>
      </c>
      <c r="C404" s="2" t="s">
        <v>2306</v>
      </c>
      <c r="D404" s="2" t="s">
        <v>1836</v>
      </c>
      <c r="E404" s="2" t="s">
        <v>1837</v>
      </c>
      <c r="F404" s="2">
        <v>1.58857</v>
      </c>
      <c r="G404" s="2">
        <v>4.6520900000000003</v>
      </c>
      <c r="H404" s="2">
        <v>1.5501499999999999</v>
      </c>
    </row>
    <row r="405" spans="1:8" x14ac:dyDescent="0.2">
      <c r="A405" s="2" t="s">
        <v>398</v>
      </c>
      <c r="B405" s="2" t="s">
        <v>3015</v>
      </c>
      <c r="C405" s="2" t="s">
        <v>2026</v>
      </c>
      <c r="D405" s="2" t="s">
        <v>1836</v>
      </c>
      <c r="E405" s="2" t="s">
        <v>1837</v>
      </c>
      <c r="F405" s="2">
        <v>1.46</v>
      </c>
      <c r="G405" s="2">
        <v>4.2748299999999997</v>
      </c>
      <c r="H405" s="2">
        <v>1.5499000000000001</v>
      </c>
    </row>
    <row r="406" spans="1:8" x14ac:dyDescent="0.2">
      <c r="A406" s="2" t="s">
        <v>532</v>
      </c>
      <c r="B406" s="2" t="s">
        <v>3043</v>
      </c>
      <c r="C406" s="2" t="s">
        <v>2095</v>
      </c>
      <c r="D406" s="2" t="s">
        <v>1839</v>
      </c>
      <c r="E406" s="2" t="s">
        <v>1840</v>
      </c>
      <c r="F406" s="2">
        <v>4.3198600000000003</v>
      </c>
      <c r="G406" s="2">
        <v>12.6433</v>
      </c>
      <c r="H406" s="2">
        <v>1.54931</v>
      </c>
    </row>
    <row r="407" spans="1:8" x14ac:dyDescent="0.2">
      <c r="A407" s="2" t="s">
        <v>1089</v>
      </c>
      <c r="B407" s="2" t="s">
        <v>3015</v>
      </c>
      <c r="C407" s="2" t="s">
        <v>1917</v>
      </c>
      <c r="D407" s="2" t="s">
        <v>1839</v>
      </c>
      <c r="E407" s="2" t="s">
        <v>1841</v>
      </c>
      <c r="F407" s="2">
        <v>0.76492800000000005</v>
      </c>
      <c r="G407" s="2">
        <v>2.2381199999999999</v>
      </c>
      <c r="H407" s="2">
        <v>1.5488900000000001</v>
      </c>
    </row>
    <row r="408" spans="1:8" x14ac:dyDescent="0.2">
      <c r="A408" s="2" t="s">
        <v>1381</v>
      </c>
      <c r="B408" s="2" t="s">
        <v>3175</v>
      </c>
      <c r="C408" s="2" t="s">
        <v>2557</v>
      </c>
      <c r="D408" s="2" t="s">
        <v>1839</v>
      </c>
      <c r="E408" s="2" t="s">
        <v>1840</v>
      </c>
      <c r="F408" s="2">
        <v>0.32317499999999999</v>
      </c>
      <c r="G408" s="2">
        <v>0.94528800000000002</v>
      </c>
      <c r="H408" s="2">
        <v>1.54844</v>
      </c>
    </row>
    <row r="409" spans="1:8" x14ac:dyDescent="0.2">
      <c r="A409" s="2" t="s">
        <v>1812</v>
      </c>
      <c r="B409" s="2" t="s">
        <v>3015</v>
      </c>
      <c r="C409" s="2" t="s">
        <v>3016</v>
      </c>
      <c r="D409" s="2" t="s">
        <v>1839</v>
      </c>
      <c r="E409" s="2" t="s">
        <v>1840</v>
      </c>
      <c r="F409" s="2">
        <v>5.7427900000000003</v>
      </c>
      <c r="G409" s="2">
        <v>16.7669</v>
      </c>
      <c r="H409" s="2">
        <v>1.5458000000000001</v>
      </c>
    </row>
    <row r="410" spans="1:8" x14ac:dyDescent="0.2">
      <c r="A410" s="2" t="s">
        <v>1761</v>
      </c>
      <c r="B410" s="2" t="s">
        <v>3476</v>
      </c>
      <c r="C410" s="2" t="s">
        <v>2932</v>
      </c>
      <c r="D410" s="2" t="s">
        <v>1839</v>
      </c>
      <c r="E410" s="2" t="s">
        <v>1841</v>
      </c>
      <c r="F410" s="2">
        <v>0.50963599999999998</v>
      </c>
      <c r="G410" s="2">
        <v>1.4873799999999999</v>
      </c>
      <c r="H410" s="2">
        <v>1.5452399999999999</v>
      </c>
    </row>
    <row r="411" spans="1:8" x14ac:dyDescent="0.2">
      <c r="A411" s="2" t="s">
        <v>1442</v>
      </c>
      <c r="B411" s="2" t="s">
        <v>3047</v>
      </c>
      <c r="C411" s="2" t="s">
        <v>2597</v>
      </c>
      <c r="D411" s="2" t="s">
        <v>1836</v>
      </c>
      <c r="E411" s="2" t="s">
        <v>1838</v>
      </c>
      <c r="F411" s="2">
        <v>0.46690999999999999</v>
      </c>
      <c r="G411" s="2">
        <v>1.361</v>
      </c>
      <c r="H411" s="2">
        <v>1.54345</v>
      </c>
    </row>
    <row r="412" spans="1:8" x14ac:dyDescent="0.2">
      <c r="A412" s="2" t="s">
        <v>1763</v>
      </c>
      <c r="B412" s="2" t="s">
        <v>3058</v>
      </c>
      <c r="C412" s="2" t="s">
        <v>2935</v>
      </c>
      <c r="D412" s="2" t="s">
        <v>1839</v>
      </c>
      <c r="E412" s="2" t="s">
        <v>1841</v>
      </c>
      <c r="F412" s="2">
        <v>0.62070499999999995</v>
      </c>
      <c r="G412" s="2">
        <v>1.80515</v>
      </c>
      <c r="H412" s="2">
        <v>1.5401400000000001</v>
      </c>
    </row>
    <row r="413" spans="1:8" x14ac:dyDescent="0.2">
      <c r="A413" s="2" t="s">
        <v>1170</v>
      </c>
      <c r="B413" s="2" t="s">
        <v>3290</v>
      </c>
      <c r="C413" s="2" t="s">
        <v>3015</v>
      </c>
      <c r="D413" s="2" t="s">
        <v>1836</v>
      </c>
      <c r="E413" s="2" t="s">
        <v>1838</v>
      </c>
      <c r="F413" s="2">
        <v>1.9573</v>
      </c>
      <c r="G413" s="2">
        <v>5.6913900000000002</v>
      </c>
      <c r="H413" s="2">
        <v>1.53992</v>
      </c>
    </row>
    <row r="414" spans="1:8" x14ac:dyDescent="0.2">
      <c r="A414" s="2" t="s">
        <v>941</v>
      </c>
      <c r="B414" s="2" t="s">
        <v>3015</v>
      </c>
      <c r="C414" s="2" t="s">
        <v>2283</v>
      </c>
      <c r="D414" s="2" t="s">
        <v>1836</v>
      </c>
      <c r="E414" s="2" t="s">
        <v>1837</v>
      </c>
      <c r="F414" s="2">
        <v>2.1166999999999998</v>
      </c>
      <c r="G414" s="2">
        <v>6.1545500000000004</v>
      </c>
      <c r="H414" s="2">
        <v>1.5398400000000001</v>
      </c>
    </row>
    <row r="415" spans="1:8" x14ac:dyDescent="0.2">
      <c r="A415" s="2" t="s">
        <v>1794</v>
      </c>
      <c r="B415" s="2" t="s">
        <v>3494</v>
      </c>
      <c r="C415" s="2" t="s">
        <v>3014</v>
      </c>
      <c r="D415" s="2" t="s">
        <v>1839</v>
      </c>
      <c r="E415" s="2" t="s">
        <v>1840</v>
      </c>
      <c r="F415" s="2">
        <v>0.495645</v>
      </c>
      <c r="G415" s="2">
        <v>1.43963</v>
      </c>
      <c r="H415" s="2">
        <v>1.5383199999999999</v>
      </c>
    </row>
    <row r="416" spans="1:8" x14ac:dyDescent="0.2">
      <c r="A416" s="2" t="s">
        <v>378</v>
      </c>
      <c r="B416" s="2" t="s">
        <v>3030</v>
      </c>
      <c r="C416" s="2" t="s">
        <v>2749</v>
      </c>
      <c r="D416" s="2" t="s">
        <v>1839</v>
      </c>
      <c r="E416" s="2" t="s">
        <v>1841</v>
      </c>
      <c r="F416" s="2">
        <v>2.7991700000000002</v>
      </c>
      <c r="G416" s="2">
        <v>8.1217000000000006</v>
      </c>
      <c r="H416" s="2">
        <v>1.53678</v>
      </c>
    </row>
    <row r="417" spans="1:8" x14ac:dyDescent="0.2">
      <c r="A417" s="2" t="s">
        <v>949</v>
      </c>
      <c r="B417" s="2" t="s">
        <v>3015</v>
      </c>
      <c r="C417" s="2" t="s">
        <v>2929</v>
      </c>
      <c r="D417" s="2" t="s">
        <v>1839</v>
      </c>
      <c r="E417" s="2" t="s">
        <v>1841</v>
      </c>
      <c r="F417" s="2">
        <v>2.8840499999999998</v>
      </c>
      <c r="G417" s="2">
        <v>8.3601100000000006</v>
      </c>
      <c r="H417" s="2">
        <v>1.5354300000000001</v>
      </c>
    </row>
    <row r="418" spans="1:8" x14ac:dyDescent="0.2">
      <c r="A418" s="2" t="s">
        <v>886</v>
      </c>
      <c r="B418" s="2" t="s">
        <v>3469</v>
      </c>
      <c r="C418" s="2" t="s">
        <v>2302</v>
      </c>
      <c r="D418" s="2" t="s">
        <v>1839</v>
      </c>
      <c r="E418" s="2" t="s">
        <v>1841</v>
      </c>
      <c r="F418" s="2">
        <v>1.405</v>
      </c>
      <c r="G418" s="2">
        <v>4.0664999999999996</v>
      </c>
      <c r="H418" s="2">
        <v>1.53321</v>
      </c>
    </row>
    <row r="419" spans="1:8" x14ac:dyDescent="0.2">
      <c r="A419" s="2" t="s">
        <v>1584</v>
      </c>
      <c r="B419" s="2" t="s">
        <v>3094</v>
      </c>
      <c r="C419" s="2" t="s">
        <v>2304</v>
      </c>
      <c r="D419" s="2" t="s">
        <v>1839</v>
      </c>
      <c r="E419" s="2" t="s">
        <v>1840</v>
      </c>
      <c r="F419" s="2">
        <v>0.442056</v>
      </c>
      <c r="G419" s="2">
        <v>1.2786</v>
      </c>
      <c r="H419" s="2">
        <v>1.53226</v>
      </c>
    </row>
    <row r="420" spans="1:8" x14ac:dyDescent="0.2">
      <c r="A420" s="2" t="s">
        <v>1500</v>
      </c>
      <c r="B420" s="2" t="s">
        <v>3015</v>
      </c>
      <c r="C420" s="2" t="s">
        <v>2647</v>
      </c>
      <c r="D420" s="2" t="s">
        <v>1839</v>
      </c>
      <c r="E420" s="2" t="s">
        <v>1841</v>
      </c>
      <c r="F420" s="2">
        <v>0.30820399999999998</v>
      </c>
      <c r="G420" s="2">
        <v>0.89049400000000001</v>
      </c>
      <c r="H420" s="2">
        <v>1.5307200000000001</v>
      </c>
    </row>
    <row r="421" spans="1:8" x14ac:dyDescent="0.2">
      <c r="A421" s="2" t="s">
        <v>109</v>
      </c>
      <c r="B421" s="2" t="s">
        <v>3394</v>
      </c>
      <c r="C421" s="2" t="s">
        <v>2656</v>
      </c>
      <c r="D421" s="2" t="s">
        <v>1839</v>
      </c>
      <c r="E421" s="2" t="s">
        <v>1841</v>
      </c>
      <c r="F421" s="2">
        <v>31.8279</v>
      </c>
      <c r="G421" s="2">
        <v>91.931899999999999</v>
      </c>
      <c r="H421" s="2">
        <v>1.53027</v>
      </c>
    </row>
    <row r="422" spans="1:8" x14ac:dyDescent="0.2">
      <c r="A422" s="2" t="s">
        <v>876</v>
      </c>
      <c r="B422" s="2" t="s">
        <v>3191</v>
      </c>
      <c r="C422" s="2" t="s">
        <v>2248</v>
      </c>
      <c r="D422" s="2" t="s">
        <v>1836</v>
      </c>
      <c r="E422" s="2" t="s">
        <v>1837</v>
      </c>
      <c r="F422" s="2">
        <v>3.1970399999999999</v>
      </c>
      <c r="G422" s="2">
        <v>9.2225699999999993</v>
      </c>
      <c r="H422" s="2">
        <v>1.52843</v>
      </c>
    </row>
    <row r="423" spans="1:8" x14ac:dyDescent="0.2">
      <c r="A423" s="2" t="s">
        <v>497</v>
      </c>
      <c r="B423" s="2" t="s">
        <v>3030</v>
      </c>
      <c r="C423" s="2" t="s">
        <v>2017</v>
      </c>
      <c r="D423" s="2" t="s">
        <v>1836</v>
      </c>
      <c r="E423" s="2" t="s">
        <v>1837</v>
      </c>
      <c r="F423" s="2">
        <v>0.79614300000000005</v>
      </c>
      <c r="G423" s="2">
        <v>2.2957999999999998</v>
      </c>
      <c r="H423" s="2">
        <v>1.5279</v>
      </c>
    </row>
    <row r="424" spans="1:8" x14ac:dyDescent="0.2">
      <c r="A424" s="2" t="s">
        <v>1684</v>
      </c>
      <c r="B424" s="2" t="s">
        <v>3041</v>
      </c>
      <c r="C424" s="2" t="s">
        <v>2850</v>
      </c>
      <c r="D424" s="2" t="s">
        <v>1839</v>
      </c>
      <c r="E424" s="2" t="s">
        <v>1841</v>
      </c>
      <c r="F424" s="2">
        <v>0.41499999999999998</v>
      </c>
      <c r="G424" s="2">
        <v>1.1960900000000001</v>
      </c>
      <c r="H424" s="2">
        <v>1.52715</v>
      </c>
    </row>
    <row r="425" spans="1:8" x14ac:dyDescent="0.2">
      <c r="A425" s="2" t="s">
        <v>136</v>
      </c>
      <c r="B425" s="2" t="s">
        <v>3037</v>
      </c>
      <c r="C425" s="2" t="s">
        <v>2232</v>
      </c>
      <c r="D425" s="2" t="s">
        <v>1839</v>
      </c>
      <c r="E425" s="2" t="s">
        <v>1840</v>
      </c>
      <c r="F425" s="2">
        <v>0.93967500000000004</v>
      </c>
      <c r="G425" s="2">
        <v>2.70459</v>
      </c>
      <c r="H425" s="2">
        <v>1.52518</v>
      </c>
    </row>
    <row r="426" spans="1:8" x14ac:dyDescent="0.2">
      <c r="A426" s="2" t="s">
        <v>24</v>
      </c>
      <c r="B426" s="2" t="s">
        <v>3015</v>
      </c>
      <c r="C426" s="2" t="s">
        <v>3015</v>
      </c>
      <c r="D426" s="2" t="s">
        <v>1839</v>
      </c>
      <c r="E426" s="2" t="s">
        <v>1840</v>
      </c>
      <c r="F426" s="2">
        <v>1.0167200000000001</v>
      </c>
      <c r="G426" s="2">
        <v>2.9250799999999999</v>
      </c>
      <c r="H426" s="2">
        <v>1.5245500000000001</v>
      </c>
    </row>
    <row r="427" spans="1:8" x14ac:dyDescent="0.2">
      <c r="A427" s="2" t="s">
        <v>590</v>
      </c>
      <c r="B427" s="2" t="s">
        <v>3015</v>
      </c>
      <c r="C427" s="2" t="s">
        <v>3015</v>
      </c>
      <c r="D427" s="2" t="s">
        <v>1836</v>
      </c>
      <c r="E427" s="2" t="s">
        <v>1837</v>
      </c>
      <c r="F427" s="2">
        <v>0.33421000000000001</v>
      </c>
      <c r="G427" s="2">
        <v>0.96025700000000003</v>
      </c>
      <c r="H427" s="2">
        <v>1.52267</v>
      </c>
    </row>
    <row r="428" spans="1:8" x14ac:dyDescent="0.2">
      <c r="A428" s="2" t="s">
        <v>98</v>
      </c>
      <c r="B428" s="2" t="s">
        <v>3045</v>
      </c>
      <c r="C428" s="2" t="s">
        <v>1875</v>
      </c>
      <c r="D428" s="2" t="s">
        <v>1839</v>
      </c>
      <c r="E428" s="2" t="s">
        <v>1841</v>
      </c>
      <c r="F428" s="2">
        <v>0.44071100000000002</v>
      </c>
      <c r="G428" s="2">
        <v>1.2642500000000001</v>
      </c>
      <c r="H428" s="2">
        <v>1.52037</v>
      </c>
    </row>
    <row r="429" spans="1:8" x14ac:dyDescent="0.2">
      <c r="A429" s="2" t="s">
        <v>782</v>
      </c>
      <c r="B429" s="2" t="s">
        <v>3208</v>
      </c>
      <c r="C429" s="2" t="s">
        <v>2199</v>
      </c>
      <c r="D429" s="2" t="s">
        <v>1836</v>
      </c>
      <c r="E429" s="2" t="s">
        <v>1837</v>
      </c>
      <c r="F429" s="2">
        <v>0.92591900000000005</v>
      </c>
      <c r="G429" s="2">
        <v>2.6560000000000001</v>
      </c>
      <c r="H429" s="2">
        <v>1.5203</v>
      </c>
    </row>
    <row r="430" spans="1:8" x14ac:dyDescent="0.2">
      <c r="A430" s="2" t="s">
        <v>648</v>
      </c>
      <c r="B430" s="2" t="s">
        <v>3015</v>
      </c>
      <c r="C430" s="2" t="s">
        <v>2145</v>
      </c>
      <c r="D430" s="2" t="s">
        <v>1839</v>
      </c>
      <c r="E430" s="2" t="s">
        <v>1841</v>
      </c>
      <c r="F430" s="2">
        <v>4.2740600000000004</v>
      </c>
      <c r="G430" s="2">
        <v>12.2417</v>
      </c>
      <c r="H430" s="2">
        <v>1.51813</v>
      </c>
    </row>
    <row r="431" spans="1:8" x14ac:dyDescent="0.2">
      <c r="A431" s="2" t="s">
        <v>270</v>
      </c>
      <c r="B431" s="2" t="s">
        <v>3030</v>
      </c>
      <c r="C431" s="2" t="s">
        <v>1847</v>
      </c>
      <c r="D431" s="2" t="s">
        <v>1839</v>
      </c>
      <c r="E431" s="2" t="s">
        <v>1841</v>
      </c>
      <c r="F431" s="2">
        <v>0.84190299999999996</v>
      </c>
      <c r="G431" s="2">
        <v>2.4096299999999999</v>
      </c>
      <c r="H431" s="2">
        <v>1.51708</v>
      </c>
    </row>
    <row r="432" spans="1:8" x14ac:dyDescent="0.2">
      <c r="A432" s="2" t="s">
        <v>1543</v>
      </c>
      <c r="B432" s="2" t="s">
        <v>3046</v>
      </c>
      <c r="C432" s="2" t="s">
        <v>2693</v>
      </c>
      <c r="D432" s="2" t="s">
        <v>1839</v>
      </c>
      <c r="E432" s="2" t="s">
        <v>1841</v>
      </c>
      <c r="F432" s="2">
        <v>0.66617300000000002</v>
      </c>
      <c r="G432" s="2">
        <v>1.901</v>
      </c>
      <c r="H432" s="2">
        <v>1.5127900000000001</v>
      </c>
    </row>
    <row r="433" spans="1:8" x14ac:dyDescent="0.2">
      <c r="A433" s="2" t="s">
        <v>268</v>
      </c>
      <c r="B433" s="2" t="s">
        <v>3104</v>
      </c>
      <c r="C433" s="2" t="s">
        <v>1969</v>
      </c>
      <c r="D433" s="2" t="s">
        <v>1836</v>
      </c>
      <c r="E433" s="2" t="s">
        <v>1837</v>
      </c>
      <c r="F433" s="2">
        <v>11.0479</v>
      </c>
      <c r="G433" s="2">
        <v>31.525700000000001</v>
      </c>
      <c r="H433" s="2">
        <v>1.5127600000000001</v>
      </c>
    </row>
    <row r="434" spans="1:8" x14ac:dyDescent="0.2">
      <c r="A434" s="2" t="s">
        <v>1157</v>
      </c>
      <c r="B434" s="2" t="s">
        <v>3286</v>
      </c>
      <c r="C434" s="2" t="s">
        <v>2391</v>
      </c>
      <c r="D434" s="2" t="s">
        <v>1839</v>
      </c>
      <c r="E434" s="2" t="s">
        <v>1841</v>
      </c>
      <c r="F434" s="2">
        <v>1.6700600000000001</v>
      </c>
      <c r="G434" s="2">
        <v>4.7575200000000004</v>
      </c>
      <c r="H434" s="2">
        <v>1.51031</v>
      </c>
    </row>
    <row r="435" spans="1:8" x14ac:dyDescent="0.2">
      <c r="A435" s="2" t="s">
        <v>895</v>
      </c>
      <c r="B435" s="2" t="s">
        <v>3047</v>
      </c>
      <c r="C435" s="2" t="s">
        <v>2258</v>
      </c>
      <c r="D435" s="2" t="s">
        <v>1836</v>
      </c>
      <c r="E435" s="2" t="s">
        <v>1838</v>
      </c>
      <c r="F435" s="2">
        <v>2.7345100000000002</v>
      </c>
      <c r="G435" s="2">
        <v>7.7873999999999999</v>
      </c>
      <c r="H435" s="2">
        <v>1.50986</v>
      </c>
    </row>
    <row r="436" spans="1:8" x14ac:dyDescent="0.2">
      <c r="A436" s="2" t="s">
        <v>1753</v>
      </c>
      <c r="B436" s="2" t="s">
        <v>3293</v>
      </c>
      <c r="C436" s="2" t="s">
        <v>2923</v>
      </c>
      <c r="D436" s="2" t="s">
        <v>1839</v>
      </c>
      <c r="E436" s="2" t="s">
        <v>1841</v>
      </c>
      <c r="F436" s="2">
        <v>1.4831399999999999</v>
      </c>
      <c r="G436" s="2">
        <v>4.2195600000000004</v>
      </c>
      <c r="H436" s="2">
        <v>1.50844</v>
      </c>
    </row>
    <row r="437" spans="1:8" x14ac:dyDescent="0.2">
      <c r="A437" s="2" t="s">
        <v>1804</v>
      </c>
      <c r="B437" s="2" t="s">
        <v>3015</v>
      </c>
      <c r="C437" s="2" t="s">
        <v>1847</v>
      </c>
      <c r="D437" s="2" t="s">
        <v>1839</v>
      </c>
      <c r="E437" s="2" t="s">
        <v>1840</v>
      </c>
      <c r="F437" s="2">
        <v>0.56521299999999997</v>
      </c>
      <c r="G437" s="2">
        <v>1.60707</v>
      </c>
      <c r="H437" s="2">
        <v>1.5075700000000001</v>
      </c>
    </row>
    <row r="438" spans="1:8" x14ac:dyDescent="0.2">
      <c r="A438" s="2" t="s">
        <v>1119</v>
      </c>
      <c r="B438" s="2" t="s">
        <v>3015</v>
      </c>
      <c r="C438" s="2" t="s">
        <v>3015</v>
      </c>
      <c r="D438" s="2" t="s">
        <v>1836</v>
      </c>
      <c r="E438" s="2" t="s">
        <v>1838</v>
      </c>
      <c r="F438" s="2">
        <v>0.67841700000000005</v>
      </c>
      <c r="G438" s="2">
        <v>1.9271</v>
      </c>
      <c r="H438" s="2">
        <v>1.5061899999999999</v>
      </c>
    </row>
    <row r="439" spans="1:8" x14ac:dyDescent="0.2">
      <c r="A439" s="2" t="s">
        <v>1695</v>
      </c>
      <c r="B439" s="2" t="s">
        <v>3015</v>
      </c>
      <c r="C439" s="2" t="s">
        <v>3016</v>
      </c>
      <c r="D439" s="2" t="s">
        <v>1839</v>
      </c>
      <c r="E439" s="2" t="s">
        <v>1841</v>
      </c>
      <c r="F439" s="2">
        <v>2.5118200000000002</v>
      </c>
      <c r="G439" s="2">
        <v>7.13354</v>
      </c>
      <c r="H439" s="2">
        <v>1.5058800000000001</v>
      </c>
    </row>
    <row r="440" spans="1:8" x14ac:dyDescent="0.2">
      <c r="A440" s="2" t="s">
        <v>1308</v>
      </c>
      <c r="B440" s="2" t="s">
        <v>3344</v>
      </c>
      <c r="C440" s="2" t="s">
        <v>2512</v>
      </c>
      <c r="D440" s="2" t="s">
        <v>1836</v>
      </c>
      <c r="E440" s="2" t="s">
        <v>1838</v>
      </c>
      <c r="F440" s="2">
        <v>0.49915300000000001</v>
      </c>
      <c r="G440" s="2">
        <v>1.4171499999999999</v>
      </c>
      <c r="H440" s="2">
        <v>1.5054399999999999</v>
      </c>
    </row>
    <row r="441" spans="1:8" x14ac:dyDescent="0.2">
      <c r="A441" s="2" t="s">
        <v>433</v>
      </c>
      <c r="B441" s="2" t="s">
        <v>3015</v>
      </c>
      <c r="C441" s="2" t="s">
        <v>2045</v>
      </c>
      <c r="D441" s="2" t="s">
        <v>1839</v>
      </c>
      <c r="E441" s="2" t="s">
        <v>1841</v>
      </c>
      <c r="F441" s="2">
        <v>2.0567600000000001</v>
      </c>
      <c r="G441" s="2">
        <v>5.8240299999999996</v>
      </c>
      <c r="H441" s="2">
        <v>1.5016499999999999</v>
      </c>
    </row>
    <row r="442" spans="1:8" x14ac:dyDescent="0.2">
      <c r="A442" s="2" t="s">
        <v>1515</v>
      </c>
      <c r="B442" s="2" t="s">
        <v>3015</v>
      </c>
      <c r="C442" s="2" t="s">
        <v>2667</v>
      </c>
      <c r="D442" s="2" t="s">
        <v>1839</v>
      </c>
      <c r="E442" s="2" t="s">
        <v>1841</v>
      </c>
      <c r="F442" s="2">
        <v>2.4035199999999999</v>
      </c>
      <c r="G442" s="2">
        <v>6.8044500000000001</v>
      </c>
      <c r="H442" s="2">
        <v>1.5013300000000001</v>
      </c>
    </row>
    <row r="443" spans="1:8" x14ac:dyDescent="0.2">
      <c r="A443" s="2" t="s">
        <v>1441</v>
      </c>
      <c r="B443" s="2" t="s">
        <v>3047</v>
      </c>
      <c r="C443" s="2" t="s">
        <v>2596</v>
      </c>
      <c r="D443" s="2" t="s">
        <v>1836</v>
      </c>
      <c r="E443" s="2" t="s">
        <v>1838</v>
      </c>
      <c r="F443" s="2">
        <v>1.2577100000000001</v>
      </c>
      <c r="G443" s="2">
        <v>3.5581200000000002</v>
      </c>
      <c r="H443" s="2">
        <v>1.5003200000000001</v>
      </c>
    </row>
    <row r="444" spans="1:8" x14ac:dyDescent="0.2">
      <c r="A444" s="2" t="s">
        <v>1714</v>
      </c>
      <c r="B444" s="2" t="s">
        <v>3038</v>
      </c>
      <c r="C444" s="2" t="s">
        <v>2877</v>
      </c>
      <c r="D444" s="2" t="s">
        <v>1839</v>
      </c>
      <c r="E444" s="2" t="s">
        <v>1841</v>
      </c>
      <c r="F444" s="2">
        <v>0.500023</v>
      </c>
      <c r="G444" s="2">
        <v>1.4145799999999999</v>
      </c>
      <c r="H444" s="2">
        <v>1.50031</v>
      </c>
    </row>
    <row r="445" spans="1:8" x14ac:dyDescent="0.2">
      <c r="A445" s="2" t="s">
        <v>482</v>
      </c>
      <c r="B445" s="2" t="s">
        <v>3015</v>
      </c>
      <c r="C445" s="2" t="s">
        <v>2069</v>
      </c>
      <c r="D445" s="2" t="s">
        <v>1839</v>
      </c>
      <c r="E445" s="2" t="s">
        <v>1841</v>
      </c>
      <c r="F445" s="2">
        <v>1.67394</v>
      </c>
      <c r="G445" s="2">
        <v>4.7269800000000002</v>
      </c>
      <c r="H445" s="2">
        <v>1.4976700000000001</v>
      </c>
    </row>
    <row r="446" spans="1:8" x14ac:dyDescent="0.2">
      <c r="A446" s="2" t="s">
        <v>752</v>
      </c>
      <c r="B446" s="2" t="s">
        <v>3203</v>
      </c>
      <c r="C446" s="2" t="s">
        <v>2187</v>
      </c>
      <c r="D446" s="2" t="s">
        <v>1836</v>
      </c>
      <c r="E446" s="2" t="s">
        <v>1837</v>
      </c>
      <c r="F446" s="2">
        <v>0.380523</v>
      </c>
      <c r="G446" s="2">
        <v>1.07369</v>
      </c>
      <c r="H446" s="2">
        <v>1.4965200000000001</v>
      </c>
    </row>
    <row r="447" spans="1:8" x14ac:dyDescent="0.2">
      <c r="A447" s="2" t="s">
        <v>1213</v>
      </c>
      <c r="B447" s="2" t="s">
        <v>3015</v>
      </c>
      <c r="C447" s="2" t="s">
        <v>2431</v>
      </c>
      <c r="D447" s="2" t="s">
        <v>1839</v>
      </c>
      <c r="E447" s="2" t="s">
        <v>1840</v>
      </c>
      <c r="F447" s="2">
        <v>5.5097300000000002</v>
      </c>
      <c r="G447" s="2">
        <v>15.5334</v>
      </c>
      <c r="H447" s="2">
        <v>1.49532</v>
      </c>
    </row>
    <row r="448" spans="1:8" x14ac:dyDescent="0.2">
      <c r="A448" s="2" t="s">
        <v>114</v>
      </c>
      <c r="B448" s="2" t="s">
        <v>3035</v>
      </c>
      <c r="C448" s="2" t="s">
        <v>1892</v>
      </c>
      <c r="D448" s="2" t="s">
        <v>1836</v>
      </c>
      <c r="E448" s="2" t="s">
        <v>1838</v>
      </c>
      <c r="F448" s="2">
        <v>21.9374</v>
      </c>
      <c r="G448" s="2">
        <v>61.789200000000001</v>
      </c>
      <c r="H448" s="2">
        <v>1.49396</v>
      </c>
    </row>
    <row r="449" spans="1:8" x14ac:dyDescent="0.2">
      <c r="A449" s="2" t="s">
        <v>427</v>
      </c>
      <c r="B449" s="2" t="s">
        <v>3015</v>
      </c>
      <c r="C449" s="2" t="s">
        <v>2477</v>
      </c>
      <c r="D449" s="2" t="s">
        <v>1839</v>
      </c>
      <c r="E449" s="2" t="s">
        <v>1841</v>
      </c>
      <c r="F449" s="2">
        <v>1.16214</v>
      </c>
      <c r="G449" s="2">
        <v>3.27102</v>
      </c>
      <c r="H449" s="2">
        <v>1.4929600000000001</v>
      </c>
    </row>
    <row r="450" spans="1:8" x14ac:dyDescent="0.2">
      <c r="A450" s="2" t="s">
        <v>697</v>
      </c>
      <c r="B450" s="2" t="s">
        <v>3058</v>
      </c>
      <c r="C450" s="2" t="s">
        <v>2167</v>
      </c>
      <c r="D450" s="2" t="s">
        <v>1836</v>
      </c>
      <c r="E450" s="2" t="s">
        <v>1837</v>
      </c>
      <c r="F450" s="2">
        <v>1.3626799999999999</v>
      </c>
      <c r="G450" s="2">
        <v>3.8300700000000001</v>
      </c>
      <c r="H450" s="2">
        <v>1.49092</v>
      </c>
    </row>
    <row r="451" spans="1:8" x14ac:dyDescent="0.2">
      <c r="A451" s="2" t="s">
        <v>14</v>
      </c>
      <c r="B451" s="2" t="s">
        <v>3015</v>
      </c>
      <c r="C451" s="2" t="s">
        <v>2362</v>
      </c>
      <c r="D451" s="2" t="s">
        <v>1839</v>
      </c>
      <c r="E451" s="2" t="s">
        <v>1841</v>
      </c>
      <c r="F451" s="2">
        <v>0.96564899999999998</v>
      </c>
      <c r="G451" s="2">
        <v>2.7130200000000002</v>
      </c>
      <c r="H451" s="2">
        <v>1.4903299999999999</v>
      </c>
    </row>
    <row r="452" spans="1:8" x14ac:dyDescent="0.2">
      <c r="A452" s="2" t="s">
        <v>697</v>
      </c>
      <c r="B452" s="2" t="s">
        <v>3058</v>
      </c>
      <c r="C452" s="2" t="s">
        <v>2167</v>
      </c>
      <c r="D452" s="2" t="s">
        <v>1839</v>
      </c>
      <c r="E452" s="2" t="s">
        <v>1841</v>
      </c>
      <c r="F452" s="2">
        <v>0.91968000000000005</v>
      </c>
      <c r="G452" s="2">
        <v>2.5836299999999999</v>
      </c>
      <c r="H452" s="2">
        <v>1.4902</v>
      </c>
    </row>
    <row r="453" spans="1:8" x14ac:dyDescent="0.2">
      <c r="A453" s="2" t="s">
        <v>1492</v>
      </c>
      <c r="B453" s="2" t="s">
        <v>3049</v>
      </c>
      <c r="C453" s="2" t="s">
        <v>1884</v>
      </c>
      <c r="D453" s="2" t="s">
        <v>1839</v>
      </c>
      <c r="E453" s="2" t="s">
        <v>1841</v>
      </c>
      <c r="F453" s="2">
        <v>0.37637599999999999</v>
      </c>
      <c r="G453" s="2">
        <v>1.05711</v>
      </c>
      <c r="H453" s="2">
        <v>1.4898800000000001</v>
      </c>
    </row>
    <row r="454" spans="1:8" x14ac:dyDescent="0.2">
      <c r="A454" s="2" t="s">
        <v>1663</v>
      </c>
      <c r="B454" s="2" t="s">
        <v>3015</v>
      </c>
      <c r="C454" s="2" t="s">
        <v>1914</v>
      </c>
      <c r="D454" s="2" t="s">
        <v>1839</v>
      </c>
      <c r="E454" s="2" t="s">
        <v>1841</v>
      </c>
      <c r="F454" s="2">
        <v>1.6556900000000001</v>
      </c>
      <c r="G454" s="2">
        <v>4.63774</v>
      </c>
      <c r="H454" s="2">
        <v>1.4859899999999999</v>
      </c>
    </row>
    <row r="455" spans="1:8" x14ac:dyDescent="0.2">
      <c r="A455" s="2" t="s">
        <v>1264</v>
      </c>
      <c r="B455" s="2" t="s">
        <v>3015</v>
      </c>
      <c r="C455" s="2" t="s">
        <v>2748</v>
      </c>
      <c r="D455" s="2" t="s">
        <v>1839</v>
      </c>
      <c r="E455" s="2" t="s">
        <v>1841</v>
      </c>
      <c r="F455" s="2">
        <v>1.1138399999999999</v>
      </c>
      <c r="G455" s="2">
        <v>3.1180599999999998</v>
      </c>
      <c r="H455" s="2">
        <v>1.4851099999999999</v>
      </c>
    </row>
    <row r="456" spans="1:8" x14ac:dyDescent="0.2">
      <c r="A456" s="2" t="s">
        <v>104</v>
      </c>
      <c r="B456" s="2" t="s">
        <v>3015</v>
      </c>
      <c r="C456" s="2" t="s">
        <v>1847</v>
      </c>
      <c r="D456" s="2" t="s">
        <v>1836</v>
      </c>
      <c r="E456" s="2" t="s">
        <v>1838</v>
      </c>
      <c r="F456" s="2">
        <v>0.459146</v>
      </c>
      <c r="G456" s="2">
        <v>1.28393</v>
      </c>
      <c r="H456" s="2">
        <v>1.4835400000000001</v>
      </c>
    </row>
    <row r="457" spans="1:8" x14ac:dyDescent="0.2">
      <c r="A457" s="2" t="s">
        <v>1117</v>
      </c>
      <c r="B457" s="2" t="s">
        <v>3486</v>
      </c>
      <c r="C457" s="2" t="s">
        <v>2976</v>
      </c>
      <c r="D457" s="2" t="s">
        <v>1839</v>
      </c>
      <c r="E457" s="2" t="s">
        <v>1841</v>
      </c>
      <c r="F457" s="2">
        <v>1.8320399999999999</v>
      </c>
      <c r="G457" s="2">
        <v>5.1180399999999997</v>
      </c>
      <c r="H457" s="2">
        <v>1.48214</v>
      </c>
    </row>
    <row r="458" spans="1:8" x14ac:dyDescent="0.2">
      <c r="A458" s="2" t="s">
        <v>1711</v>
      </c>
      <c r="B458" s="2" t="s">
        <v>3461</v>
      </c>
      <c r="C458" s="2" t="s">
        <v>3015</v>
      </c>
      <c r="D458" s="2" t="s">
        <v>1839</v>
      </c>
      <c r="E458" s="2" t="s">
        <v>1841</v>
      </c>
      <c r="F458" s="2">
        <v>0.53763899999999998</v>
      </c>
      <c r="G458" s="2">
        <v>1.50166</v>
      </c>
      <c r="H458" s="2">
        <v>1.4818499999999999</v>
      </c>
    </row>
    <row r="459" spans="1:8" x14ac:dyDescent="0.2">
      <c r="A459" s="2" t="s">
        <v>238</v>
      </c>
      <c r="B459" s="2" t="s">
        <v>3095</v>
      </c>
      <c r="C459" s="2" t="s">
        <v>1956</v>
      </c>
      <c r="D459" s="2" t="s">
        <v>1836</v>
      </c>
      <c r="E459" s="2" t="s">
        <v>1837</v>
      </c>
      <c r="F459" s="2">
        <v>0.37081500000000001</v>
      </c>
      <c r="G459" s="2">
        <v>1.0354399999999999</v>
      </c>
      <c r="H459" s="2">
        <v>1.4814700000000001</v>
      </c>
    </row>
    <row r="460" spans="1:8" x14ac:dyDescent="0.2">
      <c r="A460" s="2" t="s">
        <v>585</v>
      </c>
      <c r="B460" s="2" t="s">
        <v>3343</v>
      </c>
      <c r="C460" s="2" t="s">
        <v>1943</v>
      </c>
      <c r="D460" s="2" t="s">
        <v>1836</v>
      </c>
      <c r="E460" s="2" t="s">
        <v>1838</v>
      </c>
      <c r="F460" s="2">
        <v>5.5301799999999997</v>
      </c>
      <c r="G460" s="2">
        <v>15.433</v>
      </c>
      <c r="H460" s="2">
        <v>1.48062</v>
      </c>
    </row>
    <row r="461" spans="1:8" x14ac:dyDescent="0.2">
      <c r="A461" s="2" t="s">
        <v>73</v>
      </c>
      <c r="B461" s="2" t="s">
        <v>3015</v>
      </c>
      <c r="C461" s="2" t="s">
        <v>1880</v>
      </c>
      <c r="D461" s="2" t="s">
        <v>1839</v>
      </c>
      <c r="E461" s="2" t="s">
        <v>1841</v>
      </c>
      <c r="F461" s="2">
        <v>1.0872599999999999</v>
      </c>
      <c r="G461" s="2">
        <v>3.03199</v>
      </c>
      <c r="H461" s="2">
        <v>1.4795700000000001</v>
      </c>
    </row>
    <row r="462" spans="1:8" x14ac:dyDescent="0.2">
      <c r="A462" s="2" t="s">
        <v>567</v>
      </c>
      <c r="B462" s="2" t="s">
        <v>3162</v>
      </c>
      <c r="C462" s="2" t="s">
        <v>2110</v>
      </c>
      <c r="D462" s="2" t="s">
        <v>1839</v>
      </c>
      <c r="E462" s="2" t="s">
        <v>1841</v>
      </c>
      <c r="F462" s="2">
        <v>5.0034799999999997</v>
      </c>
      <c r="G462" s="2">
        <v>13.9476</v>
      </c>
      <c r="H462" s="2">
        <v>1.4790099999999999</v>
      </c>
    </row>
    <row r="463" spans="1:8" x14ac:dyDescent="0.2">
      <c r="A463" s="2" t="s">
        <v>1419</v>
      </c>
      <c r="B463" s="2" t="s">
        <v>3200</v>
      </c>
      <c r="C463" s="2" t="s">
        <v>2812</v>
      </c>
      <c r="D463" s="2" t="s">
        <v>1839</v>
      </c>
      <c r="E463" s="2" t="s">
        <v>1841</v>
      </c>
      <c r="F463" s="2">
        <v>0.420429</v>
      </c>
      <c r="G463" s="2">
        <v>1.1713199999999999</v>
      </c>
      <c r="H463" s="2">
        <v>1.47821</v>
      </c>
    </row>
    <row r="464" spans="1:8" x14ac:dyDescent="0.2">
      <c r="A464" s="2" t="s">
        <v>289</v>
      </c>
      <c r="B464" s="2" t="s">
        <v>3258</v>
      </c>
      <c r="C464" s="2" t="s">
        <v>2718</v>
      </c>
      <c r="D464" s="2" t="s">
        <v>1839</v>
      </c>
      <c r="E464" s="2" t="s">
        <v>1841</v>
      </c>
      <c r="F464" s="2">
        <v>2.0773899999999998</v>
      </c>
      <c r="G464" s="2">
        <v>5.76708</v>
      </c>
      <c r="H464" s="2">
        <v>1.47306</v>
      </c>
    </row>
    <row r="465" spans="1:8" x14ac:dyDescent="0.2">
      <c r="A465" s="2" t="s">
        <v>1214</v>
      </c>
      <c r="B465" s="2" t="s">
        <v>3015</v>
      </c>
      <c r="C465" s="2" t="s">
        <v>2432</v>
      </c>
      <c r="D465" s="2" t="s">
        <v>1836</v>
      </c>
      <c r="E465" s="2" t="s">
        <v>1838</v>
      </c>
      <c r="F465" s="2">
        <v>0.56082100000000001</v>
      </c>
      <c r="G465" s="2">
        <v>1.55565</v>
      </c>
      <c r="H465" s="2">
        <v>1.4719</v>
      </c>
    </row>
    <row r="466" spans="1:8" x14ac:dyDescent="0.2">
      <c r="A466" s="2" t="s">
        <v>1752</v>
      </c>
      <c r="B466" s="2" t="s">
        <v>3026</v>
      </c>
      <c r="C466" s="2" t="s">
        <v>2921</v>
      </c>
      <c r="D466" s="2" t="s">
        <v>1839</v>
      </c>
      <c r="E466" s="2" t="s">
        <v>1841</v>
      </c>
      <c r="F466" s="2">
        <v>0.33645799999999998</v>
      </c>
      <c r="G466" s="2">
        <v>0.93263399999999996</v>
      </c>
      <c r="H466" s="2">
        <v>1.47089</v>
      </c>
    </row>
    <row r="467" spans="1:8" x14ac:dyDescent="0.2">
      <c r="A467" s="2" t="s">
        <v>1805</v>
      </c>
      <c r="B467" s="2" t="s">
        <v>3031</v>
      </c>
      <c r="C467" s="2" t="e">
        <v>#NAME?</v>
      </c>
      <c r="D467" s="2" t="s">
        <v>1839</v>
      </c>
      <c r="E467" s="2" t="s">
        <v>1840</v>
      </c>
      <c r="F467" s="2">
        <v>0.50095699999999999</v>
      </c>
      <c r="G467" s="2">
        <v>1.38585</v>
      </c>
      <c r="H467" s="2">
        <v>1.46801</v>
      </c>
    </row>
    <row r="468" spans="1:8" x14ac:dyDescent="0.2">
      <c r="A468" s="2" t="s">
        <v>658</v>
      </c>
      <c r="B468" s="2" t="s">
        <v>3015</v>
      </c>
      <c r="C468" s="2" t="s">
        <v>2151</v>
      </c>
      <c r="D468" s="2" t="s">
        <v>1836</v>
      </c>
      <c r="E468" s="2" t="s">
        <v>1838</v>
      </c>
      <c r="F468" s="2">
        <v>1.1596200000000001</v>
      </c>
      <c r="G468" s="2">
        <v>3.2066599999999998</v>
      </c>
      <c r="H468" s="2">
        <v>1.4674199999999999</v>
      </c>
    </row>
    <row r="469" spans="1:8" x14ac:dyDescent="0.2">
      <c r="A469" s="2" t="s">
        <v>1202</v>
      </c>
      <c r="B469" s="2" t="s">
        <v>3015</v>
      </c>
      <c r="C469" s="2" t="s">
        <v>3016</v>
      </c>
      <c r="D469" s="2" t="s">
        <v>1839</v>
      </c>
      <c r="E469" s="2" t="s">
        <v>1841</v>
      </c>
      <c r="F469" s="2">
        <v>0.68654099999999996</v>
      </c>
      <c r="G469" s="2">
        <v>1.8973</v>
      </c>
      <c r="H469" s="2">
        <v>1.4665299999999999</v>
      </c>
    </row>
    <row r="470" spans="1:8" x14ac:dyDescent="0.2">
      <c r="A470" s="2" t="s">
        <v>1668</v>
      </c>
      <c r="B470" s="2" t="s">
        <v>3490</v>
      </c>
      <c r="C470" s="2" t="s">
        <v>2998</v>
      </c>
      <c r="D470" s="2" t="s">
        <v>1839</v>
      </c>
      <c r="E470" s="2" t="s">
        <v>1840</v>
      </c>
      <c r="F470" s="2">
        <v>1.29216</v>
      </c>
      <c r="G470" s="2">
        <v>3.5703499999999999</v>
      </c>
      <c r="H470" s="2">
        <v>1.46628</v>
      </c>
    </row>
    <row r="471" spans="1:8" x14ac:dyDescent="0.2">
      <c r="A471" s="2" t="s">
        <v>229</v>
      </c>
      <c r="B471" s="2" t="s">
        <v>3038</v>
      </c>
      <c r="C471" s="2" t="s">
        <v>1933</v>
      </c>
      <c r="D471" s="2" t="s">
        <v>1839</v>
      </c>
      <c r="E471" s="2" t="s">
        <v>1840</v>
      </c>
      <c r="F471" s="2">
        <v>2.6414900000000001</v>
      </c>
      <c r="G471" s="2">
        <v>7.2930200000000003</v>
      </c>
      <c r="H471" s="2">
        <v>1.4651700000000001</v>
      </c>
    </row>
    <row r="472" spans="1:8" x14ac:dyDescent="0.2">
      <c r="A472" s="2" t="s">
        <v>822</v>
      </c>
      <c r="B472" s="2" t="s">
        <v>3217</v>
      </c>
      <c r="C472" s="2" t="s">
        <v>2217</v>
      </c>
      <c r="D472" s="2" t="s">
        <v>1836</v>
      </c>
      <c r="E472" s="2" t="s">
        <v>1837</v>
      </c>
      <c r="F472" s="2">
        <v>3.6550099999999999</v>
      </c>
      <c r="G472" s="2">
        <v>10.0908</v>
      </c>
      <c r="H472" s="2">
        <v>1.4651000000000001</v>
      </c>
    </row>
    <row r="473" spans="1:8" x14ac:dyDescent="0.2">
      <c r="A473" s="2" t="s">
        <v>199</v>
      </c>
      <c r="B473" s="2" t="s">
        <v>3015</v>
      </c>
      <c r="C473" s="2" t="s">
        <v>3015</v>
      </c>
      <c r="D473" s="2" t="s">
        <v>1836</v>
      </c>
      <c r="E473" s="2" t="s">
        <v>1837</v>
      </c>
      <c r="F473" s="2">
        <v>2.2997200000000002</v>
      </c>
      <c r="G473" s="2">
        <v>6.3407099999999996</v>
      </c>
      <c r="H473" s="2">
        <v>1.46319</v>
      </c>
    </row>
    <row r="474" spans="1:8" x14ac:dyDescent="0.2">
      <c r="A474" s="2" t="s">
        <v>544</v>
      </c>
      <c r="B474" s="2" t="s">
        <v>3063</v>
      </c>
      <c r="C474" s="2" t="s">
        <v>2794</v>
      </c>
      <c r="D474" s="2" t="s">
        <v>1839</v>
      </c>
      <c r="E474" s="2" t="s">
        <v>1841</v>
      </c>
      <c r="F474" s="2">
        <v>2.6823899999999998</v>
      </c>
      <c r="G474" s="2">
        <v>7.3887799999999997</v>
      </c>
      <c r="H474" s="2">
        <v>1.4618199999999999</v>
      </c>
    </row>
    <row r="475" spans="1:8" x14ac:dyDescent="0.2">
      <c r="A475" s="2" t="s">
        <v>947</v>
      </c>
      <c r="B475" s="2" t="s">
        <v>3015</v>
      </c>
      <c r="C475" s="2" t="s">
        <v>3015</v>
      </c>
      <c r="D475" s="2" t="s">
        <v>1839</v>
      </c>
      <c r="E475" s="2" t="s">
        <v>1841</v>
      </c>
      <c r="F475" s="2">
        <v>2.4474</v>
      </c>
      <c r="G475" s="2">
        <v>6.7236500000000001</v>
      </c>
      <c r="H475" s="2">
        <v>1.458</v>
      </c>
    </row>
    <row r="476" spans="1:8" x14ac:dyDescent="0.2">
      <c r="A476" s="2" t="s">
        <v>1770</v>
      </c>
      <c r="B476" s="2" t="s">
        <v>3037</v>
      </c>
      <c r="C476" s="2" t="s">
        <v>2216</v>
      </c>
      <c r="D476" s="2" t="s">
        <v>1839</v>
      </c>
      <c r="E476" s="2" t="s">
        <v>1841</v>
      </c>
      <c r="F476" s="2">
        <v>0.37495400000000001</v>
      </c>
      <c r="G476" s="2">
        <v>1.02996</v>
      </c>
      <c r="H476" s="2">
        <v>1.4578</v>
      </c>
    </row>
    <row r="477" spans="1:8" x14ac:dyDescent="0.2">
      <c r="A477" s="2" t="s">
        <v>303</v>
      </c>
      <c r="B477" s="2" t="s">
        <v>3015</v>
      </c>
      <c r="C477" s="2" t="s">
        <v>1984</v>
      </c>
      <c r="D477" s="2" t="s">
        <v>1836</v>
      </c>
      <c r="E477" s="2" t="s">
        <v>1837</v>
      </c>
      <c r="F477" s="2">
        <v>2.23847</v>
      </c>
      <c r="G477" s="2">
        <v>6.1475999999999997</v>
      </c>
      <c r="H477" s="2">
        <v>1.4575100000000001</v>
      </c>
    </row>
    <row r="478" spans="1:8" x14ac:dyDescent="0.2">
      <c r="A478" s="2" t="s">
        <v>289</v>
      </c>
      <c r="B478" s="2" t="s">
        <v>3258</v>
      </c>
      <c r="C478" s="2" t="s">
        <v>2718</v>
      </c>
      <c r="D478" s="2" t="s">
        <v>1839</v>
      </c>
      <c r="E478" s="2" t="s">
        <v>1840</v>
      </c>
      <c r="F478" s="2">
        <v>2.0773899999999998</v>
      </c>
      <c r="G478" s="2">
        <v>5.7048100000000002</v>
      </c>
      <c r="H478" s="2">
        <v>1.4574</v>
      </c>
    </row>
    <row r="479" spans="1:8" x14ac:dyDescent="0.2">
      <c r="A479" s="2" t="s">
        <v>1628</v>
      </c>
      <c r="B479" s="2" t="s">
        <v>3436</v>
      </c>
      <c r="C479" s="2" t="s">
        <v>3015</v>
      </c>
      <c r="D479" s="2" t="s">
        <v>1839</v>
      </c>
      <c r="E479" s="2" t="s">
        <v>1841</v>
      </c>
      <c r="F479" s="2">
        <v>0.68365500000000001</v>
      </c>
      <c r="G479" s="2">
        <v>1.8754900000000001</v>
      </c>
      <c r="H479" s="2">
        <v>1.4559299999999999</v>
      </c>
    </row>
    <row r="480" spans="1:8" x14ac:dyDescent="0.2">
      <c r="A480" s="2" t="s">
        <v>392</v>
      </c>
      <c r="B480" s="2" t="s">
        <v>3015</v>
      </c>
      <c r="C480" s="2" t="s">
        <v>2989</v>
      </c>
      <c r="D480" s="2" t="s">
        <v>1839</v>
      </c>
      <c r="E480" s="2" t="s">
        <v>1840</v>
      </c>
      <c r="F480" s="2">
        <v>0.30208800000000002</v>
      </c>
      <c r="G480" s="2">
        <v>0.82847899999999997</v>
      </c>
      <c r="H480" s="2">
        <v>1.4555</v>
      </c>
    </row>
    <row r="481" spans="1:8" x14ac:dyDescent="0.2">
      <c r="A481" s="2" t="s">
        <v>1574</v>
      </c>
      <c r="B481" s="2" t="s">
        <v>3015</v>
      </c>
      <c r="C481" s="2" t="s">
        <v>2731</v>
      </c>
      <c r="D481" s="2" t="s">
        <v>1839</v>
      </c>
      <c r="E481" s="2" t="s">
        <v>1841</v>
      </c>
      <c r="F481" s="2">
        <v>1.40825</v>
      </c>
      <c r="G481" s="2">
        <v>3.8596699999999999</v>
      </c>
      <c r="H481" s="2">
        <v>1.45458</v>
      </c>
    </row>
    <row r="482" spans="1:8" x14ac:dyDescent="0.2">
      <c r="A482" s="2" t="s">
        <v>1520</v>
      </c>
      <c r="B482" s="2" t="s">
        <v>3015</v>
      </c>
      <c r="C482" s="2" t="s">
        <v>2673</v>
      </c>
      <c r="D482" s="2" t="s">
        <v>1839</v>
      </c>
      <c r="E482" s="2" t="s">
        <v>1840</v>
      </c>
      <c r="F482" s="2">
        <v>0.39066600000000001</v>
      </c>
      <c r="G482" s="2">
        <v>1.06982</v>
      </c>
      <c r="H482" s="2">
        <v>1.45336</v>
      </c>
    </row>
    <row r="483" spans="1:8" x14ac:dyDescent="0.2">
      <c r="A483" s="2" t="s">
        <v>1689</v>
      </c>
      <c r="B483" s="2" t="s">
        <v>3015</v>
      </c>
      <c r="C483" s="2" t="s">
        <v>2858</v>
      </c>
      <c r="D483" s="2" t="s">
        <v>1839</v>
      </c>
      <c r="E483" s="2" t="s">
        <v>1841</v>
      </c>
      <c r="F483" s="2">
        <v>0.40572999999999998</v>
      </c>
      <c r="G483" s="2">
        <v>1.1085100000000001</v>
      </c>
      <c r="H483" s="2">
        <v>1.4500299999999999</v>
      </c>
    </row>
    <row r="484" spans="1:8" x14ac:dyDescent="0.2">
      <c r="A484" s="2" t="s">
        <v>186</v>
      </c>
      <c r="B484" s="2" t="s">
        <v>3075</v>
      </c>
      <c r="C484" s="2" t="s">
        <v>1931</v>
      </c>
      <c r="D484" s="2" t="s">
        <v>1836</v>
      </c>
      <c r="E484" s="2" t="s">
        <v>1837</v>
      </c>
      <c r="F484" s="2">
        <v>0.72375800000000001</v>
      </c>
      <c r="G484" s="2">
        <v>1.9766300000000001</v>
      </c>
      <c r="H484" s="2">
        <v>1.44946</v>
      </c>
    </row>
    <row r="485" spans="1:8" x14ac:dyDescent="0.2">
      <c r="A485" s="2" t="s">
        <v>148</v>
      </c>
      <c r="B485" s="2" t="s">
        <v>3026</v>
      </c>
      <c r="C485" s="2" t="s">
        <v>1913</v>
      </c>
      <c r="D485" s="2" t="s">
        <v>1836</v>
      </c>
      <c r="E485" s="2" t="s">
        <v>1837</v>
      </c>
      <c r="F485" s="2">
        <v>0.41171799999999997</v>
      </c>
      <c r="G485" s="2">
        <v>1.12395</v>
      </c>
      <c r="H485" s="2">
        <v>1.4488399999999999</v>
      </c>
    </row>
    <row r="486" spans="1:8" x14ac:dyDescent="0.2">
      <c r="A486" s="2" t="s">
        <v>847</v>
      </c>
      <c r="B486" s="2" t="s">
        <v>3045</v>
      </c>
      <c r="C486" s="2" t="s">
        <v>1986</v>
      </c>
      <c r="D486" s="2" t="s">
        <v>1839</v>
      </c>
      <c r="E486" s="2" t="s">
        <v>1840</v>
      </c>
      <c r="F486" s="2">
        <v>3.3915799999999998</v>
      </c>
      <c r="G486" s="2">
        <v>9.2575500000000002</v>
      </c>
      <c r="H486" s="2">
        <v>1.4486699999999999</v>
      </c>
    </row>
    <row r="487" spans="1:8" x14ac:dyDescent="0.2">
      <c r="A487" s="2" t="s">
        <v>663</v>
      </c>
      <c r="B487" s="2" t="s">
        <v>3186</v>
      </c>
      <c r="C487" s="2" t="s">
        <v>2153</v>
      </c>
      <c r="D487" s="2" t="s">
        <v>1839</v>
      </c>
      <c r="E487" s="2" t="s">
        <v>1841</v>
      </c>
      <c r="F487" s="2">
        <v>1.1287400000000001</v>
      </c>
      <c r="G487" s="2">
        <v>3.07979</v>
      </c>
      <c r="H487" s="2">
        <v>1.4481200000000001</v>
      </c>
    </row>
    <row r="488" spans="1:8" x14ac:dyDescent="0.2">
      <c r="A488" s="2" t="s">
        <v>1242</v>
      </c>
      <c r="B488" s="2" t="s">
        <v>3300</v>
      </c>
      <c r="C488" s="2" t="s">
        <v>2450</v>
      </c>
      <c r="D488" s="2" t="s">
        <v>1839</v>
      </c>
      <c r="E488" s="2" t="s">
        <v>1840</v>
      </c>
      <c r="F488" s="2">
        <v>0.81349899999999997</v>
      </c>
      <c r="G488" s="2">
        <v>2.2177099999999998</v>
      </c>
      <c r="H488" s="2">
        <v>1.44686</v>
      </c>
    </row>
    <row r="489" spans="1:8" x14ac:dyDescent="0.2">
      <c r="A489" s="2" t="s">
        <v>413</v>
      </c>
      <c r="B489" s="2" t="s">
        <v>3050</v>
      </c>
      <c r="C489" s="2" t="s">
        <v>2033</v>
      </c>
      <c r="D489" s="2" t="s">
        <v>1839</v>
      </c>
      <c r="E489" s="2" t="s">
        <v>1840</v>
      </c>
      <c r="F489" s="2">
        <v>2.1719300000000001</v>
      </c>
      <c r="G489" s="2">
        <v>5.9208299999999996</v>
      </c>
      <c r="H489" s="2">
        <v>1.44682</v>
      </c>
    </row>
    <row r="490" spans="1:8" x14ac:dyDescent="0.2">
      <c r="A490" s="2" t="s">
        <v>568</v>
      </c>
      <c r="B490" s="2" t="s">
        <v>3163</v>
      </c>
      <c r="C490" s="2" t="s">
        <v>2111</v>
      </c>
      <c r="D490" s="2" t="s">
        <v>1839</v>
      </c>
      <c r="E490" s="2" t="s">
        <v>1841</v>
      </c>
      <c r="F490" s="2">
        <v>11.287599999999999</v>
      </c>
      <c r="G490" s="2">
        <v>30.769400000000001</v>
      </c>
      <c r="H490" s="2">
        <v>1.44675</v>
      </c>
    </row>
    <row r="491" spans="1:8" x14ac:dyDescent="0.2">
      <c r="A491" s="2" t="s">
        <v>1363</v>
      </c>
      <c r="B491" s="2" t="s">
        <v>3201</v>
      </c>
      <c r="C491" s="2" t="s">
        <v>2860</v>
      </c>
      <c r="D491" s="2" t="s">
        <v>1839</v>
      </c>
      <c r="E491" s="2" t="s">
        <v>1840</v>
      </c>
      <c r="F491" s="2">
        <v>1.9721599999999999</v>
      </c>
      <c r="G491" s="2">
        <v>5.3752800000000001</v>
      </c>
      <c r="H491" s="2">
        <v>1.4465600000000001</v>
      </c>
    </row>
    <row r="492" spans="1:8" x14ac:dyDescent="0.2">
      <c r="A492" s="2" t="s">
        <v>1043</v>
      </c>
      <c r="B492" s="2" t="s">
        <v>3015</v>
      </c>
      <c r="C492" s="2" t="s">
        <v>3016</v>
      </c>
      <c r="D492" s="2" t="s">
        <v>1836</v>
      </c>
      <c r="E492" s="2" t="s">
        <v>1837</v>
      </c>
      <c r="F492" s="2">
        <v>0.68766799999999995</v>
      </c>
      <c r="G492" s="2">
        <v>1.8741699999999999</v>
      </c>
      <c r="H492" s="2">
        <v>1.4464699999999999</v>
      </c>
    </row>
    <row r="493" spans="1:8" x14ac:dyDescent="0.2">
      <c r="A493" s="2" t="s">
        <v>817</v>
      </c>
      <c r="B493" s="2" t="s">
        <v>3015</v>
      </c>
      <c r="C493" s="2" t="s">
        <v>2575</v>
      </c>
      <c r="D493" s="2" t="s">
        <v>1839</v>
      </c>
      <c r="E493" s="2" t="s">
        <v>1841</v>
      </c>
      <c r="F493" s="2">
        <v>1.07145</v>
      </c>
      <c r="G493" s="2">
        <v>2.9190200000000002</v>
      </c>
      <c r="H493" s="2">
        <v>1.4459200000000001</v>
      </c>
    </row>
    <row r="494" spans="1:8" x14ac:dyDescent="0.2">
      <c r="A494" s="2" t="s">
        <v>519</v>
      </c>
      <c r="B494" s="2" t="s">
        <v>3433</v>
      </c>
      <c r="C494" s="2" t="s">
        <v>2784</v>
      </c>
      <c r="D494" s="2" t="s">
        <v>1839</v>
      </c>
      <c r="E494" s="2" t="s">
        <v>1841</v>
      </c>
      <c r="F494" s="2">
        <v>0.319575</v>
      </c>
      <c r="G494" s="2">
        <v>0.86953499999999995</v>
      </c>
      <c r="H494" s="2">
        <v>1.4440900000000001</v>
      </c>
    </row>
    <row r="495" spans="1:8" x14ac:dyDescent="0.2">
      <c r="A495" s="2" t="s">
        <v>1593</v>
      </c>
      <c r="B495" s="2" t="s">
        <v>3015</v>
      </c>
      <c r="C495" s="2" t="s">
        <v>2752</v>
      </c>
      <c r="D495" s="2" t="s">
        <v>1839</v>
      </c>
      <c r="E495" s="2" t="s">
        <v>1841</v>
      </c>
      <c r="F495" s="2">
        <v>0.31079000000000001</v>
      </c>
      <c r="G495" s="2">
        <v>0.84506700000000001</v>
      </c>
      <c r="H495" s="2">
        <v>1.44313</v>
      </c>
    </row>
    <row r="496" spans="1:8" x14ac:dyDescent="0.2">
      <c r="A496" s="2" t="s">
        <v>134</v>
      </c>
      <c r="B496" s="2" t="s">
        <v>3292</v>
      </c>
      <c r="C496" s="2" t="s">
        <v>2406</v>
      </c>
      <c r="D496" s="2" t="s">
        <v>1839</v>
      </c>
      <c r="E496" s="2" t="s">
        <v>1841</v>
      </c>
      <c r="F496" s="2">
        <v>0.831847</v>
      </c>
      <c r="G496" s="2">
        <v>2.2604799999999998</v>
      </c>
      <c r="H496" s="2">
        <v>1.44224</v>
      </c>
    </row>
    <row r="497" spans="1:8" x14ac:dyDescent="0.2">
      <c r="A497" s="2" t="s">
        <v>722</v>
      </c>
      <c r="B497" s="2" t="s">
        <v>3015</v>
      </c>
      <c r="C497" s="2" t="s">
        <v>3015</v>
      </c>
      <c r="D497" s="2" t="s">
        <v>1839</v>
      </c>
      <c r="E497" s="2" t="s">
        <v>1840</v>
      </c>
      <c r="F497" s="2">
        <v>1.2039800000000001</v>
      </c>
      <c r="G497" s="2">
        <v>3.2697400000000001</v>
      </c>
      <c r="H497" s="2">
        <v>1.44136</v>
      </c>
    </row>
    <row r="498" spans="1:8" x14ac:dyDescent="0.2">
      <c r="A498" s="2" t="s">
        <v>318</v>
      </c>
      <c r="B498" s="2" t="s">
        <v>3037</v>
      </c>
      <c r="C498" s="2" t="s">
        <v>1993</v>
      </c>
      <c r="D498" s="2" t="s">
        <v>1836</v>
      </c>
      <c r="E498" s="2" t="s">
        <v>1838</v>
      </c>
      <c r="F498" s="2">
        <v>1.56128</v>
      </c>
      <c r="G498" s="2">
        <v>4.2362599999999997</v>
      </c>
      <c r="H498" s="2">
        <v>1.4400599999999999</v>
      </c>
    </row>
    <row r="499" spans="1:8" x14ac:dyDescent="0.2">
      <c r="A499" s="2" t="s">
        <v>1785</v>
      </c>
      <c r="B499" s="2" t="s">
        <v>3299</v>
      </c>
      <c r="C499" s="2" t="s">
        <v>2962</v>
      </c>
      <c r="D499" s="2" t="s">
        <v>1839</v>
      </c>
      <c r="E499" s="2" t="s">
        <v>1841</v>
      </c>
      <c r="F499" s="2">
        <v>0.299373</v>
      </c>
      <c r="G499" s="2">
        <v>0.81180200000000002</v>
      </c>
      <c r="H499" s="2">
        <v>1.43919</v>
      </c>
    </row>
    <row r="500" spans="1:8" x14ac:dyDescent="0.2">
      <c r="A500" s="2" t="s">
        <v>445</v>
      </c>
      <c r="B500" s="2" t="s">
        <v>3141</v>
      </c>
      <c r="C500" s="2" t="s">
        <v>2049</v>
      </c>
      <c r="D500" s="2" t="s">
        <v>1836</v>
      </c>
      <c r="E500" s="2" t="s">
        <v>1837</v>
      </c>
      <c r="F500" s="2">
        <v>4.5028600000000001</v>
      </c>
      <c r="G500" s="2">
        <v>12.1997</v>
      </c>
      <c r="H500" s="2">
        <v>1.4379299999999999</v>
      </c>
    </row>
    <row r="501" spans="1:8" x14ac:dyDescent="0.2">
      <c r="A501" s="2" t="s">
        <v>552</v>
      </c>
      <c r="B501" s="2" t="s">
        <v>3015</v>
      </c>
      <c r="C501" s="2" t="s">
        <v>2800</v>
      </c>
      <c r="D501" s="2" t="s">
        <v>1839</v>
      </c>
      <c r="E501" s="2" t="s">
        <v>1841</v>
      </c>
      <c r="F501" s="2">
        <v>0.52746800000000005</v>
      </c>
      <c r="G501" s="2">
        <v>1.4289700000000001</v>
      </c>
      <c r="H501" s="2">
        <v>1.4378200000000001</v>
      </c>
    </row>
    <row r="502" spans="1:8" x14ac:dyDescent="0.2">
      <c r="A502" s="2" t="s">
        <v>1514</v>
      </c>
      <c r="B502" s="2" t="s">
        <v>3015</v>
      </c>
      <c r="C502" s="2" t="s">
        <v>2504</v>
      </c>
      <c r="D502" s="2" t="s">
        <v>1839</v>
      </c>
      <c r="E502" s="2" t="s">
        <v>1841</v>
      </c>
      <c r="F502" s="2">
        <v>0.301068</v>
      </c>
      <c r="G502" s="2">
        <v>0.81553600000000004</v>
      </c>
      <c r="H502" s="2">
        <v>1.4376599999999999</v>
      </c>
    </row>
    <row r="503" spans="1:8" x14ac:dyDescent="0.2">
      <c r="A503" s="2" t="s">
        <v>972</v>
      </c>
      <c r="B503" s="2" t="s">
        <v>3030</v>
      </c>
      <c r="C503" s="2" t="s">
        <v>3016</v>
      </c>
      <c r="D503" s="2" t="s">
        <v>1836</v>
      </c>
      <c r="E503" s="2" t="s">
        <v>1837</v>
      </c>
      <c r="F503" s="2">
        <v>38.310400000000001</v>
      </c>
      <c r="G503" s="2">
        <v>103.691</v>
      </c>
      <c r="H503" s="2">
        <v>1.43648</v>
      </c>
    </row>
    <row r="504" spans="1:8" x14ac:dyDescent="0.2">
      <c r="A504" s="2" t="s">
        <v>1662</v>
      </c>
      <c r="B504" s="2" t="s">
        <v>3038</v>
      </c>
      <c r="C504" s="2" t="s">
        <v>2828</v>
      </c>
      <c r="D504" s="2" t="s">
        <v>1839</v>
      </c>
      <c r="E504" s="2" t="s">
        <v>1841</v>
      </c>
      <c r="F504" s="2">
        <v>1.68712</v>
      </c>
      <c r="G504" s="2">
        <v>4.5646000000000004</v>
      </c>
      <c r="H504" s="2">
        <v>1.4359200000000001</v>
      </c>
    </row>
    <row r="505" spans="1:8" x14ac:dyDescent="0.2">
      <c r="A505" s="2" t="s">
        <v>49</v>
      </c>
      <c r="B505" s="2" t="s">
        <v>3195</v>
      </c>
      <c r="C505" s="2" t="s">
        <v>2630</v>
      </c>
      <c r="D505" s="2" t="s">
        <v>1839</v>
      </c>
      <c r="E505" s="2" t="s">
        <v>1841</v>
      </c>
      <c r="F505" s="2">
        <v>2.1010300000000002</v>
      </c>
      <c r="G505" s="2">
        <v>5.6729599999999998</v>
      </c>
      <c r="H505" s="2">
        <v>1.4330000000000001</v>
      </c>
    </row>
    <row r="506" spans="1:8" x14ac:dyDescent="0.2">
      <c r="A506" s="2" t="s">
        <v>980</v>
      </c>
      <c r="B506" s="2" t="s">
        <v>3252</v>
      </c>
      <c r="C506" s="2" t="s">
        <v>1881</v>
      </c>
      <c r="D506" s="2" t="s">
        <v>1836</v>
      </c>
      <c r="E506" s="2" t="s">
        <v>1837</v>
      </c>
      <c r="F506" s="2">
        <v>76.205699999999993</v>
      </c>
      <c r="G506" s="2">
        <v>205.56299999999999</v>
      </c>
      <c r="H506" s="2">
        <v>1.43161</v>
      </c>
    </row>
    <row r="507" spans="1:8" x14ac:dyDescent="0.2">
      <c r="A507" s="2" t="s">
        <v>272</v>
      </c>
      <c r="B507" s="2" t="s">
        <v>3307</v>
      </c>
      <c r="C507" s="2" t="s">
        <v>2433</v>
      </c>
      <c r="D507" s="2" t="s">
        <v>1839</v>
      </c>
      <c r="E507" s="2" t="s">
        <v>1841</v>
      </c>
      <c r="F507" s="2">
        <v>4.5541499999999999</v>
      </c>
      <c r="G507" s="2">
        <v>12.2842</v>
      </c>
      <c r="H507" s="2">
        <v>1.4315500000000001</v>
      </c>
    </row>
    <row r="508" spans="1:8" x14ac:dyDescent="0.2">
      <c r="A508" s="2" t="s">
        <v>197</v>
      </c>
      <c r="B508" s="2" t="s">
        <v>3078</v>
      </c>
      <c r="C508" s="2" t="s">
        <v>1935</v>
      </c>
      <c r="D508" s="2" t="s">
        <v>1836</v>
      </c>
      <c r="E508" s="2" t="s">
        <v>1838</v>
      </c>
      <c r="F508" s="2">
        <v>4.6795900000000001</v>
      </c>
      <c r="G508" s="2">
        <v>12.617000000000001</v>
      </c>
      <c r="H508" s="2">
        <v>1.4309099999999999</v>
      </c>
    </row>
    <row r="509" spans="1:8" x14ac:dyDescent="0.2">
      <c r="A509" s="2" t="s">
        <v>1374</v>
      </c>
      <c r="B509" s="2" t="s">
        <v>3015</v>
      </c>
      <c r="C509" s="2" t="s">
        <v>1847</v>
      </c>
      <c r="D509" s="2" t="s">
        <v>1839</v>
      </c>
      <c r="E509" s="2" t="s">
        <v>1841</v>
      </c>
      <c r="F509" s="2">
        <v>2.72722</v>
      </c>
      <c r="G509" s="2">
        <v>7.3509200000000003</v>
      </c>
      <c r="H509" s="2">
        <v>1.4305000000000001</v>
      </c>
    </row>
    <row r="510" spans="1:8" x14ac:dyDescent="0.2">
      <c r="A510" s="2" t="s">
        <v>425</v>
      </c>
      <c r="B510" s="2" t="s">
        <v>3015</v>
      </c>
      <c r="C510" s="2" t="s">
        <v>2040</v>
      </c>
      <c r="D510" s="2" t="s">
        <v>1836</v>
      </c>
      <c r="E510" s="2" t="s">
        <v>1837</v>
      </c>
      <c r="F510" s="2">
        <v>1.00464</v>
      </c>
      <c r="G510" s="2">
        <v>2.7046299999999999</v>
      </c>
      <c r="H510" s="2">
        <v>1.42876</v>
      </c>
    </row>
    <row r="511" spans="1:8" x14ac:dyDescent="0.2">
      <c r="A511" s="2" t="s">
        <v>277</v>
      </c>
      <c r="B511" s="2" t="s">
        <v>3015</v>
      </c>
      <c r="C511" s="2" t="s">
        <v>1847</v>
      </c>
      <c r="D511" s="2" t="s">
        <v>1836</v>
      </c>
      <c r="E511" s="2" t="s">
        <v>1837</v>
      </c>
      <c r="F511" s="2">
        <v>10.777100000000001</v>
      </c>
      <c r="G511" s="2">
        <v>29.012599999999999</v>
      </c>
      <c r="H511" s="2">
        <v>1.4287000000000001</v>
      </c>
    </row>
    <row r="512" spans="1:8" x14ac:dyDescent="0.2">
      <c r="A512" s="2" t="s">
        <v>1127</v>
      </c>
      <c r="B512" s="2" t="s">
        <v>3073</v>
      </c>
      <c r="C512" s="2" t="s">
        <v>2363</v>
      </c>
      <c r="D512" s="2" t="s">
        <v>1836</v>
      </c>
      <c r="E512" s="2" t="s">
        <v>1838</v>
      </c>
      <c r="F512" s="2">
        <v>0.37703700000000001</v>
      </c>
      <c r="G512" s="2">
        <v>1.01488</v>
      </c>
      <c r="H512" s="2">
        <v>1.4285300000000001</v>
      </c>
    </row>
    <row r="513" spans="1:8" x14ac:dyDescent="0.2">
      <c r="A513" s="2" t="s">
        <v>788</v>
      </c>
      <c r="B513" s="2" t="s">
        <v>3301</v>
      </c>
      <c r="C513" s="2" t="s">
        <v>2567</v>
      </c>
      <c r="D513" s="2" t="s">
        <v>1839</v>
      </c>
      <c r="E513" s="2" t="s">
        <v>1841</v>
      </c>
      <c r="F513" s="2">
        <v>22.408300000000001</v>
      </c>
      <c r="G513" s="2">
        <v>60.201300000000003</v>
      </c>
      <c r="H513" s="2">
        <v>1.4257599999999999</v>
      </c>
    </row>
    <row r="514" spans="1:8" x14ac:dyDescent="0.2">
      <c r="A514" s="2" t="s">
        <v>188</v>
      </c>
      <c r="B514" s="2" t="s">
        <v>3037</v>
      </c>
      <c r="C514" s="2" t="s">
        <v>2677</v>
      </c>
      <c r="D514" s="2" t="s">
        <v>1839</v>
      </c>
      <c r="E514" s="2" t="s">
        <v>1840</v>
      </c>
      <c r="F514" s="2">
        <v>0.72560400000000003</v>
      </c>
      <c r="G514" s="2">
        <v>1.9491400000000001</v>
      </c>
      <c r="H514" s="2">
        <v>1.4255800000000001</v>
      </c>
    </row>
    <row r="515" spans="1:8" x14ac:dyDescent="0.2">
      <c r="A515" s="2" t="s">
        <v>1480</v>
      </c>
      <c r="B515" s="2" t="s">
        <v>3015</v>
      </c>
      <c r="C515" s="2" t="s">
        <v>2620</v>
      </c>
      <c r="D515" s="2" t="s">
        <v>1839</v>
      </c>
      <c r="E515" s="2" t="s">
        <v>1841</v>
      </c>
      <c r="F515" s="2">
        <v>1.7198199999999999</v>
      </c>
      <c r="G515" s="2">
        <v>4.6197699999999999</v>
      </c>
      <c r="H515" s="2">
        <v>1.4255599999999999</v>
      </c>
    </row>
    <row r="516" spans="1:8" x14ac:dyDescent="0.2">
      <c r="A516" s="2" t="s">
        <v>287</v>
      </c>
      <c r="B516" s="2" t="s">
        <v>3015</v>
      </c>
      <c r="C516" s="2" t="s">
        <v>2714</v>
      </c>
      <c r="D516" s="2" t="s">
        <v>1839</v>
      </c>
      <c r="E516" s="2" t="s">
        <v>1841</v>
      </c>
      <c r="F516" s="2">
        <v>1.24552</v>
      </c>
      <c r="G516" s="2">
        <v>3.3439000000000001</v>
      </c>
      <c r="H516" s="2">
        <v>1.42479</v>
      </c>
    </row>
    <row r="517" spans="1:8" x14ac:dyDescent="0.2">
      <c r="A517" s="2" t="s">
        <v>1074</v>
      </c>
      <c r="B517" s="2" t="s">
        <v>3015</v>
      </c>
      <c r="C517" s="2" t="s">
        <v>2345</v>
      </c>
      <c r="D517" s="2" t="s">
        <v>1839</v>
      </c>
      <c r="E517" s="2" t="s">
        <v>1841</v>
      </c>
      <c r="F517" s="2">
        <v>13.383599999999999</v>
      </c>
      <c r="G517" s="2">
        <v>35.924999999999997</v>
      </c>
      <c r="H517" s="2">
        <v>1.42452</v>
      </c>
    </row>
    <row r="518" spans="1:8" x14ac:dyDescent="0.2">
      <c r="A518" s="2" t="s">
        <v>1114</v>
      </c>
      <c r="B518" s="2" t="s">
        <v>3015</v>
      </c>
      <c r="C518" s="2" t="s">
        <v>2974</v>
      </c>
      <c r="D518" s="2" t="s">
        <v>1839</v>
      </c>
      <c r="E518" s="2" t="s">
        <v>1841</v>
      </c>
      <c r="F518" s="2">
        <v>0.34355400000000003</v>
      </c>
      <c r="G518" s="2">
        <v>0.92218599999999995</v>
      </c>
      <c r="H518" s="2">
        <v>1.42452</v>
      </c>
    </row>
    <row r="519" spans="1:8" x14ac:dyDescent="0.2">
      <c r="A519" s="2" t="s">
        <v>463</v>
      </c>
      <c r="B519" s="2" t="s">
        <v>3015</v>
      </c>
      <c r="C519" s="2" t="s">
        <v>2482</v>
      </c>
      <c r="D519" s="2" t="s">
        <v>1839</v>
      </c>
      <c r="E519" s="2" t="s">
        <v>1841</v>
      </c>
      <c r="F519" s="2">
        <v>1.1751799999999999</v>
      </c>
      <c r="G519" s="2">
        <v>3.1450200000000001</v>
      </c>
      <c r="H519" s="2">
        <v>1.4201900000000001</v>
      </c>
    </row>
    <row r="520" spans="1:8" x14ac:dyDescent="0.2">
      <c r="A520" s="2" t="s">
        <v>1499</v>
      </c>
      <c r="B520" s="2" t="s">
        <v>3045</v>
      </c>
      <c r="C520" s="2" t="s">
        <v>1875</v>
      </c>
      <c r="D520" s="2" t="s">
        <v>1839</v>
      </c>
      <c r="E520" s="2" t="s">
        <v>1841</v>
      </c>
      <c r="F520" s="2">
        <v>0.63804400000000006</v>
      </c>
      <c r="G520" s="2">
        <v>1.7019299999999999</v>
      </c>
      <c r="H520" s="2">
        <v>1.4154500000000001</v>
      </c>
    </row>
    <row r="521" spans="1:8" x14ac:dyDescent="0.2">
      <c r="A521" s="2" t="s">
        <v>845</v>
      </c>
      <c r="B521" s="2" t="s">
        <v>3037</v>
      </c>
      <c r="C521" s="2" t="s">
        <v>2232</v>
      </c>
      <c r="D521" s="2" t="s">
        <v>1836</v>
      </c>
      <c r="E521" s="2" t="s">
        <v>1838</v>
      </c>
      <c r="F521" s="2">
        <v>0.38727299999999998</v>
      </c>
      <c r="G521" s="2">
        <v>1.0321899999999999</v>
      </c>
      <c r="H521" s="2">
        <v>1.41429</v>
      </c>
    </row>
    <row r="522" spans="1:8" x14ac:dyDescent="0.2">
      <c r="A522" s="2" t="s">
        <v>1158</v>
      </c>
      <c r="B522" s="2" t="s">
        <v>3391</v>
      </c>
      <c r="C522" s="2" t="s">
        <v>2650</v>
      </c>
      <c r="D522" s="2" t="s">
        <v>1839</v>
      </c>
      <c r="E522" s="2" t="s">
        <v>1841</v>
      </c>
      <c r="F522" s="2">
        <v>7.3723299999999998</v>
      </c>
      <c r="G522" s="2">
        <v>19.6144</v>
      </c>
      <c r="H522" s="2">
        <v>1.4117200000000001</v>
      </c>
    </row>
    <row r="523" spans="1:8" x14ac:dyDescent="0.2">
      <c r="A523" s="2" t="s">
        <v>386</v>
      </c>
      <c r="B523" s="2" t="s">
        <v>3130</v>
      </c>
      <c r="C523" s="2" t="s">
        <v>2021</v>
      </c>
      <c r="D523" s="2" t="s">
        <v>1836</v>
      </c>
      <c r="E523" s="2" t="s">
        <v>1837</v>
      </c>
      <c r="F523" s="2">
        <v>3.75535</v>
      </c>
      <c r="G523" s="2">
        <v>9.9888999999999992</v>
      </c>
      <c r="H523" s="2">
        <v>1.4113800000000001</v>
      </c>
    </row>
    <row r="524" spans="1:8" x14ac:dyDescent="0.2">
      <c r="A524" s="2" t="s">
        <v>1396</v>
      </c>
      <c r="B524" s="2" t="s">
        <v>3015</v>
      </c>
      <c r="C524" s="2" t="s">
        <v>1847</v>
      </c>
      <c r="D524" s="2" t="s">
        <v>1836</v>
      </c>
      <c r="E524" s="2" t="s">
        <v>1838</v>
      </c>
      <c r="F524" s="2">
        <v>6.4174300000000004</v>
      </c>
      <c r="G524" s="2">
        <v>17.0655</v>
      </c>
      <c r="H524" s="2">
        <v>1.4110199999999999</v>
      </c>
    </row>
    <row r="525" spans="1:8" x14ac:dyDescent="0.2">
      <c r="A525" s="2" t="s">
        <v>739</v>
      </c>
      <c r="B525" s="2" t="s">
        <v>3200</v>
      </c>
      <c r="C525" s="2" t="s">
        <v>2001</v>
      </c>
      <c r="D525" s="2" t="s">
        <v>1836</v>
      </c>
      <c r="E525" s="2" t="s">
        <v>1837</v>
      </c>
      <c r="F525" s="2">
        <v>0.65553600000000001</v>
      </c>
      <c r="G525" s="2">
        <v>1.7421500000000001</v>
      </c>
      <c r="H525" s="2">
        <v>1.41012</v>
      </c>
    </row>
    <row r="526" spans="1:8" x14ac:dyDescent="0.2">
      <c r="A526" s="2" t="s">
        <v>453</v>
      </c>
      <c r="B526" s="2" t="s">
        <v>3015</v>
      </c>
      <c r="C526" s="2" t="s">
        <v>2056</v>
      </c>
      <c r="D526" s="2" t="s">
        <v>1836</v>
      </c>
      <c r="E526" s="2" t="s">
        <v>1837</v>
      </c>
      <c r="F526" s="2">
        <v>1.68692</v>
      </c>
      <c r="G526" s="2">
        <v>4.4829600000000003</v>
      </c>
      <c r="H526" s="2">
        <v>1.4100600000000001</v>
      </c>
    </row>
    <row r="527" spans="1:8" x14ac:dyDescent="0.2">
      <c r="A527" s="2" t="s">
        <v>118</v>
      </c>
      <c r="B527" s="2" t="s">
        <v>3054</v>
      </c>
      <c r="C527" s="2" t="s">
        <v>1894</v>
      </c>
      <c r="D527" s="2" t="s">
        <v>1836</v>
      </c>
      <c r="E527" s="2" t="s">
        <v>1837</v>
      </c>
      <c r="F527" s="2">
        <v>1.6789400000000001</v>
      </c>
      <c r="G527" s="2">
        <v>4.4612600000000002</v>
      </c>
      <c r="H527" s="2">
        <v>1.4098999999999999</v>
      </c>
    </row>
    <row r="528" spans="1:8" x14ac:dyDescent="0.2">
      <c r="A528" s="2" t="s">
        <v>1253</v>
      </c>
      <c r="B528" s="2" t="s">
        <v>3321</v>
      </c>
      <c r="C528" s="2" t="s">
        <v>2461</v>
      </c>
      <c r="D528" s="2" t="s">
        <v>1839</v>
      </c>
      <c r="E528" s="2" t="s">
        <v>1840</v>
      </c>
      <c r="F528" s="2">
        <v>1.15072</v>
      </c>
      <c r="G528" s="2">
        <v>3.05165</v>
      </c>
      <c r="H528" s="2">
        <v>1.4070499999999999</v>
      </c>
    </row>
    <row r="529" spans="1:8" x14ac:dyDescent="0.2">
      <c r="A529" s="2" t="s">
        <v>733</v>
      </c>
      <c r="B529" s="2" t="s">
        <v>3015</v>
      </c>
      <c r="C529" s="2" t="s">
        <v>2098</v>
      </c>
      <c r="D529" s="2" t="s">
        <v>1839</v>
      </c>
      <c r="E529" s="2" t="s">
        <v>1841</v>
      </c>
      <c r="F529" s="2">
        <v>2.6822900000000001</v>
      </c>
      <c r="G529" s="2">
        <v>7.1115300000000001</v>
      </c>
      <c r="H529" s="2">
        <v>1.40669</v>
      </c>
    </row>
    <row r="530" spans="1:8" x14ac:dyDescent="0.2">
      <c r="A530" s="2" t="s">
        <v>1831</v>
      </c>
      <c r="B530" s="2" t="s">
        <v>3015</v>
      </c>
      <c r="C530" s="2" t="s">
        <v>3016</v>
      </c>
      <c r="D530" s="2" t="s">
        <v>1839</v>
      </c>
      <c r="E530" s="2" t="s">
        <v>1840</v>
      </c>
      <c r="F530" s="2">
        <v>1.24535</v>
      </c>
      <c r="G530" s="2">
        <v>3.30105</v>
      </c>
      <c r="H530" s="2">
        <v>1.4063699999999999</v>
      </c>
    </row>
    <row r="531" spans="1:8" x14ac:dyDescent="0.2">
      <c r="A531" s="2" t="s">
        <v>1406</v>
      </c>
      <c r="B531" s="2" t="s">
        <v>3209</v>
      </c>
      <c r="C531" s="2" t="s">
        <v>2580</v>
      </c>
      <c r="D531" s="2" t="s">
        <v>1839</v>
      </c>
      <c r="E531" s="2" t="s">
        <v>1841</v>
      </c>
      <c r="F531" s="2">
        <v>1.94476</v>
      </c>
      <c r="G531" s="2">
        <v>5.1548400000000001</v>
      </c>
      <c r="H531" s="2">
        <v>1.4063300000000001</v>
      </c>
    </row>
    <row r="532" spans="1:8" x14ac:dyDescent="0.2">
      <c r="A532" s="2" t="s">
        <v>1381</v>
      </c>
      <c r="B532" s="2" t="s">
        <v>3175</v>
      </c>
      <c r="C532" s="2" t="s">
        <v>2557</v>
      </c>
      <c r="D532" s="2" t="s">
        <v>1839</v>
      </c>
      <c r="E532" s="2" t="s">
        <v>1841</v>
      </c>
      <c r="F532" s="2">
        <v>0.32317499999999999</v>
      </c>
      <c r="G532" s="2">
        <v>0.85633999999999999</v>
      </c>
      <c r="H532" s="2">
        <v>1.40587</v>
      </c>
    </row>
    <row r="533" spans="1:8" x14ac:dyDescent="0.2">
      <c r="A533" s="2" t="s">
        <v>1399</v>
      </c>
      <c r="B533" s="2" t="s">
        <v>3366</v>
      </c>
      <c r="C533" s="2" t="s">
        <v>2576</v>
      </c>
      <c r="D533" s="2" t="s">
        <v>1836</v>
      </c>
      <c r="E533" s="2" t="s">
        <v>1838</v>
      </c>
      <c r="F533" s="2">
        <v>2.7787999999999999</v>
      </c>
      <c r="G533" s="2">
        <v>7.3628499999999999</v>
      </c>
      <c r="H533" s="2">
        <v>1.4057999999999999</v>
      </c>
    </row>
    <row r="534" spans="1:8" x14ac:dyDescent="0.2">
      <c r="A534" s="2" t="s">
        <v>736</v>
      </c>
      <c r="B534" s="2" t="s">
        <v>3015</v>
      </c>
      <c r="C534" s="2" t="s">
        <v>3015</v>
      </c>
      <c r="D534" s="2" t="s">
        <v>1836</v>
      </c>
      <c r="E534" s="2" t="s">
        <v>1837</v>
      </c>
      <c r="F534" s="2">
        <v>9.5863499999999995</v>
      </c>
      <c r="G534" s="2">
        <v>25.397500000000001</v>
      </c>
      <c r="H534" s="2">
        <v>1.4056299999999999</v>
      </c>
    </row>
    <row r="535" spans="1:8" x14ac:dyDescent="0.2">
      <c r="A535" s="2" t="s">
        <v>984</v>
      </c>
      <c r="B535" s="2" t="s">
        <v>3253</v>
      </c>
      <c r="C535" s="2" t="s">
        <v>2307</v>
      </c>
      <c r="D535" s="2" t="s">
        <v>1836</v>
      </c>
      <c r="E535" s="2" t="s">
        <v>1837</v>
      </c>
      <c r="F535" s="2">
        <v>13.5283</v>
      </c>
      <c r="G535" s="2">
        <v>35.8386</v>
      </c>
      <c r="H535" s="2">
        <v>1.40554</v>
      </c>
    </row>
    <row r="536" spans="1:8" x14ac:dyDescent="0.2">
      <c r="A536" s="2" t="s">
        <v>322</v>
      </c>
      <c r="B536" s="2" t="s">
        <v>3015</v>
      </c>
      <c r="C536" s="2" t="s">
        <v>1995</v>
      </c>
      <c r="D536" s="2" t="s">
        <v>1836</v>
      </c>
      <c r="E536" s="2" t="s">
        <v>1837</v>
      </c>
      <c r="F536" s="2">
        <v>1.6164499999999999</v>
      </c>
      <c r="G536" s="2">
        <v>4.2753300000000003</v>
      </c>
      <c r="H536" s="2">
        <v>1.4032100000000001</v>
      </c>
    </row>
    <row r="537" spans="1:8" x14ac:dyDescent="0.2">
      <c r="A537" s="2" t="s">
        <v>1834</v>
      </c>
      <c r="B537" s="2" t="s">
        <v>3493</v>
      </c>
      <c r="C537" s="2" t="s">
        <v>3013</v>
      </c>
      <c r="D537" s="2" t="s">
        <v>1839</v>
      </c>
      <c r="E537" s="2" t="s">
        <v>1840</v>
      </c>
      <c r="F537" s="2">
        <v>0.29553200000000002</v>
      </c>
      <c r="G537" s="2">
        <v>0.77993400000000002</v>
      </c>
      <c r="H537" s="2">
        <v>1.40004</v>
      </c>
    </row>
    <row r="538" spans="1:8" x14ac:dyDescent="0.2">
      <c r="A538" s="2" t="s">
        <v>353</v>
      </c>
      <c r="B538" s="2" t="s">
        <v>3123</v>
      </c>
      <c r="C538" s="2" t="s">
        <v>2007</v>
      </c>
      <c r="D538" s="2" t="s">
        <v>1836</v>
      </c>
      <c r="E538" s="2" t="s">
        <v>1837</v>
      </c>
      <c r="F538" s="2">
        <v>0.59132899999999999</v>
      </c>
      <c r="G538" s="2">
        <v>1.55864</v>
      </c>
      <c r="H538" s="2">
        <v>1.3982600000000001</v>
      </c>
    </row>
    <row r="539" spans="1:8" x14ac:dyDescent="0.2">
      <c r="A539" s="2" t="s">
        <v>937</v>
      </c>
      <c r="B539" s="2" t="s">
        <v>3137</v>
      </c>
      <c r="C539" s="2" t="s">
        <v>2280</v>
      </c>
      <c r="D539" s="2" t="s">
        <v>1839</v>
      </c>
      <c r="E539" s="2" t="s">
        <v>1840</v>
      </c>
      <c r="F539" s="2">
        <v>1.85599</v>
      </c>
      <c r="G539" s="2">
        <v>4.8905599999999998</v>
      </c>
      <c r="H539" s="2">
        <v>1.39781</v>
      </c>
    </row>
    <row r="540" spans="1:8" x14ac:dyDescent="0.2">
      <c r="A540" s="2" t="s">
        <v>328</v>
      </c>
      <c r="B540" s="2" t="s">
        <v>3115</v>
      </c>
      <c r="C540" s="2" t="s">
        <v>1997</v>
      </c>
      <c r="D540" s="2" t="s">
        <v>1836</v>
      </c>
      <c r="E540" s="2" t="s">
        <v>1837</v>
      </c>
      <c r="F540" s="2">
        <v>0.91765699999999994</v>
      </c>
      <c r="G540" s="2">
        <v>2.4175300000000002</v>
      </c>
      <c r="H540" s="2">
        <v>1.3975</v>
      </c>
    </row>
    <row r="541" spans="1:8" x14ac:dyDescent="0.2">
      <c r="A541" s="2" t="s">
        <v>1439</v>
      </c>
      <c r="B541" s="2" t="s">
        <v>3129</v>
      </c>
      <c r="C541" s="2" t="s">
        <v>2595</v>
      </c>
      <c r="D541" s="2" t="s">
        <v>1839</v>
      </c>
      <c r="E541" s="2" t="s">
        <v>1840</v>
      </c>
      <c r="F541" s="2">
        <v>0.46313100000000001</v>
      </c>
      <c r="G541" s="2">
        <v>1.2183200000000001</v>
      </c>
      <c r="H541" s="2">
        <v>1.3954</v>
      </c>
    </row>
    <row r="542" spans="1:8" x14ac:dyDescent="0.2">
      <c r="A542" s="2" t="s">
        <v>1651</v>
      </c>
      <c r="B542" s="2" t="s">
        <v>3158</v>
      </c>
      <c r="C542" s="2" t="s">
        <v>2819</v>
      </c>
      <c r="D542" s="2" t="s">
        <v>1839</v>
      </c>
      <c r="E542" s="2" t="s">
        <v>1840</v>
      </c>
      <c r="F542" s="2">
        <v>1.2241899999999999</v>
      </c>
      <c r="G542" s="2">
        <v>3.21922</v>
      </c>
      <c r="H542" s="2">
        <v>1.3948799999999999</v>
      </c>
    </row>
    <row r="543" spans="1:8" x14ac:dyDescent="0.2">
      <c r="A543" s="2" t="s">
        <v>600</v>
      </c>
      <c r="B543" s="2" t="s">
        <v>3173</v>
      </c>
      <c r="C543" s="2" t="s">
        <v>3015</v>
      </c>
      <c r="D543" s="2" t="s">
        <v>1836</v>
      </c>
      <c r="E543" s="2" t="s">
        <v>1837</v>
      </c>
      <c r="F543" s="2">
        <v>0.86006499999999997</v>
      </c>
      <c r="G543" s="2">
        <v>2.2614800000000002</v>
      </c>
      <c r="H543" s="2">
        <v>1.3947499999999999</v>
      </c>
    </row>
    <row r="544" spans="1:8" x14ac:dyDescent="0.2">
      <c r="A544" s="2" t="s">
        <v>1225</v>
      </c>
      <c r="B544" s="2" t="s">
        <v>3015</v>
      </c>
      <c r="C544" s="2" t="s">
        <v>2400</v>
      </c>
      <c r="D544" s="2" t="s">
        <v>1836</v>
      </c>
      <c r="E544" s="2" t="s">
        <v>1838</v>
      </c>
      <c r="F544" s="2">
        <v>0.297433</v>
      </c>
      <c r="G544" s="2">
        <v>0.78163700000000003</v>
      </c>
      <c r="H544" s="2">
        <v>1.3939299999999999</v>
      </c>
    </row>
    <row r="545" spans="1:8" x14ac:dyDescent="0.2">
      <c r="A545" s="2" t="s">
        <v>492</v>
      </c>
      <c r="B545" s="2" t="s">
        <v>3015</v>
      </c>
      <c r="C545" s="2" t="s">
        <v>2075</v>
      </c>
      <c r="D545" s="2" t="s">
        <v>1836</v>
      </c>
      <c r="E545" s="2" t="s">
        <v>1837</v>
      </c>
      <c r="F545" s="2">
        <v>3.4392999999999998</v>
      </c>
      <c r="G545" s="2">
        <v>9.0251599999999996</v>
      </c>
      <c r="H545" s="2">
        <v>1.39184</v>
      </c>
    </row>
    <row r="546" spans="1:8" x14ac:dyDescent="0.2">
      <c r="A546" s="2" t="s">
        <v>728</v>
      </c>
      <c r="B546" s="2" t="s">
        <v>3015</v>
      </c>
      <c r="C546" s="2" t="s">
        <v>2129</v>
      </c>
      <c r="D546" s="2" t="s">
        <v>1836</v>
      </c>
      <c r="E546" s="2" t="s">
        <v>1837</v>
      </c>
      <c r="F546" s="2">
        <v>1.6618299999999999</v>
      </c>
      <c r="G546" s="2">
        <v>4.3582700000000001</v>
      </c>
      <c r="H546" s="2">
        <v>1.3909899999999999</v>
      </c>
    </row>
    <row r="547" spans="1:8" x14ac:dyDescent="0.2">
      <c r="A547" s="2" t="s">
        <v>559</v>
      </c>
      <c r="B547" s="2" t="s">
        <v>3189</v>
      </c>
      <c r="C547" s="2" t="s">
        <v>2761</v>
      </c>
      <c r="D547" s="2" t="s">
        <v>1839</v>
      </c>
      <c r="E547" s="2" t="s">
        <v>1841</v>
      </c>
      <c r="F547" s="2">
        <v>12.8048</v>
      </c>
      <c r="G547" s="2">
        <v>33.519599999999997</v>
      </c>
      <c r="H547" s="2">
        <v>1.38832</v>
      </c>
    </row>
    <row r="548" spans="1:8" x14ac:dyDescent="0.2">
      <c r="A548" s="2" t="s">
        <v>996</v>
      </c>
      <c r="B548" s="2" t="s">
        <v>3047</v>
      </c>
      <c r="C548" s="2" t="s">
        <v>2277</v>
      </c>
      <c r="D548" s="2" t="s">
        <v>1839</v>
      </c>
      <c r="E548" s="2" t="s">
        <v>1841</v>
      </c>
      <c r="F548" s="2">
        <v>1.44367</v>
      </c>
      <c r="G548" s="2">
        <v>3.7760500000000001</v>
      </c>
      <c r="H548" s="2">
        <v>1.38714</v>
      </c>
    </row>
    <row r="549" spans="1:8" x14ac:dyDescent="0.2">
      <c r="A549" s="2" t="s">
        <v>1656</v>
      </c>
      <c r="B549" s="2" t="s">
        <v>3015</v>
      </c>
      <c r="C549" s="2" t="s">
        <v>2823</v>
      </c>
      <c r="D549" s="2" t="s">
        <v>1839</v>
      </c>
      <c r="E549" s="2" t="s">
        <v>1841</v>
      </c>
      <c r="F549" s="2">
        <v>0.69017099999999998</v>
      </c>
      <c r="G549" s="2">
        <v>1.80497</v>
      </c>
      <c r="H549" s="2">
        <v>1.3869499999999999</v>
      </c>
    </row>
    <row r="550" spans="1:8" x14ac:dyDescent="0.2">
      <c r="A550" s="2" t="s">
        <v>848</v>
      </c>
      <c r="B550" s="2" t="s">
        <v>3015</v>
      </c>
      <c r="C550" s="2" t="s">
        <v>2234</v>
      </c>
      <c r="D550" s="2" t="s">
        <v>1836</v>
      </c>
      <c r="E550" s="2" t="s">
        <v>1837</v>
      </c>
      <c r="F550" s="2">
        <v>0.98852300000000004</v>
      </c>
      <c r="G550" s="2">
        <v>2.58412</v>
      </c>
      <c r="H550" s="2">
        <v>1.3863300000000001</v>
      </c>
    </row>
    <row r="551" spans="1:8" x14ac:dyDescent="0.2">
      <c r="A551" s="2" t="s">
        <v>1210</v>
      </c>
      <c r="B551" s="2" t="s">
        <v>3081</v>
      </c>
      <c r="C551" s="2" t="s">
        <v>2353</v>
      </c>
      <c r="D551" s="2" t="s">
        <v>1836</v>
      </c>
      <c r="E551" s="2" t="s">
        <v>1838</v>
      </c>
      <c r="F551" s="2">
        <v>37.006500000000003</v>
      </c>
      <c r="G551" s="2">
        <v>96.716399999999993</v>
      </c>
      <c r="H551" s="2">
        <v>1.38598</v>
      </c>
    </row>
    <row r="552" spans="1:8" x14ac:dyDescent="0.2">
      <c r="A552" s="2" t="s">
        <v>623</v>
      </c>
      <c r="B552" s="2" t="s">
        <v>3015</v>
      </c>
      <c r="C552" s="2" t="s">
        <v>1862</v>
      </c>
      <c r="D552" s="2" t="s">
        <v>1836</v>
      </c>
      <c r="E552" s="2" t="s">
        <v>1838</v>
      </c>
      <c r="F552" s="2">
        <v>2.3878300000000001</v>
      </c>
      <c r="G552" s="2">
        <v>6.2337499999999997</v>
      </c>
      <c r="H552" s="2">
        <v>1.3844000000000001</v>
      </c>
    </row>
    <row r="553" spans="1:8" x14ac:dyDescent="0.2">
      <c r="A553" s="2" t="s">
        <v>1719</v>
      </c>
      <c r="B553" s="2" t="s">
        <v>3015</v>
      </c>
      <c r="C553" s="2" t="s">
        <v>2884</v>
      </c>
      <c r="D553" s="2" t="s">
        <v>1839</v>
      </c>
      <c r="E553" s="2" t="s">
        <v>1841</v>
      </c>
      <c r="F553" s="2">
        <v>0.400281</v>
      </c>
      <c r="G553" s="2">
        <v>1.04478</v>
      </c>
      <c r="H553" s="2">
        <v>1.38412</v>
      </c>
    </row>
    <row r="554" spans="1:8" x14ac:dyDescent="0.2">
      <c r="A554" s="2" t="s">
        <v>1386</v>
      </c>
      <c r="B554" s="2" t="s">
        <v>3068</v>
      </c>
      <c r="C554" s="2" t="s">
        <v>2562</v>
      </c>
      <c r="D554" s="2" t="s">
        <v>1839</v>
      </c>
      <c r="E554" s="2" t="s">
        <v>1840</v>
      </c>
      <c r="F554" s="2">
        <v>1.14445</v>
      </c>
      <c r="G554" s="2">
        <v>2.9807000000000001</v>
      </c>
      <c r="H554" s="2">
        <v>1.381</v>
      </c>
    </row>
    <row r="555" spans="1:8" x14ac:dyDescent="0.2">
      <c r="A555" s="2" t="s">
        <v>211</v>
      </c>
      <c r="B555" s="2" t="s">
        <v>3086</v>
      </c>
      <c r="C555" s="2" t="s">
        <v>3015</v>
      </c>
      <c r="D555" s="2" t="s">
        <v>1836</v>
      </c>
      <c r="E555" s="2" t="s">
        <v>1838</v>
      </c>
      <c r="F555" s="2">
        <v>0.982734</v>
      </c>
      <c r="G555" s="2">
        <v>2.5551400000000002</v>
      </c>
      <c r="H555" s="2">
        <v>1.37853</v>
      </c>
    </row>
    <row r="556" spans="1:8" x14ac:dyDescent="0.2">
      <c r="A556" s="2" t="s">
        <v>1564</v>
      </c>
      <c r="B556" s="2" t="s">
        <v>3411</v>
      </c>
      <c r="C556" s="2" t="s">
        <v>3015</v>
      </c>
      <c r="D556" s="2" t="s">
        <v>1839</v>
      </c>
      <c r="E556" s="2" t="s">
        <v>1841</v>
      </c>
      <c r="F556" s="2">
        <v>0.91415199999999996</v>
      </c>
      <c r="G556" s="2">
        <v>2.3768199999999999</v>
      </c>
      <c r="H556" s="2">
        <v>1.37853</v>
      </c>
    </row>
    <row r="557" spans="1:8" x14ac:dyDescent="0.2">
      <c r="A557" s="2" t="s">
        <v>104</v>
      </c>
      <c r="B557" s="2" t="s">
        <v>3015</v>
      </c>
      <c r="C557" s="2" t="s">
        <v>1847</v>
      </c>
      <c r="D557" s="2" t="s">
        <v>1839</v>
      </c>
      <c r="E557" s="2" t="s">
        <v>1841</v>
      </c>
      <c r="F557" s="2">
        <v>1.7171799999999999</v>
      </c>
      <c r="G557" s="2">
        <v>4.4603799999999998</v>
      </c>
      <c r="H557" s="2">
        <v>1.37713</v>
      </c>
    </row>
    <row r="558" spans="1:8" x14ac:dyDescent="0.2">
      <c r="A558" s="2" t="s">
        <v>1809</v>
      </c>
      <c r="B558" s="2" t="s">
        <v>3015</v>
      </c>
      <c r="C558" s="2" t="s">
        <v>2987</v>
      </c>
      <c r="D558" s="2" t="s">
        <v>1839</v>
      </c>
      <c r="E558" s="2" t="s">
        <v>1840</v>
      </c>
      <c r="F558" s="2">
        <v>0.29505599999999998</v>
      </c>
      <c r="G558" s="2">
        <v>0.76588000000000001</v>
      </c>
      <c r="H558" s="2">
        <v>1.3761300000000001</v>
      </c>
    </row>
    <row r="559" spans="1:8" x14ac:dyDescent="0.2">
      <c r="A559" s="2" t="s">
        <v>350</v>
      </c>
      <c r="B559" s="2" t="s">
        <v>3419</v>
      </c>
      <c r="C559" s="2" t="s">
        <v>2738</v>
      </c>
      <c r="D559" s="2" t="s">
        <v>1839</v>
      </c>
      <c r="E559" s="2" t="s">
        <v>1841</v>
      </c>
      <c r="F559" s="2">
        <v>2.7732299999999999</v>
      </c>
      <c r="G559" s="2">
        <v>7.1933100000000003</v>
      </c>
      <c r="H559" s="2">
        <v>1.3750899999999999</v>
      </c>
    </row>
    <row r="560" spans="1:8" x14ac:dyDescent="0.2">
      <c r="A560" s="2" t="s">
        <v>64</v>
      </c>
      <c r="B560" s="2" t="s">
        <v>3045</v>
      </c>
      <c r="C560" s="2" t="s">
        <v>1875</v>
      </c>
      <c r="D560" s="2" t="s">
        <v>1836</v>
      </c>
      <c r="E560" s="2" t="s">
        <v>1837</v>
      </c>
      <c r="F560" s="2">
        <v>1.8273999999999999</v>
      </c>
      <c r="G560" s="2">
        <v>4.7256900000000002</v>
      </c>
      <c r="H560" s="2">
        <v>1.37073</v>
      </c>
    </row>
    <row r="561" spans="1:8" x14ac:dyDescent="0.2">
      <c r="A561" s="2" t="s">
        <v>919</v>
      </c>
      <c r="B561" s="2" t="s">
        <v>3015</v>
      </c>
      <c r="C561" s="2" t="s">
        <v>1862</v>
      </c>
      <c r="D561" s="2" t="s">
        <v>1839</v>
      </c>
      <c r="E561" s="2" t="s">
        <v>1841</v>
      </c>
      <c r="F561" s="2">
        <v>0.52248799999999995</v>
      </c>
      <c r="G561" s="2">
        <v>1.3511500000000001</v>
      </c>
      <c r="H561" s="2">
        <v>1.3707199999999999</v>
      </c>
    </row>
    <row r="562" spans="1:8" x14ac:dyDescent="0.2">
      <c r="A562" s="2" t="s">
        <v>449</v>
      </c>
      <c r="B562" s="2" t="s">
        <v>3024</v>
      </c>
      <c r="C562" s="2" t="s">
        <v>2053</v>
      </c>
      <c r="D562" s="2" t="s">
        <v>1836</v>
      </c>
      <c r="E562" s="2" t="s">
        <v>1837</v>
      </c>
      <c r="F562" s="2">
        <v>0.374946</v>
      </c>
      <c r="G562" s="2">
        <v>0.96774199999999999</v>
      </c>
      <c r="H562" s="2">
        <v>1.3679399999999999</v>
      </c>
    </row>
    <row r="563" spans="1:8" x14ac:dyDescent="0.2">
      <c r="A563" s="2" t="s">
        <v>1057</v>
      </c>
      <c r="B563" s="2" t="s">
        <v>3183</v>
      </c>
      <c r="C563" s="2" t="s">
        <v>2958</v>
      </c>
      <c r="D563" s="2" t="s">
        <v>1839</v>
      </c>
      <c r="E563" s="2" t="s">
        <v>1840</v>
      </c>
      <c r="F563" s="2">
        <v>2.9749599999999998</v>
      </c>
      <c r="G563" s="2">
        <v>7.6640100000000002</v>
      </c>
      <c r="H563" s="2">
        <v>1.3652299999999999</v>
      </c>
    </row>
    <row r="564" spans="1:8" x14ac:dyDescent="0.2">
      <c r="A564" s="2" t="s">
        <v>821</v>
      </c>
      <c r="B564" s="2" t="s">
        <v>3015</v>
      </c>
      <c r="C564" s="2" t="s">
        <v>2216</v>
      </c>
      <c r="D564" s="2" t="s">
        <v>1836</v>
      </c>
      <c r="E564" s="2" t="s">
        <v>1837</v>
      </c>
      <c r="F564" s="2">
        <v>1.2639</v>
      </c>
      <c r="G564" s="2">
        <v>3.2515499999999999</v>
      </c>
      <c r="H564" s="2">
        <v>1.3632500000000001</v>
      </c>
    </row>
    <row r="565" spans="1:8" x14ac:dyDescent="0.2">
      <c r="A565" s="2" t="s">
        <v>34</v>
      </c>
      <c r="B565" s="2" t="s">
        <v>3281</v>
      </c>
      <c r="C565" s="2" t="s">
        <v>2367</v>
      </c>
      <c r="D565" s="2" t="s">
        <v>1839</v>
      </c>
      <c r="E565" s="2" t="s">
        <v>1841</v>
      </c>
      <c r="F565" s="2">
        <v>0.84092699999999998</v>
      </c>
      <c r="G565" s="2">
        <v>2.1631</v>
      </c>
      <c r="H565" s="2">
        <v>1.3630500000000001</v>
      </c>
    </row>
    <row r="566" spans="1:8" x14ac:dyDescent="0.2">
      <c r="A566" s="2" t="s">
        <v>1206</v>
      </c>
      <c r="B566" s="2" t="s">
        <v>3403</v>
      </c>
      <c r="C566" s="2" t="s">
        <v>2694</v>
      </c>
      <c r="D566" s="2" t="s">
        <v>1839</v>
      </c>
      <c r="E566" s="2" t="s">
        <v>1841</v>
      </c>
      <c r="F566" s="2">
        <v>5.7483899999999997</v>
      </c>
      <c r="G566" s="2">
        <v>14.751300000000001</v>
      </c>
      <c r="H566" s="2">
        <v>1.3596200000000001</v>
      </c>
    </row>
    <row r="567" spans="1:8" x14ac:dyDescent="0.2">
      <c r="A567" s="2" t="s">
        <v>1067</v>
      </c>
      <c r="B567" s="2" t="s">
        <v>3030</v>
      </c>
      <c r="C567" s="2" t="s">
        <v>2967</v>
      </c>
      <c r="D567" s="2" t="s">
        <v>1839</v>
      </c>
      <c r="E567" s="2" t="s">
        <v>1841</v>
      </c>
      <c r="F567" s="2">
        <v>1.2996300000000001</v>
      </c>
      <c r="G567" s="2">
        <v>3.33284</v>
      </c>
      <c r="H567" s="2">
        <v>1.3586499999999999</v>
      </c>
    </row>
    <row r="568" spans="1:8" x14ac:dyDescent="0.2">
      <c r="A568" s="2" t="s">
        <v>414</v>
      </c>
      <c r="B568" s="2" t="s">
        <v>3015</v>
      </c>
      <c r="C568" s="2" t="s">
        <v>2034</v>
      </c>
      <c r="D568" s="2" t="s">
        <v>1839</v>
      </c>
      <c r="E568" s="2" t="s">
        <v>1840</v>
      </c>
      <c r="F568" s="2">
        <v>0.36928899999999998</v>
      </c>
      <c r="G568" s="2">
        <v>0.94648299999999996</v>
      </c>
      <c r="H568" s="2">
        <v>1.3578300000000001</v>
      </c>
    </row>
    <row r="569" spans="1:8" x14ac:dyDescent="0.2">
      <c r="A569" s="2" t="s">
        <v>1603</v>
      </c>
      <c r="B569" s="2" t="s">
        <v>3426</v>
      </c>
      <c r="C569" s="2" t="s">
        <v>1847</v>
      </c>
      <c r="D569" s="2" t="s">
        <v>1839</v>
      </c>
      <c r="E569" s="2" t="s">
        <v>1841</v>
      </c>
      <c r="F569" s="2">
        <v>1.02538</v>
      </c>
      <c r="G569" s="2">
        <v>2.6231900000000001</v>
      </c>
      <c r="H569" s="2">
        <v>1.35517</v>
      </c>
    </row>
    <row r="570" spans="1:8" x14ac:dyDescent="0.2">
      <c r="A570" s="2" t="s">
        <v>1386</v>
      </c>
      <c r="B570" s="2" t="s">
        <v>3068</v>
      </c>
      <c r="C570" s="2" t="s">
        <v>2562</v>
      </c>
      <c r="D570" s="2" t="s">
        <v>1839</v>
      </c>
      <c r="E570" s="2" t="s">
        <v>1841</v>
      </c>
      <c r="F570" s="2">
        <v>1.14445</v>
      </c>
      <c r="G570" s="2">
        <v>2.9258299999999999</v>
      </c>
      <c r="H570" s="2">
        <v>1.35419</v>
      </c>
    </row>
    <row r="571" spans="1:8" x14ac:dyDescent="0.2">
      <c r="A571" s="2" t="s">
        <v>1471</v>
      </c>
      <c r="B571" s="2" t="s">
        <v>3015</v>
      </c>
      <c r="C571" s="2" t="s">
        <v>3015</v>
      </c>
      <c r="D571" s="2" t="s">
        <v>1836</v>
      </c>
      <c r="E571" s="2" t="s">
        <v>1838</v>
      </c>
      <c r="F571" s="2">
        <v>3.2059600000000001</v>
      </c>
      <c r="G571" s="2">
        <v>8.1875</v>
      </c>
      <c r="H571" s="2">
        <v>1.35267</v>
      </c>
    </row>
    <row r="572" spans="1:8" x14ac:dyDescent="0.2">
      <c r="A572" s="2" t="s">
        <v>1742</v>
      </c>
      <c r="B572" s="2" t="s">
        <v>3038</v>
      </c>
      <c r="C572" s="2" t="s">
        <v>2487</v>
      </c>
      <c r="D572" s="2" t="s">
        <v>1839</v>
      </c>
      <c r="E572" s="2" t="s">
        <v>1841</v>
      </c>
      <c r="F572" s="2">
        <v>0.775922</v>
      </c>
      <c r="G572" s="2">
        <v>1.98156</v>
      </c>
      <c r="H572" s="2">
        <v>1.3526499999999999</v>
      </c>
    </row>
    <row r="573" spans="1:8" x14ac:dyDescent="0.2">
      <c r="A573" s="2" t="s">
        <v>1739</v>
      </c>
      <c r="B573" s="2" t="s">
        <v>3468</v>
      </c>
      <c r="C573" s="2" t="s">
        <v>2909</v>
      </c>
      <c r="D573" s="2" t="s">
        <v>1839</v>
      </c>
      <c r="E573" s="2" t="s">
        <v>1841</v>
      </c>
      <c r="F573" s="2">
        <v>0.69711299999999998</v>
      </c>
      <c r="G573" s="2">
        <v>1.7802500000000001</v>
      </c>
      <c r="H573" s="2">
        <v>1.3526199999999999</v>
      </c>
    </row>
    <row r="574" spans="1:8" x14ac:dyDescent="0.2">
      <c r="A574" s="2" t="s">
        <v>494</v>
      </c>
      <c r="B574" s="2" t="s">
        <v>3089</v>
      </c>
      <c r="C574" s="2" t="s">
        <v>2077</v>
      </c>
      <c r="D574" s="2" t="s">
        <v>1839</v>
      </c>
      <c r="E574" s="2" t="s">
        <v>1841</v>
      </c>
      <c r="F574" s="2">
        <v>1.06881</v>
      </c>
      <c r="G574" s="2">
        <v>2.7290100000000002</v>
      </c>
      <c r="H574" s="2">
        <v>1.3523799999999999</v>
      </c>
    </row>
    <row r="575" spans="1:8" x14ac:dyDescent="0.2">
      <c r="A575" s="2" t="s">
        <v>700</v>
      </c>
      <c r="B575" s="2" t="s">
        <v>3015</v>
      </c>
      <c r="C575" s="2" t="s">
        <v>2168</v>
      </c>
      <c r="D575" s="2" t="s">
        <v>1836</v>
      </c>
      <c r="E575" s="2" t="s">
        <v>1837</v>
      </c>
      <c r="F575" s="2">
        <v>1.5114399999999999</v>
      </c>
      <c r="G575" s="2">
        <v>3.85886</v>
      </c>
      <c r="H575" s="2">
        <v>1.35225</v>
      </c>
    </row>
    <row r="576" spans="1:8" x14ac:dyDescent="0.2">
      <c r="A576" s="2" t="s">
        <v>1597</v>
      </c>
      <c r="B576" s="2" t="s">
        <v>3049</v>
      </c>
      <c r="C576" s="2" t="s">
        <v>2759</v>
      </c>
      <c r="D576" s="2" t="s">
        <v>1839</v>
      </c>
      <c r="E576" s="2" t="s">
        <v>1841</v>
      </c>
      <c r="F576" s="2">
        <v>1.4579800000000001</v>
      </c>
      <c r="G576" s="2">
        <v>3.7193299999999998</v>
      </c>
      <c r="H576" s="2">
        <v>1.35107</v>
      </c>
    </row>
    <row r="577" spans="1:8" x14ac:dyDescent="0.2">
      <c r="A577" s="2" t="s">
        <v>1079</v>
      </c>
      <c r="B577" s="2" t="s">
        <v>3081</v>
      </c>
      <c r="C577" s="2" t="s">
        <v>2968</v>
      </c>
      <c r="D577" s="2" t="s">
        <v>1839</v>
      </c>
      <c r="E577" s="2" t="s">
        <v>1841</v>
      </c>
      <c r="F577" s="2">
        <v>1.0480100000000001</v>
      </c>
      <c r="G577" s="2">
        <v>2.67205</v>
      </c>
      <c r="H577" s="2">
        <v>1.35029</v>
      </c>
    </row>
    <row r="578" spans="1:8" x14ac:dyDescent="0.2">
      <c r="A578" s="2" t="s">
        <v>609</v>
      </c>
      <c r="B578" s="2" t="s">
        <v>3081</v>
      </c>
      <c r="C578" s="2" t="s">
        <v>1965</v>
      </c>
      <c r="D578" s="2" t="s">
        <v>1839</v>
      </c>
      <c r="E578" s="2" t="s">
        <v>1840</v>
      </c>
      <c r="F578" s="2">
        <v>1.6926300000000001</v>
      </c>
      <c r="G578" s="2">
        <v>4.3150399999999998</v>
      </c>
      <c r="H578" s="2">
        <v>1.3501099999999999</v>
      </c>
    </row>
    <row r="579" spans="1:8" x14ac:dyDescent="0.2">
      <c r="A579" s="2" t="s">
        <v>1390</v>
      </c>
      <c r="B579" s="2" t="s">
        <v>3362</v>
      </c>
      <c r="C579" s="2" t="s">
        <v>2569</v>
      </c>
      <c r="D579" s="2" t="s">
        <v>1839</v>
      </c>
      <c r="E579" s="2" t="s">
        <v>1841</v>
      </c>
      <c r="F579" s="2">
        <v>0.70224500000000001</v>
      </c>
      <c r="G579" s="2">
        <v>1.78921</v>
      </c>
      <c r="H579" s="2">
        <v>1.34928</v>
      </c>
    </row>
    <row r="580" spans="1:8" x14ac:dyDescent="0.2">
      <c r="A580" s="2" t="s">
        <v>501</v>
      </c>
      <c r="B580" s="2" t="s">
        <v>3015</v>
      </c>
      <c r="C580" s="2" t="s">
        <v>2488</v>
      </c>
      <c r="D580" s="2" t="s">
        <v>1839</v>
      </c>
      <c r="E580" s="2" t="s">
        <v>1840</v>
      </c>
      <c r="F580" s="2">
        <v>4.2759799999999997</v>
      </c>
      <c r="G580" s="2">
        <v>10.8805</v>
      </c>
      <c r="H580" s="2">
        <v>1.34741</v>
      </c>
    </row>
    <row r="581" spans="1:8" x14ac:dyDescent="0.2">
      <c r="A581" s="2" t="s">
        <v>395</v>
      </c>
      <c r="B581" s="2" t="s">
        <v>3015</v>
      </c>
      <c r="C581" s="2" t="s">
        <v>3016</v>
      </c>
      <c r="D581" s="2" t="s">
        <v>1836</v>
      </c>
      <c r="E581" s="2" t="s">
        <v>1837</v>
      </c>
      <c r="F581" s="2">
        <v>0.39205699999999999</v>
      </c>
      <c r="G581" s="2">
        <v>0.99755799999999994</v>
      </c>
      <c r="H581" s="2">
        <v>1.34734</v>
      </c>
    </row>
    <row r="582" spans="1:8" x14ac:dyDescent="0.2">
      <c r="A582" s="2" t="s">
        <v>858</v>
      </c>
      <c r="B582" s="2" t="s">
        <v>3224</v>
      </c>
      <c r="C582" s="2" t="s">
        <v>2240</v>
      </c>
      <c r="D582" s="2" t="s">
        <v>1836</v>
      </c>
      <c r="E582" s="2" t="s">
        <v>1838</v>
      </c>
      <c r="F582" s="2">
        <v>2.8285800000000001</v>
      </c>
      <c r="G582" s="2">
        <v>7.1889099999999999</v>
      </c>
      <c r="H582" s="2">
        <v>1.3456999999999999</v>
      </c>
    </row>
    <row r="583" spans="1:8" x14ac:dyDescent="0.2">
      <c r="A583" s="2" t="s">
        <v>908</v>
      </c>
      <c r="B583" s="2" t="s">
        <v>3015</v>
      </c>
      <c r="C583" s="2" t="s">
        <v>2916</v>
      </c>
      <c r="D583" s="2" t="s">
        <v>1839</v>
      </c>
      <c r="E583" s="2" t="s">
        <v>1841</v>
      </c>
      <c r="F583" s="2">
        <v>2.0800700000000001</v>
      </c>
      <c r="G583" s="2">
        <v>5.2853599999999998</v>
      </c>
      <c r="H583" s="2">
        <v>1.34537</v>
      </c>
    </row>
    <row r="584" spans="1:8" x14ac:dyDescent="0.2">
      <c r="A584" s="2" t="s">
        <v>1728</v>
      </c>
      <c r="B584" s="2" t="s">
        <v>3038</v>
      </c>
      <c r="C584" s="2" t="s">
        <v>2895</v>
      </c>
      <c r="D584" s="2" t="s">
        <v>1839</v>
      </c>
      <c r="E584" s="2" t="s">
        <v>1841</v>
      </c>
      <c r="F584" s="2">
        <v>1.41951</v>
      </c>
      <c r="G584" s="2">
        <v>3.60676</v>
      </c>
      <c r="H584" s="2">
        <v>1.34531</v>
      </c>
    </row>
    <row r="585" spans="1:8" x14ac:dyDescent="0.2">
      <c r="A585" s="2" t="s">
        <v>501</v>
      </c>
      <c r="B585" s="2" t="s">
        <v>3015</v>
      </c>
      <c r="C585" s="2" t="s">
        <v>2488</v>
      </c>
      <c r="D585" s="2" t="s">
        <v>1839</v>
      </c>
      <c r="E585" s="2" t="s">
        <v>1841</v>
      </c>
      <c r="F585" s="2">
        <v>4.2759799999999997</v>
      </c>
      <c r="G585" s="2">
        <v>10.8622</v>
      </c>
      <c r="H585" s="2">
        <v>1.3449800000000001</v>
      </c>
    </row>
    <row r="586" spans="1:8" x14ac:dyDescent="0.2">
      <c r="A586" s="2" t="s">
        <v>61</v>
      </c>
      <c r="B586" s="2" t="s">
        <v>3043</v>
      </c>
      <c r="C586" s="2" t="s">
        <v>1872</v>
      </c>
      <c r="D586" s="2" t="s">
        <v>1839</v>
      </c>
      <c r="E586" s="2" t="s">
        <v>1840</v>
      </c>
      <c r="F586" s="2">
        <v>0.49207600000000001</v>
      </c>
      <c r="G586" s="2">
        <v>1.24891</v>
      </c>
      <c r="H586" s="2">
        <v>1.34372</v>
      </c>
    </row>
    <row r="587" spans="1:8" x14ac:dyDescent="0.2">
      <c r="A587" s="2" t="s">
        <v>1102</v>
      </c>
      <c r="B587" s="2" t="s">
        <v>3015</v>
      </c>
      <c r="C587" s="2" t="s">
        <v>2972</v>
      </c>
      <c r="D587" s="2" t="s">
        <v>1839</v>
      </c>
      <c r="E587" s="2" t="s">
        <v>1841</v>
      </c>
      <c r="F587" s="2">
        <v>1.7233400000000001</v>
      </c>
      <c r="G587" s="2">
        <v>4.3716699999999999</v>
      </c>
      <c r="H587" s="2">
        <v>1.34297</v>
      </c>
    </row>
    <row r="588" spans="1:8" x14ac:dyDescent="0.2">
      <c r="A588" s="2" t="s">
        <v>650</v>
      </c>
      <c r="B588" s="2" t="s">
        <v>3015</v>
      </c>
      <c r="C588" s="2" t="s">
        <v>1847</v>
      </c>
      <c r="D588" s="2" t="s">
        <v>1836</v>
      </c>
      <c r="E588" s="2" t="s">
        <v>1837</v>
      </c>
      <c r="F588" s="2">
        <v>4.8729699999999996</v>
      </c>
      <c r="G588" s="2">
        <v>12.3597</v>
      </c>
      <c r="H588" s="2">
        <v>1.34277</v>
      </c>
    </row>
    <row r="589" spans="1:8" x14ac:dyDescent="0.2">
      <c r="A589" s="2" t="s">
        <v>1074</v>
      </c>
      <c r="B589" s="2" t="s">
        <v>3015</v>
      </c>
      <c r="C589" s="2" t="s">
        <v>2345</v>
      </c>
      <c r="D589" s="2" t="s">
        <v>1836</v>
      </c>
      <c r="E589" s="2" t="s">
        <v>1837</v>
      </c>
      <c r="F589" s="2">
        <v>13.259499999999999</v>
      </c>
      <c r="G589" s="2">
        <v>33.621099999999998</v>
      </c>
      <c r="H589" s="2">
        <v>1.3423400000000001</v>
      </c>
    </row>
    <row r="590" spans="1:8" x14ac:dyDescent="0.2">
      <c r="A590" s="2" t="s">
        <v>1677</v>
      </c>
      <c r="B590" s="2" t="s">
        <v>3015</v>
      </c>
      <c r="C590" s="2" t="s">
        <v>2844</v>
      </c>
      <c r="D590" s="2" t="s">
        <v>1839</v>
      </c>
      <c r="E590" s="2" t="s">
        <v>1841</v>
      </c>
      <c r="F590" s="2">
        <v>0.435002</v>
      </c>
      <c r="G590" s="2">
        <v>1.10229</v>
      </c>
      <c r="H590" s="2">
        <v>1.3413999999999999</v>
      </c>
    </row>
    <row r="591" spans="1:8" x14ac:dyDescent="0.2">
      <c r="A591" s="2" t="s">
        <v>950</v>
      </c>
      <c r="B591" s="2" t="s">
        <v>3015</v>
      </c>
      <c r="C591" s="2" t="s">
        <v>2287</v>
      </c>
      <c r="D591" s="2" t="s">
        <v>1836</v>
      </c>
      <c r="E591" s="2" t="s">
        <v>1837</v>
      </c>
      <c r="F591" s="2">
        <v>1.04511</v>
      </c>
      <c r="G591" s="2">
        <v>2.6480399999999999</v>
      </c>
      <c r="H591" s="2">
        <v>1.34127</v>
      </c>
    </row>
    <row r="592" spans="1:8" x14ac:dyDescent="0.2">
      <c r="A592" s="2" t="s">
        <v>261</v>
      </c>
      <c r="B592" s="2" t="s">
        <v>3015</v>
      </c>
      <c r="C592" s="2" t="s">
        <v>1967</v>
      </c>
      <c r="D592" s="2" t="s">
        <v>1836</v>
      </c>
      <c r="E592" s="2" t="s">
        <v>1837</v>
      </c>
      <c r="F592" s="2">
        <v>0.45937499999999998</v>
      </c>
      <c r="G592" s="2">
        <v>1.16384</v>
      </c>
      <c r="H592" s="2">
        <v>1.3411500000000001</v>
      </c>
    </row>
    <row r="593" spans="1:8" x14ac:dyDescent="0.2">
      <c r="A593" s="2" t="s">
        <v>598</v>
      </c>
      <c r="B593" s="2" t="s">
        <v>3038</v>
      </c>
      <c r="C593" s="2" t="s">
        <v>2514</v>
      </c>
      <c r="D593" s="2" t="s">
        <v>1839</v>
      </c>
      <c r="E593" s="2" t="s">
        <v>1841</v>
      </c>
      <c r="F593" s="2">
        <v>0.98475000000000001</v>
      </c>
      <c r="G593" s="2">
        <v>2.4946299999999999</v>
      </c>
      <c r="H593" s="2">
        <v>1.341</v>
      </c>
    </row>
    <row r="594" spans="1:8" x14ac:dyDescent="0.2">
      <c r="A594" s="2" t="s">
        <v>1607</v>
      </c>
      <c r="B594" s="2" t="s">
        <v>3015</v>
      </c>
      <c r="C594" s="2" t="s">
        <v>1847</v>
      </c>
      <c r="D594" s="2" t="s">
        <v>1839</v>
      </c>
      <c r="E594" s="2" t="s">
        <v>1841</v>
      </c>
      <c r="F594" s="2">
        <v>0.32757199999999997</v>
      </c>
      <c r="G594" s="2">
        <v>0.82906500000000005</v>
      </c>
      <c r="H594" s="2">
        <v>1.3396699999999999</v>
      </c>
    </row>
    <row r="595" spans="1:8" x14ac:dyDescent="0.2">
      <c r="A595" s="2" t="s">
        <v>473</v>
      </c>
      <c r="B595" s="2" t="s">
        <v>3015</v>
      </c>
      <c r="C595" s="2" t="s">
        <v>1847</v>
      </c>
      <c r="D595" s="2" t="s">
        <v>1836</v>
      </c>
      <c r="E595" s="2" t="s">
        <v>1838</v>
      </c>
      <c r="F595" s="2">
        <v>234.28299999999999</v>
      </c>
      <c r="G595" s="2">
        <v>592.55499999999995</v>
      </c>
      <c r="H595" s="2">
        <v>1.3387</v>
      </c>
    </row>
    <row r="596" spans="1:8" x14ac:dyDescent="0.2">
      <c r="A596" s="2" t="s">
        <v>1099</v>
      </c>
      <c r="B596" s="2" t="s">
        <v>3382</v>
      </c>
      <c r="C596" s="2" t="s">
        <v>3016</v>
      </c>
      <c r="D596" s="2" t="s">
        <v>1836</v>
      </c>
      <c r="E596" s="2" t="s">
        <v>1838</v>
      </c>
      <c r="F596" s="2">
        <v>6.0348600000000001</v>
      </c>
      <c r="G596" s="2">
        <v>15.2623</v>
      </c>
      <c r="H596" s="2">
        <v>1.3385800000000001</v>
      </c>
    </row>
    <row r="597" spans="1:8" x14ac:dyDescent="0.2">
      <c r="A597" s="2" t="s">
        <v>1608</v>
      </c>
      <c r="B597" s="2" t="s">
        <v>3015</v>
      </c>
      <c r="C597" s="2" t="s">
        <v>3015</v>
      </c>
      <c r="D597" s="2" t="s">
        <v>1839</v>
      </c>
      <c r="E597" s="2" t="s">
        <v>1841</v>
      </c>
      <c r="F597" s="2">
        <v>2.8765800000000001</v>
      </c>
      <c r="G597" s="2">
        <v>7.26668</v>
      </c>
      <c r="H597" s="2">
        <v>1.33694</v>
      </c>
    </row>
    <row r="598" spans="1:8" x14ac:dyDescent="0.2">
      <c r="A598" s="2" t="s">
        <v>389</v>
      </c>
      <c r="B598" s="2" t="s">
        <v>3015</v>
      </c>
      <c r="C598" s="2" t="s">
        <v>2024</v>
      </c>
      <c r="D598" s="2" t="s">
        <v>1836</v>
      </c>
      <c r="E598" s="2" t="s">
        <v>1837</v>
      </c>
      <c r="F598" s="2">
        <v>2.2618100000000001</v>
      </c>
      <c r="G598" s="2">
        <v>5.7110200000000004</v>
      </c>
      <c r="H598" s="2">
        <v>1.3362700000000001</v>
      </c>
    </row>
    <row r="599" spans="1:8" x14ac:dyDescent="0.2">
      <c r="A599" s="2" t="s">
        <v>1279</v>
      </c>
      <c r="B599" s="2" t="s">
        <v>3015</v>
      </c>
      <c r="C599" s="2" t="s">
        <v>1847</v>
      </c>
      <c r="D599" s="2" t="s">
        <v>1836</v>
      </c>
      <c r="E599" s="2" t="s">
        <v>1838</v>
      </c>
      <c r="F599" s="2">
        <v>1.3089599999999999</v>
      </c>
      <c r="G599" s="2">
        <v>3.30504</v>
      </c>
      <c r="H599" s="2">
        <v>1.3362499999999999</v>
      </c>
    </row>
    <row r="600" spans="1:8" x14ac:dyDescent="0.2">
      <c r="A600" s="2" t="s">
        <v>515</v>
      </c>
      <c r="B600" s="2" t="s">
        <v>3045</v>
      </c>
      <c r="C600" s="2" t="s">
        <v>2492</v>
      </c>
      <c r="D600" s="2" t="s">
        <v>1839</v>
      </c>
      <c r="E600" s="2" t="s">
        <v>1841</v>
      </c>
      <c r="F600" s="2">
        <v>10.161300000000001</v>
      </c>
      <c r="G600" s="2">
        <v>25.654699999999998</v>
      </c>
      <c r="H600" s="2">
        <v>1.3361400000000001</v>
      </c>
    </row>
    <row r="601" spans="1:8" x14ac:dyDescent="0.2">
      <c r="A601" s="2" t="s">
        <v>1363</v>
      </c>
      <c r="B601" s="2" t="s">
        <v>3201</v>
      </c>
      <c r="C601" s="2" t="s">
        <v>2860</v>
      </c>
      <c r="D601" s="2" t="s">
        <v>1839</v>
      </c>
      <c r="E601" s="2" t="s">
        <v>1841</v>
      </c>
      <c r="F601" s="2">
        <v>1.9721599999999999</v>
      </c>
      <c r="G601" s="2">
        <v>4.9792100000000001</v>
      </c>
      <c r="H601" s="2">
        <v>1.3361400000000001</v>
      </c>
    </row>
    <row r="602" spans="1:8" x14ac:dyDescent="0.2">
      <c r="A602" s="2" t="s">
        <v>1727</v>
      </c>
      <c r="B602" s="2" t="s">
        <v>3015</v>
      </c>
      <c r="C602" s="2" t="s">
        <v>2894</v>
      </c>
      <c r="D602" s="2" t="s">
        <v>1839</v>
      </c>
      <c r="E602" s="2" t="s">
        <v>1841</v>
      </c>
      <c r="F602" s="2">
        <v>0.355991</v>
      </c>
      <c r="G602" s="2">
        <v>0.89873599999999998</v>
      </c>
      <c r="H602" s="2">
        <v>1.33606</v>
      </c>
    </row>
    <row r="603" spans="1:8" x14ac:dyDescent="0.2">
      <c r="A603" s="2" t="s">
        <v>729</v>
      </c>
      <c r="B603" s="2" t="s">
        <v>3199</v>
      </c>
      <c r="C603" s="2" t="s">
        <v>2182</v>
      </c>
      <c r="D603" s="2" t="s">
        <v>1836</v>
      </c>
      <c r="E603" s="2" t="s">
        <v>1837</v>
      </c>
      <c r="F603" s="2">
        <v>35.938899999999997</v>
      </c>
      <c r="G603" s="2">
        <v>90.701599999999999</v>
      </c>
      <c r="H603" s="2">
        <v>1.33558</v>
      </c>
    </row>
    <row r="604" spans="1:8" x14ac:dyDescent="0.2">
      <c r="A604" s="2" t="s">
        <v>149</v>
      </c>
      <c r="B604" s="2" t="s">
        <v>3015</v>
      </c>
      <c r="C604" s="2" t="s">
        <v>1914</v>
      </c>
      <c r="D604" s="2" t="s">
        <v>1839</v>
      </c>
      <c r="E604" s="2" t="s">
        <v>1840</v>
      </c>
      <c r="F604" s="2">
        <v>1.03277</v>
      </c>
      <c r="G604" s="2">
        <v>2.6063399999999999</v>
      </c>
      <c r="H604" s="2">
        <v>1.33551</v>
      </c>
    </row>
    <row r="605" spans="1:8" x14ac:dyDescent="0.2">
      <c r="A605" s="2" t="s">
        <v>786</v>
      </c>
      <c r="B605" s="2" t="s">
        <v>3361</v>
      </c>
      <c r="C605" s="2" t="s">
        <v>2566</v>
      </c>
      <c r="D605" s="2" t="s">
        <v>1836</v>
      </c>
      <c r="E605" s="2" t="s">
        <v>1838</v>
      </c>
      <c r="F605" s="2">
        <v>484.92500000000001</v>
      </c>
      <c r="G605" s="2">
        <v>1223.5999999999999</v>
      </c>
      <c r="H605" s="2">
        <v>1.3352900000000001</v>
      </c>
    </row>
    <row r="606" spans="1:8" x14ac:dyDescent="0.2">
      <c r="A606" s="2" t="s">
        <v>1079</v>
      </c>
      <c r="B606" s="2" t="s">
        <v>3081</v>
      </c>
      <c r="C606" s="2" t="s">
        <v>2968</v>
      </c>
      <c r="D606" s="2" t="s">
        <v>1839</v>
      </c>
      <c r="E606" s="2" t="s">
        <v>1840</v>
      </c>
      <c r="F606" s="2">
        <v>1.0480100000000001</v>
      </c>
      <c r="G606" s="2">
        <v>2.6434500000000001</v>
      </c>
      <c r="H606" s="2">
        <v>1.33477</v>
      </c>
    </row>
    <row r="607" spans="1:8" x14ac:dyDescent="0.2">
      <c r="A607" s="2" t="s">
        <v>1720</v>
      </c>
      <c r="B607" s="2" t="s">
        <v>3463</v>
      </c>
      <c r="C607" s="2" t="s">
        <v>1847</v>
      </c>
      <c r="D607" s="2" t="s">
        <v>1839</v>
      </c>
      <c r="E607" s="2" t="s">
        <v>1841</v>
      </c>
      <c r="F607" s="2">
        <v>1.34111</v>
      </c>
      <c r="G607" s="2">
        <v>3.3776899999999999</v>
      </c>
      <c r="H607" s="2">
        <v>1.3326100000000001</v>
      </c>
    </row>
    <row r="608" spans="1:8" x14ac:dyDescent="0.2">
      <c r="A608" s="2" t="s">
        <v>1427</v>
      </c>
      <c r="B608" s="2" t="s">
        <v>3047</v>
      </c>
      <c r="C608" s="2" t="s">
        <v>3008</v>
      </c>
      <c r="D608" s="2" t="s">
        <v>1839</v>
      </c>
      <c r="E608" s="2" t="s">
        <v>1840</v>
      </c>
      <c r="F608" s="2">
        <v>0.45263100000000001</v>
      </c>
      <c r="G608" s="2">
        <v>1.1399900000000001</v>
      </c>
      <c r="H608" s="2">
        <v>1.3326100000000001</v>
      </c>
    </row>
    <row r="609" spans="1:8" x14ac:dyDescent="0.2">
      <c r="A609" s="2" t="s">
        <v>1570</v>
      </c>
      <c r="B609" s="2" t="s">
        <v>3063</v>
      </c>
      <c r="C609" s="2" t="s">
        <v>2727</v>
      </c>
      <c r="D609" s="2" t="s">
        <v>1839</v>
      </c>
      <c r="E609" s="2" t="s">
        <v>1841</v>
      </c>
      <c r="F609" s="2">
        <v>2.2791899999999998</v>
      </c>
      <c r="G609" s="2">
        <v>5.7371499999999997</v>
      </c>
      <c r="H609" s="2">
        <v>1.3318099999999999</v>
      </c>
    </row>
    <row r="610" spans="1:8" x14ac:dyDescent="0.2">
      <c r="A610" s="2" t="s">
        <v>1679</v>
      </c>
      <c r="B610" s="2" t="s">
        <v>3452</v>
      </c>
      <c r="C610" s="2" t="s">
        <v>1981</v>
      </c>
      <c r="D610" s="2" t="s">
        <v>1839</v>
      </c>
      <c r="E610" s="2" t="s">
        <v>1841</v>
      </c>
      <c r="F610" s="2">
        <v>0.33635900000000002</v>
      </c>
      <c r="G610" s="2">
        <v>0.84657099999999996</v>
      </c>
      <c r="H610" s="2">
        <v>1.3316300000000001</v>
      </c>
    </row>
    <row r="611" spans="1:8" x14ac:dyDescent="0.2">
      <c r="A611" s="2" t="s">
        <v>1528</v>
      </c>
      <c r="B611" s="2" t="s">
        <v>3015</v>
      </c>
      <c r="C611" s="2" t="s">
        <v>2679</v>
      </c>
      <c r="D611" s="2" t="s">
        <v>1839</v>
      </c>
      <c r="E611" s="2" t="s">
        <v>1841</v>
      </c>
      <c r="F611" s="2">
        <v>1.22532</v>
      </c>
      <c r="G611" s="2">
        <v>3.0823999999999998</v>
      </c>
      <c r="H611" s="2">
        <v>1.3309</v>
      </c>
    </row>
    <row r="612" spans="1:8" x14ac:dyDescent="0.2">
      <c r="A612" s="2" t="s">
        <v>252</v>
      </c>
      <c r="B612" s="2" t="s">
        <v>3099</v>
      </c>
      <c r="C612" s="2" t="s">
        <v>1964</v>
      </c>
      <c r="D612" s="2" t="s">
        <v>1836</v>
      </c>
      <c r="E612" s="2" t="s">
        <v>1837</v>
      </c>
      <c r="F612" s="2">
        <v>2.1866500000000002</v>
      </c>
      <c r="G612" s="2">
        <v>5.49892</v>
      </c>
      <c r="H612" s="2">
        <v>1.3304199999999999</v>
      </c>
    </row>
    <row r="613" spans="1:8" x14ac:dyDescent="0.2">
      <c r="A613" s="2" t="s">
        <v>391</v>
      </c>
      <c r="B613" s="2" t="s">
        <v>3062</v>
      </c>
      <c r="C613" s="2" t="s">
        <v>2025</v>
      </c>
      <c r="D613" s="2" t="s">
        <v>1836</v>
      </c>
      <c r="E613" s="2" t="s">
        <v>1837</v>
      </c>
      <c r="F613" s="2">
        <v>0.91369800000000001</v>
      </c>
      <c r="G613" s="2">
        <v>2.2955999999999999</v>
      </c>
      <c r="H613" s="2">
        <v>1.32908</v>
      </c>
    </row>
    <row r="614" spans="1:8" x14ac:dyDescent="0.2">
      <c r="A614" s="2" t="s">
        <v>797</v>
      </c>
      <c r="B614" s="2" t="s">
        <v>3209</v>
      </c>
      <c r="C614" s="2" t="s">
        <v>2205</v>
      </c>
      <c r="D614" s="2" t="s">
        <v>1839</v>
      </c>
      <c r="E614" s="2" t="s">
        <v>1840</v>
      </c>
      <c r="F614" s="2">
        <v>4.9151699999999998</v>
      </c>
      <c r="G614" s="2">
        <v>12.347</v>
      </c>
      <c r="H614" s="2">
        <v>1.3288500000000001</v>
      </c>
    </row>
    <row r="615" spans="1:8" x14ac:dyDescent="0.2">
      <c r="A615" s="2" t="s">
        <v>186</v>
      </c>
      <c r="B615" s="2" t="s">
        <v>3075</v>
      </c>
      <c r="C615" s="2" t="s">
        <v>1931</v>
      </c>
      <c r="D615" s="2" t="s">
        <v>1836</v>
      </c>
      <c r="E615" s="2" t="s">
        <v>1838</v>
      </c>
      <c r="F615" s="2">
        <v>0.72375800000000001</v>
      </c>
      <c r="G615" s="2">
        <v>1.81793</v>
      </c>
      <c r="H615" s="2">
        <v>1.3287199999999999</v>
      </c>
    </row>
    <row r="616" spans="1:8" x14ac:dyDescent="0.2">
      <c r="A616" s="2" t="s">
        <v>335</v>
      </c>
      <c r="B616" s="2" t="s">
        <v>3015</v>
      </c>
      <c r="C616" s="2" t="s">
        <v>2002</v>
      </c>
      <c r="D616" s="2" t="s">
        <v>1839</v>
      </c>
      <c r="E616" s="2" t="s">
        <v>1841</v>
      </c>
      <c r="F616" s="2">
        <v>1.7890600000000001</v>
      </c>
      <c r="G616" s="2">
        <v>4.4913800000000004</v>
      </c>
      <c r="H616" s="2">
        <v>1.32795</v>
      </c>
    </row>
    <row r="617" spans="1:8" x14ac:dyDescent="0.2">
      <c r="A617" s="2" t="s">
        <v>1717</v>
      </c>
      <c r="B617" s="2" t="s">
        <v>3015</v>
      </c>
      <c r="C617" s="2" t="s">
        <v>2880</v>
      </c>
      <c r="D617" s="2" t="s">
        <v>1839</v>
      </c>
      <c r="E617" s="2" t="s">
        <v>1840</v>
      </c>
      <c r="F617" s="2">
        <v>1.2552000000000001</v>
      </c>
      <c r="G617" s="2">
        <v>3.1433399999999998</v>
      </c>
      <c r="H617" s="2">
        <v>1.32439</v>
      </c>
    </row>
    <row r="618" spans="1:8" x14ac:dyDescent="0.2">
      <c r="A618" s="2" t="s">
        <v>1493</v>
      </c>
      <c r="B618" s="2" t="s">
        <v>3095</v>
      </c>
      <c r="C618" s="2" t="s">
        <v>2637</v>
      </c>
      <c r="D618" s="2" t="s">
        <v>1839</v>
      </c>
      <c r="E618" s="2" t="s">
        <v>1841</v>
      </c>
      <c r="F618" s="2">
        <v>0.421456</v>
      </c>
      <c r="G618" s="2">
        <v>1.0553300000000001</v>
      </c>
      <c r="H618" s="2">
        <v>1.3242400000000001</v>
      </c>
    </row>
    <row r="619" spans="1:8" x14ac:dyDescent="0.2">
      <c r="A619" s="2" t="s">
        <v>1075</v>
      </c>
      <c r="B619" s="2" t="s">
        <v>3015</v>
      </c>
      <c r="C619" s="2" t="s">
        <v>2346</v>
      </c>
      <c r="D619" s="2" t="s">
        <v>1836</v>
      </c>
      <c r="E619" s="2" t="s">
        <v>1837</v>
      </c>
      <c r="F619" s="2">
        <v>10.3756</v>
      </c>
      <c r="G619" s="2">
        <v>25.9787</v>
      </c>
      <c r="H619" s="2">
        <v>1.32413</v>
      </c>
    </row>
    <row r="620" spans="1:8" x14ac:dyDescent="0.2">
      <c r="A620" s="2" t="s">
        <v>588</v>
      </c>
      <c r="B620" s="2" t="s">
        <v>3015</v>
      </c>
      <c r="C620" s="2" t="s">
        <v>2120</v>
      </c>
      <c r="D620" s="2" t="s">
        <v>1836</v>
      </c>
      <c r="E620" s="2" t="s">
        <v>1838</v>
      </c>
      <c r="F620" s="2">
        <v>4.5272600000000001</v>
      </c>
      <c r="G620" s="2">
        <v>11.312799999999999</v>
      </c>
      <c r="H620" s="2">
        <v>1.32124</v>
      </c>
    </row>
    <row r="621" spans="1:8" x14ac:dyDescent="0.2">
      <c r="A621" s="2" t="s">
        <v>78</v>
      </c>
      <c r="B621" s="2" t="s">
        <v>3288</v>
      </c>
      <c r="C621" s="2" t="s">
        <v>2641</v>
      </c>
      <c r="D621" s="2" t="s">
        <v>1839</v>
      </c>
      <c r="E621" s="2" t="s">
        <v>1841</v>
      </c>
      <c r="F621" s="2">
        <v>13.1106</v>
      </c>
      <c r="G621" s="2">
        <v>32.755000000000003</v>
      </c>
      <c r="H621" s="2">
        <v>1.32098</v>
      </c>
    </row>
    <row r="622" spans="1:8" x14ac:dyDescent="0.2">
      <c r="A622" s="2" t="s">
        <v>513</v>
      </c>
      <c r="B622" s="2" t="s">
        <v>3431</v>
      </c>
      <c r="C622" s="2" t="s">
        <v>2783</v>
      </c>
      <c r="D622" s="2" t="s">
        <v>1839</v>
      </c>
      <c r="E622" s="2" t="s">
        <v>1841</v>
      </c>
      <c r="F622" s="2">
        <v>6.2676499999999997</v>
      </c>
      <c r="G622" s="2">
        <v>15.6577</v>
      </c>
      <c r="H622" s="2">
        <v>1.3208800000000001</v>
      </c>
    </row>
    <row r="623" spans="1:8" x14ac:dyDescent="0.2">
      <c r="A623" s="2" t="s">
        <v>1829</v>
      </c>
      <c r="B623" s="2" t="s">
        <v>3492</v>
      </c>
      <c r="C623" s="2" t="s">
        <v>2874</v>
      </c>
      <c r="D623" s="2" t="s">
        <v>1839</v>
      </c>
      <c r="E623" s="2" t="s">
        <v>1840</v>
      </c>
      <c r="F623" s="2">
        <v>0.52573999999999999</v>
      </c>
      <c r="G623" s="2">
        <v>1.3131999999999999</v>
      </c>
      <c r="H623" s="2">
        <v>1.32067</v>
      </c>
    </row>
    <row r="624" spans="1:8" x14ac:dyDescent="0.2">
      <c r="A624" s="2" t="s">
        <v>737</v>
      </c>
      <c r="B624" s="2" t="s">
        <v>3178</v>
      </c>
      <c r="C624" s="2" t="s">
        <v>2184</v>
      </c>
      <c r="D624" s="2" t="s">
        <v>1836</v>
      </c>
      <c r="E624" s="2" t="s">
        <v>1837</v>
      </c>
      <c r="F624" s="2">
        <v>0.57511199999999996</v>
      </c>
      <c r="G624" s="2">
        <v>1.4343300000000001</v>
      </c>
      <c r="H624" s="2">
        <v>1.31846</v>
      </c>
    </row>
    <row r="625" spans="1:8" x14ac:dyDescent="0.2">
      <c r="A625" s="2" t="s">
        <v>1350</v>
      </c>
      <c r="B625" s="2" t="s">
        <v>3030</v>
      </c>
      <c r="C625" s="2" t="s">
        <v>2540</v>
      </c>
      <c r="D625" s="2" t="s">
        <v>1839</v>
      </c>
      <c r="E625" s="2" t="s">
        <v>1841</v>
      </c>
      <c r="F625" s="2">
        <v>5.3435300000000003</v>
      </c>
      <c r="G625" s="2">
        <v>13.323600000000001</v>
      </c>
      <c r="H625" s="2">
        <v>1.31812</v>
      </c>
    </row>
    <row r="626" spans="1:8" x14ac:dyDescent="0.2">
      <c r="A626" s="2" t="s">
        <v>576</v>
      </c>
      <c r="B626" s="2" t="s">
        <v>3166</v>
      </c>
      <c r="C626" s="2" t="s">
        <v>2114</v>
      </c>
      <c r="D626" s="2" t="s">
        <v>1836</v>
      </c>
      <c r="E626" s="2" t="s">
        <v>1837</v>
      </c>
      <c r="F626" s="2">
        <v>1.2992600000000001</v>
      </c>
      <c r="G626" s="2">
        <v>3.2368700000000001</v>
      </c>
      <c r="H626" s="2">
        <v>1.31691</v>
      </c>
    </row>
    <row r="627" spans="1:8" x14ac:dyDescent="0.2">
      <c r="A627" s="2" t="s">
        <v>1236</v>
      </c>
      <c r="B627" s="2" t="s">
        <v>3015</v>
      </c>
      <c r="C627" s="2" t="s">
        <v>3016</v>
      </c>
      <c r="D627" s="2" t="s">
        <v>1836</v>
      </c>
      <c r="E627" s="2" t="s">
        <v>1838</v>
      </c>
      <c r="F627" s="2">
        <v>1.4484900000000001</v>
      </c>
      <c r="G627" s="2">
        <v>3.6059800000000002</v>
      </c>
      <c r="H627" s="2">
        <v>1.3158399999999999</v>
      </c>
    </row>
    <row r="628" spans="1:8" x14ac:dyDescent="0.2">
      <c r="A628" s="2" t="s">
        <v>1221</v>
      </c>
      <c r="B628" s="2" t="s">
        <v>3409</v>
      </c>
      <c r="C628" s="2" t="s">
        <v>2712</v>
      </c>
      <c r="D628" s="2" t="s">
        <v>1839</v>
      </c>
      <c r="E628" s="2" t="s">
        <v>1841</v>
      </c>
      <c r="F628" s="2">
        <v>3.3682099999999999</v>
      </c>
      <c r="G628" s="2">
        <v>8.3827499999999997</v>
      </c>
      <c r="H628" s="2">
        <v>1.3154399999999999</v>
      </c>
    </row>
    <row r="629" spans="1:8" x14ac:dyDescent="0.2">
      <c r="A629" s="2" t="s">
        <v>906</v>
      </c>
      <c r="B629" s="2" t="s">
        <v>3027</v>
      </c>
      <c r="C629" s="2" t="s">
        <v>2263</v>
      </c>
      <c r="D629" s="2" t="s">
        <v>1836</v>
      </c>
      <c r="E629" s="2" t="s">
        <v>1837</v>
      </c>
      <c r="F629" s="2">
        <v>0.38800499999999999</v>
      </c>
      <c r="G629" s="2">
        <v>0.96561699999999995</v>
      </c>
      <c r="H629" s="2">
        <v>1.31538</v>
      </c>
    </row>
    <row r="630" spans="1:8" x14ac:dyDescent="0.2">
      <c r="A630" s="2" t="s">
        <v>388</v>
      </c>
      <c r="B630" s="2" t="s">
        <v>3015</v>
      </c>
      <c r="C630" s="2" t="s">
        <v>2023</v>
      </c>
      <c r="D630" s="2" t="s">
        <v>1839</v>
      </c>
      <c r="E630" s="2" t="s">
        <v>1841</v>
      </c>
      <c r="F630" s="2">
        <v>2.80626</v>
      </c>
      <c r="G630" s="2">
        <v>6.9825200000000001</v>
      </c>
      <c r="H630" s="2">
        <v>1.3150999999999999</v>
      </c>
    </row>
    <row r="631" spans="1:8" x14ac:dyDescent="0.2">
      <c r="A631" s="2" t="s">
        <v>986</v>
      </c>
      <c r="B631" s="2" t="s">
        <v>3015</v>
      </c>
      <c r="C631" s="2" t="s">
        <v>1880</v>
      </c>
      <c r="D631" s="2" t="s">
        <v>1836</v>
      </c>
      <c r="E631" s="2" t="s">
        <v>1837</v>
      </c>
      <c r="F631" s="2">
        <v>13.730700000000001</v>
      </c>
      <c r="G631" s="2">
        <v>34.090699999999998</v>
      </c>
      <c r="H631" s="2">
        <v>1.3119700000000001</v>
      </c>
    </row>
    <row r="632" spans="1:8" x14ac:dyDescent="0.2">
      <c r="A632" s="2" t="s">
        <v>742</v>
      </c>
      <c r="B632" s="2" t="s">
        <v>3058</v>
      </c>
      <c r="C632" s="2" t="s">
        <v>2185</v>
      </c>
      <c r="D632" s="2" t="s">
        <v>1839</v>
      </c>
      <c r="E632" s="2" t="s">
        <v>1841</v>
      </c>
      <c r="F632" s="2">
        <v>0.49836200000000003</v>
      </c>
      <c r="G632" s="2">
        <v>1.23603</v>
      </c>
      <c r="H632" s="2">
        <v>1.3104499999999999</v>
      </c>
    </row>
    <row r="633" spans="1:8" x14ac:dyDescent="0.2">
      <c r="A633" s="2" t="s">
        <v>1621</v>
      </c>
      <c r="B633" s="2" t="s">
        <v>3434</v>
      </c>
      <c r="C633" s="2" t="s">
        <v>2787</v>
      </c>
      <c r="D633" s="2" t="s">
        <v>1839</v>
      </c>
      <c r="E633" s="2" t="s">
        <v>1840</v>
      </c>
      <c r="F633" s="2">
        <v>0.38133099999999998</v>
      </c>
      <c r="G633" s="2">
        <v>0.94569700000000001</v>
      </c>
      <c r="H633" s="2">
        <v>1.31033</v>
      </c>
    </row>
    <row r="634" spans="1:8" x14ac:dyDescent="0.2">
      <c r="A634" s="2" t="s">
        <v>1796</v>
      </c>
      <c r="B634" s="2" t="s">
        <v>3015</v>
      </c>
      <c r="C634" s="2" t="s">
        <v>1914</v>
      </c>
      <c r="D634" s="2" t="s">
        <v>1839</v>
      </c>
      <c r="E634" s="2" t="s">
        <v>1840</v>
      </c>
      <c r="F634" s="2">
        <v>1.15368</v>
      </c>
      <c r="G634" s="2">
        <v>2.8591299999999999</v>
      </c>
      <c r="H634" s="2">
        <v>1.3093399999999999</v>
      </c>
    </row>
    <row r="635" spans="1:8" x14ac:dyDescent="0.2">
      <c r="A635" s="2" t="s">
        <v>724</v>
      </c>
      <c r="B635" s="2" t="s">
        <v>3037</v>
      </c>
      <c r="C635" s="2" t="s">
        <v>2180</v>
      </c>
      <c r="D635" s="2" t="s">
        <v>1836</v>
      </c>
      <c r="E635" s="2" t="s">
        <v>1837</v>
      </c>
      <c r="F635" s="2">
        <v>1.02461</v>
      </c>
      <c r="G635" s="2">
        <v>2.5386000000000002</v>
      </c>
      <c r="H635" s="2">
        <v>1.3089500000000001</v>
      </c>
    </row>
    <row r="636" spans="1:8" x14ac:dyDescent="0.2">
      <c r="A636" s="2" t="s">
        <v>1128</v>
      </c>
      <c r="B636" s="2" t="s">
        <v>3279</v>
      </c>
      <c r="C636" s="2" t="s">
        <v>3015</v>
      </c>
      <c r="D636" s="2" t="s">
        <v>1836</v>
      </c>
      <c r="E636" s="2" t="s">
        <v>1838</v>
      </c>
      <c r="F636" s="2">
        <v>21.359500000000001</v>
      </c>
      <c r="G636" s="2">
        <v>52.918700000000001</v>
      </c>
      <c r="H636" s="2">
        <v>1.3089</v>
      </c>
    </row>
    <row r="637" spans="1:8" x14ac:dyDescent="0.2">
      <c r="A637" s="2" t="s">
        <v>663</v>
      </c>
      <c r="B637" s="2" t="s">
        <v>3186</v>
      </c>
      <c r="C637" s="2" t="s">
        <v>2153</v>
      </c>
      <c r="D637" s="2" t="s">
        <v>1836</v>
      </c>
      <c r="E637" s="2" t="s">
        <v>1837</v>
      </c>
      <c r="F637" s="2">
        <v>2.2288199999999998</v>
      </c>
      <c r="G637" s="2">
        <v>5.5218600000000002</v>
      </c>
      <c r="H637" s="2">
        <v>1.30888</v>
      </c>
    </row>
    <row r="638" spans="1:8" x14ac:dyDescent="0.2">
      <c r="A638" s="2" t="s">
        <v>1626</v>
      </c>
      <c r="B638" s="2" t="s">
        <v>3015</v>
      </c>
      <c r="C638" s="2" t="s">
        <v>2790</v>
      </c>
      <c r="D638" s="2" t="s">
        <v>1839</v>
      </c>
      <c r="E638" s="2" t="s">
        <v>1841</v>
      </c>
      <c r="F638" s="2">
        <v>6.2104999999999997</v>
      </c>
      <c r="G638" s="2">
        <v>15.3865</v>
      </c>
      <c r="H638" s="2">
        <v>1.30888</v>
      </c>
    </row>
    <row r="639" spans="1:8" x14ac:dyDescent="0.2">
      <c r="A639" s="2" t="s">
        <v>534</v>
      </c>
      <c r="B639" s="2" t="s">
        <v>3155</v>
      </c>
      <c r="C639" s="2" t="s">
        <v>2097</v>
      </c>
      <c r="D639" s="2" t="s">
        <v>1836</v>
      </c>
      <c r="E639" s="2" t="s">
        <v>1837</v>
      </c>
      <c r="F639" s="2">
        <v>53.986800000000002</v>
      </c>
      <c r="G639" s="2">
        <v>133.63800000000001</v>
      </c>
      <c r="H639" s="2">
        <v>1.30765</v>
      </c>
    </row>
    <row r="640" spans="1:8" x14ac:dyDescent="0.2">
      <c r="A640" s="2" t="s">
        <v>785</v>
      </c>
      <c r="B640" s="2" t="s">
        <v>3049</v>
      </c>
      <c r="C640" s="2" t="s">
        <v>2201</v>
      </c>
      <c r="D640" s="2" t="s">
        <v>1836</v>
      </c>
      <c r="E640" s="2" t="s">
        <v>1837</v>
      </c>
      <c r="F640" s="2">
        <v>2.1947100000000002</v>
      </c>
      <c r="G640" s="2">
        <v>5.4327399999999999</v>
      </c>
      <c r="H640" s="2">
        <v>1.30765</v>
      </c>
    </row>
    <row r="641" spans="1:8" x14ac:dyDescent="0.2">
      <c r="A641" s="2" t="s">
        <v>1405</v>
      </c>
      <c r="B641" s="2" t="s">
        <v>3015</v>
      </c>
      <c r="C641" s="2" t="s">
        <v>3016</v>
      </c>
      <c r="D641" s="2" t="s">
        <v>1836</v>
      </c>
      <c r="E641" s="2" t="s">
        <v>1838</v>
      </c>
      <c r="F641" s="2">
        <v>4.9256500000000001</v>
      </c>
      <c r="G641" s="2">
        <v>12.1843</v>
      </c>
      <c r="H641" s="2">
        <v>1.30664</v>
      </c>
    </row>
    <row r="642" spans="1:8" x14ac:dyDescent="0.2">
      <c r="A642" s="2" t="s">
        <v>252</v>
      </c>
      <c r="B642" s="2" t="s">
        <v>3099</v>
      </c>
      <c r="C642" s="2" t="s">
        <v>1964</v>
      </c>
      <c r="D642" s="2" t="s">
        <v>1839</v>
      </c>
      <c r="E642" s="2" t="s">
        <v>1841</v>
      </c>
      <c r="F642" s="2">
        <v>3.9460600000000001</v>
      </c>
      <c r="G642" s="2">
        <v>9.7537099999999999</v>
      </c>
      <c r="H642" s="2">
        <v>1.3055399999999999</v>
      </c>
    </row>
    <row r="643" spans="1:8" x14ac:dyDescent="0.2">
      <c r="A643" s="2" t="s">
        <v>506</v>
      </c>
      <c r="B643" s="2" t="s">
        <v>3015</v>
      </c>
      <c r="C643" s="2" t="s">
        <v>2779</v>
      </c>
      <c r="D643" s="2" t="s">
        <v>1839</v>
      </c>
      <c r="E643" s="2" t="s">
        <v>1841</v>
      </c>
      <c r="F643" s="2">
        <v>2.5784600000000002</v>
      </c>
      <c r="G643" s="2">
        <v>6.3716799999999996</v>
      </c>
      <c r="H643" s="2">
        <v>1.3051600000000001</v>
      </c>
    </row>
    <row r="644" spans="1:8" x14ac:dyDescent="0.2">
      <c r="A644" s="2" t="s">
        <v>457</v>
      </c>
      <c r="B644" s="2" t="s">
        <v>3015</v>
      </c>
      <c r="C644" s="2" t="s">
        <v>3016</v>
      </c>
      <c r="D644" s="2" t="s">
        <v>1836</v>
      </c>
      <c r="E644" s="2" t="s">
        <v>1837</v>
      </c>
      <c r="F644" s="2">
        <v>1.3376999999999999</v>
      </c>
      <c r="G644" s="2">
        <v>3.3021400000000001</v>
      </c>
      <c r="H644" s="2">
        <v>1.3036399999999999</v>
      </c>
    </row>
    <row r="645" spans="1:8" x14ac:dyDescent="0.2">
      <c r="A645" s="2" t="s">
        <v>923</v>
      </c>
      <c r="B645" s="2" t="s">
        <v>3473</v>
      </c>
      <c r="C645" s="2" t="s">
        <v>2925</v>
      </c>
      <c r="D645" s="2" t="s">
        <v>1839</v>
      </c>
      <c r="E645" s="2" t="s">
        <v>1841</v>
      </c>
      <c r="F645" s="2">
        <v>4.2315100000000001</v>
      </c>
      <c r="G645" s="2">
        <v>10.4399</v>
      </c>
      <c r="H645" s="2">
        <v>1.3028599999999999</v>
      </c>
    </row>
    <row r="646" spans="1:8" x14ac:dyDescent="0.2">
      <c r="A646" s="2" t="s">
        <v>850</v>
      </c>
      <c r="B646" s="2" t="s">
        <v>3015</v>
      </c>
      <c r="C646" s="2" t="s">
        <v>2899</v>
      </c>
      <c r="D646" s="2" t="s">
        <v>1839</v>
      </c>
      <c r="E646" s="2" t="s">
        <v>1841</v>
      </c>
      <c r="F646" s="2">
        <v>1.10076</v>
      </c>
      <c r="G646" s="2">
        <v>2.7155499999999999</v>
      </c>
      <c r="H646" s="2">
        <v>1.3027500000000001</v>
      </c>
    </row>
    <row r="647" spans="1:8" x14ac:dyDescent="0.2">
      <c r="A647" s="2" t="s">
        <v>593</v>
      </c>
      <c r="B647" s="2" t="s">
        <v>3015</v>
      </c>
      <c r="C647" s="2" t="s">
        <v>2810</v>
      </c>
      <c r="D647" s="2" t="s">
        <v>1839</v>
      </c>
      <c r="E647" s="2" t="s">
        <v>1841</v>
      </c>
      <c r="F647" s="2">
        <v>2.2961800000000001</v>
      </c>
      <c r="G647" s="2">
        <v>5.6645700000000003</v>
      </c>
      <c r="H647" s="2">
        <v>1.3027299999999999</v>
      </c>
    </row>
    <row r="648" spans="1:8" x14ac:dyDescent="0.2">
      <c r="A648" s="2" t="s">
        <v>276</v>
      </c>
      <c r="B648" s="2" t="s">
        <v>3081</v>
      </c>
      <c r="C648" s="2" t="s">
        <v>1847</v>
      </c>
      <c r="D648" s="2" t="s">
        <v>1839</v>
      </c>
      <c r="E648" s="2" t="s">
        <v>1840</v>
      </c>
      <c r="F648" s="2">
        <v>1.6157300000000001</v>
      </c>
      <c r="G648" s="2">
        <v>3.9847000000000001</v>
      </c>
      <c r="H648" s="2">
        <v>1.3022899999999999</v>
      </c>
    </row>
    <row r="649" spans="1:8" x14ac:dyDescent="0.2">
      <c r="A649" s="2" t="s">
        <v>1041</v>
      </c>
      <c r="B649" s="2" t="s">
        <v>3015</v>
      </c>
      <c r="C649" s="2" t="s">
        <v>2331</v>
      </c>
      <c r="D649" s="2" t="s">
        <v>1836</v>
      </c>
      <c r="E649" s="2" t="s">
        <v>1837</v>
      </c>
      <c r="F649" s="2">
        <v>0.95049799999999995</v>
      </c>
      <c r="G649" s="2">
        <v>2.34327</v>
      </c>
      <c r="H649" s="2">
        <v>1.3017700000000001</v>
      </c>
    </row>
    <row r="650" spans="1:8" x14ac:dyDescent="0.2">
      <c r="A650" s="2" t="s">
        <v>1108</v>
      </c>
      <c r="B650" s="2" t="s">
        <v>3258</v>
      </c>
      <c r="C650" s="2" t="s">
        <v>2973</v>
      </c>
      <c r="D650" s="2" t="s">
        <v>1839</v>
      </c>
      <c r="E650" s="2" t="s">
        <v>1841</v>
      </c>
      <c r="F650" s="2">
        <v>14.395200000000001</v>
      </c>
      <c r="G650" s="2">
        <v>35.425899999999999</v>
      </c>
      <c r="H650" s="2">
        <v>1.29922</v>
      </c>
    </row>
    <row r="651" spans="1:8" x14ac:dyDescent="0.2">
      <c r="A651" s="2" t="s">
        <v>1261</v>
      </c>
      <c r="B651" s="2" t="s">
        <v>3015</v>
      </c>
      <c r="C651" s="2" t="s">
        <v>2464</v>
      </c>
      <c r="D651" s="2" t="s">
        <v>1836</v>
      </c>
      <c r="E651" s="2" t="s">
        <v>1838</v>
      </c>
      <c r="F651" s="2">
        <v>0.63845200000000002</v>
      </c>
      <c r="G651" s="2">
        <v>1.57091</v>
      </c>
      <c r="H651" s="2">
        <v>1.29895</v>
      </c>
    </row>
    <row r="652" spans="1:8" x14ac:dyDescent="0.2">
      <c r="A652" s="2" t="s">
        <v>1310</v>
      </c>
      <c r="B652" s="2" t="s">
        <v>3015</v>
      </c>
      <c r="C652" s="2" t="s">
        <v>2808</v>
      </c>
      <c r="D652" s="2" t="s">
        <v>1839</v>
      </c>
      <c r="E652" s="2" t="s">
        <v>1841</v>
      </c>
      <c r="F652" s="2">
        <v>6.4358700000000004</v>
      </c>
      <c r="G652" s="2">
        <v>15.832100000000001</v>
      </c>
      <c r="H652" s="2">
        <v>1.29864</v>
      </c>
    </row>
    <row r="653" spans="1:8" x14ac:dyDescent="0.2">
      <c r="A653" s="2" t="s">
        <v>1496</v>
      </c>
      <c r="B653" s="2" t="s">
        <v>3045</v>
      </c>
      <c r="C653" s="2" t="s">
        <v>1923</v>
      </c>
      <c r="D653" s="2" t="s">
        <v>1839</v>
      </c>
      <c r="E653" s="2" t="s">
        <v>1841</v>
      </c>
      <c r="F653" s="2">
        <v>0.54065200000000002</v>
      </c>
      <c r="G653" s="2">
        <v>1.3278000000000001</v>
      </c>
      <c r="H653" s="2">
        <v>1.29626</v>
      </c>
    </row>
    <row r="654" spans="1:8" x14ac:dyDescent="0.2">
      <c r="A654" s="2" t="s">
        <v>1800</v>
      </c>
      <c r="B654" s="2" t="s">
        <v>3015</v>
      </c>
      <c r="C654" s="2" t="s">
        <v>2978</v>
      </c>
      <c r="D654" s="2" t="s">
        <v>1839</v>
      </c>
      <c r="E654" s="2" t="s">
        <v>1840</v>
      </c>
      <c r="F654" s="2">
        <v>0.36792599999999998</v>
      </c>
      <c r="G654" s="2">
        <v>0.90292499999999998</v>
      </c>
      <c r="H654" s="2">
        <v>1.2951900000000001</v>
      </c>
    </row>
    <row r="655" spans="1:8" x14ac:dyDescent="0.2">
      <c r="A655" s="2" t="s">
        <v>284</v>
      </c>
      <c r="B655" s="2" t="s">
        <v>3226</v>
      </c>
      <c r="C655" s="2" t="s">
        <v>2711</v>
      </c>
      <c r="D655" s="2" t="s">
        <v>1839</v>
      </c>
      <c r="E655" s="2" t="s">
        <v>1841</v>
      </c>
      <c r="F655" s="2">
        <v>4.4112299999999998</v>
      </c>
      <c r="G655" s="2">
        <v>10.8224</v>
      </c>
      <c r="H655" s="2">
        <v>1.29477</v>
      </c>
    </row>
    <row r="656" spans="1:8" x14ac:dyDescent="0.2">
      <c r="A656" s="2" t="s">
        <v>1347</v>
      </c>
      <c r="B656" s="2" t="s">
        <v>3450</v>
      </c>
      <c r="C656" s="2" t="s">
        <v>2841</v>
      </c>
      <c r="D656" s="2" t="s">
        <v>1839</v>
      </c>
      <c r="E656" s="2" t="s">
        <v>1841</v>
      </c>
      <c r="F656" s="2">
        <v>10.7033</v>
      </c>
      <c r="G656" s="2">
        <v>26.236000000000001</v>
      </c>
      <c r="H656" s="2">
        <v>1.2935000000000001</v>
      </c>
    </row>
    <row r="657" spans="1:8" x14ac:dyDescent="0.2">
      <c r="A657" s="2" t="s">
        <v>1193</v>
      </c>
      <c r="B657" s="2" t="s">
        <v>3399</v>
      </c>
      <c r="C657" s="2" t="s">
        <v>2003</v>
      </c>
      <c r="D657" s="2" t="s">
        <v>1839</v>
      </c>
      <c r="E657" s="2" t="s">
        <v>1840</v>
      </c>
      <c r="F657" s="2">
        <v>0.42597400000000002</v>
      </c>
      <c r="G657" s="2">
        <v>1.04312</v>
      </c>
      <c r="H657" s="2">
        <v>1.2920700000000001</v>
      </c>
    </row>
    <row r="658" spans="1:8" x14ac:dyDescent="0.2">
      <c r="A658" s="2" t="s">
        <v>1336</v>
      </c>
      <c r="B658" s="2" t="s">
        <v>3015</v>
      </c>
      <c r="C658" s="2" t="s">
        <v>2999</v>
      </c>
      <c r="D658" s="2" t="s">
        <v>1839</v>
      </c>
      <c r="E658" s="2" t="s">
        <v>1840</v>
      </c>
      <c r="F658" s="2">
        <v>7.7910300000000001</v>
      </c>
      <c r="G658" s="2">
        <v>19.075800000000001</v>
      </c>
      <c r="H658" s="2">
        <v>1.2918499999999999</v>
      </c>
    </row>
    <row r="659" spans="1:8" x14ac:dyDescent="0.2">
      <c r="A659" s="2" t="s">
        <v>1310</v>
      </c>
      <c r="B659" s="2" t="s">
        <v>3015</v>
      </c>
      <c r="C659" s="2" t="s">
        <v>2808</v>
      </c>
      <c r="D659" s="2" t="s">
        <v>1839</v>
      </c>
      <c r="E659" s="2" t="s">
        <v>1840</v>
      </c>
      <c r="F659" s="2">
        <v>6.4358700000000004</v>
      </c>
      <c r="G659" s="2">
        <v>15.7575</v>
      </c>
      <c r="H659" s="2">
        <v>1.2918400000000001</v>
      </c>
    </row>
    <row r="660" spans="1:8" x14ac:dyDescent="0.2">
      <c r="A660" s="2" t="s">
        <v>1258</v>
      </c>
      <c r="B660" s="2" t="s">
        <v>3153</v>
      </c>
      <c r="C660" s="2" t="s">
        <v>2462</v>
      </c>
      <c r="D660" s="2" t="s">
        <v>1839</v>
      </c>
      <c r="E660" s="2" t="s">
        <v>1840</v>
      </c>
      <c r="F660" s="2">
        <v>5.0748800000000003</v>
      </c>
      <c r="G660" s="2">
        <v>12.413</v>
      </c>
      <c r="H660" s="2">
        <v>1.2904100000000001</v>
      </c>
    </row>
    <row r="661" spans="1:8" x14ac:dyDescent="0.2">
      <c r="A661" s="2" t="s">
        <v>1571</v>
      </c>
      <c r="B661" s="2" t="s">
        <v>3415</v>
      </c>
      <c r="C661" s="2" t="s">
        <v>2728</v>
      </c>
      <c r="D661" s="2" t="s">
        <v>1839</v>
      </c>
      <c r="E661" s="2" t="s">
        <v>1841</v>
      </c>
      <c r="F661" s="2">
        <v>0.50380199999999997</v>
      </c>
      <c r="G661" s="2">
        <v>1.23194</v>
      </c>
      <c r="H661" s="2">
        <v>1.29</v>
      </c>
    </row>
    <row r="662" spans="1:8" x14ac:dyDescent="0.2">
      <c r="A662" s="2" t="s">
        <v>1140</v>
      </c>
      <c r="B662" s="2" t="s">
        <v>3282</v>
      </c>
      <c r="C662" s="2" t="s">
        <v>2373</v>
      </c>
      <c r="D662" s="2" t="s">
        <v>1836</v>
      </c>
      <c r="E662" s="2" t="s">
        <v>1838</v>
      </c>
      <c r="F662" s="2">
        <v>0.69743999999999995</v>
      </c>
      <c r="G662" s="2">
        <v>1.7045399999999999</v>
      </c>
      <c r="H662" s="2">
        <v>1.2892399999999999</v>
      </c>
    </row>
    <row r="663" spans="1:8" x14ac:dyDescent="0.2">
      <c r="A663" s="2" t="s">
        <v>1048</v>
      </c>
      <c r="B663" s="2" t="s">
        <v>3481</v>
      </c>
      <c r="C663" s="2" t="s">
        <v>2955</v>
      </c>
      <c r="D663" s="2" t="s">
        <v>1839</v>
      </c>
      <c r="E663" s="2" t="s">
        <v>1841</v>
      </c>
      <c r="F663" s="2">
        <v>1.02586</v>
      </c>
      <c r="G663" s="2">
        <v>2.5047000000000001</v>
      </c>
      <c r="H663" s="2">
        <v>1.2878000000000001</v>
      </c>
    </row>
    <row r="664" spans="1:8" x14ac:dyDescent="0.2">
      <c r="A664" s="2" t="s">
        <v>1152</v>
      </c>
      <c r="B664" s="2" t="s">
        <v>3030</v>
      </c>
      <c r="C664" s="2" t="s">
        <v>1847</v>
      </c>
      <c r="D664" s="2" t="s">
        <v>1836</v>
      </c>
      <c r="E664" s="2" t="s">
        <v>1838</v>
      </c>
      <c r="F664" s="2">
        <v>1.1608499999999999</v>
      </c>
      <c r="G664" s="2">
        <v>2.83175</v>
      </c>
      <c r="H664" s="2">
        <v>1.2865200000000001</v>
      </c>
    </row>
    <row r="665" spans="1:8" x14ac:dyDescent="0.2">
      <c r="A665" s="2" t="s">
        <v>1348</v>
      </c>
      <c r="B665" s="2" t="s">
        <v>3451</v>
      </c>
      <c r="C665" s="2" t="s">
        <v>2842</v>
      </c>
      <c r="D665" s="2" t="s">
        <v>1839</v>
      </c>
      <c r="E665" s="2" t="s">
        <v>1841</v>
      </c>
      <c r="F665" s="2">
        <v>0.52523900000000001</v>
      </c>
      <c r="G665" s="2">
        <v>1.2808999999999999</v>
      </c>
      <c r="H665" s="2">
        <v>1.2861100000000001</v>
      </c>
    </row>
    <row r="666" spans="1:8" x14ac:dyDescent="0.2">
      <c r="A666" s="2" t="s">
        <v>1479</v>
      </c>
      <c r="B666" s="2" t="s">
        <v>3015</v>
      </c>
      <c r="C666" s="2" t="s">
        <v>3015</v>
      </c>
      <c r="D666" s="2" t="s">
        <v>1839</v>
      </c>
      <c r="E666" s="2" t="s">
        <v>1841</v>
      </c>
      <c r="F666" s="2">
        <v>0.938913</v>
      </c>
      <c r="G666" s="2">
        <v>2.28762</v>
      </c>
      <c r="H666" s="2">
        <v>1.28478</v>
      </c>
    </row>
    <row r="667" spans="1:8" x14ac:dyDescent="0.2">
      <c r="A667" s="2" t="s">
        <v>254</v>
      </c>
      <c r="B667" s="2" t="s">
        <v>3089</v>
      </c>
      <c r="C667" s="2" t="s">
        <v>1847</v>
      </c>
      <c r="D667" s="2" t="s">
        <v>1836</v>
      </c>
      <c r="E667" s="2" t="s">
        <v>1838</v>
      </c>
      <c r="F667" s="2">
        <v>1.2150399999999999</v>
      </c>
      <c r="G667" s="2">
        <v>2.9602900000000001</v>
      </c>
      <c r="H667" s="2">
        <v>1.28474</v>
      </c>
    </row>
    <row r="668" spans="1:8" x14ac:dyDescent="0.2">
      <c r="A668" s="2" t="s">
        <v>459</v>
      </c>
      <c r="B668" s="2" t="s">
        <v>3015</v>
      </c>
      <c r="C668" s="2" t="s">
        <v>2765</v>
      </c>
      <c r="D668" s="2" t="s">
        <v>1839</v>
      </c>
      <c r="E668" s="2" t="s">
        <v>1841</v>
      </c>
      <c r="F668" s="2">
        <v>0.56391100000000005</v>
      </c>
      <c r="G668" s="2">
        <v>1.3731100000000001</v>
      </c>
      <c r="H668" s="2">
        <v>1.2839100000000001</v>
      </c>
    </row>
    <row r="669" spans="1:8" x14ac:dyDescent="0.2">
      <c r="A669" s="2" t="s">
        <v>1725</v>
      </c>
      <c r="B669" s="2" t="s">
        <v>3396</v>
      </c>
      <c r="C669" s="2" t="s">
        <v>2889</v>
      </c>
      <c r="D669" s="2" t="s">
        <v>1839</v>
      </c>
      <c r="E669" s="2" t="s">
        <v>1841</v>
      </c>
      <c r="F669" s="2">
        <v>3.1679300000000001</v>
      </c>
      <c r="G669" s="2">
        <v>7.7061400000000004</v>
      </c>
      <c r="H669" s="2">
        <v>1.28247</v>
      </c>
    </row>
    <row r="670" spans="1:8" x14ac:dyDescent="0.2">
      <c r="A670" s="2" t="s">
        <v>1578</v>
      </c>
      <c r="B670" s="2" t="s">
        <v>3015</v>
      </c>
      <c r="C670" s="2" t="s">
        <v>2735</v>
      </c>
      <c r="D670" s="2" t="s">
        <v>1839</v>
      </c>
      <c r="E670" s="2" t="s">
        <v>1841</v>
      </c>
      <c r="F670" s="2">
        <v>1.0672200000000001</v>
      </c>
      <c r="G670" s="2">
        <v>2.5940799999999999</v>
      </c>
      <c r="H670" s="2">
        <v>1.2813699999999999</v>
      </c>
    </row>
    <row r="671" spans="1:8" x14ac:dyDescent="0.2">
      <c r="A671" s="2" t="s">
        <v>208</v>
      </c>
      <c r="B671" s="2" t="s">
        <v>3015</v>
      </c>
      <c r="C671" s="2" t="s">
        <v>1943</v>
      </c>
      <c r="D671" s="2" t="s">
        <v>1836</v>
      </c>
      <c r="E671" s="2" t="s">
        <v>1837</v>
      </c>
      <c r="F671" s="2">
        <v>0.58876300000000004</v>
      </c>
      <c r="G671" s="2">
        <v>1.4310799999999999</v>
      </c>
      <c r="H671" s="2">
        <v>1.28135</v>
      </c>
    </row>
    <row r="672" spans="1:8" x14ac:dyDescent="0.2">
      <c r="A672" s="2" t="s">
        <v>1330</v>
      </c>
      <c r="B672" s="2" t="s">
        <v>3042</v>
      </c>
      <c r="C672" s="2" t="s">
        <v>1870</v>
      </c>
      <c r="D672" s="2" t="s">
        <v>1839</v>
      </c>
      <c r="E672" s="2" t="s">
        <v>1841</v>
      </c>
      <c r="F672" s="2">
        <v>20.258900000000001</v>
      </c>
      <c r="G672" s="2">
        <v>49.096699999999998</v>
      </c>
      <c r="H672" s="2">
        <v>1.2770699999999999</v>
      </c>
    </row>
    <row r="673" spans="1:8" x14ac:dyDescent="0.2">
      <c r="A673" s="2" t="s">
        <v>327</v>
      </c>
      <c r="B673" s="2" t="s">
        <v>3315</v>
      </c>
      <c r="C673" s="2" t="s">
        <v>2421</v>
      </c>
      <c r="D673" s="2" t="s">
        <v>1839</v>
      </c>
      <c r="E673" s="2" t="s">
        <v>1840</v>
      </c>
      <c r="F673" s="2">
        <v>0.690662</v>
      </c>
      <c r="G673" s="2">
        <v>1.6727700000000001</v>
      </c>
      <c r="H673" s="2">
        <v>1.2761899999999999</v>
      </c>
    </row>
    <row r="674" spans="1:8" x14ac:dyDescent="0.2">
      <c r="A674" s="2" t="s">
        <v>573</v>
      </c>
      <c r="B674" s="2" t="s">
        <v>3164</v>
      </c>
      <c r="C674" s="2" t="s">
        <v>2112</v>
      </c>
      <c r="D674" s="2" t="s">
        <v>1839</v>
      </c>
      <c r="E674" s="2" t="s">
        <v>1840</v>
      </c>
      <c r="F674" s="2">
        <v>9.1393500000000003</v>
      </c>
      <c r="G674" s="2">
        <v>22.128499999999999</v>
      </c>
      <c r="H674" s="2">
        <v>1.2757400000000001</v>
      </c>
    </row>
    <row r="675" spans="1:8" x14ac:dyDescent="0.2">
      <c r="A675" s="2" t="s">
        <v>1530</v>
      </c>
      <c r="B675" s="2" t="s">
        <v>3401</v>
      </c>
      <c r="C675" s="2" t="s">
        <v>2680</v>
      </c>
      <c r="D675" s="2" t="s">
        <v>1839</v>
      </c>
      <c r="E675" s="2" t="s">
        <v>1841</v>
      </c>
      <c r="F675" s="2">
        <v>1.00353</v>
      </c>
      <c r="G675" s="2">
        <v>2.4254199999999999</v>
      </c>
      <c r="H675" s="2">
        <v>1.2731600000000001</v>
      </c>
    </row>
    <row r="676" spans="1:8" x14ac:dyDescent="0.2">
      <c r="A676" s="2" t="s">
        <v>1549</v>
      </c>
      <c r="B676" s="2" t="s">
        <v>3015</v>
      </c>
      <c r="C676" s="2" t="s">
        <v>2700</v>
      </c>
      <c r="D676" s="2" t="s">
        <v>1839</v>
      </c>
      <c r="E676" s="2" t="s">
        <v>1841</v>
      </c>
      <c r="F676" s="2">
        <v>3.9051200000000001</v>
      </c>
      <c r="G676" s="2">
        <v>9.4354499999999994</v>
      </c>
      <c r="H676" s="2">
        <v>1.2727299999999999</v>
      </c>
    </row>
    <row r="677" spans="1:8" x14ac:dyDescent="0.2">
      <c r="A677" s="2" t="s">
        <v>1454</v>
      </c>
      <c r="B677" s="2" t="s">
        <v>3391</v>
      </c>
      <c r="C677" s="2" t="s">
        <v>2966</v>
      </c>
      <c r="D677" s="2" t="s">
        <v>1839</v>
      </c>
      <c r="E677" s="2" t="s">
        <v>1841</v>
      </c>
      <c r="F677" s="2">
        <v>3.53843</v>
      </c>
      <c r="G677" s="2">
        <v>8.5492600000000003</v>
      </c>
      <c r="H677" s="2">
        <v>1.2726900000000001</v>
      </c>
    </row>
    <row r="678" spans="1:8" x14ac:dyDescent="0.2">
      <c r="A678" s="2" t="s">
        <v>19</v>
      </c>
      <c r="B678" s="2" t="s">
        <v>3387</v>
      </c>
      <c r="C678" s="2" t="s">
        <v>2616</v>
      </c>
      <c r="D678" s="2" t="s">
        <v>1839</v>
      </c>
      <c r="E678" s="2" t="s">
        <v>1841</v>
      </c>
      <c r="F678" s="2">
        <v>5.0181800000000001</v>
      </c>
      <c r="G678" s="2">
        <v>12.123699999999999</v>
      </c>
      <c r="H678" s="2">
        <v>1.2726</v>
      </c>
    </row>
    <row r="679" spans="1:8" x14ac:dyDescent="0.2">
      <c r="A679" s="2" t="s">
        <v>750</v>
      </c>
      <c r="B679" s="2" t="s">
        <v>3047</v>
      </c>
      <c r="C679" s="2" t="s">
        <v>3015</v>
      </c>
      <c r="D679" s="2" t="s">
        <v>1839</v>
      </c>
      <c r="E679" s="2" t="s">
        <v>1841</v>
      </c>
      <c r="F679" s="2">
        <v>0.47537499999999999</v>
      </c>
      <c r="G679" s="2">
        <v>1.14802</v>
      </c>
      <c r="H679" s="2">
        <v>1.2720199999999999</v>
      </c>
    </row>
    <row r="680" spans="1:8" x14ac:dyDescent="0.2">
      <c r="A680" s="2" t="s">
        <v>1772</v>
      </c>
      <c r="B680" s="2" t="s">
        <v>3015</v>
      </c>
      <c r="C680" s="2" t="s">
        <v>2944</v>
      </c>
      <c r="D680" s="2" t="s">
        <v>1839</v>
      </c>
      <c r="E680" s="2" t="s">
        <v>1841</v>
      </c>
      <c r="F680" s="2">
        <v>0.64837500000000003</v>
      </c>
      <c r="G680" s="2">
        <v>1.5657700000000001</v>
      </c>
      <c r="H680" s="2">
        <v>1.27197</v>
      </c>
    </row>
    <row r="681" spans="1:8" x14ac:dyDescent="0.2">
      <c r="A681" s="2" t="s">
        <v>1594</v>
      </c>
      <c r="B681" s="2" t="s">
        <v>3015</v>
      </c>
      <c r="C681" s="2" t="s">
        <v>2202</v>
      </c>
      <c r="D681" s="2" t="s">
        <v>1839</v>
      </c>
      <c r="E681" s="2" t="s">
        <v>1841</v>
      </c>
      <c r="F681" s="2">
        <v>1.60328</v>
      </c>
      <c r="G681" s="2">
        <v>3.8715099999999998</v>
      </c>
      <c r="H681" s="2">
        <v>1.2718700000000001</v>
      </c>
    </row>
    <row r="682" spans="1:8" x14ac:dyDescent="0.2">
      <c r="A682" s="2" t="s">
        <v>1600</v>
      </c>
      <c r="B682" s="2" t="s">
        <v>3015</v>
      </c>
      <c r="C682" s="2" t="s">
        <v>3015</v>
      </c>
      <c r="D682" s="2" t="s">
        <v>1839</v>
      </c>
      <c r="E682" s="2" t="s">
        <v>1841</v>
      </c>
      <c r="F682" s="2">
        <v>0.65798100000000004</v>
      </c>
      <c r="G682" s="2">
        <v>1.5885400000000001</v>
      </c>
      <c r="H682" s="2">
        <v>1.27159</v>
      </c>
    </row>
    <row r="683" spans="1:8" x14ac:dyDescent="0.2">
      <c r="A683" s="2" t="s">
        <v>162</v>
      </c>
      <c r="B683" s="2" t="s">
        <v>3066</v>
      </c>
      <c r="C683" s="2" t="s">
        <v>3015</v>
      </c>
      <c r="D683" s="2" t="s">
        <v>1836</v>
      </c>
      <c r="E683" s="2" t="s">
        <v>1837</v>
      </c>
      <c r="F683" s="2">
        <v>4.4525699999999997</v>
      </c>
      <c r="G683" s="2">
        <v>10.7476</v>
      </c>
      <c r="H683" s="2">
        <v>1.2713000000000001</v>
      </c>
    </row>
    <row r="684" spans="1:8" x14ac:dyDescent="0.2">
      <c r="A684" s="2" t="s">
        <v>778</v>
      </c>
      <c r="B684" s="2" t="s">
        <v>3094</v>
      </c>
      <c r="C684" s="2" t="s">
        <v>2321</v>
      </c>
      <c r="D684" s="2" t="s">
        <v>1839</v>
      </c>
      <c r="E684" s="2" t="s">
        <v>1841</v>
      </c>
      <c r="F684" s="2">
        <v>1.22292</v>
      </c>
      <c r="G684" s="2">
        <v>2.9515799999999999</v>
      </c>
      <c r="H684" s="2">
        <v>1.2711600000000001</v>
      </c>
    </row>
    <row r="685" spans="1:8" x14ac:dyDescent="0.2">
      <c r="A685" s="2" t="s">
        <v>551</v>
      </c>
      <c r="B685" s="2" t="s">
        <v>3338</v>
      </c>
      <c r="C685" s="2" t="s">
        <v>2503</v>
      </c>
      <c r="D685" s="2" t="s">
        <v>1836</v>
      </c>
      <c r="E685" s="2" t="s">
        <v>1838</v>
      </c>
      <c r="F685" s="2">
        <v>1.58613</v>
      </c>
      <c r="G685" s="2">
        <v>3.82646</v>
      </c>
      <c r="H685" s="2">
        <v>1.2705</v>
      </c>
    </row>
    <row r="686" spans="1:8" x14ac:dyDescent="0.2">
      <c r="A686" s="2" t="s">
        <v>584</v>
      </c>
      <c r="B686" s="2" t="s">
        <v>3168</v>
      </c>
      <c r="C686" s="2" t="s">
        <v>2118</v>
      </c>
      <c r="D686" s="2" t="s">
        <v>1836</v>
      </c>
      <c r="E686" s="2" t="s">
        <v>1837</v>
      </c>
      <c r="F686" s="2">
        <v>10.6051</v>
      </c>
      <c r="G686" s="2">
        <v>25.576000000000001</v>
      </c>
      <c r="H686" s="2">
        <v>1.27003</v>
      </c>
    </row>
    <row r="687" spans="1:8" x14ac:dyDescent="0.2">
      <c r="A687" s="2" t="s">
        <v>1811</v>
      </c>
      <c r="B687" s="2" t="s">
        <v>3068</v>
      </c>
      <c r="C687" s="2" t="s">
        <v>3015</v>
      </c>
      <c r="D687" s="2" t="s">
        <v>1839</v>
      </c>
      <c r="E687" s="2" t="s">
        <v>1840</v>
      </c>
      <c r="F687" s="2">
        <v>0.36410500000000001</v>
      </c>
      <c r="G687" s="2">
        <v>0.87788500000000003</v>
      </c>
      <c r="H687" s="2">
        <v>1.2696799999999999</v>
      </c>
    </row>
    <row r="688" spans="1:8" x14ac:dyDescent="0.2">
      <c r="A688" s="2" t="s">
        <v>632</v>
      </c>
      <c r="B688" s="2" t="s">
        <v>3015</v>
      </c>
      <c r="C688" s="2" t="s">
        <v>3015</v>
      </c>
      <c r="D688" s="2" t="s">
        <v>1839</v>
      </c>
      <c r="E688" s="2" t="s">
        <v>1841</v>
      </c>
      <c r="F688" s="2">
        <v>14.6378</v>
      </c>
      <c r="G688" s="2">
        <v>35.284799999999997</v>
      </c>
      <c r="H688" s="2">
        <v>1.26935</v>
      </c>
    </row>
    <row r="689" spans="1:8" x14ac:dyDescent="0.2">
      <c r="A689" s="2" t="s">
        <v>120</v>
      </c>
      <c r="B689" s="2" t="s">
        <v>3053</v>
      </c>
      <c r="C689" s="2" t="s">
        <v>1896</v>
      </c>
      <c r="D689" s="2" t="s">
        <v>1836</v>
      </c>
      <c r="E689" s="2" t="s">
        <v>1837</v>
      </c>
      <c r="F689" s="2">
        <v>3.9356200000000001</v>
      </c>
      <c r="G689" s="2">
        <v>9.4811200000000007</v>
      </c>
      <c r="H689" s="2">
        <v>1.26847</v>
      </c>
    </row>
    <row r="690" spans="1:8" x14ac:dyDescent="0.2">
      <c r="A690" s="2" t="s">
        <v>747</v>
      </c>
      <c r="B690" s="2" t="s">
        <v>3015</v>
      </c>
      <c r="C690" s="2" t="s">
        <v>2129</v>
      </c>
      <c r="D690" s="2" t="s">
        <v>1836</v>
      </c>
      <c r="E690" s="2" t="s">
        <v>1837</v>
      </c>
      <c r="F690" s="2">
        <v>1.7181900000000001</v>
      </c>
      <c r="G690" s="2">
        <v>4.1383900000000002</v>
      </c>
      <c r="H690" s="2">
        <v>1.2681800000000001</v>
      </c>
    </row>
    <row r="691" spans="1:8" x14ac:dyDescent="0.2">
      <c r="A691" s="2" t="s">
        <v>596</v>
      </c>
      <c r="B691" s="2" t="s">
        <v>3015</v>
      </c>
      <c r="C691" s="2" t="s">
        <v>2124</v>
      </c>
      <c r="D691" s="2" t="s">
        <v>1839</v>
      </c>
      <c r="E691" s="2" t="s">
        <v>1841</v>
      </c>
      <c r="F691" s="2">
        <v>21.138500000000001</v>
      </c>
      <c r="G691" s="2">
        <v>50.905999999999999</v>
      </c>
      <c r="H691" s="2">
        <v>1.26797</v>
      </c>
    </row>
    <row r="692" spans="1:8" x14ac:dyDescent="0.2">
      <c r="A692" s="2" t="s">
        <v>716</v>
      </c>
      <c r="B692" s="2" t="s">
        <v>3083</v>
      </c>
      <c r="C692" s="2" t="s">
        <v>2546</v>
      </c>
      <c r="D692" s="2" t="s">
        <v>1839</v>
      </c>
      <c r="E692" s="2" t="s">
        <v>1841</v>
      </c>
      <c r="F692" s="2">
        <v>5.02677</v>
      </c>
      <c r="G692" s="2">
        <v>12.0924</v>
      </c>
      <c r="H692" s="2">
        <v>1.2663899999999999</v>
      </c>
    </row>
    <row r="693" spans="1:8" x14ac:dyDescent="0.2">
      <c r="A693" s="2" t="s">
        <v>1733</v>
      </c>
      <c r="B693" s="2" t="s">
        <v>3015</v>
      </c>
      <c r="C693" s="2" t="s">
        <v>2900</v>
      </c>
      <c r="D693" s="2" t="s">
        <v>1839</v>
      </c>
      <c r="E693" s="2" t="s">
        <v>1841</v>
      </c>
      <c r="F693" s="2">
        <v>0.364674</v>
      </c>
      <c r="G693" s="2">
        <v>0.87666100000000002</v>
      </c>
      <c r="H693" s="2">
        <v>1.2654099999999999</v>
      </c>
    </row>
    <row r="694" spans="1:8" x14ac:dyDescent="0.2">
      <c r="A694" s="2" t="s">
        <v>822</v>
      </c>
      <c r="B694" s="2" t="s">
        <v>3217</v>
      </c>
      <c r="C694" s="2" t="s">
        <v>2217</v>
      </c>
      <c r="D694" s="2" t="s">
        <v>1839</v>
      </c>
      <c r="E694" s="2" t="s">
        <v>1841</v>
      </c>
      <c r="F694" s="2">
        <v>1.76353</v>
      </c>
      <c r="G694" s="2">
        <v>4.2376300000000002</v>
      </c>
      <c r="H694" s="2">
        <v>1.2647900000000001</v>
      </c>
    </row>
    <row r="695" spans="1:8" x14ac:dyDescent="0.2">
      <c r="A695" s="2" t="s">
        <v>356</v>
      </c>
      <c r="B695" s="2" t="s">
        <v>3320</v>
      </c>
      <c r="C695" s="2" t="s">
        <v>3016</v>
      </c>
      <c r="D695" s="2" t="s">
        <v>1836</v>
      </c>
      <c r="E695" s="2" t="s">
        <v>1838</v>
      </c>
      <c r="F695" s="2">
        <v>74.275999999999996</v>
      </c>
      <c r="G695" s="2">
        <v>178.358</v>
      </c>
      <c r="H695" s="2">
        <v>1.2638100000000001</v>
      </c>
    </row>
    <row r="696" spans="1:8" x14ac:dyDescent="0.2">
      <c r="A696" s="2" t="s">
        <v>1680</v>
      </c>
      <c r="B696" s="2" t="s">
        <v>3053</v>
      </c>
      <c r="C696" s="2" t="s">
        <v>2845</v>
      </c>
      <c r="D696" s="2" t="s">
        <v>1839</v>
      </c>
      <c r="E696" s="2" t="s">
        <v>1841</v>
      </c>
      <c r="F696" s="2">
        <v>0.34714400000000001</v>
      </c>
      <c r="G696" s="2">
        <v>0.83340700000000001</v>
      </c>
      <c r="H696" s="2">
        <v>1.26349</v>
      </c>
    </row>
    <row r="697" spans="1:8" x14ac:dyDescent="0.2">
      <c r="A697" s="2" t="s">
        <v>357</v>
      </c>
      <c r="B697" s="2" t="s">
        <v>3027</v>
      </c>
      <c r="C697" s="2" t="s">
        <v>2460</v>
      </c>
      <c r="D697" s="2" t="s">
        <v>1836</v>
      </c>
      <c r="E697" s="2" t="s">
        <v>1838</v>
      </c>
      <c r="F697" s="2">
        <v>2.51153</v>
      </c>
      <c r="G697" s="2">
        <v>6.02583</v>
      </c>
      <c r="H697" s="2">
        <v>1.2625900000000001</v>
      </c>
    </row>
    <row r="698" spans="1:8" x14ac:dyDescent="0.2">
      <c r="A698" s="2" t="s">
        <v>330</v>
      </c>
      <c r="B698" s="2" t="s">
        <v>3045</v>
      </c>
      <c r="C698" s="2" t="s">
        <v>1847</v>
      </c>
      <c r="D698" s="2" t="s">
        <v>1839</v>
      </c>
      <c r="E698" s="2" t="s">
        <v>1841</v>
      </c>
      <c r="F698" s="2">
        <v>1.4519500000000001</v>
      </c>
      <c r="G698" s="2">
        <v>3.48325</v>
      </c>
      <c r="H698" s="2">
        <v>1.26244</v>
      </c>
    </row>
    <row r="699" spans="1:8" x14ac:dyDescent="0.2">
      <c r="A699" s="2" t="s">
        <v>919</v>
      </c>
      <c r="B699" s="2" t="s">
        <v>3015</v>
      </c>
      <c r="C699" s="2" t="s">
        <v>1862</v>
      </c>
      <c r="D699" s="2" t="s">
        <v>1836</v>
      </c>
      <c r="E699" s="2" t="s">
        <v>1837</v>
      </c>
      <c r="F699" s="2">
        <v>0.431475</v>
      </c>
      <c r="G699" s="2">
        <v>1.0350900000000001</v>
      </c>
      <c r="H699" s="2">
        <v>1.2624</v>
      </c>
    </row>
    <row r="700" spans="1:8" x14ac:dyDescent="0.2">
      <c r="A700" s="2" t="s">
        <v>639</v>
      </c>
      <c r="B700" s="2" t="s">
        <v>3024</v>
      </c>
      <c r="C700" s="2" t="s">
        <v>2142</v>
      </c>
      <c r="D700" s="2" t="s">
        <v>1836</v>
      </c>
      <c r="E700" s="2" t="s">
        <v>1837</v>
      </c>
      <c r="F700" s="2">
        <v>40.3874</v>
      </c>
      <c r="G700" s="2">
        <v>96.847099999999998</v>
      </c>
      <c r="H700" s="2">
        <v>1.2618</v>
      </c>
    </row>
    <row r="701" spans="1:8" x14ac:dyDescent="0.2">
      <c r="A701" s="2" t="s">
        <v>359</v>
      </c>
      <c r="B701" s="2" t="s">
        <v>3045</v>
      </c>
      <c r="C701" s="2" t="s">
        <v>1923</v>
      </c>
      <c r="D701" s="2" t="s">
        <v>1839</v>
      </c>
      <c r="E701" s="2" t="s">
        <v>1841</v>
      </c>
      <c r="F701" s="2">
        <v>30.4953</v>
      </c>
      <c r="G701" s="2">
        <v>73.027000000000001</v>
      </c>
      <c r="H701" s="2">
        <v>1.2598400000000001</v>
      </c>
    </row>
    <row r="702" spans="1:8" x14ac:dyDescent="0.2">
      <c r="A702" s="2" t="s">
        <v>1320</v>
      </c>
      <c r="B702" s="2" t="s">
        <v>3015</v>
      </c>
      <c r="C702" s="2" t="s">
        <v>2518</v>
      </c>
      <c r="D702" s="2" t="s">
        <v>1836</v>
      </c>
      <c r="E702" s="2" t="s">
        <v>1838</v>
      </c>
      <c r="F702" s="2">
        <v>0.58475500000000002</v>
      </c>
      <c r="G702" s="2">
        <v>1.3972199999999999</v>
      </c>
      <c r="H702" s="2">
        <v>1.2566600000000001</v>
      </c>
    </row>
    <row r="703" spans="1:8" x14ac:dyDescent="0.2">
      <c r="A703" s="2" t="s">
        <v>1234</v>
      </c>
      <c r="B703" s="2" t="s">
        <v>3015</v>
      </c>
      <c r="C703" s="2" t="s">
        <v>2722</v>
      </c>
      <c r="D703" s="2" t="s">
        <v>1839</v>
      </c>
      <c r="E703" s="2" t="s">
        <v>1841</v>
      </c>
      <c r="F703" s="2">
        <v>3.2721900000000002</v>
      </c>
      <c r="G703" s="2">
        <v>7.8181599999999998</v>
      </c>
      <c r="H703" s="2">
        <v>1.25657</v>
      </c>
    </row>
    <row r="704" spans="1:8" x14ac:dyDescent="0.2">
      <c r="A704" s="2" t="s">
        <v>1627</v>
      </c>
      <c r="B704" s="2" t="s">
        <v>3189</v>
      </c>
      <c r="C704" s="2" t="s">
        <v>2791</v>
      </c>
      <c r="D704" s="2" t="s">
        <v>1839</v>
      </c>
      <c r="E704" s="2" t="s">
        <v>1841</v>
      </c>
      <c r="F704" s="2">
        <v>0.33396700000000001</v>
      </c>
      <c r="G704" s="2">
        <v>0.79764900000000005</v>
      </c>
      <c r="H704" s="2">
        <v>1.2560500000000001</v>
      </c>
    </row>
    <row r="705" spans="1:8" x14ac:dyDescent="0.2">
      <c r="A705" s="2" t="s">
        <v>351</v>
      </c>
      <c r="B705" s="2" t="s">
        <v>3015</v>
      </c>
      <c r="C705" s="2" t="s">
        <v>2457</v>
      </c>
      <c r="D705" s="2" t="s">
        <v>1836</v>
      </c>
      <c r="E705" s="2" t="s">
        <v>1838</v>
      </c>
      <c r="F705" s="2">
        <v>1.3466400000000001</v>
      </c>
      <c r="G705" s="2">
        <v>3.2138499999999999</v>
      </c>
      <c r="H705" s="2">
        <v>1.2549399999999999</v>
      </c>
    </row>
    <row r="706" spans="1:8" x14ac:dyDescent="0.2">
      <c r="A706" s="2" t="s">
        <v>1103</v>
      </c>
      <c r="B706" s="2" t="s">
        <v>3054</v>
      </c>
      <c r="C706" s="2" t="s">
        <v>1894</v>
      </c>
      <c r="D706" s="2" t="s">
        <v>1836</v>
      </c>
      <c r="E706" s="2" t="s">
        <v>1837</v>
      </c>
      <c r="F706" s="2">
        <v>1.12259</v>
      </c>
      <c r="G706" s="2">
        <v>2.6789700000000001</v>
      </c>
      <c r="H706" s="2">
        <v>1.25485</v>
      </c>
    </row>
    <row r="707" spans="1:8" x14ac:dyDescent="0.2">
      <c r="A707" s="2" t="s">
        <v>1712</v>
      </c>
      <c r="B707" s="2" t="s">
        <v>3131</v>
      </c>
      <c r="C707" s="2" t="s">
        <v>2874</v>
      </c>
      <c r="D707" s="2" t="s">
        <v>1839</v>
      </c>
      <c r="E707" s="2" t="s">
        <v>1840</v>
      </c>
      <c r="F707" s="2">
        <v>0.54596299999999998</v>
      </c>
      <c r="G707" s="2">
        <v>1.3027899999999999</v>
      </c>
      <c r="H707" s="2">
        <v>1.2547299999999999</v>
      </c>
    </row>
    <row r="708" spans="1:8" x14ac:dyDescent="0.2">
      <c r="A708" s="2" t="s">
        <v>1672</v>
      </c>
      <c r="B708" s="2" t="s">
        <v>3015</v>
      </c>
      <c r="C708" s="2" t="s">
        <v>1847</v>
      </c>
      <c r="D708" s="2" t="s">
        <v>1839</v>
      </c>
      <c r="E708" s="2" t="s">
        <v>1841</v>
      </c>
      <c r="F708" s="2">
        <v>2.3948900000000002</v>
      </c>
      <c r="G708" s="2">
        <v>5.70939</v>
      </c>
      <c r="H708" s="2">
        <v>1.2533799999999999</v>
      </c>
    </row>
    <row r="709" spans="1:8" x14ac:dyDescent="0.2">
      <c r="A709" s="2" t="s">
        <v>817</v>
      </c>
      <c r="B709" s="2" t="s">
        <v>3015</v>
      </c>
      <c r="C709" s="2" t="s">
        <v>2575</v>
      </c>
      <c r="D709" s="2" t="s">
        <v>1839</v>
      </c>
      <c r="E709" s="2" t="s">
        <v>1840</v>
      </c>
      <c r="F709" s="2">
        <v>1.07145</v>
      </c>
      <c r="G709" s="2">
        <v>2.5520800000000001</v>
      </c>
      <c r="H709" s="2">
        <v>1.2521100000000001</v>
      </c>
    </row>
    <row r="710" spans="1:8" x14ac:dyDescent="0.2">
      <c r="A710" s="2" t="s">
        <v>162</v>
      </c>
      <c r="B710" s="2" t="s">
        <v>3066</v>
      </c>
      <c r="C710" s="2" t="s">
        <v>3015</v>
      </c>
      <c r="D710" s="2" t="s">
        <v>1839</v>
      </c>
      <c r="E710" s="2" t="s">
        <v>1841</v>
      </c>
      <c r="F710" s="2">
        <v>2.7787299999999999</v>
      </c>
      <c r="G710" s="2">
        <v>6.6166099999999997</v>
      </c>
      <c r="H710" s="2">
        <v>1.25166</v>
      </c>
    </row>
    <row r="711" spans="1:8" x14ac:dyDescent="0.2">
      <c r="A711" s="2" t="s">
        <v>859</v>
      </c>
      <c r="B711" s="2" t="s">
        <v>3015</v>
      </c>
      <c r="C711" s="2" t="s">
        <v>2241</v>
      </c>
      <c r="D711" s="2" t="s">
        <v>1839</v>
      </c>
      <c r="E711" s="2" t="s">
        <v>1840</v>
      </c>
      <c r="F711" s="2">
        <v>0.56196800000000002</v>
      </c>
      <c r="G711" s="2">
        <v>1.33792</v>
      </c>
      <c r="H711" s="2">
        <v>1.25143</v>
      </c>
    </row>
    <row r="712" spans="1:8" x14ac:dyDescent="0.2">
      <c r="A712" s="2" t="s">
        <v>1370</v>
      </c>
      <c r="B712" s="2" t="s">
        <v>3015</v>
      </c>
      <c r="C712" s="2" t="s">
        <v>2551</v>
      </c>
      <c r="D712" s="2" t="s">
        <v>1836</v>
      </c>
      <c r="E712" s="2" t="s">
        <v>1838</v>
      </c>
      <c r="F712" s="2">
        <v>0.78463899999999998</v>
      </c>
      <c r="G712" s="2">
        <v>1.86758</v>
      </c>
      <c r="H712" s="2">
        <v>1.2510699999999999</v>
      </c>
    </row>
    <row r="713" spans="1:8" x14ac:dyDescent="0.2">
      <c r="A713" s="2" t="s">
        <v>1507</v>
      </c>
      <c r="B713" s="2" t="s">
        <v>3256</v>
      </c>
      <c r="C713" s="2" t="s">
        <v>2661</v>
      </c>
      <c r="D713" s="2" t="s">
        <v>1839</v>
      </c>
      <c r="E713" s="2" t="s">
        <v>1841</v>
      </c>
      <c r="F713" s="2">
        <v>0.60361100000000001</v>
      </c>
      <c r="G713" s="2">
        <v>1.43668</v>
      </c>
      <c r="H713" s="2">
        <v>1.2510399999999999</v>
      </c>
    </row>
    <row r="714" spans="1:8" x14ac:dyDescent="0.2">
      <c r="A714" s="2" t="s">
        <v>963</v>
      </c>
      <c r="B714" s="2" t="s">
        <v>3248</v>
      </c>
      <c r="C714" s="2" t="s">
        <v>2295</v>
      </c>
      <c r="D714" s="2" t="s">
        <v>1836</v>
      </c>
      <c r="E714" s="2" t="s">
        <v>1837</v>
      </c>
      <c r="F714" s="2">
        <v>1.6263799999999999</v>
      </c>
      <c r="G714" s="2">
        <v>3.8686199999999999</v>
      </c>
      <c r="H714" s="2">
        <v>1.2501500000000001</v>
      </c>
    </row>
    <row r="715" spans="1:8" x14ac:dyDescent="0.2">
      <c r="A715" s="2" t="s">
        <v>1373</v>
      </c>
      <c r="B715" s="2" t="s">
        <v>3355</v>
      </c>
      <c r="C715" s="2" t="s">
        <v>2552</v>
      </c>
      <c r="D715" s="2" t="s">
        <v>1839</v>
      </c>
      <c r="E715" s="2" t="s">
        <v>1841</v>
      </c>
      <c r="F715" s="2">
        <v>0.87867499999999998</v>
      </c>
      <c r="G715" s="2">
        <v>2.08894</v>
      </c>
      <c r="H715" s="2">
        <v>1.2493700000000001</v>
      </c>
    </row>
    <row r="716" spans="1:8" x14ac:dyDescent="0.2">
      <c r="A716" s="2" t="s">
        <v>1230</v>
      </c>
      <c r="B716" s="2" t="s">
        <v>3209</v>
      </c>
      <c r="C716" s="2" t="s">
        <v>2441</v>
      </c>
      <c r="D716" s="2" t="s">
        <v>1836</v>
      </c>
      <c r="E716" s="2" t="s">
        <v>1838</v>
      </c>
      <c r="F716" s="2">
        <v>0.94985399999999998</v>
      </c>
      <c r="G716" s="2">
        <v>2.2563300000000002</v>
      </c>
      <c r="H716" s="2">
        <v>1.2482</v>
      </c>
    </row>
    <row r="717" spans="1:8" x14ac:dyDescent="0.2">
      <c r="A717" s="2" t="s">
        <v>1274</v>
      </c>
      <c r="B717" s="2" t="s">
        <v>3189</v>
      </c>
      <c r="C717" s="2" t="s">
        <v>2761</v>
      </c>
      <c r="D717" s="2" t="s">
        <v>1839</v>
      </c>
      <c r="E717" s="2" t="s">
        <v>1841</v>
      </c>
      <c r="F717" s="2">
        <v>6.1191800000000001</v>
      </c>
      <c r="G717" s="2">
        <v>14.524900000000001</v>
      </c>
      <c r="H717" s="2">
        <v>1.24712</v>
      </c>
    </row>
    <row r="718" spans="1:8" x14ac:dyDescent="0.2">
      <c r="A718" s="2" t="s">
        <v>1261</v>
      </c>
      <c r="B718" s="2" t="s">
        <v>3015</v>
      </c>
      <c r="C718" s="2" t="s">
        <v>2464</v>
      </c>
      <c r="D718" s="2" t="s">
        <v>1839</v>
      </c>
      <c r="E718" s="2" t="s">
        <v>1840</v>
      </c>
      <c r="F718" s="2">
        <v>12.914999999999999</v>
      </c>
      <c r="G718" s="2">
        <v>30.642399999999999</v>
      </c>
      <c r="H718" s="2">
        <v>1.2464900000000001</v>
      </c>
    </row>
    <row r="719" spans="1:8" x14ac:dyDescent="0.2">
      <c r="A719" s="2" t="s">
        <v>775</v>
      </c>
      <c r="B719" s="2" t="s">
        <v>3015</v>
      </c>
      <c r="C719" s="2" t="s">
        <v>2128</v>
      </c>
      <c r="D719" s="2" t="s">
        <v>1836</v>
      </c>
      <c r="E719" s="2" t="s">
        <v>1837</v>
      </c>
      <c r="F719" s="2">
        <v>0.50096399999999996</v>
      </c>
      <c r="G719" s="2">
        <v>1.1883999999999999</v>
      </c>
      <c r="H719" s="2">
        <v>1.24624</v>
      </c>
    </row>
    <row r="720" spans="1:8" x14ac:dyDescent="0.2">
      <c r="A720" s="2" t="s">
        <v>666</v>
      </c>
      <c r="B720" s="2" t="s">
        <v>3344</v>
      </c>
      <c r="C720" s="2" t="s">
        <v>2536</v>
      </c>
      <c r="D720" s="2" t="s">
        <v>1839</v>
      </c>
      <c r="E720" s="2" t="s">
        <v>1841</v>
      </c>
      <c r="F720" s="2">
        <v>0.34978199999999998</v>
      </c>
      <c r="G720" s="2">
        <v>0.82903800000000005</v>
      </c>
      <c r="H720" s="2">
        <v>1.24498</v>
      </c>
    </row>
    <row r="721" spans="1:8" x14ac:dyDescent="0.2">
      <c r="A721" s="2" t="s">
        <v>1380</v>
      </c>
      <c r="B721" s="2" t="s">
        <v>3024</v>
      </c>
      <c r="C721" s="2" t="s">
        <v>2556</v>
      </c>
      <c r="D721" s="2" t="s">
        <v>1839</v>
      </c>
      <c r="E721" s="2" t="s">
        <v>1841</v>
      </c>
      <c r="F721" s="2">
        <v>0.88056500000000004</v>
      </c>
      <c r="G721" s="2">
        <v>2.0870600000000001</v>
      </c>
      <c r="H721" s="2">
        <v>1.2449699999999999</v>
      </c>
    </row>
    <row r="722" spans="1:8" x14ac:dyDescent="0.2">
      <c r="A722" s="2" t="s">
        <v>1114</v>
      </c>
      <c r="B722" s="2" t="s">
        <v>3015</v>
      </c>
      <c r="C722" s="2" t="s">
        <v>2974</v>
      </c>
      <c r="D722" s="2" t="s">
        <v>1839</v>
      </c>
      <c r="E722" s="2" t="s">
        <v>1840</v>
      </c>
      <c r="F722" s="2">
        <v>0.34355400000000003</v>
      </c>
      <c r="G722" s="2">
        <v>0.81367299999999998</v>
      </c>
      <c r="H722" s="2">
        <v>1.2439100000000001</v>
      </c>
    </row>
    <row r="723" spans="1:8" x14ac:dyDescent="0.2">
      <c r="A723" s="2" t="s">
        <v>106</v>
      </c>
      <c r="B723" s="2" t="s">
        <v>3015</v>
      </c>
      <c r="C723" s="2" t="s">
        <v>2393</v>
      </c>
      <c r="D723" s="2" t="s">
        <v>1839</v>
      </c>
      <c r="E723" s="2" t="s">
        <v>1841</v>
      </c>
      <c r="F723" s="2">
        <v>7.6625800000000002</v>
      </c>
      <c r="G723" s="2">
        <v>18.136500000000002</v>
      </c>
      <c r="H723" s="2">
        <v>1.2430000000000001</v>
      </c>
    </row>
    <row r="724" spans="1:8" x14ac:dyDescent="0.2">
      <c r="A724" s="2" t="s">
        <v>1562</v>
      </c>
      <c r="B724" s="2" t="s">
        <v>3081</v>
      </c>
      <c r="C724" s="2" t="s">
        <v>2716</v>
      </c>
      <c r="D724" s="2" t="s">
        <v>1839</v>
      </c>
      <c r="E724" s="2" t="s">
        <v>1841</v>
      </c>
      <c r="F724" s="2">
        <v>0.62666100000000002</v>
      </c>
      <c r="G724" s="2">
        <v>1.48289</v>
      </c>
      <c r="H724" s="2">
        <v>1.24265</v>
      </c>
    </row>
    <row r="725" spans="1:8" x14ac:dyDescent="0.2">
      <c r="A725" s="2" t="s">
        <v>1257</v>
      </c>
      <c r="B725" s="2" t="s">
        <v>3322</v>
      </c>
      <c r="C725" s="2" t="s">
        <v>1847</v>
      </c>
      <c r="D725" s="2" t="s">
        <v>1836</v>
      </c>
      <c r="E725" s="2" t="s">
        <v>1838</v>
      </c>
      <c r="F725" s="2">
        <v>0.66781500000000005</v>
      </c>
      <c r="G725" s="2">
        <v>1.5792900000000001</v>
      </c>
      <c r="H725" s="2">
        <v>1.2417499999999999</v>
      </c>
    </row>
    <row r="726" spans="1:8" x14ac:dyDescent="0.2">
      <c r="A726" s="2" t="s">
        <v>1729</v>
      </c>
      <c r="B726" s="2" t="s">
        <v>3015</v>
      </c>
      <c r="C726" s="2" t="s">
        <v>2896</v>
      </c>
      <c r="D726" s="2" t="s">
        <v>1839</v>
      </c>
      <c r="E726" s="2" t="s">
        <v>1841</v>
      </c>
      <c r="F726" s="2">
        <v>2.5253899999999998</v>
      </c>
      <c r="G726" s="2">
        <v>5.9718299999999997</v>
      </c>
      <c r="H726" s="2">
        <v>1.2416700000000001</v>
      </c>
    </row>
    <row r="727" spans="1:8" x14ac:dyDescent="0.2">
      <c r="A727" s="2" t="s">
        <v>594</v>
      </c>
      <c r="B727" s="2" t="s">
        <v>3015</v>
      </c>
      <c r="C727" s="2" t="s">
        <v>3015</v>
      </c>
      <c r="D727" s="2" t="s">
        <v>1839</v>
      </c>
      <c r="E727" s="2" t="s">
        <v>1841</v>
      </c>
      <c r="F727" s="2">
        <v>0.76069600000000004</v>
      </c>
      <c r="G727" s="2">
        <v>1.7986500000000001</v>
      </c>
      <c r="H727" s="2">
        <v>1.24152</v>
      </c>
    </row>
    <row r="728" spans="1:8" x14ac:dyDescent="0.2">
      <c r="A728" s="2" t="s">
        <v>125</v>
      </c>
      <c r="B728" s="2" t="s">
        <v>3015</v>
      </c>
      <c r="C728" s="2" t="s">
        <v>2400</v>
      </c>
      <c r="D728" s="2" t="s">
        <v>1839</v>
      </c>
      <c r="E728" s="2" t="s">
        <v>1840</v>
      </c>
      <c r="F728" s="2">
        <v>125.63200000000001</v>
      </c>
      <c r="G728" s="2">
        <v>296.99200000000002</v>
      </c>
      <c r="H728" s="2">
        <v>1.24122</v>
      </c>
    </row>
    <row r="729" spans="1:8" x14ac:dyDescent="0.2">
      <c r="A729" s="2" t="s">
        <v>1506</v>
      </c>
      <c r="B729" s="2" t="s">
        <v>3015</v>
      </c>
      <c r="C729" s="2" t="s">
        <v>3016</v>
      </c>
      <c r="D729" s="2" t="s">
        <v>1839</v>
      </c>
      <c r="E729" s="2" t="s">
        <v>1841</v>
      </c>
      <c r="F729" s="2">
        <v>1.07138</v>
      </c>
      <c r="G729" s="2">
        <v>2.53234</v>
      </c>
      <c r="H729" s="2">
        <v>1.2410000000000001</v>
      </c>
    </row>
    <row r="730" spans="1:8" x14ac:dyDescent="0.2">
      <c r="A730" s="2" t="s">
        <v>31</v>
      </c>
      <c r="B730" s="2" t="s">
        <v>3038</v>
      </c>
      <c r="C730" s="2" t="s">
        <v>2366</v>
      </c>
      <c r="D730" s="2" t="s">
        <v>1839</v>
      </c>
      <c r="E730" s="2" t="s">
        <v>1841</v>
      </c>
      <c r="F730" s="2">
        <v>1.65849</v>
      </c>
      <c r="G730" s="2">
        <v>3.91994</v>
      </c>
      <c r="H730" s="2">
        <v>1.2409600000000001</v>
      </c>
    </row>
    <row r="731" spans="1:8" x14ac:dyDescent="0.2">
      <c r="A731" s="2" t="s">
        <v>911</v>
      </c>
      <c r="B731" s="2" t="s">
        <v>3472</v>
      </c>
      <c r="C731" s="2" t="s">
        <v>2919</v>
      </c>
      <c r="D731" s="2" t="s">
        <v>1839</v>
      </c>
      <c r="E731" s="2" t="s">
        <v>1841</v>
      </c>
      <c r="F731" s="2">
        <v>2.5417000000000001</v>
      </c>
      <c r="G731" s="2">
        <v>6.0068599999999996</v>
      </c>
      <c r="H731" s="2">
        <v>1.24081</v>
      </c>
    </row>
    <row r="732" spans="1:8" x14ac:dyDescent="0.2">
      <c r="A732" s="2" t="s">
        <v>507</v>
      </c>
      <c r="B732" s="2" t="s">
        <v>3015</v>
      </c>
      <c r="C732" s="2" t="s">
        <v>2082</v>
      </c>
      <c r="D732" s="2" t="s">
        <v>1836</v>
      </c>
      <c r="E732" s="2" t="s">
        <v>1837</v>
      </c>
      <c r="F732" s="2">
        <v>2.4866899999999998</v>
      </c>
      <c r="G732" s="2">
        <v>5.8740399999999999</v>
      </c>
      <c r="H732" s="2">
        <v>1.2401199999999999</v>
      </c>
    </row>
    <row r="733" spans="1:8" x14ac:dyDescent="0.2">
      <c r="A733" s="2" t="s">
        <v>1612</v>
      </c>
      <c r="B733" s="2" t="s">
        <v>3015</v>
      </c>
      <c r="C733" s="2" t="s">
        <v>2774</v>
      </c>
      <c r="D733" s="2" t="s">
        <v>1839</v>
      </c>
      <c r="E733" s="2" t="s">
        <v>1841</v>
      </c>
      <c r="F733" s="2">
        <v>0.53267799999999998</v>
      </c>
      <c r="G733" s="2">
        <v>1.25807</v>
      </c>
      <c r="H733" s="2">
        <v>1.2398800000000001</v>
      </c>
    </row>
    <row r="734" spans="1:8" x14ac:dyDescent="0.2">
      <c r="A734" s="2" t="s">
        <v>1731</v>
      </c>
      <c r="B734" s="2" t="s">
        <v>3295</v>
      </c>
      <c r="C734" s="2" t="s">
        <v>2898</v>
      </c>
      <c r="D734" s="2" t="s">
        <v>1839</v>
      </c>
      <c r="E734" s="2" t="s">
        <v>1841</v>
      </c>
      <c r="F734" s="2">
        <v>0.49774800000000002</v>
      </c>
      <c r="G734" s="2">
        <v>1.1755599999999999</v>
      </c>
      <c r="H734" s="2">
        <v>1.23987</v>
      </c>
    </row>
    <row r="735" spans="1:8" x14ac:dyDescent="0.2">
      <c r="A735" s="2" t="s">
        <v>1313</v>
      </c>
      <c r="B735" s="2" t="s">
        <v>3441</v>
      </c>
      <c r="C735" s="2" t="s">
        <v>3015</v>
      </c>
      <c r="D735" s="2" t="s">
        <v>1839</v>
      </c>
      <c r="E735" s="2" t="s">
        <v>1840</v>
      </c>
      <c r="F735" s="2">
        <v>0.44244800000000001</v>
      </c>
      <c r="G735" s="2">
        <v>1.04444</v>
      </c>
      <c r="H735" s="2">
        <v>1.2391399999999999</v>
      </c>
    </row>
    <row r="736" spans="1:8" x14ac:dyDescent="0.2">
      <c r="A736" s="2" t="s">
        <v>293</v>
      </c>
      <c r="B736" s="2" t="s">
        <v>3309</v>
      </c>
      <c r="C736" s="2" t="s">
        <v>2436</v>
      </c>
      <c r="D736" s="2" t="s">
        <v>1836</v>
      </c>
      <c r="E736" s="2" t="s">
        <v>1838</v>
      </c>
      <c r="F736" s="2">
        <v>1241.23</v>
      </c>
      <c r="G736" s="2">
        <v>2929.94</v>
      </c>
      <c r="H736" s="2">
        <v>1.2391000000000001</v>
      </c>
    </row>
    <row r="737" spans="1:8" x14ac:dyDescent="0.2">
      <c r="A737" s="2" t="s">
        <v>1394</v>
      </c>
      <c r="B737" s="2" t="s">
        <v>3443</v>
      </c>
      <c r="C737" s="2" t="s">
        <v>2883</v>
      </c>
      <c r="D737" s="2" t="s">
        <v>1839</v>
      </c>
      <c r="E737" s="2" t="s">
        <v>1841</v>
      </c>
      <c r="F737" s="2">
        <v>4.7904</v>
      </c>
      <c r="G737" s="2">
        <v>11.307700000000001</v>
      </c>
      <c r="H737" s="2">
        <v>1.23909</v>
      </c>
    </row>
    <row r="738" spans="1:8" x14ac:dyDescent="0.2">
      <c r="A738" s="2" t="s">
        <v>73</v>
      </c>
      <c r="B738" s="2" t="s">
        <v>3015</v>
      </c>
      <c r="C738" s="2" t="s">
        <v>1880</v>
      </c>
      <c r="D738" s="2" t="s">
        <v>1839</v>
      </c>
      <c r="E738" s="2" t="s">
        <v>1840</v>
      </c>
      <c r="F738" s="2">
        <v>1.0872599999999999</v>
      </c>
      <c r="G738" s="2">
        <v>2.5649299999999999</v>
      </c>
      <c r="H738" s="2">
        <v>1.2382299999999999</v>
      </c>
    </row>
    <row r="739" spans="1:8" x14ac:dyDescent="0.2">
      <c r="A739" s="2" t="s">
        <v>1787</v>
      </c>
      <c r="B739" s="2" t="s">
        <v>3302</v>
      </c>
      <c r="C739" s="2" t="s">
        <v>2963</v>
      </c>
      <c r="D739" s="2" t="s">
        <v>1839</v>
      </c>
      <c r="E739" s="2" t="s">
        <v>1841</v>
      </c>
      <c r="F739" s="2">
        <v>1.82846</v>
      </c>
      <c r="G739" s="2">
        <v>4.3132900000000003</v>
      </c>
      <c r="H739" s="2">
        <v>1.2381599999999999</v>
      </c>
    </row>
    <row r="740" spans="1:8" x14ac:dyDescent="0.2">
      <c r="A740" s="2" t="s">
        <v>254</v>
      </c>
      <c r="B740" s="2" t="s">
        <v>3089</v>
      </c>
      <c r="C740" s="2" t="s">
        <v>1847</v>
      </c>
      <c r="D740" s="2" t="s">
        <v>1836</v>
      </c>
      <c r="E740" s="2" t="s">
        <v>1837</v>
      </c>
      <c r="F740" s="2">
        <v>1.2150399999999999</v>
      </c>
      <c r="G740" s="2">
        <v>2.8657499999999998</v>
      </c>
      <c r="H740" s="2">
        <v>1.2379100000000001</v>
      </c>
    </row>
    <row r="741" spans="1:8" x14ac:dyDescent="0.2">
      <c r="A741" s="2" t="s">
        <v>335</v>
      </c>
      <c r="B741" s="2" t="s">
        <v>3015</v>
      </c>
      <c r="C741" s="2" t="s">
        <v>2002</v>
      </c>
      <c r="D741" s="2" t="s">
        <v>1836</v>
      </c>
      <c r="E741" s="2" t="s">
        <v>1837</v>
      </c>
      <c r="F741" s="2">
        <v>0.92621600000000004</v>
      </c>
      <c r="G741" s="2">
        <v>2.1843900000000001</v>
      </c>
      <c r="H741" s="2">
        <v>1.2378100000000001</v>
      </c>
    </row>
    <row r="742" spans="1:8" x14ac:dyDescent="0.2">
      <c r="A742" s="2" t="s">
        <v>1162</v>
      </c>
      <c r="B742" s="2" t="s">
        <v>3126</v>
      </c>
      <c r="C742" s="2" t="s">
        <v>2011</v>
      </c>
      <c r="D742" s="2" t="s">
        <v>1839</v>
      </c>
      <c r="E742" s="2" t="s">
        <v>1841</v>
      </c>
      <c r="F742" s="2">
        <v>0.436892</v>
      </c>
      <c r="G742" s="2">
        <v>1.03007</v>
      </c>
      <c r="H742" s="2">
        <v>1.2374000000000001</v>
      </c>
    </row>
    <row r="743" spans="1:8" x14ac:dyDescent="0.2">
      <c r="A743" s="2" t="s">
        <v>1675</v>
      </c>
      <c r="B743" s="2" t="s">
        <v>3449</v>
      </c>
      <c r="C743" s="2" t="s">
        <v>2840</v>
      </c>
      <c r="D743" s="2" t="s">
        <v>1839</v>
      </c>
      <c r="E743" s="2" t="s">
        <v>1841</v>
      </c>
      <c r="F743" s="2">
        <v>0.39154499999999998</v>
      </c>
      <c r="G743" s="2">
        <v>0.92306699999999997</v>
      </c>
      <c r="H743" s="2">
        <v>1.23726</v>
      </c>
    </row>
    <row r="744" spans="1:8" x14ac:dyDescent="0.2">
      <c r="A744" s="2" t="s">
        <v>1750</v>
      </c>
      <c r="B744" s="2" t="s">
        <v>3287</v>
      </c>
      <c r="C744" s="2" t="s">
        <v>2045</v>
      </c>
      <c r="D744" s="2" t="s">
        <v>1839</v>
      </c>
      <c r="E744" s="2" t="s">
        <v>1841</v>
      </c>
      <c r="F744" s="2">
        <v>1.4910000000000001</v>
      </c>
      <c r="G744" s="2">
        <v>3.5146600000000001</v>
      </c>
      <c r="H744" s="2">
        <v>1.2371000000000001</v>
      </c>
    </row>
    <row r="745" spans="1:8" x14ac:dyDescent="0.2">
      <c r="A745" s="2" t="s">
        <v>1713</v>
      </c>
      <c r="B745" s="2" t="s">
        <v>3015</v>
      </c>
      <c r="C745" s="2" t="s">
        <v>2875</v>
      </c>
      <c r="D745" s="2" t="s">
        <v>1839</v>
      </c>
      <c r="E745" s="2" t="s">
        <v>1841</v>
      </c>
      <c r="F745" s="2">
        <v>1.0409200000000001</v>
      </c>
      <c r="G745" s="2">
        <v>2.4532099999999999</v>
      </c>
      <c r="H745" s="2">
        <v>1.23681</v>
      </c>
    </row>
    <row r="746" spans="1:8" x14ac:dyDescent="0.2">
      <c r="A746" s="2" t="s">
        <v>467</v>
      </c>
      <c r="B746" s="2" t="s">
        <v>3145</v>
      </c>
      <c r="C746" s="2" t="s">
        <v>2064</v>
      </c>
      <c r="D746" s="2" t="s">
        <v>1836</v>
      </c>
      <c r="E746" s="2" t="s">
        <v>1837</v>
      </c>
      <c r="F746" s="2">
        <v>0.37391600000000003</v>
      </c>
      <c r="G746" s="2">
        <v>0.880826</v>
      </c>
      <c r="H746" s="2">
        <v>1.23614</v>
      </c>
    </row>
    <row r="747" spans="1:8" x14ac:dyDescent="0.2">
      <c r="A747" s="2" t="s">
        <v>164</v>
      </c>
      <c r="B747" s="2" t="s">
        <v>3058</v>
      </c>
      <c r="C747" s="2" t="s">
        <v>2671</v>
      </c>
      <c r="D747" s="2" t="s">
        <v>1839</v>
      </c>
      <c r="E747" s="2" t="s">
        <v>1841</v>
      </c>
      <c r="F747" s="2">
        <v>3.81942</v>
      </c>
      <c r="G747" s="2">
        <v>8.9963899999999999</v>
      </c>
      <c r="H747" s="2">
        <v>1.2359899999999999</v>
      </c>
    </row>
    <row r="748" spans="1:8" x14ac:dyDescent="0.2">
      <c r="A748" s="2" t="s">
        <v>200</v>
      </c>
      <c r="B748" s="2" t="s">
        <v>3080</v>
      </c>
      <c r="C748" s="2" t="s">
        <v>1937</v>
      </c>
      <c r="D748" s="2" t="s">
        <v>1836</v>
      </c>
      <c r="E748" s="2" t="s">
        <v>1838</v>
      </c>
      <c r="F748" s="2">
        <v>0.47484399999999999</v>
      </c>
      <c r="G748" s="2">
        <v>1.11741</v>
      </c>
      <c r="H748" s="2">
        <v>1.2346299999999999</v>
      </c>
    </row>
    <row r="749" spans="1:8" x14ac:dyDescent="0.2">
      <c r="A749" s="2" t="s">
        <v>694</v>
      </c>
      <c r="B749" s="2" t="s">
        <v>3062</v>
      </c>
      <c r="C749" s="2" t="s">
        <v>2188</v>
      </c>
      <c r="D749" s="2" t="s">
        <v>1839</v>
      </c>
      <c r="E749" s="2" t="s">
        <v>1841</v>
      </c>
      <c r="F749" s="2">
        <v>3.1656900000000001</v>
      </c>
      <c r="G749" s="2">
        <v>7.4479600000000001</v>
      </c>
      <c r="H749" s="2">
        <v>1.2343200000000001</v>
      </c>
    </row>
    <row r="750" spans="1:8" x14ac:dyDescent="0.2">
      <c r="A750" s="2" t="s">
        <v>43</v>
      </c>
      <c r="B750" s="2" t="s">
        <v>3015</v>
      </c>
      <c r="C750" s="2" t="s">
        <v>2627</v>
      </c>
      <c r="D750" s="2" t="s">
        <v>1839</v>
      </c>
      <c r="E750" s="2" t="s">
        <v>1841</v>
      </c>
      <c r="F750" s="2">
        <v>6.0851499999999996</v>
      </c>
      <c r="G750" s="2">
        <v>14.311500000000001</v>
      </c>
      <c r="H750" s="2">
        <v>1.2338100000000001</v>
      </c>
    </row>
    <row r="751" spans="1:8" x14ac:dyDescent="0.2">
      <c r="A751" s="2" t="s">
        <v>193</v>
      </c>
      <c r="B751" s="2" t="s">
        <v>3103</v>
      </c>
      <c r="C751" s="2" t="s">
        <v>2678</v>
      </c>
      <c r="D751" s="2" t="s">
        <v>1839</v>
      </c>
      <c r="E751" s="2" t="s">
        <v>1841</v>
      </c>
      <c r="F751" s="2">
        <v>1.0705899999999999</v>
      </c>
      <c r="G751" s="2">
        <v>2.51512</v>
      </c>
      <c r="H751" s="2">
        <v>1.2322200000000001</v>
      </c>
    </row>
    <row r="752" spans="1:8" x14ac:dyDescent="0.2">
      <c r="A752" s="2" t="s">
        <v>1602</v>
      </c>
      <c r="B752" s="2" t="s">
        <v>3015</v>
      </c>
      <c r="C752" s="2" t="s">
        <v>2764</v>
      </c>
      <c r="D752" s="2" t="s">
        <v>1839</v>
      </c>
      <c r="E752" s="2" t="s">
        <v>1840</v>
      </c>
      <c r="F752" s="2">
        <v>1.2925</v>
      </c>
      <c r="G752" s="2">
        <v>3.03607</v>
      </c>
      <c r="H752" s="2">
        <v>1.23204</v>
      </c>
    </row>
    <row r="753" spans="1:8" x14ac:dyDescent="0.2">
      <c r="A753" s="2" t="s">
        <v>1323</v>
      </c>
      <c r="B753" s="2" t="s">
        <v>3093</v>
      </c>
      <c r="C753" s="2" t="s">
        <v>2473</v>
      </c>
      <c r="D753" s="2" t="s">
        <v>1839</v>
      </c>
      <c r="E753" s="2" t="s">
        <v>1841</v>
      </c>
      <c r="F753" s="2">
        <v>0.41998000000000002</v>
      </c>
      <c r="G753" s="2">
        <v>0.98652399999999996</v>
      </c>
      <c r="H753" s="2">
        <v>1.23203</v>
      </c>
    </row>
    <row r="754" spans="1:8" x14ac:dyDescent="0.2">
      <c r="A754" s="2" t="s">
        <v>1655</v>
      </c>
      <c r="B754" s="2" t="s">
        <v>3095</v>
      </c>
      <c r="C754" s="2" t="s">
        <v>2822</v>
      </c>
      <c r="D754" s="2" t="s">
        <v>1839</v>
      </c>
      <c r="E754" s="2" t="s">
        <v>1841</v>
      </c>
      <c r="F754" s="2">
        <v>0.60057799999999995</v>
      </c>
      <c r="G754" s="2">
        <v>1.4106000000000001</v>
      </c>
      <c r="H754" s="2">
        <v>1.2318899999999999</v>
      </c>
    </row>
    <row r="755" spans="1:8" x14ac:dyDescent="0.2">
      <c r="A755" s="2" t="s">
        <v>1623</v>
      </c>
      <c r="B755" s="2" t="s">
        <v>3146</v>
      </c>
      <c r="C755" s="2" t="s">
        <v>2674</v>
      </c>
      <c r="D755" s="2" t="s">
        <v>1839</v>
      </c>
      <c r="E755" s="2" t="s">
        <v>1840</v>
      </c>
      <c r="F755" s="2">
        <v>1.7181999999999999</v>
      </c>
      <c r="G755" s="2">
        <v>4.0351499999999998</v>
      </c>
      <c r="H755" s="2">
        <v>1.2317199999999999</v>
      </c>
    </row>
    <row r="756" spans="1:8" x14ac:dyDescent="0.2">
      <c r="A756" s="2" t="s">
        <v>1402</v>
      </c>
      <c r="B756" s="2" t="s">
        <v>3015</v>
      </c>
      <c r="C756" s="2" t="s">
        <v>2891</v>
      </c>
      <c r="D756" s="2" t="s">
        <v>1839</v>
      </c>
      <c r="E756" s="2" t="s">
        <v>1840</v>
      </c>
      <c r="F756" s="2">
        <v>1.9628399999999999</v>
      </c>
      <c r="G756" s="2">
        <v>4.6059799999999997</v>
      </c>
      <c r="H756" s="2">
        <v>1.2305600000000001</v>
      </c>
    </row>
    <row r="757" spans="1:8" x14ac:dyDescent="0.2">
      <c r="A757" s="2" t="s">
        <v>222</v>
      </c>
      <c r="B757" s="2" t="s">
        <v>3087</v>
      </c>
      <c r="C757" s="2" t="s">
        <v>1947</v>
      </c>
      <c r="D757" s="2" t="s">
        <v>1836</v>
      </c>
      <c r="E757" s="2" t="s">
        <v>1837</v>
      </c>
      <c r="F757" s="2">
        <v>0.48676599999999998</v>
      </c>
      <c r="G757" s="2">
        <v>1.14205</v>
      </c>
      <c r="H757" s="2">
        <v>1.2303200000000001</v>
      </c>
    </row>
    <row r="758" spans="1:8" x14ac:dyDescent="0.2">
      <c r="A758" s="2" t="s">
        <v>528</v>
      </c>
      <c r="B758" s="2" t="s">
        <v>3015</v>
      </c>
      <c r="C758" s="2" t="s">
        <v>1844</v>
      </c>
      <c r="D758" s="2" t="s">
        <v>1839</v>
      </c>
      <c r="E758" s="2" t="s">
        <v>1840</v>
      </c>
      <c r="F758" s="2">
        <v>1.0430699999999999</v>
      </c>
      <c r="G758" s="2">
        <v>2.44598</v>
      </c>
      <c r="H758" s="2">
        <v>1.2295799999999999</v>
      </c>
    </row>
    <row r="759" spans="1:8" x14ac:dyDescent="0.2">
      <c r="A759" s="2" t="s">
        <v>703</v>
      </c>
      <c r="B759" s="2" t="s">
        <v>3045</v>
      </c>
      <c r="C759" s="2" t="s">
        <v>1923</v>
      </c>
      <c r="D759" s="2" t="s">
        <v>1836</v>
      </c>
      <c r="E759" s="2" t="s">
        <v>1837</v>
      </c>
      <c r="F759" s="2">
        <v>1.5314300000000001</v>
      </c>
      <c r="G759" s="2">
        <v>3.5863299999999998</v>
      </c>
      <c r="H759" s="2">
        <v>1.22763</v>
      </c>
    </row>
    <row r="760" spans="1:8" x14ac:dyDescent="0.2">
      <c r="A760" s="2" t="s">
        <v>1639</v>
      </c>
      <c r="B760" s="2" t="s">
        <v>3025</v>
      </c>
      <c r="C760" s="2" t="s">
        <v>2805</v>
      </c>
      <c r="D760" s="2" t="s">
        <v>1839</v>
      </c>
      <c r="E760" s="2" t="s">
        <v>1841</v>
      </c>
      <c r="F760" s="2">
        <v>0.66335900000000003</v>
      </c>
      <c r="G760" s="2">
        <v>1.5526800000000001</v>
      </c>
      <c r="H760" s="2">
        <v>1.2269000000000001</v>
      </c>
    </row>
    <row r="761" spans="1:8" x14ac:dyDescent="0.2">
      <c r="A761" s="2" t="s">
        <v>1657</v>
      </c>
      <c r="B761" s="2" t="s">
        <v>3015</v>
      </c>
      <c r="C761" s="2" t="s">
        <v>2825</v>
      </c>
      <c r="D761" s="2" t="s">
        <v>1839</v>
      </c>
      <c r="E761" s="2" t="s">
        <v>1840</v>
      </c>
      <c r="F761" s="2">
        <v>0.95603800000000005</v>
      </c>
      <c r="G761" s="2">
        <v>2.2376200000000002</v>
      </c>
      <c r="H761" s="2">
        <v>1.2268300000000001</v>
      </c>
    </row>
    <row r="762" spans="1:8" x14ac:dyDescent="0.2">
      <c r="A762" s="2" t="s">
        <v>1003</v>
      </c>
      <c r="B762" s="2" t="s">
        <v>3015</v>
      </c>
      <c r="C762" s="2" t="s">
        <v>2080</v>
      </c>
      <c r="D762" s="2" t="s">
        <v>1836</v>
      </c>
      <c r="E762" s="2" t="s">
        <v>1837</v>
      </c>
      <c r="F762" s="2">
        <v>1.49909</v>
      </c>
      <c r="G762" s="2">
        <v>3.5082900000000001</v>
      </c>
      <c r="H762" s="2">
        <v>1.22668</v>
      </c>
    </row>
    <row r="763" spans="1:8" x14ac:dyDescent="0.2">
      <c r="A763" s="2" t="s">
        <v>1430</v>
      </c>
      <c r="B763" s="2" t="s">
        <v>3474</v>
      </c>
      <c r="C763" s="2" t="s">
        <v>2930</v>
      </c>
      <c r="D763" s="2" t="s">
        <v>1839</v>
      </c>
      <c r="E763" s="2" t="s">
        <v>1841</v>
      </c>
      <c r="F763" s="2">
        <v>45.774299999999997</v>
      </c>
      <c r="G763" s="2">
        <v>107.11</v>
      </c>
      <c r="H763" s="2">
        <v>1.2264900000000001</v>
      </c>
    </row>
    <row r="764" spans="1:8" x14ac:dyDescent="0.2">
      <c r="A764" s="2" t="s">
        <v>813</v>
      </c>
      <c r="B764" s="2" t="s">
        <v>3089</v>
      </c>
      <c r="C764" s="2" t="s">
        <v>2077</v>
      </c>
      <c r="D764" s="2" t="s">
        <v>1836</v>
      </c>
      <c r="E764" s="2" t="s">
        <v>1837</v>
      </c>
      <c r="F764" s="2">
        <v>1.65882</v>
      </c>
      <c r="G764" s="2">
        <v>3.8776999999999999</v>
      </c>
      <c r="H764" s="2">
        <v>1.2250399999999999</v>
      </c>
    </row>
    <row r="765" spans="1:8" x14ac:dyDescent="0.2">
      <c r="A765" s="2" t="s">
        <v>860</v>
      </c>
      <c r="B765" s="2" t="s">
        <v>3093</v>
      </c>
      <c r="C765" s="2" t="s">
        <v>2029</v>
      </c>
      <c r="D765" s="2" t="s">
        <v>1836</v>
      </c>
      <c r="E765" s="2" t="s">
        <v>1837</v>
      </c>
      <c r="F765" s="2">
        <v>7.8865999999999996</v>
      </c>
      <c r="G765" s="2">
        <v>18.432500000000001</v>
      </c>
      <c r="H765" s="2">
        <v>1.22478</v>
      </c>
    </row>
    <row r="766" spans="1:8" x14ac:dyDescent="0.2">
      <c r="A766" s="2" t="s">
        <v>151</v>
      </c>
      <c r="B766" s="2" t="s">
        <v>3062</v>
      </c>
      <c r="C766" s="2" t="s">
        <v>1915</v>
      </c>
      <c r="D766" s="2" t="s">
        <v>1836</v>
      </c>
      <c r="E766" s="2" t="s">
        <v>1837</v>
      </c>
      <c r="F766" s="2">
        <v>5.93818</v>
      </c>
      <c r="G766" s="2">
        <v>13.8779</v>
      </c>
      <c r="H766" s="2">
        <v>1.2246999999999999</v>
      </c>
    </row>
    <row r="767" spans="1:8" x14ac:dyDescent="0.2">
      <c r="A767" s="2" t="s">
        <v>624</v>
      </c>
      <c r="B767" s="2" t="s">
        <v>3158</v>
      </c>
      <c r="C767" s="2" t="s">
        <v>2520</v>
      </c>
      <c r="D767" s="2" t="s">
        <v>1839</v>
      </c>
      <c r="E767" s="2" t="s">
        <v>1841</v>
      </c>
      <c r="F767" s="2">
        <v>4.3082799999999999</v>
      </c>
      <c r="G767" s="2">
        <v>10.0657</v>
      </c>
      <c r="H767" s="2">
        <v>1.2242599999999999</v>
      </c>
    </row>
    <row r="768" spans="1:8" x14ac:dyDescent="0.2">
      <c r="A768" s="2" t="s">
        <v>1210</v>
      </c>
      <c r="B768" s="2" t="s">
        <v>3081</v>
      </c>
      <c r="C768" s="2" t="s">
        <v>2353</v>
      </c>
      <c r="D768" s="2" t="s">
        <v>1839</v>
      </c>
      <c r="E768" s="2" t="s">
        <v>1840</v>
      </c>
      <c r="F768" s="2">
        <v>2.10982</v>
      </c>
      <c r="G768" s="2">
        <v>4.9287999999999998</v>
      </c>
      <c r="H768" s="2">
        <v>1.22411</v>
      </c>
    </row>
    <row r="769" spans="1:8" x14ac:dyDescent="0.2">
      <c r="A769" s="2" t="s">
        <v>920</v>
      </c>
      <c r="B769" s="2" t="s">
        <v>3237</v>
      </c>
      <c r="C769" s="2" t="s">
        <v>2271</v>
      </c>
      <c r="D769" s="2" t="s">
        <v>1839</v>
      </c>
      <c r="E769" s="2" t="s">
        <v>1841</v>
      </c>
      <c r="F769" s="2">
        <v>15.658099999999999</v>
      </c>
      <c r="G769" s="2">
        <v>36.575099999999999</v>
      </c>
      <c r="H769" s="2">
        <v>1.2239500000000001</v>
      </c>
    </row>
    <row r="770" spans="1:8" x14ac:dyDescent="0.2">
      <c r="A770" s="2" t="s">
        <v>925</v>
      </c>
      <c r="B770" s="2" t="s">
        <v>3240</v>
      </c>
      <c r="C770" s="2" t="s">
        <v>2273</v>
      </c>
      <c r="D770" s="2" t="s">
        <v>1836</v>
      </c>
      <c r="E770" s="2" t="s">
        <v>1837</v>
      </c>
      <c r="F770" s="2">
        <v>1.1334599999999999</v>
      </c>
      <c r="G770" s="2">
        <v>2.64649</v>
      </c>
      <c r="H770" s="2">
        <v>1.2233400000000001</v>
      </c>
    </row>
    <row r="771" spans="1:8" x14ac:dyDescent="0.2">
      <c r="A771" s="2" t="s">
        <v>1681</v>
      </c>
      <c r="B771" s="2" t="s">
        <v>3453</v>
      </c>
      <c r="C771" s="2" t="s">
        <v>2847</v>
      </c>
      <c r="D771" s="2" t="s">
        <v>1839</v>
      </c>
      <c r="E771" s="2" t="s">
        <v>1840</v>
      </c>
      <c r="F771" s="2">
        <v>0.37701000000000001</v>
      </c>
      <c r="G771" s="2">
        <v>0.88007500000000005</v>
      </c>
      <c r="H771" s="2">
        <v>1.22302</v>
      </c>
    </row>
    <row r="772" spans="1:8" x14ac:dyDescent="0.2">
      <c r="A772" s="2" t="s">
        <v>497</v>
      </c>
      <c r="B772" s="2" t="s">
        <v>3030</v>
      </c>
      <c r="C772" s="2" t="s">
        <v>2017</v>
      </c>
      <c r="D772" s="2" t="s">
        <v>1839</v>
      </c>
      <c r="E772" s="2" t="s">
        <v>1841</v>
      </c>
      <c r="F772" s="2">
        <v>1.67099</v>
      </c>
      <c r="G772" s="2">
        <v>3.90021</v>
      </c>
      <c r="H772" s="2">
        <v>1.22285</v>
      </c>
    </row>
    <row r="773" spans="1:8" x14ac:dyDescent="0.2">
      <c r="A773" s="2" t="s">
        <v>1825</v>
      </c>
      <c r="B773" s="2" t="s">
        <v>3266</v>
      </c>
      <c r="C773" s="2" t="s">
        <v>2347</v>
      </c>
      <c r="D773" s="2" t="s">
        <v>1839</v>
      </c>
      <c r="E773" s="2" t="s">
        <v>1840</v>
      </c>
      <c r="F773" s="2">
        <v>0.34606700000000001</v>
      </c>
      <c r="G773" s="2">
        <v>0.80725000000000002</v>
      </c>
      <c r="H773" s="2">
        <v>1.2219599999999999</v>
      </c>
    </row>
    <row r="774" spans="1:8" x14ac:dyDescent="0.2">
      <c r="A774" s="2" t="s">
        <v>707</v>
      </c>
      <c r="B774" s="2" t="s">
        <v>3015</v>
      </c>
      <c r="C774" s="2" t="s">
        <v>2171</v>
      </c>
      <c r="D774" s="2" t="s">
        <v>1839</v>
      </c>
      <c r="E774" s="2" t="s">
        <v>1840</v>
      </c>
      <c r="F774" s="2">
        <v>8.9064399999999999</v>
      </c>
      <c r="G774" s="2">
        <v>20.770600000000002</v>
      </c>
      <c r="H774" s="2">
        <v>1.2216199999999999</v>
      </c>
    </row>
    <row r="775" spans="1:8" x14ac:dyDescent="0.2">
      <c r="A775" s="2" t="s">
        <v>1288</v>
      </c>
      <c r="B775" s="2" t="s">
        <v>3015</v>
      </c>
      <c r="C775" s="2" t="s">
        <v>2496</v>
      </c>
      <c r="D775" s="2" t="s">
        <v>1836</v>
      </c>
      <c r="E775" s="2" t="s">
        <v>1838</v>
      </c>
      <c r="F775" s="2">
        <v>17.877300000000002</v>
      </c>
      <c r="G775" s="2">
        <v>41.685499999999998</v>
      </c>
      <c r="H775" s="2">
        <v>1.2214100000000001</v>
      </c>
    </row>
    <row r="776" spans="1:8" x14ac:dyDescent="0.2">
      <c r="A776" s="2" t="s">
        <v>1563</v>
      </c>
      <c r="B776" s="2" t="s">
        <v>3351</v>
      </c>
      <c r="C776" s="2" t="s">
        <v>1964</v>
      </c>
      <c r="D776" s="2" t="s">
        <v>1839</v>
      </c>
      <c r="E776" s="2" t="s">
        <v>1841</v>
      </c>
      <c r="F776" s="2">
        <v>0.50949100000000003</v>
      </c>
      <c r="G776" s="2">
        <v>1.1873</v>
      </c>
      <c r="H776" s="2">
        <v>1.22055</v>
      </c>
    </row>
    <row r="777" spans="1:8" x14ac:dyDescent="0.2">
      <c r="A777" s="2" t="s">
        <v>487</v>
      </c>
      <c r="B777" s="2" t="s">
        <v>3015</v>
      </c>
      <c r="C777" s="2" t="s">
        <v>2071</v>
      </c>
      <c r="D777" s="2" t="s">
        <v>1836</v>
      </c>
      <c r="E777" s="2" t="s">
        <v>1837</v>
      </c>
      <c r="F777" s="2">
        <v>0.79222899999999996</v>
      </c>
      <c r="G777" s="2">
        <v>1.8449199999999999</v>
      </c>
      <c r="H777" s="2">
        <v>1.21957</v>
      </c>
    </row>
    <row r="778" spans="1:8" x14ac:dyDescent="0.2">
      <c r="A778" s="2" t="s">
        <v>310</v>
      </c>
      <c r="B778" s="2" t="s">
        <v>3416</v>
      </c>
      <c r="C778" s="2" t="s">
        <v>1847</v>
      </c>
      <c r="D778" s="2" t="s">
        <v>1839</v>
      </c>
      <c r="E778" s="2" t="s">
        <v>1841</v>
      </c>
      <c r="F778" s="2">
        <v>0.66113299999999997</v>
      </c>
      <c r="G778" s="2">
        <v>1.53881</v>
      </c>
      <c r="H778" s="2">
        <v>1.2188000000000001</v>
      </c>
    </row>
    <row r="779" spans="1:8" x14ac:dyDescent="0.2">
      <c r="A779" s="2" t="s">
        <v>68</v>
      </c>
      <c r="B779" s="2" t="s">
        <v>3015</v>
      </c>
      <c r="C779" s="2" t="s">
        <v>2383</v>
      </c>
      <c r="D779" s="2" t="s">
        <v>1839</v>
      </c>
      <c r="E779" s="2" t="s">
        <v>1841</v>
      </c>
      <c r="F779" s="2">
        <v>12.084199999999999</v>
      </c>
      <c r="G779" s="2">
        <v>28.123899999999999</v>
      </c>
      <c r="H779" s="2">
        <v>1.2186699999999999</v>
      </c>
    </row>
    <row r="780" spans="1:8" x14ac:dyDescent="0.2">
      <c r="A780" s="2" t="s">
        <v>659</v>
      </c>
      <c r="B780" s="2" t="s">
        <v>3301</v>
      </c>
      <c r="C780" s="2" t="s">
        <v>2269</v>
      </c>
      <c r="D780" s="2" t="s">
        <v>1839</v>
      </c>
      <c r="E780" s="2" t="s">
        <v>1841</v>
      </c>
      <c r="F780" s="2">
        <v>0.57785600000000004</v>
      </c>
      <c r="G780" s="2">
        <v>1.3446400000000001</v>
      </c>
      <c r="H780" s="2">
        <v>1.21844</v>
      </c>
    </row>
    <row r="781" spans="1:8" x14ac:dyDescent="0.2">
      <c r="A781" s="2" t="s">
        <v>1081</v>
      </c>
      <c r="B781" s="2" t="s">
        <v>3158</v>
      </c>
      <c r="C781" s="2" t="s">
        <v>2607</v>
      </c>
      <c r="D781" s="2" t="s">
        <v>1839</v>
      </c>
      <c r="E781" s="2" t="s">
        <v>1841</v>
      </c>
      <c r="F781" s="2">
        <v>4.2150699999999999</v>
      </c>
      <c r="G781" s="2">
        <v>9.8080400000000001</v>
      </c>
      <c r="H781" s="2">
        <v>1.21841</v>
      </c>
    </row>
    <row r="782" spans="1:8" x14ac:dyDescent="0.2">
      <c r="A782" s="2" t="s">
        <v>326</v>
      </c>
      <c r="B782" s="2" t="s">
        <v>3015</v>
      </c>
      <c r="C782" s="2" t="s">
        <v>1996</v>
      </c>
      <c r="D782" s="2" t="s">
        <v>1836</v>
      </c>
      <c r="E782" s="2" t="s">
        <v>1838</v>
      </c>
      <c r="F782" s="2">
        <v>5.6394900000000003</v>
      </c>
      <c r="G782" s="2">
        <v>13.122400000000001</v>
      </c>
      <c r="H782" s="2">
        <v>1.2183900000000001</v>
      </c>
    </row>
    <row r="783" spans="1:8" x14ac:dyDescent="0.2">
      <c r="A783" s="2" t="s">
        <v>1532</v>
      </c>
      <c r="B783" s="2" t="s">
        <v>3015</v>
      </c>
      <c r="C783" s="2" t="s">
        <v>3016</v>
      </c>
      <c r="D783" s="2" t="s">
        <v>1839</v>
      </c>
      <c r="E783" s="2" t="s">
        <v>1841</v>
      </c>
      <c r="F783" s="2">
        <v>0.90350799999999998</v>
      </c>
      <c r="G783" s="2">
        <v>2.1022599999999998</v>
      </c>
      <c r="H783" s="2">
        <v>1.2183299999999999</v>
      </c>
    </row>
    <row r="784" spans="1:8" x14ac:dyDescent="0.2">
      <c r="A784" s="2" t="s">
        <v>197</v>
      </c>
      <c r="B784" s="2" t="s">
        <v>3078</v>
      </c>
      <c r="C784" s="2" t="s">
        <v>1935</v>
      </c>
      <c r="D784" s="2" t="s">
        <v>1836</v>
      </c>
      <c r="E784" s="2" t="s">
        <v>1837</v>
      </c>
      <c r="F784" s="2">
        <v>4.6795900000000001</v>
      </c>
      <c r="G784" s="2">
        <v>10.8682</v>
      </c>
      <c r="H784" s="2">
        <v>1.21566</v>
      </c>
    </row>
    <row r="785" spans="1:8" x14ac:dyDescent="0.2">
      <c r="A785" s="2" t="s">
        <v>347</v>
      </c>
      <c r="B785" s="2" t="s">
        <v>3030</v>
      </c>
      <c r="C785" s="2" t="s">
        <v>2004</v>
      </c>
      <c r="D785" s="2" t="s">
        <v>1836</v>
      </c>
      <c r="E785" s="2" t="s">
        <v>1837</v>
      </c>
      <c r="F785" s="2">
        <v>14.196099999999999</v>
      </c>
      <c r="G785" s="2">
        <v>32.954099999999997</v>
      </c>
      <c r="H785" s="2">
        <v>1.21496</v>
      </c>
    </row>
    <row r="786" spans="1:8" x14ac:dyDescent="0.2">
      <c r="A786" s="2" t="s">
        <v>776</v>
      </c>
      <c r="B786" s="2" t="s">
        <v>3015</v>
      </c>
      <c r="C786" s="2" t="s">
        <v>2876</v>
      </c>
      <c r="D786" s="2" t="s">
        <v>1839</v>
      </c>
      <c r="E786" s="2" t="s">
        <v>1841</v>
      </c>
      <c r="F786" s="2">
        <v>2.4123600000000001</v>
      </c>
      <c r="G786" s="2">
        <v>5.59551</v>
      </c>
      <c r="H786" s="2">
        <v>1.2138199999999999</v>
      </c>
    </row>
    <row r="787" spans="1:8" x14ac:dyDescent="0.2">
      <c r="A787" s="2" t="s">
        <v>868</v>
      </c>
      <c r="B787" s="2" t="s">
        <v>3227</v>
      </c>
      <c r="C787" s="2" t="s">
        <v>3015</v>
      </c>
      <c r="D787" s="2" t="s">
        <v>1836</v>
      </c>
      <c r="E787" s="2" t="s">
        <v>1837</v>
      </c>
      <c r="F787" s="2">
        <v>1.0250999999999999</v>
      </c>
      <c r="G787" s="2">
        <v>2.3759999999999999</v>
      </c>
      <c r="H787" s="2">
        <v>1.2127699999999999</v>
      </c>
    </row>
    <row r="788" spans="1:8" x14ac:dyDescent="0.2">
      <c r="A788" s="2" t="s">
        <v>1806</v>
      </c>
      <c r="B788" s="2" t="s">
        <v>3015</v>
      </c>
      <c r="C788" s="2" t="s">
        <v>2982</v>
      </c>
      <c r="D788" s="2" t="s">
        <v>1839</v>
      </c>
      <c r="E788" s="2" t="s">
        <v>1840</v>
      </c>
      <c r="F788" s="2">
        <v>1.59565</v>
      </c>
      <c r="G788" s="2">
        <v>3.6979199999999999</v>
      </c>
      <c r="H788" s="2">
        <v>1.2125699999999999</v>
      </c>
    </row>
    <row r="789" spans="1:8" x14ac:dyDescent="0.2">
      <c r="A789" s="2" t="s">
        <v>1062</v>
      </c>
      <c r="B789" s="2" t="s">
        <v>3049</v>
      </c>
      <c r="C789" s="2" t="s">
        <v>2187</v>
      </c>
      <c r="D789" s="2" t="s">
        <v>1836</v>
      </c>
      <c r="E789" s="2" t="s">
        <v>1837</v>
      </c>
      <c r="F789" s="2">
        <v>4.7833100000000002</v>
      </c>
      <c r="G789" s="2">
        <v>11.0844</v>
      </c>
      <c r="H789" s="2">
        <v>1.21245</v>
      </c>
    </row>
    <row r="790" spans="1:8" x14ac:dyDescent="0.2">
      <c r="A790" s="2" t="s">
        <v>1077</v>
      </c>
      <c r="B790" s="2" t="s">
        <v>3159</v>
      </c>
      <c r="C790" s="2" t="s">
        <v>2107</v>
      </c>
      <c r="D790" s="2" t="s">
        <v>1839</v>
      </c>
      <c r="E790" s="2" t="s">
        <v>1841</v>
      </c>
      <c r="F790" s="2">
        <v>24.973500000000001</v>
      </c>
      <c r="G790" s="2">
        <v>57.8658</v>
      </c>
      <c r="H790" s="2">
        <v>1.21231</v>
      </c>
    </row>
    <row r="791" spans="1:8" x14ac:dyDescent="0.2">
      <c r="A791" s="2" t="s">
        <v>536</v>
      </c>
      <c r="B791" s="2" t="s">
        <v>3094</v>
      </c>
      <c r="C791" s="2" t="s">
        <v>2792</v>
      </c>
      <c r="D791" s="2" t="s">
        <v>1839</v>
      </c>
      <c r="E791" s="2" t="s">
        <v>1841</v>
      </c>
      <c r="F791" s="2">
        <v>3.5234299999999998</v>
      </c>
      <c r="G791" s="2">
        <v>8.1548099999999994</v>
      </c>
      <c r="H791" s="2">
        <v>1.2106699999999999</v>
      </c>
    </row>
    <row r="792" spans="1:8" x14ac:dyDescent="0.2">
      <c r="A792" s="2" t="s">
        <v>1272</v>
      </c>
      <c r="B792" s="2" t="s">
        <v>3015</v>
      </c>
      <c r="C792" s="2" t="s">
        <v>3016</v>
      </c>
      <c r="D792" s="2" t="s">
        <v>1836</v>
      </c>
      <c r="E792" s="2" t="s">
        <v>1838</v>
      </c>
      <c r="F792" s="2">
        <v>1.5209299999999999</v>
      </c>
      <c r="G792" s="2">
        <v>3.51709</v>
      </c>
      <c r="H792" s="2">
        <v>1.20943</v>
      </c>
    </row>
    <row r="793" spans="1:8" x14ac:dyDescent="0.2">
      <c r="A793" s="2" t="s">
        <v>194</v>
      </c>
      <c r="B793" s="2" t="s">
        <v>3015</v>
      </c>
      <c r="C793" s="2" t="s">
        <v>1933</v>
      </c>
      <c r="D793" s="2" t="s">
        <v>1836</v>
      </c>
      <c r="E793" s="2" t="s">
        <v>1837</v>
      </c>
      <c r="F793" s="2">
        <v>0.89725999999999995</v>
      </c>
      <c r="G793" s="2">
        <v>2.0748000000000002</v>
      </c>
      <c r="H793" s="2">
        <v>1.2093700000000001</v>
      </c>
    </row>
    <row r="794" spans="1:8" x14ac:dyDescent="0.2">
      <c r="A794" s="2" t="s">
        <v>1643</v>
      </c>
      <c r="B794" s="2" t="s">
        <v>3256</v>
      </c>
      <c r="C794" s="2" t="s">
        <v>2811</v>
      </c>
      <c r="D794" s="2" t="s">
        <v>1839</v>
      </c>
      <c r="E794" s="2" t="s">
        <v>1841</v>
      </c>
      <c r="F794" s="2">
        <v>1.3195300000000001</v>
      </c>
      <c r="G794" s="2">
        <v>3.05009</v>
      </c>
      <c r="H794" s="2">
        <v>1.2088300000000001</v>
      </c>
    </row>
    <row r="795" spans="1:8" x14ac:dyDescent="0.2">
      <c r="A795" s="2" t="s">
        <v>640</v>
      </c>
      <c r="B795" s="2" t="s">
        <v>3015</v>
      </c>
      <c r="C795" s="2" t="s">
        <v>2525</v>
      </c>
      <c r="D795" s="2" t="s">
        <v>1836</v>
      </c>
      <c r="E795" s="2" t="s">
        <v>1838</v>
      </c>
      <c r="F795" s="2">
        <v>46.662599999999998</v>
      </c>
      <c r="G795" s="2">
        <v>107.848</v>
      </c>
      <c r="H795" s="2">
        <v>1.20865</v>
      </c>
    </row>
    <row r="796" spans="1:8" x14ac:dyDescent="0.2">
      <c r="A796" s="2" t="s">
        <v>494</v>
      </c>
      <c r="B796" s="2" t="s">
        <v>3089</v>
      </c>
      <c r="C796" s="2" t="s">
        <v>2077</v>
      </c>
      <c r="D796" s="2" t="s">
        <v>1836</v>
      </c>
      <c r="E796" s="2" t="s">
        <v>1837</v>
      </c>
      <c r="F796" s="2">
        <v>3.22445</v>
      </c>
      <c r="G796" s="2">
        <v>7.44794</v>
      </c>
      <c r="H796" s="2">
        <v>1.2077899999999999</v>
      </c>
    </row>
    <row r="797" spans="1:8" x14ac:dyDescent="0.2">
      <c r="A797" s="2" t="s">
        <v>296</v>
      </c>
      <c r="B797" s="2" t="s">
        <v>3412</v>
      </c>
      <c r="C797" s="2" t="s">
        <v>1923</v>
      </c>
      <c r="D797" s="2" t="s">
        <v>1839</v>
      </c>
      <c r="E797" s="2" t="s">
        <v>1841</v>
      </c>
      <c r="F797" s="2">
        <v>15.673500000000001</v>
      </c>
      <c r="G797" s="2">
        <v>36.181800000000003</v>
      </c>
      <c r="H797" s="2">
        <v>1.2069399999999999</v>
      </c>
    </row>
    <row r="798" spans="1:8" x14ac:dyDescent="0.2">
      <c r="A798" s="2" t="s">
        <v>896</v>
      </c>
      <c r="B798" s="2" t="s">
        <v>3233</v>
      </c>
      <c r="C798" s="2" t="s">
        <v>3016</v>
      </c>
      <c r="D798" s="2" t="s">
        <v>1836</v>
      </c>
      <c r="E798" s="2" t="s">
        <v>1837</v>
      </c>
      <c r="F798" s="2">
        <v>0.97496400000000005</v>
      </c>
      <c r="G798" s="2">
        <v>2.2490999999999999</v>
      </c>
      <c r="H798" s="2">
        <v>1.2059299999999999</v>
      </c>
    </row>
    <row r="799" spans="1:8" x14ac:dyDescent="0.2">
      <c r="A799" s="2" t="s">
        <v>1064</v>
      </c>
      <c r="B799" s="2" t="s">
        <v>3015</v>
      </c>
      <c r="C799" s="2" t="s">
        <v>1854</v>
      </c>
      <c r="D799" s="2" t="s">
        <v>1839</v>
      </c>
      <c r="E799" s="2" t="s">
        <v>1840</v>
      </c>
      <c r="F799" s="2">
        <v>1.0661499999999999</v>
      </c>
      <c r="G799" s="2">
        <v>2.4591500000000002</v>
      </c>
      <c r="H799" s="2">
        <v>1.2057500000000001</v>
      </c>
    </row>
    <row r="800" spans="1:8" x14ac:dyDescent="0.2">
      <c r="A800" s="2" t="s">
        <v>1738</v>
      </c>
      <c r="B800" s="2" t="s">
        <v>3467</v>
      </c>
      <c r="C800" s="2" t="s">
        <v>2908</v>
      </c>
      <c r="D800" s="2" t="s">
        <v>1839</v>
      </c>
      <c r="E800" s="2" t="s">
        <v>1841</v>
      </c>
      <c r="F800" s="2">
        <v>1.65524</v>
      </c>
      <c r="G800" s="2">
        <v>3.8149500000000001</v>
      </c>
      <c r="H800" s="2">
        <v>1.20462</v>
      </c>
    </row>
    <row r="801" spans="1:8" x14ac:dyDescent="0.2">
      <c r="A801" s="2" t="s">
        <v>1219</v>
      </c>
      <c r="B801" s="2" t="s">
        <v>3015</v>
      </c>
      <c r="C801" s="2" t="s">
        <v>2708</v>
      </c>
      <c r="D801" s="2" t="s">
        <v>1839</v>
      </c>
      <c r="E801" s="2" t="s">
        <v>1841</v>
      </c>
      <c r="F801" s="2">
        <v>1.08778</v>
      </c>
      <c r="G801" s="2">
        <v>2.5056699999999998</v>
      </c>
      <c r="H801" s="2">
        <v>1.20381</v>
      </c>
    </row>
    <row r="802" spans="1:8" x14ac:dyDescent="0.2">
      <c r="A802" s="2" t="s">
        <v>1445</v>
      </c>
      <c r="B802" s="2" t="s">
        <v>3015</v>
      </c>
      <c r="C802" s="2" t="s">
        <v>1847</v>
      </c>
      <c r="D802" s="2" t="s">
        <v>1836</v>
      </c>
      <c r="E802" s="2" t="s">
        <v>1838</v>
      </c>
      <c r="F802" s="2">
        <v>0.91420599999999996</v>
      </c>
      <c r="G802" s="2">
        <v>2.1057299999999999</v>
      </c>
      <c r="H802" s="2">
        <v>1.20373</v>
      </c>
    </row>
    <row r="803" spans="1:8" x14ac:dyDescent="0.2">
      <c r="A803" s="2" t="s">
        <v>337</v>
      </c>
      <c r="B803" s="2" t="s">
        <v>3120</v>
      </c>
      <c r="C803" s="2" t="s">
        <v>2003</v>
      </c>
      <c r="D803" s="2" t="s">
        <v>1836</v>
      </c>
      <c r="E803" s="2" t="s">
        <v>1838</v>
      </c>
      <c r="F803" s="2">
        <v>0.83150299999999999</v>
      </c>
      <c r="G803" s="2">
        <v>1.91486</v>
      </c>
      <c r="H803" s="2">
        <v>1.2034499999999999</v>
      </c>
    </row>
    <row r="804" spans="1:8" x14ac:dyDescent="0.2">
      <c r="A804" s="2" t="s">
        <v>1069</v>
      </c>
      <c r="B804" s="2" t="s">
        <v>3264</v>
      </c>
      <c r="C804" s="2" t="s">
        <v>2342</v>
      </c>
      <c r="D804" s="2" t="s">
        <v>1836</v>
      </c>
      <c r="E804" s="2" t="s">
        <v>1837</v>
      </c>
      <c r="F804" s="2">
        <v>17.3825</v>
      </c>
      <c r="G804" s="2">
        <v>39.983400000000003</v>
      </c>
      <c r="H804" s="2">
        <v>1.2017599999999999</v>
      </c>
    </row>
    <row r="805" spans="1:8" x14ac:dyDescent="0.2">
      <c r="A805" s="2" t="s">
        <v>49</v>
      </c>
      <c r="B805" s="2" t="s">
        <v>3195</v>
      </c>
      <c r="C805" s="2" t="s">
        <v>2630</v>
      </c>
      <c r="D805" s="2" t="s">
        <v>1839</v>
      </c>
      <c r="E805" s="2" t="s">
        <v>1840</v>
      </c>
      <c r="F805" s="2">
        <v>2.1010300000000002</v>
      </c>
      <c r="G805" s="2">
        <v>4.8321699999999996</v>
      </c>
      <c r="H805" s="2">
        <v>1.20157</v>
      </c>
    </row>
    <row r="806" spans="1:8" x14ac:dyDescent="0.2">
      <c r="A806" s="2" t="s">
        <v>1515</v>
      </c>
      <c r="B806" s="2" t="s">
        <v>3015</v>
      </c>
      <c r="C806" s="2" t="s">
        <v>2667</v>
      </c>
      <c r="D806" s="2" t="s">
        <v>1839</v>
      </c>
      <c r="E806" s="2" t="s">
        <v>1840</v>
      </c>
      <c r="F806" s="2">
        <v>2.4035199999999999</v>
      </c>
      <c r="G806" s="2">
        <v>5.5266000000000002</v>
      </c>
      <c r="H806" s="2">
        <v>1.2012499999999999</v>
      </c>
    </row>
    <row r="807" spans="1:8" x14ac:dyDescent="0.2">
      <c r="A807" s="2" t="s">
        <v>26</v>
      </c>
      <c r="B807" s="2" t="s">
        <v>3029</v>
      </c>
      <c r="C807" s="2" t="s">
        <v>1853</v>
      </c>
      <c r="D807" s="2" t="s">
        <v>1836</v>
      </c>
      <c r="E807" s="2" t="s">
        <v>1838</v>
      </c>
      <c r="F807" s="2">
        <v>11.0341</v>
      </c>
      <c r="G807" s="2">
        <v>25.37</v>
      </c>
      <c r="H807" s="2">
        <v>1.20116</v>
      </c>
    </row>
    <row r="808" spans="1:8" x14ac:dyDescent="0.2">
      <c r="A808" s="2" t="s">
        <v>433</v>
      </c>
      <c r="B808" s="2" t="s">
        <v>3015</v>
      </c>
      <c r="C808" s="2" t="s">
        <v>2045</v>
      </c>
      <c r="D808" s="2" t="s">
        <v>1836</v>
      </c>
      <c r="E808" s="2" t="s">
        <v>1837</v>
      </c>
      <c r="F808" s="2">
        <v>2.8269799999999998</v>
      </c>
      <c r="G808" s="2">
        <v>6.4980200000000004</v>
      </c>
      <c r="H808" s="2">
        <v>1.2007399999999999</v>
      </c>
    </row>
    <row r="809" spans="1:8" x14ac:dyDescent="0.2">
      <c r="A809" s="2" t="s">
        <v>116</v>
      </c>
      <c r="B809" s="2" t="s">
        <v>3395</v>
      </c>
      <c r="C809" s="2" t="s">
        <v>2660</v>
      </c>
      <c r="D809" s="2" t="s">
        <v>1839</v>
      </c>
      <c r="E809" s="2" t="s">
        <v>1841</v>
      </c>
      <c r="F809" s="2">
        <v>2.3894500000000001</v>
      </c>
      <c r="G809" s="2">
        <v>5.4891100000000002</v>
      </c>
      <c r="H809" s="2">
        <v>1.1999</v>
      </c>
    </row>
    <row r="810" spans="1:8" x14ac:dyDescent="0.2">
      <c r="A810" s="2" t="s">
        <v>1012</v>
      </c>
      <c r="B810" s="2" t="s">
        <v>3015</v>
      </c>
      <c r="C810" s="2" t="s">
        <v>2317</v>
      </c>
      <c r="D810" s="2" t="s">
        <v>1839</v>
      </c>
      <c r="E810" s="2" t="s">
        <v>1841</v>
      </c>
      <c r="F810" s="2">
        <v>0.33588400000000002</v>
      </c>
      <c r="G810" s="2">
        <v>0.77074299999999996</v>
      </c>
      <c r="H810" s="2">
        <v>1.1982900000000001</v>
      </c>
    </row>
    <row r="811" spans="1:8" x14ac:dyDescent="0.2">
      <c r="A811" s="2" t="s">
        <v>1015</v>
      </c>
      <c r="B811" s="2" t="s">
        <v>3253</v>
      </c>
      <c r="C811" s="2" t="s">
        <v>2319</v>
      </c>
      <c r="D811" s="2" t="s">
        <v>1836</v>
      </c>
      <c r="E811" s="2" t="s">
        <v>1837</v>
      </c>
      <c r="F811" s="2">
        <v>1.1397699999999999</v>
      </c>
      <c r="G811" s="2">
        <v>2.6128800000000001</v>
      </c>
      <c r="H811" s="2">
        <v>1.19689</v>
      </c>
    </row>
    <row r="812" spans="1:8" x14ac:dyDescent="0.2">
      <c r="A812" s="2" t="s">
        <v>862</v>
      </c>
      <c r="B812" s="2" t="s">
        <v>3015</v>
      </c>
      <c r="C812" s="2" t="s">
        <v>3015</v>
      </c>
      <c r="D812" s="2" t="s">
        <v>1836</v>
      </c>
      <c r="E812" s="2" t="s">
        <v>1838</v>
      </c>
      <c r="F812" s="2">
        <v>22.916599999999999</v>
      </c>
      <c r="G812" s="2">
        <v>52.510100000000001</v>
      </c>
      <c r="H812" s="2">
        <v>1.19621</v>
      </c>
    </row>
    <row r="813" spans="1:8" x14ac:dyDescent="0.2">
      <c r="A813" s="2" t="s">
        <v>1493</v>
      </c>
      <c r="B813" s="2" t="s">
        <v>3095</v>
      </c>
      <c r="C813" s="2" t="s">
        <v>2637</v>
      </c>
      <c r="D813" s="2" t="s">
        <v>1839</v>
      </c>
      <c r="E813" s="2" t="s">
        <v>1840</v>
      </c>
      <c r="F813" s="2">
        <v>0.421456</v>
      </c>
      <c r="G813" s="2">
        <v>0.96562499999999996</v>
      </c>
      <c r="H813" s="2">
        <v>1.19608</v>
      </c>
    </row>
    <row r="814" spans="1:8" x14ac:dyDescent="0.2">
      <c r="A814" s="2" t="s">
        <v>1327</v>
      </c>
      <c r="B814" s="2" t="s">
        <v>3047</v>
      </c>
      <c r="C814" s="2" t="s">
        <v>1879</v>
      </c>
      <c r="D814" s="2" t="s">
        <v>1836</v>
      </c>
      <c r="E814" s="2" t="s">
        <v>1838</v>
      </c>
      <c r="F814" s="2">
        <v>3.17502</v>
      </c>
      <c r="G814" s="2">
        <v>7.2730499999999996</v>
      </c>
      <c r="H814" s="2">
        <v>1.1957899999999999</v>
      </c>
    </row>
    <row r="815" spans="1:8" x14ac:dyDescent="0.2">
      <c r="A815" s="2" t="s">
        <v>1488</v>
      </c>
      <c r="B815" s="2" t="s">
        <v>3015</v>
      </c>
      <c r="C815" s="2" t="s">
        <v>3016</v>
      </c>
      <c r="D815" s="2" t="s">
        <v>1839</v>
      </c>
      <c r="E815" s="2" t="s">
        <v>1841</v>
      </c>
      <c r="F815" s="2">
        <v>0.391291</v>
      </c>
      <c r="G815" s="2">
        <v>0.89585899999999996</v>
      </c>
      <c r="H815" s="2">
        <v>1.19503</v>
      </c>
    </row>
    <row r="816" spans="1:8" x14ac:dyDescent="0.2">
      <c r="A816" s="2" t="s">
        <v>268</v>
      </c>
      <c r="B816" s="2" t="s">
        <v>3104</v>
      </c>
      <c r="C816" s="2" t="s">
        <v>1969</v>
      </c>
      <c r="D816" s="2" t="s">
        <v>1836</v>
      </c>
      <c r="E816" s="2" t="s">
        <v>1838</v>
      </c>
      <c r="F816" s="2">
        <v>11.0479</v>
      </c>
      <c r="G816" s="2">
        <v>25.287500000000001</v>
      </c>
      <c r="H816" s="2">
        <v>1.1946600000000001</v>
      </c>
    </row>
    <row r="817" spans="1:8" x14ac:dyDescent="0.2">
      <c r="A817" s="2" t="s">
        <v>762</v>
      </c>
      <c r="B817" s="2" t="s">
        <v>3205</v>
      </c>
      <c r="C817" s="2" t="s">
        <v>2192</v>
      </c>
      <c r="D817" s="2" t="s">
        <v>1836</v>
      </c>
      <c r="E817" s="2" t="s">
        <v>1837</v>
      </c>
      <c r="F817" s="2">
        <v>0.81979900000000006</v>
      </c>
      <c r="G817" s="2">
        <v>1.87635</v>
      </c>
      <c r="H817" s="2">
        <v>1.19459</v>
      </c>
    </row>
    <row r="818" spans="1:8" x14ac:dyDescent="0.2">
      <c r="A818" s="2" t="s">
        <v>1038</v>
      </c>
      <c r="B818" s="2" t="s">
        <v>3015</v>
      </c>
      <c r="C818" s="2" t="s">
        <v>3015</v>
      </c>
      <c r="D818" s="2" t="s">
        <v>1836</v>
      </c>
      <c r="E818" s="2" t="s">
        <v>1837</v>
      </c>
      <c r="F818" s="2">
        <v>6.1892199999999997</v>
      </c>
      <c r="G818" s="2">
        <v>14.1645</v>
      </c>
      <c r="H818" s="2">
        <v>1.19445</v>
      </c>
    </row>
    <row r="819" spans="1:8" x14ac:dyDescent="0.2">
      <c r="A819" s="2" t="s">
        <v>221</v>
      </c>
      <c r="B819" s="2" t="s">
        <v>3189</v>
      </c>
      <c r="C819" s="2" t="s">
        <v>2684</v>
      </c>
      <c r="D819" s="2" t="s">
        <v>1839</v>
      </c>
      <c r="E819" s="2" t="s">
        <v>1841</v>
      </c>
      <c r="F819" s="2">
        <v>1.7461899999999999</v>
      </c>
      <c r="G819" s="2">
        <v>3.9952000000000001</v>
      </c>
      <c r="H819" s="2">
        <v>1.1940500000000001</v>
      </c>
    </row>
    <row r="820" spans="1:8" x14ac:dyDescent="0.2">
      <c r="A820" s="2" t="s">
        <v>1779</v>
      </c>
      <c r="B820" s="2" t="s">
        <v>3015</v>
      </c>
      <c r="C820" s="2" t="s">
        <v>1862</v>
      </c>
      <c r="D820" s="2" t="s">
        <v>1839</v>
      </c>
      <c r="E820" s="2" t="s">
        <v>1841</v>
      </c>
      <c r="F820" s="2">
        <v>3.2970199999999998</v>
      </c>
      <c r="G820" s="2">
        <v>7.5392400000000004</v>
      </c>
      <c r="H820" s="2">
        <v>1.19326</v>
      </c>
    </row>
    <row r="821" spans="1:8" x14ac:dyDescent="0.2">
      <c r="A821" s="2" t="s">
        <v>1683</v>
      </c>
      <c r="B821" s="2" t="s">
        <v>3454</v>
      </c>
      <c r="C821" s="2" t="s">
        <v>2849</v>
      </c>
      <c r="D821" s="2" t="s">
        <v>1839</v>
      </c>
      <c r="E821" s="2" t="s">
        <v>1841</v>
      </c>
      <c r="F821" s="2">
        <v>0.38610899999999998</v>
      </c>
      <c r="G821" s="2">
        <v>0.881942</v>
      </c>
      <c r="H821" s="2">
        <v>1.1916800000000001</v>
      </c>
    </row>
    <row r="822" spans="1:8" x14ac:dyDescent="0.2">
      <c r="A822" s="2" t="s">
        <v>1212</v>
      </c>
      <c r="B822" s="2" t="s">
        <v>3306</v>
      </c>
      <c r="C822" s="2" t="s">
        <v>2430</v>
      </c>
      <c r="D822" s="2" t="s">
        <v>1839</v>
      </c>
      <c r="E822" s="2" t="s">
        <v>1841</v>
      </c>
      <c r="F822" s="2">
        <v>4.1922699999999997</v>
      </c>
      <c r="G822" s="2">
        <v>9.57057</v>
      </c>
      <c r="H822" s="2">
        <v>1.1908700000000001</v>
      </c>
    </row>
    <row r="823" spans="1:8" x14ac:dyDescent="0.2">
      <c r="A823" s="2" t="s">
        <v>596</v>
      </c>
      <c r="B823" s="2" t="s">
        <v>3015</v>
      </c>
      <c r="C823" s="2" t="s">
        <v>2124</v>
      </c>
      <c r="D823" s="2" t="s">
        <v>1836</v>
      </c>
      <c r="E823" s="2" t="s">
        <v>1837</v>
      </c>
      <c r="F823" s="2">
        <v>15.3147</v>
      </c>
      <c r="G823" s="2">
        <v>34.961599999999997</v>
      </c>
      <c r="H823" s="2">
        <v>1.19086</v>
      </c>
    </row>
    <row r="824" spans="1:8" x14ac:dyDescent="0.2">
      <c r="A824" s="2" t="s">
        <v>309</v>
      </c>
      <c r="B824" s="2" t="s">
        <v>3063</v>
      </c>
      <c r="C824" s="2" t="s">
        <v>2726</v>
      </c>
      <c r="D824" s="2" t="s">
        <v>1839</v>
      </c>
      <c r="E824" s="2" t="s">
        <v>1840</v>
      </c>
      <c r="F824" s="2">
        <v>2.2638600000000002</v>
      </c>
      <c r="G824" s="2">
        <v>5.1645300000000001</v>
      </c>
      <c r="H824" s="2">
        <v>1.1898500000000001</v>
      </c>
    </row>
    <row r="825" spans="1:8" x14ac:dyDescent="0.2">
      <c r="A825" s="2" t="s">
        <v>1245</v>
      </c>
      <c r="B825" s="2" t="s">
        <v>3058</v>
      </c>
      <c r="C825" s="2" t="s">
        <v>1908</v>
      </c>
      <c r="D825" s="2" t="s">
        <v>1839</v>
      </c>
      <c r="E825" s="2" t="s">
        <v>1841</v>
      </c>
      <c r="F825" s="2">
        <v>5.6033999999999997</v>
      </c>
      <c r="G825" s="2">
        <v>12.7828</v>
      </c>
      <c r="H825" s="2">
        <v>1.1898299999999999</v>
      </c>
    </row>
    <row r="826" spans="1:8" x14ac:dyDescent="0.2">
      <c r="A826" s="2" t="s">
        <v>1602</v>
      </c>
      <c r="B826" s="2" t="s">
        <v>3015</v>
      </c>
      <c r="C826" s="2" t="s">
        <v>2764</v>
      </c>
      <c r="D826" s="2" t="s">
        <v>1839</v>
      </c>
      <c r="E826" s="2" t="s">
        <v>1841</v>
      </c>
      <c r="F826" s="2">
        <v>1.2925</v>
      </c>
      <c r="G826" s="2">
        <v>2.9485399999999999</v>
      </c>
      <c r="H826" s="2">
        <v>1.1898299999999999</v>
      </c>
    </row>
    <row r="827" spans="1:8" x14ac:dyDescent="0.2">
      <c r="A827" s="2" t="s">
        <v>1278</v>
      </c>
      <c r="B827" s="2" t="s">
        <v>3330</v>
      </c>
      <c r="C827" s="2" t="s">
        <v>1880</v>
      </c>
      <c r="D827" s="2" t="s">
        <v>1836</v>
      </c>
      <c r="E827" s="2" t="s">
        <v>1838</v>
      </c>
      <c r="F827" s="2">
        <v>3.4627599999999998</v>
      </c>
      <c r="G827" s="2">
        <v>7.8988100000000001</v>
      </c>
      <c r="H827" s="2">
        <v>1.18971</v>
      </c>
    </row>
    <row r="828" spans="1:8" x14ac:dyDescent="0.2">
      <c r="A828" s="2" t="s">
        <v>1793</v>
      </c>
      <c r="B828" s="2" t="s">
        <v>3015</v>
      </c>
      <c r="C828" s="2" t="s">
        <v>2970</v>
      </c>
      <c r="D828" s="2" t="s">
        <v>1839</v>
      </c>
      <c r="E828" s="2" t="s">
        <v>1841</v>
      </c>
      <c r="F828" s="2">
        <v>0.85757099999999997</v>
      </c>
      <c r="G828" s="2">
        <v>1.95587</v>
      </c>
      <c r="H828" s="2">
        <v>1.1894800000000001</v>
      </c>
    </row>
    <row r="829" spans="1:8" x14ac:dyDescent="0.2">
      <c r="A829" s="2" t="s">
        <v>522</v>
      </c>
      <c r="B829" s="2" t="s">
        <v>3153</v>
      </c>
      <c r="C829" s="2" t="s">
        <v>2090</v>
      </c>
      <c r="D829" s="2" t="s">
        <v>1836</v>
      </c>
      <c r="E829" s="2" t="s">
        <v>1837</v>
      </c>
      <c r="F829" s="2">
        <v>186.999</v>
      </c>
      <c r="G829" s="2">
        <v>426.11099999999999</v>
      </c>
      <c r="H829" s="2">
        <v>1.1881999999999999</v>
      </c>
    </row>
    <row r="830" spans="1:8" x14ac:dyDescent="0.2">
      <c r="A830" s="2" t="s">
        <v>1197</v>
      </c>
      <c r="B830" s="2" t="s">
        <v>3015</v>
      </c>
      <c r="C830" s="2" t="s">
        <v>1907</v>
      </c>
      <c r="D830" s="2" t="s">
        <v>1839</v>
      </c>
      <c r="E830" s="2" t="s">
        <v>1840</v>
      </c>
      <c r="F830" s="2">
        <v>0.41559800000000002</v>
      </c>
      <c r="G830" s="2">
        <v>0.94675799999999999</v>
      </c>
      <c r="H830" s="2">
        <v>1.18781</v>
      </c>
    </row>
    <row r="831" spans="1:8" x14ac:dyDescent="0.2">
      <c r="A831" s="2" t="s">
        <v>195</v>
      </c>
      <c r="B831" s="2" t="s">
        <v>3015</v>
      </c>
      <c r="C831" s="2" t="s">
        <v>1847</v>
      </c>
      <c r="D831" s="2" t="s">
        <v>1836</v>
      </c>
      <c r="E831" s="2" t="s">
        <v>1838</v>
      </c>
      <c r="F831" s="2">
        <v>0.57696999999999998</v>
      </c>
      <c r="G831" s="2">
        <v>1.31413</v>
      </c>
      <c r="H831" s="2">
        <v>1.18753</v>
      </c>
    </row>
    <row r="832" spans="1:8" x14ac:dyDescent="0.2">
      <c r="A832" s="2" t="s">
        <v>983</v>
      </c>
      <c r="B832" s="2" t="s">
        <v>3090</v>
      </c>
      <c r="C832" s="2" t="s">
        <v>1951</v>
      </c>
      <c r="D832" s="2" t="s">
        <v>1836</v>
      </c>
      <c r="E832" s="2" t="s">
        <v>1837</v>
      </c>
      <c r="F832" s="2">
        <v>3.6309100000000001</v>
      </c>
      <c r="G832" s="2">
        <v>8.2684999999999995</v>
      </c>
      <c r="H832" s="2">
        <v>1.1873</v>
      </c>
    </row>
    <row r="833" spans="1:8" x14ac:dyDescent="0.2">
      <c r="A833" s="2" t="s">
        <v>1059</v>
      </c>
      <c r="B833" s="2" t="s">
        <v>3054</v>
      </c>
      <c r="C833" s="2" t="s">
        <v>1894</v>
      </c>
      <c r="D833" s="2" t="s">
        <v>1836</v>
      </c>
      <c r="E833" s="2" t="s">
        <v>1837</v>
      </c>
      <c r="F833" s="2">
        <v>18.996300000000002</v>
      </c>
      <c r="G833" s="2">
        <v>43.250399999999999</v>
      </c>
      <c r="H833" s="2">
        <v>1.1870000000000001</v>
      </c>
    </row>
    <row r="834" spans="1:8" x14ac:dyDescent="0.2">
      <c r="A834" s="2" t="s">
        <v>1484</v>
      </c>
      <c r="B834" s="2" t="s">
        <v>3015</v>
      </c>
      <c r="C834" s="2" t="s">
        <v>2625</v>
      </c>
      <c r="D834" s="2" t="s">
        <v>1839</v>
      </c>
      <c r="E834" s="2" t="s">
        <v>1841</v>
      </c>
      <c r="F834" s="2">
        <v>0.76190500000000005</v>
      </c>
      <c r="G834" s="2">
        <v>1.73407</v>
      </c>
      <c r="H834" s="2">
        <v>1.18648</v>
      </c>
    </row>
    <row r="835" spans="1:8" x14ac:dyDescent="0.2">
      <c r="A835" s="2" t="s">
        <v>1339</v>
      </c>
      <c r="B835" s="2" t="s">
        <v>3015</v>
      </c>
      <c r="C835" s="2" t="s">
        <v>2534</v>
      </c>
      <c r="D835" s="2" t="s">
        <v>1836</v>
      </c>
      <c r="E835" s="2" t="s">
        <v>1838</v>
      </c>
      <c r="F835" s="2">
        <v>6.9119400000000004</v>
      </c>
      <c r="G835" s="2">
        <v>15.720599999999999</v>
      </c>
      <c r="H835" s="2">
        <v>1.1855</v>
      </c>
    </row>
    <row r="836" spans="1:8" x14ac:dyDescent="0.2">
      <c r="A836" s="2" t="s">
        <v>1175</v>
      </c>
      <c r="B836" s="2" t="s">
        <v>3094</v>
      </c>
      <c r="C836" s="2" t="s">
        <v>3015</v>
      </c>
      <c r="D836" s="2" t="s">
        <v>1836</v>
      </c>
      <c r="E836" s="2" t="s">
        <v>1838</v>
      </c>
      <c r="F836" s="2">
        <v>0.627579</v>
      </c>
      <c r="G836" s="2">
        <v>1.427</v>
      </c>
      <c r="H836" s="2">
        <v>1.18512</v>
      </c>
    </row>
    <row r="837" spans="1:8" x14ac:dyDescent="0.2">
      <c r="A837" s="2" t="s">
        <v>1356</v>
      </c>
      <c r="B837" s="2" t="s">
        <v>3038</v>
      </c>
      <c r="C837" s="2" t="s">
        <v>2544</v>
      </c>
      <c r="D837" s="2" t="s">
        <v>1836</v>
      </c>
      <c r="E837" s="2" t="s">
        <v>1838</v>
      </c>
      <c r="F837" s="2">
        <v>0.51043799999999995</v>
      </c>
      <c r="G837" s="2">
        <v>1.1597999999999999</v>
      </c>
      <c r="H837" s="2">
        <v>1.18407</v>
      </c>
    </row>
    <row r="838" spans="1:8" x14ac:dyDescent="0.2">
      <c r="A838" s="2" t="s">
        <v>166</v>
      </c>
      <c r="B838" s="2" t="s">
        <v>3045</v>
      </c>
      <c r="C838" s="2" t="s">
        <v>1923</v>
      </c>
      <c r="D838" s="2" t="s">
        <v>1836</v>
      </c>
      <c r="E838" s="2" t="s">
        <v>1837</v>
      </c>
      <c r="F838" s="2">
        <v>3.1176300000000001</v>
      </c>
      <c r="G838" s="2">
        <v>7.0826399999999996</v>
      </c>
      <c r="H838" s="2">
        <v>1.18384</v>
      </c>
    </row>
    <row r="839" spans="1:8" x14ac:dyDescent="0.2">
      <c r="A839" s="2" t="s">
        <v>1244</v>
      </c>
      <c r="B839" s="2" t="s">
        <v>3317</v>
      </c>
      <c r="C839" s="2" t="s">
        <v>2452</v>
      </c>
      <c r="D839" s="2" t="s">
        <v>1836</v>
      </c>
      <c r="E839" s="2" t="s">
        <v>1838</v>
      </c>
      <c r="F839" s="2">
        <v>51.436199999999999</v>
      </c>
      <c r="G839" s="2">
        <v>116.819</v>
      </c>
      <c r="H839" s="2">
        <v>1.18343</v>
      </c>
    </row>
    <row r="840" spans="1:8" x14ac:dyDescent="0.2">
      <c r="A840" s="2" t="s">
        <v>329</v>
      </c>
      <c r="B840" s="2" t="s">
        <v>3116</v>
      </c>
      <c r="C840" s="2" t="s">
        <v>1998</v>
      </c>
      <c r="D840" s="2" t="s">
        <v>1836</v>
      </c>
      <c r="E840" s="2" t="s">
        <v>1838</v>
      </c>
      <c r="F840" s="2">
        <v>1.83968</v>
      </c>
      <c r="G840" s="2">
        <v>4.1704499999999998</v>
      </c>
      <c r="H840" s="2">
        <v>1.18075</v>
      </c>
    </row>
    <row r="841" spans="1:8" x14ac:dyDescent="0.2">
      <c r="A841" s="2" t="s">
        <v>327</v>
      </c>
      <c r="B841" s="2" t="s">
        <v>3315</v>
      </c>
      <c r="C841" s="2" t="s">
        <v>2421</v>
      </c>
      <c r="D841" s="2" t="s">
        <v>1839</v>
      </c>
      <c r="E841" s="2" t="s">
        <v>1841</v>
      </c>
      <c r="F841" s="2">
        <v>0.690662</v>
      </c>
      <c r="G841" s="2">
        <v>1.5649900000000001</v>
      </c>
      <c r="H841" s="2">
        <v>1.1800999999999999</v>
      </c>
    </row>
    <row r="842" spans="1:8" x14ac:dyDescent="0.2">
      <c r="A842" s="2" t="s">
        <v>1316</v>
      </c>
      <c r="B842" s="2" t="s">
        <v>3345</v>
      </c>
      <c r="C842" s="2" t="s">
        <v>2516</v>
      </c>
      <c r="D842" s="2" t="s">
        <v>1836</v>
      </c>
      <c r="E842" s="2" t="s">
        <v>1838</v>
      </c>
      <c r="F842" s="2">
        <v>12.3963</v>
      </c>
      <c r="G842" s="2">
        <v>28.085799999999999</v>
      </c>
      <c r="H842" s="2">
        <v>1.1799299999999999</v>
      </c>
    </row>
    <row r="843" spans="1:8" x14ac:dyDescent="0.2">
      <c r="A843" s="2" t="s">
        <v>624</v>
      </c>
      <c r="B843" s="2" t="s">
        <v>3158</v>
      </c>
      <c r="C843" s="2" t="s">
        <v>2520</v>
      </c>
      <c r="D843" s="2" t="s">
        <v>1839</v>
      </c>
      <c r="E843" s="2" t="s">
        <v>1840</v>
      </c>
      <c r="F843" s="2">
        <v>4.3082799999999999</v>
      </c>
      <c r="G843" s="2">
        <v>9.7590000000000003</v>
      </c>
      <c r="H843" s="2">
        <v>1.1796199999999999</v>
      </c>
    </row>
    <row r="844" spans="1:8" x14ac:dyDescent="0.2">
      <c r="A844" s="2" t="s">
        <v>1773</v>
      </c>
      <c r="B844" s="2" t="s">
        <v>3038</v>
      </c>
      <c r="C844" s="2" t="s">
        <v>2946</v>
      </c>
      <c r="D844" s="2" t="s">
        <v>1839</v>
      </c>
      <c r="E844" s="2" t="s">
        <v>1841</v>
      </c>
      <c r="F844" s="2">
        <v>0.70381199999999999</v>
      </c>
      <c r="G844" s="2">
        <v>1.5930599999999999</v>
      </c>
      <c r="H844" s="2">
        <v>1.1785399999999999</v>
      </c>
    </row>
    <row r="845" spans="1:8" x14ac:dyDescent="0.2">
      <c r="A845" s="2" t="s">
        <v>1717</v>
      </c>
      <c r="B845" s="2" t="s">
        <v>3015</v>
      </c>
      <c r="C845" s="2" t="s">
        <v>2880</v>
      </c>
      <c r="D845" s="2" t="s">
        <v>1839</v>
      </c>
      <c r="E845" s="2" t="s">
        <v>1841</v>
      </c>
      <c r="F845" s="2">
        <v>1.2552000000000001</v>
      </c>
      <c r="G845" s="2">
        <v>2.84104</v>
      </c>
      <c r="H845" s="2">
        <v>1.1785099999999999</v>
      </c>
    </row>
    <row r="846" spans="1:8" x14ac:dyDescent="0.2">
      <c r="A846" s="2" t="s">
        <v>1179</v>
      </c>
      <c r="B846" s="2" t="s">
        <v>3293</v>
      </c>
      <c r="C846" s="2" t="s">
        <v>1847</v>
      </c>
      <c r="D846" s="2" t="s">
        <v>1839</v>
      </c>
      <c r="E846" s="2" t="s">
        <v>1841</v>
      </c>
      <c r="F846" s="2">
        <v>5.3293799999999996</v>
      </c>
      <c r="G846" s="2">
        <v>12.057700000000001</v>
      </c>
      <c r="H846" s="2">
        <v>1.1779200000000001</v>
      </c>
    </row>
    <row r="847" spans="1:8" x14ac:dyDescent="0.2">
      <c r="A847" s="2" t="s">
        <v>537</v>
      </c>
      <c r="B847" s="2" t="s">
        <v>3352</v>
      </c>
      <c r="C847" s="2" t="s">
        <v>2793</v>
      </c>
      <c r="D847" s="2" t="s">
        <v>1839</v>
      </c>
      <c r="E847" s="2" t="s">
        <v>1841</v>
      </c>
      <c r="F847" s="2">
        <v>21.1876</v>
      </c>
      <c r="G847" s="2">
        <v>47.917700000000004</v>
      </c>
      <c r="H847" s="2">
        <v>1.1773400000000001</v>
      </c>
    </row>
    <row r="848" spans="1:8" x14ac:dyDescent="0.2">
      <c r="A848" s="2" t="s">
        <v>1630</v>
      </c>
      <c r="B848" s="2" t="s">
        <v>3437</v>
      </c>
      <c r="C848" s="2" t="s">
        <v>1847</v>
      </c>
      <c r="D848" s="2" t="s">
        <v>1839</v>
      </c>
      <c r="E848" s="2" t="s">
        <v>1841</v>
      </c>
      <c r="F848" s="2">
        <v>1.69774</v>
      </c>
      <c r="G848" s="2">
        <v>3.8383699999999998</v>
      </c>
      <c r="H848" s="2">
        <v>1.1768799999999999</v>
      </c>
    </row>
    <row r="849" spans="1:8" x14ac:dyDescent="0.2">
      <c r="A849" s="2" t="s">
        <v>1438</v>
      </c>
      <c r="B849" s="2" t="s">
        <v>3063</v>
      </c>
      <c r="C849" s="2" t="s">
        <v>2100</v>
      </c>
      <c r="D849" s="2" t="s">
        <v>1839</v>
      </c>
      <c r="E849" s="2" t="s">
        <v>1840</v>
      </c>
      <c r="F849" s="2">
        <v>17.814900000000002</v>
      </c>
      <c r="G849" s="2">
        <v>40.272399999999998</v>
      </c>
      <c r="H849" s="2">
        <v>1.1767099999999999</v>
      </c>
    </row>
    <row r="850" spans="1:8" x14ac:dyDescent="0.2">
      <c r="A850" s="2" t="s">
        <v>1078</v>
      </c>
      <c r="B850" s="2" t="s">
        <v>3267</v>
      </c>
      <c r="C850" s="2" t="s">
        <v>2348</v>
      </c>
      <c r="D850" s="2" t="s">
        <v>1836</v>
      </c>
      <c r="E850" s="2" t="s">
        <v>1837</v>
      </c>
      <c r="F850" s="2">
        <v>5.76098</v>
      </c>
      <c r="G850" s="2">
        <v>13.0199</v>
      </c>
      <c r="H850" s="2">
        <v>1.1763399999999999</v>
      </c>
    </row>
    <row r="851" spans="1:8" x14ac:dyDescent="0.2">
      <c r="A851" s="2" t="s">
        <v>358</v>
      </c>
      <c r="B851" s="2" t="s">
        <v>3015</v>
      </c>
      <c r="C851" s="2" t="s">
        <v>3016</v>
      </c>
      <c r="D851" s="2" t="s">
        <v>1836</v>
      </c>
      <c r="E851" s="2" t="s">
        <v>1837</v>
      </c>
      <c r="F851" s="2">
        <v>0.71620300000000003</v>
      </c>
      <c r="G851" s="2">
        <v>1.6185799999999999</v>
      </c>
      <c r="H851" s="2">
        <v>1.1762900000000001</v>
      </c>
    </row>
    <row r="852" spans="1:8" x14ac:dyDescent="0.2">
      <c r="A852" s="2" t="s">
        <v>787</v>
      </c>
      <c r="B852" s="2" t="s">
        <v>3058</v>
      </c>
      <c r="C852" s="2" t="s">
        <v>2018</v>
      </c>
      <c r="D852" s="2" t="s">
        <v>1836</v>
      </c>
      <c r="E852" s="2" t="s">
        <v>1837</v>
      </c>
      <c r="F852" s="2">
        <v>4.77834</v>
      </c>
      <c r="G852" s="2">
        <v>10.790800000000001</v>
      </c>
      <c r="H852" s="2">
        <v>1.1752199999999999</v>
      </c>
    </row>
    <row r="853" spans="1:8" x14ac:dyDescent="0.2">
      <c r="A853" s="2" t="s">
        <v>1181</v>
      </c>
      <c r="B853" s="2" t="s">
        <v>3398</v>
      </c>
      <c r="C853" s="2" t="s">
        <v>2668</v>
      </c>
      <c r="D853" s="2" t="s">
        <v>1839</v>
      </c>
      <c r="E853" s="2" t="s">
        <v>1841</v>
      </c>
      <c r="F853" s="2">
        <v>10.0108</v>
      </c>
      <c r="G853" s="2">
        <v>22.5809</v>
      </c>
      <c r="H853" s="2">
        <v>1.1735500000000001</v>
      </c>
    </row>
    <row r="854" spans="1:8" x14ac:dyDescent="0.2">
      <c r="A854" s="2" t="s">
        <v>309</v>
      </c>
      <c r="B854" s="2" t="s">
        <v>3063</v>
      </c>
      <c r="C854" s="2" t="s">
        <v>2726</v>
      </c>
      <c r="D854" s="2" t="s">
        <v>1839</v>
      </c>
      <c r="E854" s="2" t="s">
        <v>1841</v>
      </c>
      <c r="F854" s="2">
        <v>2.2638600000000002</v>
      </c>
      <c r="G854" s="2">
        <v>5.1023300000000003</v>
      </c>
      <c r="H854" s="2">
        <v>1.1723699999999999</v>
      </c>
    </row>
    <row r="855" spans="1:8" x14ac:dyDescent="0.2">
      <c r="A855" s="2" t="s">
        <v>1512</v>
      </c>
      <c r="B855" s="2" t="s">
        <v>3357</v>
      </c>
      <c r="C855" s="2" t="s">
        <v>2664</v>
      </c>
      <c r="D855" s="2" t="s">
        <v>1839</v>
      </c>
      <c r="E855" s="2" t="s">
        <v>1841</v>
      </c>
      <c r="F855" s="2">
        <v>8.1190700000000007</v>
      </c>
      <c r="G855" s="2">
        <v>18.287099999999999</v>
      </c>
      <c r="H855" s="2">
        <v>1.17144</v>
      </c>
    </row>
    <row r="856" spans="1:8" x14ac:dyDescent="0.2">
      <c r="A856" s="2" t="s">
        <v>850</v>
      </c>
      <c r="B856" s="2" t="s">
        <v>3015</v>
      </c>
      <c r="C856" s="2" t="s">
        <v>2899</v>
      </c>
      <c r="D856" s="2" t="s">
        <v>1839</v>
      </c>
      <c r="E856" s="2" t="s">
        <v>1840</v>
      </c>
      <c r="F856" s="2">
        <v>1.10076</v>
      </c>
      <c r="G856" s="2">
        <v>2.4778799999999999</v>
      </c>
      <c r="H856" s="2">
        <v>1.1706099999999999</v>
      </c>
    </row>
    <row r="857" spans="1:8" x14ac:dyDescent="0.2">
      <c r="A857" s="2" t="s">
        <v>301</v>
      </c>
      <c r="B857" s="2" t="s">
        <v>3312</v>
      </c>
      <c r="C857" s="2" t="s">
        <v>2442</v>
      </c>
      <c r="D857" s="2" t="s">
        <v>1836</v>
      </c>
      <c r="E857" s="2" t="s">
        <v>1838</v>
      </c>
      <c r="F857" s="2">
        <v>19.254300000000001</v>
      </c>
      <c r="G857" s="2">
        <v>43.332999999999998</v>
      </c>
      <c r="H857" s="2">
        <v>1.1702900000000001</v>
      </c>
    </row>
    <row r="858" spans="1:8" x14ac:dyDescent="0.2">
      <c r="A858" s="2" t="s">
        <v>855</v>
      </c>
      <c r="B858" s="2" t="s">
        <v>3015</v>
      </c>
      <c r="C858" s="2" t="s">
        <v>2238</v>
      </c>
      <c r="D858" s="2" t="s">
        <v>1836</v>
      </c>
      <c r="E858" s="2" t="s">
        <v>1837</v>
      </c>
      <c r="F858" s="2">
        <v>1.68255</v>
      </c>
      <c r="G858" s="2">
        <v>3.7862399999999998</v>
      </c>
      <c r="H858" s="2">
        <v>1.17012</v>
      </c>
    </row>
    <row r="859" spans="1:8" x14ac:dyDescent="0.2">
      <c r="A859" s="2" t="s">
        <v>1379</v>
      </c>
      <c r="B859" s="2" t="s">
        <v>3403</v>
      </c>
      <c r="C859" s="2" t="s">
        <v>2867</v>
      </c>
      <c r="D859" s="2" t="s">
        <v>1839</v>
      </c>
      <c r="E859" s="2" t="s">
        <v>1841</v>
      </c>
      <c r="F859" s="2">
        <v>6.1627099999999997</v>
      </c>
      <c r="G859" s="2">
        <v>13.867599999999999</v>
      </c>
      <c r="H859" s="2">
        <v>1.17008</v>
      </c>
    </row>
    <row r="860" spans="1:8" x14ac:dyDescent="0.2">
      <c r="A860" s="2" t="s">
        <v>1683</v>
      </c>
      <c r="B860" s="2" t="s">
        <v>3454</v>
      </c>
      <c r="C860" s="2" t="s">
        <v>2849</v>
      </c>
      <c r="D860" s="2" t="s">
        <v>1839</v>
      </c>
      <c r="E860" s="2" t="s">
        <v>1840</v>
      </c>
      <c r="F860" s="2">
        <v>0.38610899999999998</v>
      </c>
      <c r="G860" s="2">
        <v>0.86829100000000004</v>
      </c>
      <c r="H860" s="2">
        <v>1.16917</v>
      </c>
    </row>
    <row r="861" spans="1:8" x14ac:dyDescent="0.2">
      <c r="A861" s="2" t="s">
        <v>1022</v>
      </c>
      <c r="B861" s="2" t="s">
        <v>3015</v>
      </c>
      <c r="C861" s="2" t="s">
        <v>1847</v>
      </c>
      <c r="D861" s="2" t="s">
        <v>1839</v>
      </c>
      <c r="E861" s="2" t="s">
        <v>1840</v>
      </c>
      <c r="F861" s="2">
        <v>0.84523499999999996</v>
      </c>
      <c r="G861" s="2">
        <v>1.89985</v>
      </c>
      <c r="H861" s="2">
        <v>1.1684600000000001</v>
      </c>
    </row>
    <row r="862" spans="1:8" x14ac:dyDescent="0.2">
      <c r="A862" s="2" t="s">
        <v>840</v>
      </c>
      <c r="B862" s="2" t="s">
        <v>3015</v>
      </c>
      <c r="C862" s="2" t="s">
        <v>2228</v>
      </c>
      <c r="D862" s="2" t="s">
        <v>1836</v>
      </c>
      <c r="E862" s="2" t="s">
        <v>1837</v>
      </c>
      <c r="F862" s="2">
        <v>1.5313099999999999</v>
      </c>
      <c r="G862" s="2">
        <v>3.4393199999999999</v>
      </c>
      <c r="H862" s="2">
        <v>1.16736</v>
      </c>
    </row>
    <row r="863" spans="1:8" x14ac:dyDescent="0.2">
      <c r="A863" s="2" t="s">
        <v>1685</v>
      </c>
      <c r="B863" s="2" t="s">
        <v>3015</v>
      </c>
      <c r="C863" s="2" t="s">
        <v>2854</v>
      </c>
      <c r="D863" s="2" t="s">
        <v>1839</v>
      </c>
      <c r="E863" s="2" t="s">
        <v>1841</v>
      </c>
      <c r="F863" s="2">
        <v>0.83279300000000001</v>
      </c>
      <c r="G863" s="2">
        <v>1.8693599999999999</v>
      </c>
      <c r="H863" s="2">
        <v>1.1665099999999999</v>
      </c>
    </row>
    <row r="864" spans="1:8" x14ac:dyDescent="0.2">
      <c r="A864" s="2" t="s">
        <v>852</v>
      </c>
      <c r="B864" s="2" t="s">
        <v>3223</v>
      </c>
      <c r="C864" s="2" t="s">
        <v>2236</v>
      </c>
      <c r="D864" s="2" t="s">
        <v>1836</v>
      </c>
      <c r="E864" s="2" t="s">
        <v>1837</v>
      </c>
      <c r="F864" s="2">
        <v>4.0568999999999997</v>
      </c>
      <c r="G864" s="2">
        <v>9.1056600000000003</v>
      </c>
      <c r="H864" s="2">
        <v>1.16638</v>
      </c>
    </row>
    <row r="865" spans="1:8" x14ac:dyDescent="0.2">
      <c r="A865" s="2" t="s">
        <v>1519</v>
      </c>
      <c r="B865" s="2" t="s">
        <v>3015</v>
      </c>
      <c r="C865" s="2" t="s">
        <v>1862</v>
      </c>
      <c r="D865" s="2" t="s">
        <v>1839</v>
      </c>
      <c r="E865" s="2" t="s">
        <v>1841</v>
      </c>
      <c r="F865" s="2">
        <v>0.623367</v>
      </c>
      <c r="G865" s="2">
        <v>1.3989100000000001</v>
      </c>
      <c r="H865" s="2">
        <v>1.16615</v>
      </c>
    </row>
    <row r="866" spans="1:8" x14ac:dyDescent="0.2">
      <c r="A866" s="2" t="s">
        <v>1736</v>
      </c>
      <c r="B866" s="2" t="s">
        <v>3015</v>
      </c>
      <c r="C866" s="2" t="s">
        <v>2903</v>
      </c>
      <c r="D866" s="2" t="s">
        <v>1839</v>
      </c>
      <c r="E866" s="2" t="s">
        <v>1841</v>
      </c>
      <c r="F866" s="2">
        <v>0.893648</v>
      </c>
      <c r="G866" s="2">
        <v>2.00495</v>
      </c>
      <c r="H866" s="2">
        <v>1.1657900000000001</v>
      </c>
    </row>
    <row r="867" spans="1:8" x14ac:dyDescent="0.2">
      <c r="A867" s="2" t="s">
        <v>349</v>
      </c>
      <c r="B867" s="2" t="s">
        <v>3049</v>
      </c>
      <c r="C867" s="2" t="s">
        <v>2006</v>
      </c>
      <c r="D867" s="2" t="s">
        <v>1836</v>
      </c>
      <c r="E867" s="2" t="s">
        <v>1837</v>
      </c>
      <c r="F867" s="2">
        <v>0.49642900000000001</v>
      </c>
      <c r="G867" s="2">
        <v>1.1128</v>
      </c>
      <c r="H867" s="2">
        <v>1.1645399999999999</v>
      </c>
    </row>
    <row r="868" spans="1:8" x14ac:dyDescent="0.2">
      <c r="A868" s="2" t="s">
        <v>870</v>
      </c>
      <c r="B868" s="2" t="s">
        <v>3015</v>
      </c>
      <c r="C868" s="2" t="s">
        <v>1847</v>
      </c>
      <c r="D868" s="2" t="s">
        <v>1839</v>
      </c>
      <c r="E868" s="2" t="s">
        <v>1840</v>
      </c>
      <c r="F868" s="2">
        <v>8.5692299999999992</v>
      </c>
      <c r="G868" s="2">
        <v>19.185400000000001</v>
      </c>
      <c r="H868" s="2">
        <v>1.1627700000000001</v>
      </c>
    </row>
    <row r="869" spans="1:8" x14ac:dyDescent="0.2">
      <c r="A869" s="2" t="s">
        <v>1711</v>
      </c>
      <c r="B869" s="2" t="s">
        <v>3461</v>
      </c>
      <c r="C869" s="2" t="s">
        <v>3015</v>
      </c>
      <c r="D869" s="2" t="s">
        <v>1839</v>
      </c>
      <c r="E869" s="2" t="s">
        <v>1840</v>
      </c>
      <c r="F869" s="2">
        <v>0.53763899999999998</v>
      </c>
      <c r="G869" s="2">
        <v>1.2036100000000001</v>
      </c>
      <c r="H869" s="2">
        <v>1.16265</v>
      </c>
    </row>
    <row r="870" spans="1:8" x14ac:dyDescent="0.2">
      <c r="A870" s="2" t="s">
        <v>1729</v>
      </c>
      <c r="B870" s="2" t="s">
        <v>3015</v>
      </c>
      <c r="C870" s="2" t="s">
        <v>2896</v>
      </c>
      <c r="D870" s="2" t="s">
        <v>1839</v>
      </c>
      <c r="E870" s="2" t="s">
        <v>1840</v>
      </c>
      <c r="F870" s="2">
        <v>2.5253899999999998</v>
      </c>
      <c r="G870" s="2">
        <v>5.6534700000000004</v>
      </c>
      <c r="H870" s="2">
        <v>1.1626300000000001</v>
      </c>
    </row>
    <row r="871" spans="1:8" x14ac:dyDescent="0.2">
      <c r="A871" s="2" t="s">
        <v>403</v>
      </c>
      <c r="B871" s="2" t="s">
        <v>3035</v>
      </c>
      <c r="C871" s="2" t="s">
        <v>1892</v>
      </c>
      <c r="D871" s="2" t="s">
        <v>1839</v>
      </c>
      <c r="E871" s="2" t="s">
        <v>1841</v>
      </c>
      <c r="F871" s="2">
        <v>5.3833000000000002</v>
      </c>
      <c r="G871" s="2">
        <v>12.045999999999999</v>
      </c>
      <c r="H871" s="2">
        <v>1.1619900000000001</v>
      </c>
    </row>
    <row r="872" spans="1:8" x14ac:dyDescent="0.2">
      <c r="A872" s="2" t="s">
        <v>1534</v>
      </c>
      <c r="B872" s="2" t="s">
        <v>3015</v>
      </c>
      <c r="C872" s="2" t="s">
        <v>2685</v>
      </c>
      <c r="D872" s="2" t="s">
        <v>1839</v>
      </c>
      <c r="E872" s="2" t="s">
        <v>1840</v>
      </c>
      <c r="F872" s="2">
        <v>1.5906100000000001</v>
      </c>
      <c r="G872" s="2">
        <v>3.5581800000000001</v>
      </c>
      <c r="H872" s="2">
        <v>1.1615599999999999</v>
      </c>
    </row>
    <row r="873" spans="1:8" x14ac:dyDescent="0.2">
      <c r="A873" s="2" t="s">
        <v>1238</v>
      </c>
      <c r="B873" s="2" t="s">
        <v>3417</v>
      </c>
      <c r="C873" s="2" t="s">
        <v>1844</v>
      </c>
      <c r="D873" s="2" t="s">
        <v>1839</v>
      </c>
      <c r="E873" s="2" t="s">
        <v>1841</v>
      </c>
      <c r="F873" s="2">
        <v>3.0264099999999998</v>
      </c>
      <c r="G873" s="2">
        <v>6.7654800000000002</v>
      </c>
      <c r="H873" s="2">
        <v>1.1605799999999999</v>
      </c>
    </row>
    <row r="874" spans="1:8" x14ac:dyDescent="0.2">
      <c r="A874" s="2" t="s">
        <v>1291</v>
      </c>
      <c r="B874" s="2" t="s">
        <v>3015</v>
      </c>
      <c r="C874" s="2" t="s">
        <v>2499</v>
      </c>
      <c r="D874" s="2" t="s">
        <v>1839</v>
      </c>
      <c r="E874" s="2" t="s">
        <v>1840</v>
      </c>
      <c r="F874" s="2">
        <v>6.3823800000000004</v>
      </c>
      <c r="G874" s="2">
        <v>14.2554</v>
      </c>
      <c r="H874" s="2">
        <v>1.15934</v>
      </c>
    </row>
    <row r="875" spans="1:8" x14ac:dyDescent="0.2">
      <c r="A875" s="2" t="s">
        <v>1577</v>
      </c>
      <c r="B875" s="2" t="s">
        <v>3015</v>
      </c>
      <c r="C875" s="2" t="s">
        <v>1847</v>
      </c>
      <c r="D875" s="2" t="s">
        <v>1839</v>
      </c>
      <c r="E875" s="2" t="s">
        <v>1841</v>
      </c>
      <c r="F875" s="2">
        <v>1.33785</v>
      </c>
      <c r="G875" s="2">
        <v>2.9873599999999998</v>
      </c>
      <c r="H875" s="2">
        <v>1.15896</v>
      </c>
    </row>
    <row r="876" spans="1:8" x14ac:dyDescent="0.2">
      <c r="A876" s="2" t="s">
        <v>1529</v>
      </c>
      <c r="B876" s="2" t="s">
        <v>3037</v>
      </c>
      <c r="C876" s="2" t="s">
        <v>2677</v>
      </c>
      <c r="D876" s="2" t="s">
        <v>1839</v>
      </c>
      <c r="E876" s="2" t="s">
        <v>1841</v>
      </c>
      <c r="F876" s="2">
        <v>3.7332700000000001</v>
      </c>
      <c r="G876" s="2">
        <v>8.3323900000000002</v>
      </c>
      <c r="H876" s="2">
        <v>1.15829</v>
      </c>
    </row>
    <row r="877" spans="1:8" x14ac:dyDescent="0.2">
      <c r="A877" s="2" t="s">
        <v>1789</v>
      </c>
      <c r="B877" s="2" t="s">
        <v>3483</v>
      </c>
      <c r="C877" s="2" t="s">
        <v>2965</v>
      </c>
      <c r="D877" s="2" t="s">
        <v>1839</v>
      </c>
      <c r="E877" s="2" t="s">
        <v>1841</v>
      </c>
      <c r="F877" s="2">
        <v>0.37468699999999999</v>
      </c>
      <c r="G877" s="2">
        <v>0.836256</v>
      </c>
      <c r="H877" s="2">
        <v>1.1582600000000001</v>
      </c>
    </row>
    <row r="878" spans="1:8" x14ac:dyDescent="0.2">
      <c r="A878" s="2" t="s">
        <v>1832</v>
      </c>
      <c r="B878" s="2" t="s">
        <v>3059</v>
      </c>
      <c r="C878" s="2" t="s">
        <v>3011</v>
      </c>
      <c r="D878" s="2" t="s">
        <v>1839</v>
      </c>
      <c r="E878" s="2" t="s">
        <v>1840</v>
      </c>
      <c r="F878" s="2">
        <v>0.85007200000000005</v>
      </c>
      <c r="G878" s="2">
        <v>1.8971100000000001</v>
      </c>
      <c r="H878" s="2">
        <v>1.15815</v>
      </c>
    </row>
    <row r="879" spans="1:8" x14ac:dyDescent="0.2">
      <c r="A879" s="2" t="s">
        <v>259</v>
      </c>
      <c r="B879" s="2" t="s">
        <v>3197</v>
      </c>
      <c r="C879" s="2" t="s">
        <v>2179</v>
      </c>
      <c r="D879" s="2" t="s">
        <v>1839</v>
      </c>
      <c r="E879" s="2" t="s">
        <v>1840</v>
      </c>
      <c r="F879" s="2">
        <v>0.39105699999999999</v>
      </c>
      <c r="G879" s="2">
        <v>0.87256</v>
      </c>
      <c r="H879" s="2">
        <v>1.15787</v>
      </c>
    </row>
    <row r="880" spans="1:8" x14ac:dyDescent="0.2">
      <c r="A880" s="2" t="s">
        <v>1764</v>
      </c>
      <c r="B880" s="2" t="s">
        <v>3015</v>
      </c>
      <c r="C880" s="2" t="s">
        <v>2936</v>
      </c>
      <c r="D880" s="2" t="s">
        <v>1839</v>
      </c>
      <c r="E880" s="2" t="s">
        <v>1841</v>
      </c>
      <c r="F880" s="2">
        <v>1.6423300000000001</v>
      </c>
      <c r="G880" s="2">
        <v>3.6625700000000001</v>
      </c>
      <c r="H880" s="2">
        <v>1.1571100000000001</v>
      </c>
    </row>
    <row r="881" spans="1:8" x14ac:dyDescent="0.2">
      <c r="A881" s="2" t="s">
        <v>924</v>
      </c>
      <c r="B881" s="2" t="s">
        <v>3239</v>
      </c>
      <c r="C881" s="2" t="s">
        <v>1847</v>
      </c>
      <c r="D881" s="2" t="s">
        <v>1836</v>
      </c>
      <c r="E881" s="2" t="s">
        <v>1838</v>
      </c>
      <c r="F881" s="2">
        <v>0.68254000000000004</v>
      </c>
      <c r="G881" s="2">
        <v>1.5218100000000001</v>
      </c>
      <c r="H881" s="2">
        <v>1.1568099999999999</v>
      </c>
    </row>
    <row r="882" spans="1:8" x14ac:dyDescent="0.2">
      <c r="A882" s="2" t="s">
        <v>139</v>
      </c>
      <c r="B882" s="2" t="s">
        <v>3015</v>
      </c>
      <c r="C882" s="2" t="s">
        <v>1907</v>
      </c>
      <c r="D882" s="2" t="s">
        <v>1836</v>
      </c>
      <c r="E882" s="2" t="s">
        <v>1837</v>
      </c>
      <c r="F882" s="2">
        <v>0.70366899999999999</v>
      </c>
      <c r="G882" s="2">
        <v>1.56884</v>
      </c>
      <c r="H882" s="2">
        <v>1.15673</v>
      </c>
    </row>
    <row r="883" spans="1:8" x14ac:dyDescent="0.2">
      <c r="A883" s="2" t="s">
        <v>334</v>
      </c>
      <c r="B883" s="2" t="s">
        <v>3015</v>
      </c>
      <c r="C883" s="2" t="s">
        <v>2001</v>
      </c>
      <c r="D883" s="2" t="s">
        <v>1836</v>
      </c>
      <c r="E883" s="2" t="s">
        <v>1838</v>
      </c>
      <c r="F883" s="2">
        <v>1.6221699999999999</v>
      </c>
      <c r="G883" s="2">
        <v>3.6160999999999999</v>
      </c>
      <c r="H883" s="2">
        <v>1.1565099999999999</v>
      </c>
    </row>
    <row r="884" spans="1:8" x14ac:dyDescent="0.2">
      <c r="A884" s="2" t="s">
        <v>1468</v>
      </c>
      <c r="B884" s="2" t="s">
        <v>3015</v>
      </c>
      <c r="C884" s="2" t="s">
        <v>3015</v>
      </c>
      <c r="D884" s="2" t="s">
        <v>1839</v>
      </c>
      <c r="E884" s="2" t="s">
        <v>1841</v>
      </c>
      <c r="F884" s="2">
        <v>0.67998400000000003</v>
      </c>
      <c r="G884" s="2">
        <v>1.51502</v>
      </c>
      <c r="H884" s="2">
        <v>1.1557599999999999</v>
      </c>
    </row>
    <row r="885" spans="1:8" x14ac:dyDescent="0.2">
      <c r="A885" s="2" t="s">
        <v>586</v>
      </c>
      <c r="B885" s="2" t="s">
        <v>3045</v>
      </c>
      <c r="C885" s="2" t="s">
        <v>2119</v>
      </c>
      <c r="D885" s="2" t="s">
        <v>1836</v>
      </c>
      <c r="E885" s="2" t="s">
        <v>1837</v>
      </c>
      <c r="F885" s="2">
        <v>0.57677999999999996</v>
      </c>
      <c r="G885" s="2">
        <v>1.2845800000000001</v>
      </c>
      <c r="H885" s="2">
        <v>1.1552</v>
      </c>
    </row>
    <row r="886" spans="1:8" x14ac:dyDescent="0.2">
      <c r="A886" s="2" t="s">
        <v>970</v>
      </c>
      <c r="B886" s="2" t="s">
        <v>3180</v>
      </c>
      <c r="C886" s="2" t="s">
        <v>2301</v>
      </c>
      <c r="D886" s="2" t="s">
        <v>1836</v>
      </c>
      <c r="E886" s="2" t="s">
        <v>1837</v>
      </c>
      <c r="F886" s="2">
        <v>0.46845700000000001</v>
      </c>
      <c r="G886" s="2">
        <v>1.0429900000000001</v>
      </c>
      <c r="H886" s="2">
        <v>1.15473</v>
      </c>
    </row>
    <row r="887" spans="1:8" x14ac:dyDescent="0.2">
      <c r="A887" s="2" t="s">
        <v>1422</v>
      </c>
      <c r="B887" s="2" t="s">
        <v>3047</v>
      </c>
      <c r="C887" s="2" t="s">
        <v>2277</v>
      </c>
      <c r="D887" s="2" t="s">
        <v>1836</v>
      </c>
      <c r="E887" s="2" t="s">
        <v>1838</v>
      </c>
      <c r="F887" s="2">
        <v>3.0713300000000001</v>
      </c>
      <c r="G887" s="2">
        <v>6.8282499999999997</v>
      </c>
      <c r="H887" s="2">
        <v>1.15265</v>
      </c>
    </row>
    <row r="888" spans="1:8" x14ac:dyDescent="0.2">
      <c r="A888" s="2" t="s">
        <v>1133</v>
      </c>
      <c r="B888" s="2" t="s">
        <v>3015</v>
      </c>
      <c r="C888" s="2" t="s">
        <v>2369</v>
      </c>
      <c r="D888" s="2" t="s">
        <v>1836</v>
      </c>
      <c r="E888" s="2" t="s">
        <v>1838</v>
      </c>
      <c r="F888" s="2">
        <v>0.54098000000000002</v>
      </c>
      <c r="G888" s="2">
        <v>1.20217</v>
      </c>
      <c r="H888" s="2">
        <v>1.1519999999999999</v>
      </c>
    </row>
    <row r="889" spans="1:8" x14ac:dyDescent="0.2">
      <c r="A889" s="2" t="s">
        <v>1132</v>
      </c>
      <c r="B889" s="2" t="s">
        <v>3015</v>
      </c>
      <c r="C889" s="2" t="s">
        <v>2368</v>
      </c>
      <c r="D889" s="2" t="s">
        <v>1836</v>
      </c>
      <c r="E889" s="2" t="s">
        <v>1838</v>
      </c>
      <c r="F889" s="2">
        <v>0.38418600000000003</v>
      </c>
      <c r="G889" s="2">
        <v>0.85360000000000003</v>
      </c>
      <c r="H889" s="2">
        <v>1.1517500000000001</v>
      </c>
    </row>
    <row r="890" spans="1:8" x14ac:dyDescent="0.2">
      <c r="A890" s="2" t="s">
        <v>411</v>
      </c>
      <c r="B890" s="2" t="s">
        <v>3103</v>
      </c>
      <c r="C890" s="2" t="s">
        <v>2032</v>
      </c>
      <c r="D890" s="2" t="s">
        <v>1836</v>
      </c>
      <c r="E890" s="2" t="s">
        <v>1837</v>
      </c>
      <c r="F890" s="2">
        <v>92.739599999999996</v>
      </c>
      <c r="G890" s="2">
        <v>206.048</v>
      </c>
      <c r="H890" s="2">
        <v>1.1517200000000001</v>
      </c>
    </row>
    <row r="891" spans="1:8" x14ac:dyDescent="0.2">
      <c r="A891" s="2" t="s">
        <v>607</v>
      </c>
      <c r="B891" s="2" t="s">
        <v>3175</v>
      </c>
      <c r="C891" s="2" t="s">
        <v>2127</v>
      </c>
      <c r="D891" s="2" t="s">
        <v>1839</v>
      </c>
      <c r="E891" s="2" t="s">
        <v>1841</v>
      </c>
      <c r="F891" s="2">
        <v>1.6270100000000001</v>
      </c>
      <c r="G891" s="2">
        <v>3.6110699999999998</v>
      </c>
      <c r="H891" s="2">
        <v>1.15021</v>
      </c>
    </row>
    <row r="892" spans="1:8" x14ac:dyDescent="0.2">
      <c r="A892" s="2" t="s">
        <v>911</v>
      </c>
      <c r="B892" s="2" t="s">
        <v>3472</v>
      </c>
      <c r="C892" s="2" t="s">
        <v>2919</v>
      </c>
      <c r="D892" s="2" t="s">
        <v>1839</v>
      </c>
      <c r="E892" s="2" t="s">
        <v>1840</v>
      </c>
      <c r="F892" s="2">
        <v>2.5417000000000001</v>
      </c>
      <c r="G892" s="2">
        <v>5.6402799999999997</v>
      </c>
      <c r="H892" s="2">
        <v>1.1499699999999999</v>
      </c>
    </row>
    <row r="893" spans="1:8" x14ac:dyDescent="0.2">
      <c r="A893" s="2" t="s">
        <v>170</v>
      </c>
      <c r="B893" s="2" t="s">
        <v>3015</v>
      </c>
      <c r="C893" s="2" t="s">
        <v>2414</v>
      </c>
      <c r="D893" s="2" t="s">
        <v>1836</v>
      </c>
      <c r="E893" s="2" t="s">
        <v>1838</v>
      </c>
      <c r="F893" s="2">
        <v>6.3341500000000002</v>
      </c>
      <c r="G893" s="2">
        <v>14.055199999999999</v>
      </c>
      <c r="H893" s="2">
        <v>1.14988</v>
      </c>
    </row>
    <row r="894" spans="1:8" x14ac:dyDescent="0.2">
      <c r="A894" s="2" t="s">
        <v>299</v>
      </c>
      <c r="B894" s="2" t="s">
        <v>3311</v>
      </c>
      <c r="C894" s="2">
        <v>0</v>
      </c>
      <c r="D894" s="2" t="s">
        <v>1836</v>
      </c>
      <c r="E894" s="2" t="s">
        <v>1838</v>
      </c>
      <c r="F894" s="2">
        <v>331.98500000000001</v>
      </c>
      <c r="G894" s="2">
        <v>736.31</v>
      </c>
      <c r="H894" s="2">
        <v>1.1491899999999999</v>
      </c>
    </row>
    <row r="895" spans="1:8" x14ac:dyDescent="0.2">
      <c r="A895" s="2" t="s">
        <v>1384</v>
      </c>
      <c r="B895" s="2" t="s">
        <v>3095</v>
      </c>
      <c r="C895" s="2" t="s">
        <v>2560</v>
      </c>
      <c r="D895" s="2" t="s">
        <v>1839</v>
      </c>
      <c r="E895" s="2" t="s">
        <v>1841</v>
      </c>
      <c r="F895" s="2">
        <v>0.45470500000000003</v>
      </c>
      <c r="G895" s="2">
        <v>1.0083899999999999</v>
      </c>
      <c r="H895" s="2">
        <v>1.1490499999999999</v>
      </c>
    </row>
    <row r="896" spans="1:8" x14ac:dyDescent="0.2">
      <c r="A896" s="2" t="s">
        <v>1703</v>
      </c>
      <c r="B896" s="2" t="s">
        <v>3276</v>
      </c>
      <c r="C896" s="2" t="s">
        <v>2868</v>
      </c>
      <c r="D896" s="2" t="s">
        <v>1839</v>
      </c>
      <c r="E896" s="2" t="s">
        <v>1841</v>
      </c>
      <c r="F896" s="2">
        <v>0.71282599999999996</v>
      </c>
      <c r="G896" s="2">
        <v>1.5795399999999999</v>
      </c>
      <c r="H896" s="2">
        <v>1.14788</v>
      </c>
    </row>
    <row r="897" spans="1:8" x14ac:dyDescent="0.2">
      <c r="A897" s="2" t="s">
        <v>1124</v>
      </c>
      <c r="B897" s="2" t="s">
        <v>3015</v>
      </c>
      <c r="C897" s="2" t="s">
        <v>3015</v>
      </c>
      <c r="D897" s="2" t="s">
        <v>1839</v>
      </c>
      <c r="E897" s="2" t="s">
        <v>1840</v>
      </c>
      <c r="F897" s="2">
        <v>2.9822000000000002</v>
      </c>
      <c r="G897" s="2">
        <v>6.6076600000000001</v>
      </c>
      <c r="H897" s="2">
        <v>1.1477599999999999</v>
      </c>
    </row>
    <row r="898" spans="1:8" x14ac:dyDescent="0.2">
      <c r="A898" s="2" t="s">
        <v>1190</v>
      </c>
      <c r="B898" s="2" t="s">
        <v>3047</v>
      </c>
      <c r="C898" s="2" t="s">
        <v>2418</v>
      </c>
      <c r="D898" s="2" t="s">
        <v>1836</v>
      </c>
      <c r="E898" s="2" t="s">
        <v>1838</v>
      </c>
      <c r="F898" s="2">
        <v>81.566500000000005</v>
      </c>
      <c r="G898" s="2">
        <v>180.59299999999999</v>
      </c>
      <c r="H898" s="2">
        <v>1.1467000000000001</v>
      </c>
    </row>
    <row r="899" spans="1:8" x14ac:dyDescent="0.2">
      <c r="A899" s="2" t="s">
        <v>111</v>
      </c>
      <c r="B899" s="2" t="s">
        <v>3015</v>
      </c>
      <c r="C899" s="2" t="s">
        <v>2658</v>
      </c>
      <c r="D899" s="2" t="s">
        <v>1839</v>
      </c>
      <c r="E899" s="2" t="s">
        <v>1841</v>
      </c>
      <c r="F899" s="2">
        <v>9.8488500000000005</v>
      </c>
      <c r="G899" s="2">
        <v>21.789000000000001</v>
      </c>
      <c r="H899" s="2">
        <v>1.14557</v>
      </c>
    </row>
    <row r="900" spans="1:8" x14ac:dyDescent="0.2">
      <c r="A900" s="2" t="s">
        <v>76</v>
      </c>
      <c r="B900" s="2" t="s">
        <v>3015</v>
      </c>
      <c r="C900" s="2" t="s">
        <v>1847</v>
      </c>
      <c r="D900" s="2" t="s">
        <v>1839</v>
      </c>
      <c r="E900" s="2" t="s">
        <v>1841</v>
      </c>
      <c r="F900" s="2">
        <v>97.059200000000004</v>
      </c>
      <c r="G900" s="2">
        <v>214.61699999999999</v>
      </c>
      <c r="H900" s="2">
        <v>1.14483</v>
      </c>
    </row>
    <row r="901" spans="1:8" x14ac:dyDescent="0.2">
      <c r="A901" s="2" t="s">
        <v>487</v>
      </c>
      <c r="B901" s="2" t="s">
        <v>3015</v>
      </c>
      <c r="C901" s="2" t="s">
        <v>2071</v>
      </c>
      <c r="D901" s="2" t="s">
        <v>1839</v>
      </c>
      <c r="E901" s="2" t="s">
        <v>1840</v>
      </c>
      <c r="F901" s="2">
        <v>1.4330700000000001</v>
      </c>
      <c r="G901" s="2">
        <v>3.1677399999999998</v>
      </c>
      <c r="H901" s="2">
        <v>1.14435</v>
      </c>
    </row>
    <row r="902" spans="1:8" x14ac:dyDescent="0.2">
      <c r="A902" s="2" t="s">
        <v>9</v>
      </c>
      <c r="B902" s="2" t="s">
        <v>3025</v>
      </c>
      <c r="C902" s="2" t="s">
        <v>1846</v>
      </c>
      <c r="D902" s="2" t="s">
        <v>1836</v>
      </c>
      <c r="E902" s="2" t="s">
        <v>1837</v>
      </c>
      <c r="F902" s="2">
        <v>6.5333800000000002</v>
      </c>
      <c r="G902" s="2">
        <v>14.4376</v>
      </c>
      <c r="H902" s="2">
        <v>1.1439299999999999</v>
      </c>
    </row>
    <row r="903" spans="1:8" x14ac:dyDescent="0.2">
      <c r="A903" s="2" t="s">
        <v>567</v>
      </c>
      <c r="B903" s="2" t="s">
        <v>3162</v>
      </c>
      <c r="C903" s="2" t="s">
        <v>2110</v>
      </c>
      <c r="D903" s="2" t="s">
        <v>1836</v>
      </c>
      <c r="E903" s="2" t="s">
        <v>1837</v>
      </c>
      <c r="F903" s="2">
        <v>12.7011</v>
      </c>
      <c r="G903" s="2">
        <v>28.064499999999999</v>
      </c>
      <c r="H903" s="2">
        <v>1.1437900000000001</v>
      </c>
    </row>
    <row r="904" spans="1:8" x14ac:dyDescent="0.2">
      <c r="A904" s="2" t="s">
        <v>118</v>
      </c>
      <c r="B904" s="2" t="s">
        <v>3054</v>
      </c>
      <c r="C904" s="2" t="s">
        <v>1894</v>
      </c>
      <c r="D904" s="2" t="s">
        <v>1836</v>
      </c>
      <c r="E904" s="2" t="s">
        <v>1838</v>
      </c>
      <c r="F904" s="2">
        <v>1.6789400000000001</v>
      </c>
      <c r="G904" s="2">
        <v>3.70723</v>
      </c>
      <c r="H904" s="2">
        <v>1.14279</v>
      </c>
    </row>
    <row r="905" spans="1:8" x14ac:dyDescent="0.2">
      <c r="A905" s="2" t="s">
        <v>791</v>
      </c>
      <c r="B905" s="2" t="s">
        <v>3015</v>
      </c>
      <c r="C905" s="2" t="s">
        <v>3015</v>
      </c>
      <c r="D905" s="2" t="s">
        <v>1836</v>
      </c>
      <c r="E905" s="2" t="s">
        <v>1837</v>
      </c>
      <c r="F905" s="2">
        <v>1.13422</v>
      </c>
      <c r="G905" s="2">
        <v>2.50332</v>
      </c>
      <c r="H905" s="2">
        <v>1.1421399999999999</v>
      </c>
    </row>
    <row r="906" spans="1:8" x14ac:dyDescent="0.2">
      <c r="A906" s="2" t="s">
        <v>1830</v>
      </c>
      <c r="B906" s="2" t="s">
        <v>3135</v>
      </c>
      <c r="C906" s="2" t="s">
        <v>3010</v>
      </c>
      <c r="D906" s="2" t="s">
        <v>1839</v>
      </c>
      <c r="E906" s="2" t="s">
        <v>1840</v>
      </c>
      <c r="F906" s="2">
        <v>0.38103900000000002</v>
      </c>
      <c r="G906" s="2">
        <v>0.84094899999999995</v>
      </c>
      <c r="H906" s="2">
        <v>1.14208</v>
      </c>
    </row>
    <row r="907" spans="1:8" x14ac:dyDescent="0.2">
      <c r="A907" s="2" t="s">
        <v>771</v>
      </c>
      <c r="B907" s="2" t="s">
        <v>3045</v>
      </c>
      <c r="C907" s="2" t="s">
        <v>1923</v>
      </c>
      <c r="D907" s="2" t="s">
        <v>1836</v>
      </c>
      <c r="E907" s="2" t="s">
        <v>1837</v>
      </c>
      <c r="F907" s="2">
        <v>0.85572099999999995</v>
      </c>
      <c r="G907" s="2">
        <v>1.8883799999999999</v>
      </c>
      <c r="H907" s="2">
        <v>1.14194</v>
      </c>
    </row>
    <row r="908" spans="1:8" x14ac:dyDescent="0.2">
      <c r="A908" s="2" t="s">
        <v>516</v>
      </c>
      <c r="B908" s="2" t="s">
        <v>3026</v>
      </c>
      <c r="C908" s="2" t="s">
        <v>1847</v>
      </c>
      <c r="D908" s="2" t="s">
        <v>1836</v>
      </c>
      <c r="E908" s="2" t="s">
        <v>1837</v>
      </c>
      <c r="F908" s="2">
        <v>0.55276400000000003</v>
      </c>
      <c r="G908" s="2">
        <v>1.21946</v>
      </c>
      <c r="H908" s="2">
        <v>1.1415</v>
      </c>
    </row>
    <row r="909" spans="1:8" x14ac:dyDescent="0.2">
      <c r="A909" s="2" t="s">
        <v>74</v>
      </c>
      <c r="B909" s="2" t="s">
        <v>3027</v>
      </c>
      <c r="C909" s="2" t="s">
        <v>2640</v>
      </c>
      <c r="D909" s="2" t="s">
        <v>1839</v>
      </c>
      <c r="E909" s="2" t="s">
        <v>1840</v>
      </c>
      <c r="F909" s="2">
        <v>1.57118</v>
      </c>
      <c r="G909" s="2">
        <v>3.4658199999999999</v>
      </c>
      <c r="H909" s="2">
        <v>1.1413500000000001</v>
      </c>
    </row>
    <row r="910" spans="1:8" x14ac:dyDescent="0.2">
      <c r="A910" s="2" t="s">
        <v>1009</v>
      </c>
      <c r="B910" s="2" t="s">
        <v>3024</v>
      </c>
      <c r="C910" s="2" t="s">
        <v>2053</v>
      </c>
      <c r="D910" s="2" t="s">
        <v>1836</v>
      </c>
      <c r="E910" s="2" t="s">
        <v>1837</v>
      </c>
      <c r="F910" s="2">
        <v>0.353271</v>
      </c>
      <c r="G910" s="2">
        <v>0.77896900000000002</v>
      </c>
      <c r="H910" s="2">
        <v>1.14079</v>
      </c>
    </row>
    <row r="911" spans="1:8" x14ac:dyDescent="0.2">
      <c r="A911" s="2" t="s">
        <v>1083</v>
      </c>
      <c r="B911" s="2" t="s">
        <v>3080</v>
      </c>
      <c r="C911" s="2" t="s">
        <v>2350</v>
      </c>
      <c r="D911" s="2" t="s">
        <v>1839</v>
      </c>
      <c r="E911" s="2" t="s">
        <v>1841</v>
      </c>
      <c r="F911" s="2">
        <v>1.18364</v>
      </c>
      <c r="G911" s="2">
        <v>2.6086100000000001</v>
      </c>
      <c r="H911" s="2">
        <v>1.14005</v>
      </c>
    </row>
    <row r="912" spans="1:8" x14ac:dyDescent="0.2">
      <c r="A912" s="2" t="s">
        <v>96</v>
      </c>
      <c r="B912" s="2" t="s">
        <v>3390</v>
      </c>
      <c r="C912" s="2" t="s">
        <v>2649</v>
      </c>
      <c r="D912" s="2" t="s">
        <v>1839</v>
      </c>
      <c r="E912" s="2" t="s">
        <v>1841</v>
      </c>
      <c r="F912" s="2">
        <v>25.674299999999999</v>
      </c>
      <c r="G912" s="2">
        <v>56.570999999999998</v>
      </c>
      <c r="H912" s="2">
        <v>1.13974</v>
      </c>
    </row>
    <row r="913" spans="1:8" x14ac:dyDescent="0.2">
      <c r="A913" s="2" t="s">
        <v>607</v>
      </c>
      <c r="B913" s="2" t="s">
        <v>3175</v>
      </c>
      <c r="C913" s="2" t="s">
        <v>2127</v>
      </c>
      <c r="D913" s="2" t="s">
        <v>1836</v>
      </c>
      <c r="E913" s="2" t="s">
        <v>1837</v>
      </c>
      <c r="F913" s="2">
        <v>2.9726400000000002</v>
      </c>
      <c r="G913" s="2">
        <v>6.5485100000000003</v>
      </c>
      <c r="H913" s="2">
        <v>1.1394200000000001</v>
      </c>
    </row>
    <row r="914" spans="1:8" x14ac:dyDescent="0.2">
      <c r="A914" s="2" t="s">
        <v>1624</v>
      </c>
      <c r="B914" s="2" t="s">
        <v>3015</v>
      </c>
      <c r="C914" s="2" t="s">
        <v>2788</v>
      </c>
      <c r="D914" s="2" t="s">
        <v>1839</v>
      </c>
      <c r="E914" s="2" t="s">
        <v>1840</v>
      </c>
      <c r="F914" s="2">
        <v>1.4815799999999999</v>
      </c>
      <c r="G914" s="2">
        <v>3.26281</v>
      </c>
      <c r="H914" s="2">
        <v>1.1389800000000001</v>
      </c>
    </row>
    <row r="915" spans="1:8" x14ac:dyDescent="0.2">
      <c r="A915" s="2" t="s">
        <v>816</v>
      </c>
      <c r="B915" s="2" t="s">
        <v>3214</v>
      </c>
      <c r="C915" s="2" t="s">
        <v>2212</v>
      </c>
      <c r="D915" s="2" t="s">
        <v>1836</v>
      </c>
      <c r="E915" s="2" t="s">
        <v>1837</v>
      </c>
      <c r="F915" s="2">
        <v>24.6008</v>
      </c>
      <c r="G915" s="2">
        <v>54.161799999999999</v>
      </c>
      <c r="H915" s="2">
        <v>1.1385700000000001</v>
      </c>
    </row>
    <row r="916" spans="1:8" x14ac:dyDescent="0.2">
      <c r="A916" s="2" t="s">
        <v>1346</v>
      </c>
      <c r="B916" s="2" t="s">
        <v>3352</v>
      </c>
      <c r="C916" s="2" t="s">
        <v>2226</v>
      </c>
      <c r="D916" s="2" t="s">
        <v>1836</v>
      </c>
      <c r="E916" s="2" t="s">
        <v>1838</v>
      </c>
      <c r="F916" s="2">
        <v>1.8791800000000001</v>
      </c>
      <c r="G916" s="2">
        <v>4.1360799999999998</v>
      </c>
      <c r="H916" s="2">
        <v>1.1381600000000001</v>
      </c>
    </row>
    <row r="917" spans="1:8" x14ac:dyDescent="0.2">
      <c r="A917" s="2" t="s">
        <v>1678</v>
      </c>
      <c r="B917" s="2" t="s">
        <v>3015</v>
      </c>
      <c r="C917" s="2" t="s">
        <v>2092</v>
      </c>
      <c r="D917" s="2" t="s">
        <v>1839</v>
      </c>
      <c r="E917" s="2" t="s">
        <v>1841</v>
      </c>
      <c r="F917" s="2">
        <v>0.91045100000000001</v>
      </c>
      <c r="G917" s="2">
        <v>2.0038399999999998</v>
      </c>
      <c r="H917" s="2">
        <v>1.13811</v>
      </c>
    </row>
    <row r="918" spans="1:8" x14ac:dyDescent="0.2">
      <c r="A918" s="2" t="s">
        <v>1215</v>
      </c>
      <c r="B918" s="2" t="s">
        <v>3032</v>
      </c>
      <c r="C918" s="2" t="s">
        <v>2230</v>
      </c>
      <c r="D918" s="2" t="s">
        <v>1839</v>
      </c>
      <c r="E918" s="2" t="s">
        <v>1841</v>
      </c>
      <c r="F918" s="2">
        <v>1.17964</v>
      </c>
      <c r="G918" s="2">
        <v>2.5957300000000001</v>
      </c>
      <c r="H918" s="2">
        <v>1.1377900000000001</v>
      </c>
    </row>
    <row r="919" spans="1:8" x14ac:dyDescent="0.2">
      <c r="A919" s="2" t="s">
        <v>100</v>
      </c>
      <c r="B919" s="2" t="s">
        <v>3393</v>
      </c>
      <c r="C919" s="2" t="s">
        <v>2653</v>
      </c>
      <c r="D919" s="2" t="s">
        <v>1839</v>
      </c>
      <c r="E919" s="2" t="s">
        <v>1841</v>
      </c>
      <c r="F919" s="2">
        <v>0.52422000000000002</v>
      </c>
      <c r="G919" s="2">
        <v>1.1523600000000001</v>
      </c>
      <c r="H919" s="2">
        <v>1.13635</v>
      </c>
    </row>
    <row r="920" spans="1:8" x14ac:dyDescent="0.2">
      <c r="A920" s="2" t="s">
        <v>1745</v>
      </c>
      <c r="B920" s="2" t="s">
        <v>3015</v>
      </c>
      <c r="C920" s="2" t="s">
        <v>2129</v>
      </c>
      <c r="D920" s="2" t="s">
        <v>1839</v>
      </c>
      <c r="E920" s="2" t="s">
        <v>1841</v>
      </c>
      <c r="F920" s="2">
        <v>0.79022199999999998</v>
      </c>
      <c r="G920" s="2">
        <v>1.73672</v>
      </c>
      <c r="H920" s="2">
        <v>1.1360399999999999</v>
      </c>
    </row>
    <row r="921" spans="1:8" x14ac:dyDescent="0.2">
      <c r="A921" s="2" t="s">
        <v>856</v>
      </c>
      <c r="B921" s="2" t="s">
        <v>3443</v>
      </c>
      <c r="C921" s="2" t="s">
        <v>2901</v>
      </c>
      <c r="D921" s="2" t="s">
        <v>1839</v>
      </c>
      <c r="E921" s="2" t="s">
        <v>1841</v>
      </c>
      <c r="F921" s="2">
        <v>13.021100000000001</v>
      </c>
      <c r="G921" s="2">
        <v>28.611000000000001</v>
      </c>
      <c r="H921" s="2">
        <v>1.13571</v>
      </c>
    </row>
    <row r="922" spans="1:8" x14ac:dyDescent="0.2">
      <c r="A922" s="2" t="s">
        <v>1062</v>
      </c>
      <c r="B922" s="2" t="s">
        <v>3049</v>
      </c>
      <c r="C922" s="2" t="s">
        <v>2187</v>
      </c>
      <c r="D922" s="2" t="s">
        <v>1836</v>
      </c>
      <c r="E922" s="2" t="s">
        <v>1838</v>
      </c>
      <c r="F922" s="2">
        <v>4.7833100000000002</v>
      </c>
      <c r="G922" s="2">
        <v>10.507199999999999</v>
      </c>
      <c r="H922" s="2">
        <v>1.1352899999999999</v>
      </c>
    </row>
    <row r="923" spans="1:8" x14ac:dyDescent="0.2">
      <c r="A923" s="2" t="s">
        <v>720</v>
      </c>
      <c r="B923" s="2" t="s">
        <v>3037</v>
      </c>
      <c r="C923" s="2" t="s">
        <v>2216</v>
      </c>
      <c r="D923" s="2" t="s">
        <v>1839</v>
      </c>
      <c r="E923" s="2" t="s">
        <v>1841</v>
      </c>
      <c r="F923" s="2">
        <v>0.68738100000000002</v>
      </c>
      <c r="G923" s="2">
        <v>1.50952</v>
      </c>
      <c r="H923" s="2">
        <v>1.1349</v>
      </c>
    </row>
    <row r="924" spans="1:8" x14ac:dyDescent="0.2">
      <c r="A924" s="2" t="s">
        <v>10</v>
      </c>
      <c r="B924" s="2" t="s">
        <v>3278</v>
      </c>
      <c r="C924" s="2" t="s">
        <v>2361</v>
      </c>
      <c r="D924" s="2" t="s">
        <v>1836</v>
      </c>
      <c r="E924" s="2" t="s">
        <v>1838</v>
      </c>
      <c r="F924" s="2">
        <v>2.24098</v>
      </c>
      <c r="G924" s="2">
        <v>4.9192200000000001</v>
      </c>
      <c r="H924" s="2">
        <v>1.1343000000000001</v>
      </c>
    </row>
    <row r="925" spans="1:8" x14ac:dyDescent="0.2">
      <c r="A925" s="2" t="s">
        <v>87</v>
      </c>
      <c r="B925" s="2" t="s">
        <v>3080</v>
      </c>
      <c r="C925" s="2" t="s">
        <v>1937</v>
      </c>
      <c r="D925" s="2" t="s">
        <v>1839</v>
      </c>
      <c r="E925" s="2" t="s">
        <v>1841</v>
      </c>
      <c r="F925" s="2">
        <v>1.36158</v>
      </c>
      <c r="G925" s="2">
        <v>2.9870199999999998</v>
      </c>
      <c r="H925" s="2">
        <v>1.1334299999999999</v>
      </c>
    </row>
    <row r="926" spans="1:8" x14ac:dyDescent="0.2">
      <c r="A926" s="2" t="s">
        <v>805</v>
      </c>
      <c r="B926" s="2" t="s">
        <v>3104</v>
      </c>
      <c r="C926" s="2" t="s">
        <v>2177</v>
      </c>
      <c r="D926" s="2" t="s">
        <v>1836</v>
      </c>
      <c r="E926" s="2" t="s">
        <v>1837</v>
      </c>
      <c r="F926" s="2">
        <v>1.37148</v>
      </c>
      <c r="G926" s="2">
        <v>3.0078100000000001</v>
      </c>
      <c r="H926" s="2">
        <v>1.1329800000000001</v>
      </c>
    </row>
    <row r="927" spans="1:8" x14ac:dyDescent="0.2">
      <c r="A927" s="2" t="s">
        <v>490</v>
      </c>
      <c r="B927" s="2" t="s">
        <v>3148</v>
      </c>
      <c r="C927" s="2" t="s">
        <v>2073</v>
      </c>
      <c r="D927" s="2" t="s">
        <v>1836</v>
      </c>
      <c r="E927" s="2" t="s">
        <v>1837</v>
      </c>
      <c r="F927" s="2">
        <v>1.3246</v>
      </c>
      <c r="G927" s="2">
        <v>2.9032300000000002</v>
      </c>
      <c r="H927" s="2">
        <v>1.1321000000000001</v>
      </c>
    </row>
    <row r="928" spans="1:8" x14ac:dyDescent="0.2">
      <c r="A928" s="2" t="s">
        <v>1640</v>
      </c>
      <c r="B928" s="2" t="s">
        <v>3015</v>
      </c>
      <c r="C928" s="2" t="s">
        <v>3016</v>
      </c>
      <c r="D928" s="2" t="s">
        <v>1839</v>
      </c>
      <c r="E928" s="2" t="s">
        <v>1841</v>
      </c>
      <c r="F928" s="2">
        <v>0.47049099999999999</v>
      </c>
      <c r="G928" s="2">
        <v>1.0304</v>
      </c>
      <c r="H928" s="2">
        <v>1.13097</v>
      </c>
    </row>
    <row r="929" spans="1:8" x14ac:dyDescent="0.2">
      <c r="A929" s="2" t="s">
        <v>437</v>
      </c>
      <c r="B929" s="2" t="s">
        <v>3015</v>
      </c>
      <c r="C929" s="2" t="s">
        <v>3015</v>
      </c>
      <c r="D929" s="2" t="s">
        <v>1836</v>
      </c>
      <c r="E929" s="2" t="s">
        <v>1837</v>
      </c>
      <c r="F929" s="2">
        <v>969.59900000000005</v>
      </c>
      <c r="G929" s="2">
        <v>2122.85</v>
      </c>
      <c r="H929" s="2">
        <v>1.1305400000000001</v>
      </c>
    </row>
    <row r="930" spans="1:8" x14ac:dyDescent="0.2">
      <c r="A930" s="2" t="s">
        <v>636</v>
      </c>
      <c r="B930" s="2" t="s">
        <v>3081</v>
      </c>
      <c r="C930" s="2" t="s">
        <v>2140</v>
      </c>
      <c r="D930" s="2" t="s">
        <v>1836</v>
      </c>
      <c r="E930" s="2" t="s">
        <v>1837</v>
      </c>
      <c r="F930" s="2">
        <v>1.3846499999999999</v>
      </c>
      <c r="G930" s="2">
        <v>3.0305499999999999</v>
      </c>
      <c r="H930" s="2">
        <v>1.1300600000000001</v>
      </c>
    </row>
    <row r="931" spans="1:8" x14ac:dyDescent="0.2">
      <c r="A931" s="2" t="s">
        <v>105</v>
      </c>
      <c r="B931" s="2" t="s">
        <v>3051</v>
      </c>
      <c r="C931" s="2" t="s">
        <v>1888</v>
      </c>
      <c r="D931" s="2" t="s">
        <v>1836</v>
      </c>
      <c r="E931" s="2" t="s">
        <v>1837</v>
      </c>
      <c r="F931" s="2">
        <v>91.526200000000003</v>
      </c>
      <c r="G931" s="2">
        <v>200.28399999999999</v>
      </c>
      <c r="H931" s="2">
        <v>1.1297900000000001</v>
      </c>
    </row>
    <row r="932" spans="1:8" x14ac:dyDescent="0.2">
      <c r="A932" s="2" t="s">
        <v>1235</v>
      </c>
      <c r="B932" s="2" t="s">
        <v>3015</v>
      </c>
      <c r="C932" s="2" t="s">
        <v>2444</v>
      </c>
      <c r="D932" s="2" t="s">
        <v>1839</v>
      </c>
      <c r="E932" s="2" t="s">
        <v>1841</v>
      </c>
      <c r="F932" s="2">
        <v>3.1591900000000002</v>
      </c>
      <c r="G932" s="2">
        <v>6.9088200000000004</v>
      </c>
      <c r="H932" s="2">
        <v>1.1288800000000001</v>
      </c>
    </row>
    <row r="933" spans="1:8" x14ac:dyDescent="0.2">
      <c r="A933" s="2" t="s">
        <v>1256</v>
      </c>
      <c r="B933" s="2" t="s">
        <v>3421</v>
      </c>
      <c r="C933" s="2" t="s">
        <v>2743</v>
      </c>
      <c r="D933" s="2" t="s">
        <v>1839</v>
      </c>
      <c r="E933" s="2" t="s">
        <v>1841</v>
      </c>
      <c r="F933" s="2">
        <v>9.58202</v>
      </c>
      <c r="G933" s="2">
        <v>20.922799999999999</v>
      </c>
      <c r="H933" s="2">
        <v>1.1266700000000001</v>
      </c>
    </row>
    <row r="934" spans="1:8" x14ac:dyDescent="0.2">
      <c r="A934" s="2" t="s">
        <v>765</v>
      </c>
      <c r="B934" s="2" t="s">
        <v>3081</v>
      </c>
      <c r="C934" s="2" t="s">
        <v>2353</v>
      </c>
      <c r="D934" s="2" t="s">
        <v>1839</v>
      </c>
      <c r="E934" s="2" t="s">
        <v>1841</v>
      </c>
      <c r="F934" s="2">
        <v>2.0183</v>
      </c>
      <c r="G934" s="2">
        <v>4.4062799999999998</v>
      </c>
      <c r="H934" s="2">
        <v>1.12642</v>
      </c>
    </row>
    <row r="935" spans="1:8" x14ac:dyDescent="0.2">
      <c r="A935" s="2" t="s">
        <v>722</v>
      </c>
      <c r="B935" s="2" t="s">
        <v>3015</v>
      </c>
      <c r="C935" s="2" t="s">
        <v>3015</v>
      </c>
      <c r="D935" s="2" t="s">
        <v>1839</v>
      </c>
      <c r="E935" s="2" t="s">
        <v>1841</v>
      </c>
      <c r="F935" s="2">
        <v>1.2039800000000001</v>
      </c>
      <c r="G935" s="2">
        <v>2.62662</v>
      </c>
      <c r="H935" s="2">
        <v>1.1253899999999999</v>
      </c>
    </row>
    <row r="936" spans="1:8" x14ac:dyDescent="0.2">
      <c r="A936" s="2" t="s">
        <v>449</v>
      </c>
      <c r="B936" s="2" t="s">
        <v>3024</v>
      </c>
      <c r="C936" s="2" t="s">
        <v>2053</v>
      </c>
      <c r="D936" s="2" t="s">
        <v>1839</v>
      </c>
      <c r="E936" s="2" t="s">
        <v>1840</v>
      </c>
      <c r="F936" s="2">
        <v>0.63944900000000005</v>
      </c>
      <c r="G936" s="2">
        <v>1.3946000000000001</v>
      </c>
      <c r="H936" s="2">
        <v>1.1249499999999999</v>
      </c>
    </row>
    <row r="937" spans="1:8" x14ac:dyDescent="0.2">
      <c r="A937" s="2" t="s">
        <v>483</v>
      </c>
      <c r="B937" s="2" t="s">
        <v>3429</v>
      </c>
      <c r="C937" s="2" t="s">
        <v>2777</v>
      </c>
      <c r="D937" s="2" t="s">
        <v>1839</v>
      </c>
      <c r="E937" s="2" t="s">
        <v>1841</v>
      </c>
      <c r="F937" s="2">
        <v>17.624400000000001</v>
      </c>
      <c r="G937" s="2">
        <v>38.436599999999999</v>
      </c>
      <c r="H937" s="2">
        <v>1.1249100000000001</v>
      </c>
    </row>
    <row r="938" spans="1:8" x14ac:dyDescent="0.2">
      <c r="A938" s="2" t="s">
        <v>566</v>
      </c>
      <c r="B938" s="2" t="s">
        <v>3015</v>
      </c>
      <c r="C938" s="2" t="s">
        <v>3015</v>
      </c>
      <c r="D938" s="2" t="s">
        <v>1836</v>
      </c>
      <c r="E938" s="2" t="s">
        <v>1837</v>
      </c>
      <c r="F938" s="2">
        <v>2.3543799999999999</v>
      </c>
      <c r="G938" s="2">
        <v>5.1345700000000001</v>
      </c>
      <c r="H938" s="2">
        <v>1.1249</v>
      </c>
    </row>
    <row r="939" spans="1:8" x14ac:dyDescent="0.2">
      <c r="A939" s="2" t="s">
        <v>1011</v>
      </c>
      <c r="B939" s="2" t="s">
        <v>3256</v>
      </c>
      <c r="C939" s="2" t="s">
        <v>2316</v>
      </c>
      <c r="D939" s="2" t="s">
        <v>1836</v>
      </c>
      <c r="E939" s="2" t="s">
        <v>1838</v>
      </c>
      <c r="F939" s="2">
        <v>7.4150499999999999</v>
      </c>
      <c r="G939" s="2">
        <v>16.168600000000001</v>
      </c>
      <c r="H939" s="2">
        <v>1.12466</v>
      </c>
    </row>
    <row r="940" spans="1:8" x14ac:dyDescent="0.2">
      <c r="A940" s="2" t="s">
        <v>1161</v>
      </c>
      <c r="B940" s="2" t="s">
        <v>3015</v>
      </c>
      <c r="C940" s="2" t="s">
        <v>2395</v>
      </c>
      <c r="D940" s="2" t="s">
        <v>1836</v>
      </c>
      <c r="E940" s="2" t="s">
        <v>1838</v>
      </c>
      <c r="F940" s="2">
        <v>0.55568300000000004</v>
      </c>
      <c r="G940" s="2">
        <v>1.2110099999999999</v>
      </c>
      <c r="H940" s="2">
        <v>1.12388</v>
      </c>
    </row>
    <row r="941" spans="1:8" x14ac:dyDescent="0.2">
      <c r="A941" s="2" t="s">
        <v>108</v>
      </c>
      <c r="B941" s="2" t="s">
        <v>3015</v>
      </c>
      <c r="C941" s="2" t="s">
        <v>1889</v>
      </c>
      <c r="D941" s="2" t="s">
        <v>1836</v>
      </c>
      <c r="E941" s="2" t="s">
        <v>1837</v>
      </c>
      <c r="F941" s="2">
        <v>8.4427800000000008</v>
      </c>
      <c r="G941" s="2">
        <v>18.3919</v>
      </c>
      <c r="H941" s="2">
        <v>1.1232800000000001</v>
      </c>
    </row>
    <row r="942" spans="1:8" x14ac:dyDescent="0.2">
      <c r="A942" s="2" t="s">
        <v>879</v>
      </c>
      <c r="B942" s="2" t="s">
        <v>3230</v>
      </c>
      <c r="C942" s="2" t="s">
        <v>2250</v>
      </c>
      <c r="D942" s="2" t="s">
        <v>1836</v>
      </c>
      <c r="E942" s="2" t="s">
        <v>1837</v>
      </c>
      <c r="F942" s="2">
        <v>1.95082</v>
      </c>
      <c r="G942" s="2">
        <v>4.2494300000000003</v>
      </c>
      <c r="H942" s="2">
        <v>1.1231899999999999</v>
      </c>
    </row>
    <row r="943" spans="1:8" x14ac:dyDescent="0.2">
      <c r="A943" s="2" t="s">
        <v>1790</v>
      </c>
      <c r="B943" s="2" t="s">
        <v>3015</v>
      </c>
      <c r="C943" s="2" t="s">
        <v>1860</v>
      </c>
      <c r="D943" s="2" t="s">
        <v>1839</v>
      </c>
      <c r="E943" s="2" t="s">
        <v>1841</v>
      </c>
      <c r="F943" s="2">
        <v>2.52827</v>
      </c>
      <c r="G943" s="2">
        <v>5.5043699999999998</v>
      </c>
      <c r="H943" s="2">
        <v>1.12243</v>
      </c>
    </row>
    <row r="944" spans="1:8" x14ac:dyDescent="0.2">
      <c r="A944" s="2" t="s">
        <v>37</v>
      </c>
      <c r="B944" s="2" t="s">
        <v>3035</v>
      </c>
      <c r="C944" s="2" t="s">
        <v>1860</v>
      </c>
      <c r="D944" s="2" t="s">
        <v>1839</v>
      </c>
      <c r="E944" s="2" t="s">
        <v>1841</v>
      </c>
      <c r="F944" s="2">
        <v>8.3416099999999993</v>
      </c>
      <c r="G944" s="2">
        <v>18.156600000000001</v>
      </c>
      <c r="H944" s="2">
        <v>1.12209</v>
      </c>
    </row>
    <row r="945" spans="1:8" x14ac:dyDescent="0.2">
      <c r="A945" s="2" t="s">
        <v>1104</v>
      </c>
      <c r="B945" s="2" t="s">
        <v>3015</v>
      </c>
      <c r="C945" s="2" t="s">
        <v>3015</v>
      </c>
      <c r="D945" s="2" t="s">
        <v>1839</v>
      </c>
      <c r="E945" s="2" t="s">
        <v>1841</v>
      </c>
      <c r="F945" s="2">
        <v>10.9194</v>
      </c>
      <c r="G945" s="2">
        <v>23.761399999999998</v>
      </c>
      <c r="H945" s="2">
        <v>1.1217200000000001</v>
      </c>
    </row>
    <row r="946" spans="1:8" x14ac:dyDescent="0.2">
      <c r="A946" s="2" t="s">
        <v>485</v>
      </c>
      <c r="B946" s="2" t="s">
        <v>3015</v>
      </c>
      <c r="C946" s="2" t="s">
        <v>2992</v>
      </c>
      <c r="D946" s="2" t="s">
        <v>1839</v>
      </c>
      <c r="E946" s="2" t="s">
        <v>1840</v>
      </c>
      <c r="F946" s="2">
        <v>5.15184</v>
      </c>
      <c r="G946" s="2">
        <v>11.2088</v>
      </c>
      <c r="H946" s="2">
        <v>1.12148</v>
      </c>
    </row>
    <row r="947" spans="1:8" x14ac:dyDescent="0.2">
      <c r="A947" s="2" t="s">
        <v>1105</v>
      </c>
      <c r="B947" s="2" t="s">
        <v>3270</v>
      </c>
      <c r="C947" s="2" t="s">
        <v>2358</v>
      </c>
      <c r="D947" s="2" t="s">
        <v>1836</v>
      </c>
      <c r="E947" s="2" t="s">
        <v>1837</v>
      </c>
      <c r="F947" s="2">
        <v>31.058</v>
      </c>
      <c r="G947" s="2">
        <v>67.571799999999996</v>
      </c>
      <c r="H947" s="2">
        <v>1.1214500000000001</v>
      </c>
    </row>
    <row r="948" spans="1:8" x14ac:dyDescent="0.2">
      <c r="A948" s="2" t="s">
        <v>1352</v>
      </c>
      <c r="B948" s="2" t="s">
        <v>3015</v>
      </c>
      <c r="C948" s="2" t="s">
        <v>2542</v>
      </c>
      <c r="D948" s="2" t="s">
        <v>1836</v>
      </c>
      <c r="E948" s="2" t="s">
        <v>1838</v>
      </c>
      <c r="F948" s="2">
        <v>95.010800000000003</v>
      </c>
      <c r="G948" s="2">
        <v>206.60599999999999</v>
      </c>
      <c r="H948" s="2">
        <v>1.1207199999999999</v>
      </c>
    </row>
    <row r="949" spans="1:8" x14ac:dyDescent="0.2">
      <c r="A949" s="2" t="s">
        <v>916</v>
      </c>
      <c r="B949" s="2" t="s">
        <v>3025</v>
      </c>
      <c r="C949" s="2" t="s">
        <v>2269</v>
      </c>
      <c r="D949" s="2" t="s">
        <v>1839</v>
      </c>
      <c r="E949" s="2" t="s">
        <v>1841</v>
      </c>
      <c r="F949" s="2">
        <v>10.5304</v>
      </c>
      <c r="G949" s="2">
        <v>22.888300000000001</v>
      </c>
      <c r="H949" s="2">
        <v>1.12005</v>
      </c>
    </row>
    <row r="950" spans="1:8" x14ac:dyDescent="0.2">
      <c r="A950" s="2" t="s">
        <v>1023</v>
      </c>
      <c r="B950" s="2" t="s">
        <v>3089</v>
      </c>
      <c r="C950" s="2" t="s">
        <v>2775</v>
      </c>
      <c r="D950" s="2" t="s">
        <v>1839</v>
      </c>
      <c r="E950" s="2" t="s">
        <v>1841</v>
      </c>
      <c r="F950" s="2">
        <v>7.5493800000000002</v>
      </c>
      <c r="G950" s="2">
        <v>16.404699999999998</v>
      </c>
      <c r="H950" s="2">
        <v>1.11968</v>
      </c>
    </row>
    <row r="951" spans="1:8" x14ac:dyDescent="0.2">
      <c r="A951" s="2" t="s">
        <v>1591</v>
      </c>
      <c r="B951" s="2" t="s">
        <v>3015</v>
      </c>
      <c r="C951" s="2" t="s">
        <v>1847</v>
      </c>
      <c r="D951" s="2" t="s">
        <v>1839</v>
      </c>
      <c r="E951" s="2" t="s">
        <v>1841</v>
      </c>
      <c r="F951" s="2">
        <v>1.95821</v>
      </c>
      <c r="G951" s="2">
        <v>4.2521399999999998</v>
      </c>
      <c r="H951" s="2">
        <v>1.1186499999999999</v>
      </c>
    </row>
    <row r="952" spans="1:8" x14ac:dyDescent="0.2">
      <c r="A952" s="2" t="s">
        <v>1342</v>
      </c>
      <c r="B952" s="2" t="s">
        <v>3024</v>
      </c>
      <c r="C952" s="2" t="s">
        <v>2838</v>
      </c>
      <c r="D952" s="2" t="s">
        <v>1839</v>
      </c>
      <c r="E952" s="2" t="s">
        <v>1841</v>
      </c>
      <c r="F952" s="2">
        <v>5.1620499999999998</v>
      </c>
      <c r="G952" s="2">
        <v>11.202299999999999</v>
      </c>
      <c r="H952" s="2">
        <v>1.11778</v>
      </c>
    </row>
    <row r="953" spans="1:8" x14ac:dyDescent="0.2">
      <c r="A953" s="2" t="s">
        <v>1769</v>
      </c>
      <c r="B953" s="2" t="s">
        <v>3168</v>
      </c>
      <c r="C953" s="2" t="s">
        <v>2941</v>
      </c>
      <c r="D953" s="2" t="s">
        <v>1839</v>
      </c>
      <c r="E953" s="2" t="s">
        <v>1841</v>
      </c>
      <c r="F953" s="2">
        <v>0.83296000000000003</v>
      </c>
      <c r="G953" s="2">
        <v>1.80724</v>
      </c>
      <c r="H953" s="2">
        <v>1.11747</v>
      </c>
    </row>
    <row r="954" spans="1:8" x14ac:dyDescent="0.2">
      <c r="A954" s="2" t="s">
        <v>1419</v>
      </c>
      <c r="B954" s="2" t="s">
        <v>3200</v>
      </c>
      <c r="C954" s="2" t="s">
        <v>2812</v>
      </c>
      <c r="D954" s="2" t="s">
        <v>1839</v>
      </c>
      <c r="E954" s="2" t="s">
        <v>1840</v>
      </c>
      <c r="F954" s="2">
        <v>0.420429</v>
      </c>
      <c r="G954" s="2">
        <v>0.91216900000000001</v>
      </c>
      <c r="H954" s="2">
        <v>1.11744</v>
      </c>
    </row>
    <row r="955" spans="1:8" x14ac:dyDescent="0.2">
      <c r="A955" s="2" t="s">
        <v>1063</v>
      </c>
      <c r="B955" s="2" t="s">
        <v>3113</v>
      </c>
      <c r="C955" s="2" t="s">
        <v>2339</v>
      </c>
      <c r="D955" s="2" t="s">
        <v>1836</v>
      </c>
      <c r="E955" s="2" t="s">
        <v>1837</v>
      </c>
      <c r="F955" s="2">
        <v>1.3565700000000001</v>
      </c>
      <c r="G955" s="2">
        <v>2.9403000000000001</v>
      </c>
      <c r="H955" s="2">
        <v>1.1160000000000001</v>
      </c>
    </row>
    <row r="956" spans="1:8" x14ac:dyDescent="0.2">
      <c r="A956" s="2" t="s">
        <v>1239</v>
      </c>
      <c r="B956" s="2" t="s">
        <v>3015</v>
      </c>
      <c r="C956" s="2" t="s">
        <v>2730</v>
      </c>
      <c r="D956" s="2" t="s">
        <v>1839</v>
      </c>
      <c r="E956" s="2" t="s">
        <v>1841</v>
      </c>
      <c r="F956" s="2">
        <v>1.1563000000000001</v>
      </c>
      <c r="G956" s="2">
        <v>2.5048300000000001</v>
      </c>
      <c r="H956" s="2">
        <v>1.1152</v>
      </c>
    </row>
    <row r="957" spans="1:8" x14ac:dyDescent="0.2">
      <c r="A957" s="2" t="s">
        <v>80</v>
      </c>
      <c r="B957" s="2" t="s">
        <v>3287</v>
      </c>
      <c r="C957" s="2" t="s">
        <v>2045</v>
      </c>
      <c r="D957" s="2" t="s">
        <v>1839</v>
      </c>
      <c r="E957" s="2" t="s">
        <v>1840</v>
      </c>
      <c r="F957" s="2">
        <v>2.2064900000000001</v>
      </c>
      <c r="G957" s="2">
        <v>4.7786799999999996</v>
      </c>
      <c r="H957" s="2">
        <v>1.11486</v>
      </c>
    </row>
    <row r="958" spans="1:8" x14ac:dyDescent="0.2">
      <c r="A958" s="2" t="s">
        <v>1171</v>
      </c>
      <c r="B958" s="2" t="s">
        <v>3094</v>
      </c>
      <c r="C958" s="2" t="s">
        <v>2304</v>
      </c>
      <c r="D958" s="2" t="s">
        <v>1836</v>
      </c>
      <c r="E958" s="2" t="s">
        <v>1838</v>
      </c>
      <c r="F958" s="2">
        <v>4.2204899999999999</v>
      </c>
      <c r="G958" s="2">
        <v>9.1387099999999997</v>
      </c>
      <c r="H958" s="2">
        <v>1.1145799999999999</v>
      </c>
    </row>
    <row r="959" spans="1:8" x14ac:dyDescent="0.2">
      <c r="A959" s="2" t="s">
        <v>1038</v>
      </c>
      <c r="B959" s="2" t="s">
        <v>3015</v>
      </c>
      <c r="C959" s="2" t="s">
        <v>3015</v>
      </c>
      <c r="D959" s="2" t="s">
        <v>1836</v>
      </c>
      <c r="E959" s="2" t="s">
        <v>1838</v>
      </c>
      <c r="F959" s="2">
        <v>6.1892199999999997</v>
      </c>
      <c r="G959" s="2">
        <v>13.3963</v>
      </c>
      <c r="H959" s="2">
        <v>1.1140099999999999</v>
      </c>
    </row>
    <row r="960" spans="1:8" x14ac:dyDescent="0.2">
      <c r="A960" s="2" t="s">
        <v>167</v>
      </c>
      <c r="B960" s="2" t="s">
        <v>3067</v>
      </c>
      <c r="C960" s="2" t="s">
        <v>1924</v>
      </c>
      <c r="D960" s="2" t="s">
        <v>1836</v>
      </c>
      <c r="E960" s="2" t="s">
        <v>1837</v>
      </c>
      <c r="F960" s="2">
        <v>1.0370299999999999</v>
      </c>
      <c r="G960" s="2">
        <v>2.24438</v>
      </c>
      <c r="H960" s="2">
        <v>1.1138600000000001</v>
      </c>
    </row>
    <row r="961" spans="1:8" x14ac:dyDescent="0.2">
      <c r="A961" s="2" t="s">
        <v>626</v>
      </c>
      <c r="B961" s="2" t="s">
        <v>3030</v>
      </c>
      <c r="C961" s="2" t="s">
        <v>2135</v>
      </c>
      <c r="D961" s="2" t="s">
        <v>1836</v>
      </c>
      <c r="E961" s="2" t="s">
        <v>1837</v>
      </c>
      <c r="F961" s="2">
        <v>1.58311</v>
      </c>
      <c r="G961" s="2">
        <v>3.4241999999999999</v>
      </c>
      <c r="H961" s="2">
        <v>1.113</v>
      </c>
    </row>
    <row r="962" spans="1:8" x14ac:dyDescent="0.2">
      <c r="A962" s="2" t="s">
        <v>951</v>
      </c>
      <c r="B962" s="2" t="s">
        <v>3245</v>
      </c>
      <c r="C962" s="2" t="s">
        <v>1847</v>
      </c>
      <c r="D962" s="2" t="s">
        <v>1836</v>
      </c>
      <c r="E962" s="2" t="s">
        <v>1837</v>
      </c>
      <c r="F962" s="2">
        <v>27.053000000000001</v>
      </c>
      <c r="G962" s="2">
        <v>58.483199999999997</v>
      </c>
      <c r="H962" s="2">
        <v>1.1122300000000001</v>
      </c>
    </row>
    <row r="963" spans="1:8" x14ac:dyDescent="0.2">
      <c r="A963" s="2" t="s">
        <v>569</v>
      </c>
      <c r="B963" s="2" t="s">
        <v>3033</v>
      </c>
      <c r="C963" s="2" t="s">
        <v>1858</v>
      </c>
      <c r="D963" s="2" t="s">
        <v>1836</v>
      </c>
      <c r="E963" s="2" t="s">
        <v>1837</v>
      </c>
      <c r="F963" s="2">
        <v>0.45652500000000001</v>
      </c>
      <c r="G963" s="2">
        <v>0.98660599999999998</v>
      </c>
      <c r="H963" s="2">
        <v>1.11178</v>
      </c>
    </row>
    <row r="964" spans="1:8" x14ac:dyDescent="0.2">
      <c r="A964" s="2" t="s">
        <v>1039</v>
      </c>
      <c r="B964" s="2" t="s">
        <v>3015</v>
      </c>
      <c r="C964" s="2" t="s">
        <v>2952</v>
      </c>
      <c r="D964" s="2" t="s">
        <v>1839</v>
      </c>
      <c r="E964" s="2" t="s">
        <v>1841</v>
      </c>
      <c r="F964" s="2">
        <v>1.22424</v>
      </c>
      <c r="G964" s="2">
        <v>2.6453700000000002</v>
      </c>
      <c r="H964" s="2">
        <v>1.1115900000000001</v>
      </c>
    </row>
    <row r="965" spans="1:8" x14ac:dyDescent="0.2">
      <c r="A965" s="2" t="s">
        <v>1749</v>
      </c>
      <c r="B965" s="2" t="s">
        <v>3313</v>
      </c>
      <c r="C965" s="2" t="s">
        <v>3003</v>
      </c>
      <c r="D965" s="2" t="s">
        <v>1839</v>
      </c>
      <c r="E965" s="2" t="s">
        <v>1840</v>
      </c>
      <c r="F965" s="2">
        <v>0.63456599999999996</v>
      </c>
      <c r="G965" s="2">
        <v>1.3706700000000001</v>
      </c>
      <c r="H965" s="2">
        <v>1.11104</v>
      </c>
    </row>
    <row r="966" spans="1:8" x14ac:dyDescent="0.2">
      <c r="A966" s="2" t="s">
        <v>489</v>
      </c>
      <c r="B966" s="2" t="s">
        <v>3015</v>
      </c>
      <c r="C966" s="2" t="s">
        <v>2486</v>
      </c>
      <c r="D966" s="2" t="s">
        <v>1836</v>
      </c>
      <c r="E966" s="2" t="s">
        <v>1838</v>
      </c>
      <c r="F966" s="2">
        <v>2.1898399999999998</v>
      </c>
      <c r="G966" s="2">
        <v>4.7293500000000002</v>
      </c>
      <c r="H966" s="2">
        <v>1.1108100000000001</v>
      </c>
    </row>
    <row r="967" spans="1:8" x14ac:dyDescent="0.2">
      <c r="A967" s="2" t="s">
        <v>584</v>
      </c>
      <c r="B967" s="2" t="s">
        <v>3168</v>
      </c>
      <c r="C967" s="2" t="s">
        <v>2118</v>
      </c>
      <c r="D967" s="2" t="s">
        <v>1839</v>
      </c>
      <c r="E967" s="2" t="s">
        <v>1841</v>
      </c>
      <c r="F967" s="2">
        <v>13.6313</v>
      </c>
      <c r="G967" s="2">
        <v>29.420400000000001</v>
      </c>
      <c r="H967" s="2">
        <v>1.1099000000000001</v>
      </c>
    </row>
    <row r="968" spans="1:8" x14ac:dyDescent="0.2">
      <c r="A968" s="2" t="s">
        <v>1504</v>
      </c>
      <c r="B968" s="2" t="s">
        <v>3015</v>
      </c>
      <c r="C968" s="2" t="s">
        <v>2652</v>
      </c>
      <c r="D968" s="2" t="s">
        <v>1839</v>
      </c>
      <c r="E968" s="2" t="s">
        <v>1841</v>
      </c>
      <c r="F968" s="2">
        <v>2.3792</v>
      </c>
      <c r="G968" s="2">
        <v>5.1320600000000001</v>
      </c>
      <c r="H968" s="2">
        <v>1.1090599999999999</v>
      </c>
    </row>
    <row r="969" spans="1:8" x14ac:dyDescent="0.2">
      <c r="A969" s="2" t="s">
        <v>1818</v>
      </c>
      <c r="B969" s="2" t="s">
        <v>3081</v>
      </c>
      <c r="C969" s="2" t="s">
        <v>2994</v>
      </c>
      <c r="D969" s="2" t="s">
        <v>1839</v>
      </c>
      <c r="E969" s="2" t="s">
        <v>1840</v>
      </c>
      <c r="F969" s="2">
        <v>0.68444300000000002</v>
      </c>
      <c r="G969" s="2">
        <v>1.4762200000000001</v>
      </c>
      <c r="H969" s="2">
        <v>1.1089100000000001</v>
      </c>
    </row>
    <row r="970" spans="1:8" x14ac:dyDescent="0.2">
      <c r="A970" s="2" t="s">
        <v>1732</v>
      </c>
      <c r="B970" s="2" t="s">
        <v>3073</v>
      </c>
      <c r="C970" s="2" t="s">
        <v>3002</v>
      </c>
      <c r="D970" s="2" t="s">
        <v>1839</v>
      </c>
      <c r="E970" s="2" t="s">
        <v>1840</v>
      </c>
      <c r="F970" s="2">
        <v>0.42467700000000003</v>
      </c>
      <c r="G970" s="2">
        <v>0.91515100000000005</v>
      </c>
      <c r="H970" s="2">
        <v>1.10764</v>
      </c>
    </row>
    <row r="971" spans="1:8" x14ac:dyDescent="0.2">
      <c r="A971" s="2" t="s">
        <v>455</v>
      </c>
      <c r="B971" s="2" t="s">
        <v>3329</v>
      </c>
      <c r="C971" s="2" t="s">
        <v>2481</v>
      </c>
      <c r="D971" s="2" t="s">
        <v>1836</v>
      </c>
      <c r="E971" s="2" t="s">
        <v>1838</v>
      </c>
      <c r="F971" s="2">
        <v>41.568199999999997</v>
      </c>
      <c r="G971" s="2">
        <v>89.528700000000001</v>
      </c>
      <c r="H971" s="2">
        <v>1.10687</v>
      </c>
    </row>
    <row r="972" spans="1:8" x14ac:dyDescent="0.2">
      <c r="A972" s="2" t="s">
        <v>947</v>
      </c>
      <c r="B972" s="2" t="s">
        <v>3015</v>
      </c>
      <c r="C972" s="2" t="s">
        <v>3015</v>
      </c>
      <c r="D972" s="2" t="s">
        <v>1836</v>
      </c>
      <c r="E972" s="2" t="s">
        <v>1837</v>
      </c>
      <c r="F972" s="2">
        <v>3.89195</v>
      </c>
      <c r="G972" s="2">
        <v>8.3810099999999998</v>
      </c>
      <c r="H972" s="2">
        <v>1.10663</v>
      </c>
    </row>
    <row r="973" spans="1:8" x14ac:dyDescent="0.2">
      <c r="A973" s="2" t="s">
        <v>896</v>
      </c>
      <c r="B973" s="2" t="s">
        <v>3233</v>
      </c>
      <c r="C973" s="2" t="s">
        <v>3016</v>
      </c>
      <c r="D973" s="2" t="s">
        <v>1836</v>
      </c>
      <c r="E973" s="2" t="s">
        <v>1838</v>
      </c>
      <c r="F973" s="2">
        <v>0.97496400000000005</v>
      </c>
      <c r="G973" s="2">
        <v>2.0994899999999999</v>
      </c>
      <c r="H973" s="2">
        <v>1.1066199999999999</v>
      </c>
    </row>
    <row r="974" spans="1:8" x14ac:dyDescent="0.2">
      <c r="A974" s="2" t="s">
        <v>816</v>
      </c>
      <c r="B974" s="2" t="s">
        <v>3214</v>
      </c>
      <c r="C974" s="2" t="s">
        <v>2212</v>
      </c>
      <c r="D974" s="2" t="s">
        <v>1839</v>
      </c>
      <c r="E974" s="2" t="s">
        <v>1841</v>
      </c>
      <c r="F974" s="2">
        <v>46.926099999999998</v>
      </c>
      <c r="G974" s="2">
        <v>100.944</v>
      </c>
      <c r="H974" s="2">
        <v>1.1050899999999999</v>
      </c>
    </row>
    <row r="975" spans="1:8" x14ac:dyDescent="0.2">
      <c r="A975" s="2" t="s">
        <v>1821</v>
      </c>
      <c r="B975" s="2" t="s">
        <v>3015</v>
      </c>
      <c r="C975" s="2" t="s">
        <v>3000</v>
      </c>
      <c r="D975" s="2" t="s">
        <v>1839</v>
      </c>
      <c r="E975" s="2" t="s">
        <v>1840</v>
      </c>
      <c r="F975" s="2">
        <v>1.5299199999999999</v>
      </c>
      <c r="G975" s="2">
        <v>3.2897799999999999</v>
      </c>
      <c r="H975" s="2">
        <v>1.1045400000000001</v>
      </c>
    </row>
    <row r="976" spans="1:8" x14ac:dyDescent="0.2">
      <c r="A976" s="2" t="s">
        <v>46</v>
      </c>
      <c r="B976" s="2" t="s">
        <v>3015</v>
      </c>
      <c r="C976" s="2" t="s">
        <v>1864</v>
      </c>
      <c r="D976" s="2" t="s">
        <v>1836</v>
      </c>
      <c r="E976" s="2" t="s">
        <v>1837</v>
      </c>
      <c r="F976" s="2">
        <v>0.63086699999999996</v>
      </c>
      <c r="G976" s="2">
        <v>1.3561799999999999</v>
      </c>
      <c r="H976" s="2">
        <v>1.1041399999999999</v>
      </c>
    </row>
    <row r="977" spans="1:8" x14ac:dyDescent="0.2">
      <c r="A977" s="2" t="s">
        <v>511</v>
      </c>
      <c r="B977" s="2" t="s">
        <v>3151</v>
      </c>
      <c r="C977" s="2" t="s">
        <v>2084</v>
      </c>
      <c r="D977" s="2" t="s">
        <v>1836</v>
      </c>
      <c r="E977" s="2" t="s">
        <v>1837</v>
      </c>
      <c r="F977" s="2">
        <v>714.84199999999998</v>
      </c>
      <c r="G977" s="2">
        <v>1536.66</v>
      </c>
      <c r="H977" s="2">
        <v>1.1041099999999999</v>
      </c>
    </row>
    <row r="978" spans="1:8" x14ac:dyDescent="0.2">
      <c r="A978" s="2" t="s">
        <v>140</v>
      </c>
      <c r="B978" s="2" t="s">
        <v>3058</v>
      </c>
      <c r="C978" s="2" t="s">
        <v>1908</v>
      </c>
      <c r="D978" s="2" t="s">
        <v>1836</v>
      </c>
      <c r="E978" s="2" t="s">
        <v>1837</v>
      </c>
      <c r="F978" s="2">
        <v>14.688000000000001</v>
      </c>
      <c r="G978" s="2">
        <v>31.571300000000001</v>
      </c>
      <c r="H978" s="2">
        <v>1.1039699999999999</v>
      </c>
    </row>
    <row r="979" spans="1:8" x14ac:dyDescent="0.2">
      <c r="A979" s="2" t="s">
        <v>1265</v>
      </c>
      <c r="B979" s="2" t="s">
        <v>3324</v>
      </c>
      <c r="C979" s="2" t="s">
        <v>2468</v>
      </c>
      <c r="D979" s="2" t="s">
        <v>1836</v>
      </c>
      <c r="E979" s="2" t="s">
        <v>1838</v>
      </c>
      <c r="F979" s="2">
        <v>0.78157299999999996</v>
      </c>
      <c r="G979" s="2">
        <v>1.6790099999999999</v>
      </c>
      <c r="H979" s="2">
        <v>1.1031599999999999</v>
      </c>
    </row>
    <row r="980" spans="1:8" x14ac:dyDescent="0.2">
      <c r="A980" s="2" t="s">
        <v>90</v>
      </c>
      <c r="B980" s="2" t="s">
        <v>3046</v>
      </c>
      <c r="C980" s="2" t="s">
        <v>3015</v>
      </c>
      <c r="D980" s="2" t="s">
        <v>1836</v>
      </c>
      <c r="E980" s="2" t="s">
        <v>1838</v>
      </c>
      <c r="F980" s="2">
        <v>2.78518</v>
      </c>
      <c r="G980" s="2">
        <v>5.9831599999999998</v>
      </c>
      <c r="H980" s="2">
        <v>1.10314</v>
      </c>
    </row>
    <row r="981" spans="1:8" x14ac:dyDescent="0.2">
      <c r="A981" s="2" t="s">
        <v>710</v>
      </c>
      <c r="B981" s="2" t="s">
        <v>3015</v>
      </c>
      <c r="C981" s="2" t="s">
        <v>1847</v>
      </c>
      <c r="D981" s="2" t="s">
        <v>1836</v>
      </c>
      <c r="E981" s="2" t="s">
        <v>1837</v>
      </c>
      <c r="F981" s="2">
        <v>2.2034600000000002</v>
      </c>
      <c r="G981" s="2">
        <v>4.7262000000000004</v>
      </c>
      <c r="H981" s="2">
        <v>1.1009100000000001</v>
      </c>
    </row>
    <row r="982" spans="1:8" x14ac:dyDescent="0.2">
      <c r="A982" s="2" t="s">
        <v>1426</v>
      </c>
      <c r="B982" s="2" t="s">
        <v>3182</v>
      </c>
      <c r="C982" s="2" t="s">
        <v>2587</v>
      </c>
      <c r="D982" s="2" t="s">
        <v>1839</v>
      </c>
      <c r="E982" s="2" t="s">
        <v>1841</v>
      </c>
      <c r="F982" s="2">
        <v>0.59368600000000005</v>
      </c>
      <c r="G982" s="2">
        <v>1.27322</v>
      </c>
      <c r="H982" s="2">
        <v>1.1007199999999999</v>
      </c>
    </row>
    <row r="983" spans="1:8" x14ac:dyDescent="0.2">
      <c r="A983" s="2" t="s">
        <v>201</v>
      </c>
      <c r="B983" s="2" t="s">
        <v>3081</v>
      </c>
      <c r="C983" s="2" t="s">
        <v>1938</v>
      </c>
      <c r="D983" s="2" t="s">
        <v>1839</v>
      </c>
      <c r="E983" s="2" t="s">
        <v>1840</v>
      </c>
      <c r="F983" s="2">
        <v>0.63522900000000004</v>
      </c>
      <c r="G983" s="2">
        <v>1.36086</v>
      </c>
      <c r="H983" s="2">
        <v>1.09917</v>
      </c>
    </row>
    <row r="984" spans="1:8" x14ac:dyDescent="0.2">
      <c r="A984" s="2" t="s">
        <v>491</v>
      </c>
      <c r="B984" s="2" t="s">
        <v>3015</v>
      </c>
      <c r="C984" s="2" t="s">
        <v>2074</v>
      </c>
      <c r="D984" s="2" t="s">
        <v>1836</v>
      </c>
      <c r="E984" s="2" t="s">
        <v>1837</v>
      </c>
      <c r="F984" s="2">
        <v>0.51229999999999998</v>
      </c>
      <c r="G984" s="2">
        <v>1.09744</v>
      </c>
      <c r="H984" s="2">
        <v>1.0990899999999999</v>
      </c>
    </row>
    <row r="985" spans="1:8" x14ac:dyDescent="0.2">
      <c r="A985" s="2" t="s">
        <v>1151</v>
      </c>
      <c r="B985" s="2" t="s">
        <v>3015</v>
      </c>
      <c r="C985" s="2" t="s">
        <v>2636</v>
      </c>
      <c r="D985" s="2" t="s">
        <v>1839</v>
      </c>
      <c r="E985" s="2" t="s">
        <v>1840</v>
      </c>
      <c r="F985" s="2">
        <v>0.53334999999999999</v>
      </c>
      <c r="G985" s="2">
        <v>1.1424799999999999</v>
      </c>
      <c r="H985" s="2">
        <v>1.0990200000000001</v>
      </c>
    </row>
    <row r="986" spans="1:8" x14ac:dyDescent="0.2">
      <c r="A986" s="2" t="s">
        <v>1103</v>
      </c>
      <c r="B986" s="2" t="s">
        <v>3054</v>
      </c>
      <c r="C986" s="2" t="s">
        <v>1894</v>
      </c>
      <c r="D986" s="2" t="s">
        <v>1836</v>
      </c>
      <c r="E986" s="2" t="s">
        <v>1838</v>
      </c>
      <c r="F986" s="2">
        <v>1.12259</v>
      </c>
      <c r="G986" s="2">
        <v>2.4033500000000001</v>
      </c>
      <c r="H986" s="2">
        <v>1.09822</v>
      </c>
    </row>
    <row r="987" spans="1:8" x14ac:dyDescent="0.2">
      <c r="A987" s="2" t="s">
        <v>1629</v>
      </c>
      <c r="B987" s="2" t="s">
        <v>3015</v>
      </c>
      <c r="C987" s="2" t="s">
        <v>3015</v>
      </c>
      <c r="D987" s="2" t="s">
        <v>1839</v>
      </c>
      <c r="E987" s="2" t="s">
        <v>1841</v>
      </c>
      <c r="F987" s="2">
        <v>7.4179599999999999</v>
      </c>
      <c r="G987" s="2">
        <v>15.8736</v>
      </c>
      <c r="H987" s="2">
        <v>1.09754</v>
      </c>
    </row>
    <row r="988" spans="1:8" x14ac:dyDescent="0.2">
      <c r="A988" s="2" t="s">
        <v>1550</v>
      </c>
      <c r="B988" s="2" t="s">
        <v>3200</v>
      </c>
      <c r="C988" s="2" t="s">
        <v>2701</v>
      </c>
      <c r="D988" s="2" t="s">
        <v>1839</v>
      </c>
      <c r="E988" s="2" t="s">
        <v>1841</v>
      </c>
      <c r="F988" s="2">
        <v>0.44907799999999998</v>
      </c>
      <c r="G988" s="2">
        <v>0.96097200000000005</v>
      </c>
      <c r="H988" s="2">
        <v>1.0975299999999999</v>
      </c>
    </row>
    <row r="989" spans="1:8" x14ac:dyDescent="0.2">
      <c r="A989" s="2" t="s">
        <v>1518</v>
      </c>
      <c r="B989" s="2" t="s">
        <v>3155</v>
      </c>
      <c r="C989" s="2" t="s">
        <v>2672</v>
      </c>
      <c r="D989" s="2" t="s">
        <v>1839</v>
      </c>
      <c r="E989" s="2" t="s">
        <v>1841</v>
      </c>
      <c r="F989" s="2">
        <v>1.00902</v>
      </c>
      <c r="G989" s="2">
        <v>2.1587200000000002</v>
      </c>
      <c r="H989" s="2">
        <v>1.0972200000000001</v>
      </c>
    </row>
    <row r="990" spans="1:8" x14ac:dyDescent="0.2">
      <c r="A990" s="2" t="s">
        <v>199</v>
      </c>
      <c r="B990" s="2" t="s">
        <v>3015</v>
      </c>
      <c r="C990" s="2" t="s">
        <v>3015</v>
      </c>
      <c r="D990" s="2" t="s">
        <v>1836</v>
      </c>
      <c r="E990" s="2" t="s">
        <v>1838</v>
      </c>
      <c r="F990" s="2">
        <v>2.2997200000000002</v>
      </c>
      <c r="G990" s="2">
        <v>4.9198300000000001</v>
      </c>
      <c r="H990" s="2">
        <v>1.0971500000000001</v>
      </c>
    </row>
    <row r="991" spans="1:8" x14ac:dyDescent="0.2">
      <c r="A991" s="2" t="s">
        <v>481</v>
      </c>
      <c r="B991" s="2" t="s">
        <v>3100</v>
      </c>
      <c r="C991" s="2" t="s">
        <v>2206</v>
      </c>
      <c r="D991" s="2" t="s">
        <v>1836</v>
      </c>
      <c r="E991" s="2" t="s">
        <v>1838</v>
      </c>
      <c r="F991" s="2">
        <v>5.45547</v>
      </c>
      <c r="G991" s="2">
        <v>11.6709</v>
      </c>
      <c r="H991" s="2">
        <v>1.09714</v>
      </c>
    </row>
    <row r="992" spans="1:8" x14ac:dyDescent="0.2">
      <c r="A992" s="2" t="s">
        <v>1092</v>
      </c>
      <c r="B992" s="2" t="s">
        <v>3015</v>
      </c>
      <c r="C992" s="2" t="s">
        <v>3016</v>
      </c>
      <c r="D992" s="2" t="s">
        <v>1836</v>
      </c>
      <c r="E992" s="2" t="s">
        <v>1837</v>
      </c>
      <c r="F992" s="2">
        <v>2.4702199999999999</v>
      </c>
      <c r="G992" s="2">
        <v>5.2844100000000003</v>
      </c>
      <c r="H992" s="2">
        <v>1.0971</v>
      </c>
    </row>
    <row r="993" spans="1:8" x14ac:dyDescent="0.2">
      <c r="A993" s="2" t="s">
        <v>677</v>
      </c>
      <c r="B993" s="2" t="s">
        <v>3190</v>
      </c>
      <c r="C993" s="2" t="s">
        <v>2159</v>
      </c>
      <c r="D993" s="2" t="s">
        <v>1836</v>
      </c>
      <c r="E993" s="2" t="s">
        <v>1838</v>
      </c>
      <c r="F993" s="2">
        <v>0.83784499999999995</v>
      </c>
      <c r="G993" s="2">
        <v>1.79189</v>
      </c>
      <c r="H993" s="2">
        <v>1.09673</v>
      </c>
    </row>
    <row r="994" spans="1:8" x14ac:dyDescent="0.2">
      <c r="A994" s="2" t="s">
        <v>300</v>
      </c>
      <c r="B994" s="2" t="s">
        <v>3015</v>
      </c>
      <c r="C994" s="2" t="s">
        <v>1982</v>
      </c>
      <c r="D994" s="2" t="s">
        <v>1836</v>
      </c>
      <c r="E994" s="2" t="s">
        <v>1837</v>
      </c>
      <c r="F994" s="2">
        <v>2.54827</v>
      </c>
      <c r="G994" s="2">
        <v>5.4491100000000001</v>
      </c>
      <c r="H994" s="2">
        <v>1.0965</v>
      </c>
    </row>
    <row r="995" spans="1:8" x14ac:dyDescent="0.2">
      <c r="A995" s="2" t="s">
        <v>10</v>
      </c>
      <c r="B995" s="2" t="s">
        <v>3278</v>
      </c>
      <c r="C995" s="2" t="s">
        <v>2361</v>
      </c>
      <c r="D995" s="2" t="s">
        <v>1839</v>
      </c>
      <c r="E995" s="2" t="s">
        <v>1840</v>
      </c>
      <c r="F995" s="2">
        <v>5.2357500000000003</v>
      </c>
      <c r="G995" s="2">
        <v>11.190200000000001</v>
      </c>
      <c r="H995" s="2">
        <v>1.0957699999999999</v>
      </c>
    </row>
    <row r="996" spans="1:8" x14ac:dyDescent="0.2">
      <c r="A996" s="2" t="s">
        <v>311</v>
      </c>
      <c r="B996" s="2" t="s">
        <v>3111</v>
      </c>
      <c r="C996" s="2" t="s">
        <v>1988</v>
      </c>
      <c r="D996" s="2" t="s">
        <v>1839</v>
      </c>
      <c r="E996" s="2" t="s">
        <v>1840</v>
      </c>
      <c r="F996" s="2">
        <v>0.44609300000000002</v>
      </c>
      <c r="G996" s="2">
        <v>0.95333000000000001</v>
      </c>
      <c r="H996" s="2">
        <v>1.0956300000000001</v>
      </c>
    </row>
    <row r="997" spans="1:8" x14ac:dyDescent="0.2">
      <c r="A997" s="2" t="s">
        <v>400</v>
      </c>
      <c r="B997" s="2" t="s">
        <v>3015</v>
      </c>
      <c r="C997" s="2" t="s">
        <v>2028</v>
      </c>
      <c r="D997" s="2" t="s">
        <v>1839</v>
      </c>
      <c r="E997" s="2" t="s">
        <v>1841</v>
      </c>
      <c r="F997" s="2">
        <v>0.70577100000000004</v>
      </c>
      <c r="G997" s="2">
        <v>1.50701</v>
      </c>
      <c r="H997" s="2">
        <v>1.0944100000000001</v>
      </c>
    </row>
    <row r="998" spans="1:8" x14ac:dyDescent="0.2">
      <c r="A998" s="2" t="s">
        <v>242</v>
      </c>
      <c r="B998" s="2" t="s">
        <v>3303</v>
      </c>
      <c r="C998" s="2" t="s">
        <v>2428</v>
      </c>
      <c r="D998" s="2" t="s">
        <v>1839</v>
      </c>
      <c r="E998" s="2" t="s">
        <v>1840</v>
      </c>
      <c r="F998" s="2">
        <v>0.72439699999999996</v>
      </c>
      <c r="G998" s="2">
        <v>1.5466200000000001</v>
      </c>
      <c r="H998" s="2">
        <v>1.0942700000000001</v>
      </c>
    </row>
    <row r="999" spans="1:8" x14ac:dyDescent="0.2">
      <c r="A999" s="2" t="s">
        <v>1617</v>
      </c>
      <c r="B999" s="2" t="s">
        <v>3430</v>
      </c>
      <c r="C999" s="2" t="s">
        <v>2780</v>
      </c>
      <c r="D999" s="2" t="s">
        <v>1839</v>
      </c>
      <c r="E999" s="2" t="s">
        <v>1841</v>
      </c>
      <c r="F999" s="2">
        <v>1.6963200000000001</v>
      </c>
      <c r="G999" s="2">
        <v>3.6210800000000001</v>
      </c>
      <c r="H999" s="2">
        <v>1.0940099999999999</v>
      </c>
    </row>
    <row r="1000" spans="1:8" x14ac:dyDescent="0.2">
      <c r="A1000" s="2" t="s">
        <v>535</v>
      </c>
      <c r="B1000" s="2" t="s">
        <v>3100</v>
      </c>
      <c r="C1000" s="2" t="s">
        <v>1847</v>
      </c>
      <c r="D1000" s="2" t="s">
        <v>1836</v>
      </c>
      <c r="E1000" s="2" t="s">
        <v>1837</v>
      </c>
      <c r="F1000" s="2">
        <v>0.89832699999999999</v>
      </c>
      <c r="G1000" s="2">
        <v>1.91737</v>
      </c>
      <c r="H1000" s="2">
        <v>1.0938099999999999</v>
      </c>
    </row>
    <row r="1001" spans="1:8" x14ac:dyDescent="0.2">
      <c r="A1001" s="2" t="s">
        <v>1184</v>
      </c>
      <c r="B1001" s="2" t="s">
        <v>3215</v>
      </c>
      <c r="C1001" s="2" t="s">
        <v>2669</v>
      </c>
      <c r="D1001" s="2" t="s">
        <v>1839</v>
      </c>
      <c r="E1001" s="2" t="s">
        <v>1841</v>
      </c>
      <c r="F1001" s="2">
        <v>1.34727</v>
      </c>
      <c r="G1001" s="2">
        <v>2.87384</v>
      </c>
      <c r="H1001" s="2">
        <v>1.09294</v>
      </c>
    </row>
    <row r="1002" spans="1:8" x14ac:dyDescent="0.2">
      <c r="A1002" s="2" t="s">
        <v>1590</v>
      </c>
      <c r="B1002" s="2" t="s">
        <v>3273</v>
      </c>
      <c r="C1002" s="2" t="s">
        <v>2747</v>
      </c>
      <c r="D1002" s="2" t="s">
        <v>1839</v>
      </c>
      <c r="E1002" s="2" t="s">
        <v>1841</v>
      </c>
      <c r="F1002" s="2">
        <v>0.39851799999999998</v>
      </c>
      <c r="G1002" s="2">
        <v>0.84970900000000005</v>
      </c>
      <c r="H1002" s="2">
        <v>1.09232</v>
      </c>
    </row>
    <row r="1003" spans="1:8" x14ac:dyDescent="0.2">
      <c r="A1003" s="2" t="s">
        <v>714</v>
      </c>
      <c r="B1003" s="2" t="s">
        <v>3015</v>
      </c>
      <c r="C1003" s="2" t="s">
        <v>3016</v>
      </c>
      <c r="D1003" s="2" t="s">
        <v>1836</v>
      </c>
      <c r="E1003" s="2" t="s">
        <v>1838</v>
      </c>
      <c r="F1003" s="2">
        <v>41.402299999999997</v>
      </c>
      <c r="G1003" s="2">
        <v>88.274900000000002</v>
      </c>
      <c r="H1003" s="2">
        <v>1.09229</v>
      </c>
    </row>
    <row r="1004" spans="1:8" x14ac:dyDescent="0.2">
      <c r="A1004" s="2" t="s">
        <v>1387</v>
      </c>
      <c r="B1004" s="2" t="s">
        <v>3015</v>
      </c>
      <c r="C1004" s="2" t="s">
        <v>2564</v>
      </c>
      <c r="D1004" s="2" t="s">
        <v>1836</v>
      </c>
      <c r="E1004" s="2" t="s">
        <v>1838</v>
      </c>
      <c r="F1004" s="2">
        <v>3.1528999999999998</v>
      </c>
      <c r="G1004" s="2">
        <v>6.7159300000000002</v>
      </c>
      <c r="H1004" s="2">
        <v>1.09091</v>
      </c>
    </row>
    <row r="1005" spans="1:8" x14ac:dyDescent="0.2">
      <c r="A1005" s="2" t="s">
        <v>1625</v>
      </c>
      <c r="B1005" s="2" t="s">
        <v>3015</v>
      </c>
      <c r="C1005" s="2" t="s">
        <v>2789</v>
      </c>
      <c r="D1005" s="2" t="s">
        <v>1839</v>
      </c>
      <c r="E1005" s="2" t="s">
        <v>1841</v>
      </c>
      <c r="F1005" s="2">
        <v>1.2562</v>
      </c>
      <c r="G1005" s="2">
        <v>2.6742300000000001</v>
      </c>
      <c r="H1005" s="2">
        <v>1.09006</v>
      </c>
    </row>
    <row r="1006" spans="1:8" x14ac:dyDescent="0.2">
      <c r="A1006" s="2" t="s">
        <v>337</v>
      </c>
      <c r="B1006" s="2" t="s">
        <v>3120</v>
      </c>
      <c r="C1006" s="2" t="s">
        <v>2003</v>
      </c>
      <c r="D1006" s="2" t="s">
        <v>1836</v>
      </c>
      <c r="E1006" s="2" t="s">
        <v>1837</v>
      </c>
      <c r="F1006" s="2">
        <v>0.83150299999999999</v>
      </c>
      <c r="G1006" s="2">
        <v>1.7698199999999999</v>
      </c>
      <c r="H1006" s="2">
        <v>1.0898099999999999</v>
      </c>
    </row>
    <row r="1007" spans="1:8" x14ac:dyDescent="0.2">
      <c r="A1007" s="2" t="s">
        <v>662</v>
      </c>
      <c r="B1007" s="2" t="s">
        <v>3349</v>
      </c>
      <c r="C1007" s="2" t="s">
        <v>2533</v>
      </c>
      <c r="D1007" s="2" t="s">
        <v>1836</v>
      </c>
      <c r="E1007" s="2" t="s">
        <v>1838</v>
      </c>
      <c r="F1007" s="2">
        <v>2.92117</v>
      </c>
      <c r="G1007" s="2">
        <v>6.2160399999999996</v>
      </c>
      <c r="H1007" s="2">
        <v>1.08945</v>
      </c>
    </row>
    <row r="1008" spans="1:8" x14ac:dyDescent="0.2">
      <c r="A1008" s="2" t="s">
        <v>744</v>
      </c>
      <c r="B1008" s="2" t="s">
        <v>3202</v>
      </c>
      <c r="C1008" s="2" t="s">
        <v>1937</v>
      </c>
      <c r="D1008" s="2" t="s">
        <v>1842</v>
      </c>
      <c r="E1008" s="2" t="s">
        <v>1840</v>
      </c>
      <c r="F1008" s="2">
        <v>0.44860499999999998</v>
      </c>
      <c r="G1008" s="2">
        <v>0.95454499999999998</v>
      </c>
      <c r="H1008" s="2">
        <v>1.0893699999999999</v>
      </c>
    </row>
    <row r="1009" spans="1:8" x14ac:dyDescent="0.2">
      <c r="A1009" s="2" t="s">
        <v>1209</v>
      </c>
      <c r="B1009" s="2" t="s">
        <v>3364</v>
      </c>
      <c r="C1009" s="2" t="s">
        <v>2004</v>
      </c>
      <c r="D1009" s="2" t="s">
        <v>1839</v>
      </c>
      <c r="E1009" s="2" t="s">
        <v>1840</v>
      </c>
      <c r="F1009" s="2">
        <v>10.4535</v>
      </c>
      <c r="G1009" s="2">
        <v>22.229900000000001</v>
      </c>
      <c r="H1009" s="2">
        <v>1.0885199999999999</v>
      </c>
    </row>
    <row r="1010" spans="1:8" x14ac:dyDescent="0.2">
      <c r="A1010" s="2" t="s">
        <v>1011</v>
      </c>
      <c r="B1010" s="2" t="s">
        <v>3256</v>
      </c>
      <c r="C1010" s="2" t="s">
        <v>2316</v>
      </c>
      <c r="D1010" s="2" t="s">
        <v>1836</v>
      </c>
      <c r="E1010" s="2" t="s">
        <v>1837</v>
      </c>
      <c r="F1010" s="2">
        <v>7.4150499999999999</v>
      </c>
      <c r="G1010" s="2">
        <v>15.7661</v>
      </c>
      <c r="H1010" s="2">
        <v>1.0883</v>
      </c>
    </row>
    <row r="1011" spans="1:8" x14ac:dyDescent="0.2">
      <c r="A1011" s="2" t="s">
        <v>774</v>
      </c>
      <c r="B1011" s="2" t="s">
        <v>3045</v>
      </c>
      <c r="C1011" s="2" t="s">
        <v>1923</v>
      </c>
      <c r="D1011" s="2" t="s">
        <v>1839</v>
      </c>
      <c r="E1011" s="2" t="s">
        <v>1841</v>
      </c>
      <c r="F1011" s="2">
        <v>2.2259799999999998</v>
      </c>
      <c r="G1011" s="2">
        <v>4.7320399999999996</v>
      </c>
      <c r="H1011" s="2">
        <v>1.08802</v>
      </c>
    </row>
    <row r="1012" spans="1:8" x14ac:dyDescent="0.2">
      <c r="A1012" s="2" t="s">
        <v>708</v>
      </c>
      <c r="B1012" s="2" t="s">
        <v>3015</v>
      </c>
      <c r="C1012" s="2" t="s">
        <v>2856</v>
      </c>
      <c r="D1012" s="2" t="s">
        <v>1839</v>
      </c>
      <c r="E1012" s="2" t="s">
        <v>1841</v>
      </c>
      <c r="F1012" s="2">
        <v>0.72157800000000005</v>
      </c>
      <c r="G1012" s="2">
        <v>1.5330999999999999</v>
      </c>
      <c r="H1012" s="2">
        <v>1.0872299999999999</v>
      </c>
    </row>
    <row r="1013" spans="1:8" x14ac:dyDescent="0.2">
      <c r="A1013" s="2" t="s">
        <v>1420</v>
      </c>
      <c r="B1013" s="2" t="s">
        <v>3470</v>
      </c>
      <c r="C1013" s="2" t="s">
        <v>2742</v>
      </c>
      <c r="D1013" s="2" t="s">
        <v>1839</v>
      </c>
      <c r="E1013" s="2" t="s">
        <v>1841</v>
      </c>
      <c r="F1013" s="2">
        <v>1.0811500000000001</v>
      </c>
      <c r="G1013" s="2">
        <v>2.2970600000000001</v>
      </c>
      <c r="H1013" s="2">
        <v>1.08721</v>
      </c>
    </row>
    <row r="1014" spans="1:8" x14ac:dyDescent="0.2">
      <c r="A1014" s="2" t="s">
        <v>1210</v>
      </c>
      <c r="B1014" s="2" t="s">
        <v>3081</v>
      </c>
      <c r="C1014" s="2" t="s">
        <v>2353</v>
      </c>
      <c r="D1014" s="2" t="s">
        <v>1839</v>
      </c>
      <c r="E1014" s="2" t="s">
        <v>1841</v>
      </c>
      <c r="F1014" s="2">
        <v>2.10982</v>
      </c>
      <c r="G1014" s="2">
        <v>4.4795800000000003</v>
      </c>
      <c r="H1014" s="2">
        <v>1.0862400000000001</v>
      </c>
    </row>
    <row r="1015" spans="1:8" x14ac:dyDescent="0.2">
      <c r="A1015" s="2" t="s">
        <v>1495</v>
      </c>
      <c r="B1015" s="2" t="s">
        <v>3015</v>
      </c>
      <c r="C1015" s="2" t="s">
        <v>2639</v>
      </c>
      <c r="D1015" s="2" t="s">
        <v>1839</v>
      </c>
      <c r="E1015" s="2" t="s">
        <v>1840</v>
      </c>
      <c r="F1015" s="2">
        <v>4.1367599999999998</v>
      </c>
      <c r="G1015" s="2">
        <v>8.7829899999999999</v>
      </c>
      <c r="H1015" s="2">
        <v>1.0862099999999999</v>
      </c>
    </row>
    <row r="1016" spans="1:8" x14ac:dyDescent="0.2">
      <c r="A1016" s="2" t="s">
        <v>884</v>
      </c>
      <c r="B1016" s="2" t="s">
        <v>3067</v>
      </c>
      <c r="C1016" s="2" t="s">
        <v>2254</v>
      </c>
      <c r="D1016" s="2" t="s">
        <v>1839</v>
      </c>
      <c r="E1016" s="2" t="s">
        <v>1841</v>
      </c>
      <c r="F1016" s="2">
        <v>1.6393899999999999</v>
      </c>
      <c r="G1016" s="2">
        <v>3.4804400000000002</v>
      </c>
      <c r="H1016" s="2">
        <v>1.0861099999999999</v>
      </c>
    </row>
    <row r="1017" spans="1:8" x14ac:dyDescent="0.2">
      <c r="A1017" s="2" t="s">
        <v>457</v>
      </c>
      <c r="B1017" s="2" t="s">
        <v>3015</v>
      </c>
      <c r="C1017" s="2" t="s">
        <v>3016</v>
      </c>
      <c r="D1017" s="2" t="s">
        <v>1836</v>
      </c>
      <c r="E1017" s="2" t="s">
        <v>1838</v>
      </c>
      <c r="F1017" s="2">
        <v>1.3376999999999999</v>
      </c>
      <c r="G1017" s="2">
        <v>2.83894</v>
      </c>
      <c r="H1017" s="2">
        <v>1.0855999999999999</v>
      </c>
    </row>
    <row r="1018" spans="1:8" x14ac:dyDescent="0.2">
      <c r="A1018" s="2" t="s">
        <v>74</v>
      </c>
      <c r="B1018" s="2" t="s">
        <v>3027</v>
      </c>
      <c r="C1018" s="2" t="s">
        <v>2640</v>
      </c>
      <c r="D1018" s="2" t="s">
        <v>1839</v>
      </c>
      <c r="E1018" s="2" t="s">
        <v>1841</v>
      </c>
      <c r="F1018" s="2">
        <v>1.57118</v>
      </c>
      <c r="G1018" s="2">
        <v>3.3333499999999998</v>
      </c>
      <c r="H1018" s="2">
        <v>1.0851299999999999</v>
      </c>
    </row>
    <row r="1019" spans="1:8" x14ac:dyDescent="0.2">
      <c r="A1019" s="2" t="s">
        <v>1730</v>
      </c>
      <c r="B1019" s="2" t="s">
        <v>3465</v>
      </c>
      <c r="C1019" s="2" t="s">
        <v>2897</v>
      </c>
      <c r="D1019" s="2" t="s">
        <v>1839</v>
      </c>
      <c r="E1019" s="2" t="s">
        <v>1841</v>
      </c>
      <c r="F1019" s="2">
        <v>0.63943399999999995</v>
      </c>
      <c r="G1019" s="2">
        <v>1.35609</v>
      </c>
      <c r="H1019" s="2">
        <v>1.0845899999999999</v>
      </c>
    </row>
    <row r="1020" spans="1:8" x14ac:dyDescent="0.2">
      <c r="A1020" s="2" t="s">
        <v>1677</v>
      </c>
      <c r="B1020" s="2" t="s">
        <v>3015</v>
      </c>
      <c r="C1020" s="2" t="s">
        <v>2844</v>
      </c>
      <c r="D1020" s="2" t="s">
        <v>1839</v>
      </c>
      <c r="E1020" s="2" t="s">
        <v>1840</v>
      </c>
      <c r="F1020" s="2">
        <v>0.435002</v>
      </c>
      <c r="G1020" s="2">
        <v>0.92246399999999995</v>
      </c>
      <c r="H1020" s="2">
        <v>1.08447</v>
      </c>
    </row>
    <row r="1021" spans="1:8" x14ac:dyDescent="0.2">
      <c r="A1021" s="2" t="s">
        <v>783</v>
      </c>
      <c r="B1021" s="2" t="s">
        <v>3015</v>
      </c>
      <c r="C1021" s="2" t="s">
        <v>2017</v>
      </c>
      <c r="D1021" s="2" t="s">
        <v>1839</v>
      </c>
      <c r="E1021" s="2" t="s">
        <v>1841</v>
      </c>
      <c r="F1021" s="2">
        <v>3.1243599999999998</v>
      </c>
      <c r="G1021" s="2">
        <v>6.6216100000000004</v>
      </c>
      <c r="H1021" s="2">
        <v>1.08362</v>
      </c>
    </row>
    <row r="1022" spans="1:8" x14ac:dyDescent="0.2">
      <c r="A1022" s="2" t="s">
        <v>1078</v>
      </c>
      <c r="B1022" s="2" t="s">
        <v>3267</v>
      </c>
      <c r="C1022" s="2" t="s">
        <v>2348</v>
      </c>
      <c r="D1022" s="2" t="s">
        <v>1839</v>
      </c>
      <c r="E1022" s="2" t="s">
        <v>1841</v>
      </c>
      <c r="F1022" s="2">
        <v>2.11565</v>
      </c>
      <c r="G1022" s="2">
        <v>4.4827399999999997</v>
      </c>
      <c r="H1022" s="2">
        <v>1.08328</v>
      </c>
    </row>
    <row r="1023" spans="1:8" x14ac:dyDescent="0.2">
      <c r="A1023" s="2" t="s">
        <v>50</v>
      </c>
      <c r="B1023" s="2" t="s">
        <v>3249</v>
      </c>
      <c r="C1023" s="2" t="s">
        <v>2631</v>
      </c>
      <c r="D1023" s="2" t="s">
        <v>1839</v>
      </c>
      <c r="E1023" s="2" t="s">
        <v>1841</v>
      </c>
      <c r="F1023" s="2">
        <v>19.522400000000001</v>
      </c>
      <c r="G1023" s="2">
        <v>41.346299999999999</v>
      </c>
      <c r="H1023" s="2">
        <v>1.08263</v>
      </c>
    </row>
    <row r="1024" spans="1:8" x14ac:dyDescent="0.2">
      <c r="A1024" s="2" t="s">
        <v>212</v>
      </c>
      <c r="B1024" s="2" t="s">
        <v>3015</v>
      </c>
      <c r="C1024" s="2" t="s">
        <v>1944</v>
      </c>
      <c r="D1024" s="2" t="s">
        <v>1836</v>
      </c>
      <c r="E1024" s="2" t="s">
        <v>1837</v>
      </c>
      <c r="F1024" s="2">
        <v>964.51700000000005</v>
      </c>
      <c r="G1024" s="2">
        <v>2042.64</v>
      </c>
      <c r="H1024" s="2">
        <v>1.08256</v>
      </c>
    </row>
    <row r="1025" spans="1:8" x14ac:dyDescent="0.2">
      <c r="A1025" s="2" t="s">
        <v>1391</v>
      </c>
      <c r="B1025" s="2" t="s">
        <v>3363</v>
      </c>
      <c r="C1025" s="2" t="s">
        <v>2570</v>
      </c>
      <c r="D1025" s="2" t="s">
        <v>1836</v>
      </c>
      <c r="E1025" s="2" t="s">
        <v>1838</v>
      </c>
      <c r="F1025" s="2">
        <v>3.7051799999999999</v>
      </c>
      <c r="G1025" s="2">
        <v>7.8455199999999996</v>
      </c>
      <c r="H1025" s="2">
        <v>1.0823199999999999</v>
      </c>
    </row>
    <row r="1026" spans="1:8" x14ac:dyDescent="0.2">
      <c r="A1026" s="2" t="s">
        <v>1376</v>
      </c>
      <c r="B1026" s="2" t="s">
        <v>3356</v>
      </c>
      <c r="C1026" s="2" t="s">
        <v>2554</v>
      </c>
      <c r="D1026" s="2" t="s">
        <v>1836</v>
      </c>
      <c r="E1026" s="2" t="s">
        <v>1838</v>
      </c>
      <c r="F1026" s="2">
        <v>3.20777</v>
      </c>
      <c r="G1026" s="2">
        <v>6.7915999999999999</v>
      </c>
      <c r="H1026" s="2">
        <v>1.0821799999999999</v>
      </c>
    </row>
    <row r="1027" spans="1:8" x14ac:dyDescent="0.2">
      <c r="A1027" s="2" t="s">
        <v>1233</v>
      </c>
      <c r="B1027" s="2" t="s">
        <v>3015</v>
      </c>
      <c r="C1027" s="2" t="s">
        <v>1880</v>
      </c>
      <c r="D1027" s="2" t="s">
        <v>1836</v>
      </c>
      <c r="E1027" s="2" t="s">
        <v>1838</v>
      </c>
      <c r="F1027" s="2">
        <v>9.1437299999999997</v>
      </c>
      <c r="G1027" s="2">
        <v>19.3537</v>
      </c>
      <c r="H1027" s="2">
        <v>1.08175</v>
      </c>
    </row>
    <row r="1028" spans="1:8" x14ac:dyDescent="0.2">
      <c r="A1028" s="2" t="s">
        <v>1598</v>
      </c>
      <c r="B1028" s="2" t="s">
        <v>3425</v>
      </c>
      <c r="C1028" s="2" t="s">
        <v>1847</v>
      </c>
      <c r="D1028" s="2" t="s">
        <v>1839</v>
      </c>
      <c r="E1028" s="2" t="s">
        <v>1841</v>
      </c>
      <c r="F1028" s="2">
        <v>1.4422299999999999</v>
      </c>
      <c r="G1028" s="2">
        <v>3.0524200000000001</v>
      </c>
      <c r="H1028" s="2">
        <v>1.08165</v>
      </c>
    </row>
    <row r="1029" spans="1:8" x14ac:dyDescent="0.2">
      <c r="A1029" s="2" t="s">
        <v>29</v>
      </c>
      <c r="B1029" s="2" t="s">
        <v>3031</v>
      </c>
      <c r="C1029" s="2" t="s">
        <v>1856</v>
      </c>
      <c r="D1029" s="2" t="s">
        <v>1836</v>
      </c>
      <c r="E1029" s="2" t="s">
        <v>1838</v>
      </c>
      <c r="F1029" s="2">
        <v>1.19275</v>
      </c>
      <c r="G1029" s="2">
        <v>2.5233400000000001</v>
      </c>
      <c r="H1029" s="2">
        <v>1.08104</v>
      </c>
    </row>
    <row r="1030" spans="1:8" x14ac:dyDescent="0.2">
      <c r="A1030" s="2" t="s">
        <v>11</v>
      </c>
      <c r="B1030" s="2" t="s">
        <v>3385</v>
      </c>
      <c r="C1030" s="2" t="s">
        <v>2613</v>
      </c>
      <c r="D1030" s="2" t="s">
        <v>1839</v>
      </c>
      <c r="E1030" s="2" t="s">
        <v>1841</v>
      </c>
      <c r="F1030" s="2">
        <v>1.6253299999999999</v>
      </c>
      <c r="G1030" s="2">
        <v>3.4377800000000001</v>
      </c>
      <c r="H1030" s="2">
        <v>1.08074</v>
      </c>
    </row>
    <row r="1031" spans="1:8" x14ac:dyDescent="0.2">
      <c r="A1031" s="2" t="s">
        <v>1377</v>
      </c>
      <c r="B1031" s="2" t="s">
        <v>3080</v>
      </c>
      <c r="C1031" s="2" t="s">
        <v>2866</v>
      </c>
      <c r="D1031" s="2" t="s">
        <v>1839</v>
      </c>
      <c r="E1031" s="2" t="s">
        <v>1840</v>
      </c>
      <c r="F1031" s="2">
        <v>0.60714400000000002</v>
      </c>
      <c r="G1031" s="2">
        <v>1.28373</v>
      </c>
      <c r="H1031" s="2">
        <v>1.08023</v>
      </c>
    </row>
    <row r="1032" spans="1:8" x14ac:dyDescent="0.2">
      <c r="A1032" s="2" t="s">
        <v>381</v>
      </c>
      <c r="B1032" s="2" t="s">
        <v>3058</v>
      </c>
      <c r="C1032" s="2" t="s">
        <v>3015</v>
      </c>
      <c r="D1032" s="2" t="s">
        <v>1839</v>
      </c>
      <c r="E1032" s="2" t="s">
        <v>1841</v>
      </c>
      <c r="F1032" s="2">
        <v>2.82795</v>
      </c>
      <c r="G1032" s="2">
        <v>5.9757800000000003</v>
      </c>
      <c r="H1032" s="2">
        <v>1.0793699999999999</v>
      </c>
    </row>
    <row r="1033" spans="1:8" x14ac:dyDescent="0.2">
      <c r="A1033" s="2" t="s">
        <v>1355</v>
      </c>
      <c r="B1033" s="2" t="s">
        <v>3030</v>
      </c>
      <c r="C1033" s="2" t="s">
        <v>3016</v>
      </c>
      <c r="D1033" s="2" t="s">
        <v>1836</v>
      </c>
      <c r="E1033" s="2" t="s">
        <v>1838</v>
      </c>
      <c r="F1033" s="2">
        <v>2.3224499999999999</v>
      </c>
      <c r="G1033" s="2">
        <v>4.9056699999999998</v>
      </c>
      <c r="H1033" s="2">
        <v>1.07881</v>
      </c>
    </row>
    <row r="1034" spans="1:8" x14ac:dyDescent="0.2">
      <c r="A1034" s="2" t="s">
        <v>76</v>
      </c>
      <c r="B1034" s="2" t="s">
        <v>3015</v>
      </c>
      <c r="C1034" s="2" t="s">
        <v>1847</v>
      </c>
      <c r="D1034" s="2" t="s">
        <v>1836</v>
      </c>
      <c r="E1034" s="2" t="s">
        <v>1837</v>
      </c>
      <c r="F1034" s="2">
        <v>104.093</v>
      </c>
      <c r="G1034" s="2">
        <v>219.78299999999999</v>
      </c>
      <c r="H1034" s="2">
        <v>1.0782099999999999</v>
      </c>
    </row>
    <row r="1035" spans="1:8" x14ac:dyDescent="0.2">
      <c r="A1035" s="2" t="s">
        <v>466</v>
      </c>
      <c r="B1035" s="2" t="s">
        <v>3015</v>
      </c>
      <c r="C1035" s="2" t="s">
        <v>2063</v>
      </c>
      <c r="D1035" s="2" t="s">
        <v>1836</v>
      </c>
      <c r="E1035" s="2" t="s">
        <v>1837</v>
      </c>
      <c r="F1035" s="2">
        <v>7.7536300000000002</v>
      </c>
      <c r="G1035" s="2">
        <v>16.366399999999999</v>
      </c>
      <c r="H1035" s="2">
        <v>1.0778000000000001</v>
      </c>
    </row>
    <row r="1036" spans="1:8" x14ac:dyDescent="0.2">
      <c r="A1036" s="2" t="s">
        <v>716</v>
      </c>
      <c r="B1036" s="2" t="s">
        <v>3083</v>
      </c>
      <c r="C1036" s="2" t="s">
        <v>2546</v>
      </c>
      <c r="D1036" s="2" t="s">
        <v>1839</v>
      </c>
      <c r="E1036" s="2" t="s">
        <v>1840</v>
      </c>
      <c r="F1036" s="2">
        <v>5.02677</v>
      </c>
      <c r="G1036" s="2">
        <v>10.6076</v>
      </c>
      <c r="H1036" s="2">
        <v>1.0773999999999999</v>
      </c>
    </row>
    <row r="1037" spans="1:8" x14ac:dyDescent="0.2">
      <c r="A1037" s="2" t="s">
        <v>146</v>
      </c>
      <c r="B1037" s="2" t="s">
        <v>3060</v>
      </c>
      <c r="C1037" s="2" t="s">
        <v>1911</v>
      </c>
      <c r="D1037" s="2" t="s">
        <v>1836</v>
      </c>
      <c r="E1037" s="2" t="s">
        <v>1837</v>
      </c>
      <c r="F1037" s="2">
        <v>6.4335599999999999</v>
      </c>
      <c r="G1037" s="2">
        <v>13.573600000000001</v>
      </c>
      <c r="H1037" s="2">
        <v>1.0771200000000001</v>
      </c>
    </row>
    <row r="1038" spans="1:8" x14ac:dyDescent="0.2">
      <c r="A1038" s="2" t="s">
        <v>150</v>
      </c>
      <c r="B1038" s="2" t="s">
        <v>3015</v>
      </c>
      <c r="C1038" s="2" t="s">
        <v>2409</v>
      </c>
      <c r="D1038" s="2" t="s">
        <v>1839</v>
      </c>
      <c r="E1038" s="2" t="s">
        <v>1840</v>
      </c>
      <c r="F1038" s="2">
        <v>0.62633300000000003</v>
      </c>
      <c r="G1038" s="2">
        <v>1.3210900000000001</v>
      </c>
      <c r="H1038" s="2">
        <v>1.07673</v>
      </c>
    </row>
    <row r="1039" spans="1:8" x14ac:dyDescent="0.2">
      <c r="A1039" s="2" t="s">
        <v>272</v>
      </c>
      <c r="B1039" s="2" t="s">
        <v>3307</v>
      </c>
      <c r="C1039" s="2" t="s">
        <v>2433</v>
      </c>
      <c r="D1039" s="2" t="s">
        <v>1839</v>
      </c>
      <c r="E1039" s="2" t="s">
        <v>1840</v>
      </c>
      <c r="F1039" s="2">
        <v>4.5541499999999999</v>
      </c>
      <c r="G1039" s="2">
        <v>9.6052999999999997</v>
      </c>
      <c r="H1039" s="2">
        <v>1.0766500000000001</v>
      </c>
    </row>
    <row r="1040" spans="1:8" x14ac:dyDescent="0.2">
      <c r="A1040" s="2" t="s">
        <v>1807</v>
      </c>
      <c r="B1040" s="2" t="s">
        <v>3027</v>
      </c>
      <c r="C1040" s="2" t="s">
        <v>2983</v>
      </c>
      <c r="D1040" s="2" t="s">
        <v>1839</v>
      </c>
      <c r="E1040" s="2" t="s">
        <v>1840</v>
      </c>
      <c r="F1040" s="2">
        <v>1.9926699999999999</v>
      </c>
      <c r="G1040" s="2">
        <v>4.2008099999999997</v>
      </c>
      <c r="H1040" s="2">
        <v>1.0759700000000001</v>
      </c>
    </row>
    <row r="1041" spans="1:8" x14ac:dyDescent="0.2">
      <c r="A1041" s="2" t="s">
        <v>440</v>
      </c>
      <c r="B1041" s="2" t="s">
        <v>3138</v>
      </c>
      <c r="C1041" s="2" t="s">
        <v>1847</v>
      </c>
      <c r="D1041" s="2" t="s">
        <v>1836</v>
      </c>
      <c r="E1041" s="2" t="s">
        <v>1838</v>
      </c>
      <c r="F1041" s="2">
        <v>326.73700000000002</v>
      </c>
      <c r="G1041" s="2">
        <v>688.04499999999996</v>
      </c>
      <c r="H1041" s="2">
        <v>1.07437</v>
      </c>
    </row>
    <row r="1042" spans="1:8" x14ac:dyDescent="0.2">
      <c r="A1042" s="2" t="s">
        <v>570</v>
      </c>
      <c r="B1042" s="2" t="s">
        <v>3033</v>
      </c>
      <c r="C1042" s="2" t="s">
        <v>1858</v>
      </c>
      <c r="D1042" s="2" t="s">
        <v>1836</v>
      </c>
      <c r="E1042" s="2" t="s">
        <v>1837</v>
      </c>
      <c r="F1042" s="2">
        <v>0.94239200000000001</v>
      </c>
      <c r="G1042" s="2">
        <v>1.98386</v>
      </c>
      <c r="H1042" s="2">
        <v>1.0739099999999999</v>
      </c>
    </row>
    <row r="1043" spans="1:8" x14ac:dyDescent="0.2">
      <c r="A1043" s="2" t="s">
        <v>962</v>
      </c>
      <c r="B1043" s="2" t="s">
        <v>3245</v>
      </c>
      <c r="C1043" s="2" t="s">
        <v>2590</v>
      </c>
      <c r="D1043" s="2" t="s">
        <v>1839</v>
      </c>
      <c r="E1043" s="2" t="s">
        <v>1841</v>
      </c>
      <c r="F1043" s="2">
        <v>3.03356</v>
      </c>
      <c r="G1043" s="2">
        <v>6.3860599999999996</v>
      </c>
      <c r="H1043" s="2">
        <v>1.0739099999999999</v>
      </c>
    </row>
    <row r="1044" spans="1:8" x14ac:dyDescent="0.2">
      <c r="A1044" s="2" t="s">
        <v>288</v>
      </c>
      <c r="B1044" s="2" t="s">
        <v>3410</v>
      </c>
      <c r="C1044" s="2" t="s">
        <v>2717</v>
      </c>
      <c r="D1044" s="2" t="s">
        <v>1839</v>
      </c>
      <c r="E1044" s="2" t="s">
        <v>1840</v>
      </c>
      <c r="F1044" s="2">
        <v>2.1268799999999999</v>
      </c>
      <c r="G1044" s="2">
        <v>4.47722</v>
      </c>
      <c r="H1044" s="2">
        <v>1.07386</v>
      </c>
    </row>
    <row r="1045" spans="1:8" x14ac:dyDescent="0.2">
      <c r="A1045" s="2" t="s">
        <v>999</v>
      </c>
      <c r="B1045" s="2" t="s">
        <v>3478</v>
      </c>
      <c r="C1045" s="2" t="s">
        <v>2943</v>
      </c>
      <c r="D1045" s="2" t="s">
        <v>1839</v>
      </c>
      <c r="E1045" s="2" t="s">
        <v>1840</v>
      </c>
      <c r="F1045" s="2">
        <v>0.60204199999999997</v>
      </c>
      <c r="G1045" s="2">
        <v>1.26708</v>
      </c>
      <c r="H1045" s="2">
        <v>1.07358</v>
      </c>
    </row>
    <row r="1046" spans="1:8" x14ac:dyDescent="0.2">
      <c r="A1046" s="2" t="s">
        <v>629</v>
      </c>
      <c r="B1046" s="2" t="s">
        <v>3015</v>
      </c>
      <c r="C1046" s="2" t="s">
        <v>2136</v>
      </c>
      <c r="D1046" s="2" t="s">
        <v>1836</v>
      </c>
      <c r="E1046" s="2" t="s">
        <v>1837</v>
      </c>
      <c r="F1046" s="2">
        <v>0.43507899999999999</v>
      </c>
      <c r="G1046" s="2">
        <v>0.91546899999999998</v>
      </c>
      <c r="H1046" s="2">
        <v>1.0732299999999999</v>
      </c>
    </row>
    <row r="1047" spans="1:8" x14ac:dyDescent="0.2">
      <c r="A1047" s="2" t="s">
        <v>52</v>
      </c>
      <c r="B1047" s="2" t="s">
        <v>3015</v>
      </c>
      <c r="C1047" s="2" t="s">
        <v>2377</v>
      </c>
      <c r="D1047" s="2" t="s">
        <v>1836</v>
      </c>
      <c r="E1047" s="2" t="s">
        <v>1838</v>
      </c>
      <c r="F1047" s="2">
        <v>1.27573</v>
      </c>
      <c r="G1047" s="2">
        <v>2.6837</v>
      </c>
      <c r="H1047" s="2">
        <v>1.0729</v>
      </c>
    </row>
    <row r="1048" spans="1:8" x14ac:dyDescent="0.2">
      <c r="A1048" s="2" t="s">
        <v>25</v>
      </c>
      <c r="B1048" s="2" t="s">
        <v>3029</v>
      </c>
      <c r="C1048" s="2" t="s">
        <v>1853</v>
      </c>
      <c r="D1048" s="2" t="s">
        <v>1836</v>
      </c>
      <c r="E1048" s="2" t="s">
        <v>1837</v>
      </c>
      <c r="F1048" s="2">
        <v>13.486599999999999</v>
      </c>
      <c r="G1048" s="2">
        <v>28.3658</v>
      </c>
      <c r="H1048" s="2">
        <v>1.07263</v>
      </c>
    </row>
    <row r="1049" spans="1:8" x14ac:dyDescent="0.2">
      <c r="A1049" s="2" t="s">
        <v>57</v>
      </c>
      <c r="B1049" s="2" t="s">
        <v>3041</v>
      </c>
      <c r="C1049" s="2" t="s">
        <v>3015</v>
      </c>
      <c r="D1049" s="2" t="s">
        <v>1836</v>
      </c>
      <c r="E1049" s="2" t="s">
        <v>1837</v>
      </c>
      <c r="F1049" s="2">
        <v>222.816</v>
      </c>
      <c r="G1049" s="2">
        <v>468.31900000000002</v>
      </c>
      <c r="H1049" s="2">
        <v>1.0716399999999999</v>
      </c>
    </row>
    <row r="1050" spans="1:8" x14ac:dyDescent="0.2">
      <c r="A1050" s="2" t="s">
        <v>448</v>
      </c>
      <c r="B1050" s="2" t="s">
        <v>3045</v>
      </c>
      <c r="C1050" s="2" t="s">
        <v>2052</v>
      </c>
      <c r="D1050" s="2" t="s">
        <v>1836</v>
      </c>
      <c r="E1050" s="2" t="s">
        <v>1837</v>
      </c>
      <c r="F1050" s="2">
        <v>8.6323699999999999</v>
      </c>
      <c r="G1050" s="2">
        <v>18.130500000000001</v>
      </c>
      <c r="H1050" s="2">
        <v>1.0705899999999999</v>
      </c>
    </row>
    <row r="1051" spans="1:8" x14ac:dyDescent="0.2">
      <c r="A1051" s="2" t="s">
        <v>740</v>
      </c>
      <c r="B1051" s="2" t="s">
        <v>3200</v>
      </c>
      <c r="C1051" s="2" t="s">
        <v>2001</v>
      </c>
      <c r="D1051" s="2" t="s">
        <v>1836</v>
      </c>
      <c r="E1051" s="2" t="s">
        <v>1837</v>
      </c>
      <c r="F1051" s="2">
        <v>21.859400000000001</v>
      </c>
      <c r="G1051" s="2">
        <v>45.911200000000001</v>
      </c>
      <c r="H1051" s="2">
        <v>1.0705899999999999</v>
      </c>
    </row>
    <row r="1052" spans="1:8" x14ac:dyDescent="0.2">
      <c r="A1052" s="2" t="s">
        <v>1522</v>
      </c>
      <c r="B1052" s="2" t="s">
        <v>3015</v>
      </c>
      <c r="C1052" s="2" t="s">
        <v>2675</v>
      </c>
      <c r="D1052" s="2" t="s">
        <v>1839</v>
      </c>
      <c r="E1052" s="2" t="s">
        <v>1841</v>
      </c>
      <c r="F1052" s="2">
        <v>4.1999500000000003</v>
      </c>
      <c r="G1052" s="2">
        <v>8.8174799999999998</v>
      </c>
      <c r="H1052" s="2">
        <v>1.06999</v>
      </c>
    </row>
    <row r="1053" spans="1:8" x14ac:dyDescent="0.2">
      <c r="A1053" s="2" t="s">
        <v>1634</v>
      </c>
      <c r="B1053" s="2" t="s">
        <v>3129</v>
      </c>
      <c r="C1053" s="2" t="s">
        <v>2797</v>
      </c>
      <c r="D1053" s="2" t="s">
        <v>1839</v>
      </c>
      <c r="E1053" s="2" t="s">
        <v>1841</v>
      </c>
      <c r="F1053" s="2">
        <v>4.5910000000000002</v>
      </c>
      <c r="G1053" s="2">
        <v>9.6365499999999997</v>
      </c>
      <c r="H1053" s="2">
        <v>1.0697099999999999</v>
      </c>
    </row>
    <row r="1054" spans="1:8" x14ac:dyDescent="0.2">
      <c r="A1054" s="2" t="s">
        <v>1511</v>
      </c>
      <c r="B1054" s="2" t="s">
        <v>3287</v>
      </c>
      <c r="C1054" s="2" t="s">
        <v>2045</v>
      </c>
      <c r="D1054" s="2" t="s">
        <v>1839</v>
      </c>
      <c r="E1054" s="2" t="s">
        <v>1841</v>
      </c>
      <c r="F1054" s="2">
        <v>1.1180300000000001</v>
      </c>
      <c r="G1054" s="2">
        <v>2.34552</v>
      </c>
      <c r="H1054" s="2">
        <v>1.0689500000000001</v>
      </c>
    </row>
    <row r="1055" spans="1:8" x14ac:dyDescent="0.2">
      <c r="A1055" s="2" t="s">
        <v>433</v>
      </c>
      <c r="B1055" s="2" t="s">
        <v>3015</v>
      </c>
      <c r="C1055" s="2" t="s">
        <v>2045</v>
      </c>
      <c r="D1055" s="2" t="s">
        <v>1839</v>
      </c>
      <c r="E1055" s="2" t="s">
        <v>1840</v>
      </c>
      <c r="F1055" s="2">
        <v>2.0567600000000001</v>
      </c>
      <c r="G1055" s="2">
        <v>4.3145899999999999</v>
      </c>
      <c r="H1055" s="2">
        <v>1.0688500000000001</v>
      </c>
    </row>
    <row r="1056" spans="1:8" x14ac:dyDescent="0.2">
      <c r="A1056" s="2" t="s">
        <v>908</v>
      </c>
      <c r="B1056" s="2" t="s">
        <v>3015</v>
      </c>
      <c r="C1056" s="2" t="s">
        <v>2916</v>
      </c>
      <c r="D1056" s="2" t="s">
        <v>1839</v>
      </c>
      <c r="E1056" s="2" t="s">
        <v>1840</v>
      </c>
      <c r="F1056" s="2">
        <v>2.0800700000000001</v>
      </c>
      <c r="G1056" s="2">
        <v>4.36233</v>
      </c>
      <c r="H1056" s="2">
        <v>1.06846</v>
      </c>
    </row>
    <row r="1057" spans="1:8" x14ac:dyDescent="0.2">
      <c r="A1057" s="2" t="s">
        <v>389</v>
      </c>
      <c r="B1057" s="2" t="s">
        <v>3015</v>
      </c>
      <c r="C1057" s="2" t="s">
        <v>2024</v>
      </c>
      <c r="D1057" s="2" t="s">
        <v>1836</v>
      </c>
      <c r="E1057" s="2" t="s">
        <v>1838</v>
      </c>
      <c r="F1057" s="2">
        <v>2.2618100000000001</v>
      </c>
      <c r="G1057" s="2">
        <v>4.7413499999999997</v>
      </c>
      <c r="H1057" s="2">
        <v>1.06782</v>
      </c>
    </row>
    <row r="1058" spans="1:8" x14ac:dyDescent="0.2">
      <c r="A1058" s="2" t="s">
        <v>1467</v>
      </c>
      <c r="B1058" s="2" t="s">
        <v>3383</v>
      </c>
      <c r="C1058" s="2" t="s">
        <v>3016</v>
      </c>
      <c r="D1058" s="2" t="s">
        <v>1836</v>
      </c>
      <c r="E1058" s="2" t="s">
        <v>1838</v>
      </c>
      <c r="F1058" s="2">
        <v>18.880099999999999</v>
      </c>
      <c r="G1058" s="2">
        <v>39.562199999999997</v>
      </c>
      <c r="H1058" s="2">
        <v>1.06725</v>
      </c>
    </row>
    <row r="1059" spans="1:8" x14ac:dyDescent="0.2">
      <c r="A1059" s="2" t="s">
        <v>681</v>
      </c>
      <c r="B1059" s="2" t="s">
        <v>3015</v>
      </c>
      <c r="C1059" s="2" t="s">
        <v>3015</v>
      </c>
      <c r="D1059" s="2" t="s">
        <v>1839</v>
      </c>
      <c r="E1059" s="2" t="s">
        <v>1840</v>
      </c>
      <c r="F1059" s="2">
        <v>0.92162699999999997</v>
      </c>
      <c r="G1059" s="2">
        <v>1.93092</v>
      </c>
      <c r="H1059" s="2">
        <v>1.0670299999999999</v>
      </c>
    </row>
    <row r="1060" spans="1:8" x14ac:dyDescent="0.2">
      <c r="A1060" s="2" t="s">
        <v>1005</v>
      </c>
      <c r="B1060" s="2" t="s">
        <v>3255</v>
      </c>
      <c r="C1060" s="2" t="s">
        <v>2313</v>
      </c>
      <c r="D1060" s="2" t="s">
        <v>1836</v>
      </c>
      <c r="E1060" s="2" t="s">
        <v>1837</v>
      </c>
      <c r="F1060" s="2">
        <v>0.75341000000000002</v>
      </c>
      <c r="G1060" s="2">
        <v>1.5782700000000001</v>
      </c>
      <c r="H1060" s="2">
        <v>1.06684</v>
      </c>
    </row>
    <row r="1061" spans="1:8" x14ac:dyDescent="0.2">
      <c r="A1061" s="2" t="s">
        <v>1314</v>
      </c>
      <c r="B1061" s="2" t="s">
        <v>3015</v>
      </c>
      <c r="C1061" s="2" t="s">
        <v>2813</v>
      </c>
      <c r="D1061" s="2" t="s">
        <v>1839</v>
      </c>
      <c r="E1061" s="2" t="s">
        <v>1841</v>
      </c>
      <c r="F1061" s="2">
        <v>1.83457</v>
      </c>
      <c r="G1061" s="2">
        <v>3.84307</v>
      </c>
      <c r="H1061" s="2">
        <v>1.06681</v>
      </c>
    </row>
    <row r="1062" spans="1:8" x14ac:dyDescent="0.2">
      <c r="A1062" s="2" t="s">
        <v>1129</v>
      </c>
      <c r="B1062" s="2" t="s">
        <v>3280</v>
      </c>
      <c r="C1062" s="2" t="s">
        <v>2364</v>
      </c>
      <c r="D1062" s="2" t="s">
        <v>1839</v>
      </c>
      <c r="E1062" s="2" t="s">
        <v>1841</v>
      </c>
      <c r="F1062" s="2">
        <v>0.98850700000000002</v>
      </c>
      <c r="G1062" s="2">
        <v>2.07043</v>
      </c>
      <c r="H1062" s="2">
        <v>1.0666100000000001</v>
      </c>
    </row>
    <row r="1063" spans="1:8" x14ac:dyDescent="0.2">
      <c r="A1063" s="2" t="s">
        <v>1687</v>
      </c>
      <c r="B1063" s="2" t="s">
        <v>3455</v>
      </c>
      <c r="C1063" s="2" t="s">
        <v>1948</v>
      </c>
      <c r="D1063" s="2" t="s">
        <v>1839</v>
      </c>
      <c r="E1063" s="2" t="s">
        <v>1841</v>
      </c>
      <c r="F1063" s="2">
        <v>1.66523</v>
      </c>
      <c r="G1063" s="2">
        <v>3.48421</v>
      </c>
      <c r="H1063" s="2">
        <v>1.06511</v>
      </c>
    </row>
    <row r="1064" spans="1:8" x14ac:dyDescent="0.2">
      <c r="A1064" s="2" t="s">
        <v>256</v>
      </c>
      <c r="B1064" s="2" t="s">
        <v>3066</v>
      </c>
      <c r="C1064" s="2" t="s">
        <v>2697</v>
      </c>
      <c r="D1064" s="2" t="s">
        <v>1839</v>
      </c>
      <c r="E1064" s="2" t="s">
        <v>1841</v>
      </c>
      <c r="F1064" s="2">
        <v>0.72498899999999999</v>
      </c>
      <c r="G1064" s="2">
        <v>1.5168699999999999</v>
      </c>
      <c r="H1064" s="2">
        <v>1.06507</v>
      </c>
    </row>
    <row r="1065" spans="1:8" x14ac:dyDescent="0.2">
      <c r="A1065" s="2" t="s">
        <v>21</v>
      </c>
      <c r="B1065" s="2" t="s">
        <v>3093</v>
      </c>
      <c r="C1065" s="2" t="s">
        <v>2617</v>
      </c>
      <c r="D1065" s="2" t="s">
        <v>1839</v>
      </c>
      <c r="E1065" s="2" t="s">
        <v>1841</v>
      </c>
      <c r="F1065" s="2">
        <v>11.6166</v>
      </c>
      <c r="G1065" s="2">
        <v>24.296299999999999</v>
      </c>
      <c r="H1065" s="2">
        <v>1.0645500000000001</v>
      </c>
    </row>
    <row r="1066" spans="1:8" x14ac:dyDescent="0.2">
      <c r="A1066" s="2" t="s">
        <v>1639</v>
      </c>
      <c r="B1066" s="2" t="s">
        <v>3025</v>
      </c>
      <c r="C1066" s="2" t="s">
        <v>2805</v>
      </c>
      <c r="D1066" s="2" t="s">
        <v>1839</v>
      </c>
      <c r="E1066" s="2" t="s">
        <v>1840</v>
      </c>
      <c r="F1066" s="2">
        <v>0.66335900000000003</v>
      </c>
      <c r="G1066" s="2">
        <v>1.38724</v>
      </c>
      <c r="H1066" s="2">
        <v>1.0643499999999999</v>
      </c>
    </row>
    <row r="1067" spans="1:8" x14ac:dyDescent="0.2">
      <c r="A1067" s="2" t="s">
        <v>944</v>
      </c>
      <c r="B1067" s="2" t="s">
        <v>3093</v>
      </c>
      <c r="C1067" s="2" t="s">
        <v>2928</v>
      </c>
      <c r="D1067" s="2" t="s">
        <v>1839</v>
      </c>
      <c r="E1067" s="2" t="s">
        <v>1841</v>
      </c>
      <c r="F1067" s="2">
        <v>3.78843</v>
      </c>
      <c r="G1067" s="2">
        <v>7.9215499999999999</v>
      </c>
      <c r="H1067" s="2">
        <v>1.0641799999999999</v>
      </c>
    </row>
    <row r="1068" spans="1:8" x14ac:dyDescent="0.2">
      <c r="A1068" s="2" t="s">
        <v>1531</v>
      </c>
      <c r="B1068" s="2" t="s">
        <v>3364</v>
      </c>
      <c r="C1068" s="2" t="s">
        <v>2682</v>
      </c>
      <c r="D1068" s="2" t="s">
        <v>1839</v>
      </c>
      <c r="E1068" s="2" t="s">
        <v>1841</v>
      </c>
      <c r="F1068" s="2">
        <v>258.851</v>
      </c>
      <c r="G1068" s="2">
        <v>540.82399999999996</v>
      </c>
      <c r="H1068" s="2">
        <v>1.06304</v>
      </c>
    </row>
    <row r="1069" spans="1:8" x14ac:dyDescent="0.2">
      <c r="A1069" s="2" t="s">
        <v>1425</v>
      </c>
      <c r="B1069" s="2" t="s">
        <v>3081</v>
      </c>
      <c r="C1069" s="2" t="s">
        <v>1965</v>
      </c>
      <c r="D1069" s="2" t="s">
        <v>1839</v>
      </c>
      <c r="E1069" s="2" t="s">
        <v>1840</v>
      </c>
      <c r="F1069" s="2">
        <v>0.75607899999999995</v>
      </c>
      <c r="G1069" s="2">
        <v>1.5794900000000001</v>
      </c>
      <c r="H1069" s="2">
        <v>1.0628500000000001</v>
      </c>
    </row>
    <row r="1070" spans="1:8" x14ac:dyDescent="0.2">
      <c r="A1070" s="2" t="s">
        <v>239</v>
      </c>
      <c r="B1070" s="2" t="s">
        <v>3489</v>
      </c>
      <c r="C1070" s="2" t="s">
        <v>2984</v>
      </c>
      <c r="D1070" s="2" t="s">
        <v>1839</v>
      </c>
      <c r="E1070" s="2" t="s">
        <v>1840</v>
      </c>
      <c r="F1070" s="2">
        <v>0.42350199999999999</v>
      </c>
      <c r="G1070" s="2">
        <v>0.88427800000000001</v>
      </c>
      <c r="H1070" s="2">
        <v>1.06213</v>
      </c>
    </row>
    <row r="1071" spans="1:8" x14ac:dyDescent="0.2">
      <c r="A1071" s="2" t="s">
        <v>869</v>
      </c>
      <c r="B1071" s="2" t="s">
        <v>3228</v>
      </c>
      <c r="C1071" s="2" t="s">
        <v>2245</v>
      </c>
      <c r="D1071" s="2" t="s">
        <v>1836</v>
      </c>
      <c r="E1071" s="2" t="s">
        <v>1837</v>
      </c>
      <c r="F1071" s="2">
        <v>9.0985600000000009</v>
      </c>
      <c r="G1071" s="2">
        <v>18.994599999999998</v>
      </c>
      <c r="H1071" s="2">
        <v>1.0618799999999999</v>
      </c>
    </row>
    <row r="1072" spans="1:8" x14ac:dyDescent="0.2">
      <c r="A1072" s="2" t="s">
        <v>1640</v>
      </c>
      <c r="B1072" s="2" t="s">
        <v>3015</v>
      </c>
      <c r="C1072" s="2" t="s">
        <v>3016</v>
      </c>
      <c r="D1072" s="2" t="s">
        <v>1839</v>
      </c>
      <c r="E1072" s="2" t="s">
        <v>1840</v>
      </c>
      <c r="F1072" s="2">
        <v>0.47049099999999999</v>
      </c>
      <c r="G1072" s="2">
        <v>0.98170299999999999</v>
      </c>
      <c r="H1072" s="2">
        <v>1.0611200000000001</v>
      </c>
    </row>
    <row r="1073" spans="1:8" x14ac:dyDescent="0.2">
      <c r="A1073" s="2" t="s">
        <v>88</v>
      </c>
      <c r="B1073" s="2" t="s">
        <v>3030</v>
      </c>
      <c r="C1073" s="2" t="s">
        <v>2648</v>
      </c>
      <c r="D1073" s="2" t="s">
        <v>1839</v>
      </c>
      <c r="E1073" s="2" t="s">
        <v>1841</v>
      </c>
      <c r="F1073" s="2">
        <v>0.65366900000000006</v>
      </c>
      <c r="G1073" s="2">
        <v>1.3627400000000001</v>
      </c>
      <c r="H1073" s="2">
        <v>1.0598799999999999</v>
      </c>
    </row>
    <row r="1074" spans="1:8" x14ac:dyDescent="0.2">
      <c r="A1074" s="2" t="s">
        <v>563</v>
      </c>
      <c r="B1074" s="2" t="s">
        <v>3015</v>
      </c>
      <c r="C1074" s="2" t="s">
        <v>2108</v>
      </c>
      <c r="D1074" s="2" t="s">
        <v>1836</v>
      </c>
      <c r="E1074" s="2" t="s">
        <v>1837</v>
      </c>
      <c r="F1074" s="2">
        <v>2.34761</v>
      </c>
      <c r="G1074" s="2">
        <v>4.8894399999999996</v>
      </c>
      <c r="H1074" s="2">
        <v>1.0584800000000001</v>
      </c>
    </row>
    <row r="1075" spans="1:8" x14ac:dyDescent="0.2">
      <c r="A1075" s="2" t="s">
        <v>652</v>
      </c>
      <c r="B1075" s="2" t="s">
        <v>3183</v>
      </c>
      <c r="C1075" s="2" t="s">
        <v>2148</v>
      </c>
      <c r="D1075" s="2" t="s">
        <v>1836</v>
      </c>
      <c r="E1075" s="2" t="s">
        <v>1837</v>
      </c>
      <c r="F1075" s="2">
        <v>30.337499999999999</v>
      </c>
      <c r="G1075" s="2">
        <v>63.146000000000001</v>
      </c>
      <c r="H1075" s="2">
        <v>1.05759</v>
      </c>
    </row>
    <row r="1076" spans="1:8" x14ac:dyDescent="0.2">
      <c r="A1076" s="2" t="s">
        <v>1721</v>
      </c>
      <c r="B1076" s="2" t="s">
        <v>3015</v>
      </c>
      <c r="C1076" s="2" t="s">
        <v>1862</v>
      </c>
      <c r="D1076" s="2" t="s">
        <v>1839</v>
      </c>
      <c r="E1076" s="2" t="s">
        <v>1841</v>
      </c>
      <c r="F1076" s="2">
        <v>1.7065999999999999</v>
      </c>
      <c r="G1076" s="2">
        <v>3.5513599999999999</v>
      </c>
      <c r="H1076" s="2">
        <v>1.05724</v>
      </c>
    </row>
    <row r="1077" spans="1:8" x14ac:dyDescent="0.2">
      <c r="A1077" s="2" t="s">
        <v>1760</v>
      </c>
      <c r="B1077" s="2" t="s">
        <v>3015</v>
      </c>
      <c r="C1077" s="2" t="s">
        <v>3016</v>
      </c>
      <c r="D1077" s="2" t="s">
        <v>1839</v>
      </c>
      <c r="E1077" s="2" t="s">
        <v>1841</v>
      </c>
      <c r="F1077" s="2">
        <v>0.83521000000000001</v>
      </c>
      <c r="G1077" s="2">
        <v>1.7380100000000001</v>
      </c>
      <c r="H1077" s="2">
        <v>1.0572299999999999</v>
      </c>
    </row>
    <row r="1078" spans="1:8" x14ac:dyDescent="0.2">
      <c r="A1078" s="2" t="s">
        <v>206</v>
      </c>
      <c r="B1078" s="2" t="s">
        <v>3084</v>
      </c>
      <c r="C1078" s="2" t="s">
        <v>1941</v>
      </c>
      <c r="D1078" s="2" t="s">
        <v>1839</v>
      </c>
      <c r="E1078" s="2" t="s">
        <v>1840</v>
      </c>
      <c r="F1078" s="2">
        <v>2.09002</v>
      </c>
      <c r="G1078" s="2">
        <v>4.3453999999999997</v>
      </c>
      <c r="H1078" s="2">
        <v>1.0559799999999999</v>
      </c>
    </row>
    <row r="1079" spans="1:8" x14ac:dyDescent="0.2">
      <c r="A1079" s="2" t="s">
        <v>1144</v>
      </c>
      <c r="B1079" s="2" t="s">
        <v>3171</v>
      </c>
      <c r="C1079" s="2" t="s">
        <v>2376</v>
      </c>
      <c r="D1079" s="2" t="s">
        <v>1836</v>
      </c>
      <c r="E1079" s="2" t="s">
        <v>1838</v>
      </c>
      <c r="F1079" s="2">
        <v>0.38331100000000001</v>
      </c>
      <c r="G1079" s="2">
        <v>0.79693800000000004</v>
      </c>
      <c r="H1079" s="2">
        <v>1.0559499999999999</v>
      </c>
    </row>
    <row r="1080" spans="1:8" x14ac:dyDescent="0.2">
      <c r="A1080" s="2" t="s">
        <v>315</v>
      </c>
      <c r="B1080" s="2" t="s">
        <v>3015</v>
      </c>
      <c r="C1080" s="2" t="s">
        <v>1990</v>
      </c>
      <c r="D1080" s="2" t="s">
        <v>1839</v>
      </c>
      <c r="E1080" s="2" t="s">
        <v>1841</v>
      </c>
      <c r="F1080" s="2">
        <v>14.3134</v>
      </c>
      <c r="G1080" s="2">
        <v>29.745799999999999</v>
      </c>
      <c r="H1080" s="2">
        <v>1.05531</v>
      </c>
    </row>
    <row r="1081" spans="1:8" x14ac:dyDescent="0.2">
      <c r="A1081" s="2" t="s">
        <v>326</v>
      </c>
      <c r="B1081" s="2" t="s">
        <v>3015</v>
      </c>
      <c r="C1081" s="2" t="s">
        <v>1996</v>
      </c>
      <c r="D1081" s="2" t="s">
        <v>1836</v>
      </c>
      <c r="E1081" s="2" t="s">
        <v>1837</v>
      </c>
      <c r="F1081" s="2">
        <v>5.6394900000000003</v>
      </c>
      <c r="G1081" s="2">
        <v>11.7193</v>
      </c>
      <c r="H1081" s="2">
        <v>1.05525</v>
      </c>
    </row>
    <row r="1082" spans="1:8" x14ac:dyDescent="0.2">
      <c r="A1082" s="2" t="s">
        <v>1645</v>
      </c>
      <c r="B1082" s="2" t="s">
        <v>3442</v>
      </c>
      <c r="C1082" s="2" t="s">
        <v>2812</v>
      </c>
      <c r="D1082" s="2" t="s">
        <v>1839</v>
      </c>
      <c r="E1082" s="2" t="s">
        <v>1841</v>
      </c>
      <c r="F1082" s="2">
        <v>0.55517899999999998</v>
      </c>
      <c r="G1082" s="2">
        <v>1.1534599999999999</v>
      </c>
      <c r="H1082" s="2">
        <v>1.05494</v>
      </c>
    </row>
    <row r="1083" spans="1:8" x14ac:dyDescent="0.2">
      <c r="A1083" s="2" t="s">
        <v>1478</v>
      </c>
      <c r="B1083" s="2" t="s">
        <v>3076</v>
      </c>
      <c r="C1083" s="2" t="s">
        <v>2619</v>
      </c>
      <c r="D1083" s="2" t="s">
        <v>1839</v>
      </c>
      <c r="E1083" s="2" t="s">
        <v>1841</v>
      </c>
      <c r="F1083" s="2">
        <v>0.89700599999999997</v>
      </c>
      <c r="G1083" s="2">
        <v>1.8630199999999999</v>
      </c>
      <c r="H1083" s="2">
        <v>1.0544500000000001</v>
      </c>
    </row>
    <row r="1084" spans="1:8" x14ac:dyDescent="0.2">
      <c r="A1084" s="2" t="s">
        <v>1176</v>
      </c>
      <c r="B1084" s="2" t="s">
        <v>3015</v>
      </c>
      <c r="C1084" s="2" t="s">
        <v>3015</v>
      </c>
      <c r="D1084" s="2" t="s">
        <v>1836</v>
      </c>
      <c r="E1084" s="2" t="s">
        <v>1838</v>
      </c>
      <c r="F1084" s="2">
        <v>2.88089</v>
      </c>
      <c r="G1084" s="2">
        <v>5.9770799999999999</v>
      </c>
      <c r="H1084" s="2">
        <v>1.0529200000000001</v>
      </c>
    </row>
    <row r="1085" spans="1:8" x14ac:dyDescent="0.2">
      <c r="A1085" s="2" t="s">
        <v>1536</v>
      </c>
      <c r="B1085" s="2" t="s">
        <v>3015</v>
      </c>
      <c r="C1085" s="2" t="s">
        <v>2697</v>
      </c>
      <c r="D1085" s="2" t="s">
        <v>1839</v>
      </c>
      <c r="E1085" s="2" t="s">
        <v>1840</v>
      </c>
      <c r="F1085" s="2">
        <v>0.65427900000000005</v>
      </c>
      <c r="G1085" s="2">
        <v>1.3574299999999999</v>
      </c>
      <c r="H1085" s="2">
        <v>1.0528999999999999</v>
      </c>
    </row>
    <row r="1086" spans="1:8" x14ac:dyDescent="0.2">
      <c r="A1086" s="2" t="s">
        <v>693</v>
      </c>
      <c r="B1086" s="2" t="s">
        <v>3015</v>
      </c>
      <c r="C1086" s="2" t="s">
        <v>2846</v>
      </c>
      <c r="D1086" s="2" t="s">
        <v>1839</v>
      </c>
      <c r="E1086" s="2" t="s">
        <v>1841</v>
      </c>
      <c r="F1086" s="2">
        <v>2.2431100000000002</v>
      </c>
      <c r="G1086" s="2">
        <v>4.6532999999999998</v>
      </c>
      <c r="H1086" s="2">
        <v>1.0527500000000001</v>
      </c>
    </row>
    <row r="1087" spans="1:8" x14ac:dyDescent="0.2">
      <c r="A1087" s="2" t="s">
        <v>478</v>
      </c>
      <c r="B1087" s="2" t="s">
        <v>3089</v>
      </c>
      <c r="C1087" s="2" t="s">
        <v>2775</v>
      </c>
      <c r="D1087" s="2" t="s">
        <v>1839</v>
      </c>
      <c r="E1087" s="2" t="s">
        <v>1841</v>
      </c>
      <c r="F1087" s="2">
        <v>6.7660900000000002</v>
      </c>
      <c r="G1087" s="2">
        <v>14.035500000000001</v>
      </c>
      <c r="H1087" s="2">
        <v>1.0526800000000001</v>
      </c>
    </row>
    <row r="1088" spans="1:8" x14ac:dyDescent="0.2">
      <c r="A1088" s="2" t="s">
        <v>421</v>
      </c>
      <c r="B1088" s="2" t="s">
        <v>3038</v>
      </c>
      <c r="C1088" s="2" t="s">
        <v>2475</v>
      </c>
      <c r="D1088" s="2" t="s">
        <v>1836</v>
      </c>
      <c r="E1088" s="2" t="s">
        <v>1838</v>
      </c>
      <c r="F1088" s="2">
        <v>3.9441999999999999</v>
      </c>
      <c r="G1088" s="2">
        <v>8.1803500000000007</v>
      </c>
      <c r="H1088" s="2">
        <v>1.05243</v>
      </c>
    </row>
    <row r="1089" spans="1:8" x14ac:dyDescent="0.2">
      <c r="A1089" s="2" t="s">
        <v>1796</v>
      </c>
      <c r="B1089" s="2" t="s">
        <v>3015</v>
      </c>
      <c r="C1089" s="2" t="s">
        <v>1914</v>
      </c>
      <c r="D1089" s="2" t="s">
        <v>1839</v>
      </c>
      <c r="E1089" s="2" t="s">
        <v>1841</v>
      </c>
      <c r="F1089" s="2">
        <v>1.15368</v>
      </c>
      <c r="G1089" s="2">
        <v>2.3908999999999998</v>
      </c>
      <c r="H1089" s="2">
        <v>1.05131</v>
      </c>
    </row>
    <row r="1090" spans="1:8" x14ac:dyDescent="0.2">
      <c r="A1090" s="2" t="s">
        <v>618</v>
      </c>
      <c r="B1090" s="2" t="s">
        <v>3015</v>
      </c>
      <c r="C1090" s="2" t="s">
        <v>2817</v>
      </c>
      <c r="D1090" s="2" t="s">
        <v>1839</v>
      </c>
      <c r="E1090" s="2" t="s">
        <v>1841</v>
      </c>
      <c r="F1090" s="2">
        <v>1.7155100000000001</v>
      </c>
      <c r="G1090" s="2">
        <v>3.5545599999999999</v>
      </c>
      <c r="H1090" s="2">
        <v>1.0510299999999999</v>
      </c>
    </row>
    <row r="1091" spans="1:8" x14ac:dyDescent="0.2">
      <c r="A1091" s="2" t="s">
        <v>622</v>
      </c>
      <c r="B1091" s="2" t="s">
        <v>3015</v>
      </c>
      <c r="C1091" s="2" t="s">
        <v>2818</v>
      </c>
      <c r="D1091" s="2" t="s">
        <v>1839</v>
      </c>
      <c r="E1091" s="2" t="s">
        <v>1841</v>
      </c>
      <c r="F1091" s="2">
        <v>0.59664300000000003</v>
      </c>
      <c r="G1091" s="2">
        <v>1.2359</v>
      </c>
      <c r="H1091" s="2">
        <v>1.0506200000000001</v>
      </c>
    </row>
    <row r="1092" spans="1:8" x14ac:dyDescent="0.2">
      <c r="A1092" s="2" t="s">
        <v>1014</v>
      </c>
      <c r="B1092" s="2" t="s">
        <v>3258</v>
      </c>
      <c r="C1092" s="2" t="s">
        <v>2318</v>
      </c>
      <c r="D1092" s="2" t="s">
        <v>1836</v>
      </c>
      <c r="E1092" s="2" t="s">
        <v>1837</v>
      </c>
      <c r="F1092" s="2">
        <v>3.7312500000000002</v>
      </c>
      <c r="G1092" s="2">
        <v>7.7282200000000003</v>
      </c>
      <c r="H1092" s="2">
        <v>1.0504800000000001</v>
      </c>
    </row>
    <row r="1093" spans="1:8" x14ac:dyDescent="0.2">
      <c r="A1093" s="2" t="s">
        <v>1778</v>
      </c>
      <c r="B1093" s="2" t="s">
        <v>3480</v>
      </c>
      <c r="C1093" s="2" t="s">
        <v>2954</v>
      </c>
      <c r="D1093" s="2" t="s">
        <v>1839</v>
      </c>
      <c r="E1093" s="2" t="s">
        <v>1841</v>
      </c>
      <c r="F1093" s="2">
        <v>0.49374499999999999</v>
      </c>
      <c r="G1093" s="2">
        <v>1.02172</v>
      </c>
      <c r="H1093" s="2">
        <v>1.0491699999999999</v>
      </c>
    </row>
    <row r="1094" spans="1:8" x14ac:dyDescent="0.2">
      <c r="A1094" s="2" t="s">
        <v>1782</v>
      </c>
      <c r="B1094" s="2" t="s">
        <v>3482</v>
      </c>
      <c r="C1094" s="2" t="s">
        <v>2957</v>
      </c>
      <c r="D1094" s="2" t="s">
        <v>1839</v>
      </c>
      <c r="E1094" s="2" t="s">
        <v>1841</v>
      </c>
      <c r="F1094" s="2">
        <v>3.9728599999999998</v>
      </c>
      <c r="G1094" s="2">
        <v>8.2193299999999994</v>
      </c>
      <c r="H1094" s="2">
        <v>1.04884</v>
      </c>
    </row>
    <row r="1095" spans="1:8" x14ac:dyDescent="0.2">
      <c r="A1095" s="2" t="s">
        <v>610</v>
      </c>
      <c r="B1095" s="2" t="s">
        <v>3015</v>
      </c>
      <c r="C1095" s="2" t="s">
        <v>2129</v>
      </c>
      <c r="D1095" s="2" t="s">
        <v>1836</v>
      </c>
      <c r="E1095" s="2" t="s">
        <v>1837</v>
      </c>
      <c r="F1095" s="2">
        <v>6.4315300000000004</v>
      </c>
      <c r="G1095" s="2">
        <v>13.305099999999999</v>
      </c>
      <c r="H1095" s="2">
        <v>1.0487500000000001</v>
      </c>
    </row>
    <row r="1096" spans="1:8" x14ac:dyDescent="0.2">
      <c r="A1096" s="2" t="s">
        <v>920</v>
      </c>
      <c r="B1096" s="2" t="s">
        <v>3237</v>
      </c>
      <c r="C1096" s="2" t="s">
        <v>2271</v>
      </c>
      <c r="D1096" s="2" t="s">
        <v>1836</v>
      </c>
      <c r="E1096" s="2" t="s">
        <v>1837</v>
      </c>
      <c r="F1096" s="2">
        <v>11.293200000000001</v>
      </c>
      <c r="G1096" s="2">
        <v>23.361499999999999</v>
      </c>
      <c r="H1096" s="2">
        <v>1.0486800000000001</v>
      </c>
    </row>
    <row r="1097" spans="1:8" x14ac:dyDescent="0.2">
      <c r="A1097" s="2" t="s">
        <v>202</v>
      </c>
      <c r="B1097" s="2" t="s">
        <v>3082</v>
      </c>
      <c r="C1097" s="2" t="s">
        <v>1939</v>
      </c>
      <c r="D1097" s="2" t="s">
        <v>1836</v>
      </c>
      <c r="E1097" s="2" t="s">
        <v>1837</v>
      </c>
      <c r="F1097" s="2">
        <v>0.92893899999999996</v>
      </c>
      <c r="G1097" s="2">
        <v>1.92018</v>
      </c>
      <c r="H1097" s="2">
        <v>1.04758</v>
      </c>
    </row>
    <row r="1098" spans="1:8" x14ac:dyDescent="0.2">
      <c r="A1098" s="2" t="s">
        <v>747</v>
      </c>
      <c r="B1098" s="2" t="s">
        <v>3015</v>
      </c>
      <c r="C1098" s="2" t="s">
        <v>2129</v>
      </c>
      <c r="D1098" s="2" t="s">
        <v>1839</v>
      </c>
      <c r="E1098" s="2" t="s">
        <v>1841</v>
      </c>
      <c r="F1098" s="2">
        <v>7.0339700000000001</v>
      </c>
      <c r="G1098" s="2">
        <v>14.539199999999999</v>
      </c>
      <c r="H1098" s="2">
        <v>1.0475399999999999</v>
      </c>
    </row>
    <row r="1099" spans="1:8" x14ac:dyDescent="0.2">
      <c r="A1099" s="2" t="s">
        <v>938</v>
      </c>
      <c r="B1099" s="2" t="s">
        <v>3015</v>
      </c>
      <c r="C1099" s="2" t="s">
        <v>2281</v>
      </c>
      <c r="D1099" s="2" t="s">
        <v>1836</v>
      </c>
      <c r="E1099" s="2" t="s">
        <v>1837</v>
      </c>
      <c r="F1099" s="2">
        <v>5.0083200000000003</v>
      </c>
      <c r="G1099" s="2">
        <v>10.350300000000001</v>
      </c>
      <c r="H1099" s="2">
        <v>1.04728</v>
      </c>
    </row>
    <row r="1100" spans="1:8" x14ac:dyDescent="0.2">
      <c r="A1100" s="2" t="s">
        <v>626</v>
      </c>
      <c r="B1100" s="2" t="s">
        <v>3030</v>
      </c>
      <c r="C1100" s="2" t="s">
        <v>2135</v>
      </c>
      <c r="D1100" s="2" t="s">
        <v>1839</v>
      </c>
      <c r="E1100" s="2" t="s">
        <v>1841</v>
      </c>
      <c r="F1100" s="2">
        <v>1.1389800000000001</v>
      </c>
      <c r="G1100" s="2">
        <v>2.3529800000000001</v>
      </c>
      <c r="H1100" s="2">
        <v>1.04674</v>
      </c>
    </row>
    <row r="1101" spans="1:8" x14ac:dyDescent="0.2">
      <c r="A1101" s="2" t="s">
        <v>622</v>
      </c>
      <c r="B1101" s="2" t="s">
        <v>3015</v>
      </c>
      <c r="C1101" s="2" t="s">
        <v>2818</v>
      </c>
      <c r="D1101" s="2" t="s">
        <v>1839</v>
      </c>
      <c r="E1101" s="2" t="s">
        <v>1840</v>
      </c>
      <c r="F1101" s="2">
        <v>0.59664300000000003</v>
      </c>
      <c r="G1101" s="2">
        <v>1.23228</v>
      </c>
      <c r="H1101" s="2">
        <v>1.0463899999999999</v>
      </c>
    </row>
    <row r="1102" spans="1:8" x14ac:dyDescent="0.2">
      <c r="A1102" s="2" t="s">
        <v>147</v>
      </c>
      <c r="B1102" s="2" t="s">
        <v>3061</v>
      </c>
      <c r="C1102" s="2" t="s">
        <v>1912</v>
      </c>
      <c r="D1102" s="2" t="s">
        <v>1839</v>
      </c>
      <c r="E1102" s="2" t="s">
        <v>1841</v>
      </c>
      <c r="F1102" s="2">
        <v>4.58291</v>
      </c>
      <c r="G1102" s="2">
        <v>9.4649800000000006</v>
      </c>
      <c r="H1102" s="2">
        <v>1.04634</v>
      </c>
    </row>
    <row r="1103" spans="1:8" x14ac:dyDescent="0.2">
      <c r="A1103" s="2" t="s">
        <v>1661</v>
      </c>
      <c r="B1103" s="2" t="s">
        <v>3015</v>
      </c>
      <c r="C1103" s="2" t="s">
        <v>2826</v>
      </c>
      <c r="D1103" s="2" t="s">
        <v>1839</v>
      </c>
      <c r="E1103" s="2" t="s">
        <v>1841</v>
      </c>
      <c r="F1103" s="2">
        <v>1.55752</v>
      </c>
      <c r="G1103" s="2">
        <v>3.2166399999999999</v>
      </c>
      <c r="H1103" s="2">
        <v>1.0463100000000001</v>
      </c>
    </row>
    <row r="1104" spans="1:8" x14ac:dyDescent="0.2">
      <c r="A1104" s="2" t="s">
        <v>1491</v>
      </c>
      <c r="B1104" s="2" t="s">
        <v>3015</v>
      </c>
      <c r="C1104" s="2" t="s">
        <v>1880</v>
      </c>
      <c r="D1104" s="2" t="s">
        <v>1839</v>
      </c>
      <c r="E1104" s="2" t="s">
        <v>1841</v>
      </c>
      <c r="F1104" s="2">
        <v>1.6885600000000001</v>
      </c>
      <c r="G1104" s="2">
        <v>3.4856400000000001</v>
      </c>
      <c r="H1104" s="2">
        <v>1.0456300000000001</v>
      </c>
    </row>
    <row r="1105" spans="1:8" x14ac:dyDescent="0.2">
      <c r="A1105" s="2" t="s">
        <v>875</v>
      </c>
      <c r="B1105" s="2" t="s">
        <v>3229</v>
      </c>
      <c r="C1105" s="2" t="s">
        <v>3015</v>
      </c>
      <c r="D1105" s="2" t="s">
        <v>1836</v>
      </c>
      <c r="E1105" s="2" t="s">
        <v>1837</v>
      </c>
      <c r="F1105" s="2">
        <v>0.46273399999999998</v>
      </c>
      <c r="G1105" s="2">
        <v>0.95488300000000004</v>
      </c>
      <c r="H1105" s="2">
        <v>1.04514</v>
      </c>
    </row>
    <row r="1106" spans="1:8" x14ac:dyDescent="0.2">
      <c r="A1106" s="2" t="s">
        <v>751</v>
      </c>
      <c r="B1106" s="2" t="s">
        <v>3015</v>
      </c>
      <c r="C1106" s="2" t="s">
        <v>3015</v>
      </c>
      <c r="D1106" s="2" t="s">
        <v>1836</v>
      </c>
      <c r="E1106" s="2" t="s">
        <v>1837</v>
      </c>
      <c r="F1106" s="2">
        <v>3.2742</v>
      </c>
      <c r="G1106" s="2">
        <v>6.75474</v>
      </c>
      <c r="H1106" s="2">
        <v>1.0447599999999999</v>
      </c>
    </row>
    <row r="1107" spans="1:8" x14ac:dyDescent="0.2">
      <c r="A1107" s="2" t="s">
        <v>1388</v>
      </c>
      <c r="B1107" s="2" t="s">
        <v>3030</v>
      </c>
      <c r="C1107" s="2" t="s">
        <v>2565</v>
      </c>
      <c r="D1107" s="2" t="s">
        <v>1836</v>
      </c>
      <c r="E1107" s="2" t="s">
        <v>1838</v>
      </c>
      <c r="F1107" s="2">
        <v>12.2989</v>
      </c>
      <c r="G1107" s="2">
        <v>25.370100000000001</v>
      </c>
      <c r="H1107" s="2">
        <v>1.0446</v>
      </c>
    </row>
    <row r="1108" spans="1:8" x14ac:dyDescent="0.2">
      <c r="A1108" s="2" t="s">
        <v>307</v>
      </c>
      <c r="B1108" s="2" t="s">
        <v>3314</v>
      </c>
      <c r="C1108" s="2" t="s">
        <v>2446</v>
      </c>
      <c r="D1108" s="2" t="s">
        <v>1836</v>
      </c>
      <c r="E1108" s="2" t="s">
        <v>1838</v>
      </c>
      <c r="F1108" s="2">
        <v>129.273</v>
      </c>
      <c r="G1108" s="2">
        <v>266.649</v>
      </c>
      <c r="H1108" s="2">
        <v>1.0445199999999999</v>
      </c>
    </row>
    <row r="1109" spans="1:8" x14ac:dyDescent="0.2">
      <c r="A1109" s="2" t="s">
        <v>1444</v>
      </c>
      <c r="B1109" s="2" t="s">
        <v>3189</v>
      </c>
      <c r="C1109" s="2" t="s">
        <v>2761</v>
      </c>
      <c r="D1109" s="2" t="s">
        <v>1839</v>
      </c>
      <c r="E1109" s="2" t="s">
        <v>1841</v>
      </c>
      <c r="F1109" s="2">
        <v>19.242000000000001</v>
      </c>
      <c r="G1109" s="2">
        <v>39.683100000000003</v>
      </c>
      <c r="H1109" s="2">
        <v>1.04427</v>
      </c>
    </row>
    <row r="1110" spans="1:8" x14ac:dyDescent="0.2">
      <c r="A1110" s="2" t="s">
        <v>212</v>
      </c>
      <c r="B1110" s="2" t="s">
        <v>3015</v>
      </c>
      <c r="C1110" s="2" t="s">
        <v>1944</v>
      </c>
      <c r="D1110" s="2" t="s">
        <v>1839</v>
      </c>
      <c r="E1110" s="2" t="s">
        <v>1841</v>
      </c>
      <c r="F1110" s="2">
        <v>742.35699999999997</v>
      </c>
      <c r="G1110" s="2">
        <v>1530.72</v>
      </c>
      <c r="H1110" s="2">
        <v>1.04403</v>
      </c>
    </row>
    <row r="1111" spans="1:8" x14ac:dyDescent="0.2">
      <c r="A1111" s="2" t="s">
        <v>742</v>
      </c>
      <c r="B1111" s="2" t="s">
        <v>3058</v>
      </c>
      <c r="C1111" s="2" t="s">
        <v>2185</v>
      </c>
      <c r="D1111" s="2" t="s">
        <v>1839</v>
      </c>
      <c r="E1111" s="2" t="s">
        <v>1840</v>
      </c>
      <c r="F1111" s="2">
        <v>0.49836200000000003</v>
      </c>
      <c r="G1111" s="2">
        <v>1.02715</v>
      </c>
      <c r="H1111" s="2">
        <v>1.04338</v>
      </c>
    </row>
    <row r="1112" spans="1:8" x14ac:dyDescent="0.2">
      <c r="A1112" s="2" t="s">
        <v>277</v>
      </c>
      <c r="B1112" s="2" t="s">
        <v>3015</v>
      </c>
      <c r="C1112" s="2" t="s">
        <v>1847</v>
      </c>
      <c r="D1112" s="2" t="s">
        <v>1836</v>
      </c>
      <c r="E1112" s="2" t="s">
        <v>1838</v>
      </c>
      <c r="F1112" s="2">
        <v>10.777100000000001</v>
      </c>
      <c r="G1112" s="2">
        <v>22.2104</v>
      </c>
      <c r="H1112" s="2">
        <v>1.0432600000000001</v>
      </c>
    </row>
    <row r="1113" spans="1:8" x14ac:dyDescent="0.2">
      <c r="A1113" s="2" t="s">
        <v>270</v>
      </c>
      <c r="B1113" s="2" t="s">
        <v>3030</v>
      </c>
      <c r="C1113" s="2" t="s">
        <v>1847</v>
      </c>
      <c r="D1113" s="2" t="s">
        <v>1836</v>
      </c>
      <c r="E1113" s="2" t="s">
        <v>1837</v>
      </c>
      <c r="F1113" s="2">
        <v>1.2693399999999999</v>
      </c>
      <c r="G1113" s="2">
        <v>2.61503</v>
      </c>
      <c r="H1113" s="2">
        <v>1.0427500000000001</v>
      </c>
    </row>
    <row r="1114" spans="1:8" x14ac:dyDescent="0.2">
      <c r="A1114" s="2" t="s">
        <v>205</v>
      </c>
      <c r="B1114" s="2" t="s">
        <v>3138</v>
      </c>
      <c r="C1114" s="2" t="s">
        <v>2422</v>
      </c>
      <c r="D1114" s="2" t="s">
        <v>1836</v>
      </c>
      <c r="E1114" s="2" t="s">
        <v>1838</v>
      </c>
      <c r="F1114" s="2">
        <v>788.52700000000004</v>
      </c>
      <c r="G1114" s="2">
        <v>1624.43</v>
      </c>
      <c r="H1114" s="2">
        <v>1.04271</v>
      </c>
    </row>
    <row r="1115" spans="1:8" x14ac:dyDescent="0.2">
      <c r="A1115" s="2" t="s">
        <v>1487</v>
      </c>
      <c r="B1115" s="2" t="s">
        <v>3388</v>
      </c>
      <c r="C1115" s="2" t="s">
        <v>2628</v>
      </c>
      <c r="D1115" s="2" t="s">
        <v>1839</v>
      </c>
      <c r="E1115" s="2" t="s">
        <v>1841</v>
      </c>
      <c r="F1115" s="2">
        <v>1.10988</v>
      </c>
      <c r="G1115" s="2">
        <v>2.2860200000000002</v>
      </c>
      <c r="H1115" s="2">
        <v>1.04244</v>
      </c>
    </row>
    <row r="1116" spans="1:8" x14ac:dyDescent="0.2">
      <c r="A1116" s="2" t="s">
        <v>723</v>
      </c>
      <c r="B1116" s="2" t="s">
        <v>3457</v>
      </c>
      <c r="C1116" s="2" t="s">
        <v>2859</v>
      </c>
      <c r="D1116" s="2" t="s">
        <v>1839</v>
      </c>
      <c r="E1116" s="2" t="s">
        <v>1841</v>
      </c>
      <c r="F1116" s="2">
        <v>1.9646300000000001</v>
      </c>
      <c r="G1116" s="2">
        <v>4.04657</v>
      </c>
      <c r="H1116" s="2">
        <v>1.04244</v>
      </c>
    </row>
    <row r="1117" spans="1:8" x14ac:dyDescent="0.2">
      <c r="A1117" s="2" t="s">
        <v>893</v>
      </c>
      <c r="B1117" s="2" t="s">
        <v>3232</v>
      </c>
      <c r="C1117" s="2" t="s">
        <v>2257</v>
      </c>
      <c r="D1117" s="2" t="s">
        <v>1836</v>
      </c>
      <c r="E1117" s="2" t="s">
        <v>1837</v>
      </c>
      <c r="F1117" s="2">
        <v>0.53645200000000004</v>
      </c>
      <c r="G1117" s="2">
        <v>1.1041099999999999</v>
      </c>
      <c r="H1117" s="2">
        <v>1.0413699999999999</v>
      </c>
    </row>
    <row r="1118" spans="1:8" x14ac:dyDescent="0.2">
      <c r="A1118" s="2" t="s">
        <v>864</v>
      </c>
      <c r="B1118" s="2" t="s">
        <v>3015</v>
      </c>
      <c r="C1118" s="2" t="s">
        <v>2243</v>
      </c>
      <c r="D1118" s="2" t="s">
        <v>1836</v>
      </c>
      <c r="E1118" s="2" t="s">
        <v>1837</v>
      </c>
      <c r="F1118" s="2">
        <v>0.85137499999999999</v>
      </c>
      <c r="G1118" s="2">
        <v>1.7514700000000001</v>
      </c>
      <c r="H1118" s="2">
        <v>1.0407</v>
      </c>
    </row>
    <row r="1119" spans="1:8" x14ac:dyDescent="0.2">
      <c r="A1119" s="2" t="s">
        <v>283</v>
      </c>
      <c r="B1119" s="2" t="s">
        <v>3106</v>
      </c>
      <c r="C1119" s="2" t="s">
        <v>1975</v>
      </c>
      <c r="D1119" s="2" t="s">
        <v>1836</v>
      </c>
      <c r="E1119" s="2" t="s">
        <v>1838</v>
      </c>
      <c r="F1119" s="2">
        <v>938.846</v>
      </c>
      <c r="G1119" s="2">
        <v>1930.97</v>
      </c>
      <c r="H1119" s="2">
        <v>1.04036</v>
      </c>
    </row>
    <row r="1120" spans="1:8" x14ac:dyDescent="0.2">
      <c r="A1120" s="2" t="s">
        <v>1744</v>
      </c>
      <c r="B1120" s="2" t="s">
        <v>3045</v>
      </c>
      <c r="C1120" s="2" t="s">
        <v>2912</v>
      </c>
      <c r="D1120" s="2" t="s">
        <v>1839</v>
      </c>
      <c r="E1120" s="2" t="s">
        <v>1841</v>
      </c>
      <c r="F1120" s="2">
        <v>2.8133400000000002</v>
      </c>
      <c r="G1120" s="2">
        <v>5.7861799999999999</v>
      </c>
      <c r="H1120" s="2">
        <v>1.04033</v>
      </c>
    </row>
    <row r="1121" spans="1:8" x14ac:dyDescent="0.2">
      <c r="A1121" s="2" t="s">
        <v>110</v>
      </c>
      <c r="B1121" s="2" t="s">
        <v>3391</v>
      </c>
      <c r="C1121" s="2" t="s">
        <v>2657</v>
      </c>
      <c r="D1121" s="2" t="s">
        <v>1839</v>
      </c>
      <c r="E1121" s="2" t="s">
        <v>1841</v>
      </c>
      <c r="F1121" s="2">
        <v>2.4366300000000001</v>
      </c>
      <c r="G1121" s="2">
        <v>5.0093300000000003</v>
      </c>
      <c r="H1121" s="2">
        <v>1.03973</v>
      </c>
    </row>
    <row r="1122" spans="1:8" x14ac:dyDescent="0.2">
      <c r="A1122" s="2" t="s">
        <v>1688</v>
      </c>
      <c r="B1122" s="2" t="s">
        <v>3456</v>
      </c>
      <c r="C1122" s="2" t="s">
        <v>2857</v>
      </c>
      <c r="D1122" s="2" t="s">
        <v>1839</v>
      </c>
      <c r="E1122" s="2" t="s">
        <v>1841</v>
      </c>
      <c r="F1122" s="2">
        <v>2.6911800000000001</v>
      </c>
      <c r="G1122" s="2">
        <v>5.5325899999999999</v>
      </c>
      <c r="H1122" s="2">
        <v>1.03972</v>
      </c>
    </row>
    <row r="1123" spans="1:8" x14ac:dyDescent="0.2">
      <c r="A1123" s="2" t="s">
        <v>1526</v>
      </c>
      <c r="B1123" s="2" t="s">
        <v>3015</v>
      </c>
      <c r="C1123" s="2" t="s">
        <v>2674</v>
      </c>
      <c r="D1123" s="2" t="s">
        <v>1839</v>
      </c>
      <c r="E1123" s="2" t="s">
        <v>1841</v>
      </c>
      <c r="F1123" s="2">
        <v>2.10764</v>
      </c>
      <c r="G1123" s="2">
        <v>4.3293299999999997</v>
      </c>
      <c r="H1123" s="2">
        <v>1.03851</v>
      </c>
    </row>
    <row r="1124" spans="1:8" x14ac:dyDescent="0.2">
      <c r="A1124" s="2" t="s">
        <v>85</v>
      </c>
      <c r="B1124" s="2" t="s">
        <v>3364</v>
      </c>
      <c r="C1124" s="2" t="s">
        <v>2642</v>
      </c>
      <c r="D1124" s="2" t="s">
        <v>1839</v>
      </c>
      <c r="E1124" s="2" t="s">
        <v>1841</v>
      </c>
      <c r="F1124" s="2">
        <v>1.50942</v>
      </c>
      <c r="G1124" s="2">
        <v>3.10005</v>
      </c>
      <c r="H1124" s="2">
        <v>1.0383</v>
      </c>
    </row>
    <row r="1125" spans="1:8" x14ac:dyDescent="0.2">
      <c r="A1125" s="2" t="s">
        <v>1662</v>
      </c>
      <c r="B1125" s="2" t="s">
        <v>3038</v>
      </c>
      <c r="C1125" s="2" t="s">
        <v>2828</v>
      </c>
      <c r="D1125" s="2" t="s">
        <v>1839</v>
      </c>
      <c r="E1125" s="2" t="s">
        <v>1840</v>
      </c>
      <c r="F1125" s="2">
        <v>1.68712</v>
      </c>
      <c r="G1125" s="2">
        <v>3.46469</v>
      </c>
      <c r="H1125" s="2">
        <v>1.03816</v>
      </c>
    </row>
    <row r="1126" spans="1:8" x14ac:dyDescent="0.2">
      <c r="A1126" s="2" t="s">
        <v>1177</v>
      </c>
      <c r="B1126" s="2" t="s">
        <v>3015</v>
      </c>
      <c r="C1126" s="2" t="s">
        <v>2299</v>
      </c>
      <c r="D1126" s="2" t="s">
        <v>1836</v>
      </c>
      <c r="E1126" s="2" t="s">
        <v>1838</v>
      </c>
      <c r="F1126" s="2">
        <v>1.06619</v>
      </c>
      <c r="G1126" s="2">
        <v>2.18913</v>
      </c>
      <c r="H1126" s="2">
        <v>1.03789</v>
      </c>
    </row>
    <row r="1127" spans="1:8" x14ac:dyDescent="0.2">
      <c r="A1127" s="2" t="s">
        <v>1318</v>
      </c>
      <c r="B1127" s="2" t="s">
        <v>3443</v>
      </c>
      <c r="C1127" s="2" t="s">
        <v>2814</v>
      </c>
      <c r="D1127" s="2" t="s">
        <v>1839</v>
      </c>
      <c r="E1127" s="2" t="s">
        <v>1841</v>
      </c>
      <c r="F1127" s="2">
        <v>5.5639700000000003</v>
      </c>
      <c r="G1127" s="2">
        <v>11.4183</v>
      </c>
      <c r="H1127" s="2">
        <v>1.0371600000000001</v>
      </c>
    </row>
    <row r="1128" spans="1:8" x14ac:dyDescent="0.2">
      <c r="A1128" s="2" t="s">
        <v>1060</v>
      </c>
      <c r="B1128" s="2" t="s">
        <v>3015</v>
      </c>
      <c r="C1128" s="2" t="s">
        <v>2338</v>
      </c>
      <c r="D1128" s="2" t="s">
        <v>1836</v>
      </c>
      <c r="E1128" s="2" t="s">
        <v>1837</v>
      </c>
      <c r="F1128" s="2">
        <v>4.6303799999999997</v>
      </c>
      <c r="G1128" s="2">
        <v>9.5002600000000008</v>
      </c>
      <c r="H1128" s="2">
        <v>1.03684</v>
      </c>
    </row>
    <row r="1129" spans="1:8" x14ac:dyDescent="0.2">
      <c r="A1129" s="2" t="s">
        <v>1540</v>
      </c>
      <c r="B1129" s="2" t="s">
        <v>3100</v>
      </c>
      <c r="C1129" s="2" t="s">
        <v>2690</v>
      </c>
      <c r="D1129" s="2" t="s">
        <v>1839</v>
      </c>
      <c r="E1129" s="2" t="s">
        <v>1841</v>
      </c>
      <c r="F1129" s="2">
        <v>0.39673399999999998</v>
      </c>
      <c r="G1129" s="2">
        <v>0.81388099999999997</v>
      </c>
      <c r="H1129" s="2">
        <v>1.0366500000000001</v>
      </c>
    </row>
    <row r="1130" spans="1:8" x14ac:dyDescent="0.2">
      <c r="A1130" s="2" t="s">
        <v>1112</v>
      </c>
      <c r="B1130" s="2" t="s">
        <v>3015</v>
      </c>
      <c r="C1130" s="2" t="s">
        <v>3015</v>
      </c>
      <c r="D1130" s="2" t="s">
        <v>1839</v>
      </c>
      <c r="E1130" s="2" t="s">
        <v>1841</v>
      </c>
      <c r="F1130" s="2">
        <v>7.3117200000000002</v>
      </c>
      <c r="G1130" s="2">
        <v>14.9939</v>
      </c>
      <c r="H1130" s="2">
        <v>1.03609</v>
      </c>
    </row>
    <row r="1131" spans="1:8" x14ac:dyDescent="0.2">
      <c r="A1131" s="2" t="s">
        <v>166</v>
      </c>
      <c r="B1131" s="2" t="s">
        <v>3045</v>
      </c>
      <c r="C1131" s="2" t="s">
        <v>1923</v>
      </c>
      <c r="D1131" s="2" t="s">
        <v>1839</v>
      </c>
      <c r="E1131" s="2" t="s">
        <v>1841</v>
      </c>
      <c r="F1131" s="2">
        <v>5.8095299999999996</v>
      </c>
      <c r="G1131" s="2">
        <v>11.9116</v>
      </c>
      <c r="H1131" s="2">
        <v>1.0358700000000001</v>
      </c>
    </row>
    <row r="1132" spans="1:8" x14ac:dyDescent="0.2">
      <c r="A1132" s="2" t="s">
        <v>1642</v>
      </c>
      <c r="B1132" s="2" t="s">
        <v>3189</v>
      </c>
      <c r="C1132" s="2" t="s">
        <v>2809</v>
      </c>
      <c r="D1132" s="2" t="s">
        <v>1839</v>
      </c>
      <c r="E1132" s="2" t="s">
        <v>1841</v>
      </c>
      <c r="F1132" s="2">
        <v>1.82629</v>
      </c>
      <c r="G1132" s="2">
        <v>3.7438699999999998</v>
      </c>
      <c r="H1132" s="2">
        <v>1.0356099999999999</v>
      </c>
    </row>
    <row r="1133" spans="1:8" x14ac:dyDescent="0.2">
      <c r="A1133" s="2" t="s">
        <v>1698</v>
      </c>
      <c r="B1133" s="2" t="s">
        <v>3038</v>
      </c>
      <c r="C1133" s="2" t="s">
        <v>2626</v>
      </c>
      <c r="D1133" s="2" t="s">
        <v>1839</v>
      </c>
      <c r="E1133" s="2" t="s">
        <v>1841</v>
      </c>
      <c r="F1133" s="2">
        <v>2.8909199999999999</v>
      </c>
      <c r="G1133" s="2">
        <v>5.9236399999999998</v>
      </c>
      <c r="H1133" s="2">
        <v>1.03495</v>
      </c>
    </row>
    <row r="1134" spans="1:8" x14ac:dyDescent="0.2">
      <c r="A1134" s="2" t="s">
        <v>1432</v>
      </c>
      <c r="B1134" s="2" t="s">
        <v>3375</v>
      </c>
      <c r="C1134" s="2" t="s">
        <v>2591</v>
      </c>
      <c r="D1134" s="2" t="s">
        <v>1836</v>
      </c>
      <c r="E1134" s="2" t="s">
        <v>1838</v>
      </c>
      <c r="F1134" s="2">
        <v>0.83064499999999997</v>
      </c>
      <c r="G1134" s="2">
        <v>1.70174</v>
      </c>
      <c r="H1134" s="2">
        <v>1.03471</v>
      </c>
    </row>
    <row r="1135" spans="1:8" x14ac:dyDescent="0.2">
      <c r="A1135" s="2" t="s">
        <v>412</v>
      </c>
      <c r="B1135" s="2" t="s">
        <v>3015</v>
      </c>
      <c r="C1135" s="2" t="s">
        <v>2758</v>
      </c>
      <c r="D1135" s="2" t="s">
        <v>1839</v>
      </c>
      <c r="E1135" s="2" t="s">
        <v>1841</v>
      </c>
      <c r="F1135" s="2">
        <v>1.27841</v>
      </c>
      <c r="G1135" s="2">
        <v>2.6186500000000001</v>
      </c>
      <c r="H1135" s="2">
        <v>1.03447</v>
      </c>
    </row>
    <row r="1136" spans="1:8" x14ac:dyDescent="0.2">
      <c r="A1136" s="2" t="s">
        <v>1605</v>
      </c>
      <c r="B1136" s="2" t="s">
        <v>3046</v>
      </c>
      <c r="C1136" s="2" t="s">
        <v>2767</v>
      </c>
      <c r="D1136" s="2" t="s">
        <v>1839</v>
      </c>
      <c r="E1136" s="2" t="s">
        <v>1841</v>
      </c>
      <c r="F1136" s="2">
        <v>0.429566</v>
      </c>
      <c r="G1136" s="2">
        <v>0.87963400000000003</v>
      </c>
      <c r="H1136" s="2">
        <v>1.03403</v>
      </c>
    </row>
    <row r="1137" spans="1:8" x14ac:dyDescent="0.2">
      <c r="A1137" s="2" t="s">
        <v>1502</v>
      </c>
      <c r="B1137" s="2" t="s">
        <v>3015</v>
      </c>
      <c r="C1137" s="2" t="s">
        <v>2034</v>
      </c>
      <c r="D1137" s="2" t="s">
        <v>1839</v>
      </c>
      <c r="E1137" s="2" t="s">
        <v>1841</v>
      </c>
      <c r="F1137" s="2">
        <v>4.0961299999999996</v>
      </c>
      <c r="G1137" s="2">
        <v>8.3818699999999993</v>
      </c>
      <c r="H1137" s="2">
        <v>1.03301</v>
      </c>
    </row>
    <row r="1138" spans="1:8" x14ac:dyDescent="0.2">
      <c r="A1138" s="2" t="s">
        <v>1343</v>
      </c>
      <c r="B1138" s="2" t="s">
        <v>3015</v>
      </c>
      <c r="C1138" s="2" t="s">
        <v>3015</v>
      </c>
      <c r="D1138" s="2" t="s">
        <v>1836</v>
      </c>
      <c r="E1138" s="2" t="s">
        <v>1838</v>
      </c>
      <c r="F1138" s="2">
        <v>12.464600000000001</v>
      </c>
      <c r="G1138" s="2">
        <v>25.498000000000001</v>
      </c>
      <c r="H1138" s="2">
        <v>1.0325500000000001</v>
      </c>
    </row>
    <row r="1139" spans="1:8" x14ac:dyDescent="0.2">
      <c r="A1139" s="2" t="s">
        <v>521</v>
      </c>
      <c r="B1139" s="2" t="s">
        <v>3152</v>
      </c>
      <c r="C1139" s="2" t="s">
        <v>2089</v>
      </c>
      <c r="D1139" s="2" t="s">
        <v>1839</v>
      </c>
      <c r="E1139" s="2" t="s">
        <v>1841</v>
      </c>
      <c r="F1139" s="2">
        <v>0.79144700000000001</v>
      </c>
      <c r="G1139" s="2">
        <v>1.6180099999999999</v>
      </c>
      <c r="H1139" s="2">
        <v>1.03165</v>
      </c>
    </row>
    <row r="1140" spans="1:8" x14ac:dyDescent="0.2">
      <c r="A1140" s="2" t="s">
        <v>318</v>
      </c>
      <c r="B1140" s="2" t="s">
        <v>3037</v>
      </c>
      <c r="C1140" s="2" t="s">
        <v>1993</v>
      </c>
      <c r="D1140" s="2" t="s">
        <v>1836</v>
      </c>
      <c r="E1140" s="2" t="s">
        <v>1837</v>
      </c>
      <c r="F1140" s="2">
        <v>1.56128</v>
      </c>
      <c r="G1140" s="2">
        <v>3.19055</v>
      </c>
      <c r="H1140" s="2">
        <v>1.03108</v>
      </c>
    </row>
    <row r="1141" spans="1:8" x14ac:dyDescent="0.2">
      <c r="A1141" s="2" t="s">
        <v>1216</v>
      </c>
      <c r="B1141" s="2" t="s">
        <v>3015</v>
      </c>
      <c r="C1141" s="2" t="s">
        <v>2706</v>
      </c>
      <c r="D1141" s="2" t="s">
        <v>1839</v>
      </c>
      <c r="E1141" s="2" t="s">
        <v>1841</v>
      </c>
      <c r="F1141" s="2">
        <v>15.465299999999999</v>
      </c>
      <c r="G1141" s="2">
        <v>31.603400000000001</v>
      </c>
      <c r="H1141" s="2">
        <v>1.03104</v>
      </c>
    </row>
    <row r="1142" spans="1:8" x14ac:dyDescent="0.2">
      <c r="A1142" s="2" t="s">
        <v>972</v>
      </c>
      <c r="B1142" s="2" t="s">
        <v>3030</v>
      </c>
      <c r="C1142" s="2" t="s">
        <v>3016</v>
      </c>
      <c r="D1142" s="2" t="s">
        <v>1836</v>
      </c>
      <c r="E1142" s="2" t="s">
        <v>1838</v>
      </c>
      <c r="F1142" s="2">
        <v>38.310400000000001</v>
      </c>
      <c r="G1142" s="2">
        <v>78.247299999999996</v>
      </c>
      <c r="H1142" s="2">
        <v>1.0303</v>
      </c>
    </row>
    <row r="1143" spans="1:8" x14ac:dyDescent="0.2">
      <c r="A1143" s="2" t="s">
        <v>605</v>
      </c>
      <c r="B1143" s="2" t="s">
        <v>3094</v>
      </c>
      <c r="C1143" s="2" t="s">
        <v>2126</v>
      </c>
      <c r="D1143" s="2" t="s">
        <v>1839</v>
      </c>
      <c r="E1143" s="2" t="s">
        <v>1840</v>
      </c>
      <c r="F1143" s="2">
        <v>0.48077900000000001</v>
      </c>
      <c r="G1143" s="2">
        <v>0.98192199999999996</v>
      </c>
      <c r="H1143" s="2">
        <v>1.03024</v>
      </c>
    </row>
    <row r="1144" spans="1:8" x14ac:dyDescent="0.2">
      <c r="A1144" s="2" t="s">
        <v>1826</v>
      </c>
      <c r="B1144" s="2" t="s">
        <v>3015</v>
      </c>
      <c r="C1144" s="2" t="s">
        <v>3004</v>
      </c>
      <c r="D1144" s="2" t="s">
        <v>1839</v>
      </c>
      <c r="E1144" s="2" t="s">
        <v>1840</v>
      </c>
      <c r="F1144" s="2">
        <v>3.98814</v>
      </c>
      <c r="G1144" s="2">
        <v>8.1445699999999999</v>
      </c>
      <c r="H1144" s="2">
        <v>1.0301199999999999</v>
      </c>
    </row>
    <row r="1145" spans="1:8" x14ac:dyDescent="0.2">
      <c r="A1145" s="2" t="s">
        <v>1664</v>
      </c>
      <c r="B1145" s="2" t="s">
        <v>3015</v>
      </c>
      <c r="C1145" s="2" t="s">
        <v>2830</v>
      </c>
      <c r="D1145" s="2" t="s">
        <v>1839</v>
      </c>
      <c r="E1145" s="2" t="s">
        <v>1841</v>
      </c>
      <c r="F1145" s="2">
        <v>5.83744</v>
      </c>
      <c r="G1145" s="2">
        <v>11.9129</v>
      </c>
      <c r="H1145" s="2">
        <v>1.02911</v>
      </c>
    </row>
    <row r="1146" spans="1:8" x14ac:dyDescent="0.2">
      <c r="A1146" s="2" t="s">
        <v>668</v>
      </c>
      <c r="B1146" s="2" t="s">
        <v>3015</v>
      </c>
      <c r="C1146" s="2" t="s">
        <v>3016</v>
      </c>
      <c r="D1146" s="2" t="s">
        <v>1839</v>
      </c>
      <c r="E1146" s="2" t="s">
        <v>1841</v>
      </c>
      <c r="F1146" s="2">
        <v>1.1084499999999999</v>
      </c>
      <c r="G1146" s="2">
        <v>2.2608700000000002</v>
      </c>
      <c r="H1146" s="2">
        <v>1.02833</v>
      </c>
    </row>
    <row r="1147" spans="1:8" x14ac:dyDescent="0.2">
      <c r="A1147" s="2" t="s">
        <v>867</v>
      </c>
      <c r="B1147" s="2" t="s">
        <v>3073</v>
      </c>
      <c r="C1147" s="2" t="s">
        <v>2906</v>
      </c>
      <c r="D1147" s="2" t="s">
        <v>1839</v>
      </c>
      <c r="E1147" s="2" t="s">
        <v>1841</v>
      </c>
      <c r="F1147" s="2">
        <v>2.2814899999999998</v>
      </c>
      <c r="G1147" s="2">
        <v>4.6524299999999998</v>
      </c>
      <c r="H1147" s="2">
        <v>1.0280100000000001</v>
      </c>
    </row>
    <row r="1148" spans="1:8" x14ac:dyDescent="0.2">
      <c r="A1148" s="2" t="s">
        <v>437</v>
      </c>
      <c r="B1148" s="2" t="s">
        <v>3015</v>
      </c>
      <c r="C1148" s="2" t="s">
        <v>3015</v>
      </c>
      <c r="D1148" s="2" t="s">
        <v>1836</v>
      </c>
      <c r="E1148" s="2" t="s">
        <v>1838</v>
      </c>
      <c r="F1148" s="2">
        <v>969.59900000000005</v>
      </c>
      <c r="G1148" s="2">
        <v>1976.82</v>
      </c>
      <c r="H1148" s="2">
        <v>1.02772</v>
      </c>
    </row>
    <row r="1149" spans="1:8" x14ac:dyDescent="0.2">
      <c r="A1149" s="2" t="s">
        <v>334</v>
      </c>
      <c r="B1149" s="2" t="s">
        <v>3015</v>
      </c>
      <c r="C1149" s="2" t="s">
        <v>2001</v>
      </c>
      <c r="D1149" s="2" t="s">
        <v>1836</v>
      </c>
      <c r="E1149" s="2" t="s">
        <v>1837</v>
      </c>
      <c r="F1149" s="2">
        <v>1.6221699999999999</v>
      </c>
      <c r="G1149" s="2">
        <v>3.3071299999999999</v>
      </c>
      <c r="H1149" s="2">
        <v>1.02766</v>
      </c>
    </row>
    <row r="1150" spans="1:8" x14ac:dyDescent="0.2">
      <c r="A1150" s="2" t="s">
        <v>785</v>
      </c>
      <c r="B1150" s="2" t="s">
        <v>3049</v>
      </c>
      <c r="C1150" s="2" t="s">
        <v>2201</v>
      </c>
      <c r="D1150" s="2" t="s">
        <v>1839</v>
      </c>
      <c r="E1150" s="2" t="s">
        <v>1840</v>
      </c>
      <c r="F1150" s="2">
        <v>1.5629</v>
      </c>
      <c r="G1150" s="2">
        <v>3.18485</v>
      </c>
      <c r="H1150" s="2">
        <v>1.0269999999999999</v>
      </c>
    </row>
    <row r="1151" spans="1:8" x14ac:dyDescent="0.2">
      <c r="A1151" s="2" t="s">
        <v>884</v>
      </c>
      <c r="B1151" s="2" t="s">
        <v>3067</v>
      </c>
      <c r="C1151" s="2" t="s">
        <v>2254</v>
      </c>
      <c r="D1151" s="2" t="s">
        <v>1839</v>
      </c>
      <c r="E1151" s="2" t="s">
        <v>1840</v>
      </c>
      <c r="F1151" s="2">
        <v>1.6393899999999999</v>
      </c>
      <c r="G1151" s="2">
        <v>3.3403999999999998</v>
      </c>
      <c r="H1151" s="2">
        <v>1.0268600000000001</v>
      </c>
    </row>
    <row r="1152" spans="1:8" x14ac:dyDescent="0.2">
      <c r="A1152" s="2" t="s">
        <v>1183</v>
      </c>
      <c r="B1152" s="2" t="s">
        <v>3296</v>
      </c>
      <c r="C1152" s="2" t="s">
        <v>2410</v>
      </c>
      <c r="D1152" s="2" t="s">
        <v>1836</v>
      </c>
      <c r="E1152" s="2" t="s">
        <v>1838</v>
      </c>
      <c r="F1152" s="2">
        <v>0.70583600000000002</v>
      </c>
      <c r="G1152" s="2">
        <v>1.4380500000000001</v>
      </c>
      <c r="H1152" s="2">
        <v>1.02671</v>
      </c>
    </row>
    <row r="1153" spans="1:8" x14ac:dyDescent="0.2">
      <c r="A1153" s="2" t="s">
        <v>1614</v>
      </c>
      <c r="B1153" s="2" t="s">
        <v>3156</v>
      </c>
      <c r="C1153" s="2" t="s">
        <v>2529</v>
      </c>
      <c r="D1153" s="2" t="s">
        <v>1839</v>
      </c>
      <c r="E1153" s="2" t="s">
        <v>1841</v>
      </c>
      <c r="F1153" s="2">
        <v>0.59873900000000002</v>
      </c>
      <c r="G1153" s="2">
        <v>1.21973</v>
      </c>
      <c r="H1153" s="2">
        <v>1.02657</v>
      </c>
    </row>
    <row r="1154" spans="1:8" x14ac:dyDescent="0.2">
      <c r="A1154" s="2" t="s">
        <v>927</v>
      </c>
      <c r="B1154" s="2" t="s">
        <v>3015</v>
      </c>
      <c r="C1154" s="2" t="s">
        <v>2275</v>
      </c>
      <c r="D1154" s="2" t="s">
        <v>1836</v>
      </c>
      <c r="E1154" s="2" t="s">
        <v>1837</v>
      </c>
      <c r="F1154" s="2">
        <v>1.7856099999999999</v>
      </c>
      <c r="G1154" s="2">
        <v>3.6374900000000001</v>
      </c>
      <c r="H1154" s="2">
        <v>1.0265299999999999</v>
      </c>
    </row>
    <row r="1155" spans="1:8" x14ac:dyDescent="0.2">
      <c r="A1155" s="2" t="s">
        <v>915</v>
      </c>
      <c r="B1155" s="2" t="s">
        <v>3154</v>
      </c>
      <c r="C1155" s="2" t="s">
        <v>2922</v>
      </c>
      <c r="D1155" s="2" t="s">
        <v>1839</v>
      </c>
      <c r="E1155" s="2" t="s">
        <v>1841</v>
      </c>
      <c r="F1155" s="2">
        <v>5.1390599999999997</v>
      </c>
      <c r="G1155" s="2">
        <v>10.468299999999999</v>
      </c>
      <c r="H1155" s="2">
        <v>1.0264500000000001</v>
      </c>
    </row>
    <row r="1156" spans="1:8" x14ac:dyDescent="0.2">
      <c r="A1156" s="2" t="s">
        <v>189</v>
      </c>
      <c r="B1156" s="2" t="s">
        <v>3381</v>
      </c>
      <c r="C1156" s="2" t="s">
        <v>2018</v>
      </c>
      <c r="D1156" s="2" t="s">
        <v>1839</v>
      </c>
      <c r="E1156" s="2" t="s">
        <v>1841</v>
      </c>
      <c r="F1156" s="2">
        <v>6.6529100000000003</v>
      </c>
      <c r="G1156" s="2">
        <v>13.548500000000001</v>
      </c>
      <c r="H1156" s="2">
        <v>1.0260800000000001</v>
      </c>
    </row>
    <row r="1157" spans="1:8" x14ac:dyDescent="0.2">
      <c r="A1157" s="2" t="s">
        <v>1690</v>
      </c>
      <c r="B1157" s="2" t="s">
        <v>3056</v>
      </c>
      <c r="C1157" s="2" t="s">
        <v>2799</v>
      </c>
      <c r="D1157" s="2" t="s">
        <v>1839</v>
      </c>
      <c r="E1157" s="2" t="s">
        <v>1841</v>
      </c>
      <c r="F1157" s="2">
        <v>1.7600100000000001</v>
      </c>
      <c r="G1157" s="2">
        <v>3.5831400000000002</v>
      </c>
      <c r="H1157" s="2">
        <v>1.0256400000000001</v>
      </c>
    </row>
    <row r="1158" spans="1:8" x14ac:dyDescent="0.2">
      <c r="A1158" s="2" t="s">
        <v>267</v>
      </c>
      <c r="B1158" s="2" t="s">
        <v>3407</v>
      </c>
      <c r="C1158" s="2" t="s">
        <v>2703</v>
      </c>
      <c r="D1158" s="2" t="s">
        <v>1839</v>
      </c>
      <c r="E1158" s="2" t="s">
        <v>1841</v>
      </c>
      <c r="F1158" s="2">
        <v>3.1233900000000001</v>
      </c>
      <c r="G1158" s="2">
        <v>6.3586600000000004</v>
      </c>
      <c r="H1158" s="2">
        <v>1.0256099999999999</v>
      </c>
    </row>
    <row r="1159" spans="1:8" x14ac:dyDescent="0.2">
      <c r="A1159" s="2" t="s">
        <v>916</v>
      </c>
      <c r="B1159" s="2" t="s">
        <v>3025</v>
      </c>
      <c r="C1159" s="2" t="s">
        <v>2269</v>
      </c>
      <c r="D1159" s="2" t="s">
        <v>1836</v>
      </c>
      <c r="E1159" s="2" t="s">
        <v>1837</v>
      </c>
      <c r="F1159" s="2">
        <v>11.9543</v>
      </c>
      <c r="G1159" s="2">
        <v>24.328700000000001</v>
      </c>
      <c r="H1159" s="2">
        <v>1.0251300000000001</v>
      </c>
    </row>
    <row r="1160" spans="1:8" x14ac:dyDescent="0.2">
      <c r="A1160" s="2" t="s">
        <v>592</v>
      </c>
      <c r="B1160" s="2" t="s">
        <v>3170</v>
      </c>
      <c r="C1160" s="2" t="s">
        <v>2122</v>
      </c>
      <c r="D1160" s="2" t="s">
        <v>1836</v>
      </c>
      <c r="E1160" s="2" t="s">
        <v>1837</v>
      </c>
      <c r="F1160" s="2">
        <v>0.52139899999999995</v>
      </c>
      <c r="G1160" s="2">
        <v>1.06105</v>
      </c>
      <c r="H1160" s="2">
        <v>1.02504</v>
      </c>
    </row>
    <row r="1161" spans="1:8" x14ac:dyDescent="0.2">
      <c r="A1161" s="2" t="s">
        <v>1560</v>
      </c>
      <c r="B1161" s="2" t="s">
        <v>3015</v>
      </c>
      <c r="C1161" s="2" t="s">
        <v>2713</v>
      </c>
      <c r="D1161" s="2" t="s">
        <v>1839</v>
      </c>
      <c r="E1161" s="2" t="s">
        <v>1841</v>
      </c>
      <c r="F1161" s="2">
        <v>1.47645</v>
      </c>
      <c r="G1161" s="2">
        <v>3.0045799999999998</v>
      </c>
      <c r="H1161" s="2">
        <v>1.02504</v>
      </c>
    </row>
    <row r="1162" spans="1:8" x14ac:dyDescent="0.2">
      <c r="A1162" s="2" t="s">
        <v>814</v>
      </c>
      <c r="B1162" s="2" t="s">
        <v>3033</v>
      </c>
      <c r="C1162" s="2" t="s">
        <v>1858</v>
      </c>
      <c r="D1162" s="2" t="s">
        <v>1836</v>
      </c>
      <c r="E1162" s="2" t="s">
        <v>1837</v>
      </c>
      <c r="F1162" s="2">
        <v>0.741981</v>
      </c>
      <c r="G1162" s="2">
        <v>1.5098199999999999</v>
      </c>
      <c r="H1162" s="2">
        <v>1.0249200000000001</v>
      </c>
    </row>
    <row r="1163" spans="1:8" x14ac:dyDescent="0.2">
      <c r="A1163" s="2" t="s">
        <v>1395</v>
      </c>
      <c r="B1163" s="2" t="s">
        <v>3087</v>
      </c>
      <c r="C1163" s="2" t="s">
        <v>2572</v>
      </c>
      <c r="D1163" s="2" t="s">
        <v>1836</v>
      </c>
      <c r="E1163" s="2" t="s">
        <v>1838</v>
      </c>
      <c r="F1163" s="2">
        <v>310.68599999999998</v>
      </c>
      <c r="G1163" s="2">
        <v>632.19399999999996</v>
      </c>
      <c r="H1163" s="2">
        <v>1.02491</v>
      </c>
    </row>
    <row r="1164" spans="1:8" x14ac:dyDescent="0.2">
      <c r="A1164" s="2" t="s">
        <v>12</v>
      </c>
      <c r="B1164" s="2" t="s">
        <v>3015</v>
      </c>
      <c r="C1164" s="2" t="s">
        <v>1847</v>
      </c>
      <c r="D1164" s="2" t="s">
        <v>1839</v>
      </c>
      <c r="E1164" s="2" t="s">
        <v>1840</v>
      </c>
      <c r="F1164" s="2">
        <v>15.9681</v>
      </c>
      <c r="G1164" s="2">
        <v>32.473799999999997</v>
      </c>
      <c r="H1164" s="2">
        <v>1.0240800000000001</v>
      </c>
    </row>
    <row r="1165" spans="1:8" x14ac:dyDescent="0.2">
      <c r="A1165" s="2" t="s">
        <v>1641</v>
      </c>
      <c r="B1165" s="2" t="s">
        <v>3045</v>
      </c>
      <c r="C1165" s="2" t="s">
        <v>2807</v>
      </c>
      <c r="D1165" s="2" t="s">
        <v>1839</v>
      </c>
      <c r="E1165" s="2" t="s">
        <v>1841</v>
      </c>
      <c r="F1165" s="2">
        <v>1.6821900000000001</v>
      </c>
      <c r="G1165" s="2">
        <v>3.4190700000000001</v>
      </c>
      <c r="H1165" s="2">
        <v>1.0232600000000001</v>
      </c>
    </row>
    <row r="1166" spans="1:8" x14ac:dyDescent="0.2">
      <c r="A1166" s="2" t="s">
        <v>1463</v>
      </c>
      <c r="B1166" s="2" t="s">
        <v>3068</v>
      </c>
      <c r="C1166" s="2" t="s">
        <v>2610</v>
      </c>
      <c r="D1166" s="2" t="s">
        <v>1836</v>
      </c>
      <c r="E1166" s="2" t="s">
        <v>1838</v>
      </c>
      <c r="F1166" s="2">
        <v>6.8632299999999997</v>
      </c>
      <c r="G1166" s="2">
        <v>13.948700000000001</v>
      </c>
      <c r="H1166" s="2">
        <v>1.0231699999999999</v>
      </c>
    </row>
    <row r="1167" spans="1:8" x14ac:dyDescent="0.2">
      <c r="A1167" s="2" t="s">
        <v>1448</v>
      </c>
      <c r="B1167" s="2" t="s">
        <v>3015</v>
      </c>
      <c r="C1167" s="2" t="s">
        <v>3015</v>
      </c>
      <c r="D1167" s="2" t="s">
        <v>1839</v>
      </c>
      <c r="E1167" s="2" t="s">
        <v>1841</v>
      </c>
      <c r="F1167" s="2">
        <v>1.34402</v>
      </c>
      <c r="G1167" s="2">
        <v>2.73088</v>
      </c>
      <c r="H1167" s="2">
        <v>1.02281</v>
      </c>
    </row>
    <row r="1168" spans="1:8" x14ac:dyDescent="0.2">
      <c r="A1168" s="2" t="s">
        <v>114</v>
      </c>
      <c r="B1168" s="2" t="s">
        <v>3035</v>
      </c>
      <c r="C1168" s="2" t="s">
        <v>1892</v>
      </c>
      <c r="D1168" s="2" t="s">
        <v>1836</v>
      </c>
      <c r="E1168" s="2" t="s">
        <v>1837</v>
      </c>
      <c r="F1168" s="2">
        <v>21.9374</v>
      </c>
      <c r="G1168" s="2">
        <v>44.572200000000002</v>
      </c>
      <c r="H1168" s="2">
        <v>1.02275</v>
      </c>
    </row>
    <row r="1169" spans="1:8" x14ac:dyDescent="0.2">
      <c r="A1169" s="2" t="s">
        <v>163</v>
      </c>
      <c r="B1169" s="2" t="s">
        <v>3015</v>
      </c>
      <c r="C1169" s="2" t="s">
        <v>1922</v>
      </c>
      <c r="D1169" s="2" t="s">
        <v>1836</v>
      </c>
      <c r="E1169" s="2" t="s">
        <v>1837</v>
      </c>
      <c r="F1169" s="2">
        <v>13.3531</v>
      </c>
      <c r="G1169" s="2">
        <v>27.1234</v>
      </c>
      <c r="H1169" s="2">
        <v>1.0223599999999999</v>
      </c>
    </row>
    <row r="1170" spans="1:8" x14ac:dyDescent="0.2">
      <c r="A1170" s="2" t="s">
        <v>1453</v>
      </c>
      <c r="B1170" s="2" t="s">
        <v>3258</v>
      </c>
      <c r="C1170" s="2" t="s">
        <v>2960</v>
      </c>
      <c r="D1170" s="2" t="s">
        <v>1839</v>
      </c>
      <c r="E1170" s="2" t="s">
        <v>1841</v>
      </c>
      <c r="F1170" s="2">
        <v>3.7033700000000001</v>
      </c>
      <c r="G1170" s="2">
        <v>7.5190900000000003</v>
      </c>
      <c r="H1170" s="2">
        <v>1.02172</v>
      </c>
    </row>
    <row r="1171" spans="1:8" x14ac:dyDescent="0.2">
      <c r="A1171" s="2" t="s">
        <v>1421</v>
      </c>
      <c r="B1171" s="2" t="s">
        <v>3471</v>
      </c>
      <c r="C1171" s="2" t="s">
        <v>2918</v>
      </c>
      <c r="D1171" s="2" t="s">
        <v>1839</v>
      </c>
      <c r="E1171" s="2" t="s">
        <v>1841</v>
      </c>
      <c r="F1171" s="2">
        <v>5.2362399999999996</v>
      </c>
      <c r="G1171" s="2">
        <v>10.6282</v>
      </c>
      <c r="H1171" s="2">
        <v>1.02129</v>
      </c>
    </row>
    <row r="1172" spans="1:8" x14ac:dyDescent="0.2">
      <c r="A1172" s="2" t="s">
        <v>528</v>
      </c>
      <c r="B1172" s="2" t="s">
        <v>3015</v>
      </c>
      <c r="C1172" s="2" t="s">
        <v>1844</v>
      </c>
      <c r="D1172" s="2" t="s">
        <v>1836</v>
      </c>
      <c r="E1172" s="2" t="s">
        <v>1837</v>
      </c>
      <c r="F1172" s="2">
        <v>14.677199999999999</v>
      </c>
      <c r="G1172" s="2">
        <v>29.789000000000001</v>
      </c>
      <c r="H1172" s="2">
        <v>1.02121</v>
      </c>
    </row>
    <row r="1173" spans="1:8" x14ac:dyDescent="0.2">
      <c r="A1173" s="2" t="s">
        <v>281</v>
      </c>
      <c r="B1173" s="2" t="s">
        <v>3015</v>
      </c>
      <c r="C1173" s="2" t="s">
        <v>3016</v>
      </c>
      <c r="D1173" s="2" t="s">
        <v>1836</v>
      </c>
      <c r="E1173" s="2" t="s">
        <v>1838</v>
      </c>
      <c r="F1173" s="2">
        <v>7.2518099999999999</v>
      </c>
      <c r="G1173" s="2">
        <v>14.7172</v>
      </c>
      <c r="H1173" s="2">
        <v>1.0210900000000001</v>
      </c>
    </row>
    <row r="1174" spans="1:8" x14ac:dyDescent="0.2">
      <c r="A1174" s="2" t="s">
        <v>1408</v>
      </c>
      <c r="B1174" s="2" t="s">
        <v>3242</v>
      </c>
      <c r="C1174" s="2" t="s">
        <v>2282</v>
      </c>
      <c r="D1174" s="2" t="s">
        <v>1839</v>
      </c>
      <c r="E1174" s="2" t="s">
        <v>1841</v>
      </c>
      <c r="F1174" s="2">
        <v>6.8091600000000003</v>
      </c>
      <c r="G1174" s="2">
        <v>13.817600000000001</v>
      </c>
      <c r="H1174" s="2">
        <v>1.0209600000000001</v>
      </c>
    </row>
    <row r="1175" spans="1:8" x14ac:dyDescent="0.2">
      <c r="A1175" s="2" t="s">
        <v>833</v>
      </c>
      <c r="B1175" s="2" t="s">
        <v>3015</v>
      </c>
      <c r="C1175" s="2" t="s">
        <v>2223</v>
      </c>
      <c r="D1175" s="2" t="s">
        <v>1836</v>
      </c>
      <c r="E1175" s="2" t="s">
        <v>1837</v>
      </c>
      <c r="F1175" s="2">
        <v>0.69544600000000001</v>
      </c>
      <c r="G1175" s="2">
        <v>1.41123</v>
      </c>
      <c r="H1175" s="2">
        <v>1.02094</v>
      </c>
    </row>
    <row r="1176" spans="1:8" x14ac:dyDescent="0.2">
      <c r="A1176" s="2" t="s">
        <v>1705</v>
      </c>
      <c r="B1176" s="2" t="s">
        <v>3015</v>
      </c>
      <c r="C1176" s="2" t="s">
        <v>2034</v>
      </c>
      <c r="D1176" s="2" t="s">
        <v>1839</v>
      </c>
      <c r="E1176" s="2" t="s">
        <v>1841</v>
      </c>
      <c r="F1176" s="2">
        <v>1.85189</v>
      </c>
      <c r="G1176" s="2">
        <v>3.7568999999999999</v>
      </c>
      <c r="H1176" s="2">
        <v>1.0205500000000001</v>
      </c>
    </row>
    <row r="1177" spans="1:8" x14ac:dyDescent="0.2">
      <c r="A1177" s="2" t="s">
        <v>1468</v>
      </c>
      <c r="B1177" s="2" t="s">
        <v>3015</v>
      </c>
      <c r="C1177" s="2" t="s">
        <v>3015</v>
      </c>
      <c r="D1177" s="2" t="s">
        <v>1839</v>
      </c>
      <c r="E1177" s="2" t="s">
        <v>1840</v>
      </c>
      <c r="F1177" s="2">
        <v>0.67998400000000003</v>
      </c>
      <c r="G1177" s="2">
        <v>1.3794200000000001</v>
      </c>
      <c r="H1177" s="2">
        <v>1.0204899999999999</v>
      </c>
    </row>
    <row r="1178" spans="1:8" x14ac:dyDescent="0.2">
      <c r="A1178" s="2" t="s">
        <v>1606</v>
      </c>
      <c r="B1178" s="2" t="s">
        <v>3301</v>
      </c>
      <c r="C1178" s="2" t="s">
        <v>1901</v>
      </c>
      <c r="D1178" s="2" t="s">
        <v>1839</v>
      </c>
      <c r="E1178" s="2" t="s">
        <v>1841</v>
      </c>
      <c r="F1178" s="2">
        <v>0.98056699999999997</v>
      </c>
      <c r="G1178" s="2">
        <v>1.9883200000000001</v>
      </c>
      <c r="H1178" s="2">
        <v>1.01986</v>
      </c>
    </row>
    <row r="1179" spans="1:8" x14ac:dyDescent="0.2">
      <c r="A1179" s="2" t="s">
        <v>1119</v>
      </c>
      <c r="B1179" s="2" t="s">
        <v>3015</v>
      </c>
      <c r="C1179" s="2" t="s">
        <v>3015</v>
      </c>
      <c r="D1179" s="2" t="s">
        <v>1836</v>
      </c>
      <c r="E1179" s="2" t="s">
        <v>1837</v>
      </c>
      <c r="F1179" s="2">
        <v>0.67841700000000005</v>
      </c>
      <c r="G1179" s="2">
        <v>1.3751800000000001</v>
      </c>
      <c r="H1179" s="2">
        <v>1.01938</v>
      </c>
    </row>
    <row r="1180" spans="1:8" x14ac:dyDescent="0.2">
      <c r="A1180" s="2" t="s">
        <v>1521</v>
      </c>
      <c r="B1180" s="2" t="s">
        <v>3015</v>
      </c>
      <c r="C1180" s="2" t="s">
        <v>2674</v>
      </c>
      <c r="D1180" s="2" t="s">
        <v>1839</v>
      </c>
      <c r="E1180" s="2" t="s">
        <v>1840</v>
      </c>
      <c r="F1180" s="2">
        <v>0.435699</v>
      </c>
      <c r="G1180" s="2">
        <v>0.88316700000000004</v>
      </c>
      <c r="H1180" s="2">
        <v>1.01935</v>
      </c>
    </row>
    <row r="1181" spans="1:8" x14ac:dyDescent="0.2">
      <c r="A1181" s="2" t="s">
        <v>1815</v>
      </c>
      <c r="B1181" s="2" t="s">
        <v>3015</v>
      </c>
      <c r="C1181" s="2" t="s">
        <v>2991</v>
      </c>
      <c r="D1181" s="2" t="s">
        <v>1839</v>
      </c>
      <c r="E1181" s="2" t="s">
        <v>1840</v>
      </c>
      <c r="F1181" s="2">
        <v>3.9996200000000002</v>
      </c>
      <c r="G1181" s="2">
        <v>8.1065900000000006</v>
      </c>
      <c r="H1181" s="2">
        <v>1.0192300000000001</v>
      </c>
    </row>
    <row r="1182" spans="1:8" x14ac:dyDescent="0.2">
      <c r="A1182" s="2" t="s">
        <v>1802</v>
      </c>
      <c r="B1182" s="2" t="s">
        <v>3024</v>
      </c>
      <c r="C1182" s="2" t="s">
        <v>2980</v>
      </c>
      <c r="D1182" s="2" t="s">
        <v>1839</v>
      </c>
      <c r="E1182" s="2" t="s">
        <v>1840</v>
      </c>
      <c r="F1182" s="2">
        <v>1.58091</v>
      </c>
      <c r="G1182" s="2">
        <v>3.2036600000000002</v>
      </c>
      <c r="H1182" s="2">
        <v>1.0189699999999999</v>
      </c>
    </row>
    <row r="1183" spans="1:8" x14ac:dyDescent="0.2">
      <c r="A1183" s="2" t="s">
        <v>818</v>
      </c>
      <c r="B1183" s="2" t="s">
        <v>3215</v>
      </c>
      <c r="C1183" s="2" t="s">
        <v>2213</v>
      </c>
      <c r="D1183" s="2" t="s">
        <v>1836</v>
      </c>
      <c r="E1183" s="2" t="s">
        <v>1837</v>
      </c>
      <c r="F1183" s="2">
        <v>0.71716599999999997</v>
      </c>
      <c r="G1183" s="2">
        <v>1.4530099999999999</v>
      </c>
      <c r="H1183" s="2">
        <v>1.0186599999999999</v>
      </c>
    </row>
    <row r="1184" spans="1:8" x14ac:dyDescent="0.2">
      <c r="A1184" s="2" t="s">
        <v>1366</v>
      </c>
      <c r="B1184" s="2" t="s">
        <v>3027</v>
      </c>
      <c r="C1184" s="2" t="s">
        <v>2550</v>
      </c>
      <c r="D1184" s="2" t="s">
        <v>1836</v>
      </c>
      <c r="E1184" s="2" t="s">
        <v>1838</v>
      </c>
      <c r="F1184" s="2">
        <v>1.6348</v>
      </c>
      <c r="G1184" s="2">
        <v>3.31107</v>
      </c>
      <c r="H1184" s="2">
        <v>1.0181899999999999</v>
      </c>
    </row>
    <row r="1185" spans="1:8" x14ac:dyDescent="0.2">
      <c r="A1185" s="2" t="s">
        <v>41</v>
      </c>
      <c r="B1185" s="2" t="s">
        <v>3015</v>
      </c>
      <c r="C1185" s="2" t="s">
        <v>3015</v>
      </c>
      <c r="D1185" s="2" t="s">
        <v>1836</v>
      </c>
      <c r="E1185" s="2" t="s">
        <v>1837</v>
      </c>
      <c r="F1185" s="2">
        <v>14.8834</v>
      </c>
      <c r="G1185" s="2">
        <v>30.135200000000001</v>
      </c>
      <c r="H1185" s="2">
        <v>1.0177400000000001</v>
      </c>
    </row>
    <row r="1186" spans="1:8" x14ac:dyDescent="0.2">
      <c r="A1186" s="2" t="s">
        <v>1754</v>
      </c>
      <c r="B1186" s="2" t="s">
        <v>3015</v>
      </c>
      <c r="C1186" s="2" t="s">
        <v>3006</v>
      </c>
      <c r="D1186" s="2" t="s">
        <v>1839</v>
      </c>
      <c r="E1186" s="2" t="s">
        <v>1840</v>
      </c>
      <c r="F1186" s="2">
        <v>1.2860799999999999</v>
      </c>
      <c r="G1186" s="2">
        <v>2.6039099999999999</v>
      </c>
      <c r="H1186" s="2">
        <v>1.0177</v>
      </c>
    </row>
    <row r="1187" spans="1:8" x14ac:dyDescent="0.2">
      <c r="A1187" s="2" t="s">
        <v>1704</v>
      </c>
      <c r="B1187" s="2" t="s">
        <v>3459</v>
      </c>
      <c r="C1187" s="2" t="s">
        <v>2869</v>
      </c>
      <c r="D1187" s="2" t="s">
        <v>1839</v>
      </c>
      <c r="E1187" s="2" t="s">
        <v>1841</v>
      </c>
      <c r="F1187" s="2">
        <v>1.15276</v>
      </c>
      <c r="G1187" s="2">
        <v>2.3339500000000002</v>
      </c>
      <c r="H1187" s="2">
        <v>1.0176799999999999</v>
      </c>
    </row>
    <row r="1188" spans="1:8" x14ac:dyDescent="0.2">
      <c r="A1188" s="2" t="s">
        <v>1575</v>
      </c>
      <c r="B1188" s="2" t="s">
        <v>3146</v>
      </c>
      <c r="C1188" s="2" t="s">
        <v>2732</v>
      </c>
      <c r="D1188" s="2" t="s">
        <v>1839</v>
      </c>
      <c r="E1188" s="2" t="s">
        <v>1841</v>
      </c>
      <c r="F1188" s="2">
        <v>0.74914700000000001</v>
      </c>
      <c r="G1188" s="2">
        <v>1.5165900000000001</v>
      </c>
      <c r="H1188" s="2">
        <v>1.0175099999999999</v>
      </c>
    </row>
    <row r="1189" spans="1:8" x14ac:dyDescent="0.2">
      <c r="A1189" s="2" t="s">
        <v>1397</v>
      </c>
      <c r="B1189" s="2" t="s">
        <v>3462</v>
      </c>
      <c r="C1189" s="2" t="s">
        <v>2885</v>
      </c>
      <c r="D1189" s="2" t="s">
        <v>1839</v>
      </c>
      <c r="E1189" s="2" t="s">
        <v>1841</v>
      </c>
      <c r="F1189" s="2">
        <v>5.5134699999999999</v>
      </c>
      <c r="G1189" s="2">
        <v>11.161199999999999</v>
      </c>
      <c r="H1189" s="2">
        <v>1.01746</v>
      </c>
    </row>
    <row r="1190" spans="1:8" x14ac:dyDescent="0.2">
      <c r="A1190" s="2" t="s">
        <v>912</v>
      </c>
      <c r="B1190" s="2" t="s">
        <v>3015</v>
      </c>
      <c r="C1190" s="2" t="s">
        <v>2920</v>
      </c>
      <c r="D1190" s="2" t="s">
        <v>1839</v>
      </c>
      <c r="E1190" s="2" t="s">
        <v>1841</v>
      </c>
      <c r="F1190" s="2">
        <v>4.8750499999999999</v>
      </c>
      <c r="G1190" s="2">
        <v>9.8673199999999994</v>
      </c>
      <c r="H1190" s="2">
        <v>1.0172399999999999</v>
      </c>
    </row>
    <row r="1191" spans="1:8" x14ac:dyDescent="0.2">
      <c r="A1191" s="2" t="s">
        <v>1658</v>
      </c>
      <c r="B1191" s="2" t="s">
        <v>3015</v>
      </c>
      <c r="C1191" s="2" t="s">
        <v>3015</v>
      </c>
      <c r="D1191" s="2" t="s">
        <v>1839</v>
      </c>
      <c r="E1191" s="2" t="s">
        <v>1841</v>
      </c>
      <c r="F1191" s="2">
        <v>1.7488600000000001</v>
      </c>
      <c r="G1191" s="2">
        <v>3.5392800000000002</v>
      </c>
      <c r="H1191" s="2">
        <v>1.0170399999999999</v>
      </c>
    </row>
    <row r="1192" spans="1:8" x14ac:dyDescent="0.2">
      <c r="A1192" s="2" t="s">
        <v>1298</v>
      </c>
      <c r="B1192" s="2" t="s">
        <v>3068</v>
      </c>
      <c r="C1192" s="2" t="s">
        <v>2799</v>
      </c>
      <c r="D1192" s="2" t="s">
        <v>1839</v>
      </c>
      <c r="E1192" s="2" t="s">
        <v>1840</v>
      </c>
      <c r="F1192" s="2">
        <v>0.70306900000000006</v>
      </c>
      <c r="G1192" s="2">
        <v>1.42258</v>
      </c>
      <c r="H1192" s="2">
        <v>1.01677</v>
      </c>
    </row>
    <row r="1193" spans="1:8" x14ac:dyDescent="0.2">
      <c r="A1193" s="2" t="s">
        <v>969</v>
      </c>
      <c r="B1193" s="2" t="s">
        <v>3250</v>
      </c>
      <c r="C1193" s="2" t="s">
        <v>2300</v>
      </c>
      <c r="D1193" s="2" t="s">
        <v>1836</v>
      </c>
      <c r="E1193" s="2" t="s">
        <v>1837</v>
      </c>
      <c r="F1193" s="2">
        <v>1.84158</v>
      </c>
      <c r="G1193" s="2">
        <v>3.7256999999999998</v>
      </c>
      <c r="H1193" s="2">
        <v>1.01657</v>
      </c>
    </row>
    <row r="1194" spans="1:8" x14ac:dyDescent="0.2">
      <c r="A1194" s="2" t="s">
        <v>1060</v>
      </c>
      <c r="B1194" s="2" t="s">
        <v>3015</v>
      </c>
      <c r="C1194" s="2" t="s">
        <v>2338</v>
      </c>
      <c r="D1194" s="2" t="s">
        <v>1839</v>
      </c>
      <c r="E1194" s="2" t="s">
        <v>1841</v>
      </c>
      <c r="F1194" s="2">
        <v>6.2891300000000001</v>
      </c>
      <c r="G1194" s="2">
        <v>12.7218</v>
      </c>
      <c r="H1194" s="2">
        <v>1.01637</v>
      </c>
    </row>
    <row r="1195" spans="1:8" x14ac:dyDescent="0.2">
      <c r="A1195" s="2" t="s">
        <v>1231</v>
      </c>
      <c r="B1195" s="2" t="s">
        <v>3030</v>
      </c>
      <c r="C1195" s="2" t="s">
        <v>2721</v>
      </c>
      <c r="D1195" s="2" t="s">
        <v>1839</v>
      </c>
      <c r="E1195" s="2" t="s">
        <v>1841</v>
      </c>
      <c r="F1195" s="2">
        <v>1.5259100000000001</v>
      </c>
      <c r="G1195" s="2">
        <v>3.0861200000000002</v>
      </c>
      <c r="H1195" s="2">
        <v>1.01613</v>
      </c>
    </row>
    <row r="1196" spans="1:8" x14ac:dyDescent="0.2">
      <c r="A1196" s="2" t="s">
        <v>312</v>
      </c>
      <c r="B1196" s="2" t="s">
        <v>3135</v>
      </c>
      <c r="C1196" s="2" t="s">
        <v>2447</v>
      </c>
      <c r="D1196" s="2" t="s">
        <v>1839</v>
      </c>
      <c r="E1196" s="2" t="s">
        <v>1840</v>
      </c>
      <c r="F1196" s="2">
        <v>1.1326400000000001</v>
      </c>
      <c r="G1196" s="2">
        <v>2.2907000000000002</v>
      </c>
      <c r="H1196" s="2">
        <v>1.0160899999999999</v>
      </c>
    </row>
    <row r="1197" spans="1:8" x14ac:dyDescent="0.2">
      <c r="A1197" s="2" t="s">
        <v>845</v>
      </c>
      <c r="B1197" s="2" t="s">
        <v>3037</v>
      </c>
      <c r="C1197" s="2" t="s">
        <v>2232</v>
      </c>
      <c r="D1197" s="2" t="s">
        <v>1836</v>
      </c>
      <c r="E1197" s="2" t="s">
        <v>1837</v>
      </c>
      <c r="F1197" s="2">
        <v>0.38727299999999998</v>
      </c>
      <c r="G1197" s="2">
        <v>0.78278700000000001</v>
      </c>
      <c r="H1197" s="2">
        <v>1.0152699999999999</v>
      </c>
    </row>
    <row r="1198" spans="1:8" x14ac:dyDescent="0.2">
      <c r="A1198" s="2" t="s">
        <v>283</v>
      </c>
      <c r="B1198" s="2" t="s">
        <v>3106</v>
      </c>
      <c r="C1198" s="2" t="s">
        <v>1975</v>
      </c>
      <c r="D1198" s="2" t="s">
        <v>1836</v>
      </c>
      <c r="E1198" s="2" t="s">
        <v>1837</v>
      </c>
      <c r="F1198" s="2">
        <v>938.846</v>
      </c>
      <c r="G1198" s="2">
        <v>1896.46</v>
      </c>
      <c r="H1198" s="2">
        <v>1.0143500000000001</v>
      </c>
    </row>
    <row r="1199" spans="1:8" x14ac:dyDescent="0.2">
      <c r="A1199" s="2" t="s">
        <v>1268</v>
      </c>
      <c r="B1199" s="2" t="s">
        <v>3015</v>
      </c>
      <c r="C1199" s="2" t="s">
        <v>2471</v>
      </c>
      <c r="D1199" s="2" t="s">
        <v>1836</v>
      </c>
      <c r="E1199" s="2" t="s">
        <v>1838</v>
      </c>
      <c r="F1199" s="2">
        <v>1.57084</v>
      </c>
      <c r="G1199" s="2">
        <v>3.1724600000000001</v>
      </c>
      <c r="H1199" s="2">
        <v>1.01406</v>
      </c>
    </row>
    <row r="1200" spans="1:8" x14ac:dyDescent="0.2">
      <c r="A1200" s="2" t="s">
        <v>1203</v>
      </c>
      <c r="B1200" s="2" t="s">
        <v>3090</v>
      </c>
      <c r="C1200" s="2" t="s">
        <v>2483</v>
      </c>
      <c r="D1200" s="2" t="s">
        <v>1839</v>
      </c>
      <c r="E1200" s="2" t="s">
        <v>1841</v>
      </c>
      <c r="F1200" s="2">
        <v>1.4202699999999999</v>
      </c>
      <c r="G1200" s="2">
        <v>2.8665400000000001</v>
      </c>
      <c r="H1200" s="2">
        <v>1.01315</v>
      </c>
    </row>
    <row r="1201" spans="1:8" x14ac:dyDescent="0.2">
      <c r="A1201" s="2" t="s">
        <v>1472</v>
      </c>
      <c r="B1201" s="2" t="s">
        <v>3015</v>
      </c>
      <c r="C1201" s="2" t="s">
        <v>2612</v>
      </c>
      <c r="D1201" s="2" t="s">
        <v>1836</v>
      </c>
      <c r="E1201" s="2" t="s">
        <v>1838</v>
      </c>
      <c r="F1201" s="2">
        <v>8.5740200000000009</v>
      </c>
      <c r="G1201" s="2">
        <v>17.3049</v>
      </c>
      <c r="H1201" s="2">
        <v>1.0131399999999999</v>
      </c>
    </row>
    <row r="1202" spans="1:8" x14ac:dyDescent="0.2">
      <c r="A1202" s="2" t="s">
        <v>643</v>
      </c>
      <c r="B1202" s="2" t="s">
        <v>3180</v>
      </c>
      <c r="C1202" s="2" t="s">
        <v>1847</v>
      </c>
      <c r="D1202" s="2" t="s">
        <v>1836</v>
      </c>
      <c r="E1202" s="2" t="s">
        <v>1837</v>
      </c>
      <c r="F1202" s="2">
        <v>0.49564200000000003</v>
      </c>
      <c r="G1202" s="2">
        <v>1.0002899999999999</v>
      </c>
      <c r="H1202" s="2">
        <v>1.01305</v>
      </c>
    </row>
    <row r="1203" spans="1:8" x14ac:dyDescent="0.2">
      <c r="A1203" s="2" t="s">
        <v>571</v>
      </c>
      <c r="B1203" s="2" t="s">
        <v>3015</v>
      </c>
      <c r="C1203" s="2" t="s">
        <v>3015</v>
      </c>
      <c r="D1203" s="2" t="s">
        <v>1839</v>
      </c>
      <c r="E1203" s="2" t="s">
        <v>1841</v>
      </c>
      <c r="F1203" s="2">
        <v>0.668597</v>
      </c>
      <c r="G1203" s="2">
        <v>1.3493200000000001</v>
      </c>
      <c r="H1203" s="2">
        <v>1.0130300000000001</v>
      </c>
    </row>
    <row r="1204" spans="1:8" x14ac:dyDescent="0.2">
      <c r="A1204" s="2" t="s">
        <v>724</v>
      </c>
      <c r="B1204" s="2" t="s">
        <v>3037</v>
      </c>
      <c r="C1204" s="2" t="s">
        <v>2180</v>
      </c>
      <c r="D1204" s="2" t="s">
        <v>1839</v>
      </c>
      <c r="E1204" s="2" t="s">
        <v>1840</v>
      </c>
      <c r="F1204" s="2">
        <v>0.78131499999999998</v>
      </c>
      <c r="G1204" s="2">
        <v>1.5768</v>
      </c>
      <c r="H1204" s="2">
        <v>1.01302</v>
      </c>
    </row>
    <row r="1205" spans="1:8" x14ac:dyDescent="0.2">
      <c r="A1205" s="2" t="s">
        <v>1166</v>
      </c>
      <c r="B1205" s="2" t="s">
        <v>3015</v>
      </c>
      <c r="C1205" s="2" t="s">
        <v>2659</v>
      </c>
      <c r="D1205" s="2" t="s">
        <v>1839</v>
      </c>
      <c r="E1205" s="2" t="s">
        <v>1841</v>
      </c>
      <c r="F1205" s="2">
        <v>1.1134500000000001</v>
      </c>
      <c r="G1205" s="2">
        <v>2.2461700000000002</v>
      </c>
      <c r="H1205" s="2">
        <v>1.0124299999999999</v>
      </c>
    </row>
    <row r="1206" spans="1:8" x14ac:dyDescent="0.2">
      <c r="A1206" s="2" t="s">
        <v>340</v>
      </c>
      <c r="B1206" s="2" t="s">
        <v>3015</v>
      </c>
      <c r="C1206" s="2" t="s">
        <v>2453</v>
      </c>
      <c r="D1206" s="2" t="s">
        <v>1836</v>
      </c>
      <c r="E1206" s="2" t="s">
        <v>1838</v>
      </c>
      <c r="F1206" s="2">
        <v>2.8148300000000002</v>
      </c>
      <c r="G1206" s="2">
        <v>5.67835</v>
      </c>
      <c r="H1206" s="2">
        <v>1.0124200000000001</v>
      </c>
    </row>
    <row r="1207" spans="1:8" x14ac:dyDescent="0.2">
      <c r="A1207" s="2" t="s">
        <v>418</v>
      </c>
      <c r="B1207" s="2" t="s">
        <v>3015</v>
      </c>
      <c r="C1207" s="2" t="s">
        <v>3016</v>
      </c>
      <c r="D1207" s="2" t="s">
        <v>1836</v>
      </c>
      <c r="E1207" s="2" t="s">
        <v>1837</v>
      </c>
      <c r="F1207" s="2">
        <v>2.8628999999999998</v>
      </c>
      <c r="G1207" s="2">
        <v>5.7714800000000004</v>
      </c>
      <c r="H1207" s="2">
        <v>1.01146</v>
      </c>
    </row>
    <row r="1208" spans="1:8" x14ac:dyDescent="0.2">
      <c r="A1208" s="2" t="s">
        <v>200</v>
      </c>
      <c r="B1208" s="2" t="s">
        <v>3080</v>
      </c>
      <c r="C1208" s="2" t="s">
        <v>1937</v>
      </c>
      <c r="D1208" s="2" t="s">
        <v>1836</v>
      </c>
      <c r="E1208" s="2" t="s">
        <v>1837</v>
      </c>
      <c r="F1208" s="2">
        <v>0.47484399999999999</v>
      </c>
      <c r="G1208" s="2">
        <v>0.95695600000000003</v>
      </c>
      <c r="H1208" s="2">
        <v>1.0109999999999999</v>
      </c>
    </row>
    <row r="1209" spans="1:8" x14ac:dyDescent="0.2">
      <c r="A1209" s="2" t="s">
        <v>390</v>
      </c>
      <c r="B1209" s="2" t="s">
        <v>3057</v>
      </c>
      <c r="C1209" s="2" t="s">
        <v>2753</v>
      </c>
      <c r="D1209" s="2" t="s">
        <v>1839</v>
      </c>
      <c r="E1209" s="2" t="s">
        <v>1841</v>
      </c>
      <c r="F1209" s="2">
        <v>4.4337900000000001</v>
      </c>
      <c r="G1209" s="2">
        <v>8.9348399999999994</v>
      </c>
      <c r="H1209" s="2">
        <v>1.0108999999999999</v>
      </c>
    </row>
    <row r="1210" spans="1:8" x14ac:dyDescent="0.2">
      <c r="A1210" s="2" t="s">
        <v>1604</v>
      </c>
      <c r="B1210" s="2" t="s">
        <v>3015</v>
      </c>
      <c r="C1210" s="2" t="s">
        <v>1880</v>
      </c>
      <c r="D1210" s="2" t="s">
        <v>1839</v>
      </c>
      <c r="E1210" s="2" t="s">
        <v>1841</v>
      </c>
      <c r="F1210" s="2">
        <v>2.2065600000000001</v>
      </c>
      <c r="G1210" s="2">
        <v>4.4463699999999999</v>
      </c>
      <c r="H1210" s="2">
        <v>1.0108200000000001</v>
      </c>
    </row>
    <row r="1211" spans="1:8" x14ac:dyDescent="0.2">
      <c r="A1211" s="2" t="s">
        <v>1145</v>
      </c>
      <c r="B1211" s="2" t="s">
        <v>3178</v>
      </c>
      <c r="C1211" s="2" t="s">
        <v>2632</v>
      </c>
      <c r="D1211" s="2" t="s">
        <v>1839</v>
      </c>
      <c r="E1211" s="2" t="s">
        <v>1841</v>
      </c>
      <c r="F1211" s="2">
        <v>1.0187999999999999</v>
      </c>
      <c r="G1211" s="2">
        <v>2.0526399999999998</v>
      </c>
      <c r="H1211" s="2">
        <v>1.0105999999999999</v>
      </c>
    </row>
    <row r="1212" spans="1:8" x14ac:dyDescent="0.2">
      <c r="A1212" s="2" t="s">
        <v>725</v>
      </c>
      <c r="B1212" s="2" t="s">
        <v>3198</v>
      </c>
      <c r="C1212" s="2" t="s">
        <v>2181</v>
      </c>
      <c r="D1212" s="2" t="s">
        <v>1836</v>
      </c>
      <c r="E1212" s="2" t="s">
        <v>1837</v>
      </c>
      <c r="F1212" s="2">
        <v>21.617899999999999</v>
      </c>
      <c r="G1212" s="2">
        <v>43.520499999999998</v>
      </c>
      <c r="H1212" s="2">
        <v>1.0094700000000001</v>
      </c>
    </row>
    <row r="1213" spans="1:8" x14ac:dyDescent="0.2">
      <c r="A1213" s="2" t="s">
        <v>976</v>
      </c>
      <c r="B1213" s="2" t="s">
        <v>3477</v>
      </c>
      <c r="C1213" s="2" t="s">
        <v>2939</v>
      </c>
      <c r="D1213" s="2" t="s">
        <v>1839</v>
      </c>
      <c r="E1213" s="2" t="s">
        <v>1841</v>
      </c>
      <c r="F1213" s="2">
        <v>3.23447</v>
      </c>
      <c r="G1213" s="2">
        <v>6.5088400000000002</v>
      </c>
      <c r="H1213" s="2">
        <v>1.0088699999999999</v>
      </c>
    </row>
    <row r="1214" spans="1:8" x14ac:dyDescent="0.2">
      <c r="A1214" s="2" t="s">
        <v>668</v>
      </c>
      <c r="B1214" s="2" t="s">
        <v>3015</v>
      </c>
      <c r="C1214" s="2" t="s">
        <v>3016</v>
      </c>
      <c r="D1214" s="2" t="s">
        <v>1839</v>
      </c>
      <c r="E1214" s="2" t="s">
        <v>1840</v>
      </c>
      <c r="F1214" s="2">
        <v>1.1084499999999999</v>
      </c>
      <c r="G1214" s="2">
        <v>2.2296900000000002</v>
      </c>
      <c r="H1214" s="2">
        <v>1.0083</v>
      </c>
    </row>
    <row r="1215" spans="1:8" x14ac:dyDescent="0.2">
      <c r="A1215" s="2" t="s">
        <v>1824</v>
      </c>
      <c r="B1215" s="2" t="s">
        <v>3046</v>
      </c>
      <c r="C1215" s="2" t="s">
        <v>2693</v>
      </c>
      <c r="D1215" s="2" t="s">
        <v>1839</v>
      </c>
      <c r="E1215" s="2" t="s">
        <v>1840</v>
      </c>
      <c r="F1215" s="2">
        <v>0.50730200000000003</v>
      </c>
      <c r="G1215" s="2">
        <v>1.0197700000000001</v>
      </c>
      <c r="H1215" s="2">
        <v>1.0073300000000001</v>
      </c>
    </row>
    <row r="1216" spans="1:8" x14ac:dyDescent="0.2">
      <c r="A1216" s="2" t="s">
        <v>1052</v>
      </c>
      <c r="B1216" s="2" t="s">
        <v>3027</v>
      </c>
      <c r="C1216" s="2" t="s">
        <v>2336</v>
      </c>
      <c r="D1216" s="2" t="s">
        <v>1836</v>
      </c>
      <c r="E1216" s="2" t="s">
        <v>1837</v>
      </c>
      <c r="F1216" s="2">
        <v>0.87746000000000002</v>
      </c>
      <c r="G1216" s="2">
        <v>1.7621899999999999</v>
      </c>
      <c r="H1216" s="2">
        <v>1.00597</v>
      </c>
    </row>
    <row r="1217" spans="1:8" x14ac:dyDescent="0.2">
      <c r="A1217" s="2" t="s">
        <v>660</v>
      </c>
      <c r="B1217" s="2" t="s">
        <v>3015</v>
      </c>
      <c r="C1217" s="2" t="s">
        <v>2152</v>
      </c>
      <c r="D1217" s="2" t="s">
        <v>1836</v>
      </c>
      <c r="E1217" s="2" t="s">
        <v>1837</v>
      </c>
      <c r="F1217" s="2">
        <v>0.73051600000000005</v>
      </c>
      <c r="G1217" s="2">
        <v>1.46706</v>
      </c>
      <c r="H1217" s="2">
        <v>1.0059400000000001</v>
      </c>
    </row>
    <row r="1218" spans="1:8" x14ac:dyDescent="0.2">
      <c r="A1218" s="2" t="s">
        <v>672</v>
      </c>
      <c r="B1218" s="2" t="s">
        <v>3015</v>
      </c>
      <c r="C1218" s="2" t="s">
        <v>2837</v>
      </c>
      <c r="D1218" s="2" t="s">
        <v>1839</v>
      </c>
      <c r="E1218" s="2" t="s">
        <v>1841</v>
      </c>
      <c r="F1218" s="2">
        <v>1.33152</v>
      </c>
      <c r="G1218" s="2">
        <v>2.6720700000000002</v>
      </c>
      <c r="H1218" s="2">
        <v>1.00488</v>
      </c>
    </row>
    <row r="1219" spans="1:8" x14ac:dyDescent="0.2">
      <c r="A1219" s="2" t="s">
        <v>1157</v>
      </c>
      <c r="B1219" s="2" t="s">
        <v>3286</v>
      </c>
      <c r="C1219" s="2" t="s">
        <v>2391</v>
      </c>
      <c r="D1219" s="2" t="s">
        <v>1839</v>
      </c>
      <c r="E1219" s="2" t="s">
        <v>1840</v>
      </c>
      <c r="F1219" s="2">
        <v>1.6700600000000001</v>
      </c>
      <c r="G1219" s="2">
        <v>3.35006</v>
      </c>
      <c r="H1219" s="2">
        <v>1.0042899999999999</v>
      </c>
    </row>
    <row r="1220" spans="1:8" x14ac:dyDescent="0.2">
      <c r="A1220" s="2" t="s">
        <v>1546</v>
      </c>
      <c r="B1220" s="2" t="s">
        <v>3015</v>
      </c>
      <c r="C1220" s="2" t="s">
        <v>2696</v>
      </c>
      <c r="D1220" s="2" t="s">
        <v>1839</v>
      </c>
      <c r="E1220" s="2" t="s">
        <v>1841</v>
      </c>
      <c r="F1220" s="2">
        <v>5.0834599999999996</v>
      </c>
      <c r="G1220" s="2">
        <v>10.1965</v>
      </c>
      <c r="H1220" s="2">
        <v>1.0042</v>
      </c>
    </row>
    <row r="1221" spans="1:8" x14ac:dyDescent="0.2">
      <c r="A1221" s="2" t="s">
        <v>1032</v>
      </c>
      <c r="B1221" s="2" t="s">
        <v>3201</v>
      </c>
      <c r="C1221" s="2" t="s">
        <v>2677</v>
      </c>
      <c r="D1221" s="2" t="s">
        <v>1839</v>
      </c>
      <c r="E1221" s="2" t="s">
        <v>1841</v>
      </c>
      <c r="F1221" s="2">
        <v>3.1874600000000002</v>
      </c>
      <c r="G1221" s="2">
        <v>6.3919800000000002</v>
      </c>
      <c r="H1221" s="2">
        <v>1.00386</v>
      </c>
    </row>
    <row r="1222" spans="1:8" x14ac:dyDescent="0.2">
      <c r="A1222" s="2" t="s">
        <v>632</v>
      </c>
      <c r="B1222" s="2" t="s">
        <v>3015</v>
      </c>
      <c r="C1222" s="2" t="s">
        <v>3015</v>
      </c>
      <c r="D1222" s="2" t="s">
        <v>1839</v>
      </c>
      <c r="E1222" s="2" t="s">
        <v>1840</v>
      </c>
      <c r="F1222" s="2">
        <v>14.6378</v>
      </c>
      <c r="G1222" s="2">
        <v>29.3476</v>
      </c>
      <c r="H1222" s="2">
        <v>1.0035400000000001</v>
      </c>
    </row>
    <row r="1223" spans="1:8" x14ac:dyDescent="0.2">
      <c r="A1223" s="2" t="s">
        <v>258</v>
      </c>
      <c r="B1223" s="2" t="s">
        <v>3026</v>
      </c>
      <c r="C1223" s="2" t="s">
        <v>2699</v>
      </c>
      <c r="D1223" s="2" t="s">
        <v>1839</v>
      </c>
      <c r="E1223" s="2" t="s">
        <v>1841</v>
      </c>
      <c r="F1223" s="2">
        <v>2.3042199999999999</v>
      </c>
      <c r="G1223" s="2">
        <v>4.6188500000000001</v>
      </c>
      <c r="H1223" s="2">
        <v>1.00326</v>
      </c>
    </row>
    <row r="1224" spans="1:8" x14ac:dyDescent="0.2">
      <c r="A1224" s="2" t="s">
        <v>355</v>
      </c>
      <c r="B1224" s="2" t="s">
        <v>3027</v>
      </c>
      <c r="C1224" s="2" t="s">
        <v>2739</v>
      </c>
      <c r="D1224" s="2" t="s">
        <v>1839</v>
      </c>
      <c r="E1224" s="2" t="s">
        <v>1841</v>
      </c>
      <c r="F1224" s="2">
        <v>7.1759000000000004</v>
      </c>
      <c r="G1224" s="2">
        <v>14.3811</v>
      </c>
      <c r="H1224" s="2">
        <v>1.0029399999999999</v>
      </c>
    </row>
    <row r="1225" spans="1:8" x14ac:dyDescent="0.2">
      <c r="A1225" s="2" t="s">
        <v>767</v>
      </c>
      <c r="B1225" s="2" t="s">
        <v>3359</v>
      </c>
      <c r="C1225" s="2" t="s">
        <v>2561</v>
      </c>
      <c r="D1225" s="2" t="s">
        <v>1836</v>
      </c>
      <c r="E1225" s="2" t="s">
        <v>1838</v>
      </c>
      <c r="F1225" s="2">
        <v>10.242100000000001</v>
      </c>
      <c r="G1225" s="2">
        <v>20.5258</v>
      </c>
      <c r="H1225" s="2">
        <v>1.0029300000000001</v>
      </c>
    </row>
    <row r="1226" spans="1:8" x14ac:dyDescent="0.2">
      <c r="A1226" s="2" t="s">
        <v>686</v>
      </c>
      <c r="B1226" s="2" t="s">
        <v>3045</v>
      </c>
      <c r="C1226" s="2" t="s">
        <v>1923</v>
      </c>
      <c r="D1226" s="2" t="s">
        <v>1836</v>
      </c>
      <c r="E1226" s="2" t="s">
        <v>1837</v>
      </c>
      <c r="F1226" s="2">
        <v>1.31301</v>
      </c>
      <c r="G1226" s="2">
        <v>2.63123</v>
      </c>
      <c r="H1226" s="2">
        <v>1.0028600000000001</v>
      </c>
    </row>
    <row r="1227" spans="1:8" x14ac:dyDescent="0.2">
      <c r="A1227" s="2" t="s">
        <v>1331</v>
      </c>
      <c r="B1227" s="2" t="s">
        <v>3191</v>
      </c>
      <c r="C1227" s="2" t="s">
        <v>2526</v>
      </c>
      <c r="D1227" s="2" t="s">
        <v>1839</v>
      </c>
      <c r="E1227" s="2" t="s">
        <v>1841</v>
      </c>
      <c r="F1227" s="2">
        <v>1.6052500000000001</v>
      </c>
      <c r="G1227" s="2">
        <v>3.2161499999999998</v>
      </c>
      <c r="H1227" s="2">
        <v>1.00254</v>
      </c>
    </row>
    <row r="1228" spans="1:8" x14ac:dyDescent="0.2">
      <c r="A1228" s="2" t="s">
        <v>149</v>
      </c>
      <c r="B1228" s="2" t="s">
        <v>3015</v>
      </c>
      <c r="C1228" s="2" t="s">
        <v>1914</v>
      </c>
      <c r="D1228" s="2" t="s">
        <v>1839</v>
      </c>
      <c r="E1228" s="2" t="s">
        <v>1841</v>
      </c>
      <c r="F1228" s="2">
        <v>1.03277</v>
      </c>
      <c r="G1228" s="2">
        <v>2.06914</v>
      </c>
      <c r="H1228" s="2">
        <v>1.00251</v>
      </c>
    </row>
    <row r="1229" spans="1:8" x14ac:dyDescent="0.2">
      <c r="A1229" s="2" t="s">
        <v>461</v>
      </c>
      <c r="B1229" s="2" t="s">
        <v>3015</v>
      </c>
      <c r="C1229" s="2" t="s">
        <v>2060</v>
      </c>
      <c r="D1229" s="2" t="s">
        <v>1839</v>
      </c>
      <c r="E1229" s="2" t="s">
        <v>1841</v>
      </c>
      <c r="F1229" s="2">
        <v>2.9764499999999998</v>
      </c>
      <c r="G1229" s="2">
        <v>5.9624499999999996</v>
      </c>
      <c r="H1229" s="2">
        <v>1.00231</v>
      </c>
    </row>
    <row r="1230" spans="1:8" x14ac:dyDescent="0.2">
      <c r="A1230" s="2" t="s">
        <v>1813</v>
      </c>
      <c r="B1230" s="2" t="s">
        <v>3081</v>
      </c>
      <c r="C1230" s="2" t="s">
        <v>2489</v>
      </c>
      <c r="D1230" s="2" t="s">
        <v>1839</v>
      </c>
      <c r="E1230" s="2" t="s">
        <v>1840</v>
      </c>
      <c r="F1230" s="2">
        <v>0.52661899999999995</v>
      </c>
      <c r="G1230" s="2">
        <v>1.05491</v>
      </c>
      <c r="H1230" s="2">
        <v>1.0022800000000001</v>
      </c>
    </row>
    <row r="1231" spans="1:8" x14ac:dyDescent="0.2">
      <c r="A1231" s="2" t="s">
        <v>1443</v>
      </c>
      <c r="B1231" s="2" t="s">
        <v>3463</v>
      </c>
      <c r="C1231" s="2" t="s">
        <v>2945</v>
      </c>
      <c r="D1231" s="2" t="s">
        <v>1839</v>
      </c>
      <c r="E1231" s="2" t="s">
        <v>1841</v>
      </c>
      <c r="F1231" s="2">
        <v>5.5547000000000004</v>
      </c>
      <c r="G1231" s="2">
        <v>11.117900000000001</v>
      </c>
      <c r="H1231" s="2">
        <v>1.0011099999999999</v>
      </c>
    </row>
    <row r="1232" spans="1:8" x14ac:dyDescent="0.2">
      <c r="A1232" s="2" t="s">
        <v>1580</v>
      </c>
      <c r="B1232" s="2" t="s">
        <v>3015</v>
      </c>
      <c r="C1232" s="2" t="s">
        <v>2736</v>
      </c>
      <c r="D1232" s="2" t="s">
        <v>1839</v>
      </c>
      <c r="E1232" s="2" t="s">
        <v>1841</v>
      </c>
      <c r="F1232" s="2">
        <v>0.508189</v>
      </c>
      <c r="G1232" s="2">
        <v>1.01712</v>
      </c>
      <c r="H1232" s="2">
        <v>1.0010600000000001</v>
      </c>
    </row>
    <row r="1233" spans="1:8" x14ac:dyDescent="0.2">
      <c r="A1233" s="2" t="s">
        <v>1070</v>
      </c>
      <c r="B1233" s="2" t="s">
        <v>3037</v>
      </c>
      <c r="C1233" s="2" t="s">
        <v>2343</v>
      </c>
      <c r="D1233" s="2" t="s">
        <v>1836</v>
      </c>
      <c r="E1233" s="2" t="s">
        <v>1837</v>
      </c>
      <c r="F1233" s="2">
        <v>8.1878200000000003</v>
      </c>
      <c r="G1233" s="2">
        <v>16.377600000000001</v>
      </c>
      <c r="H1233" s="2">
        <v>1.00017</v>
      </c>
    </row>
    <row r="1234" spans="1:8" x14ac:dyDescent="0.2">
      <c r="A1234" s="2" t="s">
        <v>341</v>
      </c>
      <c r="B1234" s="2" t="s">
        <v>3015</v>
      </c>
      <c r="C1234" s="2" t="s">
        <v>3016</v>
      </c>
      <c r="D1234" s="2" t="s">
        <v>1839</v>
      </c>
      <c r="E1234" s="2" t="s">
        <v>1841</v>
      </c>
      <c r="F1234" s="2">
        <v>4.0306899999999999</v>
      </c>
      <c r="G1234" s="2">
        <v>2.0152399999999999</v>
      </c>
      <c r="H1234" s="2">
        <v>-1.00007</v>
      </c>
    </row>
    <row r="1235" spans="1:8" x14ac:dyDescent="0.2">
      <c r="A1235" s="2" t="s">
        <v>1350</v>
      </c>
      <c r="B1235" s="2" t="s">
        <v>3030</v>
      </c>
      <c r="C1235" s="2" t="s">
        <v>2540</v>
      </c>
      <c r="D1235" s="2" t="s">
        <v>1836</v>
      </c>
      <c r="E1235" s="2" t="s">
        <v>1838</v>
      </c>
      <c r="F1235" s="2">
        <v>10.253500000000001</v>
      </c>
      <c r="G1235" s="2">
        <v>5.1253099999999998</v>
      </c>
      <c r="H1235" s="2">
        <v>-1.00041</v>
      </c>
    </row>
    <row r="1236" spans="1:8" x14ac:dyDescent="0.2">
      <c r="A1236" s="2" t="s">
        <v>464</v>
      </c>
      <c r="B1236" s="2" t="s">
        <v>3144</v>
      </c>
      <c r="C1236" s="2" t="s">
        <v>2062</v>
      </c>
      <c r="D1236" s="2" t="s">
        <v>1836</v>
      </c>
      <c r="E1236" s="2" t="s">
        <v>1837</v>
      </c>
      <c r="F1236" s="2">
        <v>22.780999999999999</v>
      </c>
      <c r="G1236" s="2">
        <v>11.3866</v>
      </c>
      <c r="H1236" s="2">
        <v>-1.0004900000000001</v>
      </c>
    </row>
    <row r="1237" spans="1:8" x14ac:dyDescent="0.2">
      <c r="A1237" s="2" t="s">
        <v>1551</v>
      </c>
      <c r="B1237" s="2" t="s">
        <v>3015</v>
      </c>
      <c r="C1237" s="2" t="s">
        <v>3015</v>
      </c>
      <c r="D1237" s="2" t="s">
        <v>1839</v>
      </c>
      <c r="E1237" s="2" t="s">
        <v>1841</v>
      </c>
      <c r="F1237" s="2">
        <v>7.89316</v>
      </c>
      <c r="G1237" s="2">
        <v>3.9451399999999999</v>
      </c>
      <c r="H1237" s="2">
        <v>-1.0005299999999999</v>
      </c>
    </row>
    <row r="1238" spans="1:8" x14ac:dyDescent="0.2">
      <c r="A1238" s="2" t="s">
        <v>1355</v>
      </c>
      <c r="B1238" s="2" t="s">
        <v>3030</v>
      </c>
      <c r="C1238" s="2" t="s">
        <v>3016</v>
      </c>
      <c r="D1238" s="2" t="s">
        <v>1839</v>
      </c>
      <c r="E1238" s="2" t="s">
        <v>1840</v>
      </c>
      <c r="F1238" s="2">
        <v>3.26736</v>
      </c>
      <c r="G1238" s="2">
        <v>1.6330499999999999</v>
      </c>
      <c r="H1238" s="2">
        <v>-1.0005599999999999</v>
      </c>
    </row>
    <row r="1239" spans="1:8" x14ac:dyDescent="0.2">
      <c r="A1239" s="2" t="s">
        <v>1538</v>
      </c>
      <c r="B1239" s="2" t="s">
        <v>3015</v>
      </c>
      <c r="C1239" s="2" t="s">
        <v>3015</v>
      </c>
      <c r="D1239" s="2" t="s">
        <v>1839</v>
      </c>
      <c r="E1239" s="2" t="s">
        <v>1841</v>
      </c>
      <c r="F1239" s="2">
        <v>29.958600000000001</v>
      </c>
      <c r="G1239" s="2">
        <v>14.9689</v>
      </c>
      <c r="H1239" s="2">
        <v>-1.0009999999999999</v>
      </c>
    </row>
    <row r="1240" spans="1:8" x14ac:dyDescent="0.2">
      <c r="A1240" s="2" t="s">
        <v>512</v>
      </c>
      <c r="B1240" s="2" t="s">
        <v>3045</v>
      </c>
      <c r="C1240" s="2" t="s">
        <v>2085</v>
      </c>
      <c r="D1240" s="2" t="s">
        <v>1836</v>
      </c>
      <c r="E1240" s="2" t="s">
        <v>1838</v>
      </c>
      <c r="F1240" s="2">
        <v>0.82557199999999997</v>
      </c>
      <c r="G1240" s="2">
        <v>0.41237800000000002</v>
      </c>
      <c r="H1240" s="2">
        <v>-1.00143</v>
      </c>
    </row>
    <row r="1241" spans="1:8" x14ac:dyDescent="0.2">
      <c r="A1241" s="2" t="s">
        <v>131</v>
      </c>
      <c r="B1241" s="2" t="s">
        <v>3049</v>
      </c>
      <c r="C1241" s="2" t="s">
        <v>2666</v>
      </c>
      <c r="D1241" s="2" t="s">
        <v>1839</v>
      </c>
      <c r="E1241" s="2" t="s">
        <v>1840</v>
      </c>
      <c r="F1241" s="2">
        <v>10.3287</v>
      </c>
      <c r="G1241" s="2">
        <v>5.1581099999999998</v>
      </c>
      <c r="H1241" s="2">
        <v>-1.0017499999999999</v>
      </c>
    </row>
    <row r="1242" spans="1:8" x14ac:dyDescent="0.2">
      <c r="A1242" s="2" t="s">
        <v>932</v>
      </c>
      <c r="B1242" s="2" t="s">
        <v>3122</v>
      </c>
      <c r="C1242" s="2" t="s">
        <v>3007</v>
      </c>
      <c r="D1242" s="2" t="s">
        <v>1839</v>
      </c>
      <c r="E1242" s="2" t="s">
        <v>1840</v>
      </c>
      <c r="F1242" s="2">
        <v>8.7642900000000008</v>
      </c>
      <c r="G1242" s="2">
        <v>4.3768000000000002</v>
      </c>
      <c r="H1242" s="2">
        <v>-1.00176</v>
      </c>
    </row>
    <row r="1243" spans="1:8" x14ac:dyDescent="0.2">
      <c r="A1243" s="2" t="s">
        <v>1833</v>
      </c>
      <c r="B1243" s="2" t="s">
        <v>3015</v>
      </c>
      <c r="C1243" s="2" t="s">
        <v>3016</v>
      </c>
      <c r="D1243" s="2" t="s">
        <v>1839</v>
      </c>
      <c r="E1243" s="2" t="s">
        <v>1840</v>
      </c>
      <c r="F1243" s="2">
        <v>1.64876</v>
      </c>
      <c r="G1243" s="2">
        <v>0.82301299999999999</v>
      </c>
      <c r="H1243" s="2">
        <v>-1.0024</v>
      </c>
    </row>
    <row r="1244" spans="1:8" x14ac:dyDescent="0.2">
      <c r="A1244" s="2" t="s">
        <v>45</v>
      </c>
      <c r="B1244" s="2" t="s">
        <v>3015</v>
      </c>
      <c r="C1244" s="2" t="s">
        <v>1863</v>
      </c>
      <c r="D1244" s="2" t="s">
        <v>1836</v>
      </c>
      <c r="E1244" s="2" t="s">
        <v>1837</v>
      </c>
      <c r="F1244" s="2">
        <v>983.79899999999998</v>
      </c>
      <c r="G1244" s="2">
        <v>491.03800000000001</v>
      </c>
      <c r="H1244" s="2">
        <v>-1.0025299999999999</v>
      </c>
    </row>
    <row r="1245" spans="1:8" x14ac:dyDescent="0.2">
      <c r="A1245" s="2" t="s">
        <v>218</v>
      </c>
      <c r="B1245" s="2" t="s">
        <v>3015</v>
      </c>
      <c r="C1245" s="2" t="s">
        <v>3016</v>
      </c>
      <c r="D1245" s="2" t="s">
        <v>1839</v>
      </c>
      <c r="E1245" s="2" t="s">
        <v>1841</v>
      </c>
      <c r="F1245" s="2">
        <v>4.56569</v>
      </c>
      <c r="G1245" s="2">
        <v>2.2784200000000001</v>
      </c>
      <c r="H1245" s="2">
        <v>-1.0027999999999999</v>
      </c>
    </row>
    <row r="1246" spans="1:8" x14ac:dyDescent="0.2">
      <c r="A1246" s="2" t="s">
        <v>1061</v>
      </c>
      <c r="B1246" s="2" t="s">
        <v>3235</v>
      </c>
      <c r="C1246" s="2" t="s">
        <v>2267</v>
      </c>
      <c r="D1246" s="2" t="s">
        <v>1836</v>
      </c>
      <c r="E1246" s="2" t="s">
        <v>1838</v>
      </c>
      <c r="F1246" s="2">
        <v>6.7327300000000001</v>
      </c>
      <c r="G1246" s="2">
        <v>3.35867</v>
      </c>
      <c r="H1246" s="2">
        <v>-1.0033000000000001</v>
      </c>
    </row>
    <row r="1247" spans="1:8" x14ac:dyDescent="0.2">
      <c r="A1247" s="2" t="s">
        <v>1412</v>
      </c>
      <c r="B1247" s="2" t="s">
        <v>3370</v>
      </c>
      <c r="C1247" s="2" t="s">
        <v>2582</v>
      </c>
      <c r="D1247" s="2" t="s">
        <v>1836</v>
      </c>
      <c r="E1247" s="2" t="s">
        <v>1838</v>
      </c>
      <c r="F1247" s="2">
        <v>174.67400000000001</v>
      </c>
      <c r="G1247" s="2">
        <v>87.107699999999994</v>
      </c>
      <c r="H1247" s="2">
        <v>-1.00379</v>
      </c>
    </row>
    <row r="1248" spans="1:8" x14ac:dyDescent="0.2">
      <c r="A1248" s="2" t="s">
        <v>141</v>
      </c>
      <c r="B1248" s="2" t="s">
        <v>3015</v>
      </c>
      <c r="C1248" s="2" t="s">
        <v>1909</v>
      </c>
      <c r="D1248" s="2" t="s">
        <v>1836</v>
      </c>
      <c r="E1248" s="2" t="s">
        <v>1837</v>
      </c>
      <c r="F1248" s="2">
        <v>14.674899999999999</v>
      </c>
      <c r="G1248" s="2">
        <v>7.31785</v>
      </c>
      <c r="H1248" s="2">
        <v>-1.00386</v>
      </c>
    </row>
    <row r="1249" spans="1:8" x14ac:dyDescent="0.2">
      <c r="A1249" s="2" t="s">
        <v>631</v>
      </c>
      <c r="B1249" s="2" t="s">
        <v>3030</v>
      </c>
      <c r="C1249" s="2" t="s">
        <v>2138</v>
      </c>
      <c r="D1249" s="2" t="s">
        <v>1836</v>
      </c>
      <c r="E1249" s="2" t="s">
        <v>1837</v>
      </c>
      <c r="F1249" s="2">
        <v>1.72109</v>
      </c>
      <c r="G1249" s="2">
        <v>0.85789899999999997</v>
      </c>
      <c r="H1249" s="2">
        <v>-1.00444</v>
      </c>
    </row>
    <row r="1250" spans="1:8" x14ac:dyDescent="0.2">
      <c r="A1250" s="2" t="s">
        <v>503</v>
      </c>
      <c r="B1250" s="2" t="s">
        <v>3015</v>
      </c>
      <c r="C1250" s="2" t="s">
        <v>2490</v>
      </c>
      <c r="D1250" s="2" t="s">
        <v>1836</v>
      </c>
      <c r="E1250" s="2" t="s">
        <v>1838</v>
      </c>
      <c r="F1250" s="2">
        <v>3.7860800000000001</v>
      </c>
      <c r="G1250" s="2">
        <v>1.8870800000000001</v>
      </c>
      <c r="H1250" s="2">
        <v>-1.0045500000000001</v>
      </c>
    </row>
    <row r="1251" spans="1:8" x14ac:dyDescent="0.2">
      <c r="A1251" s="2" t="s">
        <v>495</v>
      </c>
      <c r="B1251" s="2" t="s">
        <v>3332</v>
      </c>
      <c r="C1251" s="2" t="s">
        <v>2487</v>
      </c>
      <c r="D1251" s="2" t="s">
        <v>1836</v>
      </c>
      <c r="E1251" s="2" t="s">
        <v>1838</v>
      </c>
      <c r="F1251" s="2">
        <v>1.8716900000000001</v>
      </c>
      <c r="G1251" s="2">
        <v>0.93287100000000001</v>
      </c>
      <c r="H1251" s="2">
        <v>-1.0045999999999999</v>
      </c>
    </row>
    <row r="1252" spans="1:8" x14ac:dyDescent="0.2">
      <c r="A1252" s="2" t="s">
        <v>1289</v>
      </c>
      <c r="B1252" s="2" t="s">
        <v>3335</v>
      </c>
      <c r="C1252" s="2" t="s">
        <v>2167</v>
      </c>
      <c r="D1252" s="2" t="s">
        <v>1836</v>
      </c>
      <c r="E1252" s="2" t="s">
        <v>1838</v>
      </c>
      <c r="F1252" s="2">
        <v>2.60806</v>
      </c>
      <c r="G1252" s="2">
        <v>1.29976</v>
      </c>
      <c r="H1252" s="2">
        <v>-1.0047299999999999</v>
      </c>
    </row>
    <row r="1253" spans="1:8" x14ac:dyDescent="0.2">
      <c r="A1253" s="2" t="s">
        <v>608</v>
      </c>
      <c r="B1253" s="2" t="s">
        <v>3030</v>
      </c>
      <c r="C1253" s="2" t="s">
        <v>2128</v>
      </c>
      <c r="D1253" s="2" t="s">
        <v>1836</v>
      </c>
      <c r="E1253" s="2" t="s">
        <v>1837</v>
      </c>
      <c r="F1253" s="2">
        <v>4.9004899999999996</v>
      </c>
      <c r="G1253" s="2">
        <v>2.4414600000000002</v>
      </c>
      <c r="H1253" s="2">
        <v>-1.00518</v>
      </c>
    </row>
    <row r="1254" spans="1:8" x14ac:dyDescent="0.2">
      <c r="A1254" s="2" t="s">
        <v>543</v>
      </c>
      <c r="B1254" s="2" t="s">
        <v>3337</v>
      </c>
      <c r="C1254" s="2" t="s">
        <v>3015</v>
      </c>
      <c r="D1254" s="2" t="s">
        <v>1836</v>
      </c>
      <c r="E1254" s="2" t="s">
        <v>1838</v>
      </c>
      <c r="F1254" s="2">
        <v>5.48848</v>
      </c>
      <c r="G1254" s="2">
        <v>2.7343500000000001</v>
      </c>
      <c r="H1254" s="2">
        <v>-1.0052099999999999</v>
      </c>
    </row>
    <row r="1255" spans="1:8" x14ac:dyDescent="0.2">
      <c r="A1255" s="2" t="s">
        <v>795</v>
      </c>
      <c r="B1255" s="2" t="s">
        <v>3015</v>
      </c>
      <c r="C1255" s="2" t="s">
        <v>2203</v>
      </c>
      <c r="D1255" s="2" t="s">
        <v>1836</v>
      </c>
      <c r="E1255" s="2" t="s">
        <v>1837</v>
      </c>
      <c r="F1255" s="2">
        <v>14.075699999999999</v>
      </c>
      <c r="G1255" s="2">
        <v>7.0112199999999998</v>
      </c>
      <c r="H1255" s="2">
        <v>-1.0054700000000001</v>
      </c>
    </row>
    <row r="1256" spans="1:8" x14ac:dyDescent="0.2">
      <c r="A1256" s="2" t="s">
        <v>1774</v>
      </c>
      <c r="B1256" s="2" t="s">
        <v>3015</v>
      </c>
      <c r="C1256" s="2" t="s">
        <v>2947</v>
      </c>
      <c r="D1256" s="2" t="s">
        <v>1839</v>
      </c>
      <c r="E1256" s="2" t="s">
        <v>1841</v>
      </c>
      <c r="F1256" s="2">
        <v>2.59056</v>
      </c>
      <c r="G1256" s="2">
        <v>1.29009</v>
      </c>
      <c r="H1256" s="2">
        <v>-1.0058</v>
      </c>
    </row>
    <row r="1257" spans="1:8" x14ac:dyDescent="0.2">
      <c r="A1257" s="2" t="s">
        <v>1673</v>
      </c>
      <c r="B1257" s="2" t="s">
        <v>3201</v>
      </c>
      <c r="C1257" s="2" t="s">
        <v>2216</v>
      </c>
      <c r="D1257" s="2" t="s">
        <v>1839</v>
      </c>
      <c r="E1257" s="2" t="s">
        <v>1840</v>
      </c>
      <c r="F1257" s="2">
        <v>2.08229</v>
      </c>
      <c r="G1257" s="2">
        <v>1.03637</v>
      </c>
      <c r="H1257" s="2">
        <v>-1.0066299999999999</v>
      </c>
    </row>
    <row r="1258" spans="1:8" x14ac:dyDescent="0.2">
      <c r="A1258" s="2" t="s">
        <v>965</v>
      </c>
      <c r="B1258" s="2" t="s">
        <v>3200</v>
      </c>
      <c r="C1258" s="2" t="s">
        <v>2297</v>
      </c>
      <c r="D1258" s="2" t="s">
        <v>1836</v>
      </c>
      <c r="E1258" s="2" t="s">
        <v>1838</v>
      </c>
      <c r="F1258" s="2">
        <v>2.6083400000000001</v>
      </c>
      <c r="G1258" s="2">
        <v>1.29813</v>
      </c>
      <c r="H1258" s="2">
        <v>-1.0066999999999999</v>
      </c>
    </row>
    <row r="1259" spans="1:8" x14ac:dyDescent="0.2">
      <c r="A1259" s="2" t="s">
        <v>548</v>
      </c>
      <c r="B1259" s="2" t="s">
        <v>3015</v>
      </c>
      <c r="C1259" s="2" t="s">
        <v>2102</v>
      </c>
      <c r="D1259" s="2" t="s">
        <v>1839</v>
      </c>
      <c r="E1259" s="2" t="s">
        <v>1841</v>
      </c>
      <c r="F1259" s="2">
        <v>250.36600000000001</v>
      </c>
      <c r="G1259" s="2">
        <v>124.57599999999999</v>
      </c>
      <c r="H1259" s="2">
        <v>-1.00701</v>
      </c>
    </row>
    <row r="1260" spans="1:8" x14ac:dyDescent="0.2">
      <c r="A1260" s="2" t="s">
        <v>829</v>
      </c>
      <c r="B1260" s="2" t="s">
        <v>3015</v>
      </c>
      <c r="C1260" s="2" t="s">
        <v>2222</v>
      </c>
      <c r="D1260" s="2" t="s">
        <v>1836</v>
      </c>
      <c r="E1260" s="2" t="s">
        <v>1838</v>
      </c>
      <c r="F1260" s="2">
        <v>995.572</v>
      </c>
      <c r="G1260" s="2">
        <v>495.16199999999998</v>
      </c>
      <c r="H1260" s="2">
        <v>-1.00763</v>
      </c>
    </row>
    <row r="1261" spans="1:8" x14ac:dyDescent="0.2">
      <c r="A1261" s="2" t="s">
        <v>1455</v>
      </c>
      <c r="B1261" s="2" t="s">
        <v>3030</v>
      </c>
      <c r="C1261" s="2" t="s">
        <v>3015</v>
      </c>
      <c r="D1261" s="2" t="s">
        <v>1836</v>
      </c>
      <c r="E1261" s="2" t="s">
        <v>1838</v>
      </c>
      <c r="F1261" s="2">
        <v>3.4885899999999999</v>
      </c>
      <c r="G1261" s="2">
        <v>1.7346699999999999</v>
      </c>
      <c r="H1261" s="2">
        <v>-1.0079800000000001</v>
      </c>
    </row>
    <row r="1262" spans="1:8" x14ac:dyDescent="0.2">
      <c r="A1262" s="2" t="s">
        <v>682</v>
      </c>
      <c r="B1262" s="2" t="s">
        <v>3191</v>
      </c>
      <c r="C1262" s="2" t="s">
        <v>3015</v>
      </c>
      <c r="D1262" s="2" t="s">
        <v>1836</v>
      </c>
      <c r="E1262" s="2" t="s">
        <v>1838</v>
      </c>
      <c r="F1262" s="2">
        <v>1.7057899999999999</v>
      </c>
      <c r="G1262" s="2">
        <v>0.84813000000000005</v>
      </c>
      <c r="H1262" s="2">
        <v>-1.0080800000000001</v>
      </c>
    </row>
    <row r="1263" spans="1:8" x14ac:dyDescent="0.2">
      <c r="A1263" s="2" t="s">
        <v>23</v>
      </c>
      <c r="B1263" s="2" t="s">
        <v>3028</v>
      </c>
      <c r="C1263" s="2" t="s">
        <v>1852</v>
      </c>
      <c r="D1263" s="2" t="s">
        <v>1836</v>
      </c>
      <c r="E1263" s="2" t="s">
        <v>1837</v>
      </c>
      <c r="F1263" s="2">
        <v>2.3612799999999998</v>
      </c>
      <c r="G1263" s="2">
        <v>1.1736800000000001</v>
      </c>
      <c r="H1263" s="2">
        <v>-1.0085200000000001</v>
      </c>
    </row>
    <row r="1264" spans="1:8" x14ac:dyDescent="0.2">
      <c r="A1264" s="2" t="s">
        <v>808</v>
      </c>
      <c r="B1264" s="2" t="s">
        <v>3015</v>
      </c>
      <c r="C1264" s="2" t="s">
        <v>1862</v>
      </c>
      <c r="D1264" s="2" t="s">
        <v>1836</v>
      </c>
      <c r="E1264" s="2" t="s">
        <v>1837</v>
      </c>
      <c r="F1264" s="2">
        <v>2.2401900000000001</v>
      </c>
      <c r="G1264" s="2">
        <v>1.11331</v>
      </c>
      <c r="H1264" s="2">
        <v>-1.0087600000000001</v>
      </c>
    </row>
    <row r="1265" spans="1:8" x14ac:dyDescent="0.2">
      <c r="A1265" s="2" t="s">
        <v>654</v>
      </c>
      <c r="B1265" s="2" t="s">
        <v>3184</v>
      </c>
      <c r="C1265" s="2" t="s">
        <v>2149</v>
      </c>
      <c r="D1265" s="2" t="s">
        <v>1836</v>
      </c>
      <c r="E1265" s="2" t="s">
        <v>1837</v>
      </c>
      <c r="F1265" s="2">
        <v>230.04300000000001</v>
      </c>
      <c r="G1265" s="2">
        <v>114.30200000000001</v>
      </c>
      <c r="H1265" s="2">
        <v>-1.0090600000000001</v>
      </c>
    </row>
    <row r="1266" spans="1:8" x14ac:dyDescent="0.2">
      <c r="A1266" s="2" t="s">
        <v>375</v>
      </c>
      <c r="B1266" s="2" t="s">
        <v>3047</v>
      </c>
      <c r="C1266" s="2" t="s">
        <v>2277</v>
      </c>
      <c r="D1266" s="2" t="s">
        <v>1839</v>
      </c>
      <c r="E1266" s="2" t="s">
        <v>1841</v>
      </c>
      <c r="F1266" s="2">
        <v>2.81433</v>
      </c>
      <c r="G1266" s="2">
        <v>1.39819</v>
      </c>
      <c r="H1266" s="2">
        <v>-1.0092300000000001</v>
      </c>
    </row>
    <row r="1267" spans="1:8" x14ac:dyDescent="0.2">
      <c r="A1267" s="2" t="s">
        <v>1029</v>
      </c>
      <c r="B1267" s="2" t="s">
        <v>3015</v>
      </c>
      <c r="C1267" s="2" t="s">
        <v>3012</v>
      </c>
      <c r="D1267" s="2" t="s">
        <v>1839</v>
      </c>
      <c r="E1267" s="2" t="s">
        <v>1840</v>
      </c>
      <c r="F1267" s="2">
        <v>4.0110700000000001</v>
      </c>
      <c r="G1267" s="2">
        <v>1.99187</v>
      </c>
      <c r="H1267" s="2">
        <v>-1.00986</v>
      </c>
    </row>
    <row r="1268" spans="1:8" x14ac:dyDescent="0.2">
      <c r="A1268" s="2" t="s">
        <v>623</v>
      </c>
      <c r="B1268" s="2" t="s">
        <v>3015</v>
      </c>
      <c r="C1268" s="2" t="s">
        <v>1862</v>
      </c>
      <c r="D1268" s="2" t="s">
        <v>1836</v>
      </c>
      <c r="E1268" s="2" t="s">
        <v>1837</v>
      </c>
      <c r="F1268" s="2">
        <v>2.3878300000000001</v>
      </c>
      <c r="G1268" s="2">
        <v>1.18574</v>
      </c>
      <c r="H1268" s="2">
        <v>-1.0099100000000001</v>
      </c>
    </row>
    <row r="1269" spans="1:8" x14ac:dyDescent="0.2">
      <c r="A1269" s="2" t="s">
        <v>1376</v>
      </c>
      <c r="B1269" s="2" t="s">
        <v>3356</v>
      </c>
      <c r="C1269" s="2" t="s">
        <v>2554</v>
      </c>
      <c r="D1269" s="2" t="s">
        <v>1839</v>
      </c>
      <c r="E1269" s="2" t="s">
        <v>1841</v>
      </c>
      <c r="F1269" s="2">
        <v>1.9173</v>
      </c>
      <c r="G1269" s="2">
        <v>0.951932</v>
      </c>
      <c r="H1269" s="2">
        <v>-1.0101500000000001</v>
      </c>
    </row>
    <row r="1270" spans="1:8" x14ac:dyDescent="0.2">
      <c r="A1270" s="2" t="s">
        <v>203</v>
      </c>
      <c r="B1270" s="2" t="s">
        <v>3015</v>
      </c>
      <c r="C1270" s="2" t="s">
        <v>1940</v>
      </c>
      <c r="D1270" s="2" t="s">
        <v>1836</v>
      </c>
      <c r="E1270" s="2" t="s">
        <v>1837</v>
      </c>
      <c r="F1270" s="2">
        <v>19.813400000000001</v>
      </c>
      <c r="G1270" s="2">
        <v>9.8368800000000007</v>
      </c>
      <c r="H1270" s="2">
        <v>-1.0102</v>
      </c>
    </row>
    <row r="1271" spans="1:8" x14ac:dyDescent="0.2">
      <c r="A1271" s="2" t="s">
        <v>183</v>
      </c>
      <c r="B1271" s="2" t="s">
        <v>3015</v>
      </c>
      <c r="C1271" s="2" t="s">
        <v>3015</v>
      </c>
      <c r="D1271" s="2" t="s">
        <v>1836</v>
      </c>
      <c r="E1271" s="2" t="s">
        <v>1837</v>
      </c>
      <c r="F1271" s="2">
        <v>6.3486799999999999</v>
      </c>
      <c r="G1271" s="2">
        <v>3.1510500000000001</v>
      </c>
      <c r="H1271" s="2">
        <v>-1.0106200000000001</v>
      </c>
    </row>
    <row r="1272" spans="1:8" x14ac:dyDescent="0.2">
      <c r="A1272" s="2" t="s">
        <v>935</v>
      </c>
      <c r="B1272" s="2" t="s">
        <v>3015</v>
      </c>
      <c r="C1272" s="2" t="s">
        <v>1862</v>
      </c>
      <c r="D1272" s="2" t="s">
        <v>1836</v>
      </c>
      <c r="E1272" s="2" t="s">
        <v>1837</v>
      </c>
      <c r="F1272" s="2">
        <v>21.536100000000001</v>
      </c>
      <c r="G1272" s="2">
        <v>10.6874</v>
      </c>
      <c r="H1272" s="2">
        <v>-1.01085</v>
      </c>
    </row>
    <row r="1273" spans="1:8" x14ac:dyDescent="0.2">
      <c r="A1273" s="2" t="s">
        <v>575</v>
      </c>
      <c r="B1273" s="2" t="s">
        <v>3165</v>
      </c>
      <c r="C1273" s="2" t="s">
        <v>2113</v>
      </c>
      <c r="D1273" s="2" t="s">
        <v>1836</v>
      </c>
      <c r="E1273" s="2" t="s">
        <v>1837</v>
      </c>
      <c r="F1273" s="2">
        <v>2.7837900000000002</v>
      </c>
      <c r="G1273" s="2">
        <v>1.38131</v>
      </c>
      <c r="H1273" s="2">
        <v>-1.01101</v>
      </c>
    </row>
    <row r="1274" spans="1:8" x14ac:dyDescent="0.2">
      <c r="A1274" s="2" t="s">
        <v>1163</v>
      </c>
      <c r="B1274" s="2" t="s">
        <v>3027</v>
      </c>
      <c r="C1274" s="2" t="s">
        <v>2396</v>
      </c>
      <c r="D1274" s="2" t="s">
        <v>1836</v>
      </c>
      <c r="E1274" s="2" t="s">
        <v>1838</v>
      </c>
      <c r="F1274" s="2">
        <v>2.3114699999999999</v>
      </c>
      <c r="G1274" s="2">
        <v>1.14591</v>
      </c>
      <c r="H1274" s="2">
        <v>-1.0123200000000001</v>
      </c>
    </row>
    <row r="1275" spans="1:8" x14ac:dyDescent="0.2">
      <c r="A1275" s="2" t="s">
        <v>674</v>
      </c>
      <c r="B1275" s="2" t="s">
        <v>3015</v>
      </c>
      <c r="C1275" s="2" t="s">
        <v>1847</v>
      </c>
      <c r="D1275" s="2" t="s">
        <v>1836</v>
      </c>
      <c r="E1275" s="2" t="s">
        <v>1837</v>
      </c>
      <c r="F1275" s="2">
        <v>16.711200000000002</v>
      </c>
      <c r="G1275" s="2">
        <v>8.2843300000000006</v>
      </c>
      <c r="H1275" s="2">
        <v>-1.0123599999999999</v>
      </c>
    </row>
    <row r="1276" spans="1:8" x14ac:dyDescent="0.2">
      <c r="A1276" s="2" t="s">
        <v>30</v>
      </c>
      <c r="B1276" s="2" t="s">
        <v>3032</v>
      </c>
      <c r="C1276" s="2" t="s">
        <v>1857</v>
      </c>
      <c r="D1276" s="2" t="s">
        <v>1836</v>
      </c>
      <c r="E1276" s="2" t="s">
        <v>1837</v>
      </c>
      <c r="F1276" s="2">
        <v>5.3591499999999996</v>
      </c>
      <c r="G1276" s="2">
        <v>2.6564299999999998</v>
      </c>
      <c r="H1276" s="2">
        <v>-1.01251</v>
      </c>
    </row>
    <row r="1277" spans="1:8" x14ac:dyDescent="0.2">
      <c r="A1277" s="2" t="s">
        <v>1037</v>
      </c>
      <c r="B1277" s="2" t="s">
        <v>3015</v>
      </c>
      <c r="C1277" s="2" t="s">
        <v>3016</v>
      </c>
      <c r="D1277" s="2" t="s">
        <v>1839</v>
      </c>
      <c r="E1277" s="2" t="s">
        <v>1841</v>
      </c>
      <c r="F1277" s="2">
        <v>1.9810300000000001</v>
      </c>
      <c r="G1277" s="2">
        <v>0.98192299999999999</v>
      </c>
      <c r="H1277" s="2">
        <v>-1.01257</v>
      </c>
    </row>
    <row r="1278" spans="1:8" x14ac:dyDescent="0.2">
      <c r="A1278" s="2" t="s">
        <v>1333</v>
      </c>
      <c r="B1278" s="2" t="s">
        <v>3045</v>
      </c>
      <c r="C1278" s="2" t="s">
        <v>1923</v>
      </c>
      <c r="D1278" s="2" t="s">
        <v>1836</v>
      </c>
      <c r="E1278" s="2" t="s">
        <v>1838</v>
      </c>
      <c r="F1278" s="2">
        <v>6.97478</v>
      </c>
      <c r="G1278" s="2">
        <v>3.45662</v>
      </c>
      <c r="H1278" s="2">
        <v>-1.01278</v>
      </c>
    </row>
    <row r="1279" spans="1:8" x14ac:dyDescent="0.2">
      <c r="A1279" s="2" t="s">
        <v>1090</v>
      </c>
      <c r="B1279" s="2" t="s">
        <v>3015</v>
      </c>
      <c r="C1279" s="2" t="s">
        <v>2354</v>
      </c>
      <c r="D1279" s="2" t="s">
        <v>1836</v>
      </c>
      <c r="E1279" s="2" t="s">
        <v>1837</v>
      </c>
      <c r="F1279" s="2">
        <v>8.1252499999999994</v>
      </c>
      <c r="G1279" s="2">
        <v>4.0262500000000001</v>
      </c>
      <c r="H1279" s="2">
        <v>-1.01298</v>
      </c>
    </row>
    <row r="1280" spans="1:8" x14ac:dyDescent="0.2">
      <c r="A1280" s="2" t="s">
        <v>1073</v>
      </c>
      <c r="B1280" s="2" t="s">
        <v>3015</v>
      </c>
      <c r="C1280" s="2" t="s">
        <v>1847</v>
      </c>
      <c r="D1280" s="2" t="s">
        <v>1836</v>
      </c>
      <c r="E1280" s="2" t="s">
        <v>1838</v>
      </c>
      <c r="F1280" s="2">
        <v>19.0151</v>
      </c>
      <c r="G1280" s="2">
        <v>9.4216899999999999</v>
      </c>
      <c r="H1280" s="2">
        <v>-1.01309</v>
      </c>
    </row>
    <row r="1281" spans="1:8" x14ac:dyDescent="0.2">
      <c r="A1281" s="2" t="s">
        <v>1542</v>
      </c>
      <c r="B1281" s="2" t="s">
        <v>3015</v>
      </c>
      <c r="C1281" s="2" t="s">
        <v>2692</v>
      </c>
      <c r="D1281" s="2" t="s">
        <v>1839</v>
      </c>
      <c r="E1281" s="2" t="s">
        <v>1841</v>
      </c>
      <c r="F1281" s="2">
        <v>780.13900000000001</v>
      </c>
      <c r="G1281" s="2">
        <v>386.524</v>
      </c>
      <c r="H1281" s="2">
        <v>-1.0131699999999999</v>
      </c>
    </row>
    <row r="1282" spans="1:8" x14ac:dyDescent="0.2">
      <c r="A1282" s="2" t="s">
        <v>779</v>
      </c>
      <c r="B1282" s="2" t="s">
        <v>3030</v>
      </c>
      <c r="C1282" s="2" t="s">
        <v>2197</v>
      </c>
      <c r="D1282" s="2" t="s">
        <v>1836</v>
      </c>
      <c r="E1282" s="2" t="s">
        <v>1837</v>
      </c>
      <c r="F1282" s="2">
        <v>12.791600000000001</v>
      </c>
      <c r="G1282" s="2">
        <v>6.3370300000000004</v>
      </c>
      <c r="H1282" s="2">
        <v>-1.01332</v>
      </c>
    </row>
    <row r="1283" spans="1:8" x14ac:dyDescent="0.2">
      <c r="A1283" s="2" t="s">
        <v>838</v>
      </c>
      <c r="B1283" s="2" t="s">
        <v>3015</v>
      </c>
      <c r="C1283" s="2" t="s">
        <v>3016</v>
      </c>
      <c r="D1283" s="2" t="s">
        <v>1839</v>
      </c>
      <c r="E1283" s="2" t="s">
        <v>1841</v>
      </c>
      <c r="F1283" s="2">
        <v>5.8734599999999997</v>
      </c>
      <c r="G1283" s="2">
        <v>2.9093200000000001</v>
      </c>
      <c r="H1283" s="2">
        <v>-1.01353</v>
      </c>
    </row>
    <row r="1284" spans="1:8" x14ac:dyDescent="0.2">
      <c r="A1284" s="2" t="s">
        <v>213</v>
      </c>
      <c r="B1284" s="2" t="s">
        <v>3015</v>
      </c>
      <c r="C1284" s="2" t="s">
        <v>1847</v>
      </c>
      <c r="D1284" s="2" t="s">
        <v>1836</v>
      </c>
      <c r="E1284" s="2" t="s">
        <v>1837</v>
      </c>
      <c r="F1284" s="2">
        <v>4.1532200000000001</v>
      </c>
      <c r="G1284" s="2">
        <v>2.05715</v>
      </c>
      <c r="H1284" s="2">
        <v>-1.01359</v>
      </c>
    </row>
    <row r="1285" spans="1:8" x14ac:dyDescent="0.2">
      <c r="A1285" s="2" t="s">
        <v>719</v>
      </c>
      <c r="B1285" s="2" t="s">
        <v>3197</v>
      </c>
      <c r="C1285" s="2" t="s">
        <v>2179</v>
      </c>
      <c r="D1285" s="2" t="s">
        <v>1836</v>
      </c>
      <c r="E1285" s="2" t="s">
        <v>1837</v>
      </c>
      <c r="F1285" s="2">
        <v>123.59699999999999</v>
      </c>
      <c r="G1285" s="2">
        <v>61.182899999999997</v>
      </c>
      <c r="H1285" s="2">
        <v>-1.01444</v>
      </c>
    </row>
    <row r="1286" spans="1:8" x14ac:dyDescent="0.2">
      <c r="A1286" s="2" t="s">
        <v>587</v>
      </c>
      <c r="B1286" s="2" t="s">
        <v>3015</v>
      </c>
      <c r="C1286" s="2" t="s">
        <v>3015</v>
      </c>
      <c r="D1286" s="2" t="s">
        <v>1839</v>
      </c>
      <c r="E1286" s="2" t="s">
        <v>1840</v>
      </c>
      <c r="F1286" s="2">
        <v>2.36022</v>
      </c>
      <c r="G1286" s="2">
        <v>1.1682900000000001</v>
      </c>
      <c r="H1286" s="2">
        <v>-1.0145200000000001</v>
      </c>
    </row>
    <row r="1287" spans="1:8" x14ac:dyDescent="0.2">
      <c r="A1287" s="2" t="s">
        <v>1592</v>
      </c>
      <c r="B1287" s="2" t="s">
        <v>3423</v>
      </c>
      <c r="C1287" s="2" t="s">
        <v>2751</v>
      </c>
      <c r="D1287" s="2" t="s">
        <v>1839</v>
      </c>
      <c r="E1287" s="2" t="s">
        <v>1841</v>
      </c>
      <c r="F1287" s="2">
        <v>4.6430300000000004</v>
      </c>
      <c r="G1287" s="2">
        <v>2.298</v>
      </c>
      <c r="H1287" s="2">
        <v>-1.0146900000000001</v>
      </c>
    </row>
    <row r="1288" spans="1:8" x14ac:dyDescent="0.2">
      <c r="A1288" s="2" t="s">
        <v>27</v>
      </c>
      <c r="B1288" s="2" t="s">
        <v>3030</v>
      </c>
      <c r="C1288" s="2" t="s">
        <v>1854</v>
      </c>
      <c r="D1288" s="2" t="s">
        <v>1839</v>
      </c>
      <c r="E1288" s="2" t="s">
        <v>1841</v>
      </c>
      <c r="F1288" s="2">
        <v>1.22841</v>
      </c>
      <c r="G1288" s="2">
        <v>0.60782599999999998</v>
      </c>
      <c r="H1288" s="2">
        <v>-1.0150600000000001</v>
      </c>
    </row>
    <row r="1289" spans="1:8" x14ac:dyDescent="0.2">
      <c r="A1289" s="2" t="s">
        <v>1692</v>
      </c>
      <c r="B1289" s="2" t="s">
        <v>3015</v>
      </c>
      <c r="C1289" s="2" t="s">
        <v>2861</v>
      </c>
      <c r="D1289" s="2" t="s">
        <v>1839</v>
      </c>
      <c r="E1289" s="2" t="s">
        <v>1841</v>
      </c>
      <c r="F1289" s="2">
        <v>2.9653999999999998</v>
      </c>
      <c r="G1289" s="2">
        <v>1.46576</v>
      </c>
      <c r="H1289" s="2">
        <v>-1.01657</v>
      </c>
    </row>
    <row r="1290" spans="1:8" x14ac:dyDescent="0.2">
      <c r="A1290" s="2" t="s">
        <v>1776</v>
      </c>
      <c r="B1290" s="2" t="s">
        <v>3015</v>
      </c>
      <c r="C1290" s="2" t="s">
        <v>2950</v>
      </c>
      <c r="D1290" s="2" t="s">
        <v>1839</v>
      </c>
      <c r="E1290" s="2" t="s">
        <v>1841</v>
      </c>
      <c r="F1290" s="2">
        <v>5.2659799999999999</v>
      </c>
      <c r="G1290" s="2">
        <v>2.6023700000000001</v>
      </c>
      <c r="H1290" s="2">
        <v>-1.01688</v>
      </c>
    </row>
    <row r="1291" spans="1:8" x14ac:dyDescent="0.2">
      <c r="A1291" s="2" t="s">
        <v>796</v>
      </c>
      <c r="B1291" s="2" t="s">
        <v>3015</v>
      </c>
      <c r="C1291" s="2" t="s">
        <v>2204</v>
      </c>
      <c r="D1291" s="2" t="s">
        <v>1836</v>
      </c>
      <c r="E1291" s="2" t="s">
        <v>1838</v>
      </c>
      <c r="F1291" s="2">
        <v>1.7680400000000001</v>
      </c>
      <c r="G1291" s="2">
        <v>0.87371100000000002</v>
      </c>
      <c r="H1291" s="2">
        <v>-1.01692</v>
      </c>
    </row>
    <row r="1292" spans="1:8" x14ac:dyDescent="0.2">
      <c r="A1292" s="2" t="s">
        <v>1235</v>
      </c>
      <c r="B1292" s="2" t="s">
        <v>3015</v>
      </c>
      <c r="C1292" s="2" t="s">
        <v>2444</v>
      </c>
      <c r="D1292" s="2" t="s">
        <v>1836</v>
      </c>
      <c r="E1292" s="2" t="s">
        <v>1838</v>
      </c>
      <c r="F1292" s="2">
        <v>10.0274</v>
      </c>
      <c r="G1292" s="2">
        <v>4.9549000000000003</v>
      </c>
      <c r="H1292" s="2">
        <v>-1.01701</v>
      </c>
    </row>
    <row r="1293" spans="1:8" x14ac:dyDescent="0.2">
      <c r="A1293" s="2" t="s">
        <v>190</v>
      </c>
      <c r="B1293" s="2" t="s">
        <v>3015</v>
      </c>
      <c r="C1293" s="2" t="s">
        <v>3015</v>
      </c>
      <c r="D1293" s="2" t="s">
        <v>1836</v>
      </c>
      <c r="E1293" s="2" t="s">
        <v>1837</v>
      </c>
      <c r="F1293" s="2">
        <v>8.6670700000000007</v>
      </c>
      <c r="G1293" s="2">
        <v>4.2822500000000003</v>
      </c>
      <c r="H1293" s="2">
        <v>-1.0171699999999999</v>
      </c>
    </row>
    <row r="1294" spans="1:8" x14ac:dyDescent="0.2">
      <c r="A1294" s="2" t="s">
        <v>451</v>
      </c>
      <c r="B1294" s="2" t="s">
        <v>3015</v>
      </c>
      <c r="C1294" s="2" t="s">
        <v>2055</v>
      </c>
      <c r="D1294" s="2" t="s">
        <v>1836</v>
      </c>
      <c r="E1294" s="2" t="s">
        <v>1837</v>
      </c>
      <c r="F1294" s="2">
        <v>4.1602499999999996</v>
      </c>
      <c r="G1294" s="2">
        <v>2.05545</v>
      </c>
      <c r="H1294" s="2">
        <v>-1.01722</v>
      </c>
    </row>
    <row r="1295" spans="1:8" x14ac:dyDescent="0.2">
      <c r="A1295" s="2" t="s">
        <v>1179</v>
      </c>
      <c r="B1295" s="2" t="s">
        <v>3293</v>
      </c>
      <c r="C1295" s="2" t="s">
        <v>1847</v>
      </c>
      <c r="D1295" s="2" t="s">
        <v>1836</v>
      </c>
      <c r="E1295" s="2" t="s">
        <v>1838</v>
      </c>
      <c r="F1295" s="2">
        <v>7.2552000000000003</v>
      </c>
      <c r="G1295" s="2">
        <v>3.5840800000000002</v>
      </c>
      <c r="H1295" s="2">
        <v>-1.0174099999999999</v>
      </c>
    </row>
    <row r="1296" spans="1:8" x14ac:dyDescent="0.2">
      <c r="A1296" s="2" t="s">
        <v>859</v>
      </c>
      <c r="B1296" s="2" t="s">
        <v>3015</v>
      </c>
      <c r="C1296" s="2" t="s">
        <v>2241</v>
      </c>
      <c r="D1296" s="2" t="s">
        <v>1836</v>
      </c>
      <c r="E1296" s="2" t="s">
        <v>1837</v>
      </c>
      <c r="F1296" s="2">
        <v>2.6664599999999998</v>
      </c>
      <c r="G1296" s="2">
        <v>1.3170599999999999</v>
      </c>
      <c r="H1296" s="2">
        <v>-1.0176099999999999</v>
      </c>
    </row>
    <row r="1297" spans="1:8" x14ac:dyDescent="0.2">
      <c r="A1297" s="2" t="s">
        <v>1510</v>
      </c>
      <c r="B1297" s="2" t="s">
        <v>3015</v>
      </c>
      <c r="C1297" s="2" t="s">
        <v>3016</v>
      </c>
      <c r="D1297" s="2" t="s">
        <v>1839</v>
      </c>
      <c r="E1297" s="2" t="s">
        <v>1841</v>
      </c>
      <c r="F1297" s="2">
        <v>12.424899999999999</v>
      </c>
      <c r="G1297" s="2">
        <v>6.1330200000000001</v>
      </c>
      <c r="H1297" s="2">
        <v>-1.01857</v>
      </c>
    </row>
    <row r="1298" spans="1:8" x14ac:dyDescent="0.2">
      <c r="A1298" s="2" t="s">
        <v>890</v>
      </c>
      <c r="B1298" s="2" t="s">
        <v>3233</v>
      </c>
      <c r="C1298" s="2" t="s">
        <v>2584</v>
      </c>
      <c r="D1298" s="2" t="s">
        <v>1836</v>
      </c>
      <c r="E1298" s="2" t="s">
        <v>1838</v>
      </c>
      <c r="F1298" s="2">
        <v>23.785</v>
      </c>
      <c r="G1298" s="2">
        <v>11.7354</v>
      </c>
      <c r="H1298" s="2">
        <v>-1.01918</v>
      </c>
    </row>
    <row r="1299" spans="1:8" x14ac:dyDescent="0.2">
      <c r="A1299" s="2" t="s">
        <v>587</v>
      </c>
      <c r="B1299" s="2" t="s">
        <v>3015</v>
      </c>
      <c r="C1299" s="2" t="s">
        <v>3015</v>
      </c>
      <c r="D1299" s="2" t="s">
        <v>1839</v>
      </c>
      <c r="E1299" s="2" t="s">
        <v>1841</v>
      </c>
      <c r="F1299" s="2">
        <v>2.36022</v>
      </c>
      <c r="G1299" s="2">
        <v>1.16431</v>
      </c>
      <c r="H1299" s="2">
        <v>-1.0194399999999999</v>
      </c>
    </row>
    <row r="1300" spans="1:8" x14ac:dyDescent="0.2">
      <c r="A1300" s="2" t="s">
        <v>163</v>
      </c>
      <c r="B1300" s="2" t="s">
        <v>3015</v>
      </c>
      <c r="C1300" s="2" t="s">
        <v>1922</v>
      </c>
      <c r="D1300" s="2" t="s">
        <v>1836</v>
      </c>
      <c r="E1300" s="2" t="s">
        <v>1838</v>
      </c>
      <c r="F1300" s="2">
        <v>13.3531</v>
      </c>
      <c r="G1300" s="2">
        <v>6.5852199999999996</v>
      </c>
      <c r="H1300" s="2">
        <v>-1.0198799999999999</v>
      </c>
    </row>
    <row r="1301" spans="1:8" x14ac:dyDescent="0.2">
      <c r="A1301" s="2" t="s">
        <v>1246</v>
      </c>
      <c r="B1301" s="2" t="s">
        <v>3015</v>
      </c>
      <c r="C1301" s="2" t="s">
        <v>2454</v>
      </c>
      <c r="D1301" s="2" t="s">
        <v>1839</v>
      </c>
      <c r="E1301" s="2" t="s">
        <v>1841</v>
      </c>
      <c r="F1301" s="2">
        <v>0.99059399999999997</v>
      </c>
      <c r="G1301" s="2">
        <v>0.48846400000000001</v>
      </c>
      <c r="H1301" s="2">
        <v>-1.0200400000000001</v>
      </c>
    </row>
    <row r="1302" spans="1:8" x14ac:dyDescent="0.2">
      <c r="A1302" s="2" t="s">
        <v>755</v>
      </c>
      <c r="B1302" s="2" t="s">
        <v>3058</v>
      </c>
      <c r="C1302" s="2" t="s">
        <v>2018</v>
      </c>
      <c r="D1302" s="2" t="s">
        <v>1836</v>
      </c>
      <c r="E1302" s="2" t="s">
        <v>1837</v>
      </c>
      <c r="F1302" s="2">
        <v>9.6928800000000006</v>
      </c>
      <c r="G1302" s="2">
        <v>4.7767499999999998</v>
      </c>
      <c r="H1302" s="2">
        <v>-1.0208999999999999</v>
      </c>
    </row>
    <row r="1303" spans="1:8" x14ac:dyDescent="0.2">
      <c r="A1303" s="2" t="s">
        <v>546</v>
      </c>
      <c r="B1303" s="2" t="s">
        <v>3015</v>
      </c>
      <c r="C1303" s="2" t="s">
        <v>2796</v>
      </c>
      <c r="D1303" s="2" t="s">
        <v>1839</v>
      </c>
      <c r="E1303" s="2" t="s">
        <v>1841</v>
      </c>
      <c r="F1303" s="2">
        <v>17.5959</v>
      </c>
      <c r="G1303" s="2">
        <v>8.6695100000000007</v>
      </c>
      <c r="H1303" s="2">
        <v>-1.02122</v>
      </c>
    </row>
    <row r="1304" spans="1:8" x14ac:dyDescent="0.2">
      <c r="A1304" s="2" t="s">
        <v>892</v>
      </c>
      <c r="B1304" s="2" t="s">
        <v>3144</v>
      </c>
      <c r="C1304" s="2" t="s">
        <v>2256</v>
      </c>
      <c r="D1304" s="2" t="s">
        <v>1836</v>
      </c>
      <c r="E1304" s="2" t="s">
        <v>1837</v>
      </c>
      <c r="F1304" s="2">
        <v>1.4432</v>
      </c>
      <c r="G1304" s="2">
        <v>0.71104599999999996</v>
      </c>
      <c r="H1304" s="2">
        <v>-1.0212600000000001</v>
      </c>
    </row>
    <row r="1305" spans="1:8" x14ac:dyDescent="0.2">
      <c r="A1305" s="2" t="s">
        <v>1650</v>
      </c>
      <c r="B1305" s="2" t="s">
        <v>3166</v>
      </c>
      <c r="C1305" s="2" t="s">
        <v>2114</v>
      </c>
      <c r="D1305" s="2" t="s">
        <v>1839</v>
      </c>
      <c r="E1305" s="2" t="s">
        <v>1840</v>
      </c>
      <c r="F1305" s="2">
        <v>1.03796</v>
      </c>
      <c r="G1305" s="2">
        <v>0.51136599999999999</v>
      </c>
      <c r="H1305" s="2">
        <v>-1.02132</v>
      </c>
    </row>
    <row r="1306" spans="1:8" x14ac:dyDescent="0.2">
      <c r="A1306" s="2" t="s">
        <v>611</v>
      </c>
      <c r="B1306" s="2" t="s">
        <v>3015</v>
      </c>
      <c r="C1306" s="2" t="s">
        <v>2517</v>
      </c>
      <c r="D1306" s="2" t="s">
        <v>1836</v>
      </c>
      <c r="E1306" s="2" t="s">
        <v>1838</v>
      </c>
      <c r="F1306" s="2">
        <v>1.2919799999999999</v>
      </c>
      <c r="G1306" s="2">
        <v>0.63637600000000005</v>
      </c>
      <c r="H1306" s="2">
        <v>-1.0216400000000001</v>
      </c>
    </row>
    <row r="1307" spans="1:8" x14ac:dyDescent="0.2">
      <c r="A1307" s="2" t="s">
        <v>1156</v>
      </c>
      <c r="B1307" s="2" t="s">
        <v>3015</v>
      </c>
      <c r="C1307" s="2" t="s">
        <v>2390</v>
      </c>
      <c r="D1307" s="2" t="s">
        <v>1836</v>
      </c>
      <c r="E1307" s="2" t="s">
        <v>1838</v>
      </c>
      <c r="F1307" s="2">
        <v>62.140599999999999</v>
      </c>
      <c r="G1307" s="2">
        <v>30.605599999999999</v>
      </c>
      <c r="H1307" s="2">
        <v>-1.0217400000000001</v>
      </c>
    </row>
    <row r="1308" spans="1:8" x14ac:dyDescent="0.2">
      <c r="A1308" s="2" t="s">
        <v>1646</v>
      </c>
      <c r="B1308" s="2" t="s">
        <v>3015</v>
      </c>
      <c r="C1308" s="2" t="s">
        <v>3015</v>
      </c>
      <c r="D1308" s="2" t="s">
        <v>1839</v>
      </c>
      <c r="E1308" s="2" t="s">
        <v>1841</v>
      </c>
      <c r="F1308" s="2">
        <v>14.721500000000001</v>
      </c>
      <c r="G1308" s="2">
        <v>7.2505499999999996</v>
      </c>
      <c r="H1308" s="2">
        <v>-1.0217700000000001</v>
      </c>
    </row>
    <row r="1309" spans="1:8" x14ac:dyDescent="0.2">
      <c r="A1309" s="2" t="s">
        <v>1018</v>
      </c>
      <c r="B1309" s="2" t="s">
        <v>3015</v>
      </c>
      <c r="C1309" s="2" t="s">
        <v>3015</v>
      </c>
      <c r="D1309" s="2" t="s">
        <v>1836</v>
      </c>
      <c r="E1309" s="2" t="s">
        <v>1837</v>
      </c>
      <c r="F1309" s="2">
        <v>2.8442599999999998</v>
      </c>
      <c r="G1309" s="2">
        <v>1.40055</v>
      </c>
      <c r="H1309" s="2">
        <v>-1.02206</v>
      </c>
    </row>
    <row r="1310" spans="1:8" x14ac:dyDescent="0.2">
      <c r="A1310" s="2" t="s">
        <v>1494</v>
      </c>
      <c r="B1310" s="2" t="s">
        <v>3389</v>
      </c>
      <c r="C1310" s="2" t="s">
        <v>1847</v>
      </c>
      <c r="D1310" s="2" t="s">
        <v>1839</v>
      </c>
      <c r="E1310" s="2" t="s">
        <v>1841</v>
      </c>
      <c r="F1310" s="2">
        <v>0.95353299999999996</v>
      </c>
      <c r="G1310" s="2">
        <v>0.46943400000000002</v>
      </c>
      <c r="H1310" s="2">
        <v>-1.0223599999999999</v>
      </c>
    </row>
    <row r="1311" spans="1:8" x14ac:dyDescent="0.2">
      <c r="A1311" s="2" t="s">
        <v>601</v>
      </c>
      <c r="B1311" s="2" t="s">
        <v>3058</v>
      </c>
      <c r="C1311" s="2" t="s">
        <v>2057</v>
      </c>
      <c r="D1311" s="2" t="s">
        <v>1836</v>
      </c>
      <c r="E1311" s="2" t="s">
        <v>1837</v>
      </c>
      <c r="F1311" s="2">
        <v>4.4676499999999999</v>
      </c>
      <c r="G1311" s="2">
        <v>2.1991999999999998</v>
      </c>
      <c r="H1311" s="2">
        <v>-1.02254</v>
      </c>
    </row>
    <row r="1312" spans="1:8" x14ac:dyDescent="0.2">
      <c r="A1312" s="2" t="s">
        <v>1020</v>
      </c>
      <c r="B1312" s="2" t="s">
        <v>3015</v>
      </c>
      <c r="C1312" s="2" t="s">
        <v>2322</v>
      </c>
      <c r="D1312" s="2" t="s">
        <v>1836</v>
      </c>
      <c r="E1312" s="2" t="s">
        <v>1837</v>
      </c>
      <c r="F1312" s="2">
        <v>78.130399999999995</v>
      </c>
      <c r="G1312" s="2">
        <v>38.446899999999999</v>
      </c>
      <c r="H1312" s="2">
        <v>-1.02302</v>
      </c>
    </row>
    <row r="1313" spans="1:8" x14ac:dyDescent="0.2">
      <c r="A1313" s="2" t="s">
        <v>399</v>
      </c>
      <c r="B1313" s="2" t="s">
        <v>3038</v>
      </c>
      <c r="C1313" s="2" t="s">
        <v>2027</v>
      </c>
      <c r="D1313" s="2" t="s">
        <v>1836</v>
      </c>
      <c r="E1313" s="2" t="s">
        <v>1837</v>
      </c>
      <c r="F1313" s="2">
        <v>1.50061</v>
      </c>
      <c r="G1313" s="2">
        <v>0.73831400000000003</v>
      </c>
      <c r="H1313" s="2">
        <v>-1.0232399999999999</v>
      </c>
    </row>
    <row r="1314" spans="1:8" x14ac:dyDescent="0.2">
      <c r="A1314" s="2" t="s">
        <v>606</v>
      </c>
      <c r="B1314" s="2" t="s">
        <v>3015</v>
      </c>
      <c r="C1314" s="2" t="s">
        <v>3016</v>
      </c>
      <c r="D1314" s="2" t="s">
        <v>1839</v>
      </c>
      <c r="E1314" s="2" t="s">
        <v>1841</v>
      </c>
      <c r="F1314" s="2">
        <v>14.9101</v>
      </c>
      <c r="G1314" s="2">
        <v>7.3357700000000001</v>
      </c>
      <c r="H1314" s="2">
        <v>-1.0232699999999999</v>
      </c>
    </row>
    <row r="1315" spans="1:8" x14ac:dyDescent="0.2">
      <c r="A1315" s="2" t="s">
        <v>735</v>
      </c>
      <c r="B1315" s="2" t="s">
        <v>3171</v>
      </c>
      <c r="C1315" s="2" t="s">
        <v>2123</v>
      </c>
      <c r="D1315" s="2" t="s">
        <v>1836</v>
      </c>
      <c r="E1315" s="2" t="s">
        <v>1837</v>
      </c>
      <c r="F1315" s="2">
        <v>1.76406</v>
      </c>
      <c r="G1315" s="2">
        <v>0.86770099999999994</v>
      </c>
      <c r="H1315" s="2">
        <v>-1.02363</v>
      </c>
    </row>
    <row r="1316" spans="1:8" x14ac:dyDescent="0.2">
      <c r="A1316" s="2" t="s">
        <v>77</v>
      </c>
      <c r="B1316" s="2" t="s">
        <v>3188</v>
      </c>
      <c r="C1316" s="2" t="s">
        <v>2385</v>
      </c>
      <c r="D1316" s="2" t="s">
        <v>1836</v>
      </c>
      <c r="E1316" s="2" t="s">
        <v>1838</v>
      </c>
      <c r="F1316" s="2">
        <v>90.296000000000006</v>
      </c>
      <c r="G1316" s="2">
        <v>44.408999999999999</v>
      </c>
      <c r="H1316" s="2">
        <v>-1.0238100000000001</v>
      </c>
    </row>
    <row r="1317" spans="1:8" x14ac:dyDescent="0.2">
      <c r="A1317" s="2" t="s">
        <v>1364</v>
      </c>
      <c r="B1317" s="2" t="s">
        <v>3015</v>
      </c>
      <c r="C1317" s="2" t="s">
        <v>2549</v>
      </c>
      <c r="D1317" s="2" t="s">
        <v>1836</v>
      </c>
      <c r="E1317" s="2" t="s">
        <v>1838</v>
      </c>
      <c r="F1317" s="2">
        <v>4.4039299999999999</v>
      </c>
      <c r="G1317" s="2">
        <v>2.16534</v>
      </c>
      <c r="H1317" s="2">
        <v>-1.0242</v>
      </c>
    </row>
    <row r="1318" spans="1:8" x14ac:dyDescent="0.2">
      <c r="A1318" s="2" t="s">
        <v>1708</v>
      </c>
      <c r="B1318" s="2" t="s">
        <v>3328</v>
      </c>
      <c r="C1318" s="2" t="s">
        <v>2077</v>
      </c>
      <c r="D1318" s="2" t="s">
        <v>1839</v>
      </c>
      <c r="E1318" s="2" t="s">
        <v>1841</v>
      </c>
      <c r="F1318" s="2">
        <v>5.4539799999999996</v>
      </c>
      <c r="G1318" s="2">
        <v>2.68161</v>
      </c>
      <c r="H1318" s="2">
        <v>-1.0242100000000001</v>
      </c>
    </row>
    <row r="1319" spans="1:8" x14ac:dyDescent="0.2">
      <c r="A1319" s="2" t="s">
        <v>1740</v>
      </c>
      <c r="B1319" s="2" t="s">
        <v>3015</v>
      </c>
      <c r="C1319" s="2" t="s">
        <v>3016</v>
      </c>
      <c r="D1319" s="2" t="s">
        <v>1839</v>
      </c>
      <c r="E1319" s="2" t="s">
        <v>1841</v>
      </c>
      <c r="F1319" s="2">
        <v>45.418700000000001</v>
      </c>
      <c r="G1319" s="2">
        <v>22.321899999999999</v>
      </c>
      <c r="H1319" s="2">
        <v>-1.0248299999999999</v>
      </c>
    </row>
    <row r="1320" spans="1:8" x14ac:dyDescent="0.2">
      <c r="A1320" s="2" t="s">
        <v>675</v>
      </c>
      <c r="B1320" s="2" t="s">
        <v>3189</v>
      </c>
      <c r="C1320" s="2" t="s">
        <v>2157</v>
      </c>
      <c r="D1320" s="2" t="s">
        <v>1836</v>
      </c>
      <c r="E1320" s="2" t="s">
        <v>1837</v>
      </c>
      <c r="F1320" s="2">
        <v>36.3626</v>
      </c>
      <c r="G1320" s="2">
        <v>17.866</v>
      </c>
      <c r="H1320" s="2">
        <v>-1.0252399999999999</v>
      </c>
    </row>
    <row r="1321" spans="1:8" x14ac:dyDescent="0.2">
      <c r="A1321" s="2" t="s">
        <v>366</v>
      </c>
      <c r="B1321" s="2" t="s">
        <v>3127</v>
      </c>
      <c r="C1321" s="2" t="s">
        <v>2012</v>
      </c>
      <c r="D1321" s="2" t="s">
        <v>1836</v>
      </c>
      <c r="E1321" s="2" t="s">
        <v>1838</v>
      </c>
      <c r="F1321" s="2">
        <v>13.690300000000001</v>
      </c>
      <c r="G1321" s="2">
        <v>6.7259700000000002</v>
      </c>
      <c r="H1321" s="2">
        <v>-1.0253399999999999</v>
      </c>
    </row>
    <row r="1322" spans="1:8" x14ac:dyDescent="0.2">
      <c r="A1322" s="2" t="s">
        <v>808</v>
      </c>
      <c r="B1322" s="2" t="s">
        <v>3015</v>
      </c>
      <c r="C1322" s="2" t="s">
        <v>1862</v>
      </c>
      <c r="D1322" s="2" t="s">
        <v>1836</v>
      </c>
      <c r="E1322" s="2" t="s">
        <v>1838</v>
      </c>
      <c r="F1322" s="2">
        <v>2.2401900000000001</v>
      </c>
      <c r="G1322" s="2">
        <v>1.1005799999999999</v>
      </c>
      <c r="H1322" s="2">
        <v>-1.02535</v>
      </c>
    </row>
    <row r="1323" spans="1:8" x14ac:dyDescent="0.2">
      <c r="A1323" s="2" t="s">
        <v>1827</v>
      </c>
      <c r="B1323" s="2" t="s">
        <v>3190</v>
      </c>
      <c r="C1323" s="2" t="s">
        <v>3005</v>
      </c>
      <c r="D1323" s="2" t="s">
        <v>1839</v>
      </c>
      <c r="E1323" s="2" t="s">
        <v>1840</v>
      </c>
      <c r="F1323" s="2">
        <v>2.2004299999999999</v>
      </c>
      <c r="G1323" s="2">
        <v>1.0806800000000001</v>
      </c>
      <c r="H1323" s="2">
        <v>-1.0258499999999999</v>
      </c>
    </row>
    <row r="1324" spans="1:8" x14ac:dyDescent="0.2">
      <c r="A1324" s="2" t="s">
        <v>63</v>
      </c>
      <c r="B1324" s="2" t="s">
        <v>3044</v>
      </c>
      <c r="C1324" s="2" t="s">
        <v>1874</v>
      </c>
      <c r="D1324" s="2" t="s">
        <v>1836</v>
      </c>
      <c r="E1324" s="2" t="s">
        <v>1837</v>
      </c>
      <c r="F1324" s="2">
        <v>1.1084400000000001</v>
      </c>
      <c r="G1324" s="2">
        <v>0.54420800000000003</v>
      </c>
      <c r="H1324" s="2">
        <v>-1.0262899999999999</v>
      </c>
    </row>
    <row r="1325" spans="1:8" x14ac:dyDescent="0.2">
      <c r="A1325" s="2" t="s">
        <v>1660</v>
      </c>
      <c r="B1325" s="2" t="s">
        <v>3445</v>
      </c>
      <c r="C1325" s="2" t="s">
        <v>3015</v>
      </c>
      <c r="D1325" s="2" t="s">
        <v>1839</v>
      </c>
      <c r="E1325" s="2" t="s">
        <v>1841</v>
      </c>
      <c r="F1325" s="2">
        <v>0.89339299999999999</v>
      </c>
      <c r="G1325" s="2">
        <v>0.43862600000000002</v>
      </c>
      <c r="H1325" s="2">
        <v>-1.0263</v>
      </c>
    </row>
    <row r="1326" spans="1:8" x14ac:dyDescent="0.2">
      <c r="A1326" s="2" t="s">
        <v>1026</v>
      </c>
      <c r="B1326" s="2" t="s">
        <v>3259</v>
      </c>
      <c r="C1326" s="2" t="s">
        <v>1847</v>
      </c>
      <c r="D1326" s="2" t="s">
        <v>1839</v>
      </c>
      <c r="E1326" s="2" t="s">
        <v>1841</v>
      </c>
      <c r="F1326" s="2">
        <v>2.8478699999999999</v>
      </c>
      <c r="G1326" s="2">
        <v>1.3980900000000001</v>
      </c>
      <c r="H1326" s="2">
        <v>-1.02643</v>
      </c>
    </row>
    <row r="1327" spans="1:8" x14ac:dyDescent="0.2">
      <c r="A1327" s="2" t="s">
        <v>1141</v>
      </c>
      <c r="B1327" s="2" t="s">
        <v>3015</v>
      </c>
      <c r="C1327" s="2" t="s">
        <v>2629</v>
      </c>
      <c r="D1327" s="2" t="s">
        <v>1839</v>
      </c>
      <c r="E1327" s="2" t="s">
        <v>1841</v>
      </c>
      <c r="F1327" s="2">
        <v>30.334900000000001</v>
      </c>
      <c r="G1327" s="2">
        <v>14.8789</v>
      </c>
      <c r="H1327" s="2">
        <v>-1.0277099999999999</v>
      </c>
    </row>
    <row r="1328" spans="1:8" x14ac:dyDescent="0.2">
      <c r="A1328" s="2" t="s">
        <v>1305</v>
      </c>
      <c r="B1328" s="2" t="s">
        <v>3342</v>
      </c>
      <c r="C1328" s="2" t="s">
        <v>2511</v>
      </c>
      <c r="D1328" s="2" t="s">
        <v>1836</v>
      </c>
      <c r="E1328" s="2" t="s">
        <v>1838</v>
      </c>
      <c r="F1328" s="2">
        <v>20.513999999999999</v>
      </c>
      <c r="G1328" s="2">
        <v>10.058400000000001</v>
      </c>
      <c r="H1328" s="2">
        <v>-1.0282</v>
      </c>
    </row>
    <row r="1329" spans="1:8" x14ac:dyDescent="0.2">
      <c r="A1329" s="2" t="s">
        <v>234</v>
      </c>
      <c r="B1329" s="2" t="s">
        <v>3093</v>
      </c>
      <c r="C1329" s="2" t="s">
        <v>1954</v>
      </c>
      <c r="D1329" s="2" t="s">
        <v>1836</v>
      </c>
      <c r="E1329" s="2" t="s">
        <v>1837</v>
      </c>
      <c r="F1329" s="2">
        <v>17.8552</v>
      </c>
      <c r="G1329" s="2">
        <v>8.7517899999999997</v>
      </c>
      <c r="H1329" s="2">
        <v>-1.0286900000000001</v>
      </c>
    </row>
    <row r="1330" spans="1:8" x14ac:dyDescent="0.2">
      <c r="A1330" s="2" t="s">
        <v>17</v>
      </c>
      <c r="B1330" s="2" t="s">
        <v>3015</v>
      </c>
      <c r="C1330" s="2" t="s">
        <v>1849</v>
      </c>
      <c r="D1330" s="2" t="s">
        <v>1836</v>
      </c>
      <c r="E1330" s="2" t="s">
        <v>1837</v>
      </c>
      <c r="F1330" s="2">
        <v>22.555399999999999</v>
      </c>
      <c r="G1330" s="2">
        <v>11.0549</v>
      </c>
      <c r="H1330" s="2">
        <v>-1.0287900000000001</v>
      </c>
    </row>
    <row r="1331" spans="1:8" x14ac:dyDescent="0.2">
      <c r="A1331" s="2" t="s">
        <v>820</v>
      </c>
      <c r="B1331" s="2" t="s">
        <v>3216</v>
      </c>
      <c r="C1331" s="2" t="s">
        <v>2215</v>
      </c>
      <c r="D1331" s="2" t="s">
        <v>1836</v>
      </c>
      <c r="E1331" s="2" t="s">
        <v>1837</v>
      </c>
      <c r="F1331" s="2">
        <v>19.317799999999998</v>
      </c>
      <c r="G1331" s="2">
        <v>9.4672900000000002</v>
      </c>
      <c r="H1331" s="2">
        <v>-1.02891</v>
      </c>
    </row>
    <row r="1332" spans="1:8" x14ac:dyDescent="0.2">
      <c r="A1332" s="2" t="s">
        <v>1207</v>
      </c>
      <c r="B1332" s="2" t="s">
        <v>3111</v>
      </c>
      <c r="C1332" s="2" t="s">
        <v>1988</v>
      </c>
      <c r="D1332" s="2" t="s">
        <v>1836</v>
      </c>
      <c r="E1332" s="2" t="s">
        <v>1838</v>
      </c>
      <c r="F1332" s="2">
        <v>1.0108299999999999</v>
      </c>
      <c r="G1332" s="2">
        <v>0.495143</v>
      </c>
      <c r="H1332" s="2">
        <v>-1.02963</v>
      </c>
    </row>
    <row r="1333" spans="1:8" x14ac:dyDescent="0.2">
      <c r="A1333" s="2" t="s">
        <v>1109</v>
      </c>
      <c r="B1333" s="2" t="s">
        <v>3271</v>
      </c>
      <c r="C1333" s="2" t="s">
        <v>1847</v>
      </c>
      <c r="D1333" s="2" t="s">
        <v>1836</v>
      </c>
      <c r="E1333" s="2" t="s">
        <v>1837</v>
      </c>
      <c r="F1333" s="2">
        <v>2.4814799999999999</v>
      </c>
      <c r="G1333" s="2">
        <v>1.2155100000000001</v>
      </c>
      <c r="H1333" s="2">
        <v>-1.0296400000000001</v>
      </c>
    </row>
    <row r="1334" spans="1:8" x14ac:dyDescent="0.2">
      <c r="A1334" s="2" t="s">
        <v>123</v>
      </c>
      <c r="B1334" s="2" t="s">
        <v>3056</v>
      </c>
      <c r="C1334" s="2" t="s">
        <v>1899</v>
      </c>
      <c r="D1334" s="2" t="s">
        <v>1836</v>
      </c>
      <c r="E1334" s="2" t="s">
        <v>1838</v>
      </c>
      <c r="F1334" s="2">
        <v>1.9359599999999999</v>
      </c>
      <c r="G1334" s="2">
        <v>0.947882</v>
      </c>
      <c r="H1334" s="2">
        <v>-1.03027</v>
      </c>
    </row>
    <row r="1335" spans="1:8" x14ac:dyDescent="0.2">
      <c r="A1335" s="2" t="s">
        <v>320</v>
      </c>
      <c r="B1335" s="2" t="s">
        <v>3113</v>
      </c>
      <c r="C1335" s="2" t="s">
        <v>1994</v>
      </c>
      <c r="D1335" s="2" t="s">
        <v>1836</v>
      </c>
      <c r="E1335" s="2" t="s">
        <v>1838</v>
      </c>
      <c r="F1335" s="2">
        <v>1.3244800000000001</v>
      </c>
      <c r="G1335" s="2">
        <v>0.64828399999999997</v>
      </c>
      <c r="H1335" s="2">
        <v>-1.0307299999999999</v>
      </c>
    </row>
    <row r="1336" spans="1:8" x14ac:dyDescent="0.2">
      <c r="A1336" s="2" t="s">
        <v>934</v>
      </c>
      <c r="B1336" s="2" t="s">
        <v>3015</v>
      </c>
      <c r="C1336" s="2" t="s">
        <v>2926</v>
      </c>
      <c r="D1336" s="2" t="s">
        <v>1839</v>
      </c>
      <c r="E1336" s="2" t="s">
        <v>1841</v>
      </c>
      <c r="F1336" s="2">
        <v>18.581399999999999</v>
      </c>
      <c r="G1336" s="2">
        <v>9.0945999999999998</v>
      </c>
      <c r="H1336" s="2">
        <v>-1.03078</v>
      </c>
    </row>
    <row r="1337" spans="1:8" x14ac:dyDescent="0.2">
      <c r="A1337" s="2" t="s">
        <v>800</v>
      </c>
      <c r="B1337" s="2" t="s">
        <v>3210</v>
      </c>
      <c r="C1337" s="2" t="s">
        <v>2208</v>
      </c>
      <c r="D1337" s="2" t="s">
        <v>1836</v>
      </c>
      <c r="E1337" s="2" t="s">
        <v>1837</v>
      </c>
      <c r="F1337" s="2">
        <v>33.7821</v>
      </c>
      <c r="G1337" s="2">
        <v>16.533799999999999</v>
      </c>
      <c r="H1337" s="2">
        <v>-1.03084</v>
      </c>
    </row>
    <row r="1338" spans="1:8" x14ac:dyDescent="0.2">
      <c r="A1338" s="2" t="s">
        <v>937</v>
      </c>
      <c r="B1338" s="2" t="s">
        <v>3137</v>
      </c>
      <c r="C1338" s="2" t="s">
        <v>2280</v>
      </c>
      <c r="D1338" s="2" t="s">
        <v>1836</v>
      </c>
      <c r="E1338" s="2" t="s">
        <v>1837</v>
      </c>
      <c r="F1338" s="2">
        <v>52.618499999999997</v>
      </c>
      <c r="G1338" s="2">
        <v>25.751999999999999</v>
      </c>
      <c r="H1338" s="2">
        <v>-1.03088</v>
      </c>
    </row>
    <row r="1339" spans="1:8" x14ac:dyDescent="0.2">
      <c r="A1339" s="2" t="s">
        <v>993</v>
      </c>
      <c r="B1339" s="2" t="s">
        <v>3015</v>
      </c>
      <c r="C1339" s="2" t="s">
        <v>2594</v>
      </c>
      <c r="D1339" s="2" t="s">
        <v>1836</v>
      </c>
      <c r="E1339" s="2" t="s">
        <v>1838</v>
      </c>
      <c r="F1339" s="2">
        <v>10.4193</v>
      </c>
      <c r="G1339" s="2">
        <v>5.0990799999999998</v>
      </c>
      <c r="H1339" s="2">
        <v>-1.03095</v>
      </c>
    </row>
    <row r="1340" spans="1:8" x14ac:dyDescent="0.2">
      <c r="A1340" s="2" t="s">
        <v>844</v>
      </c>
      <c r="B1340" s="2" t="s">
        <v>3220</v>
      </c>
      <c r="C1340" s="2" t="s">
        <v>2231</v>
      </c>
      <c r="D1340" s="2" t="s">
        <v>1836</v>
      </c>
      <c r="E1340" s="2" t="s">
        <v>1838</v>
      </c>
      <c r="F1340" s="2">
        <v>4.7689500000000002</v>
      </c>
      <c r="G1340" s="2">
        <v>2.3337400000000001</v>
      </c>
      <c r="H1340" s="2">
        <v>-1.0310299999999999</v>
      </c>
    </row>
    <row r="1341" spans="1:8" x14ac:dyDescent="0.2">
      <c r="A1341" s="2" t="s">
        <v>1637</v>
      </c>
      <c r="B1341" s="2" t="s">
        <v>3015</v>
      </c>
      <c r="C1341" s="2" t="s">
        <v>2801</v>
      </c>
      <c r="D1341" s="2" t="s">
        <v>1839</v>
      </c>
      <c r="E1341" s="2" t="s">
        <v>1841</v>
      </c>
      <c r="F1341" s="2">
        <v>1.10226</v>
      </c>
      <c r="G1341" s="2">
        <v>0.53936799999999996</v>
      </c>
      <c r="H1341" s="2">
        <v>-1.03112</v>
      </c>
    </row>
    <row r="1342" spans="1:8" x14ac:dyDescent="0.2">
      <c r="A1342" s="2" t="s">
        <v>131</v>
      </c>
      <c r="B1342" s="2" t="s">
        <v>3049</v>
      </c>
      <c r="C1342" s="2" t="s">
        <v>2666</v>
      </c>
      <c r="D1342" s="2" t="s">
        <v>1839</v>
      </c>
      <c r="E1342" s="2" t="s">
        <v>1841</v>
      </c>
      <c r="F1342" s="2">
        <v>10.3287</v>
      </c>
      <c r="G1342" s="2">
        <v>5.0537599999999996</v>
      </c>
      <c r="H1342" s="2">
        <v>-1.0312300000000001</v>
      </c>
    </row>
    <row r="1343" spans="1:8" x14ac:dyDescent="0.2">
      <c r="A1343" s="2" t="s">
        <v>1523</v>
      </c>
      <c r="B1343" s="2" t="s">
        <v>3015</v>
      </c>
      <c r="C1343" s="2" t="s">
        <v>2676</v>
      </c>
      <c r="D1343" s="2" t="s">
        <v>1839</v>
      </c>
      <c r="E1343" s="2" t="s">
        <v>1841</v>
      </c>
      <c r="F1343" s="2">
        <v>13.2255</v>
      </c>
      <c r="G1343" s="2">
        <v>6.4704199999999998</v>
      </c>
      <c r="H1343" s="2">
        <v>-1.03139</v>
      </c>
    </row>
    <row r="1344" spans="1:8" x14ac:dyDescent="0.2">
      <c r="A1344" s="2" t="s">
        <v>741</v>
      </c>
      <c r="B1344" s="2" t="s">
        <v>3015</v>
      </c>
      <c r="C1344" s="2" t="s">
        <v>3016</v>
      </c>
      <c r="D1344" s="2" t="s">
        <v>1839</v>
      </c>
      <c r="E1344" s="2" t="s">
        <v>1841</v>
      </c>
      <c r="F1344" s="2">
        <v>12.086399999999999</v>
      </c>
      <c r="G1344" s="2">
        <v>5.9120400000000002</v>
      </c>
      <c r="H1344" s="2">
        <v>-1.03166</v>
      </c>
    </row>
    <row r="1345" spans="1:8" x14ac:dyDescent="0.2">
      <c r="A1345" s="2" t="s">
        <v>1737</v>
      </c>
      <c r="B1345" s="2" t="s">
        <v>3182</v>
      </c>
      <c r="C1345" s="2" t="s">
        <v>2905</v>
      </c>
      <c r="D1345" s="2" t="s">
        <v>1839</v>
      </c>
      <c r="E1345" s="2" t="s">
        <v>1841</v>
      </c>
      <c r="F1345" s="2">
        <v>12.4674</v>
      </c>
      <c r="G1345" s="2">
        <v>6.09701</v>
      </c>
      <c r="H1345" s="2">
        <v>-1.0319799999999999</v>
      </c>
    </row>
    <row r="1346" spans="1:8" x14ac:dyDescent="0.2">
      <c r="A1346" s="2" t="s">
        <v>540</v>
      </c>
      <c r="B1346" s="2" t="s">
        <v>3156</v>
      </c>
      <c r="C1346" s="2" t="s">
        <v>2099</v>
      </c>
      <c r="D1346" s="2" t="s">
        <v>1836</v>
      </c>
      <c r="E1346" s="2" t="s">
        <v>1837</v>
      </c>
      <c r="F1346" s="2">
        <v>1.4227799999999999</v>
      </c>
      <c r="G1346" s="2">
        <v>0.69574899999999995</v>
      </c>
      <c r="H1346" s="2">
        <v>-1.03207</v>
      </c>
    </row>
    <row r="1347" spans="1:8" x14ac:dyDescent="0.2">
      <c r="A1347" s="2" t="s">
        <v>32</v>
      </c>
      <c r="B1347" s="2" t="s">
        <v>3033</v>
      </c>
      <c r="C1347" s="2" t="s">
        <v>1858</v>
      </c>
      <c r="D1347" s="2" t="s">
        <v>1836</v>
      </c>
      <c r="E1347" s="2" t="s">
        <v>1838</v>
      </c>
      <c r="F1347" s="2">
        <v>6.3867399999999996</v>
      </c>
      <c r="G1347" s="2">
        <v>3.1223200000000002</v>
      </c>
      <c r="H1347" s="2">
        <v>-1.0324599999999999</v>
      </c>
    </row>
    <row r="1348" spans="1:8" x14ac:dyDescent="0.2">
      <c r="A1348" s="2" t="s">
        <v>1573</v>
      </c>
      <c r="B1348" s="2" t="s">
        <v>3015</v>
      </c>
      <c r="C1348" s="2" t="s">
        <v>2988</v>
      </c>
      <c r="D1348" s="2" t="s">
        <v>1839</v>
      </c>
      <c r="E1348" s="2" t="s">
        <v>1840</v>
      </c>
      <c r="F1348" s="2">
        <v>2.06094</v>
      </c>
      <c r="G1348" s="2">
        <v>1.00735</v>
      </c>
      <c r="H1348" s="2">
        <v>-1.0327299999999999</v>
      </c>
    </row>
    <row r="1349" spans="1:8" x14ac:dyDescent="0.2">
      <c r="A1349" s="2" t="s">
        <v>743</v>
      </c>
      <c r="B1349" s="2" t="s">
        <v>3201</v>
      </c>
      <c r="C1349" s="2" t="s">
        <v>2186</v>
      </c>
      <c r="D1349" s="2" t="s">
        <v>1836</v>
      </c>
      <c r="E1349" s="2" t="s">
        <v>1837</v>
      </c>
      <c r="F1349" s="2">
        <v>1.78914</v>
      </c>
      <c r="G1349" s="2">
        <v>0.87441500000000005</v>
      </c>
      <c r="H1349" s="2">
        <v>-1.03288</v>
      </c>
    </row>
    <row r="1350" spans="1:8" x14ac:dyDescent="0.2">
      <c r="A1350" s="2" t="s">
        <v>47</v>
      </c>
      <c r="B1350" s="2" t="s">
        <v>3015</v>
      </c>
      <c r="C1350" s="2" t="s">
        <v>1865</v>
      </c>
      <c r="D1350" s="2" t="s">
        <v>1839</v>
      </c>
      <c r="E1350" s="2" t="s">
        <v>1840</v>
      </c>
      <c r="F1350" s="2">
        <v>66.780900000000003</v>
      </c>
      <c r="G1350" s="2">
        <v>32.634700000000002</v>
      </c>
      <c r="H1350" s="2">
        <v>-1.0330299999999999</v>
      </c>
    </row>
    <row r="1351" spans="1:8" x14ac:dyDescent="0.2">
      <c r="A1351" s="2" t="s">
        <v>1635</v>
      </c>
      <c r="B1351" s="2" t="s">
        <v>3081</v>
      </c>
      <c r="C1351" s="2" t="s">
        <v>1915</v>
      </c>
      <c r="D1351" s="2" t="s">
        <v>1839</v>
      </c>
      <c r="E1351" s="2" t="s">
        <v>1841</v>
      </c>
      <c r="F1351" s="2">
        <v>2.3724400000000001</v>
      </c>
      <c r="G1351" s="2">
        <v>1.15924</v>
      </c>
      <c r="H1351" s="2">
        <v>-1.0331900000000001</v>
      </c>
    </row>
    <row r="1352" spans="1:8" x14ac:dyDescent="0.2">
      <c r="A1352" s="2" t="s">
        <v>1648</v>
      </c>
      <c r="B1352" s="2" t="s">
        <v>3015</v>
      </c>
      <c r="C1352" s="2" t="s">
        <v>2995</v>
      </c>
      <c r="D1352" s="2" t="s">
        <v>1839</v>
      </c>
      <c r="E1352" s="2" t="s">
        <v>1840</v>
      </c>
      <c r="F1352" s="2">
        <v>3.8275299999999999</v>
      </c>
      <c r="G1352" s="2">
        <v>1.87018</v>
      </c>
      <c r="H1352" s="2">
        <v>-1.0332399999999999</v>
      </c>
    </row>
    <row r="1353" spans="1:8" x14ac:dyDescent="0.2">
      <c r="A1353" s="2" t="s">
        <v>727</v>
      </c>
      <c r="B1353" s="2" t="s">
        <v>3015</v>
      </c>
      <c r="C1353" s="2" t="s">
        <v>1862</v>
      </c>
      <c r="D1353" s="2" t="s">
        <v>1839</v>
      </c>
      <c r="E1353" s="2" t="s">
        <v>1840</v>
      </c>
      <c r="F1353" s="2">
        <v>271.16199999999998</v>
      </c>
      <c r="G1353" s="2">
        <v>132.45099999999999</v>
      </c>
      <c r="H1353" s="2">
        <v>-1.0337000000000001</v>
      </c>
    </row>
    <row r="1354" spans="1:8" x14ac:dyDescent="0.2">
      <c r="A1354" s="2" t="s">
        <v>493</v>
      </c>
      <c r="B1354" s="2" t="s">
        <v>3015</v>
      </c>
      <c r="C1354" s="2" t="s">
        <v>2076</v>
      </c>
      <c r="D1354" s="2" t="s">
        <v>1836</v>
      </c>
      <c r="E1354" s="2" t="s">
        <v>1837</v>
      </c>
      <c r="F1354" s="2">
        <v>2.2652600000000001</v>
      </c>
      <c r="G1354" s="2">
        <v>1.10632</v>
      </c>
      <c r="H1354" s="2">
        <v>-1.0339100000000001</v>
      </c>
    </row>
    <row r="1355" spans="1:8" x14ac:dyDescent="0.2">
      <c r="A1355" s="2" t="s">
        <v>245</v>
      </c>
      <c r="B1355" s="2" t="s">
        <v>3015</v>
      </c>
      <c r="C1355" s="2" t="s">
        <v>1958</v>
      </c>
      <c r="D1355" s="2" t="s">
        <v>1836</v>
      </c>
      <c r="E1355" s="2" t="s">
        <v>1837</v>
      </c>
      <c r="F1355" s="2">
        <v>1.8548100000000001</v>
      </c>
      <c r="G1355" s="2">
        <v>0.90556899999999996</v>
      </c>
      <c r="H1355" s="2">
        <v>-1.03437</v>
      </c>
    </row>
    <row r="1356" spans="1:8" x14ac:dyDescent="0.2">
      <c r="A1356" s="2" t="s">
        <v>609</v>
      </c>
      <c r="B1356" s="2" t="s">
        <v>3081</v>
      </c>
      <c r="C1356" s="2" t="s">
        <v>1965</v>
      </c>
      <c r="D1356" s="2" t="s">
        <v>1836</v>
      </c>
      <c r="E1356" s="2" t="s">
        <v>1837</v>
      </c>
      <c r="F1356" s="2">
        <v>5.0696899999999996</v>
      </c>
      <c r="G1356" s="2">
        <v>2.4751099999999999</v>
      </c>
      <c r="H1356" s="2">
        <v>-1.0344</v>
      </c>
    </row>
    <row r="1357" spans="1:8" x14ac:dyDescent="0.2">
      <c r="A1357" s="2" t="s">
        <v>1126</v>
      </c>
      <c r="B1357" s="2" t="s">
        <v>3015</v>
      </c>
      <c r="C1357" s="2" t="s">
        <v>3016</v>
      </c>
      <c r="D1357" s="2" t="s">
        <v>1836</v>
      </c>
      <c r="E1357" s="2" t="s">
        <v>1837</v>
      </c>
      <c r="F1357" s="2">
        <v>40.900100000000002</v>
      </c>
      <c r="G1357" s="2">
        <v>19.953499999999998</v>
      </c>
      <c r="H1357" s="2">
        <v>-1.03546</v>
      </c>
    </row>
    <row r="1358" spans="1:8" x14ac:dyDescent="0.2">
      <c r="A1358" s="2" t="s">
        <v>273</v>
      </c>
      <c r="B1358" s="2" t="s">
        <v>3015</v>
      </c>
      <c r="C1358" s="2" t="s">
        <v>3016</v>
      </c>
      <c r="D1358" s="2" t="s">
        <v>1839</v>
      </c>
      <c r="E1358" s="2" t="s">
        <v>1841</v>
      </c>
      <c r="F1358" s="2">
        <v>25.186699999999998</v>
      </c>
      <c r="G1358" s="2">
        <v>12.280900000000001</v>
      </c>
      <c r="H1358" s="2">
        <v>-1.0362499999999999</v>
      </c>
    </row>
    <row r="1359" spans="1:8" x14ac:dyDescent="0.2">
      <c r="A1359" s="2" t="s">
        <v>13</v>
      </c>
      <c r="B1359" s="2" t="s">
        <v>3391</v>
      </c>
      <c r="C1359" s="2" t="s">
        <v>2977</v>
      </c>
      <c r="D1359" s="2" t="s">
        <v>1839</v>
      </c>
      <c r="E1359" s="2" t="s">
        <v>1840</v>
      </c>
      <c r="F1359" s="2">
        <v>12.4711</v>
      </c>
      <c r="G1359" s="2">
        <v>6.0807200000000003</v>
      </c>
      <c r="H1359" s="2">
        <v>-1.0362800000000001</v>
      </c>
    </row>
    <row r="1360" spans="1:8" x14ac:dyDescent="0.2">
      <c r="A1360" s="2" t="s">
        <v>839</v>
      </c>
      <c r="B1360" s="2" t="s">
        <v>3015</v>
      </c>
      <c r="C1360" s="2" t="s">
        <v>1847</v>
      </c>
      <c r="D1360" s="2" t="s">
        <v>1836</v>
      </c>
      <c r="E1360" s="2" t="s">
        <v>1837</v>
      </c>
      <c r="F1360" s="2">
        <v>36.934699999999999</v>
      </c>
      <c r="G1360" s="2">
        <v>18.007999999999999</v>
      </c>
      <c r="H1360" s="2">
        <v>-1.03634</v>
      </c>
    </row>
    <row r="1361" spans="1:8" x14ac:dyDescent="0.2">
      <c r="A1361" s="2" t="s">
        <v>1524</v>
      </c>
      <c r="B1361" s="2" t="s">
        <v>3015</v>
      </c>
      <c r="C1361" s="2" t="s">
        <v>3016</v>
      </c>
      <c r="D1361" s="2" t="s">
        <v>1839</v>
      </c>
      <c r="E1361" s="2" t="s">
        <v>1841</v>
      </c>
      <c r="F1361" s="2">
        <v>2.0577700000000001</v>
      </c>
      <c r="G1361" s="2">
        <v>1.0031600000000001</v>
      </c>
      <c r="H1361" s="2">
        <v>-1.03653</v>
      </c>
    </row>
    <row r="1362" spans="1:8" x14ac:dyDescent="0.2">
      <c r="A1362" s="2" t="s">
        <v>688</v>
      </c>
      <c r="B1362" s="2" t="s">
        <v>3192</v>
      </c>
      <c r="C1362" s="2" t="s">
        <v>2162</v>
      </c>
      <c r="D1362" s="2" t="s">
        <v>1836</v>
      </c>
      <c r="E1362" s="2" t="s">
        <v>1837</v>
      </c>
      <c r="F1362" s="2">
        <v>1.37477</v>
      </c>
      <c r="G1362" s="2">
        <v>0.66997099999999998</v>
      </c>
      <c r="H1362" s="2">
        <v>-1.0370200000000001</v>
      </c>
    </row>
    <row r="1363" spans="1:8" x14ac:dyDescent="0.2">
      <c r="A1363" s="2" t="s">
        <v>1547</v>
      </c>
      <c r="B1363" s="2" t="s">
        <v>3405</v>
      </c>
      <c r="C1363" s="2" t="s">
        <v>1847</v>
      </c>
      <c r="D1363" s="2" t="s">
        <v>1839</v>
      </c>
      <c r="E1363" s="2" t="s">
        <v>1841</v>
      </c>
      <c r="F1363" s="2">
        <v>1.1359399999999999</v>
      </c>
      <c r="G1363" s="2">
        <v>0.55346600000000001</v>
      </c>
      <c r="H1363" s="2">
        <v>-1.03732</v>
      </c>
    </row>
    <row r="1364" spans="1:8" x14ac:dyDescent="0.2">
      <c r="A1364" s="2" t="s">
        <v>1649</v>
      </c>
      <c r="B1364" s="2" t="s">
        <v>3109</v>
      </c>
      <c r="C1364" s="2" t="s">
        <v>2815</v>
      </c>
      <c r="D1364" s="2" t="s">
        <v>1839</v>
      </c>
      <c r="E1364" s="2" t="s">
        <v>1841</v>
      </c>
      <c r="F1364" s="2">
        <v>1.3928700000000001</v>
      </c>
      <c r="G1364" s="2">
        <v>0.67856300000000003</v>
      </c>
      <c r="H1364" s="2">
        <v>-1.0375099999999999</v>
      </c>
    </row>
    <row r="1365" spans="1:8" x14ac:dyDescent="0.2">
      <c r="A1365" s="2" t="s">
        <v>1232</v>
      </c>
      <c r="B1365" s="2" t="s">
        <v>3275</v>
      </c>
      <c r="C1365" s="2" t="s">
        <v>2443</v>
      </c>
      <c r="D1365" s="2" t="s">
        <v>1836</v>
      </c>
      <c r="E1365" s="2" t="s">
        <v>1838</v>
      </c>
      <c r="F1365" s="2">
        <v>1.77122</v>
      </c>
      <c r="G1365" s="2">
        <v>0.86287100000000005</v>
      </c>
      <c r="H1365" s="2">
        <v>-1.03752</v>
      </c>
    </row>
    <row r="1366" spans="1:8" x14ac:dyDescent="0.2">
      <c r="A1366" s="2" t="s">
        <v>124</v>
      </c>
      <c r="B1366" s="2" t="s">
        <v>3015</v>
      </c>
      <c r="C1366" s="2" t="s">
        <v>1900</v>
      </c>
      <c r="D1366" s="2" t="s">
        <v>1836</v>
      </c>
      <c r="E1366" s="2" t="s">
        <v>1837</v>
      </c>
      <c r="F1366" s="2">
        <v>17.7075</v>
      </c>
      <c r="G1366" s="2">
        <v>8.6252999999999993</v>
      </c>
      <c r="H1366" s="2">
        <v>-1.0377099999999999</v>
      </c>
    </row>
    <row r="1367" spans="1:8" x14ac:dyDescent="0.2">
      <c r="A1367" s="2" t="s">
        <v>1125</v>
      </c>
      <c r="B1367" s="2" t="s">
        <v>3015</v>
      </c>
      <c r="C1367" s="2" t="s">
        <v>3015</v>
      </c>
      <c r="D1367" s="2" t="s">
        <v>1839</v>
      </c>
      <c r="E1367" s="2" t="s">
        <v>1841</v>
      </c>
      <c r="F1367" s="2">
        <v>115.628</v>
      </c>
      <c r="G1367" s="2">
        <v>56.317900000000002</v>
      </c>
      <c r="H1367" s="2">
        <v>-1.03783</v>
      </c>
    </row>
    <row r="1368" spans="1:8" x14ac:dyDescent="0.2">
      <c r="A1368" s="2" t="s">
        <v>797</v>
      </c>
      <c r="B1368" s="2" t="s">
        <v>3209</v>
      </c>
      <c r="C1368" s="2" t="s">
        <v>2205</v>
      </c>
      <c r="D1368" s="2" t="s">
        <v>1836</v>
      </c>
      <c r="E1368" s="2" t="s">
        <v>1837</v>
      </c>
      <c r="F1368" s="2">
        <v>22.359100000000002</v>
      </c>
      <c r="G1368" s="2">
        <v>10.886900000000001</v>
      </c>
      <c r="H1368" s="2">
        <v>-1.03827</v>
      </c>
    </row>
    <row r="1369" spans="1:8" x14ac:dyDescent="0.2">
      <c r="A1369" s="2" t="s">
        <v>442</v>
      </c>
      <c r="B1369" s="2" t="s">
        <v>3015</v>
      </c>
      <c r="C1369" s="2" t="s">
        <v>1862</v>
      </c>
      <c r="D1369" s="2" t="s">
        <v>1839</v>
      </c>
      <c r="E1369" s="2" t="s">
        <v>1840</v>
      </c>
      <c r="F1369" s="2">
        <v>28.128</v>
      </c>
      <c r="G1369" s="2">
        <v>13.6874</v>
      </c>
      <c r="H1369" s="2">
        <v>-1.0391600000000001</v>
      </c>
    </row>
    <row r="1370" spans="1:8" x14ac:dyDescent="0.2">
      <c r="A1370" s="2" t="s">
        <v>1814</v>
      </c>
      <c r="B1370" s="2" t="s">
        <v>3015</v>
      </c>
      <c r="C1370" s="2" t="s">
        <v>2990</v>
      </c>
      <c r="D1370" s="2" t="s">
        <v>1839</v>
      </c>
      <c r="E1370" s="2" t="s">
        <v>1840</v>
      </c>
      <c r="F1370" s="2">
        <v>1.31385</v>
      </c>
      <c r="G1370" s="2">
        <v>0.63932800000000001</v>
      </c>
      <c r="H1370" s="2">
        <v>-1.0391699999999999</v>
      </c>
    </row>
    <row r="1371" spans="1:8" x14ac:dyDescent="0.2">
      <c r="A1371" s="2" t="s">
        <v>1759</v>
      </c>
      <c r="B1371" s="2" t="s">
        <v>3301</v>
      </c>
      <c r="C1371" s="2" t="s">
        <v>1934</v>
      </c>
      <c r="D1371" s="2" t="s">
        <v>1839</v>
      </c>
      <c r="E1371" s="2" t="s">
        <v>1841</v>
      </c>
      <c r="F1371" s="2">
        <v>6.5976900000000001</v>
      </c>
      <c r="G1371" s="2">
        <v>3.20865</v>
      </c>
      <c r="H1371" s="2">
        <v>-1.03999</v>
      </c>
    </row>
    <row r="1372" spans="1:8" x14ac:dyDescent="0.2">
      <c r="A1372" s="2" t="s">
        <v>333</v>
      </c>
      <c r="B1372" s="2" t="s">
        <v>3119</v>
      </c>
      <c r="C1372" s="2" t="s">
        <v>2000</v>
      </c>
      <c r="D1372" s="2" t="s">
        <v>1836</v>
      </c>
      <c r="E1372" s="2" t="s">
        <v>1837</v>
      </c>
      <c r="F1372" s="2">
        <v>12.7761</v>
      </c>
      <c r="G1372" s="2">
        <v>6.2094500000000004</v>
      </c>
      <c r="H1372" s="2">
        <v>-1.04091</v>
      </c>
    </row>
    <row r="1373" spans="1:8" x14ac:dyDescent="0.2">
      <c r="A1373" s="2" t="s">
        <v>1094</v>
      </c>
      <c r="B1373" s="2" t="s">
        <v>3045</v>
      </c>
      <c r="C1373" s="2" t="s">
        <v>2609</v>
      </c>
      <c r="D1373" s="2" t="s">
        <v>1836</v>
      </c>
      <c r="E1373" s="2" t="s">
        <v>1838</v>
      </c>
      <c r="F1373" s="2">
        <v>2.8086700000000002</v>
      </c>
      <c r="G1373" s="2">
        <v>1.36496</v>
      </c>
      <c r="H1373" s="2">
        <v>-1.0410299999999999</v>
      </c>
    </row>
    <row r="1374" spans="1:8" x14ac:dyDescent="0.2">
      <c r="A1374" s="2" t="s">
        <v>262</v>
      </c>
      <c r="B1374" s="2" t="s">
        <v>3406</v>
      </c>
      <c r="C1374" s="2" t="s">
        <v>2702</v>
      </c>
      <c r="D1374" s="2" t="s">
        <v>1839</v>
      </c>
      <c r="E1374" s="2" t="s">
        <v>1841</v>
      </c>
      <c r="F1374" s="2">
        <v>1.7781499999999999</v>
      </c>
      <c r="G1374" s="2">
        <v>0.86358699999999999</v>
      </c>
      <c r="H1374" s="2">
        <v>-1.04196</v>
      </c>
    </row>
    <row r="1375" spans="1:8" x14ac:dyDescent="0.2">
      <c r="A1375" s="2" t="s">
        <v>971</v>
      </c>
      <c r="B1375" s="2" t="s">
        <v>3251</v>
      </c>
      <c r="C1375" s="2" t="s">
        <v>2302</v>
      </c>
      <c r="D1375" s="2" t="s">
        <v>1836</v>
      </c>
      <c r="E1375" s="2" t="s">
        <v>1837</v>
      </c>
      <c r="F1375" s="2">
        <v>2.74838</v>
      </c>
      <c r="G1375" s="2">
        <v>1.3341000000000001</v>
      </c>
      <c r="H1375" s="2">
        <v>-1.0427200000000001</v>
      </c>
    </row>
    <row r="1376" spans="1:8" x14ac:dyDescent="0.2">
      <c r="A1376" s="2" t="s">
        <v>16</v>
      </c>
      <c r="B1376" s="2" t="s">
        <v>3026</v>
      </c>
      <c r="C1376" s="2" t="s">
        <v>1848</v>
      </c>
      <c r="D1376" s="2" t="s">
        <v>1836</v>
      </c>
      <c r="E1376" s="2" t="s">
        <v>1837</v>
      </c>
      <c r="F1376" s="2">
        <v>5.4785700000000004</v>
      </c>
      <c r="G1376" s="2">
        <v>2.6592600000000002</v>
      </c>
      <c r="H1376" s="2">
        <v>-1.04277</v>
      </c>
    </row>
    <row r="1377" spans="1:8" x14ac:dyDescent="0.2">
      <c r="A1377" s="2" t="s">
        <v>1766</v>
      </c>
      <c r="B1377" s="2" t="s">
        <v>3015</v>
      </c>
      <c r="C1377" s="2" t="s">
        <v>2938</v>
      </c>
      <c r="D1377" s="2" t="s">
        <v>1839</v>
      </c>
      <c r="E1377" s="2" t="s">
        <v>1841</v>
      </c>
      <c r="F1377" s="2">
        <v>9.2154299999999996</v>
      </c>
      <c r="G1377" s="2">
        <v>4.4717900000000004</v>
      </c>
      <c r="H1377" s="2">
        <v>-1.0431999999999999</v>
      </c>
    </row>
    <row r="1378" spans="1:8" x14ac:dyDescent="0.2">
      <c r="A1378" s="2" t="s">
        <v>1247</v>
      </c>
      <c r="B1378" s="2" t="s">
        <v>3033</v>
      </c>
      <c r="C1378" s="2" t="s">
        <v>1971</v>
      </c>
      <c r="D1378" s="2" t="s">
        <v>1839</v>
      </c>
      <c r="E1378" s="2" t="s">
        <v>1841</v>
      </c>
      <c r="F1378" s="2">
        <v>82.582099999999997</v>
      </c>
      <c r="G1378" s="2">
        <v>40.055700000000002</v>
      </c>
      <c r="H1378" s="2">
        <v>-1.04382</v>
      </c>
    </row>
    <row r="1379" spans="1:8" x14ac:dyDescent="0.2">
      <c r="A1379" s="2" t="s">
        <v>812</v>
      </c>
      <c r="B1379" s="2" t="s">
        <v>3213</v>
      </c>
      <c r="C1379" s="2" t="s">
        <v>3016</v>
      </c>
      <c r="D1379" s="2" t="s">
        <v>1836</v>
      </c>
      <c r="E1379" s="2" t="s">
        <v>1837</v>
      </c>
      <c r="F1379" s="2">
        <v>4.4848999999999997</v>
      </c>
      <c r="G1379" s="2">
        <v>2.1751</v>
      </c>
      <c r="H1379" s="2">
        <v>-1.04399</v>
      </c>
    </row>
    <row r="1380" spans="1:8" x14ac:dyDescent="0.2">
      <c r="A1380" s="2" t="s">
        <v>560</v>
      </c>
      <c r="B1380" s="2" t="s">
        <v>3015</v>
      </c>
      <c r="C1380" s="2" t="s">
        <v>1847</v>
      </c>
      <c r="D1380" s="2" t="s">
        <v>1836</v>
      </c>
      <c r="E1380" s="2" t="s">
        <v>1837</v>
      </c>
      <c r="F1380" s="2">
        <v>42.276699999999998</v>
      </c>
      <c r="G1380" s="2">
        <v>20.500800000000002</v>
      </c>
      <c r="H1380" s="2">
        <v>-1.0441800000000001</v>
      </c>
    </row>
    <row r="1381" spans="1:8" x14ac:dyDescent="0.2">
      <c r="A1381" s="2" t="s">
        <v>1545</v>
      </c>
      <c r="B1381" s="2" t="s">
        <v>3404</v>
      </c>
      <c r="C1381" s="2" t="s">
        <v>2695</v>
      </c>
      <c r="D1381" s="2" t="s">
        <v>1839</v>
      </c>
      <c r="E1381" s="2" t="s">
        <v>1841</v>
      </c>
      <c r="F1381" s="2">
        <v>1.3218700000000001</v>
      </c>
      <c r="G1381" s="2">
        <v>0.64090999999999998</v>
      </c>
      <c r="H1381" s="2">
        <v>-1.0443899999999999</v>
      </c>
    </row>
    <row r="1382" spans="1:8" x14ac:dyDescent="0.2">
      <c r="A1382" s="2" t="s">
        <v>939</v>
      </c>
      <c r="B1382" s="2" t="s">
        <v>3374</v>
      </c>
      <c r="C1382" s="2" t="s">
        <v>2588</v>
      </c>
      <c r="D1382" s="2" t="s">
        <v>1836</v>
      </c>
      <c r="E1382" s="2" t="s">
        <v>1838</v>
      </c>
      <c r="F1382" s="2">
        <v>1.4782299999999999</v>
      </c>
      <c r="G1382" s="2">
        <v>0.71665199999999996</v>
      </c>
      <c r="H1382" s="2">
        <v>-1.04453</v>
      </c>
    </row>
    <row r="1383" spans="1:8" x14ac:dyDescent="0.2">
      <c r="A1383" s="2" t="s">
        <v>964</v>
      </c>
      <c r="B1383" s="2" t="s">
        <v>3015</v>
      </c>
      <c r="C1383" s="2" t="s">
        <v>2296</v>
      </c>
      <c r="D1383" s="2" t="s">
        <v>1836</v>
      </c>
      <c r="E1383" s="2" t="s">
        <v>1837</v>
      </c>
      <c r="F1383" s="2">
        <v>14.9857</v>
      </c>
      <c r="G1383" s="2">
        <v>7.26281</v>
      </c>
      <c r="H1383" s="2">
        <v>-1.0449900000000001</v>
      </c>
    </row>
    <row r="1384" spans="1:8" x14ac:dyDescent="0.2">
      <c r="A1384" s="2" t="s">
        <v>192</v>
      </c>
      <c r="B1384" s="2" t="s">
        <v>3045</v>
      </c>
      <c r="C1384" s="2" t="s">
        <v>1932</v>
      </c>
      <c r="D1384" s="2" t="s">
        <v>1836</v>
      </c>
      <c r="E1384" s="2" t="s">
        <v>1837</v>
      </c>
      <c r="F1384" s="2">
        <v>1.56504</v>
      </c>
      <c r="G1384" s="2">
        <v>0.75849100000000003</v>
      </c>
      <c r="H1384" s="2">
        <v>-1.0449999999999999</v>
      </c>
    </row>
    <row r="1385" spans="1:8" x14ac:dyDescent="0.2">
      <c r="A1385" s="2" t="s">
        <v>1652</v>
      </c>
      <c r="B1385" s="2" t="s">
        <v>3015</v>
      </c>
      <c r="C1385" s="2" t="s">
        <v>3016</v>
      </c>
      <c r="D1385" s="2" t="s">
        <v>1839</v>
      </c>
      <c r="E1385" s="2" t="s">
        <v>1841</v>
      </c>
      <c r="F1385" s="2">
        <v>121.642</v>
      </c>
      <c r="G1385" s="2">
        <v>58.9283</v>
      </c>
      <c r="H1385" s="2">
        <v>-1.0456099999999999</v>
      </c>
    </row>
    <row r="1386" spans="1:8" x14ac:dyDescent="0.2">
      <c r="A1386" s="2" t="s">
        <v>12</v>
      </c>
      <c r="B1386" s="2" t="s">
        <v>3015</v>
      </c>
      <c r="C1386" s="2" t="s">
        <v>1847</v>
      </c>
      <c r="D1386" s="2" t="s">
        <v>1836</v>
      </c>
      <c r="E1386" s="2" t="s">
        <v>1837</v>
      </c>
      <c r="F1386" s="2">
        <v>21.8294</v>
      </c>
      <c r="G1386" s="2">
        <v>10.573399999999999</v>
      </c>
      <c r="H1386" s="2">
        <v>-1.04583</v>
      </c>
    </row>
    <row r="1387" spans="1:8" x14ac:dyDescent="0.2">
      <c r="A1387" s="2" t="s">
        <v>385</v>
      </c>
      <c r="B1387" s="2" t="s">
        <v>3015</v>
      </c>
      <c r="C1387" s="2" t="s">
        <v>2020</v>
      </c>
      <c r="D1387" s="2" t="s">
        <v>1836</v>
      </c>
      <c r="E1387" s="2" t="s">
        <v>1838</v>
      </c>
      <c r="F1387" s="2">
        <v>6.4118199999999996</v>
      </c>
      <c r="G1387" s="2">
        <v>3.1049000000000002</v>
      </c>
      <c r="H1387" s="2">
        <v>-1.04619</v>
      </c>
    </row>
    <row r="1388" spans="1:8" x14ac:dyDescent="0.2">
      <c r="A1388" s="2" t="s">
        <v>854</v>
      </c>
      <c r="B1388" s="2" t="s">
        <v>3058</v>
      </c>
      <c r="C1388" s="2" t="s">
        <v>2237</v>
      </c>
      <c r="D1388" s="2" t="s">
        <v>1839</v>
      </c>
      <c r="E1388" s="2" t="s">
        <v>1840</v>
      </c>
      <c r="F1388" s="2">
        <v>1.0042599999999999</v>
      </c>
      <c r="G1388" s="2">
        <v>0.48621900000000001</v>
      </c>
      <c r="H1388" s="2">
        <v>-1.0464500000000001</v>
      </c>
    </row>
    <row r="1389" spans="1:8" x14ac:dyDescent="0.2">
      <c r="A1389" s="2" t="s">
        <v>1211</v>
      </c>
      <c r="B1389" s="2" t="s">
        <v>3305</v>
      </c>
      <c r="C1389" s="2" t="s">
        <v>2429</v>
      </c>
      <c r="D1389" s="2" t="s">
        <v>1836</v>
      </c>
      <c r="E1389" s="2" t="s">
        <v>1838</v>
      </c>
      <c r="F1389" s="2">
        <v>4.70364</v>
      </c>
      <c r="G1389" s="2">
        <v>2.2772700000000001</v>
      </c>
      <c r="H1389" s="2">
        <v>-1.04647</v>
      </c>
    </row>
    <row r="1390" spans="1:8" x14ac:dyDescent="0.2">
      <c r="A1390" s="2" t="s">
        <v>1489</v>
      </c>
      <c r="B1390" s="2" t="s">
        <v>3344</v>
      </c>
      <c r="C1390" s="2" t="s">
        <v>2633</v>
      </c>
      <c r="D1390" s="2" t="s">
        <v>1839</v>
      </c>
      <c r="E1390" s="2" t="s">
        <v>1840</v>
      </c>
      <c r="F1390" s="2">
        <v>1.74996</v>
      </c>
      <c r="G1390" s="2">
        <v>0.84696499999999997</v>
      </c>
      <c r="H1390" s="2">
        <v>-1.04695</v>
      </c>
    </row>
    <row r="1391" spans="1:8" x14ac:dyDescent="0.2">
      <c r="A1391" s="2" t="s">
        <v>1516</v>
      </c>
      <c r="B1391" s="2" t="s">
        <v>3049</v>
      </c>
      <c r="C1391" s="2" t="s">
        <v>1847</v>
      </c>
      <c r="D1391" s="2" t="s">
        <v>1839</v>
      </c>
      <c r="E1391" s="2" t="s">
        <v>1840</v>
      </c>
      <c r="F1391" s="2">
        <v>4.2119200000000001</v>
      </c>
      <c r="G1391" s="2">
        <v>2.0379399999999999</v>
      </c>
      <c r="H1391" s="2">
        <v>-1.0473699999999999</v>
      </c>
    </row>
    <row r="1392" spans="1:8" x14ac:dyDescent="0.2">
      <c r="A1392" s="2" t="s">
        <v>1271</v>
      </c>
      <c r="B1392" s="2" t="s">
        <v>3015</v>
      </c>
      <c r="C1392" s="2" t="s">
        <v>2476</v>
      </c>
      <c r="D1392" s="2" t="s">
        <v>1836</v>
      </c>
      <c r="E1392" s="2" t="s">
        <v>1838</v>
      </c>
      <c r="F1392" s="2">
        <v>2.3959299999999999</v>
      </c>
      <c r="G1392" s="2">
        <v>1.1591100000000001</v>
      </c>
      <c r="H1392" s="2">
        <v>-1.0475699999999999</v>
      </c>
    </row>
    <row r="1393" spans="1:8" x14ac:dyDescent="0.2">
      <c r="A1393" s="2" t="s">
        <v>1012</v>
      </c>
      <c r="B1393" s="2" t="s">
        <v>3015</v>
      </c>
      <c r="C1393" s="2" t="s">
        <v>2317</v>
      </c>
      <c r="D1393" s="2" t="s">
        <v>1836</v>
      </c>
      <c r="E1393" s="2" t="s">
        <v>1837</v>
      </c>
      <c r="F1393" s="2">
        <v>2.59382</v>
      </c>
      <c r="G1393" s="2">
        <v>1.2543899999999999</v>
      </c>
      <c r="H1393" s="2">
        <v>-1.04809</v>
      </c>
    </row>
    <row r="1394" spans="1:8" x14ac:dyDescent="0.2">
      <c r="A1394" s="2" t="s">
        <v>1373</v>
      </c>
      <c r="B1394" s="2" t="s">
        <v>3355</v>
      </c>
      <c r="C1394" s="2" t="s">
        <v>2552</v>
      </c>
      <c r="D1394" s="2" t="s">
        <v>1836</v>
      </c>
      <c r="E1394" s="2" t="s">
        <v>1838</v>
      </c>
      <c r="F1394" s="2">
        <v>4.6199399999999997</v>
      </c>
      <c r="G1394" s="2">
        <v>2.2341000000000002</v>
      </c>
      <c r="H1394" s="2">
        <v>-1.0481799999999999</v>
      </c>
    </row>
    <row r="1395" spans="1:8" x14ac:dyDescent="0.2">
      <c r="A1395" s="2" t="s">
        <v>1055</v>
      </c>
      <c r="B1395" s="2" t="s">
        <v>3015</v>
      </c>
      <c r="C1395" s="2" t="s">
        <v>1917</v>
      </c>
      <c r="D1395" s="2" t="s">
        <v>1839</v>
      </c>
      <c r="E1395" s="2" t="s">
        <v>1841</v>
      </c>
      <c r="F1395" s="2">
        <v>6.21767</v>
      </c>
      <c r="G1395" s="2">
        <v>3.0066799999999998</v>
      </c>
      <c r="H1395" s="2">
        <v>-1.0482</v>
      </c>
    </row>
    <row r="1396" spans="1:8" x14ac:dyDescent="0.2">
      <c r="A1396" s="2" t="s">
        <v>1115</v>
      </c>
      <c r="B1396" s="2" t="s">
        <v>3015</v>
      </c>
      <c r="C1396" s="2" t="s">
        <v>1898</v>
      </c>
      <c r="D1396" s="2" t="s">
        <v>1839</v>
      </c>
      <c r="E1396" s="2" t="s">
        <v>1841</v>
      </c>
      <c r="F1396" s="2">
        <v>2.24702</v>
      </c>
      <c r="G1396" s="2">
        <v>1.0861799999999999</v>
      </c>
      <c r="H1396" s="2">
        <v>-1.0487500000000001</v>
      </c>
    </row>
    <row r="1397" spans="1:8" x14ac:dyDescent="0.2">
      <c r="A1397" s="2" t="s">
        <v>1439</v>
      </c>
      <c r="B1397" s="2" t="s">
        <v>3129</v>
      </c>
      <c r="C1397" s="2" t="s">
        <v>2595</v>
      </c>
      <c r="D1397" s="2" t="s">
        <v>1836</v>
      </c>
      <c r="E1397" s="2" t="s">
        <v>1838</v>
      </c>
      <c r="F1397" s="2">
        <v>2.5129899999999998</v>
      </c>
      <c r="G1397" s="2">
        <v>1.2146600000000001</v>
      </c>
      <c r="H1397" s="2">
        <v>-1.0488500000000001</v>
      </c>
    </row>
    <row r="1398" spans="1:8" x14ac:dyDescent="0.2">
      <c r="A1398" s="2" t="s">
        <v>529</v>
      </c>
      <c r="B1398" s="2" t="s">
        <v>3015</v>
      </c>
      <c r="C1398" s="2" t="s">
        <v>2093</v>
      </c>
      <c r="D1398" s="2" t="s">
        <v>1836</v>
      </c>
      <c r="E1398" s="2" t="s">
        <v>1837</v>
      </c>
      <c r="F1398" s="2">
        <v>1.74343</v>
      </c>
      <c r="G1398" s="2">
        <v>0.84152499999999997</v>
      </c>
      <c r="H1398" s="2">
        <v>-1.0508500000000001</v>
      </c>
    </row>
    <row r="1399" spans="1:8" x14ac:dyDescent="0.2">
      <c r="A1399" s="2" t="s">
        <v>99</v>
      </c>
      <c r="B1399" s="2" t="s">
        <v>3015</v>
      </c>
      <c r="C1399" s="2" t="s">
        <v>1885</v>
      </c>
      <c r="D1399" s="2" t="s">
        <v>1836</v>
      </c>
      <c r="E1399" s="2" t="s">
        <v>1837</v>
      </c>
      <c r="F1399" s="2">
        <v>2.5895899999999998</v>
      </c>
      <c r="G1399" s="2">
        <v>1.2499400000000001</v>
      </c>
      <c r="H1399" s="2">
        <v>-1.0508599999999999</v>
      </c>
    </row>
    <row r="1400" spans="1:8" x14ac:dyDescent="0.2">
      <c r="A1400" s="2" t="s">
        <v>742</v>
      </c>
      <c r="B1400" s="2" t="s">
        <v>3058</v>
      </c>
      <c r="C1400" s="2" t="s">
        <v>2185</v>
      </c>
      <c r="D1400" s="2" t="s">
        <v>1836</v>
      </c>
      <c r="E1400" s="2" t="s">
        <v>1838</v>
      </c>
      <c r="F1400" s="2">
        <v>2.4286599999999998</v>
      </c>
      <c r="G1400" s="2">
        <v>1.1722300000000001</v>
      </c>
      <c r="H1400" s="2">
        <v>-1.05091</v>
      </c>
    </row>
    <row r="1401" spans="1:8" x14ac:dyDescent="0.2">
      <c r="A1401" s="2" t="s">
        <v>1697</v>
      </c>
      <c r="B1401" s="2" t="s">
        <v>3015</v>
      </c>
      <c r="C1401" s="2" t="s">
        <v>2863</v>
      </c>
      <c r="D1401" s="2" t="s">
        <v>1839</v>
      </c>
      <c r="E1401" s="2" t="s">
        <v>1841</v>
      </c>
      <c r="F1401" s="2">
        <v>9.2090300000000003</v>
      </c>
      <c r="G1401" s="2">
        <v>4.4438199999999997</v>
      </c>
      <c r="H1401" s="2">
        <v>-1.05125</v>
      </c>
    </row>
    <row r="1402" spans="1:8" x14ac:dyDescent="0.2">
      <c r="A1402" s="2" t="s">
        <v>20</v>
      </c>
      <c r="B1402" s="2" t="s">
        <v>3027</v>
      </c>
      <c r="C1402" s="2" t="s">
        <v>1851</v>
      </c>
      <c r="D1402" s="2" t="s">
        <v>1836</v>
      </c>
      <c r="E1402" s="2" t="s">
        <v>1837</v>
      </c>
      <c r="F1402" s="2">
        <v>1.2195199999999999</v>
      </c>
      <c r="G1402" s="2">
        <v>0.588337</v>
      </c>
      <c r="H1402" s="2">
        <v>-1.05159</v>
      </c>
    </row>
    <row r="1403" spans="1:8" x14ac:dyDescent="0.2">
      <c r="A1403" s="2" t="s">
        <v>577</v>
      </c>
      <c r="B1403" s="2" t="s">
        <v>3015</v>
      </c>
      <c r="C1403" s="2" t="s">
        <v>2115</v>
      </c>
      <c r="D1403" s="2" t="s">
        <v>1836</v>
      </c>
      <c r="E1403" s="2" t="s">
        <v>1837</v>
      </c>
      <c r="F1403" s="2">
        <v>1.7931999999999999</v>
      </c>
      <c r="G1403" s="2">
        <v>0.864815</v>
      </c>
      <c r="H1403" s="2">
        <v>-1.0520799999999999</v>
      </c>
    </row>
    <row r="1404" spans="1:8" x14ac:dyDescent="0.2">
      <c r="A1404" s="2" t="s">
        <v>1565</v>
      </c>
      <c r="B1404" s="2" t="s">
        <v>3413</v>
      </c>
      <c r="C1404" s="2" t="s">
        <v>2719</v>
      </c>
      <c r="D1404" s="2" t="s">
        <v>1839</v>
      </c>
      <c r="E1404" s="2" t="s">
        <v>1841</v>
      </c>
      <c r="F1404" s="2">
        <v>28.171199999999999</v>
      </c>
      <c r="G1404" s="2">
        <v>13.5823</v>
      </c>
      <c r="H1404" s="2">
        <v>-1.0524899999999999</v>
      </c>
    </row>
    <row r="1405" spans="1:8" x14ac:dyDescent="0.2">
      <c r="A1405" s="2" t="s">
        <v>237</v>
      </c>
      <c r="B1405" s="2" t="s">
        <v>3015</v>
      </c>
      <c r="C1405" s="2" t="s">
        <v>2688</v>
      </c>
      <c r="D1405" s="2" t="s">
        <v>1839</v>
      </c>
      <c r="E1405" s="2" t="s">
        <v>1841</v>
      </c>
      <c r="F1405" s="2">
        <v>12.9758</v>
      </c>
      <c r="G1405" s="2">
        <v>6.2535600000000002</v>
      </c>
      <c r="H1405" s="2">
        <v>-1.05307</v>
      </c>
    </row>
    <row r="1406" spans="1:8" x14ac:dyDescent="0.2">
      <c r="A1406" s="2" t="s">
        <v>550</v>
      </c>
      <c r="B1406" s="2" t="s">
        <v>3015</v>
      </c>
      <c r="C1406" s="2" t="s">
        <v>2104</v>
      </c>
      <c r="D1406" s="2" t="s">
        <v>1836</v>
      </c>
      <c r="E1406" s="2" t="s">
        <v>1838</v>
      </c>
      <c r="F1406" s="2">
        <v>2.0029499999999998</v>
      </c>
      <c r="G1406" s="2">
        <v>0.96518300000000001</v>
      </c>
      <c r="H1406" s="2">
        <v>-1.05325</v>
      </c>
    </row>
    <row r="1407" spans="1:8" x14ac:dyDescent="0.2">
      <c r="A1407" s="2" t="s">
        <v>1599</v>
      </c>
      <c r="B1407" s="2" t="s">
        <v>3015</v>
      </c>
      <c r="C1407" s="2" t="s">
        <v>3015</v>
      </c>
      <c r="D1407" s="2" t="s">
        <v>1839</v>
      </c>
      <c r="E1407" s="2" t="s">
        <v>1841</v>
      </c>
      <c r="F1407" s="2">
        <v>1.74356</v>
      </c>
      <c r="G1407" s="2">
        <v>0.84015200000000001</v>
      </c>
      <c r="H1407" s="2">
        <v>-1.05332</v>
      </c>
    </row>
    <row r="1408" spans="1:8" x14ac:dyDescent="0.2">
      <c r="A1408" s="2" t="s">
        <v>1784</v>
      </c>
      <c r="B1408" s="2" t="s">
        <v>3015</v>
      </c>
      <c r="C1408" s="2" t="s">
        <v>2961</v>
      </c>
      <c r="D1408" s="2" t="s">
        <v>1839</v>
      </c>
      <c r="E1408" s="2" t="s">
        <v>1841</v>
      </c>
      <c r="F1408" s="2">
        <v>4.6003299999999996</v>
      </c>
      <c r="G1408" s="2">
        <v>2.2166600000000001</v>
      </c>
      <c r="H1408" s="2">
        <v>-1.05335</v>
      </c>
    </row>
    <row r="1409" spans="1:8" x14ac:dyDescent="0.2">
      <c r="A1409" s="2" t="s">
        <v>1559</v>
      </c>
      <c r="B1409" s="2" t="s">
        <v>3308</v>
      </c>
      <c r="C1409" s="2" t="s">
        <v>1976</v>
      </c>
      <c r="D1409" s="2" t="s">
        <v>1839</v>
      </c>
      <c r="E1409" s="2" t="s">
        <v>1841</v>
      </c>
      <c r="F1409" s="2">
        <v>1.6736200000000001</v>
      </c>
      <c r="G1409" s="2">
        <v>0.806284</v>
      </c>
      <c r="H1409" s="2">
        <v>-1.0536099999999999</v>
      </c>
    </row>
    <row r="1410" spans="1:8" x14ac:dyDescent="0.2">
      <c r="A1410" s="2" t="s">
        <v>1275</v>
      </c>
      <c r="B1410" s="2" t="s">
        <v>3328</v>
      </c>
      <c r="C1410" s="2" t="s">
        <v>2480</v>
      </c>
      <c r="D1410" s="2" t="s">
        <v>1836</v>
      </c>
      <c r="E1410" s="2" t="s">
        <v>1838</v>
      </c>
      <c r="F1410" s="2">
        <v>47.869</v>
      </c>
      <c r="G1410" s="2">
        <v>23.0488</v>
      </c>
      <c r="H1410" s="2">
        <v>-1.0544</v>
      </c>
    </row>
    <row r="1411" spans="1:8" x14ac:dyDescent="0.2">
      <c r="A1411" s="2" t="s">
        <v>1464</v>
      </c>
      <c r="B1411" s="2" t="s">
        <v>3485</v>
      </c>
      <c r="C1411" s="2" t="s">
        <v>2971</v>
      </c>
      <c r="D1411" s="2" t="s">
        <v>1839</v>
      </c>
      <c r="E1411" s="2" t="s">
        <v>1841</v>
      </c>
      <c r="F1411" s="2">
        <v>18.168500000000002</v>
      </c>
      <c r="G1411" s="2">
        <v>8.7477999999999998</v>
      </c>
      <c r="H1411" s="2">
        <v>-1.0544500000000001</v>
      </c>
    </row>
    <row r="1412" spans="1:8" x14ac:dyDescent="0.2">
      <c r="A1412" s="2" t="s">
        <v>1555</v>
      </c>
      <c r="B1412" s="2" t="s">
        <v>3015</v>
      </c>
      <c r="C1412" s="2" t="s">
        <v>3016</v>
      </c>
      <c r="D1412" s="2" t="s">
        <v>1839</v>
      </c>
      <c r="E1412" s="2" t="s">
        <v>1841</v>
      </c>
      <c r="F1412" s="2">
        <v>4.4030399999999998</v>
      </c>
      <c r="G1412" s="2">
        <v>2.1195200000000001</v>
      </c>
      <c r="H1412" s="2">
        <v>-1.0547599999999999</v>
      </c>
    </row>
    <row r="1413" spans="1:8" x14ac:dyDescent="0.2">
      <c r="A1413" s="2" t="s">
        <v>1410</v>
      </c>
      <c r="B1413" s="2" t="s">
        <v>3193</v>
      </c>
      <c r="C1413" s="2" t="s">
        <v>2904</v>
      </c>
      <c r="D1413" s="2" t="s">
        <v>1839</v>
      </c>
      <c r="E1413" s="2" t="s">
        <v>1841</v>
      </c>
      <c r="F1413" s="2">
        <v>2.90916</v>
      </c>
      <c r="G1413" s="2">
        <v>1.3996299999999999</v>
      </c>
      <c r="H1413" s="2">
        <v>-1.0555600000000001</v>
      </c>
    </row>
    <row r="1414" spans="1:8" x14ac:dyDescent="0.2">
      <c r="A1414" s="2" t="s">
        <v>928</v>
      </c>
      <c r="B1414" s="2" t="s">
        <v>3015</v>
      </c>
      <c r="C1414" s="2" t="s">
        <v>2276</v>
      </c>
      <c r="D1414" s="2" t="s">
        <v>1836</v>
      </c>
      <c r="E1414" s="2" t="s">
        <v>1837</v>
      </c>
      <c r="F1414" s="2">
        <v>4.6582400000000002</v>
      </c>
      <c r="G1414" s="2">
        <v>2.2400500000000001</v>
      </c>
      <c r="H1414" s="2">
        <v>-1.0562499999999999</v>
      </c>
    </row>
    <row r="1415" spans="1:8" x14ac:dyDescent="0.2">
      <c r="A1415" s="2" t="s">
        <v>895</v>
      </c>
      <c r="B1415" s="2" t="s">
        <v>3047</v>
      </c>
      <c r="C1415" s="2" t="s">
        <v>2258</v>
      </c>
      <c r="D1415" s="2" t="s">
        <v>1836</v>
      </c>
      <c r="E1415" s="2" t="s">
        <v>1837</v>
      </c>
      <c r="F1415" s="2">
        <v>2.7345100000000002</v>
      </c>
      <c r="G1415" s="2">
        <v>1.31497</v>
      </c>
      <c r="H1415" s="2">
        <v>-1.05626</v>
      </c>
    </row>
    <row r="1416" spans="1:8" x14ac:dyDescent="0.2">
      <c r="A1416" s="2" t="s">
        <v>346</v>
      </c>
      <c r="B1416" s="2" t="s">
        <v>3015</v>
      </c>
      <c r="C1416" s="2" t="s">
        <v>1880</v>
      </c>
      <c r="D1416" s="2" t="s">
        <v>1836</v>
      </c>
      <c r="E1416" s="2" t="s">
        <v>1837</v>
      </c>
      <c r="F1416" s="2">
        <v>68.805400000000006</v>
      </c>
      <c r="G1416" s="2">
        <v>33.066699999999997</v>
      </c>
      <c r="H1416" s="2">
        <v>-1.05714</v>
      </c>
    </row>
    <row r="1417" spans="1:8" x14ac:dyDescent="0.2">
      <c r="A1417" s="2" t="s">
        <v>1345</v>
      </c>
      <c r="B1417" s="2" t="s">
        <v>3015</v>
      </c>
      <c r="C1417" s="2" t="s">
        <v>2539</v>
      </c>
      <c r="D1417" s="2" t="s">
        <v>1836</v>
      </c>
      <c r="E1417" s="2" t="s">
        <v>1838</v>
      </c>
      <c r="F1417" s="2">
        <v>2.0553599999999999</v>
      </c>
      <c r="G1417" s="2">
        <v>0.98774200000000001</v>
      </c>
      <c r="H1417" s="2">
        <v>-1.0571900000000001</v>
      </c>
    </row>
    <row r="1418" spans="1:8" x14ac:dyDescent="0.2">
      <c r="A1418" s="2" t="s">
        <v>882</v>
      </c>
      <c r="B1418" s="2" t="s">
        <v>3039</v>
      </c>
      <c r="C1418" s="2" t="s">
        <v>2252</v>
      </c>
      <c r="D1418" s="2" t="s">
        <v>1836</v>
      </c>
      <c r="E1418" s="2" t="s">
        <v>1837</v>
      </c>
      <c r="F1418" s="2">
        <v>37.823999999999998</v>
      </c>
      <c r="G1418" s="2">
        <v>18.175699999999999</v>
      </c>
      <c r="H1418" s="2">
        <v>-1.0572900000000001</v>
      </c>
    </row>
    <row r="1419" spans="1:8" x14ac:dyDescent="0.2">
      <c r="A1419" s="2" t="s">
        <v>1585</v>
      </c>
      <c r="B1419" s="2" t="s">
        <v>3422</v>
      </c>
      <c r="C1419" s="2" t="s">
        <v>2744</v>
      </c>
      <c r="D1419" s="2" t="s">
        <v>1839</v>
      </c>
      <c r="E1419" s="2" t="s">
        <v>1841</v>
      </c>
      <c r="F1419" s="2">
        <v>2.3448199999999999</v>
      </c>
      <c r="G1419" s="2">
        <v>1.1267</v>
      </c>
      <c r="H1419" s="2">
        <v>-1.05738</v>
      </c>
    </row>
    <row r="1420" spans="1:8" x14ac:dyDescent="0.2">
      <c r="A1420" s="2" t="s">
        <v>603</v>
      </c>
      <c r="B1420" s="2" t="s">
        <v>3081</v>
      </c>
      <c r="C1420" s="2" t="s">
        <v>1882</v>
      </c>
      <c r="D1420" s="2" t="s">
        <v>1836</v>
      </c>
      <c r="E1420" s="2" t="s">
        <v>1837</v>
      </c>
      <c r="F1420" s="2">
        <v>1.0299199999999999</v>
      </c>
      <c r="G1420" s="2">
        <v>0.494751</v>
      </c>
      <c r="H1420" s="2">
        <v>-1.05776</v>
      </c>
    </row>
    <row r="1421" spans="1:8" x14ac:dyDescent="0.2">
      <c r="A1421" s="2" t="s">
        <v>638</v>
      </c>
      <c r="B1421" s="2" t="s">
        <v>3346</v>
      </c>
      <c r="C1421" s="2" t="s">
        <v>2523</v>
      </c>
      <c r="D1421" s="2" t="s">
        <v>1836</v>
      </c>
      <c r="E1421" s="2" t="s">
        <v>1838</v>
      </c>
      <c r="F1421" s="2">
        <v>66.1464</v>
      </c>
      <c r="G1421" s="2">
        <v>31.767099999999999</v>
      </c>
      <c r="H1421" s="2">
        <v>-1.05813</v>
      </c>
    </row>
    <row r="1422" spans="1:8" x14ac:dyDescent="0.2">
      <c r="A1422" s="2" t="s">
        <v>1747</v>
      </c>
      <c r="B1422" s="2" t="s">
        <v>3037</v>
      </c>
      <c r="C1422" s="2" t="s">
        <v>2915</v>
      </c>
      <c r="D1422" s="2" t="s">
        <v>1839</v>
      </c>
      <c r="E1422" s="2" t="s">
        <v>1841</v>
      </c>
      <c r="F1422" s="2">
        <v>3.1029399999999998</v>
      </c>
      <c r="G1422" s="2">
        <v>1.4901899999999999</v>
      </c>
      <c r="H1422" s="2">
        <v>-1.0581400000000001</v>
      </c>
    </row>
    <row r="1423" spans="1:8" x14ac:dyDescent="0.2">
      <c r="A1423" s="2" t="s">
        <v>667</v>
      </c>
      <c r="B1423" s="2" t="s">
        <v>3015</v>
      </c>
      <c r="C1423" s="2" t="s">
        <v>3016</v>
      </c>
      <c r="D1423" s="2" t="s">
        <v>1839</v>
      </c>
      <c r="E1423" s="2" t="s">
        <v>1841</v>
      </c>
      <c r="F1423" s="2">
        <v>20.572700000000001</v>
      </c>
      <c r="G1423" s="2">
        <v>9.8773999999999997</v>
      </c>
      <c r="H1423" s="2">
        <v>-1.05853</v>
      </c>
    </row>
    <row r="1424" spans="1:8" x14ac:dyDescent="0.2">
      <c r="A1424" s="2" t="s">
        <v>47</v>
      </c>
      <c r="B1424" s="2" t="s">
        <v>3015</v>
      </c>
      <c r="C1424" s="2" t="s">
        <v>1865</v>
      </c>
      <c r="D1424" s="2" t="s">
        <v>1839</v>
      </c>
      <c r="E1424" s="2" t="s">
        <v>1841</v>
      </c>
      <c r="F1424" s="2">
        <v>66.780900000000003</v>
      </c>
      <c r="G1424" s="2">
        <v>32.059600000000003</v>
      </c>
      <c r="H1424" s="2">
        <v>-1.0586800000000001</v>
      </c>
    </row>
    <row r="1425" spans="1:8" x14ac:dyDescent="0.2">
      <c r="A1425" s="2" t="s">
        <v>1743</v>
      </c>
      <c r="B1425" s="2" t="s">
        <v>3015</v>
      </c>
      <c r="C1425" s="2" t="s">
        <v>2911</v>
      </c>
      <c r="D1425" s="2" t="s">
        <v>1839</v>
      </c>
      <c r="E1425" s="2" t="s">
        <v>1841</v>
      </c>
      <c r="F1425" s="2">
        <v>6.3510999999999997</v>
      </c>
      <c r="G1425" s="2">
        <v>3.0484100000000001</v>
      </c>
      <c r="H1425" s="2">
        <v>-1.0589500000000001</v>
      </c>
    </row>
    <row r="1426" spans="1:8" x14ac:dyDescent="0.2">
      <c r="A1426" s="2" t="s">
        <v>901</v>
      </c>
      <c r="B1426" s="2" t="s">
        <v>3015</v>
      </c>
      <c r="C1426" s="2" t="s">
        <v>1880</v>
      </c>
      <c r="D1426" s="2" t="s">
        <v>1839</v>
      </c>
      <c r="E1426" s="2" t="s">
        <v>1841</v>
      </c>
      <c r="F1426" s="2">
        <v>20.748999999999999</v>
      </c>
      <c r="G1426" s="2">
        <v>9.95885</v>
      </c>
      <c r="H1426" s="2">
        <v>-1.0589900000000001</v>
      </c>
    </row>
    <row r="1427" spans="1:8" x14ac:dyDescent="0.2">
      <c r="A1427" s="2" t="s">
        <v>465</v>
      </c>
      <c r="B1427" s="2" t="s">
        <v>3015</v>
      </c>
      <c r="C1427" s="2" t="s">
        <v>3015</v>
      </c>
      <c r="D1427" s="2" t="s">
        <v>1836</v>
      </c>
      <c r="E1427" s="2" t="s">
        <v>1838</v>
      </c>
      <c r="F1427" s="2">
        <v>35.8127</v>
      </c>
      <c r="G1427" s="2">
        <v>17.1874</v>
      </c>
      <c r="H1427" s="2">
        <v>-1.0591200000000001</v>
      </c>
    </row>
    <row r="1428" spans="1:8" x14ac:dyDescent="0.2">
      <c r="A1428" s="2" t="s">
        <v>1080</v>
      </c>
      <c r="B1428" s="2" t="s">
        <v>3380</v>
      </c>
      <c r="C1428" s="2" t="s">
        <v>2606</v>
      </c>
      <c r="D1428" s="2" t="s">
        <v>1836</v>
      </c>
      <c r="E1428" s="2" t="s">
        <v>1838</v>
      </c>
      <c r="F1428" s="2">
        <v>59.792200000000001</v>
      </c>
      <c r="G1428" s="2">
        <v>28.6816</v>
      </c>
      <c r="H1428" s="2">
        <v>-1.05983</v>
      </c>
    </row>
    <row r="1429" spans="1:8" x14ac:dyDescent="0.2">
      <c r="A1429" s="2" t="s">
        <v>7</v>
      </c>
      <c r="B1429" s="2" t="s">
        <v>3015</v>
      </c>
      <c r="C1429" s="2" t="s">
        <v>1845</v>
      </c>
      <c r="D1429" s="2" t="s">
        <v>1839</v>
      </c>
      <c r="E1429" s="2" t="s">
        <v>1841</v>
      </c>
      <c r="F1429" s="2">
        <v>3.8248500000000001</v>
      </c>
      <c r="G1429" s="2">
        <v>1.8345400000000001</v>
      </c>
      <c r="H1429" s="2">
        <v>-1.0599799999999999</v>
      </c>
    </row>
    <row r="1430" spans="1:8" x14ac:dyDescent="0.2">
      <c r="A1430" s="2" t="s">
        <v>227</v>
      </c>
      <c r="B1430" s="2" t="s">
        <v>3089</v>
      </c>
      <c r="C1430" s="2" t="s">
        <v>1950</v>
      </c>
      <c r="D1430" s="2" t="s">
        <v>1836</v>
      </c>
      <c r="E1430" s="2" t="s">
        <v>1838</v>
      </c>
      <c r="F1430" s="2">
        <v>20.874300000000002</v>
      </c>
      <c r="G1430" s="2">
        <v>10.0047</v>
      </c>
      <c r="H1430" s="2">
        <v>-1.06105</v>
      </c>
    </row>
    <row r="1431" spans="1:8" x14ac:dyDescent="0.2">
      <c r="A1431" s="2" t="s">
        <v>605</v>
      </c>
      <c r="B1431" s="2" t="s">
        <v>3094</v>
      </c>
      <c r="C1431" s="2" t="s">
        <v>2126</v>
      </c>
      <c r="D1431" s="2" t="s">
        <v>1836</v>
      </c>
      <c r="E1431" s="2" t="s">
        <v>1837</v>
      </c>
      <c r="F1431" s="2">
        <v>4.9769500000000004</v>
      </c>
      <c r="G1431" s="2">
        <v>2.3850099999999999</v>
      </c>
      <c r="H1431" s="2">
        <v>-1.0612699999999999</v>
      </c>
    </row>
    <row r="1432" spans="1:8" x14ac:dyDescent="0.2">
      <c r="A1432" s="2" t="s">
        <v>532</v>
      </c>
      <c r="B1432" s="2" t="s">
        <v>3043</v>
      </c>
      <c r="C1432" s="2" t="s">
        <v>2095</v>
      </c>
      <c r="D1432" s="2" t="s">
        <v>1836</v>
      </c>
      <c r="E1432" s="2" t="s">
        <v>1838</v>
      </c>
      <c r="F1432" s="2">
        <v>21.0182</v>
      </c>
      <c r="G1432" s="2">
        <v>10.0678</v>
      </c>
      <c r="H1432" s="2">
        <v>-1.06189</v>
      </c>
    </row>
    <row r="1433" spans="1:8" x14ac:dyDescent="0.2">
      <c r="A1433" s="2" t="s">
        <v>817</v>
      </c>
      <c r="B1433" s="2" t="s">
        <v>3015</v>
      </c>
      <c r="C1433" s="2" t="s">
        <v>2575</v>
      </c>
      <c r="D1433" s="2" t="s">
        <v>1836</v>
      </c>
      <c r="E1433" s="2" t="s">
        <v>1838</v>
      </c>
      <c r="F1433" s="2">
        <v>10.466699999999999</v>
      </c>
      <c r="G1433" s="2">
        <v>5.0131899999999998</v>
      </c>
      <c r="H1433" s="2">
        <v>-1.0620000000000001</v>
      </c>
    </row>
    <row r="1434" spans="1:8" x14ac:dyDescent="0.2">
      <c r="A1434" s="2" t="s">
        <v>475</v>
      </c>
      <c r="B1434" s="2" t="s">
        <v>3331</v>
      </c>
      <c r="C1434" s="2" t="s">
        <v>2484</v>
      </c>
      <c r="D1434" s="2" t="s">
        <v>1836</v>
      </c>
      <c r="E1434" s="2" t="s">
        <v>1838</v>
      </c>
      <c r="F1434" s="2">
        <v>11.9504</v>
      </c>
      <c r="G1434" s="2">
        <v>5.7232700000000003</v>
      </c>
      <c r="H1434" s="2">
        <v>-1.0621499999999999</v>
      </c>
    </row>
    <row r="1435" spans="1:8" x14ac:dyDescent="0.2">
      <c r="A1435" s="2" t="s">
        <v>1129</v>
      </c>
      <c r="B1435" s="2" t="s">
        <v>3280</v>
      </c>
      <c r="C1435" s="2" t="s">
        <v>2364</v>
      </c>
      <c r="D1435" s="2" t="s">
        <v>1836</v>
      </c>
      <c r="E1435" s="2" t="s">
        <v>1838</v>
      </c>
      <c r="F1435" s="2">
        <v>2.2606799999999998</v>
      </c>
      <c r="G1435" s="2">
        <v>1.08239</v>
      </c>
      <c r="H1435" s="2">
        <v>-1.06253</v>
      </c>
    </row>
    <row r="1436" spans="1:8" x14ac:dyDescent="0.2">
      <c r="A1436" s="2" t="s">
        <v>897</v>
      </c>
      <c r="B1436" s="2" t="s">
        <v>3015</v>
      </c>
      <c r="C1436" s="2" t="s">
        <v>2259</v>
      </c>
      <c r="D1436" s="2" t="s">
        <v>1836</v>
      </c>
      <c r="E1436" s="2" t="s">
        <v>1837</v>
      </c>
      <c r="F1436" s="2">
        <v>20.779299999999999</v>
      </c>
      <c r="G1436" s="2">
        <v>9.9425100000000004</v>
      </c>
      <c r="H1436" s="2">
        <v>-1.0634600000000001</v>
      </c>
    </row>
    <row r="1437" spans="1:8" x14ac:dyDescent="0.2">
      <c r="A1437" s="2" t="s">
        <v>1375</v>
      </c>
      <c r="B1437" s="2" t="s">
        <v>3149</v>
      </c>
      <c r="C1437" s="2" t="s">
        <v>2553</v>
      </c>
      <c r="D1437" s="2" t="s">
        <v>1836</v>
      </c>
      <c r="E1437" s="2" t="s">
        <v>1838</v>
      </c>
      <c r="F1437" s="2">
        <v>1.09548</v>
      </c>
      <c r="G1437" s="2">
        <v>0.52393999999999996</v>
      </c>
      <c r="H1437" s="2">
        <v>-1.06409</v>
      </c>
    </row>
    <row r="1438" spans="1:8" x14ac:dyDescent="0.2">
      <c r="A1438" s="2" t="s">
        <v>1476</v>
      </c>
      <c r="B1438" s="2" t="s">
        <v>3093</v>
      </c>
      <c r="C1438" s="2" t="s">
        <v>2615</v>
      </c>
      <c r="D1438" s="2" t="s">
        <v>1839</v>
      </c>
      <c r="E1438" s="2" t="s">
        <v>1841</v>
      </c>
      <c r="F1438" s="2">
        <v>1.35022</v>
      </c>
      <c r="G1438" s="2">
        <v>0.64570399999999994</v>
      </c>
      <c r="H1438" s="2">
        <v>-1.0642499999999999</v>
      </c>
    </row>
    <row r="1439" spans="1:8" x14ac:dyDescent="0.2">
      <c r="A1439" s="2" t="s">
        <v>1820</v>
      </c>
      <c r="B1439" s="2" t="s">
        <v>3015</v>
      </c>
      <c r="C1439" s="2" t="s">
        <v>3015</v>
      </c>
      <c r="D1439" s="2" t="s">
        <v>1839</v>
      </c>
      <c r="E1439" s="2" t="s">
        <v>1840</v>
      </c>
      <c r="F1439" s="2">
        <v>2.03261</v>
      </c>
      <c r="G1439" s="2">
        <v>0.97197199999999995</v>
      </c>
      <c r="H1439" s="2">
        <v>-1.0643499999999999</v>
      </c>
    </row>
    <row r="1440" spans="1:8" x14ac:dyDescent="0.2">
      <c r="A1440" s="2" t="s">
        <v>1788</v>
      </c>
      <c r="B1440" s="2" t="s">
        <v>3015</v>
      </c>
      <c r="C1440" s="2" t="s">
        <v>2964</v>
      </c>
      <c r="D1440" s="2" t="s">
        <v>1839</v>
      </c>
      <c r="E1440" s="2" t="s">
        <v>1841</v>
      </c>
      <c r="F1440" s="2">
        <v>3.86673</v>
      </c>
      <c r="G1440" s="2">
        <v>1.8486800000000001</v>
      </c>
      <c r="H1440" s="2">
        <v>-1.0646199999999999</v>
      </c>
    </row>
    <row r="1441" spans="1:8" x14ac:dyDescent="0.2">
      <c r="A1441" s="2" t="s">
        <v>945</v>
      </c>
      <c r="B1441" s="2" t="s">
        <v>3244</v>
      </c>
      <c r="C1441" s="2" t="s">
        <v>2284</v>
      </c>
      <c r="D1441" s="2" t="s">
        <v>1836</v>
      </c>
      <c r="E1441" s="2" t="s">
        <v>1837</v>
      </c>
      <c r="F1441" s="2">
        <v>119.562</v>
      </c>
      <c r="G1441" s="2">
        <v>57.1126</v>
      </c>
      <c r="H1441" s="2">
        <v>-1.0658700000000001</v>
      </c>
    </row>
    <row r="1442" spans="1:8" x14ac:dyDescent="0.2">
      <c r="A1442" s="2" t="s">
        <v>1474</v>
      </c>
      <c r="B1442" s="2" t="s">
        <v>3015</v>
      </c>
      <c r="C1442" s="2" t="s">
        <v>3015</v>
      </c>
      <c r="D1442" s="2" t="s">
        <v>1836</v>
      </c>
      <c r="E1442" s="2" t="s">
        <v>1838</v>
      </c>
      <c r="F1442" s="2">
        <v>4.3029999999999999</v>
      </c>
      <c r="G1442" s="2">
        <v>2.0553400000000002</v>
      </c>
      <c r="H1442" s="2">
        <v>-1.0659700000000001</v>
      </c>
    </row>
    <row r="1443" spans="1:8" x14ac:dyDescent="0.2">
      <c r="A1443" s="2" t="s">
        <v>174</v>
      </c>
      <c r="B1443" s="2" t="s">
        <v>3070</v>
      </c>
      <c r="C1443" s="2" t="s">
        <v>1925</v>
      </c>
      <c r="D1443" s="2" t="s">
        <v>1836</v>
      </c>
      <c r="E1443" s="2" t="s">
        <v>1837</v>
      </c>
      <c r="F1443" s="2">
        <v>11.5449</v>
      </c>
      <c r="G1443" s="2">
        <v>5.5135500000000004</v>
      </c>
      <c r="H1443" s="2">
        <v>-1.0662100000000001</v>
      </c>
    </row>
    <row r="1444" spans="1:8" x14ac:dyDescent="0.2">
      <c r="A1444" s="2" t="s">
        <v>101</v>
      </c>
      <c r="B1444" s="2" t="s">
        <v>3015</v>
      </c>
      <c r="C1444" s="2" t="s">
        <v>2654</v>
      </c>
      <c r="D1444" s="2" t="s">
        <v>1839</v>
      </c>
      <c r="E1444" s="2" t="s">
        <v>1841</v>
      </c>
      <c r="F1444" s="2">
        <v>2.2459600000000002</v>
      </c>
      <c r="G1444" s="2">
        <v>1.07226</v>
      </c>
      <c r="H1444" s="2">
        <v>-1.0666800000000001</v>
      </c>
    </row>
    <row r="1445" spans="1:8" x14ac:dyDescent="0.2">
      <c r="A1445" s="2" t="s">
        <v>447</v>
      </c>
      <c r="B1445" s="2" t="s">
        <v>3142</v>
      </c>
      <c r="C1445" s="2" t="s">
        <v>2051</v>
      </c>
      <c r="D1445" s="2" t="s">
        <v>1836</v>
      </c>
      <c r="E1445" s="2" t="s">
        <v>1837</v>
      </c>
      <c r="F1445" s="2">
        <v>16.833100000000002</v>
      </c>
      <c r="G1445" s="2">
        <v>8.0335999999999999</v>
      </c>
      <c r="H1445" s="2">
        <v>-1.06718</v>
      </c>
    </row>
    <row r="1446" spans="1:8" x14ac:dyDescent="0.2">
      <c r="A1446" s="2" t="s">
        <v>1409</v>
      </c>
      <c r="B1446" s="2" t="s">
        <v>3015</v>
      </c>
      <c r="C1446" s="2" t="s">
        <v>2902</v>
      </c>
      <c r="D1446" s="2" t="s">
        <v>1839</v>
      </c>
      <c r="E1446" s="2" t="s">
        <v>1841</v>
      </c>
      <c r="F1446" s="2">
        <v>14.251099999999999</v>
      </c>
      <c r="G1446" s="2">
        <v>6.8012199999999998</v>
      </c>
      <c r="H1446" s="2">
        <v>-1.06721</v>
      </c>
    </row>
    <row r="1447" spans="1:8" x14ac:dyDescent="0.2">
      <c r="A1447" s="2" t="s">
        <v>784</v>
      </c>
      <c r="B1447" s="2" t="s">
        <v>3015</v>
      </c>
      <c r="C1447" s="2" t="s">
        <v>2200</v>
      </c>
      <c r="D1447" s="2" t="s">
        <v>1836</v>
      </c>
      <c r="E1447" s="2" t="s">
        <v>1837</v>
      </c>
      <c r="F1447" s="2">
        <v>18.849499999999999</v>
      </c>
      <c r="G1447" s="2">
        <v>8.9931900000000002</v>
      </c>
      <c r="H1447" s="2">
        <v>-1.06762</v>
      </c>
    </row>
    <row r="1448" spans="1:8" x14ac:dyDescent="0.2">
      <c r="A1448" s="2" t="s">
        <v>416</v>
      </c>
      <c r="B1448" s="2" t="s">
        <v>3080</v>
      </c>
      <c r="C1448" s="2" t="s">
        <v>2036</v>
      </c>
      <c r="D1448" s="2" t="s">
        <v>1836</v>
      </c>
      <c r="E1448" s="2" t="s">
        <v>1838</v>
      </c>
      <c r="F1448" s="2">
        <v>8.0118899999999993</v>
      </c>
      <c r="G1448" s="2">
        <v>3.82192</v>
      </c>
      <c r="H1448" s="2">
        <v>-1.0678399999999999</v>
      </c>
    </row>
    <row r="1449" spans="1:8" x14ac:dyDescent="0.2">
      <c r="A1449" s="2" t="s">
        <v>1361</v>
      </c>
      <c r="B1449" s="2" t="s">
        <v>3353</v>
      </c>
      <c r="C1449" s="2" t="s">
        <v>2547</v>
      </c>
      <c r="D1449" s="2" t="s">
        <v>1836</v>
      </c>
      <c r="E1449" s="2" t="s">
        <v>1838</v>
      </c>
      <c r="F1449" s="2">
        <v>2.3009900000000001</v>
      </c>
      <c r="G1449" s="2">
        <v>1.0973999999999999</v>
      </c>
      <c r="H1449" s="2">
        <v>-1.0681700000000001</v>
      </c>
    </row>
    <row r="1450" spans="1:8" x14ac:dyDescent="0.2">
      <c r="A1450" s="2" t="s">
        <v>308</v>
      </c>
      <c r="B1450" s="2" t="s">
        <v>3110</v>
      </c>
      <c r="C1450" s="2" t="s">
        <v>1987</v>
      </c>
      <c r="D1450" s="2" t="s">
        <v>1836</v>
      </c>
      <c r="E1450" s="2" t="s">
        <v>1837</v>
      </c>
      <c r="F1450" s="2">
        <v>4.1264099999999999</v>
      </c>
      <c r="G1450" s="2">
        <v>1.9676</v>
      </c>
      <c r="H1450" s="2">
        <v>-1.0684499999999999</v>
      </c>
    </row>
    <row r="1451" spans="1:8" x14ac:dyDescent="0.2">
      <c r="A1451" s="2" t="s">
        <v>557</v>
      </c>
      <c r="B1451" s="2" t="s">
        <v>3015</v>
      </c>
      <c r="C1451" s="2" t="s">
        <v>2504</v>
      </c>
      <c r="D1451" s="2" t="s">
        <v>1836</v>
      </c>
      <c r="E1451" s="2" t="s">
        <v>1838</v>
      </c>
      <c r="F1451" s="2">
        <v>5.13192</v>
      </c>
      <c r="G1451" s="2">
        <v>2.4468200000000002</v>
      </c>
      <c r="H1451" s="2">
        <v>-1.0685899999999999</v>
      </c>
    </row>
    <row r="1452" spans="1:8" x14ac:dyDescent="0.2">
      <c r="A1452" s="2" t="s">
        <v>793</v>
      </c>
      <c r="B1452" s="2" t="s">
        <v>3015</v>
      </c>
      <c r="C1452" s="2" t="s">
        <v>1862</v>
      </c>
      <c r="D1452" s="2" t="s">
        <v>1839</v>
      </c>
      <c r="E1452" s="2" t="s">
        <v>1840</v>
      </c>
      <c r="F1452" s="2">
        <v>11.791499999999999</v>
      </c>
      <c r="G1452" s="2">
        <v>5.6215400000000004</v>
      </c>
      <c r="H1452" s="2">
        <v>-1.0687199999999999</v>
      </c>
    </row>
    <row r="1453" spans="1:8" x14ac:dyDescent="0.2">
      <c r="A1453" s="2" t="s">
        <v>477</v>
      </c>
      <c r="B1453" s="2" t="s">
        <v>3015</v>
      </c>
      <c r="C1453" s="2" t="s">
        <v>2772</v>
      </c>
      <c r="D1453" s="2" t="s">
        <v>1839</v>
      </c>
      <c r="E1453" s="2" t="s">
        <v>1841</v>
      </c>
      <c r="F1453" s="2">
        <v>9.6292299999999997</v>
      </c>
      <c r="G1453" s="2">
        <v>4.5901899999999998</v>
      </c>
      <c r="H1453" s="2">
        <v>-1.06887</v>
      </c>
    </row>
    <row r="1454" spans="1:8" x14ac:dyDescent="0.2">
      <c r="A1454" s="2" t="s">
        <v>1533</v>
      </c>
      <c r="B1454" s="2" t="s">
        <v>3015</v>
      </c>
      <c r="C1454" s="2" t="s">
        <v>3016</v>
      </c>
      <c r="D1454" s="2" t="s">
        <v>1839</v>
      </c>
      <c r="E1454" s="2" t="s">
        <v>1841</v>
      </c>
      <c r="F1454" s="2">
        <v>84.9251</v>
      </c>
      <c r="G1454" s="2">
        <v>40.476599999999998</v>
      </c>
      <c r="H1454" s="2">
        <v>-1.0690999999999999</v>
      </c>
    </row>
    <row r="1455" spans="1:8" x14ac:dyDescent="0.2">
      <c r="A1455" s="2" t="s">
        <v>471</v>
      </c>
      <c r="B1455" s="2" t="s">
        <v>3015</v>
      </c>
      <c r="C1455" s="2" t="s">
        <v>3015</v>
      </c>
      <c r="D1455" s="2" t="s">
        <v>1836</v>
      </c>
      <c r="E1455" s="2" t="s">
        <v>1837</v>
      </c>
      <c r="F1455" s="2">
        <v>12.098599999999999</v>
      </c>
      <c r="G1455" s="2">
        <v>5.7658899999999997</v>
      </c>
      <c r="H1455" s="2">
        <v>-1.0692200000000001</v>
      </c>
    </row>
    <row r="1456" spans="1:8" x14ac:dyDescent="0.2">
      <c r="A1456" s="2" t="s">
        <v>527</v>
      </c>
      <c r="B1456" s="2" t="s">
        <v>3068</v>
      </c>
      <c r="C1456" s="2" t="s">
        <v>2092</v>
      </c>
      <c r="D1456" s="2" t="s">
        <v>1836</v>
      </c>
      <c r="E1456" s="2" t="s">
        <v>1837</v>
      </c>
      <c r="F1456" s="2">
        <v>0.81568799999999997</v>
      </c>
      <c r="G1456" s="2">
        <v>0.38871699999999998</v>
      </c>
      <c r="H1456" s="2">
        <v>-1.0692999999999999</v>
      </c>
    </row>
    <row r="1457" spans="1:8" x14ac:dyDescent="0.2">
      <c r="A1457" s="2" t="s">
        <v>541</v>
      </c>
      <c r="B1457" s="2" t="s">
        <v>3015</v>
      </c>
      <c r="C1457" s="2" t="s">
        <v>3015</v>
      </c>
      <c r="D1457" s="2" t="s">
        <v>1836</v>
      </c>
      <c r="E1457" s="2" t="s">
        <v>1837</v>
      </c>
      <c r="F1457" s="2">
        <v>1.2395700000000001</v>
      </c>
      <c r="G1457" s="2">
        <v>0.59062499999999996</v>
      </c>
      <c r="H1457" s="2">
        <v>-1.0695300000000001</v>
      </c>
    </row>
    <row r="1458" spans="1:8" x14ac:dyDescent="0.2">
      <c r="A1458" s="2" t="s">
        <v>496</v>
      </c>
      <c r="B1458" s="2" t="s">
        <v>3015</v>
      </c>
      <c r="C1458" s="2" t="s">
        <v>1847</v>
      </c>
      <c r="D1458" s="2" t="s">
        <v>1839</v>
      </c>
      <c r="E1458" s="2" t="s">
        <v>1840</v>
      </c>
      <c r="F1458" s="2">
        <v>1.4514800000000001</v>
      </c>
      <c r="G1458" s="2">
        <v>0.69157599999999997</v>
      </c>
      <c r="H1458" s="2">
        <v>-1.0695699999999999</v>
      </c>
    </row>
    <row r="1459" spans="1:8" x14ac:dyDescent="0.2">
      <c r="A1459" s="2" t="s">
        <v>555</v>
      </c>
      <c r="B1459" s="2" t="s">
        <v>3093</v>
      </c>
      <c r="C1459" s="2" t="s">
        <v>2106</v>
      </c>
      <c r="D1459" s="2" t="s">
        <v>1836</v>
      </c>
      <c r="E1459" s="2" t="s">
        <v>1837</v>
      </c>
      <c r="F1459" s="2">
        <v>1.2364299999999999</v>
      </c>
      <c r="G1459" s="2">
        <v>0.58885799999999999</v>
      </c>
      <c r="H1459" s="2">
        <v>-1.07019</v>
      </c>
    </row>
    <row r="1460" spans="1:8" x14ac:dyDescent="0.2">
      <c r="A1460" s="2" t="s">
        <v>1388</v>
      </c>
      <c r="B1460" s="2" t="s">
        <v>3030</v>
      </c>
      <c r="C1460" s="2" t="s">
        <v>2565</v>
      </c>
      <c r="D1460" s="2" t="s">
        <v>1839</v>
      </c>
      <c r="E1460" s="2" t="s">
        <v>1840</v>
      </c>
      <c r="F1460" s="2">
        <v>11.4343</v>
      </c>
      <c r="G1460" s="2">
        <v>5.4442000000000004</v>
      </c>
      <c r="H1460" s="2">
        <v>-1.0705800000000001</v>
      </c>
    </row>
    <row r="1461" spans="1:8" x14ac:dyDescent="0.2">
      <c r="A1461" s="2" t="s">
        <v>1674</v>
      </c>
      <c r="B1461" s="2" t="s">
        <v>3015</v>
      </c>
      <c r="C1461" s="2" t="s">
        <v>1862</v>
      </c>
      <c r="D1461" s="2" t="s">
        <v>1839</v>
      </c>
      <c r="E1461" s="2" t="s">
        <v>1841</v>
      </c>
      <c r="F1461" s="2">
        <v>0.91466199999999998</v>
      </c>
      <c r="G1461" s="2">
        <v>0.43533300000000003</v>
      </c>
      <c r="H1461" s="2">
        <v>-1.0711200000000001</v>
      </c>
    </row>
    <row r="1462" spans="1:8" x14ac:dyDescent="0.2">
      <c r="A1462" s="2" t="s">
        <v>502</v>
      </c>
      <c r="B1462" s="2" t="s">
        <v>3100</v>
      </c>
      <c r="C1462" s="2" t="s">
        <v>2080</v>
      </c>
      <c r="D1462" s="2" t="s">
        <v>1836</v>
      </c>
      <c r="E1462" s="2" t="s">
        <v>1837</v>
      </c>
      <c r="F1462" s="2">
        <v>7.7516100000000003</v>
      </c>
      <c r="G1462" s="2">
        <v>3.6825800000000002</v>
      </c>
      <c r="H1462" s="2">
        <v>-1.07378</v>
      </c>
    </row>
    <row r="1463" spans="1:8" x14ac:dyDescent="0.2">
      <c r="A1463" s="2" t="s">
        <v>550</v>
      </c>
      <c r="B1463" s="2" t="s">
        <v>3015</v>
      </c>
      <c r="C1463" s="2" t="s">
        <v>2104</v>
      </c>
      <c r="D1463" s="2" t="s">
        <v>1836</v>
      </c>
      <c r="E1463" s="2" t="s">
        <v>1837</v>
      </c>
      <c r="F1463" s="2">
        <v>2.0029499999999998</v>
      </c>
      <c r="G1463" s="2">
        <v>0.95034300000000005</v>
      </c>
      <c r="H1463" s="2">
        <v>-1.07561</v>
      </c>
    </row>
    <row r="1464" spans="1:8" x14ac:dyDescent="0.2">
      <c r="A1464" s="2" t="s">
        <v>545</v>
      </c>
      <c r="B1464" s="2" t="s">
        <v>3157</v>
      </c>
      <c r="C1464" s="2" t="s">
        <v>2101</v>
      </c>
      <c r="D1464" s="2" t="s">
        <v>1836</v>
      </c>
      <c r="E1464" s="2" t="s">
        <v>1837</v>
      </c>
      <c r="F1464" s="2">
        <v>30.485199999999999</v>
      </c>
      <c r="G1464" s="2">
        <v>14.4595</v>
      </c>
      <c r="H1464" s="2">
        <v>-1.07609</v>
      </c>
    </row>
    <row r="1465" spans="1:8" x14ac:dyDescent="0.2">
      <c r="A1465" s="2" t="s">
        <v>1378</v>
      </c>
      <c r="B1465" s="2" t="s">
        <v>3357</v>
      </c>
      <c r="C1465" s="2" t="s">
        <v>2555</v>
      </c>
      <c r="D1465" s="2" t="s">
        <v>1836</v>
      </c>
      <c r="E1465" s="2" t="s">
        <v>1838</v>
      </c>
      <c r="F1465" s="2">
        <v>60.236899999999999</v>
      </c>
      <c r="G1465" s="2">
        <v>28.555</v>
      </c>
      <c r="H1465" s="2">
        <v>-1.0769</v>
      </c>
    </row>
    <row r="1466" spans="1:8" x14ac:dyDescent="0.2">
      <c r="A1466" s="2" t="s">
        <v>946</v>
      </c>
      <c r="B1466" s="2" t="s">
        <v>3066</v>
      </c>
      <c r="C1466" s="2" t="s">
        <v>2285</v>
      </c>
      <c r="D1466" s="2" t="s">
        <v>1836</v>
      </c>
      <c r="E1466" s="2" t="s">
        <v>1837</v>
      </c>
      <c r="F1466" s="2">
        <v>10.387</v>
      </c>
      <c r="G1466" s="2">
        <v>4.9237399999999996</v>
      </c>
      <c r="H1466" s="2">
        <v>-1.0769599999999999</v>
      </c>
    </row>
    <row r="1467" spans="1:8" x14ac:dyDescent="0.2">
      <c r="A1467" s="2" t="s">
        <v>40</v>
      </c>
      <c r="B1467" s="2" t="s">
        <v>3036</v>
      </c>
      <c r="C1467" s="2" t="s">
        <v>1861</v>
      </c>
      <c r="D1467" s="2" t="s">
        <v>1836</v>
      </c>
      <c r="E1467" s="2" t="s">
        <v>1837</v>
      </c>
      <c r="F1467" s="2">
        <v>47.871000000000002</v>
      </c>
      <c r="G1467" s="2">
        <v>22.6873</v>
      </c>
      <c r="H1467" s="2">
        <v>-1.0772699999999999</v>
      </c>
    </row>
    <row r="1468" spans="1:8" x14ac:dyDescent="0.2">
      <c r="A1468" s="2" t="s">
        <v>291</v>
      </c>
      <c r="B1468" s="2" t="s">
        <v>3026</v>
      </c>
      <c r="C1468" s="2" t="s">
        <v>1977</v>
      </c>
      <c r="D1468" s="2" t="s">
        <v>1836</v>
      </c>
      <c r="E1468" s="2" t="s">
        <v>1837</v>
      </c>
      <c r="F1468" s="2">
        <v>2.7786</v>
      </c>
      <c r="G1468" s="2">
        <v>1.3164</v>
      </c>
      <c r="H1468" s="2">
        <v>-1.0777600000000001</v>
      </c>
    </row>
    <row r="1469" spans="1:8" x14ac:dyDescent="0.2">
      <c r="A1469" s="2" t="s">
        <v>965</v>
      </c>
      <c r="B1469" s="2" t="s">
        <v>3200</v>
      </c>
      <c r="C1469" s="2" t="s">
        <v>2297</v>
      </c>
      <c r="D1469" s="2" t="s">
        <v>1836</v>
      </c>
      <c r="E1469" s="2" t="s">
        <v>1837</v>
      </c>
      <c r="F1469" s="2">
        <v>2.6083400000000001</v>
      </c>
      <c r="G1469" s="2">
        <v>1.2351700000000001</v>
      </c>
      <c r="H1469" s="2">
        <v>-1.07843</v>
      </c>
    </row>
    <row r="1470" spans="1:8" x14ac:dyDescent="0.2">
      <c r="A1470" s="2" t="s">
        <v>936</v>
      </c>
      <c r="B1470" s="2" t="s">
        <v>3373</v>
      </c>
      <c r="C1470" s="2" t="s">
        <v>2200</v>
      </c>
      <c r="D1470" s="2" t="s">
        <v>1836</v>
      </c>
      <c r="E1470" s="2" t="s">
        <v>1838</v>
      </c>
      <c r="F1470" s="2">
        <v>3.7222599999999999</v>
      </c>
      <c r="G1470" s="2">
        <v>1.76207</v>
      </c>
      <c r="H1470" s="2">
        <v>-1.07891</v>
      </c>
    </row>
    <row r="1471" spans="1:8" x14ac:dyDescent="0.2">
      <c r="A1471" s="2" t="s">
        <v>717</v>
      </c>
      <c r="B1471" s="2" t="s">
        <v>3104</v>
      </c>
      <c r="C1471" s="2" t="s">
        <v>2177</v>
      </c>
      <c r="D1471" s="2" t="s">
        <v>1839</v>
      </c>
      <c r="E1471" s="2" t="s">
        <v>1841</v>
      </c>
      <c r="F1471" s="2">
        <v>1.2848999999999999</v>
      </c>
      <c r="G1471" s="2">
        <v>0.60812200000000005</v>
      </c>
      <c r="H1471" s="2">
        <v>-1.0792299999999999</v>
      </c>
    </row>
    <row r="1472" spans="1:8" x14ac:dyDescent="0.2">
      <c r="A1472" s="2" t="s">
        <v>1260</v>
      </c>
      <c r="B1472" s="2" t="s">
        <v>3046</v>
      </c>
      <c r="C1472" s="2" t="s">
        <v>2463</v>
      </c>
      <c r="D1472" s="2" t="s">
        <v>1836</v>
      </c>
      <c r="E1472" s="2" t="s">
        <v>1838</v>
      </c>
      <c r="F1472" s="2">
        <v>11.880800000000001</v>
      </c>
      <c r="G1472" s="2">
        <v>5.6228699999999998</v>
      </c>
      <c r="H1472" s="2">
        <v>-1.07925</v>
      </c>
    </row>
    <row r="1473" spans="1:8" x14ac:dyDescent="0.2">
      <c r="A1473" s="2" t="s">
        <v>1159</v>
      </c>
      <c r="B1473" s="2" t="s">
        <v>3015</v>
      </c>
      <c r="C1473" s="2" t="s">
        <v>2392</v>
      </c>
      <c r="D1473" s="2" t="s">
        <v>1836</v>
      </c>
      <c r="E1473" s="2" t="s">
        <v>1838</v>
      </c>
      <c r="F1473" s="2">
        <v>16.418199999999999</v>
      </c>
      <c r="G1473" s="2">
        <v>7.7688199999999998</v>
      </c>
      <c r="H1473" s="2">
        <v>-1.0795300000000001</v>
      </c>
    </row>
    <row r="1474" spans="1:8" x14ac:dyDescent="0.2">
      <c r="A1474" s="2" t="s">
        <v>393</v>
      </c>
      <c r="B1474" s="2" t="s">
        <v>3015</v>
      </c>
      <c r="C1474" s="2" t="s">
        <v>2754</v>
      </c>
      <c r="D1474" s="2" t="s">
        <v>1839</v>
      </c>
      <c r="E1474" s="2" t="s">
        <v>1841</v>
      </c>
      <c r="F1474" s="2">
        <v>36.6633</v>
      </c>
      <c r="G1474" s="2">
        <v>17.331499999999998</v>
      </c>
      <c r="H1474" s="2">
        <v>-1.08094</v>
      </c>
    </row>
    <row r="1475" spans="1:8" x14ac:dyDescent="0.2">
      <c r="A1475" s="2" t="s">
        <v>621</v>
      </c>
      <c r="B1475" s="2" t="s">
        <v>3026</v>
      </c>
      <c r="C1475" s="2" t="s">
        <v>2133</v>
      </c>
      <c r="D1475" s="2" t="s">
        <v>1836</v>
      </c>
      <c r="E1475" s="2" t="s">
        <v>1837</v>
      </c>
      <c r="F1475" s="2">
        <v>8.2590800000000009</v>
      </c>
      <c r="G1475" s="2">
        <v>3.90273</v>
      </c>
      <c r="H1475" s="2">
        <v>-1.0814999999999999</v>
      </c>
    </row>
    <row r="1476" spans="1:8" x14ac:dyDescent="0.2">
      <c r="A1476" s="2" t="s">
        <v>348</v>
      </c>
      <c r="B1476" s="2" t="s">
        <v>3015</v>
      </c>
      <c r="C1476" s="2" t="s">
        <v>2005</v>
      </c>
      <c r="D1476" s="2" t="s">
        <v>1836</v>
      </c>
      <c r="E1476" s="2" t="s">
        <v>1837</v>
      </c>
      <c r="F1476" s="2">
        <v>10.125400000000001</v>
      </c>
      <c r="G1476" s="2">
        <v>4.7801799999999997</v>
      </c>
      <c r="H1476" s="2">
        <v>-1.08284</v>
      </c>
    </row>
    <row r="1477" spans="1:8" x14ac:dyDescent="0.2">
      <c r="A1477" s="2" t="s">
        <v>1196</v>
      </c>
      <c r="B1477" s="2" t="s">
        <v>3015</v>
      </c>
      <c r="C1477" s="2" t="s">
        <v>2421</v>
      </c>
      <c r="D1477" s="2" t="s">
        <v>1836</v>
      </c>
      <c r="E1477" s="2" t="s">
        <v>1838</v>
      </c>
      <c r="F1477" s="2">
        <v>1.5328200000000001</v>
      </c>
      <c r="G1477" s="2">
        <v>0.72356200000000004</v>
      </c>
      <c r="H1477" s="2">
        <v>-1.083</v>
      </c>
    </row>
    <row r="1478" spans="1:8" x14ac:dyDescent="0.2">
      <c r="A1478" s="2" t="s">
        <v>1246</v>
      </c>
      <c r="B1478" s="2" t="s">
        <v>3015</v>
      </c>
      <c r="C1478" s="2" t="s">
        <v>2454</v>
      </c>
      <c r="D1478" s="2" t="s">
        <v>1836</v>
      </c>
      <c r="E1478" s="2" t="s">
        <v>1838</v>
      </c>
      <c r="F1478" s="2">
        <v>1.50282</v>
      </c>
      <c r="G1478" s="2">
        <v>0.70940300000000001</v>
      </c>
      <c r="H1478" s="2">
        <v>-1.083</v>
      </c>
    </row>
    <row r="1479" spans="1:8" x14ac:dyDescent="0.2">
      <c r="A1479" s="2" t="s">
        <v>263</v>
      </c>
      <c r="B1479" s="2" t="s">
        <v>3101</v>
      </c>
      <c r="C1479" s="2" t="s">
        <v>1953</v>
      </c>
      <c r="D1479" s="2" t="s">
        <v>1836</v>
      </c>
      <c r="E1479" s="2" t="s">
        <v>1837</v>
      </c>
      <c r="F1479" s="2">
        <v>9.9013500000000008</v>
      </c>
      <c r="G1479" s="2">
        <v>4.6725399999999997</v>
      </c>
      <c r="H1479" s="2">
        <v>-1.08342</v>
      </c>
    </row>
    <row r="1480" spans="1:8" x14ac:dyDescent="0.2">
      <c r="A1480" s="2" t="s">
        <v>370</v>
      </c>
      <c r="B1480" s="2" t="s">
        <v>3100</v>
      </c>
      <c r="C1480" s="2" t="s">
        <v>2015</v>
      </c>
      <c r="D1480" s="2" t="s">
        <v>1839</v>
      </c>
      <c r="E1480" s="2" t="s">
        <v>1841</v>
      </c>
      <c r="F1480" s="2">
        <v>5.4963699999999998</v>
      </c>
      <c r="G1480" s="2">
        <v>2.5935100000000002</v>
      </c>
      <c r="H1480" s="2">
        <v>-1.0835699999999999</v>
      </c>
    </row>
    <row r="1481" spans="1:8" x14ac:dyDescent="0.2">
      <c r="A1481" s="2" t="s">
        <v>1071</v>
      </c>
      <c r="B1481" s="2" t="s">
        <v>3265</v>
      </c>
      <c r="C1481" s="2" t="s">
        <v>2344</v>
      </c>
      <c r="D1481" s="2" t="s">
        <v>1836</v>
      </c>
      <c r="E1481" s="2" t="s">
        <v>1837</v>
      </c>
      <c r="F1481" s="2">
        <v>28.628399999999999</v>
      </c>
      <c r="G1481" s="2">
        <v>13.505000000000001</v>
      </c>
      <c r="H1481" s="2">
        <v>-1.08396</v>
      </c>
    </row>
    <row r="1482" spans="1:8" x14ac:dyDescent="0.2">
      <c r="A1482" s="2" t="s">
        <v>433</v>
      </c>
      <c r="B1482" s="2" t="s">
        <v>3015</v>
      </c>
      <c r="C1482" s="2" t="s">
        <v>2045</v>
      </c>
      <c r="D1482" s="2" t="s">
        <v>1836</v>
      </c>
      <c r="E1482" s="2" t="s">
        <v>1838</v>
      </c>
      <c r="F1482" s="2">
        <v>2.8269799999999998</v>
      </c>
      <c r="G1482" s="2">
        <v>1.33345</v>
      </c>
      <c r="H1482" s="2">
        <v>-1.08409</v>
      </c>
    </row>
    <row r="1483" spans="1:8" x14ac:dyDescent="0.2">
      <c r="A1483" s="2" t="s">
        <v>577</v>
      </c>
      <c r="B1483" s="2" t="s">
        <v>3015</v>
      </c>
      <c r="C1483" s="2" t="s">
        <v>2115</v>
      </c>
      <c r="D1483" s="2" t="s">
        <v>1839</v>
      </c>
      <c r="E1483" s="2" t="s">
        <v>1841</v>
      </c>
      <c r="F1483" s="2">
        <v>0.88331800000000005</v>
      </c>
      <c r="G1483" s="2">
        <v>0.416462</v>
      </c>
      <c r="H1483" s="2">
        <v>-1.0847500000000001</v>
      </c>
    </row>
    <row r="1484" spans="1:8" x14ac:dyDescent="0.2">
      <c r="A1484" s="2" t="s">
        <v>1185</v>
      </c>
      <c r="B1484" s="2" t="s">
        <v>3182</v>
      </c>
      <c r="C1484" s="2" t="s">
        <v>2411</v>
      </c>
      <c r="D1484" s="2" t="s">
        <v>1836</v>
      </c>
      <c r="E1484" s="2" t="s">
        <v>1838</v>
      </c>
      <c r="F1484" s="2">
        <v>0.82359700000000002</v>
      </c>
      <c r="G1484" s="2">
        <v>0.38826699999999997</v>
      </c>
      <c r="H1484" s="2">
        <v>-1.0848899999999999</v>
      </c>
    </row>
    <row r="1485" spans="1:8" x14ac:dyDescent="0.2">
      <c r="A1485" s="2" t="s">
        <v>472</v>
      </c>
      <c r="B1485" s="2" t="s">
        <v>3146</v>
      </c>
      <c r="C1485" s="2" t="s">
        <v>2065</v>
      </c>
      <c r="D1485" s="2" t="s">
        <v>1836</v>
      </c>
      <c r="E1485" s="2" t="s">
        <v>1837</v>
      </c>
      <c r="F1485" s="2">
        <v>3.1817299999999999</v>
      </c>
      <c r="G1485" s="2">
        <v>1.49875</v>
      </c>
      <c r="H1485" s="2">
        <v>-1.08605</v>
      </c>
    </row>
    <row r="1486" spans="1:8" x14ac:dyDescent="0.2">
      <c r="A1486" s="2" t="s">
        <v>1525</v>
      </c>
      <c r="B1486" s="2" t="s">
        <v>3030</v>
      </c>
      <c r="C1486" s="2" t="s">
        <v>2129</v>
      </c>
      <c r="D1486" s="2" t="s">
        <v>1839</v>
      </c>
      <c r="E1486" s="2" t="s">
        <v>1841</v>
      </c>
      <c r="F1486" s="2">
        <v>1.4110499999999999</v>
      </c>
      <c r="G1486" s="2">
        <v>0.66451899999999997</v>
      </c>
      <c r="H1486" s="2">
        <v>-1.08639</v>
      </c>
    </row>
    <row r="1487" spans="1:8" x14ac:dyDescent="0.2">
      <c r="A1487" s="2" t="s">
        <v>420</v>
      </c>
      <c r="B1487" s="2" t="s">
        <v>3135</v>
      </c>
      <c r="C1487" s="2" t="s">
        <v>2038</v>
      </c>
      <c r="D1487" s="2" t="s">
        <v>1836</v>
      </c>
      <c r="E1487" s="2" t="s">
        <v>1837</v>
      </c>
      <c r="F1487" s="2">
        <v>0.84477599999999997</v>
      </c>
      <c r="G1487" s="2">
        <v>0.39743400000000001</v>
      </c>
      <c r="H1487" s="2">
        <v>-1.08785</v>
      </c>
    </row>
    <row r="1488" spans="1:8" x14ac:dyDescent="0.2">
      <c r="A1488" s="2" t="s">
        <v>642</v>
      </c>
      <c r="B1488" s="2" t="s">
        <v>3446</v>
      </c>
      <c r="C1488" s="2" t="s">
        <v>2829</v>
      </c>
      <c r="D1488" s="2" t="s">
        <v>1839</v>
      </c>
      <c r="E1488" s="2" t="s">
        <v>1841</v>
      </c>
      <c r="F1488" s="2">
        <v>64.821799999999996</v>
      </c>
      <c r="G1488" s="2">
        <v>30.485700000000001</v>
      </c>
      <c r="H1488" s="2">
        <v>-1.0883400000000001</v>
      </c>
    </row>
    <row r="1489" spans="1:8" x14ac:dyDescent="0.2">
      <c r="A1489" s="2" t="s">
        <v>89</v>
      </c>
      <c r="B1489" s="2" t="s">
        <v>3046</v>
      </c>
      <c r="C1489" s="2" t="s">
        <v>1882</v>
      </c>
      <c r="D1489" s="2" t="s">
        <v>1836</v>
      </c>
      <c r="E1489" s="2" t="s">
        <v>1837</v>
      </c>
      <c r="F1489" s="2">
        <v>2.21008</v>
      </c>
      <c r="G1489" s="2">
        <v>1.03877</v>
      </c>
      <c r="H1489" s="2">
        <v>-1.0892200000000001</v>
      </c>
    </row>
    <row r="1490" spans="1:8" x14ac:dyDescent="0.2">
      <c r="A1490" s="2" t="s">
        <v>648</v>
      </c>
      <c r="B1490" s="2" t="s">
        <v>3015</v>
      </c>
      <c r="C1490" s="2" t="s">
        <v>2145</v>
      </c>
      <c r="D1490" s="2" t="s">
        <v>1836</v>
      </c>
      <c r="E1490" s="2" t="s">
        <v>1837</v>
      </c>
      <c r="F1490" s="2">
        <v>27.835999999999999</v>
      </c>
      <c r="G1490" s="2">
        <v>13.081099999999999</v>
      </c>
      <c r="H1490" s="2">
        <v>-1.0894699999999999</v>
      </c>
    </row>
    <row r="1491" spans="1:8" x14ac:dyDescent="0.2">
      <c r="A1491" s="2" t="s">
        <v>1315</v>
      </c>
      <c r="B1491" s="2" t="s">
        <v>3081</v>
      </c>
      <c r="C1491" s="2" t="s">
        <v>2515</v>
      </c>
      <c r="D1491" s="2" t="s">
        <v>1836</v>
      </c>
      <c r="E1491" s="2" t="s">
        <v>1838</v>
      </c>
      <c r="F1491" s="2">
        <v>0.92362100000000003</v>
      </c>
      <c r="G1491" s="2">
        <v>0.434008</v>
      </c>
      <c r="H1491" s="2">
        <v>-1.08958</v>
      </c>
    </row>
    <row r="1492" spans="1:8" x14ac:dyDescent="0.2">
      <c r="A1492" s="2" t="s">
        <v>764</v>
      </c>
      <c r="B1492" s="2" t="s">
        <v>3206</v>
      </c>
      <c r="C1492" s="2" t="s">
        <v>2194</v>
      </c>
      <c r="D1492" s="2" t="s">
        <v>1836</v>
      </c>
      <c r="E1492" s="2" t="s">
        <v>1837</v>
      </c>
      <c r="F1492" s="2">
        <v>39.874600000000001</v>
      </c>
      <c r="G1492" s="2">
        <v>18.736599999999999</v>
      </c>
      <c r="H1492" s="2">
        <v>-1.08961</v>
      </c>
    </row>
    <row r="1493" spans="1:8" x14ac:dyDescent="0.2">
      <c r="A1493" s="2" t="s">
        <v>880</v>
      </c>
      <c r="B1493" s="2" t="s">
        <v>3015</v>
      </c>
      <c r="C1493" s="2" t="s">
        <v>2251</v>
      </c>
      <c r="D1493" s="2" t="s">
        <v>1836</v>
      </c>
      <c r="E1493" s="2" t="s">
        <v>1837</v>
      </c>
      <c r="F1493" s="2">
        <v>1.06219</v>
      </c>
      <c r="G1493" s="2">
        <v>0.498691</v>
      </c>
      <c r="H1493" s="2">
        <v>-1.09083</v>
      </c>
    </row>
    <row r="1494" spans="1:8" x14ac:dyDescent="0.2">
      <c r="A1494" s="2" t="s">
        <v>578</v>
      </c>
      <c r="B1494" s="2" t="s">
        <v>3340</v>
      </c>
      <c r="C1494" s="2" t="s">
        <v>2508</v>
      </c>
      <c r="D1494" s="2" t="s">
        <v>1836</v>
      </c>
      <c r="E1494" s="2" t="s">
        <v>1838</v>
      </c>
      <c r="F1494" s="2">
        <v>8.9638899999999992</v>
      </c>
      <c r="G1494" s="2">
        <v>4.20824</v>
      </c>
      <c r="H1494" s="2">
        <v>-1.09091</v>
      </c>
    </row>
    <row r="1495" spans="1:8" x14ac:dyDescent="0.2">
      <c r="A1495" s="2" t="s">
        <v>1390</v>
      </c>
      <c r="B1495" s="2" t="s">
        <v>3362</v>
      </c>
      <c r="C1495" s="2" t="s">
        <v>2569</v>
      </c>
      <c r="D1495" s="2" t="s">
        <v>1836</v>
      </c>
      <c r="E1495" s="2" t="s">
        <v>1838</v>
      </c>
      <c r="F1495" s="2">
        <v>0.79801699999999998</v>
      </c>
      <c r="G1495" s="2">
        <v>0.37463999999999997</v>
      </c>
      <c r="H1495" s="2">
        <v>-1.09091</v>
      </c>
    </row>
    <row r="1496" spans="1:8" x14ac:dyDescent="0.2">
      <c r="A1496" s="2" t="s">
        <v>645</v>
      </c>
      <c r="B1496" s="2" t="s">
        <v>3181</v>
      </c>
      <c r="C1496" s="2" t="s">
        <v>2143</v>
      </c>
      <c r="D1496" s="2" t="s">
        <v>1839</v>
      </c>
      <c r="E1496" s="2" t="s">
        <v>1841</v>
      </c>
      <c r="F1496" s="2">
        <v>12.673</v>
      </c>
      <c r="G1496" s="2">
        <v>5.9493600000000004</v>
      </c>
      <c r="H1496" s="2">
        <v>-1.0909500000000001</v>
      </c>
    </row>
    <row r="1497" spans="1:8" x14ac:dyDescent="0.2">
      <c r="A1497" s="2" t="s">
        <v>39</v>
      </c>
      <c r="B1497" s="2" t="s">
        <v>3054</v>
      </c>
      <c r="C1497" s="2" t="s">
        <v>2623</v>
      </c>
      <c r="D1497" s="2" t="s">
        <v>1839</v>
      </c>
      <c r="E1497" s="2" t="s">
        <v>1841</v>
      </c>
      <c r="F1497" s="2">
        <v>19.945</v>
      </c>
      <c r="G1497" s="2">
        <v>9.3629800000000003</v>
      </c>
      <c r="H1497" s="2">
        <v>-1.0909899999999999</v>
      </c>
    </row>
    <row r="1498" spans="1:8" x14ac:dyDescent="0.2">
      <c r="A1498" s="2" t="s">
        <v>780</v>
      </c>
      <c r="B1498" s="2" t="s">
        <v>3015</v>
      </c>
      <c r="C1498" s="2" t="s">
        <v>2878</v>
      </c>
      <c r="D1498" s="2" t="s">
        <v>1839</v>
      </c>
      <c r="E1498" s="2" t="s">
        <v>1841</v>
      </c>
      <c r="F1498" s="2">
        <v>10.437099999999999</v>
      </c>
      <c r="G1498" s="2">
        <v>4.8994200000000001</v>
      </c>
      <c r="H1498" s="2">
        <v>-1.09104</v>
      </c>
    </row>
    <row r="1499" spans="1:8" x14ac:dyDescent="0.2">
      <c r="A1499" s="2" t="s">
        <v>1026</v>
      </c>
      <c r="B1499" s="2" t="s">
        <v>3259</v>
      </c>
      <c r="C1499" s="2" t="s">
        <v>1847</v>
      </c>
      <c r="D1499" s="2" t="s">
        <v>1839</v>
      </c>
      <c r="E1499" s="2" t="s">
        <v>1840</v>
      </c>
      <c r="F1499" s="2">
        <v>2.8478699999999999</v>
      </c>
      <c r="G1499" s="2">
        <v>1.33674</v>
      </c>
      <c r="H1499" s="2">
        <v>-1.09117</v>
      </c>
    </row>
    <row r="1500" spans="1:8" x14ac:dyDescent="0.2">
      <c r="A1500" s="2" t="s">
        <v>1357</v>
      </c>
      <c r="B1500" s="2" t="s">
        <v>3015</v>
      </c>
      <c r="C1500" s="2" t="s">
        <v>2545</v>
      </c>
      <c r="D1500" s="2" t="s">
        <v>1836</v>
      </c>
      <c r="E1500" s="2" t="s">
        <v>1838</v>
      </c>
      <c r="F1500" s="2">
        <v>1.2413400000000001</v>
      </c>
      <c r="G1500" s="2">
        <v>0.58250599999999997</v>
      </c>
      <c r="H1500" s="2">
        <v>-1.09155</v>
      </c>
    </row>
    <row r="1501" spans="1:8" x14ac:dyDescent="0.2">
      <c r="A1501" s="2" t="s">
        <v>1243</v>
      </c>
      <c r="B1501" s="2" t="s">
        <v>3015</v>
      </c>
      <c r="C1501" s="2" t="s">
        <v>2451</v>
      </c>
      <c r="D1501" s="2" t="s">
        <v>1839</v>
      </c>
      <c r="E1501" s="2" t="s">
        <v>1840</v>
      </c>
      <c r="F1501" s="2">
        <v>8.1935099999999998</v>
      </c>
      <c r="G1501" s="2">
        <v>3.8448000000000002</v>
      </c>
      <c r="H1501" s="2">
        <v>-1.0915699999999999</v>
      </c>
    </row>
    <row r="1502" spans="1:8" x14ac:dyDescent="0.2">
      <c r="A1502" s="2" t="s">
        <v>1682</v>
      </c>
      <c r="B1502" s="2" t="s">
        <v>3015</v>
      </c>
      <c r="C1502" s="2" t="s">
        <v>2848</v>
      </c>
      <c r="D1502" s="2" t="s">
        <v>1839</v>
      </c>
      <c r="E1502" s="2" t="s">
        <v>1840</v>
      </c>
      <c r="F1502" s="2">
        <v>1.9821200000000001</v>
      </c>
      <c r="G1502" s="2">
        <v>0.92969100000000005</v>
      </c>
      <c r="H1502" s="2">
        <v>-1.09222</v>
      </c>
    </row>
    <row r="1503" spans="1:8" x14ac:dyDescent="0.2">
      <c r="A1503" s="2" t="s">
        <v>1741</v>
      </c>
      <c r="B1503" s="2" t="s">
        <v>3015</v>
      </c>
      <c r="C1503" s="2" t="s">
        <v>2910</v>
      </c>
      <c r="D1503" s="2" t="s">
        <v>1839</v>
      </c>
      <c r="E1503" s="2" t="s">
        <v>1840</v>
      </c>
      <c r="F1503" s="2">
        <v>21.600100000000001</v>
      </c>
      <c r="G1503" s="2">
        <v>10.1302</v>
      </c>
      <c r="H1503" s="2">
        <v>-1.0923700000000001</v>
      </c>
    </row>
    <row r="1504" spans="1:8" x14ac:dyDescent="0.2">
      <c r="A1504" s="2" t="s">
        <v>1175</v>
      </c>
      <c r="B1504" s="2" t="s">
        <v>3094</v>
      </c>
      <c r="C1504" s="2" t="s">
        <v>3015</v>
      </c>
      <c r="D1504" s="2" t="s">
        <v>1839</v>
      </c>
      <c r="E1504" s="2" t="s">
        <v>1841</v>
      </c>
      <c r="F1504" s="2">
        <v>2.5725799999999999</v>
      </c>
      <c r="G1504" s="2">
        <v>1.20614</v>
      </c>
      <c r="H1504" s="2">
        <v>-1.0928199999999999</v>
      </c>
    </row>
    <row r="1505" spans="1:8" x14ac:dyDescent="0.2">
      <c r="A1505" s="2" t="s">
        <v>957</v>
      </c>
      <c r="B1505" s="2" t="s">
        <v>3246</v>
      </c>
      <c r="C1505" s="2" t="s">
        <v>2291</v>
      </c>
      <c r="D1505" s="2" t="s">
        <v>1836</v>
      </c>
      <c r="E1505" s="2" t="s">
        <v>1837</v>
      </c>
      <c r="F1505" s="2">
        <v>6.0737199999999998</v>
      </c>
      <c r="G1505" s="2">
        <v>2.8473999999999999</v>
      </c>
      <c r="H1505" s="2">
        <v>-1.09294</v>
      </c>
    </row>
    <row r="1506" spans="1:8" x14ac:dyDescent="0.2">
      <c r="A1506" s="2" t="s">
        <v>343</v>
      </c>
      <c r="B1506" s="2" t="s">
        <v>3015</v>
      </c>
      <c r="C1506" s="2" t="s">
        <v>3016</v>
      </c>
      <c r="D1506" s="2" t="s">
        <v>1839</v>
      </c>
      <c r="E1506" s="2" t="s">
        <v>1840</v>
      </c>
      <c r="F1506" s="2">
        <v>2.0111500000000002</v>
      </c>
      <c r="G1506" s="2">
        <v>0.94283300000000003</v>
      </c>
      <c r="H1506" s="2">
        <v>-1.0929500000000001</v>
      </c>
    </row>
    <row r="1507" spans="1:8" x14ac:dyDescent="0.2">
      <c r="A1507" s="2" t="s">
        <v>1436</v>
      </c>
      <c r="B1507" s="2" t="s">
        <v>3015</v>
      </c>
      <c r="C1507" s="2" t="s">
        <v>1862</v>
      </c>
      <c r="D1507" s="2" t="s">
        <v>1836</v>
      </c>
      <c r="E1507" s="2" t="s">
        <v>1838</v>
      </c>
      <c r="F1507" s="2">
        <v>1.63801</v>
      </c>
      <c r="G1507" s="2">
        <v>0.76749100000000003</v>
      </c>
      <c r="H1507" s="2">
        <v>-1.0937300000000001</v>
      </c>
    </row>
    <row r="1508" spans="1:8" x14ac:dyDescent="0.2">
      <c r="A1508" s="2" t="s">
        <v>794</v>
      </c>
      <c r="B1508" s="2" t="s">
        <v>3015</v>
      </c>
      <c r="C1508" s="2" t="s">
        <v>2197</v>
      </c>
      <c r="D1508" s="2" t="s">
        <v>1839</v>
      </c>
      <c r="E1508" s="2" t="s">
        <v>1841</v>
      </c>
      <c r="F1508" s="2">
        <v>7.4331100000000001</v>
      </c>
      <c r="G1508" s="2">
        <v>3.4801799999999998</v>
      </c>
      <c r="H1508" s="2">
        <v>-1.0948100000000001</v>
      </c>
    </row>
    <row r="1509" spans="1:8" x14ac:dyDescent="0.2">
      <c r="A1509" s="2" t="s">
        <v>759</v>
      </c>
      <c r="B1509" s="2" t="s">
        <v>3204</v>
      </c>
      <c r="C1509" s="2" t="s">
        <v>2190</v>
      </c>
      <c r="D1509" s="2" t="s">
        <v>1836</v>
      </c>
      <c r="E1509" s="2" t="s">
        <v>1837</v>
      </c>
      <c r="F1509" s="2">
        <v>10.7218</v>
      </c>
      <c r="G1509" s="2">
        <v>5.0190700000000001</v>
      </c>
      <c r="H1509" s="2">
        <v>-1.0950599999999999</v>
      </c>
    </row>
    <row r="1510" spans="1:8" x14ac:dyDescent="0.2">
      <c r="A1510" s="2" t="s">
        <v>575</v>
      </c>
      <c r="B1510" s="2" t="s">
        <v>3165</v>
      </c>
      <c r="C1510" s="2" t="s">
        <v>2113</v>
      </c>
      <c r="D1510" s="2" t="s">
        <v>1836</v>
      </c>
      <c r="E1510" s="2" t="s">
        <v>1838</v>
      </c>
      <c r="F1510" s="2">
        <v>2.7837900000000002</v>
      </c>
      <c r="G1510" s="2">
        <v>1.3031200000000001</v>
      </c>
      <c r="H1510" s="2">
        <v>-1.0950800000000001</v>
      </c>
    </row>
    <row r="1511" spans="1:8" x14ac:dyDescent="0.2">
      <c r="A1511" s="2" t="s">
        <v>1751</v>
      </c>
      <c r="B1511" s="2" t="s">
        <v>3015</v>
      </c>
      <c r="C1511" s="2" t="s">
        <v>2917</v>
      </c>
      <c r="D1511" s="2" t="s">
        <v>1839</v>
      </c>
      <c r="E1511" s="2" t="s">
        <v>1841</v>
      </c>
      <c r="F1511" s="2">
        <v>2.3465699999999998</v>
      </c>
      <c r="G1511" s="2">
        <v>1.09839</v>
      </c>
      <c r="H1511" s="2">
        <v>-1.09517</v>
      </c>
    </row>
    <row r="1512" spans="1:8" x14ac:dyDescent="0.2">
      <c r="A1512" s="2" t="s">
        <v>404</v>
      </c>
      <c r="B1512" s="2" t="s">
        <v>3093</v>
      </c>
      <c r="C1512" s="2" t="s">
        <v>2029</v>
      </c>
      <c r="D1512" s="2" t="s">
        <v>1836</v>
      </c>
      <c r="E1512" s="2" t="s">
        <v>1837</v>
      </c>
      <c r="F1512" s="2">
        <v>4.9986300000000004</v>
      </c>
      <c r="G1512" s="2">
        <v>2.33962</v>
      </c>
      <c r="H1512" s="2">
        <v>-1.0952599999999999</v>
      </c>
    </row>
    <row r="1513" spans="1:8" x14ac:dyDescent="0.2">
      <c r="A1513" s="2" t="s">
        <v>1291</v>
      </c>
      <c r="B1513" s="2" t="s">
        <v>3015</v>
      </c>
      <c r="C1513" s="2" t="s">
        <v>2499</v>
      </c>
      <c r="D1513" s="2" t="s">
        <v>1836</v>
      </c>
      <c r="E1513" s="2" t="s">
        <v>1838</v>
      </c>
      <c r="F1513" s="2">
        <v>66.064599999999999</v>
      </c>
      <c r="G1513" s="2">
        <v>30.912800000000001</v>
      </c>
      <c r="H1513" s="2">
        <v>-1.0956699999999999</v>
      </c>
    </row>
    <row r="1514" spans="1:8" x14ac:dyDescent="0.2">
      <c r="A1514" s="2" t="s">
        <v>28</v>
      </c>
      <c r="B1514" s="2" t="s">
        <v>3015</v>
      </c>
      <c r="C1514" s="2" t="s">
        <v>1855</v>
      </c>
      <c r="D1514" s="2" t="s">
        <v>1836</v>
      </c>
      <c r="E1514" s="2" t="s">
        <v>1837</v>
      </c>
      <c r="F1514" s="2">
        <v>0.94581199999999999</v>
      </c>
      <c r="G1514" s="2">
        <v>0.44248300000000002</v>
      </c>
      <c r="H1514" s="2">
        <v>-1.0959300000000001</v>
      </c>
    </row>
    <row r="1515" spans="1:8" x14ac:dyDescent="0.2">
      <c r="A1515" s="2" t="s">
        <v>984</v>
      </c>
      <c r="B1515" s="2" t="s">
        <v>3253</v>
      </c>
      <c r="C1515" s="2" t="s">
        <v>2307</v>
      </c>
      <c r="D1515" s="2" t="s">
        <v>1836</v>
      </c>
      <c r="E1515" s="2" t="s">
        <v>1838</v>
      </c>
      <c r="F1515" s="2">
        <v>13.5283</v>
      </c>
      <c r="G1515" s="2">
        <v>6.3287699999999996</v>
      </c>
      <c r="H1515" s="2">
        <v>-1.09598</v>
      </c>
    </row>
    <row r="1516" spans="1:8" x14ac:dyDescent="0.2">
      <c r="A1516" s="2" t="s">
        <v>417</v>
      </c>
      <c r="B1516" s="2" t="s">
        <v>3045</v>
      </c>
      <c r="C1516" s="2" t="s">
        <v>1923</v>
      </c>
      <c r="D1516" s="2" t="s">
        <v>1836</v>
      </c>
      <c r="E1516" s="2" t="s">
        <v>1838</v>
      </c>
      <c r="F1516" s="2">
        <v>61.389800000000001</v>
      </c>
      <c r="G1516" s="2">
        <v>28.713100000000001</v>
      </c>
      <c r="H1516" s="2">
        <v>-1.09629</v>
      </c>
    </row>
    <row r="1517" spans="1:8" x14ac:dyDescent="0.2">
      <c r="A1517" s="2" t="s">
        <v>1669</v>
      </c>
      <c r="B1517" s="2" t="s">
        <v>3015</v>
      </c>
      <c r="C1517" s="2" t="s">
        <v>3016</v>
      </c>
      <c r="D1517" s="2" t="s">
        <v>1839</v>
      </c>
      <c r="E1517" s="2" t="s">
        <v>1841</v>
      </c>
      <c r="F1517" s="2">
        <v>29.863900000000001</v>
      </c>
      <c r="G1517" s="2">
        <v>13.965299999999999</v>
      </c>
      <c r="H1517" s="2">
        <v>-1.09656</v>
      </c>
    </row>
    <row r="1518" spans="1:8" x14ac:dyDescent="0.2">
      <c r="A1518" s="2" t="s">
        <v>1777</v>
      </c>
      <c r="B1518" s="2" t="s">
        <v>3479</v>
      </c>
      <c r="C1518" s="2" t="s">
        <v>2953</v>
      </c>
      <c r="D1518" s="2" t="s">
        <v>1839</v>
      </c>
      <c r="E1518" s="2" t="s">
        <v>1841</v>
      </c>
      <c r="F1518" s="2">
        <v>4.0515600000000003</v>
      </c>
      <c r="G1518" s="2">
        <v>1.89455</v>
      </c>
      <c r="H1518" s="2">
        <v>-1.0966199999999999</v>
      </c>
    </row>
    <row r="1519" spans="1:8" x14ac:dyDescent="0.2">
      <c r="A1519" s="2" t="s">
        <v>665</v>
      </c>
      <c r="B1519" s="2" t="s">
        <v>3197</v>
      </c>
      <c r="C1519" s="2" t="s">
        <v>2179</v>
      </c>
      <c r="D1519" s="2" t="s">
        <v>1836</v>
      </c>
      <c r="E1519" s="2" t="s">
        <v>1838</v>
      </c>
      <c r="F1519" s="2">
        <v>4.0036300000000002</v>
      </c>
      <c r="G1519" s="2">
        <v>1.8715599999999999</v>
      </c>
      <c r="H1519" s="2">
        <v>-1.09707</v>
      </c>
    </row>
    <row r="1520" spans="1:8" x14ac:dyDescent="0.2">
      <c r="A1520" s="2" t="s">
        <v>1362</v>
      </c>
      <c r="B1520" s="2" t="s">
        <v>3353</v>
      </c>
      <c r="C1520" s="2" t="s">
        <v>2548</v>
      </c>
      <c r="D1520" s="2" t="s">
        <v>1836</v>
      </c>
      <c r="E1520" s="2" t="s">
        <v>1838</v>
      </c>
      <c r="F1520" s="2">
        <v>17.153099999999998</v>
      </c>
      <c r="G1520" s="2">
        <v>8.0170700000000004</v>
      </c>
      <c r="H1520" s="2">
        <v>-1.0973200000000001</v>
      </c>
    </row>
    <row r="1521" spans="1:8" x14ac:dyDescent="0.2">
      <c r="A1521" s="2" t="s">
        <v>974</v>
      </c>
      <c r="B1521" s="2" t="s">
        <v>3094</v>
      </c>
      <c r="C1521" s="2" t="s">
        <v>2304</v>
      </c>
      <c r="D1521" s="2" t="s">
        <v>1836</v>
      </c>
      <c r="E1521" s="2" t="s">
        <v>1837</v>
      </c>
      <c r="F1521" s="2">
        <v>2.1364700000000001</v>
      </c>
      <c r="G1521" s="2">
        <v>0.99824199999999996</v>
      </c>
      <c r="H1521" s="2">
        <v>-1.0977699999999999</v>
      </c>
    </row>
    <row r="1522" spans="1:8" x14ac:dyDescent="0.2">
      <c r="A1522" s="2" t="s">
        <v>458</v>
      </c>
      <c r="B1522" s="2" t="s">
        <v>3103</v>
      </c>
      <c r="C1522" s="2" t="s">
        <v>2059</v>
      </c>
      <c r="D1522" s="2" t="s">
        <v>1836</v>
      </c>
      <c r="E1522" s="2" t="s">
        <v>1837</v>
      </c>
      <c r="F1522" s="2">
        <v>79.824399999999997</v>
      </c>
      <c r="G1522" s="2">
        <v>37.282200000000003</v>
      </c>
      <c r="H1522" s="2">
        <v>-1.0983400000000001</v>
      </c>
    </row>
    <row r="1523" spans="1:8" x14ac:dyDescent="0.2">
      <c r="A1523" s="2" t="s">
        <v>1012</v>
      </c>
      <c r="B1523" s="2" t="s">
        <v>3015</v>
      </c>
      <c r="C1523" s="2" t="s">
        <v>2317</v>
      </c>
      <c r="D1523" s="2" t="s">
        <v>1836</v>
      </c>
      <c r="E1523" s="2" t="s">
        <v>1838</v>
      </c>
      <c r="F1523" s="2">
        <v>2.59382</v>
      </c>
      <c r="G1523" s="2">
        <v>1.2111400000000001</v>
      </c>
      <c r="H1523" s="2">
        <v>-1.0987100000000001</v>
      </c>
    </row>
    <row r="1524" spans="1:8" x14ac:dyDescent="0.2">
      <c r="A1524" s="2" t="s">
        <v>204</v>
      </c>
      <c r="B1524" s="2" t="s">
        <v>3083</v>
      </c>
      <c r="C1524" s="2" t="s">
        <v>1847</v>
      </c>
      <c r="D1524" s="2" t="s">
        <v>1836</v>
      </c>
      <c r="E1524" s="2" t="s">
        <v>1837</v>
      </c>
      <c r="F1524" s="2">
        <v>5.8588399999999998</v>
      </c>
      <c r="G1524" s="2">
        <v>2.7317499999999999</v>
      </c>
      <c r="H1524" s="2">
        <v>-1.1007899999999999</v>
      </c>
    </row>
    <row r="1525" spans="1:8" x14ac:dyDescent="0.2">
      <c r="A1525" s="2" t="s">
        <v>788</v>
      </c>
      <c r="B1525" s="2" t="s">
        <v>3301</v>
      </c>
      <c r="C1525" s="2" t="s">
        <v>2567</v>
      </c>
      <c r="D1525" s="2" t="s">
        <v>1836</v>
      </c>
      <c r="E1525" s="2" t="s">
        <v>1838</v>
      </c>
      <c r="F1525" s="2">
        <v>64.732200000000006</v>
      </c>
      <c r="G1525" s="2">
        <v>30.177900000000001</v>
      </c>
      <c r="H1525" s="2">
        <v>-1.1009899999999999</v>
      </c>
    </row>
    <row r="1526" spans="1:8" x14ac:dyDescent="0.2">
      <c r="A1526" s="2" t="s">
        <v>542</v>
      </c>
      <c r="B1526" s="2" t="s">
        <v>3063</v>
      </c>
      <c r="C1526" s="2" t="s">
        <v>2100</v>
      </c>
      <c r="D1526" s="2" t="s">
        <v>1836</v>
      </c>
      <c r="E1526" s="2" t="s">
        <v>1837</v>
      </c>
      <c r="F1526" s="2">
        <v>2.2279200000000001</v>
      </c>
      <c r="G1526" s="2">
        <v>1.038</v>
      </c>
      <c r="H1526" s="2">
        <v>-1.10189</v>
      </c>
    </row>
    <row r="1527" spans="1:8" x14ac:dyDescent="0.2">
      <c r="A1527" s="2" t="s">
        <v>1088</v>
      </c>
      <c r="B1527" s="2" t="s">
        <v>3081</v>
      </c>
      <c r="C1527" s="2" t="s">
        <v>2353</v>
      </c>
      <c r="D1527" s="2" t="s">
        <v>1836</v>
      </c>
      <c r="E1527" s="2" t="s">
        <v>1838</v>
      </c>
      <c r="F1527" s="2">
        <v>2.6558299999999999</v>
      </c>
      <c r="G1527" s="2">
        <v>1.2370399999999999</v>
      </c>
      <c r="H1527" s="2">
        <v>-1.1022700000000001</v>
      </c>
    </row>
    <row r="1528" spans="1:8" x14ac:dyDescent="0.2">
      <c r="A1528" s="2" t="s">
        <v>450</v>
      </c>
      <c r="B1528" s="2" t="s">
        <v>3113</v>
      </c>
      <c r="C1528" s="2" t="s">
        <v>2054</v>
      </c>
      <c r="D1528" s="2" t="s">
        <v>1836</v>
      </c>
      <c r="E1528" s="2" t="s">
        <v>1837</v>
      </c>
      <c r="F1528" s="2">
        <v>1.51247</v>
      </c>
      <c r="G1528" s="2">
        <v>0.70413599999999998</v>
      </c>
      <c r="H1528" s="2">
        <v>-1.1029800000000001</v>
      </c>
    </row>
    <row r="1529" spans="1:8" x14ac:dyDescent="0.2">
      <c r="A1529" s="2" t="s">
        <v>168</v>
      </c>
      <c r="B1529" s="2" t="s">
        <v>3015</v>
      </c>
      <c r="C1529" s="2" t="s">
        <v>1862</v>
      </c>
      <c r="D1529" s="2" t="s">
        <v>1836</v>
      </c>
      <c r="E1529" s="2" t="s">
        <v>1837</v>
      </c>
      <c r="F1529" s="2">
        <v>7.5447199999999999</v>
      </c>
      <c r="G1529" s="2">
        <v>3.5121000000000002</v>
      </c>
      <c r="H1529" s="2">
        <v>-1.1031299999999999</v>
      </c>
    </row>
    <row r="1530" spans="1:8" x14ac:dyDescent="0.2">
      <c r="A1530" s="2" t="s">
        <v>175</v>
      </c>
      <c r="B1530" s="2" t="s">
        <v>3299</v>
      </c>
      <c r="C1530" s="2" t="s">
        <v>1862</v>
      </c>
      <c r="D1530" s="2" t="s">
        <v>1836</v>
      </c>
      <c r="E1530" s="2" t="s">
        <v>1838</v>
      </c>
      <c r="F1530" s="2">
        <v>16.055</v>
      </c>
      <c r="G1530" s="2">
        <v>7.47323</v>
      </c>
      <c r="H1530" s="2">
        <v>-1.1032200000000001</v>
      </c>
    </row>
    <row r="1531" spans="1:8" x14ac:dyDescent="0.2">
      <c r="A1531" s="2" t="s">
        <v>1389</v>
      </c>
      <c r="B1531" s="2" t="s">
        <v>3030</v>
      </c>
      <c r="C1531" s="2" t="s">
        <v>2568</v>
      </c>
      <c r="D1531" s="2" t="s">
        <v>1836</v>
      </c>
      <c r="E1531" s="2" t="s">
        <v>1838</v>
      </c>
      <c r="F1531" s="2">
        <v>1.7463500000000001</v>
      </c>
      <c r="G1531" s="2">
        <v>0.81285700000000005</v>
      </c>
      <c r="H1531" s="2">
        <v>-1.10327</v>
      </c>
    </row>
    <row r="1532" spans="1:8" x14ac:dyDescent="0.2">
      <c r="A1532" s="2" t="s">
        <v>1049</v>
      </c>
      <c r="B1532" s="2" t="s">
        <v>3262</v>
      </c>
      <c r="C1532" s="2" t="s">
        <v>2335</v>
      </c>
      <c r="D1532" s="2" t="s">
        <v>1839</v>
      </c>
      <c r="E1532" s="2" t="s">
        <v>1841</v>
      </c>
      <c r="F1532" s="2">
        <v>48.994700000000002</v>
      </c>
      <c r="G1532" s="2">
        <v>22.7989</v>
      </c>
      <c r="H1532" s="2">
        <v>-1.1036600000000001</v>
      </c>
    </row>
    <row r="1533" spans="1:8" x14ac:dyDescent="0.2">
      <c r="A1533" s="2" t="s">
        <v>749</v>
      </c>
      <c r="B1533" s="2" t="s">
        <v>3015</v>
      </c>
      <c r="C1533" s="2" t="s">
        <v>3016</v>
      </c>
      <c r="D1533" s="2" t="s">
        <v>1836</v>
      </c>
      <c r="E1533" s="2" t="s">
        <v>1837</v>
      </c>
      <c r="F1533" s="2">
        <v>36.808199999999999</v>
      </c>
      <c r="G1533" s="2">
        <v>17.126899999999999</v>
      </c>
      <c r="H1533" s="2">
        <v>-1.1037699999999999</v>
      </c>
    </row>
    <row r="1534" spans="1:8" x14ac:dyDescent="0.2">
      <c r="A1534" s="2" t="s">
        <v>1497</v>
      </c>
      <c r="B1534" s="2" t="s">
        <v>3015</v>
      </c>
      <c r="C1534" s="2" t="s">
        <v>2645</v>
      </c>
      <c r="D1534" s="2" t="s">
        <v>1839</v>
      </c>
      <c r="E1534" s="2" t="s">
        <v>1841</v>
      </c>
      <c r="F1534" s="2">
        <v>1.2615499999999999</v>
      </c>
      <c r="G1534" s="2">
        <v>0.586511</v>
      </c>
      <c r="H1534" s="2">
        <v>-1.10497</v>
      </c>
    </row>
    <row r="1535" spans="1:8" x14ac:dyDescent="0.2">
      <c r="A1535" s="2" t="s">
        <v>680</v>
      </c>
      <c r="B1535" s="2" t="s">
        <v>3015</v>
      </c>
      <c r="C1535" s="2" t="s">
        <v>3016</v>
      </c>
      <c r="D1535" s="2" t="s">
        <v>1836</v>
      </c>
      <c r="E1535" s="2" t="s">
        <v>1837</v>
      </c>
      <c r="F1535" s="2">
        <v>6.05091</v>
      </c>
      <c r="G1535" s="2">
        <v>2.8128099999999998</v>
      </c>
      <c r="H1535" s="2">
        <v>-1.10514</v>
      </c>
    </row>
    <row r="1536" spans="1:8" x14ac:dyDescent="0.2">
      <c r="A1536" s="2" t="s">
        <v>368</v>
      </c>
      <c r="B1536" s="2" t="s">
        <v>3015</v>
      </c>
      <c r="C1536" s="2" t="s">
        <v>2014</v>
      </c>
      <c r="D1536" s="2" t="s">
        <v>1836</v>
      </c>
      <c r="E1536" s="2" t="s">
        <v>1837</v>
      </c>
      <c r="F1536" s="2">
        <v>65.758600000000001</v>
      </c>
      <c r="G1536" s="2">
        <v>30.567299999999999</v>
      </c>
      <c r="H1536" s="2">
        <v>-1.1051899999999999</v>
      </c>
    </row>
    <row r="1537" spans="1:8" x14ac:dyDescent="0.2">
      <c r="A1537" s="2" t="s">
        <v>975</v>
      </c>
      <c r="B1537" s="2" t="s">
        <v>3015</v>
      </c>
      <c r="C1537" s="2" t="s">
        <v>2305</v>
      </c>
      <c r="D1537" s="2" t="s">
        <v>1836</v>
      </c>
      <c r="E1537" s="2" t="s">
        <v>1837</v>
      </c>
      <c r="F1537" s="2">
        <v>1.0489200000000001</v>
      </c>
      <c r="G1537" s="2">
        <v>0.48754799999999998</v>
      </c>
      <c r="H1537" s="2">
        <v>-1.1052999999999999</v>
      </c>
    </row>
    <row r="1538" spans="1:8" x14ac:dyDescent="0.2">
      <c r="A1538" s="2" t="s">
        <v>810</v>
      </c>
      <c r="B1538" s="2" t="s">
        <v>3015</v>
      </c>
      <c r="C1538" s="2" t="s">
        <v>1862</v>
      </c>
      <c r="D1538" s="2" t="s">
        <v>1836</v>
      </c>
      <c r="E1538" s="2" t="s">
        <v>1837</v>
      </c>
      <c r="F1538" s="2">
        <v>19.196400000000001</v>
      </c>
      <c r="G1538" s="2">
        <v>8.9219600000000003</v>
      </c>
      <c r="H1538" s="2">
        <v>-1.1053999999999999</v>
      </c>
    </row>
    <row r="1539" spans="1:8" x14ac:dyDescent="0.2">
      <c r="A1539" s="2" t="s">
        <v>1579</v>
      </c>
      <c r="B1539" s="2" t="s">
        <v>3015</v>
      </c>
      <c r="C1539" s="2" t="s">
        <v>2454</v>
      </c>
      <c r="D1539" s="2" t="s">
        <v>1839</v>
      </c>
      <c r="E1539" s="2" t="s">
        <v>1841</v>
      </c>
      <c r="F1539" s="2">
        <v>1.3416999999999999</v>
      </c>
      <c r="G1539" s="2">
        <v>0.62334500000000004</v>
      </c>
      <c r="H1539" s="2">
        <v>-1.10595</v>
      </c>
    </row>
    <row r="1540" spans="1:8" x14ac:dyDescent="0.2">
      <c r="A1540" s="2" t="s">
        <v>1622</v>
      </c>
      <c r="B1540" s="2" t="s">
        <v>3435</v>
      </c>
      <c r="C1540" s="2" t="s">
        <v>2246</v>
      </c>
      <c r="D1540" s="2" t="s">
        <v>1839</v>
      </c>
      <c r="E1540" s="2" t="s">
        <v>1840</v>
      </c>
      <c r="F1540" s="2">
        <v>4.5105899999999997</v>
      </c>
      <c r="G1540" s="2">
        <v>2.0955300000000001</v>
      </c>
      <c r="H1540" s="2">
        <v>-1.1060000000000001</v>
      </c>
    </row>
    <row r="1541" spans="1:8" x14ac:dyDescent="0.2">
      <c r="A1541" s="2" t="s">
        <v>75</v>
      </c>
      <c r="B1541" s="2" t="s">
        <v>3258</v>
      </c>
      <c r="C1541" s="2" t="s">
        <v>2384</v>
      </c>
      <c r="D1541" s="2" t="s">
        <v>1836</v>
      </c>
      <c r="E1541" s="2" t="s">
        <v>1838</v>
      </c>
      <c r="F1541" s="2">
        <v>5.9261799999999996</v>
      </c>
      <c r="G1541" s="2">
        <v>2.7521399999999998</v>
      </c>
      <c r="H1541" s="2">
        <v>-1.1065499999999999</v>
      </c>
    </row>
    <row r="1542" spans="1:8" x14ac:dyDescent="0.2">
      <c r="A1542" s="2" t="s">
        <v>48</v>
      </c>
      <c r="B1542" s="2" t="s">
        <v>3015</v>
      </c>
      <c r="C1542" s="2" t="s">
        <v>1865</v>
      </c>
      <c r="D1542" s="2" t="s">
        <v>1839</v>
      </c>
      <c r="E1542" s="2" t="s">
        <v>1841</v>
      </c>
      <c r="F1542" s="2">
        <v>14.5718</v>
      </c>
      <c r="G1542" s="2">
        <v>6.7656999999999998</v>
      </c>
      <c r="H1542" s="2">
        <v>-1.10687</v>
      </c>
    </row>
    <row r="1543" spans="1:8" x14ac:dyDescent="0.2">
      <c r="A1543" s="2" t="s">
        <v>757</v>
      </c>
      <c r="B1543" s="2" t="s">
        <v>3015</v>
      </c>
      <c r="C1543" s="2" t="s">
        <v>1880</v>
      </c>
      <c r="D1543" s="2" t="s">
        <v>1839</v>
      </c>
      <c r="E1543" s="2" t="s">
        <v>1840</v>
      </c>
      <c r="F1543" s="2">
        <v>155.86799999999999</v>
      </c>
      <c r="G1543" s="2">
        <v>72.276200000000003</v>
      </c>
      <c r="H1543" s="2">
        <v>-1.10873</v>
      </c>
    </row>
    <row r="1544" spans="1:8" x14ac:dyDescent="0.2">
      <c r="A1544" s="2" t="s">
        <v>1100</v>
      </c>
      <c r="B1544" s="2" t="s">
        <v>3269</v>
      </c>
      <c r="C1544" s="2" t="s">
        <v>3015</v>
      </c>
      <c r="D1544" s="2" t="s">
        <v>1836</v>
      </c>
      <c r="E1544" s="2" t="s">
        <v>1837</v>
      </c>
      <c r="F1544" s="2">
        <v>4.3501899999999996</v>
      </c>
      <c r="G1544" s="2">
        <v>2.01674</v>
      </c>
      <c r="H1544" s="2">
        <v>-1.1090599999999999</v>
      </c>
    </row>
    <row r="1545" spans="1:8" x14ac:dyDescent="0.2">
      <c r="A1545" s="2" t="s">
        <v>533</v>
      </c>
      <c r="B1545" s="2" t="s">
        <v>3015</v>
      </c>
      <c r="C1545" s="2" t="s">
        <v>2096</v>
      </c>
      <c r="D1545" s="2" t="s">
        <v>1836</v>
      </c>
      <c r="E1545" s="2" t="s">
        <v>1837</v>
      </c>
      <c r="F1545" s="2">
        <v>2.82239</v>
      </c>
      <c r="G1545" s="2">
        <v>1.3070200000000001</v>
      </c>
      <c r="H1545" s="2">
        <v>-1.1106400000000001</v>
      </c>
    </row>
    <row r="1546" spans="1:8" x14ac:dyDescent="0.2">
      <c r="A1546" s="2" t="s">
        <v>1095</v>
      </c>
      <c r="B1546" s="2" t="s">
        <v>3015</v>
      </c>
      <c r="C1546" s="2" t="s">
        <v>1880</v>
      </c>
      <c r="D1546" s="2" t="s">
        <v>1836</v>
      </c>
      <c r="E1546" s="2" t="s">
        <v>1838</v>
      </c>
      <c r="F1546" s="2">
        <v>100.709</v>
      </c>
      <c r="G1546" s="2">
        <v>46.625999999999998</v>
      </c>
      <c r="H1546" s="2">
        <v>-1.1109800000000001</v>
      </c>
    </row>
    <row r="1547" spans="1:8" x14ac:dyDescent="0.2">
      <c r="A1547" s="2" t="s">
        <v>79</v>
      </c>
      <c r="B1547" s="2" t="s">
        <v>3015</v>
      </c>
      <c r="C1547" s="2" t="s">
        <v>3016</v>
      </c>
      <c r="D1547" s="2" t="s">
        <v>1839</v>
      </c>
      <c r="E1547" s="2" t="s">
        <v>1841</v>
      </c>
      <c r="F1547" s="2">
        <v>4.0717100000000004</v>
      </c>
      <c r="G1547" s="2">
        <v>1.8844000000000001</v>
      </c>
      <c r="H1547" s="2">
        <v>-1.1115299999999999</v>
      </c>
    </row>
    <row r="1548" spans="1:8" x14ac:dyDescent="0.2">
      <c r="A1548" s="2" t="s">
        <v>1297</v>
      </c>
      <c r="B1548" s="2" t="s">
        <v>3015</v>
      </c>
      <c r="C1548" s="2" t="s">
        <v>3016</v>
      </c>
      <c r="D1548" s="2" t="s">
        <v>1836</v>
      </c>
      <c r="E1548" s="2" t="s">
        <v>1838</v>
      </c>
      <c r="F1548" s="2">
        <v>1.0734600000000001</v>
      </c>
      <c r="G1548" s="2">
        <v>0.49669799999999997</v>
      </c>
      <c r="H1548" s="2">
        <v>-1.1118399999999999</v>
      </c>
    </row>
    <row r="1549" spans="1:8" x14ac:dyDescent="0.2">
      <c r="A1549" s="2" t="s">
        <v>754</v>
      </c>
      <c r="B1549" s="2" t="s">
        <v>3062</v>
      </c>
      <c r="C1549" s="2" t="s">
        <v>2188</v>
      </c>
      <c r="D1549" s="2" t="s">
        <v>1836</v>
      </c>
      <c r="E1549" s="2" t="s">
        <v>1838</v>
      </c>
      <c r="F1549" s="2">
        <v>6.9001400000000004</v>
      </c>
      <c r="G1549" s="2">
        <v>3.1917399999999998</v>
      </c>
      <c r="H1549" s="2">
        <v>-1.1122799999999999</v>
      </c>
    </row>
    <row r="1550" spans="1:8" x14ac:dyDescent="0.2">
      <c r="A1550" s="2" t="s">
        <v>602</v>
      </c>
      <c r="B1550" s="2" t="s">
        <v>3015</v>
      </c>
      <c r="C1550" s="2" t="s">
        <v>3016</v>
      </c>
      <c r="D1550" s="2" t="s">
        <v>1839</v>
      </c>
      <c r="E1550" s="2" t="s">
        <v>1841</v>
      </c>
      <c r="F1550" s="2">
        <v>7.0156099999999997</v>
      </c>
      <c r="G1550" s="2">
        <v>3.2450600000000001</v>
      </c>
      <c r="H1550" s="2">
        <v>-1.11232</v>
      </c>
    </row>
    <row r="1551" spans="1:8" x14ac:dyDescent="0.2">
      <c r="A1551" s="2" t="s">
        <v>819</v>
      </c>
      <c r="B1551" s="2" t="s">
        <v>3015</v>
      </c>
      <c r="C1551" s="2" t="s">
        <v>2214</v>
      </c>
      <c r="D1551" s="2" t="s">
        <v>1836</v>
      </c>
      <c r="E1551" s="2" t="s">
        <v>1838</v>
      </c>
      <c r="F1551" s="2">
        <v>117.569</v>
      </c>
      <c r="G1551" s="2">
        <v>54.377299999999998</v>
      </c>
      <c r="H1551" s="2">
        <v>-1.11243</v>
      </c>
    </row>
    <row r="1552" spans="1:8" x14ac:dyDescent="0.2">
      <c r="A1552" s="2" t="s">
        <v>598</v>
      </c>
      <c r="B1552" s="2" t="s">
        <v>3038</v>
      </c>
      <c r="C1552" s="2" t="s">
        <v>2514</v>
      </c>
      <c r="D1552" s="2" t="s">
        <v>1836</v>
      </c>
      <c r="E1552" s="2" t="s">
        <v>1838</v>
      </c>
      <c r="F1552" s="2">
        <v>5.4894999999999996</v>
      </c>
      <c r="G1552" s="2">
        <v>2.5388600000000001</v>
      </c>
      <c r="H1552" s="2">
        <v>-1.1125</v>
      </c>
    </row>
    <row r="1553" spans="1:8" x14ac:dyDescent="0.2">
      <c r="A1553" s="2" t="s">
        <v>361</v>
      </c>
      <c r="B1553" s="2" t="s">
        <v>3015</v>
      </c>
      <c r="C1553" s="2" t="s">
        <v>1948</v>
      </c>
      <c r="D1553" s="2" t="s">
        <v>1836</v>
      </c>
      <c r="E1553" s="2" t="s">
        <v>1837</v>
      </c>
      <c r="F1553" s="2">
        <v>21.107800000000001</v>
      </c>
      <c r="G1553" s="2">
        <v>9.7601600000000008</v>
      </c>
      <c r="H1553" s="2">
        <v>-1.1128</v>
      </c>
    </row>
    <row r="1554" spans="1:8" x14ac:dyDescent="0.2">
      <c r="A1554" s="2" t="s">
        <v>1047</v>
      </c>
      <c r="B1554" s="2" t="s">
        <v>3015</v>
      </c>
      <c r="C1554" s="2" t="s">
        <v>3015</v>
      </c>
      <c r="D1554" s="2" t="s">
        <v>1836</v>
      </c>
      <c r="E1554" s="2" t="s">
        <v>1837</v>
      </c>
      <c r="F1554" s="2">
        <v>6.6210100000000001</v>
      </c>
      <c r="G1554" s="2">
        <v>3.0596399999999999</v>
      </c>
      <c r="H1554" s="2">
        <v>-1.1136900000000001</v>
      </c>
    </row>
    <row r="1555" spans="1:8" x14ac:dyDescent="0.2">
      <c r="A1555" s="2" t="s">
        <v>1174</v>
      </c>
      <c r="B1555" s="2" t="s">
        <v>3015</v>
      </c>
      <c r="C1555" s="2" t="s">
        <v>2403</v>
      </c>
      <c r="D1555" s="2" t="s">
        <v>1836</v>
      </c>
      <c r="E1555" s="2" t="s">
        <v>1838</v>
      </c>
      <c r="F1555" s="2">
        <v>21.488</v>
      </c>
      <c r="G1555" s="2">
        <v>9.9288000000000007</v>
      </c>
      <c r="H1555" s="2">
        <v>-1.1138399999999999</v>
      </c>
    </row>
    <row r="1556" spans="1:8" x14ac:dyDescent="0.2">
      <c r="A1556" s="2" t="s">
        <v>251</v>
      </c>
      <c r="B1556" s="2" t="s">
        <v>3015</v>
      </c>
      <c r="C1556" s="2" t="s">
        <v>1963</v>
      </c>
      <c r="D1556" s="2" t="s">
        <v>1836</v>
      </c>
      <c r="E1556" s="2" t="s">
        <v>1838</v>
      </c>
      <c r="F1556" s="2">
        <v>10.2959</v>
      </c>
      <c r="G1556" s="2">
        <v>4.7564399999999996</v>
      </c>
      <c r="H1556" s="2">
        <v>-1.11412</v>
      </c>
    </row>
    <row r="1557" spans="1:8" x14ac:dyDescent="0.2">
      <c r="A1557" s="2" t="s">
        <v>1304</v>
      </c>
      <c r="B1557" s="2" t="s">
        <v>3086</v>
      </c>
      <c r="C1557" s="2" t="s">
        <v>2510</v>
      </c>
      <c r="D1557" s="2" t="s">
        <v>1836</v>
      </c>
      <c r="E1557" s="2" t="s">
        <v>1838</v>
      </c>
      <c r="F1557" s="2">
        <v>7.2991200000000003</v>
      </c>
      <c r="G1557" s="2">
        <v>3.37039</v>
      </c>
      <c r="H1557" s="2">
        <v>-1.1148100000000001</v>
      </c>
    </row>
    <row r="1558" spans="1:8" x14ac:dyDescent="0.2">
      <c r="A1558" s="2" t="s">
        <v>973</v>
      </c>
      <c r="B1558" s="2" t="s">
        <v>3103</v>
      </c>
      <c r="C1558" s="2" t="s">
        <v>2303</v>
      </c>
      <c r="D1558" s="2" t="s">
        <v>1836</v>
      </c>
      <c r="E1558" s="2" t="s">
        <v>1837</v>
      </c>
      <c r="F1558" s="2">
        <v>13.4747</v>
      </c>
      <c r="G1558" s="2">
        <v>6.2213000000000003</v>
      </c>
      <c r="H1558" s="2">
        <v>-1.11496</v>
      </c>
    </row>
    <row r="1559" spans="1:8" x14ac:dyDescent="0.2">
      <c r="A1559" s="2" t="s">
        <v>731</v>
      </c>
      <c r="B1559" s="2" t="s">
        <v>3015</v>
      </c>
      <c r="C1559" s="2" t="s">
        <v>2183</v>
      </c>
      <c r="D1559" s="2" t="s">
        <v>1836</v>
      </c>
      <c r="E1559" s="2" t="s">
        <v>1838</v>
      </c>
      <c r="F1559" s="2">
        <v>5.3973699999999996</v>
      </c>
      <c r="G1559" s="2">
        <v>2.4914399999999999</v>
      </c>
      <c r="H1559" s="2">
        <v>-1.11528</v>
      </c>
    </row>
    <row r="1560" spans="1:8" x14ac:dyDescent="0.2">
      <c r="A1560" s="2" t="s">
        <v>1266</v>
      </c>
      <c r="B1560" s="2" t="s">
        <v>3325</v>
      </c>
      <c r="C1560" s="2" t="s">
        <v>2469</v>
      </c>
      <c r="D1560" s="2" t="s">
        <v>1836</v>
      </c>
      <c r="E1560" s="2" t="s">
        <v>1838</v>
      </c>
      <c r="F1560" s="2">
        <v>1.9129700000000001</v>
      </c>
      <c r="G1560" s="2">
        <v>0.88269699999999995</v>
      </c>
      <c r="H1560" s="2">
        <v>-1.11582</v>
      </c>
    </row>
    <row r="1561" spans="1:8" x14ac:dyDescent="0.2">
      <c r="A1561" s="2" t="s">
        <v>384</v>
      </c>
      <c r="B1561" s="2" t="s">
        <v>3015</v>
      </c>
      <c r="C1561" s="2" t="s">
        <v>3015</v>
      </c>
      <c r="D1561" s="2" t="s">
        <v>1836</v>
      </c>
      <c r="E1561" s="2" t="s">
        <v>1838</v>
      </c>
      <c r="F1561" s="2">
        <v>29.618400000000001</v>
      </c>
      <c r="G1561" s="2">
        <v>13.662100000000001</v>
      </c>
      <c r="H1561" s="2">
        <v>-1.11632</v>
      </c>
    </row>
    <row r="1562" spans="1:8" x14ac:dyDescent="0.2">
      <c r="A1562" s="2" t="s">
        <v>232</v>
      </c>
      <c r="B1562" s="2" t="s">
        <v>3027</v>
      </c>
      <c r="C1562" s="2" t="s">
        <v>1952</v>
      </c>
      <c r="D1562" s="2" t="s">
        <v>1836</v>
      </c>
      <c r="E1562" s="2" t="s">
        <v>1837</v>
      </c>
      <c r="F1562" s="2">
        <v>18.391300000000001</v>
      </c>
      <c r="G1562" s="2">
        <v>8.4800599999999999</v>
      </c>
      <c r="H1562" s="2">
        <v>-1.1168800000000001</v>
      </c>
    </row>
    <row r="1563" spans="1:8" x14ac:dyDescent="0.2">
      <c r="A1563" s="2" t="s">
        <v>743</v>
      </c>
      <c r="B1563" s="2" t="s">
        <v>3201</v>
      </c>
      <c r="C1563" s="2" t="s">
        <v>2186</v>
      </c>
      <c r="D1563" s="2" t="s">
        <v>1836</v>
      </c>
      <c r="E1563" s="2" t="s">
        <v>1838</v>
      </c>
      <c r="F1563" s="2">
        <v>1.78914</v>
      </c>
      <c r="G1563" s="2">
        <v>0.82491800000000004</v>
      </c>
      <c r="H1563" s="2">
        <v>-1.1169500000000001</v>
      </c>
    </row>
    <row r="1564" spans="1:8" x14ac:dyDescent="0.2">
      <c r="A1564" s="2" t="s">
        <v>58</v>
      </c>
      <c r="B1564" s="2" t="s">
        <v>3081</v>
      </c>
      <c r="C1564" s="2" t="s">
        <v>2635</v>
      </c>
      <c r="D1564" s="2" t="s">
        <v>1839</v>
      </c>
      <c r="E1564" s="2" t="s">
        <v>1841</v>
      </c>
      <c r="F1564" s="2">
        <v>145.559</v>
      </c>
      <c r="G1564" s="2">
        <v>67.088399999999993</v>
      </c>
      <c r="H1564" s="2">
        <v>-1.11747</v>
      </c>
    </row>
    <row r="1565" spans="1:8" x14ac:dyDescent="0.2">
      <c r="A1565" s="2" t="s">
        <v>377</v>
      </c>
      <c r="B1565" s="2" t="s">
        <v>3015</v>
      </c>
      <c r="C1565" s="2" t="s">
        <v>1880</v>
      </c>
      <c r="D1565" s="2" t="s">
        <v>1839</v>
      </c>
      <c r="E1565" s="2" t="s">
        <v>1841</v>
      </c>
      <c r="F1565" s="2">
        <v>3.8254000000000001</v>
      </c>
      <c r="G1565" s="2">
        <v>1.76312</v>
      </c>
      <c r="H1565" s="2">
        <v>-1.11748</v>
      </c>
    </row>
    <row r="1566" spans="1:8" x14ac:dyDescent="0.2">
      <c r="A1566" s="2" t="s">
        <v>180</v>
      </c>
      <c r="B1566" s="2" t="s">
        <v>3015</v>
      </c>
      <c r="C1566" s="2" t="s">
        <v>1862</v>
      </c>
      <c r="D1566" s="2" t="s">
        <v>1836</v>
      </c>
      <c r="E1566" s="2" t="s">
        <v>1837</v>
      </c>
      <c r="F1566" s="2">
        <v>35.443800000000003</v>
      </c>
      <c r="G1566" s="2">
        <v>16.334299999999999</v>
      </c>
      <c r="H1566" s="2">
        <v>-1.1176299999999999</v>
      </c>
    </row>
    <row r="1567" spans="1:8" x14ac:dyDescent="0.2">
      <c r="A1567" s="2" t="s">
        <v>1808</v>
      </c>
      <c r="B1567" s="2" t="s">
        <v>3027</v>
      </c>
      <c r="C1567" s="2" t="s">
        <v>2985</v>
      </c>
      <c r="D1567" s="2" t="s">
        <v>1839</v>
      </c>
      <c r="E1567" s="2" t="s">
        <v>1840</v>
      </c>
      <c r="F1567" s="2">
        <v>1.42134</v>
      </c>
      <c r="G1567" s="2">
        <v>0.65485099999999996</v>
      </c>
      <c r="H1567" s="2">
        <v>-1.1180099999999999</v>
      </c>
    </row>
    <row r="1568" spans="1:8" x14ac:dyDescent="0.2">
      <c r="A1568" s="2" t="s">
        <v>1632</v>
      </c>
      <c r="B1568" s="2" t="s">
        <v>3015</v>
      </c>
      <c r="C1568" s="2" t="s">
        <v>3016</v>
      </c>
      <c r="D1568" s="2" t="s">
        <v>1839</v>
      </c>
      <c r="E1568" s="2" t="s">
        <v>1841</v>
      </c>
      <c r="F1568" s="2">
        <v>34.038499999999999</v>
      </c>
      <c r="G1568" s="2">
        <v>15.678900000000001</v>
      </c>
      <c r="H1568" s="2">
        <v>-1.1183399999999999</v>
      </c>
    </row>
    <row r="1569" spans="1:8" x14ac:dyDescent="0.2">
      <c r="A1569" s="2" t="s">
        <v>1249</v>
      </c>
      <c r="B1569" s="2" t="s">
        <v>3318</v>
      </c>
      <c r="C1569" s="2" t="s">
        <v>2456</v>
      </c>
      <c r="D1569" s="2" t="s">
        <v>1836</v>
      </c>
      <c r="E1569" s="2" t="s">
        <v>1838</v>
      </c>
      <c r="F1569" s="2">
        <v>10.9133</v>
      </c>
      <c r="G1569" s="2">
        <v>5.0213900000000002</v>
      </c>
      <c r="H1569" s="2">
        <v>-1.1199300000000001</v>
      </c>
    </row>
    <row r="1570" spans="1:8" x14ac:dyDescent="0.2">
      <c r="A1570" s="2" t="s">
        <v>942</v>
      </c>
      <c r="B1570" s="2" t="s">
        <v>3243</v>
      </c>
      <c r="C1570" s="2" t="s">
        <v>1847</v>
      </c>
      <c r="D1570" s="2" t="s">
        <v>1836</v>
      </c>
      <c r="E1570" s="2" t="s">
        <v>1837</v>
      </c>
      <c r="F1570" s="2">
        <v>8.2205399999999997</v>
      </c>
      <c r="G1570" s="2">
        <v>3.7814700000000001</v>
      </c>
      <c r="H1570" s="2">
        <v>-1.1202799999999999</v>
      </c>
    </row>
    <row r="1571" spans="1:8" x14ac:dyDescent="0.2">
      <c r="A1571" s="2" t="s">
        <v>525</v>
      </c>
      <c r="B1571" s="2" t="s">
        <v>3015</v>
      </c>
      <c r="C1571" s="2" t="s">
        <v>3015</v>
      </c>
      <c r="D1571" s="2" t="s">
        <v>1836</v>
      </c>
      <c r="E1571" s="2" t="s">
        <v>1838</v>
      </c>
      <c r="F1571" s="2">
        <v>18.343399999999999</v>
      </c>
      <c r="G1571" s="2">
        <v>8.4375999999999998</v>
      </c>
      <c r="H1571" s="2">
        <v>-1.12036</v>
      </c>
    </row>
    <row r="1572" spans="1:8" x14ac:dyDescent="0.2">
      <c r="A1572" s="2" t="s">
        <v>904</v>
      </c>
      <c r="B1572" s="2" t="s">
        <v>3039</v>
      </c>
      <c r="C1572" s="2" t="s">
        <v>2252</v>
      </c>
      <c r="D1572" s="2" t="s">
        <v>1836</v>
      </c>
      <c r="E1572" s="2" t="s">
        <v>1837</v>
      </c>
      <c r="F1572" s="2">
        <v>5.7412299999999998</v>
      </c>
      <c r="G1572" s="2">
        <v>2.6398299999999999</v>
      </c>
      <c r="H1572" s="2">
        <v>-1.1209199999999999</v>
      </c>
    </row>
    <row r="1573" spans="1:8" x14ac:dyDescent="0.2">
      <c r="A1573" s="2" t="s">
        <v>538</v>
      </c>
      <c r="B1573" s="2" t="s">
        <v>3015</v>
      </c>
      <c r="C1573" s="2" t="s">
        <v>1862</v>
      </c>
      <c r="D1573" s="2" t="s">
        <v>1836</v>
      </c>
      <c r="E1573" s="2" t="s">
        <v>1837</v>
      </c>
      <c r="F1573" s="2">
        <v>13.6821</v>
      </c>
      <c r="G1573" s="2">
        <v>6.2905899999999999</v>
      </c>
      <c r="H1573" s="2">
        <v>-1.1210199999999999</v>
      </c>
    </row>
    <row r="1574" spans="1:8" x14ac:dyDescent="0.2">
      <c r="A1574" s="2" t="s">
        <v>1113</v>
      </c>
      <c r="B1574" s="2" t="s">
        <v>3274</v>
      </c>
      <c r="C1574" s="2" t="s">
        <v>3015</v>
      </c>
      <c r="D1574" s="2" t="s">
        <v>1836</v>
      </c>
      <c r="E1574" s="2" t="s">
        <v>1837</v>
      </c>
      <c r="F1574" s="2">
        <v>0.89157600000000004</v>
      </c>
      <c r="G1574" s="2">
        <v>0.40944999999999998</v>
      </c>
      <c r="H1574" s="2">
        <v>-1.1226700000000001</v>
      </c>
    </row>
    <row r="1575" spans="1:8" x14ac:dyDescent="0.2">
      <c r="A1575" s="2" t="s">
        <v>1707</v>
      </c>
      <c r="B1575" s="2" t="s">
        <v>3015</v>
      </c>
      <c r="C1575" s="2" t="s">
        <v>3015</v>
      </c>
      <c r="D1575" s="2" t="s">
        <v>1839</v>
      </c>
      <c r="E1575" s="2" t="s">
        <v>1841</v>
      </c>
      <c r="F1575" s="2">
        <v>14.2477</v>
      </c>
      <c r="G1575" s="2">
        <v>6.54298</v>
      </c>
      <c r="H1575" s="2">
        <v>-1.1227100000000001</v>
      </c>
    </row>
    <row r="1576" spans="1:8" x14ac:dyDescent="0.2">
      <c r="A1576" s="2" t="s">
        <v>469</v>
      </c>
      <c r="B1576" s="2" t="s">
        <v>3427</v>
      </c>
      <c r="C1576" s="2" t="s">
        <v>2768</v>
      </c>
      <c r="D1576" s="2" t="s">
        <v>1839</v>
      </c>
      <c r="E1576" s="2" t="s">
        <v>1841</v>
      </c>
      <c r="F1576" s="2">
        <v>392.82499999999999</v>
      </c>
      <c r="G1576" s="2">
        <v>180.10599999999999</v>
      </c>
      <c r="H1576" s="2">
        <v>-1.12504</v>
      </c>
    </row>
    <row r="1577" spans="1:8" x14ac:dyDescent="0.2">
      <c r="A1577" s="2" t="s">
        <v>1054</v>
      </c>
      <c r="B1577" s="2" t="s">
        <v>3015</v>
      </c>
      <c r="C1577" s="2" t="s">
        <v>3016</v>
      </c>
      <c r="D1577" s="2" t="s">
        <v>1839</v>
      </c>
      <c r="E1577" s="2" t="s">
        <v>1841</v>
      </c>
      <c r="F1577" s="2">
        <v>9.58127</v>
      </c>
      <c r="G1577" s="2">
        <v>4.3928399999999996</v>
      </c>
      <c r="H1577" s="2">
        <v>-1.1250599999999999</v>
      </c>
    </row>
    <row r="1578" spans="1:8" x14ac:dyDescent="0.2">
      <c r="A1578" s="2" t="s">
        <v>1329</v>
      </c>
      <c r="B1578" s="2" t="s">
        <v>3347</v>
      </c>
      <c r="C1578" s="2" t="s">
        <v>2524</v>
      </c>
      <c r="D1578" s="2" t="s">
        <v>1836</v>
      </c>
      <c r="E1578" s="2" t="s">
        <v>1838</v>
      </c>
      <c r="F1578" s="2">
        <v>1.7793000000000001</v>
      </c>
      <c r="G1578" s="2">
        <v>0.81548900000000002</v>
      </c>
      <c r="H1578" s="2">
        <v>-1.12557</v>
      </c>
    </row>
    <row r="1579" spans="1:8" x14ac:dyDescent="0.2">
      <c r="A1579" s="2" t="s">
        <v>44</v>
      </c>
      <c r="B1579" s="2" t="s">
        <v>3015</v>
      </c>
      <c r="C1579" s="2" t="s">
        <v>1880</v>
      </c>
      <c r="D1579" s="2" t="s">
        <v>1839</v>
      </c>
      <c r="E1579" s="2" t="s">
        <v>1841</v>
      </c>
      <c r="F1579" s="2">
        <v>2.7822399999999998</v>
      </c>
      <c r="G1579" s="2">
        <v>1.2749299999999999</v>
      </c>
      <c r="H1579" s="2">
        <v>-1.1258300000000001</v>
      </c>
    </row>
    <row r="1580" spans="1:8" x14ac:dyDescent="0.2">
      <c r="A1580" s="2" t="s">
        <v>505</v>
      </c>
      <c r="B1580" s="2" t="s">
        <v>3149</v>
      </c>
      <c r="C1580" s="2" t="s">
        <v>2081</v>
      </c>
      <c r="D1580" s="2" t="s">
        <v>1836</v>
      </c>
      <c r="E1580" s="2" t="s">
        <v>1837</v>
      </c>
      <c r="F1580" s="2">
        <v>0.95196199999999997</v>
      </c>
      <c r="G1580" s="2">
        <v>0.43587500000000001</v>
      </c>
      <c r="H1580" s="2">
        <v>-1.1269899999999999</v>
      </c>
    </row>
    <row r="1581" spans="1:8" x14ac:dyDescent="0.2">
      <c r="A1581" s="2" t="s">
        <v>1006</v>
      </c>
      <c r="B1581" s="2" t="s">
        <v>3319</v>
      </c>
      <c r="C1581" s="2" t="s">
        <v>1862</v>
      </c>
      <c r="D1581" s="2" t="s">
        <v>1839</v>
      </c>
      <c r="E1581" s="2" t="s">
        <v>1841</v>
      </c>
      <c r="F1581" s="2">
        <v>8.3578700000000001</v>
      </c>
      <c r="G1581" s="2">
        <v>3.8254999999999999</v>
      </c>
      <c r="H1581" s="2">
        <v>-1.1274900000000001</v>
      </c>
    </row>
    <row r="1582" spans="1:8" x14ac:dyDescent="0.2">
      <c r="A1582" s="2" t="s">
        <v>793</v>
      </c>
      <c r="B1582" s="2" t="s">
        <v>3015</v>
      </c>
      <c r="C1582" s="2" t="s">
        <v>1862</v>
      </c>
      <c r="D1582" s="2" t="s">
        <v>1839</v>
      </c>
      <c r="E1582" s="2" t="s">
        <v>1841</v>
      </c>
      <c r="F1582" s="2">
        <v>11.791499999999999</v>
      </c>
      <c r="G1582" s="2">
        <v>5.39642</v>
      </c>
      <c r="H1582" s="2">
        <v>-1.12768</v>
      </c>
    </row>
    <row r="1583" spans="1:8" x14ac:dyDescent="0.2">
      <c r="A1583" s="2" t="s">
        <v>894</v>
      </c>
      <c r="B1583" s="2" t="s">
        <v>3015</v>
      </c>
      <c r="C1583" s="2" t="s">
        <v>1880</v>
      </c>
      <c r="D1583" s="2" t="s">
        <v>1836</v>
      </c>
      <c r="E1583" s="2" t="s">
        <v>1838</v>
      </c>
      <c r="F1583" s="2">
        <v>9.6581600000000005</v>
      </c>
      <c r="G1583" s="2">
        <v>4.4164399999999997</v>
      </c>
      <c r="H1583" s="2">
        <v>-1.12886</v>
      </c>
    </row>
    <row r="1584" spans="1:8" x14ac:dyDescent="0.2">
      <c r="A1584" s="2" t="s">
        <v>1106</v>
      </c>
      <c r="B1584" s="2" t="s">
        <v>3093</v>
      </c>
      <c r="C1584" s="2" t="s">
        <v>1847</v>
      </c>
      <c r="D1584" s="2" t="s">
        <v>1839</v>
      </c>
      <c r="E1584" s="2" t="s">
        <v>1841</v>
      </c>
      <c r="F1584" s="2">
        <v>10.563499999999999</v>
      </c>
      <c r="G1584" s="2">
        <v>4.8287100000000001</v>
      </c>
      <c r="H1584" s="2">
        <v>-1.1293800000000001</v>
      </c>
    </row>
    <row r="1585" spans="1:8" x14ac:dyDescent="0.2">
      <c r="A1585" s="2" t="s">
        <v>129</v>
      </c>
      <c r="B1585" s="2" t="s">
        <v>3209</v>
      </c>
      <c r="C1585" s="2" t="s">
        <v>2401</v>
      </c>
      <c r="D1585" s="2" t="s">
        <v>1836</v>
      </c>
      <c r="E1585" s="2" t="s">
        <v>1838</v>
      </c>
      <c r="F1585" s="2">
        <v>10.9</v>
      </c>
      <c r="G1585" s="2">
        <v>4.9809599999999996</v>
      </c>
      <c r="H1585" s="2">
        <v>-1.12984</v>
      </c>
    </row>
    <row r="1586" spans="1:8" x14ac:dyDescent="0.2">
      <c r="A1586" s="2" t="s">
        <v>36</v>
      </c>
      <c r="B1586" s="2" t="s">
        <v>3024</v>
      </c>
      <c r="C1586" s="2" t="s">
        <v>1844</v>
      </c>
      <c r="D1586" s="2" t="s">
        <v>1839</v>
      </c>
      <c r="E1586" s="2" t="s">
        <v>1840</v>
      </c>
      <c r="F1586" s="2">
        <v>1.0588200000000001</v>
      </c>
      <c r="G1586" s="2">
        <v>0.48374600000000001</v>
      </c>
      <c r="H1586" s="2">
        <v>-1.1301300000000001</v>
      </c>
    </row>
    <row r="1587" spans="1:8" x14ac:dyDescent="0.2">
      <c r="A1587" s="2" t="s">
        <v>1173</v>
      </c>
      <c r="B1587" s="2" t="s">
        <v>3038</v>
      </c>
      <c r="C1587" s="2" t="s">
        <v>2374</v>
      </c>
      <c r="D1587" s="2" t="s">
        <v>1836</v>
      </c>
      <c r="E1587" s="2" t="s">
        <v>1838</v>
      </c>
      <c r="F1587" s="2">
        <v>0.83236299999999996</v>
      </c>
      <c r="G1587" s="2">
        <v>0.38021199999999999</v>
      </c>
      <c r="H1587" s="2">
        <v>-1.1304099999999999</v>
      </c>
    </row>
    <row r="1588" spans="1:8" x14ac:dyDescent="0.2">
      <c r="A1588" s="2" t="s">
        <v>943</v>
      </c>
      <c r="B1588" s="2" t="s">
        <v>3058</v>
      </c>
      <c r="C1588" s="2" t="s">
        <v>2018</v>
      </c>
      <c r="D1588" s="2" t="s">
        <v>1836</v>
      </c>
      <c r="E1588" s="2" t="s">
        <v>1838</v>
      </c>
      <c r="F1588" s="2">
        <v>7.7013999999999996</v>
      </c>
      <c r="G1588" s="2">
        <v>3.5153500000000002</v>
      </c>
      <c r="H1588" s="2">
        <v>-1.1314500000000001</v>
      </c>
    </row>
    <row r="1589" spans="1:8" x14ac:dyDescent="0.2">
      <c r="A1589" s="2" t="s">
        <v>1582</v>
      </c>
      <c r="B1589" s="2" t="s">
        <v>3027</v>
      </c>
      <c r="C1589" s="2" t="s">
        <v>2740</v>
      </c>
      <c r="D1589" s="2" t="s">
        <v>1839</v>
      </c>
      <c r="E1589" s="2" t="s">
        <v>1841</v>
      </c>
      <c r="F1589" s="2">
        <v>0.856738</v>
      </c>
      <c r="G1589" s="2">
        <v>0.39103300000000002</v>
      </c>
      <c r="H1589" s="2">
        <v>-1.1315599999999999</v>
      </c>
    </row>
    <row r="1590" spans="1:8" x14ac:dyDescent="0.2">
      <c r="A1590" s="2" t="s">
        <v>1435</v>
      </c>
      <c r="B1590" s="2" t="s">
        <v>3015</v>
      </c>
      <c r="C1590" s="2" t="s">
        <v>2593</v>
      </c>
      <c r="D1590" s="2" t="s">
        <v>1836</v>
      </c>
      <c r="E1590" s="2" t="s">
        <v>1838</v>
      </c>
      <c r="F1590" s="2">
        <v>1.1201700000000001</v>
      </c>
      <c r="G1590" s="2">
        <v>0.51100199999999996</v>
      </c>
      <c r="H1590" s="2">
        <v>-1.1323099999999999</v>
      </c>
    </row>
    <row r="1591" spans="1:8" x14ac:dyDescent="0.2">
      <c r="A1591" s="2" t="s">
        <v>1262</v>
      </c>
      <c r="B1591" s="2" t="s">
        <v>3045</v>
      </c>
      <c r="C1591" s="2" t="s">
        <v>3015</v>
      </c>
      <c r="D1591" s="2" t="s">
        <v>1836</v>
      </c>
      <c r="E1591" s="2" t="s">
        <v>1838</v>
      </c>
      <c r="F1591" s="2">
        <v>1.7482500000000001</v>
      </c>
      <c r="G1591" s="2">
        <v>0.79729099999999997</v>
      </c>
      <c r="H1591" s="2">
        <v>-1.13273</v>
      </c>
    </row>
    <row r="1592" spans="1:8" x14ac:dyDescent="0.2">
      <c r="A1592" s="2" t="s">
        <v>1393</v>
      </c>
      <c r="B1592" s="2" t="s">
        <v>3364</v>
      </c>
      <c r="C1592" s="2" t="s">
        <v>2571</v>
      </c>
      <c r="D1592" s="2" t="s">
        <v>1836</v>
      </c>
      <c r="E1592" s="2" t="s">
        <v>1838</v>
      </c>
      <c r="F1592" s="2">
        <v>7.8944900000000002</v>
      </c>
      <c r="G1592" s="2">
        <v>3.59613</v>
      </c>
      <c r="H1592" s="2">
        <v>-1.1344000000000001</v>
      </c>
    </row>
    <row r="1593" spans="1:8" x14ac:dyDescent="0.2">
      <c r="A1593" s="2" t="s">
        <v>232</v>
      </c>
      <c r="B1593" s="2" t="s">
        <v>3027</v>
      </c>
      <c r="C1593" s="2" t="s">
        <v>1952</v>
      </c>
      <c r="D1593" s="2" t="s">
        <v>1839</v>
      </c>
      <c r="E1593" s="2" t="s">
        <v>1841</v>
      </c>
      <c r="F1593" s="2">
        <v>6.8137600000000003</v>
      </c>
      <c r="G1593" s="2">
        <v>3.1032299999999999</v>
      </c>
      <c r="H1593" s="2">
        <v>-1.1346799999999999</v>
      </c>
    </row>
    <row r="1594" spans="1:8" x14ac:dyDescent="0.2">
      <c r="A1594" s="2" t="s">
        <v>1200</v>
      </c>
      <c r="B1594" s="2" t="s">
        <v>3015</v>
      </c>
      <c r="C1594" s="2" t="s">
        <v>2424</v>
      </c>
      <c r="D1594" s="2" t="s">
        <v>1836</v>
      </c>
      <c r="E1594" s="2" t="s">
        <v>1838</v>
      </c>
      <c r="F1594" s="2">
        <v>51.781100000000002</v>
      </c>
      <c r="G1594" s="2">
        <v>23.5594</v>
      </c>
      <c r="H1594" s="2">
        <v>-1.1361300000000001</v>
      </c>
    </row>
    <row r="1595" spans="1:8" x14ac:dyDescent="0.2">
      <c r="A1595" s="2" t="s">
        <v>187</v>
      </c>
      <c r="B1595" s="2" t="s">
        <v>3076</v>
      </c>
      <c r="C1595" s="2" t="s">
        <v>1844</v>
      </c>
      <c r="D1595" s="2" t="s">
        <v>1836</v>
      </c>
      <c r="E1595" s="2" t="s">
        <v>1837</v>
      </c>
      <c r="F1595" s="2">
        <v>1.8475999999999999</v>
      </c>
      <c r="G1595" s="2">
        <v>0.84043400000000001</v>
      </c>
      <c r="H1595" s="2">
        <v>-1.1364399999999999</v>
      </c>
    </row>
    <row r="1596" spans="1:8" x14ac:dyDescent="0.2">
      <c r="A1596" s="2" t="s">
        <v>1044</v>
      </c>
      <c r="B1596" s="2" t="s">
        <v>3015</v>
      </c>
      <c r="C1596" s="2" t="s">
        <v>2332</v>
      </c>
      <c r="D1596" s="2" t="s">
        <v>1836</v>
      </c>
      <c r="E1596" s="2" t="s">
        <v>1837</v>
      </c>
      <c r="F1596" s="2">
        <v>0.86277499999999996</v>
      </c>
      <c r="G1596" s="2">
        <v>0.39187699999999998</v>
      </c>
      <c r="H1596" s="2">
        <v>-1.1385799999999999</v>
      </c>
    </row>
    <row r="1597" spans="1:8" x14ac:dyDescent="0.2">
      <c r="A1597" s="2" t="s">
        <v>1615</v>
      </c>
      <c r="B1597" s="2" t="s">
        <v>3182</v>
      </c>
      <c r="C1597" s="2" t="s">
        <v>2778</v>
      </c>
      <c r="D1597" s="2" t="s">
        <v>1839</v>
      </c>
      <c r="E1597" s="2" t="s">
        <v>1841</v>
      </c>
      <c r="F1597" s="2">
        <v>2.6263000000000001</v>
      </c>
      <c r="G1597" s="2">
        <v>1.1926300000000001</v>
      </c>
      <c r="H1597" s="2">
        <v>-1.1388799999999999</v>
      </c>
    </row>
    <row r="1598" spans="1:8" x14ac:dyDescent="0.2">
      <c r="A1598" s="2" t="s">
        <v>1300</v>
      </c>
      <c r="B1598" s="2" t="s">
        <v>3050</v>
      </c>
      <c r="C1598" s="2" t="s">
        <v>2033</v>
      </c>
      <c r="D1598" s="2" t="s">
        <v>1839</v>
      </c>
      <c r="E1598" s="2" t="s">
        <v>1841</v>
      </c>
      <c r="F1598" s="2">
        <v>2.9058199999999998</v>
      </c>
      <c r="G1598" s="2">
        <v>1.3195399999999999</v>
      </c>
      <c r="H1598" s="2">
        <v>-1.1389100000000001</v>
      </c>
    </row>
    <row r="1599" spans="1:8" x14ac:dyDescent="0.2">
      <c r="A1599" s="2" t="s">
        <v>143</v>
      </c>
      <c r="B1599" s="2" t="s">
        <v>3294</v>
      </c>
      <c r="C1599" s="2" t="s">
        <v>2407</v>
      </c>
      <c r="D1599" s="2" t="s">
        <v>1836</v>
      </c>
      <c r="E1599" s="2" t="s">
        <v>1838</v>
      </c>
      <c r="F1599" s="2">
        <v>18.580100000000002</v>
      </c>
      <c r="G1599" s="2">
        <v>8.4327000000000005</v>
      </c>
      <c r="H1599" s="2">
        <v>-1.1396900000000001</v>
      </c>
    </row>
    <row r="1600" spans="1:8" x14ac:dyDescent="0.2">
      <c r="A1600" s="2" t="s">
        <v>1337</v>
      </c>
      <c r="B1600" s="2" t="s">
        <v>3015</v>
      </c>
      <c r="C1600" s="2" t="s">
        <v>2531</v>
      </c>
      <c r="D1600" s="2" t="s">
        <v>1836</v>
      </c>
      <c r="E1600" s="2" t="s">
        <v>1838</v>
      </c>
      <c r="F1600" s="2">
        <v>5.8822299999999998</v>
      </c>
      <c r="G1600" s="2">
        <v>2.6691099999999999</v>
      </c>
      <c r="H1600" s="2">
        <v>-1.14001</v>
      </c>
    </row>
    <row r="1601" spans="1:8" x14ac:dyDescent="0.2">
      <c r="A1601" s="2" t="s">
        <v>706</v>
      </c>
      <c r="B1601" s="2" t="s">
        <v>3194</v>
      </c>
      <c r="C1601" s="2" t="s">
        <v>1847</v>
      </c>
      <c r="D1601" s="2" t="s">
        <v>1836</v>
      </c>
      <c r="E1601" s="2" t="s">
        <v>1837</v>
      </c>
      <c r="F1601" s="2">
        <v>397.41</v>
      </c>
      <c r="G1601" s="2">
        <v>180.297</v>
      </c>
      <c r="H1601" s="2">
        <v>-1.1402600000000001</v>
      </c>
    </row>
    <row r="1602" spans="1:8" x14ac:dyDescent="0.2">
      <c r="A1602" s="2" t="s">
        <v>1229</v>
      </c>
      <c r="B1602" s="2" t="s">
        <v>3058</v>
      </c>
      <c r="C1602" s="2" t="s">
        <v>1908</v>
      </c>
      <c r="D1602" s="2" t="s">
        <v>1836</v>
      </c>
      <c r="E1602" s="2" t="s">
        <v>1838</v>
      </c>
      <c r="F1602" s="2">
        <v>2.9623499999999998</v>
      </c>
      <c r="G1602" s="2">
        <v>1.3436600000000001</v>
      </c>
      <c r="H1602" s="2">
        <v>-1.1405700000000001</v>
      </c>
    </row>
    <row r="1603" spans="1:8" x14ac:dyDescent="0.2">
      <c r="A1603" s="2" t="s">
        <v>1706</v>
      </c>
      <c r="B1603" s="2" t="s">
        <v>3015</v>
      </c>
      <c r="C1603" s="2" t="s">
        <v>2870</v>
      </c>
      <c r="D1603" s="2" t="s">
        <v>1839</v>
      </c>
      <c r="E1603" s="2" t="s">
        <v>1840</v>
      </c>
      <c r="F1603" s="2">
        <v>2.5070199999999998</v>
      </c>
      <c r="G1603" s="2">
        <v>1.1370400000000001</v>
      </c>
      <c r="H1603" s="2">
        <v>-1.1406799999999999</v>
      </c>
    </row>
    <row r="1604" spans="1:8" x14ac:dyDescent="0.2">
      <c r="A1604" s="2" t="s">
        <v>1285</v>
      </c>
      <c r="B1604" s="2" t="s">
        <v>3015</v>
      </c>
      <c r="C1604" s="2" t="s">
        <v>2493</v>
      </c>
      <c r="D1604" s="2" t="s">
        <v>1836</v>
      </c>
      <c r="E1604" s="2" t="s">
        <v>1838</v>
      </c>
      <c r="F1604" s="2">
        <v>8.3954699999999995</v>
      </c>
      <c r="G1604" s="2">
        <v>3.8073399999999999</v>
      </c>
      <c r="H1604" s="2">
        <v>-1.14083</v>
      </c>
    </row>
    <row r="1605" spans="1:8" x14ac:dyDescent="0.2">
      <c r="A1605" s="2" t="s">
        <v>730</v>
      </c>
      <c r="B1605" s="2" t="s">
        <v>3030</v>
      </c>
      <c r="C1605" s="2" t="s">
        <v>1862</v>
      </c>
      <c r="D1605" s="2" t="s">
        <v>1836</v>
      </c>
      <c r="E1605" s="2" t="s">
        <v>1837</v>
      </c>
      <c r="F1605" s="2">
        <v>1.82142</v>
      </c>
      <c r="G1605" s="2">
        <v>0.82530700000000001</v>
      </c>
      <c r="H1605" s="2">
        <v>-1.1420600000000001</v>
      </c>
    </row>
    <row r="1606" spans="1:8" x14ac:dyDescent="0.2">
      <c r="A1606" s="2" t="s">
        <v>317</v>
      </c>
      <c r="B1606" s="2" t="s">
        <v>3112</v>
      </c>
      <c r="C1606" s="2" t="s">
        <v>1992</v>
      </c>
      <c r="D1606" s="2" t="s">
        <v>1836</v>
      </c>
      <c r="E1606" s="2" t="s">
        <v>1837</v>
      </c>
      <c r="F1606" s="2">
        <v>259.18</v>
      </c>
      <c r="G1606" s="2">
        <v>117.413</v>
      </c>
      <c r="H1606" s="2">
        <v>-1.14236</v>
      </c>
    </row>
    <row r="1607" spans="1:8" x14ac:dyDescent="0.2">
      <c r="A1607" s="2" t="s">
        <v>1224</v>
      </c>
      <c r="B1607" s="2" t="s">
        <v>3308</v>
      </c>
      <c r="C1607" s="2" t="s">
        <v>1976</v>
      </c>
      <c r="D1607" s="2" t="s">
        <v>1839</v>
      </c>
      <c r="E1607" s="2" t="s">
        <v>1841</v>
      </c>
      <c r="F1607" s="2">
        <v>5.9515200000000004</v>
      </c>
      <c r="G1607" s="2">
        <v>2.69611</v>
      </c>
      <c r="H1607" s="2">
        <v>-1.14238</v>
      </c>
    </row>
    <row r="1608" spans="1:8" x14ac:dyDescent="0.2">
      <c r="A1608" s="2" t="s">
        <v>241</v>
      </c>
      <c r="B1608" s="2" t="s">
        <v>3015</v>
      </c>
      <c r="C1608" s="2" t="s">
        <v>3016</v>
      </c>
      <c r="D1608" s="2" t="s">
        <v>1836</v>
      </c>
      <c r="E1608" s="2" t="s">
        <v>1837</v>
      </c>
      <c r="F1608" s="2">
        <v>0.80547599999999997</v>
      </c>
      <c r="G1608" s="2">
        <v>0.36484699999999998</v>
      </c>
      <c r="H1608" s="2">
        <v>-1.14255</v>
      </c>
    </row>
    <row r="1609" spans="1:8" x14ac:dyDescent="0.2">
      <c r="A1609" s="2" t="s">
        <v>1204</v>
      </c>
      <c r="B1609" s="2" t="s">
        <v>3302</v>
      </c>
      <c r="C1609" s="2" t="s">
        <v>2426</v>
      </c>
      <c r="D1609" s="2" t="s">
        <v>1836</v>
      </c>
      <c r="E1609" s="2" t="s">
        <v>1838</v>
      </c>
      <c r="F1609" s="2">
        <v>5.5745300000000002</v>
      </c>
      <c r="G1609" s="2">
        <v>2.5244599999999999</v>
      </c>
      <c r="H1609" s="2">
        <v>-1.1428700000000001</v>
      </c>
    </row>
    <row r="1610" spans="1:8" x14ac:dyDescent="0.2">
      <c r="A1610" s="2" t="s">
        <v>832</v>
      </c>
      <c r="B1610" s="2" t="s">
        <v>3015</v>
      </c>
      <c r="C1610" s="2" t="s">
        <v>2892</v>
      </c>
      <c r="D1610" s="2" t="s">
        <v>1839</v>
      </c>
      <c r="E1610" s="2" t="s">
        <v>1841</v>
      </c>
      <c r="F1610" s="2">
        <v>47.9833</v>
      </c>
      <c r="G1610" s="2">
        <v>21.729099999999999</v>
      </c>
      <c r="H1610" s="2">
        <v>-1.1429</v>
      </c>
    </row>
    <row r="1611" spans="1:8" x14ac:dyDescent="0.2">
      <c r="A1611" s="2" t="s">
        <v>144</v>
      </c>
      <c r="B1611" s="2" t="s">
        <v>3059</v>
      </c>
      <c r="C1611" s="2" t="s">
        <v>1847</v>
      </c>
      <c r="D1611" s="2" t="s">
        <v>1836</v>
      </c>
      <c r="E1611" s="2" t="s">
        <v>1837</v>
      </c>
      <c r="F1611" s="2">
        <v>1.72461</v>
      </c>
      <c r="G1611" s="2">
        <v>0.78071199999999996</v>
      </c>
      <c r="H1611" s="2">
        <v>-1.14341</v>
      </c>
    </row>
    <row r="1612" spans="1:8" x14ac:dyDescent="0.2">
      <c r="A1612" s="2" t="s">
        <v>1371</v>
      </c>
      <c r="B1612" s="2" t="s">
        <v>3015</v>
      </c>
      <c r="C1612" s="2" t="s">
        <v>1862</v>
      </c>
      <c r="D1612" s="2" t="s">
        <v>1836</v>
      </c>
      <c r="E1612" s="2" t="s">
        <v>1838</v>
      </c>
      <c r="F1612" s="2">
        <v>1.3326</v>
      </c>
      <c r="G1612" s="2">
        <v>0.60324</v>
      </c>
      <c r="H1612" s="2">
        <v>-1.14344</v>
      </c>
    </row>
    <row r="1613" spans="1:8" x14ac:dyDescent="0.2">
      <c r="A1613" s="2" t="s">
        <v>1553</v>
      </c>
      <c r="B1613" s="2" t="s">
        <v>3015</v>
      </c>
      <c r="C1613" s="2" t="s">
        <v>2705</v>
      </c>
      <c r="D1613" s="2" t="s">
        <v>1839</v>
      </c>
      <c r="E1613" s="2" t="s">
        <v>1840</v>
      </c>
      <c r="F1613" s="2">
        <v>5.8144799999999996</v>
      </c>
      <c r="G1613" s="2">
        <v>2.63171</v>
      </c>
      <c r="H1613" s="2">
        <v>-1.1436500000000001</v>
      </c>
    </row>
    <row r="1614" spans="1:8" x14ac:dyDescent="0.2">
      <c r="A1614" s="2" t="s">
        <v>385</v>
      </c>
      <c r="B1614" s="2" t="s">
        <v>3015</v>
      </c>
      <c r="C1614" s="2" t="s">
        <v>2020</v>
      </c>
      <c r="D1614" s="2" t="s">
        <v>1839</v>
      </c>
      <c r="E1614" s="2" t="s">
        <v>1841</v>
      </c>
      <c r="F1614" s="2">
        <v>1.10083</v>
      </c>
      <c r="G1614" s="2">
        <v>0.49810199999999999</v>
      </c>
      <c r="H1614" s="2">
        <v>-1.14408</v>
      </c>
    </row>
    <row r="1615" spans="1:8" x14ac:dyDescent="0.2">
      <c r="A1615" s="2" t="s">
        <v>251</v>
      </c>
      <c r="B1615" s="2" t="s">
        <v>3015</v>
      </c>
      <c r="C1615" s="2" t="s">
        <v>1963</v>
      </c>
      <c r="D1615" s="2" t="s">
        <v>1836</v>
      </c>
      <c r="E1615" s="2" t="s">
        <v>1837</v>
      </c>
      <c r="F1615" s="2">
        <v>10.2959</v>
      </c>
      <c r="G1615" s="2">
        <v>4.6576399999999998</v>
      </c>
      <c r="H1615" s="2">
        <v>-1.1444000000000001</v>
      </c>
    </row>
    <row r="1616" spans="1:8" x14ac:dyDescent="0.2">
      <c r="A1616" s="2" t="s">
        <v>379</v>
      </c>
      <c r="B1616" s="2" t="s">
        <v>3129</v>
      </c>
      <c r="C1616" s="2" t="s">
        <v>2019</v>
      </c>
      <c r="D1616" s="2" t="s">
        <v>1836</v>
      </c>
      <c r="E1616" s="2" t="s">
        <v>1837</v>
      </c>
      <c r="F1616" s="2">
        <v>2.3631000000000002</v>
      </c>
      <c r="G1616" s="2">
        <v>1.06863</v>
      </c>
      <c r="H1616" s="2">
        <v>-1.1449199999999999</v>
      </c>
    </row>
    <row r="1617" spans="1:8" x14ac:dyDescent="0.2">
      <c r="A1617" s="2" t="s">
        <v>460</v>
      </c>
      <c r="B1617" s="2" t="s">
        <v>3015</v>
      </c>
      <c r="C1617" s="2" t="s">
        <v>3016</v>
      </c>
      <c r="D1617" s="2" t="s">
        <v>1836</v>
      </c>
      <c r="E1617" s="2" t="s">
        <v>1838</v>
      </c>
      <c r="F1617" s="2">
        <v>28.5153</v>
      </c>
      <c r="G1617" s="2">
        <v>12.8934</v>
      </c>
      <c r="H1617" s="2">
        <v>-1.1451</v>
      </c>
    </row>
    <row r="1618" spans="1:8" x14ac:dyDescent="0.2">
      <c r="A1618" s="2" t="s">
        <v>872</v>
      </c>
      <c r="B1618" s="2" t="s">
        <v>3015</v>
      </c>
      <c r="C1618" s="2" t="s">
        <v>3015</v>
      </c>
      <c r="D1618" s="2" t="s">
        <v>1836</v>
      </c>
      <c r="E1618" s="2" t="s">
        <v>1837</v>
      </c>
      <c r="F1618" s="2">
        <v>380.42500000000001</v>
      </c>
      <c r="G1618" s="2">
        <v>171.97900000000001</v>
      </c>
      <c r="H1618" s="2">
        <v>-1.1453800000000001</v>
      </c>
    </row>
    <row r="1619" spans="1:8" x14ac:dyDescent="0.2">
      <c r="A1619" s="2" t="s">
        <v>745</v>
      </c>
      <c r="B1619" s="2" t="s">
        <v>3458</v>
      </c>
      <c r="C1619" s="2" t="s">
        <v>2864</v>
      </c>
      <c r="D1619" s="2" t="s">
        <v>1839</v>
      </c>
      <c r="E1619" s="2" t="s">
        <v>1841</v>
      </c>
      <c r="F1619" s="2">
        <v>2.75488</v>
      </c>
      <c r="G1619" s="2">
        <v>1.2444200000000001</v>
      </c>
      <c r="H1619" s="2">
        <v>-1.14652</v>
      </c>
    </row>
    <row r="1620" spans="1:8" x14ac:dyDescent="0.2">
      <c r="A1620" s="2" t="s">
        <v>766</v>
      </c>
      <c r="B1620" s="2" t="s">
        <v>3015</v>
      </c>
      <c r="C1620" s="2" t="s">
        <v>2195</v>
      </c>
      <c r="D1620" s="2" t="s">
        <v>1836</v>
      </c>
      <c r="E1620" s="2" t="s">
        <v>1837</v>
      </c>
      <c r="F1620" s="2">
        <v>2.3186300000000002</v>
      </c>
      <c r="G1620" s="2">
        <v>1.04728</v>
      </c>
      <c r="H1620" s="2">
        <v>-1.14663</v>
      </c>
    </row>
    <row r="1621" spans="1:8" x14ac:dyDescent="0.2">
      <c r="A1621" s="2" t="s">
        <v>1169</v>
      </c>
      <c r="B1621" s="2" t="s">
        <v>3289</v>
      </c>
      <c r="C1621" s="2" t="s">
        <v>2399</v>
      </c>
      <c r="D1621" s="2" t="s">
        <v>1836</v>
      </c>
      <c r="E1621" s="2" t="s">
        <v>1838</v>
      </c>
      <c r="F1621" s="2">
        <v>8.8560099999999995</v>
      </c>
      <c r="G1621" s="2">
        <v>3.99925</v>
      </c>
      <c r="H1621" s="2">
        <v>-1.14693</v>
      </c>
    </row>
    <row r="1622" spans="1:8" x14ac:dyDescent="0.2">
      <c r="A1622" s="2" t="s">
        <v>1252</v>
      </c>
      <c r="B1622" s="2" t="s">
        <v>3015</v>
      </c>
      <c r="C1622" s="2" t="s">
        <v>2459</v>
      </c>
      <c r="D1622" s="2" t="s">
        <v>1836</v>
      </c>
      <c r="E1622" s="2" t="s">
        <v>1838</v>
      </c>
      <c r="F1622" s="2">
        <v>1.8704099999999999</v>
      </c>
      <c r="G1622" s="2">
        <v>0.84445999999999999</v>
      </c>
      <c r="H1622" s="2">
        <v>-1.1472599999999999</v>
      </c>
    </row>
    <row r="1623" spans="1:8" x14ac:dyDescent="0.2">
      <c r="A1623" s="2" t="s">
        <v>1644</v>
      </c>
      <c r="B1623" s="2" t="s">
        <v>3440</v>
      </c>
      <c r="C1623" s="2" t="s">
        <v>1847</v>
      </c>
      <c r="D1623" s="2" t="s">
        <v>1839</v>
      </c>
      <c r="E1623" s="2" t="s">
        <v>1841</v>
      </c>
      <c r="F1623" s="2">
        <v>4.4730800000000004</v>
      </c>
      <c r="G1623" s="2">
        <v>2.01952</v>
      </c>
      <c r="H1623" s="2">
        <v>-1.1472599999999999</v>
      </c>
    </row>
    <row r="1624" spans="1:8" x14ac:dyDescent="0.2">
      <c r="A1624" s="2" t="s">
        <v>1111</v>
      </c>
      <c r="B1624" s="2" t="s">
        <v>3273</v>
      </c>
      <c r="C1624" s="2" t="s">
        <v>1847</v>
      </c>
      <c r="D1624" s="2" t="s">
        <v>1836</v>
      </c>
      <c r="E1624" s="2" t="s">
        <v>1837</v>
      </c>
      <c r="F1624" s="2">
        <v>5.8217100000000004</v>
      </c>
      <c r="G1624" s="2">
        <v>2.6270899999999999</v>
      </c>
      <c r="H1624" s="2">
        <v>-1.14798</v>
      </c>
    </row>
    <row r="1625" spans="1:8" x14ac:dyDescent="0.2">
      <c r="A1625" s="2" t="s">
        <v>956</v>
      </c>
      <c r="B1625" s="2" t="s">
        <v>3062</v>
      </c>
      <c r="C1625" s="2" t="s">
        <v>2290</v>
      </c>
      <c r="D1625" s="2" t="s">
        <v>1836</v>
      </c>
      <c r="E1625" s="2" t="s">
        <v>1837</v>
      </c>
      <c r="F1625" s="2">
        <v>4.8975200000000001</v>
      </c>
      <c r="G1625" s="2">
        <v>2.2092700000000001</v>
      </c>
      <c r="H1625" s="2">
        <v>-1.1484799999999999</v>
      </c>
    </row>
    <row r="1626" spans="1:8" x14ac:dyDescent="0.2">
      <c r="A1626" s="2" t="s">
        <v>796</v>
      </c>
      <c r="B1626" s="2" t="s">
        <v>3015</v>
      </c>
      <c r="C1626" s="2" t="s">
        <v>2204</v>
      </c>
      <c r="D1626" s="2" t="s">
        <v>1836</v>
      </c>
      <c r="E1626" s="2" t="s">
        <v>1837</v>
      </c>
      <c r="F1626" s="2">
        <v>1.7680400000000001</v>
      </c>
      <c r="G1626" s="2">
        <v>0.79727700000000001</v>
      </c>
      <c r="H1626" s="2">
        <v>-1.149</v>
      </c>
    </row>
    <row r="1627" spans="1:8" x14ac:dyDescent="0.2">
      <c r="A1627" s="2" t="s">
        <v>1309</v>
      </c>
      <c r="B1627" s="2" t="s">
        <v>3032</v>
      </c>
      <c r="C1627" s="2" t="s">
        <v>1847</v>
      </c>
      <c r="D1627" s="2" t="s">
        <v>1839</v>
      </c>
      <c r="E1627" s="2" t="s">
        <v>1840</v>
      </c>
      <c r="F1627" s="2">
        <v>1.8674999999999999</v>
      </c>
      <c r="G1627" s="2">
        <v>0.84190399999999999</v>
      </c>
      <c r="H1627" s="2">
        <v>-1.1493800000000001</v>
      </c>
    </row>
    <row r="1628" spans="1:8" x14ac:dyDescent="0.2">
      <c r="A1628" s="2" t="s">
        <v>501</v>
      </c>
      <c r="B1628" s="2" t="s">
        <v>3015</v>
      </c>
      <c r="C1628" s="2" t="s">
        <v>2488</v>
      </c>
      <c r="D1628" s="2" t="s">
        <v>1836</v>
      </c>
      <c r="E1628" s="2" t="s">
        <v>1838</v>
      </c>
      <c r="F1628" s="2">
        <v>36.762300000000003</v>
      </c>
      <c r="G1628" s="2">
        <v>16.568200000000001</v>
      </c>
      <c r="H1628" s="2">
        <v>-1.14981</v>
      </c>
    </row>
    <row r="1629" spans="1:8" x14ac:dyDescent="0.2">
      <c r="A1629" s="2" t="s">
        <v>995</v>
      </c>
      <c r="B1629" s="2" t="s">
        <v>3206</v>
      </c>
      <c r="C1629" s="2" t="s">
        <v>2194</v>
      </c>
      <c r="D1629" s="2" t="s">
        <v>1836</v>
      </c>
      <c r="E1629" s="2" t="s">
        <v>1837</v>
      </c>
      <c r="F1629" s="2">
        <v>19.090199999999999</v>
      </c>
      <c r="G1629" s="2">
        <v>8.6034900000000007</v>
      </c>
      <c r="H1629" s="2">
        <v>-1.14984</v>
      </c>
    </row>
    <row r="1630" spans="1:8" x14ac:dyDescent="0.2">
      <c r="A1630" s="2" t="s">
        <v>781</v>
      </c>
      <c r="B1630" s="2" t="s">
        <v>3168</v>
      </c>
      <c r="C1630" s="2" t="s">
        <v>2198</v>
      </c>
      <c r="D1630" s="2" t="s">
        <v>1836</v>
      </c>
      <c r="E1630" s="2" t="s">
        <v>1837</v>
      </c>
      <c r="F1630" s="2">
        <v>7.5402300000000002</v>
      </c>
      <c r="G1630" s="2">
        <v>3.3925800000000002</v>
      </c>
      <c r="H1630" s="2">
        <v>-1.1522300000000001</v>
      </c>
    </row>
    <row r="1631" spans="1:8" x14ac:dyDescent="0.2">
      <c r="A1631" s="2" t="s">
        <v>51</v>
      </c>
      <c r="B1631" s="2" t="s">
        <v>3037</v>
      </c>
      <c r="C1631" s="2" t="s">
        <v>1866</v>
      </c>
      <c r="D1631" s="2" t="s">
        <v>1836</v>
      </c>
      <c r="E1631" s="2" t="s">
        <v>1837</v>
      </c>
      <c r="F1631" s="2">
        <v>4.7065599999999996</v>
      </c>
      <c r="G1631" s="2">
        <v>2.1154799999999998</v>
      </c>
      <c r="H1631" s="2">
        <v>-1.1536900000000001</v>
      </c>
    </row>
    <row r="1632" spans="1:8" x14ac:dyDescent="0.2">
      <c r="A1632" s="2" t="s">
        <v>617</v>
      </c>
      <c r="B1632" s="2" t="s">
        <v>3015</v>
      </c>
      <c r="C1632" s="2" t="s">
        <v>2131</v>
      </c>
      <c r="D1632" s="2" t="s">
        <v>1836</v>
      </c>
      <c r="E1632" s="2" t="s">
        <v>1837</v>
      </c>
      <c r="F1632" s="2">
        <v>2.7395299999999998</v>
      </c>
      <c r="G1632" s="2">
        <v>1.2310099999999999</v>
      </c>
      <c r="H1632" s="2">
        <v>-1.1540900000000001</v>
      </c>
    </row>
    <row r="1633" spans="1:8" x14ac:dyDescent="0.2">
      <c r="A1633" s="2" t="s">
        <v>658</v>
      </c>
      <c r="B1633" s="2" t="s">
        <v>3015</v>
      </c>
      <c r="C1633" s="2" t="s">
        <v>2151</v>
      </c>
      <c r="D1633" s="2" t="s">
        <v>1839</v>
      </c>
      <c r="E1633" s="2" t="s">
        <v>1841</v>
      </c>
      <c r="F1633" s="2">
        <v>21.075299999999999</v>
      </c>
      <c r="G1633" s="2">
        <v>9.4651399999999999</v>
      </c>
      <c r="H1633" s="2">
        <v>-1.15486</v>
      </c>
    </row>
    <row r="1634" spans="1:8" x14ac:dyDescent="0.2">
      <c r="A1634" s="2" t="s">
        <v>48</v>
      </c>
      <c r="B1634" s="2" t="s">
        <v>3015</v>
      </c>
      <c r="C1634" s="2" t="s">
        <v>1865</v>
      </c>
      <c r="D1634" s="2" t="s">
        <v>1836</v>
      </c>
      <c r="E1634" s="2" t="s">
        <v>1837</v>
      </c>
      <c r="F1634" s="2">
        <v>39.959400000000002</v>
      </c>
      <c r="G1634" s="2">
        <v>17.9422</v>
      </c>
      <c r="H1634" s="2">
        <v>-1.1551800000000001</v>
      </c>
    </row>
    <row r="1635" spans="1:8" x14ac:dyDescent="0.2">
      <c r="A1635" s="2" t="s">
        <v>885</v>
      </c>
      <c r="B1635" s="2" t="s">
        <v>3015</v>
      </c>
      <c r="C1635" s="2" t="s">
        <v>2455</v>
      </c>
      <c r="D1635" s="2" t="s">
        <v>1839</v>
      </c>
      <c r="E1635" s="2" t="s">
        <v>1840</v>
      </c>
      <c r="F1635" s="2">
        <v>27.026499999999999</v>
      </c>
      <c r="G1635" s="2">
        <v>12.1327</v>
      </c>
      <c r="H1635" s="2">
        <v>-1.1554800000000001</v>
      </c>
    </row>
    <row r="1636" spans="1:8" x14ac:dyDescent="0.2">
      <c r="A1636" s="2" t="s">
        <v>526</v>
      </c>
      <c r="B1636" s="2" t="s">
        <v>3185</v>
      </c>
      <c r="C1636" s="2" t="s">
        <v>2786</v>
      </c>
      <c r="D1636" s="2" t="s">
        <v>1839</v>
      </c>
      <c r="E1636" s="2" t="s">
        <v>1841</v>
      </c>
      <c r="F1636" s="2">
        <v>5.89053</v>
      </c>
      <c r="G1636" s="2">
        <v>2.6430699999999998</v>
      </c>
      <c r="H1636" s="2">
        <v>-1.15618</v>
      </c>
    </row>
    <row r="1637" spans="1:8" x14ac:dyDescent="0.2">
      <c r="A1637" s="2" t="s">
        <v>434</v>
      </c>
      <c r="B1637" s="2" t="s">
        <v>3015</v>
      </c>
      <c r="C1637" s="2" t="s">
        <v>2478</v>
      </c>
      <c r="D1637" s="2" t="s">
        <v>1836</v>
      </c>
      <c r="E1637" s="2" t="s">
        <v>1838</v>
      </c>
      <c r="F1637" s="2">
        <v>2.4527299999999999</v>
      </c>
      <c r="G1637" s="2">
        <v>1.1003400000000001</v>
      </c>
      <c r="H1637" s="2">
        <v>-1.1564300000000001</v>
      </c>
    </row>
    <row r="1638" spans="1:8" x14ac:dyDescent="0.2">
      <c r="A1638" s="2" t="s">
        <v>122</v>
      </c>
      <c r="B1638" s="2" t="s">
        <v>3015</v>
      </c>
      <c r="C1638" s="2" t="s">
        <v>1898</v>
      </c>
      <c r="D1638" s="2" t="s">
        <v>1836</v>
      </c>
      <c r="E1638" s="2" t="s">
        <v>1837</v>
      </c>
      <c r="F1638" s="2">
        <v>7.9776300000000004</v>
      </c>
      <c r="G1638" s="2">
        <v>3.5743900000000002</v>
      </c>
      <c r="H1638" s="2">
        <v>-1.1582600000000001</v>
      </c>
    </row>
    <row r="1639" spans="1:8" x14ac:dyDescent="0.2">
      <c r="A1639" s="2" t="s">
        <v>274</v>
      </c>
      <c r="B1639" s="2" t="s">
        <v>3015</v>
      </c>
      <c r="C1639" s="2" t="s">
        <v>3015</v>
      </c>
      <c r="D1639" s="2" t="s">
        <v>1836</v>
      </c>
      <c r="E1639" s="2" t="s">
        <v>1838</v>
      </c>
      <c r="F1639" s="2">
        <v>127.738</v>
      </c>
      <c r="G1639" s="2">
        <v>57.224800000000002</v>
      </c>
      <c r="H1639" s="2">
        <v>-1.1584700000000001</v>
      </c>
    </row>
    <row r="1640" spans="1:8" x14ac:dyDescent="0.2">
      <c r="A1640" s="2" t="s">
        <v>1395</v>
      </c>
      <c r="B1640" s="2" t="s">
        <v>3087</v>
      </c>
      <c r="C1640" s="2" t="s">
        <v>2572</v>
      </c>
      <c r="D1640" s="2" t="s">
        <v>1839</v>
      </c>
      <c r="E1640" s="2" t="s">
        <v>1841</v>
      </c>
      <c r="F1640" s="2">
        <v>299.43299999999999</v>
      </c>
      <c r="G1640" s="2">
        <v>134.01900000000001</v>
      </c>
      <c r="H1640" s="2">
        <v>-1.1597999999999999</v>
      </c>
    </row>
    <row r="1641" spans="1:8" x14ac:dyDescent="0.2">
      <c r="A1641" s="2" t="s">
        <v>244</v>
      </c>
      <c r="B1641" s="2" t="s">
        <v>3027</v>
      </c>
      <c r="C1641" s="2" t="s">
        <v>2986</v>
      </c>
      <c r="D1641" s="2" t="s">
        <v>1839</v>
      </c>
      <c r="E1641" s="2" t="s">
        <v>1840</v>
      </c>
      <c r="F1641" s="2">
        <v>18.9876</v>
      </c>
      <c r="G1641" s="2">
        <v>8.4951000000000008</v>
      </c>
      <c r="H1641" s="2">
        <v>-1.1603600000000001</v>
      </c>
    </row>
    <row r="1642" spans="1:8" x14ac:dyDescent="0.2">
      <c r="A1642" s="2" t="s">
        <v>704</v>
      </c>
      <c r="B1642" s="2" t="s">
        <v>3015</v>
      </c>
      <c r="C1642" s="2" t="s">
        <v>2853</v>
      </c>
      <c r="D1642" s="2" t="s">
        <v>1839</v>
      </c>
      <c r="E1642" s="2" t="s">
        <v>1840</v>
      </c>
      <c r="F1642" s="2">
        <v>3.5814599999999999</v>
      </c>
      <c r="G1642" s="2">
        <v>1.6023099999999999</v>
      </c>
      <c r="H1642" s="2">
        <v>-1.16039</v>
      </c>
    </row>
    <row r="1643" spans="1:8" x14ac:dyDescent="0.2">
      <c r="A1643" s="2" t="s">
        <v>1581</v>
      </c>
      <c r="B1643" s="2" t="s">
        <v>3301</v>
      </c>
      <c r="C1643" s="2" t="s">
        <v>2737</v>
      </c>
      <c r="D1643" s="2" t="s">
        <v>1839</v>
      </c>
      <c r="E1643" s="2" t="s">
        <v>1840</v>
      </c>
      <c r="F1643" s="2">
        <v>1.28501</v>
      </c>
      <c r="G1643" s="2">
        <v>0.57482800000000001</v>
      </c>
      <c r="H1643" s="2">
        <v>-1.1605799999999999</v>
      </c>
    </row>
    <row r="1644" spans="1:8" x14ac:dyDescent="0.2">
      <c r="A1644" s="2" t="s">
        <v>235</v>
      </c>
      <c r="B1644" s="2" t="s">
        <v>3015</v>
      </c>
      <c r="C1644" s="2" t="s">
        <v>2687</v>
      </c>
      <c r="D1644" s="2" t="s">
        <v>1839</v>
      </c>
      <c r="E1644" s="2" t="s">
        <v>1841</v>
      </c>
      <c r="F1644" s="2">
        <v>41.781199999999998</v>
      </c>
      <c r="G1644" s="2">
        <v>18.682200000000002</v>
      </c>
      <c r="H1644" s="2">
        <v>-1.1611899999999999</v>
      </c>
    </row>
    <row r="1645" spans="1:8" x14ac:dyDescent="0.2">
      <c r="A1645" s="2" t="s">
        <v>354</v>
      </c>
      <c r="B1645" s="2" t="s">
        <v>3038</v>
      </c>
      <c r="C1645" s="2" t="s">
        <v>2008</v>
      </c>
      <c r="D1645" s="2" t="s">
        <v>1836</v>
      </c>
      <c r="E1645" s="2" t="s">
        <v>1837</v>
      </c>
      <c r="F1645" s="2">
        <v>1.9012500000000001</v>
      </c>
      <c r="G1645" s="2">
        <v>0.84974000000000005</v>
      </c>
      <c r="H1645" s="2">
        <v>-1.1618599999999999</v>
      </c>
    </row>
    <row r="1646" spans="1:8" x14ac:dyDescent="0.2">
      <c r="A1646" s="2" t="s">
        <v>443</v>
      </c>
      <c r="B1646" s="2" t="s">
        <v>3139</v>
      </c>
      <c r="C1646" s="2" t="s">
        <v>2048</v>
      </c>
      <c r="D1646" s="2" t="s">
        <v>1836</v>
      </c>
      <c r="E1646" s="2" t="s">
        <v>1838</v>
      </c>
      <c r="F1646" s="2">
        <v>26.4116</v>
      </c>
      <c r="G1646" s="2">
        <v>11.8028</v>
      </c>
      <c r="H1646" s="2">
        <v>-1.16204</v>
      </c>
    </row>
    <row r="1647" spans="1:8" x14ac:dyDescent="0.2">
      <c r="A1647" s="2" t="s">
        <v>978</v>
      </c>
      <c r="B1647" s="2" t="s">
        <v>3015</v>
      </c>
      <c r="C1647" s="2" t="s">
        <v>2034</v>
      </c>
      <c r="D1647" s="2" t="s">
        <v>1836</v>
      </c>
      <c r="E1647" s="2" t="s">
        <v>1838</v>
      </c>
      <c r="F1647" s="2">
        <v>11.4526</v>
      </c>
      <c r="G1647" s="2">
        <v>5.1172199999999997</v>
      </c>
      <c r="H1647" s="2">
        <v>-1.1622399999999999</v>
      </c>
    </row>
    <row r="1648" spans="1:8" x14ac:dyDescent="0.2">
      <c r="A1648" s="2" t="s">
        <v>604</v>
      </c>
      <c r="B1648" s="2" t="s">
        <v>3174</v>
      </c>
      <c r="C1648" s="2" t="s">
        <v>2125</v>
      </c>
      <c r="D1648" s="2" t="s">
        <v>1836</v>
      </c>
      <c r="E1648" s="2" t="s">
        <v>1837</v>
      </c>
      <c r="F1648" s="2">
        <v>1.4215899999999999</v>
      </c>
      <c r="G1648" s="2">
        <v>0.635162</v>
      </c>
      <c r="H1648" s="2">
        <v>-1.16231</v>
      </c>
    </row>
    <row r="1649" spans="1:8" x14ac:dyDescent="0.2">
      <c r="A1649" s="2" t="s">
        <v>1554</v>
      </c>
      <c r="B1649" s="2" t="s">
        <v>3015</v>
      </c>
      <c r="C1649" s="2" t="s">
        <v>3016</v>
      </c>
      <c r="D1649" s="2" t="s">
        <v>1839</v>
      </c>
      <c r="E1649" s="2" t="s">
        <v>1841</v>
      </c>
      <c r="F1649" s="2">
        <v>110.721</v>
      </c>
      <c r="G1649" s="2">
        <v>49.467599999999997</v>
      </c>
      <c r="H1649" s="2">
        <v>-1.16238</v>
      </c>
    </row>
    <row r="1650" spans="1:8" x14ac:dyDescent="0.2">
      <c r="A1650" s="2" t="s">
        <v>152</v>
      </c>
      <c r="B1650" s="2" t="s">
        <v>3015</v>
      </c>
      <c r="C1650" s="2" t="s">
        <v>3016</v>
      </c>
      <c r="D1650" s="2" t="s">
        <v>1839</v>
      </c>
      <c r="E1650" s="2" t="s">
        <v>1841</v>
      </c>
      <c r="F1650" s="2">
        <v>1.4691000000000001</v>
      </c>
      <c r="G1650" s="2">
        <v>0.65602499999999997</v>
      </c>
      <c r="H1650" s="2">
        <v>-1.1631100000000001</v>
      </c>
    </row>
    <row r="1651" spans="1:8" x14ac:dyDescent="0.2">
      <c r="A1651" s="2" t="s">
        <v>240</v>
      </c>
      <c r="B1651" s="2" t="s">
        <v>3025</v>
      </c>
      <c r="C1651" s="2" t="s">
        <v>2427</v>
      </c>
      <c r="D1651" s="2" t="s">
        <v>1836</v>
      </c>
      <c r="E1651" s="2" t="s">
        <v>1838</v>
      </c>
      <c r="F1651" s="2">
        <v>14.027100000000001</v>
      </c>
      <c r="G1651" s="2">
        <v>6.2629099999999998</v>
      </c>
      <c r="H1651" s="2">
        <v>-1.1633100000000001</v>
      </c>
    </row>
    <row r="1652" spans="1:8" x14ac:dyDescent="0.2">
      <c r="A1652" s="2" t="s">
        <v>354</v>
      </c>
      <c r="B1652" s="2" t="s">
        <v>3038</v>
      </c>
      <c r="C1652" s="2" t="s">
        <v>2008</v>
      </c>
      <c r="D1652" s="2" t="s">
        <v>1836</v>
      </c>
      <c r="E1652" s="2" t="s">
        <v>1838</v>
      </c>
      <c r="F1652" s="2">
        <v>1.9012500000000001</v>
      </c>
      <c r="G1652" s="2">
        <v>0.848495</v>
      </c>
      <c r="H1652" s="2">
        <v>-1.1639699999999999</v>
      </c>
    </row>
    <row r="1653" spans="1:8" x14ac:dyDescent="0.2">
      <c r="A1653" s="2" t="s">
        <v>1638</v>
      </c>
      <c r="B1653" s="2" t="s">
        <v>3155</v>
      </c>
      <c r="C1653" s="2" t="s">
        <v>2802</v>
      </c>
      <c r="D1653" s="2" t="s">
        <v>1839</v>
      </c>
      <c r="E1653" s="2" t="s">
        <v>1841</v>
      </c>
      <c r="F1653" s="2">
        <v>5.3278400000000001</v>
      </c>
      <c r="G1653" s="2">
        <v>2.3774199999999999</v>
      </c>
      <c r="H1653" s="2">
        <v>-1.16415</v>
      </c>
    </row>
    <row r="1654" spans="1:8" x14ac:dyDescent="0.2">
      <c r="A1654" s="2" t="s">
        <v>1321</v>
      </c>
      <c r="B1654" s="2" t="s">
        <v>3015</v>
      </c>
      <c r="C1654" s="2" t="s">
        <v>2519</v>
      </c>
      <c r="D1654" s="2" t="s">
        <v>1836</v>
      </c>
      <c r="E1654" s="2" t="s">
        <v>1838</v>
      </c>
      <c r="F1654" s="2">
        <v>1.77135</v>
      </c>
      <c r="G1654" s="2">
        <v>0.790354</v>
      </c>
      <c r="H1654" s="2">
        <v>-1.16428</v>
      </c>
    </row>
    <row r="1655" spans="1:8" x14ac:dyDescent="0.2">
      <c r="A1655" s="2" t="s">
        <v>689</v>
      </c>
      <c r="B1655" s="2" t="s">
        <v>3133</v>
      </c>
      <c r="C1655" s="2" t="s">
        <v>2031</v>
      </c>
      <c r="D1655" s="2" t="s">
        <v>1836</v>
      </c>
      <c r="E1655" s="2" t="s">
        <v>1837</v>
      </c>
      <c r="F1655" s="2">
        <v>25.295500000000001</v>
      </c>
      <c r="G1655" s="2">
        <v>11.281499999999999</v>
      </c>
      <c r="H1655" s="2">
        <v>-1.16493</v>
      </c>
    </row>
    <row r="1656" spans="1:8" x14ac:dyDescent="0.2">
      <c r="A1656" s="2" t="s">
        <v>1718</v>
      </c>
      <c r="B1656" s="2" t="s">
        <v>3015</v>
      </c>
      <c r="C1656" s="2" t="s">
        <v>2881</v>
      </c>
      <c r="D1656" s="2" t="s">
        <v>1839</v>
      </c>
      <c r="E1656" s="2" t="s">
        <v>1841</v>
      </c>
      <c r="F1656" s="2">
        <v>4.1208799999999997</v>
      </c>
      <c r="G1656" s="2">
        <v>1.8368899999999999</v>
      </c>
      <c r="H1656" s="2">
        <v>-1.1656899999999999</v>
      </c>
    </row>
    <row r="1657" spans="1:8" x14ac:dyDescent="0.2">
      <c r="A1657" s="2" t="s">
        <v>715</v>
      </c>
      <c r="B1657" s="2" t="s">
        <v>3196</v>
      </c>
      <c r="C1657" s="2" t="s">
        <v>2176</v>
      </c>
      <c r="D1657" s="2" t="s">
        <v>1836</v>
      </c>
      <c r="E1657" s="2" t="s">
        <v>1837</v>
      </c>
      <c r="F1657" s="2">
        <v>8.7713300000000007</v>
      </c>
      <c r="G1657" s="2">
        <v>3.9013399999999998</v>
      </c>
      <c r="H1657" s="2">
        <v>-1.16883</v>
      </c>
    </row>
    <row r="1658" spans="1:8" x14ac:dyDescent="0.2">
      <c r="A1658" s="2" t="s">
        <v>325</v>
      </c>
      <c r="B1658" s="2" t="s">
        <v>3418</v>
      </c>
      <c r="C1658" s="2" t="s">
        <v>2113</v>
      </c>
      <c r="D1658" s="2" t="s">
        <v>1839</v>
      </c>
      <c r="E1658" s="2" t="s">
        <v>1841</v>
      </c>
      <c r="F1658" s="2">
        <v>2.67693</v>
      </c>
      <c r="G1658" s="2">
        <v>1.1890799999999999</v>
      </c>
      <c r="H1658" s="2">
        <v>-1.1707399999999999</v>
      </c>
    </row>
    <row r="1659" spans="1:8" x14ac:dyDescent="0.2">
      <c r="A1659" s="2" t="s">
        <v>835</v>
      </c>
      <c r="B1659" s="2" t="s">
        <v>3218</v>
      </c>
      <c r="C1659" s="2" t="s">
        <v>2225</v>
      </c>
      <c r="D1659" s="2" t="s">
        <v>1836</v>
      </c>
      <c r="E1659" s="2" t="s">
        <v>1837</v>
      </c>
      <c r="F1659" s="2">
        <v>203.636</v>
      </c>
      <c r="G1659" s="2">
        <v>90.444699999999997</v>
      </c>
      <c r="H1659" s="2">
        <v>-1.1708799999999999</v>
      </c>
    </row>
    <row r="1660" spans="1:8" x14ac:dyDescent="0.2">
      <c r="A1660" s="2" t="s">
        <v>93</v>
      </c>
      <c r="B1660" s="2" t="s">
        <v>3015</v>
      </c>
      <c r="C1660" s="2" t="s">
        <v>1844</v>
      </c>
      <c r="D1660" s="2" t="s">
        <v>1836</v>
      </c>
      <c r="E1660" s="2" t="s">
        <v>1838</v>
      </c>
      <c r="F1660" s="2">
        <v>1.9734700000000001</v>
      </c>
      <c r="G1660" s="2">
        <v>0.87651599999999996</v>
      </c>
      <c r="H1660" s="2">
        <v>-1.1708799999999999</v>
      </c>
    </row>
    <row r="1661" spans="1:8" x14ac:dyDescent="0.2">
      <c r="A1661" s="2" t="s">
        <v>1157</v>
      </c>
      <c r="B1661" s="2" t="s">
        <v>3286</v>
      </c>
      <c r="C1661" s="2" t="s">
        <v>2391</v>
      </c>
      <c r="D1661" s="2" t="s">
        <v>1836</v>
      </c>
      <c r="E1661" s="2" t="s">
        <v>1838</v>
      </c>
      <c r="F1661" s="2">
        <v>12.100899999999999</v>
      </c>
      <c r="G1661" s="2">
        <v>5.3736699999999997</v>
      </c>
      <c r="H1661" s="2">
        <v>-1.1711400000000001</v>
      </c>
    </row>
    <row r="1662" spans="1:8" x14ac:dyDescent="0.2">
      <c r="A1662" s="2" t="s">
        <v>220</v>
      </c>
      <c r="B1662" s="2" t="s">
        <v>3301</v>
      </c>
      <c r="C1662" s="2" t="e">
        <v>#NAME?</v>
      </c>
      <c r="D1662" s="2" t="s">
        <v>1836</v>
      </c>
      <c r="E1662" s="2" t="s">
        <v>1838</v>
      </c>
      <c r="F1662" s="2">
        <v>8.1850299999999994</v>
      </c>
      <c r="G1662" s="2">
        <v>3.6345999999999998</v>
      </c>
      <c r="H1662" s="2">
        <v>-1.17119</v>
      </c>
    </row>
    <row r="1663" spans="1:8" x14ac:dyDescent="0.2">
      <c r="A1663" s="2" t="s">
        <v>620</v>
      </c>
      <c r="B1663" s="2" t="s">
        <v>3177</v>
      </c>
      <c r="C1663" s="2" t="s">
        <v>1882</v>
      </c>
      <c r="D1663" s="2" t="s">
        <v>1836</v>
      </c>
      <c r="E1663" s="2" t="s">
        <v>1837</v>
      </c>
      <c r="F1663" s="2">
        <v>4.0190200000000003</v>
      </c>
      <c r="G1663" s="2">
        <v>1.78376</v>
      </c>
      <c r="H1663" s="2">
        <v>-1.1719200000000001</v>
      </c>
    </row>
    <row r="1664" spans="1:8" x14ac:dyDescent="0.2">
      <c r="A1664" s="2" t="s">
        <v>524</v>
      </c>
      <c r="B1664" s="2" t="s">
        <v>3015</v>
      </c>
      <c r="C1664" s="2" t="s">
        <v>3015</v>
      </c>
      <c r="D1664" s="2" t="s">
        <v>1836</v>
      </c>
      <c r="E1664" s="2" t="s">
        <v>1838</v>
      </c>
      <c r="F1664" s="2">
        <v>114.264</v>
      </c>
      <c r="G1664" s="2">
        <v>50.707500000000003</v>
      </c>
      <c r="H1664" s="2">
        <v>-1.1720999999999999</v>
      </c>
    </row>
    <row r="1665" spans="1:8" x14ac:dyDescent="0.2">
      <c r="A1665" s="2" t="s">
        <v>1223</v>
      </c>
      <c r="B1665" s="2" t="s">
        <v>3015</v>
      </c>
      <c r="C1665" s="2" t="s">
        <v>2435</v>
      </c>
      <c r="D1665" s="2" t="s">
        <v>1836</v>
      </c>
      <c r="E1665" s="2" t="s">
        <v>1838</v>
      </c>
      <c r="F1665" s="2">
        <v>1.9463900000000001</v>
      </c>
      <c r="G1665" s="2">
        <v>0.86354500000000001</v>
      </c>
      <c r="H1665" s="2">
        <v>-1.1724600000000001</v>
      </c>
    </row>
    <row r="1666" spans="1:8" x14ac:dyDescent="0.2">
      <c r="A1666" s="2" t="s">
        <v>690</v>
      </c>
      <c r="B1666" s="2" t="s">
        <v>3116</v>
      </c>
      <c r="C1666" s="2" t="s">
        <v>2163</v>
      </c>
      <c r="D1666" s="2" t="s">
        <v>1836</v>
      </c>
      <c r="E1666" s="2" t="s">
        <v>1837</v>
      </c>
      <c r="F1666" s="2">
        <v>2.5925099999999999</v>
      </c>
      <c r="G1666" s="2">
        <v>1.14975</v>
      </c>
      <c r="H1666" s="2">
        <v>-1.17303</v>
      </c>
    </row>
    <row r="1667" spans="1:8" x14ac:dyDescent="0.2">
      <c r="A1667" s="2" t="s">
        <v>416</v>
      </c>
      <c r="B1667" s="2" t="s">
        <v>3080</v>
      </c>
      <c r="C1667" s="2" t="s">
        <v>2036</v>
      </c>
      <c r="D1667" s="2" t="s">
        <v>1836</v>
      </c>
      <c r="E1667" s="2" t="s">
        <v>1837</v>
      </c>
      <c r="F1667" s="2">
        <v>8.0118899999999993</v>
      </c>
      <c r="G1667" s="2">
        <v>3.5531299999999999</v>
      </c>
      <c r="H1667" s="2">
        <v>-1.1730499999999999</v>
      </c>
    </row>
    <row r="1668" spans="1:8" x14ac:dyDescent="0.2">
      <c r="A1668" s="2" t="s">
        <v>1025</v>
      </c>
      <c r="B1668" s="2" t="s">
        <v>3094</v>
      </c>
      <c r="C1668" s="2" t="s">
        <v>2325</v>
      </c>
      <c r="D1668" s="2" t="s">
        <v>1836</v>
      </c>
      <c r="E1668" s="2" t="s">
        <v>1838</v>
      </c>
      <c r="F1668" s="2">
        <v>1.7602599999999999</v>
      </c>
      <c r="G1668" s="2">
        <v>0.78063700000000003</v>
      </c>
      <c r="H1668" s="2">
        <v>-1.1730700000000001</v>
      </c>
    </row>
    <row r="1669" spans="1:8" x14ac:dyDescent="0.2">
      <c r="A1669" s="2" t="s">
        <v>1222</v>
      </c>
      <c r="B1669" s="2" t="s">
        <v>3015</v>
      </c>
      <c r="C1669" s="2" t="s">
        <v>2435</v>
      </c>
      <c r="D1669" s="2" t="s">
        <v>1836</v>
      </c>
      <c r="E1669" s="2" t="s">
        <v>1838</v>
      </c>
      <c r="F1669" s="2">
        <v>1.7092400000000001</v>
      </c>
      <c r="G1669" s="2">
        <v>0.75752799999999998</v>
      </c>
      <c r="H1669" s="2">
        <v>-1.17398</v>
      </c>
    </row>
    <row r="1670" spans="1:8" x14ac:dyDescent="0.2">
      <c r="A1670" s="2" t="s">
        <v>1636</v>
      </c>
      <c r="B1670" s="2" t="s">
        <v>3015</v>
      </c>
      <c r="C1670" s="2" t="s">
        <v>3015</v>
      </c>
      <c r="D1670" s="2" t="s">
        <v>1839</v>
      </c>
      <c r="E1670" s="2" t="s">
        <v>1840</v>
      </c>
      <c r="F1670" s="2">
        <v>4.0718699999999997</v>
      </c>
      <c r="G1670" s="2">
        <v>1.8041</v>
      </c>
      <c r="H1670" s="2">
        <v>-1.17441</v>
      </c>
    </row>
    <row r="1671" spans="1:8" x14ac:dyDescent="0.2">
      <c r="A1671" s="2" t="s">
        <v>1699</v>
      </c>
      <c r="B1671" s="2" t="s">
        <v>3015</v>
      </c>
      <c r="C1671" s="2" t="s">
        <v>3015</v>
      </c>
      <c r="D1671" s="2" t="s">
        <v>1839</v>
      </c>
      <c r="E1671" s="2" t="s">
        <v>1841</v>
      </c>
      <c r="F1671" s="2">
        <v>4.4765600000000001</v>
      </c>
      <c r="G1671" s="2">
        <v>1.98319</v>
      </c>
      <c r="H1671" s="2">
        <v>-1.1745699999999999</v>
      </c>
    </row>
    <row r="1672" spans="1:8" x14ac:dyDescent="0.2">
      <c r="A1672" s="2" t="s">
        <v>154</v>
      </c>
      <c r="B1672" s="2" t="s">
        <v>3063</v>
      </c>
      <c r="C1672" s="2" t="s">
        <v>1916</v>
      </c>
      <c r="D1672" s="2" t="s">
        <v>1836</v>
      </c>
      <c r="E1672" s="2" t="s">
        <v>1837</v>
      </c>
      <c r="F1672" s="2">
        <v>1.4203300000000001</v>
      </c>
      <c r="G1672" s="2">
        <v>0.62872399999999995</v>
      </c>
      <c r="H1672" s="2">
        <v>-1.1757299999999999</v>
      </c>
    </row>
    <row r="1673" spans="1:8" x14ac:dyDescent="0.2">
      <c r="A1673" s="2" t="s">
        <v>1250</v>
      </c>
      <c r="B1673" s="2" t="s">
        <v>3319</v>
      </c>
      <c r="C1673" s="2" t="s">
        <v>3015</v>
      </c>
      <c r="D1673" s="2" t="s">
        <v>1836</v>
      </c>
      <c r="E1673" s="2" t="s">
        <v>1838</v>
      </c>
      <c r="F1673" s="2">
        <v>47.763199999999998</v>
      </c>
      <c r="G1673" s="2">
        <v>21.142299999999999</v>
      </c>
      <c r="H1673" s="2">
        <v>-1.17577</v>
      </c>
    </row>
    <row r="1674" spans="1:8" x14ac:dyDescent="0.2">
      <c r="A1674" s="2" t="s">
        <v>468</v>
      </c>
      <c r="B1674" s="2" t="s">
        <v>3015</v>
      </c>
      <c r="C1674" s="2" t="s">
        <v>1923</v>
      </c>
      <c r="D1674" s="2" t="s">
        <v>1836</v>
      </c>
      <c r="E1674" s="2" t="s">
        <v>1837</v>
      </c>
      <c r="F1674" s="2">
        <v>1.01553</v>
      </c>
      <c r="G1674" s="2">
        <v>0.44936399999999999</v>
      </c>
      <c r="H1674" s="2">
        <v>-1.17628</v>
      </c>
    </row>
    <row r="1675" spans="1:8" x14ac:dyDescent="0.2">
      <c r="A1675" s="2" t="s">
        <v>1633</v>
      </c>
      <c r="B1675" s="2" t="s">
        <v>3015</v>
      </c>
      <c r="C1675" s="2" t="s">
        <v>3016</v>
      </c>
      <c r="D1675" s="2" t="s">
        <v>1839</v>
      </c>
      <c r="E1675" s="2" t="s">
        <v>1841</v>
      </c>
      <c r="F1675" s="2">
        <v>207.49299999999999</v>
      </c>
      <c r="G1675" s="2">
        <v>91.792900000000003</v>
      </c>
      <c r="H1675" s="2">
        <v>-1.1766099999999999</v>
      </c>
    </row>
    <row r="1676" spans="1:8" x14ac:dyDescent="0.2">
      <c r="A1676" s="2" t="s">
        <v>967</v>
      </c>
      <c r="B1676" s="2" t="s">
        <v>3030</v>
      </c>
      <c r="C1676" s="2" t="s">
        <v>2934</v>
      </c>
      <c r="D1676" s="2" t="s">
        <v>1839</v>
      </c>
      <c r="E1676" s="2" t="s">
        <v>1841</v>
      </c>
      <c r="F1676" s="2">
        <v>10.0556</v>
      </c>
      <c r="G1676" s="2">
        <v>4.4477200000000003</v>
      </c>
      <c r="H1676" s="2">
        <v>-1.1768700000000001</v>
      </c>
    </row>
    <row r="1677" spans="1:8" x14ac:dyDescent="0.2">
      <c r="A1677" s="2" t="s">
        <v>735</v>
      </c>
      <c r="B1677" s="2" t="s">
        <v>3171</v>
      </c>
      <c r="C1677" s="2" t="s">
        <v>2123</v>
      </c>
      <c r="D1677" s="2" t="s">
        <v>1839</v>
      </c>
      <c r="E1677" s="2" t="s">
        <v>1841</v>
      </c>
      <c r="F1677" s="2">
        <v>3.6709499999999999</v>
      </c>
      <c r="G1677" s="2">
        <v>1.6233900000000001</v>
      </c>
      <c r="H1677" s="2">
        <v>-1.1771400000000001</v>
      </c>
    </row>
    <row r="1678" spans="1:8" x14ac:dyDescent="0.2">
      <c r="A1678" s="2" t="s">
        <v>352</v>
      </c>
      <c r="B1678" s="2" t="s">
        <v>3077</v>
      </c>
      <c r="C1678" s="2" t="s">
        <v>1934</v>
      </c>
      <c r="D1678" s="2" t="s">
        <v>1836</v>
      </c>
      <c r="E1678" s="2" t="s">
        <v>1838</v>
      </c>
      <c r="F1678" s="2">
        <v>16.6492</v>
      </c>
      <c r="G1678" s="2">
        <v>7.3623700000000003</v>
      </c>
      <c r="H1678" s="2">
        <v>-1.1772100000000001</v>
      </c>
    </row>
    <row r="1679" spans="1:8" x14ac:dyDescent="0.2">
      <c r="A1679" s="2" t="s">
        <v>372</v>
      </c>
      <c r="B1679" s="2" t="s">
        <v>3015</v>
      </c>
      <c r="C1679" s="2" t="s">
        <v>2465</v>
      </c>
      <c r="D1679" s="2" t="s">
        <v>1836</v>
      </c>
      <c r="E1679" s="2" t="s">
        <v>1838</v>
      </c>
      <c r="F1679" s="2">
        <v>4.7269399999999999</v>
      </c>
      <c r="G1679" s="2">
        <v>2.0876399999999999</v>
      </c>
      <c r="H1679" s="2">
        <v>-1.17903</v>
      </c>
    </row>
    <row r="1680" spans="1:8" x14ac:dyDescent="0.2">
      <c r="A1680" s="2" t="s">
        <v>800</v>
      </c>
      <c r="B1680" s="2" t="s">
        <v>3210</v>
      </c>
      <c r="C1680" s="2" t="s">
        <v>2208</v>
      </c>
      <c r="D1680" s="2" t="s">
        <v>1836</v>
      </c>
      <c r="E1680" s="2" t="s">
        <v>1838</v>
      </c>
      <c r="F1680" s="2">
        <v>33.7821</v>
      </c>
      <c r="G1680" s="2">
        <v>14.918100000000001</v>
      </c>
      <c r="H1680" s="2">
        <v>-1.17919</v>
      </c>
    </row>
    <row r="1681" spans="1:8" x14ac:dyDescent="0.2">
      <c r="A1681" s="2" t="s">
        <v>1407</v>
      </c>
      <c r="B1681" s="2" t="s">
        <v>3015</v>
      </c>
      <c r="C1681" s="2" t="s">
        <v>3016</v>
      </c>
      <c r="D1681" s="2" t="s">
        <v>1836</v>
      </c>
      <c r="E1681" s="2" t="s">
        <v>1838</v>
      </c>
      <c r="F1681" s="2">
        <v>9.9636700000000005</v>
      </c>
      <c r="G1681" s="2">
        <v>4.3981599999999998</v>
      </c>
      <c r="H1681" s="2">
        <v>-1.1797800000000001</v>
      </c>
    </row>
    <row r="1682" spans="1:8" x14ac:dyDescent="0.2">
      <c r="A1682" s="2" t="s">
        <v>414</v>
      </c>
      <c r="B1682" s="2" t="s">
        <v>3015</v>
      </c>
      <c r="C1682" s="2" t="s">
        <v>2034</v>
      </c>
      <c r="D1682" s="2" t="s">
        <v>1836</v>
      </c>
      <c r="E1682" s="2" t="s">
        <v>1837</v>
      </c>
      <c r="F1682" s="2">
        <v>0.91733600000000004</v>
      </c>
      <c r="G1682" s="2">
        <v>0.40487800000000002</v>
      </c>
      <c r="H1682" s="2">
        <v>-1.1799599999999999</v>
      </c>
    </row>
    <row r="1683" spans="1:8" x14ac:dyDescent="0.2">
      <c r="A1683" s="2" t="s">
        <v>627</v>
      </c>
      <c r="B1683" s="2" t="s">
        <v>3301</v>
      </c>
      <c r="C1683" s="2" t="s">
        <v>2824</v>
      </c>
      <c r="D1683" s="2" t="s">
        <v>1839</v>
      </c>
      <c r="E1683" s="2" t="s">
        <v>1841</v>
      </c>
      <c r="F1683" s="2">
        <v>60.5792</v>
      </c>
      <c r="G1683" s="2">
        <v>26.729800000000001</v>
      </c>
      <c r="H1683" s="2">
        <v>-1.1803699999999999</v>
      </c>
    </row>
    <row r="1684" spans="1:8" x14ac:dyDescent="0.2">
      <c r="A1684" s="2" t="s">
        <v>547</v>
      </c>
      <c r="B1684" s="2" t="s">
        <v>3015</v>
      </c>
      <c r="C1684" s="2" t="s">
        <v>2798</v>
      </c>
      <c r="D1684" s="2" t="s">
        <v>1839</v>
      </c>
      <c r="E1684" s="2" t="s">
        <v>1841</v>
      </c>
      <c r="F1684" s="2">
        <v>7.3368500000000001</v>
      </c>
      <c r="G1684" s="2">
        <v>3.23712</v>
      </c>
      <c r="H1684" s="2">
        <v>-1.18045</v>
      </c>
    </row>
    <row r="1685" spans="1:8" x14ac:dyDescent="0.2">
      <c r="A1685" s="2" t="s">
        <v>554</v>
      </c>
      <c r="B1685" s="2" t="s">
        <v>3015</v>
      </c>
      <c r="C1685" s="2" t="s">
        <v>1847</v>
      </c>
      <c r="D1685" s="2" t="s">
        <v>1836</v>
      </c>
      <c r="E1685" s="2" t="s">
        <v>1837</v>
      </c>
      <c r="F1685" s="2">
        <v>3.1794099999999998</v>
      </c>
      <c r="G1685" s="2">
        <v>1.40276</v>
      </c>
      <c r="H1685" s="2">
        <v>-1.18049</v>
      </c>
    </row>
    <row r="1686" spans="1:8" x14ac:dyDescent="0.2">
      <c r="A1686" s="2" t="s">
        <v>1541</v>
      </c>
      <c r="B1686" s="2" t="s">
        <v>3402</v>
      </c>
      <c r="C1686" s="2" t="s">
        <v>2691</v>
      </c>
      <c r="D1686" s="2" t="s">
        <v>1839</v>
      </c>
      <c r="E1686" s="2" t="s">
        <v>1841</v>
      </c>
      <c r="F1686" s="2">
        <v>1.8722099999999999</v>
      </c>
      <c r="G1686" s="2">
        <v>0.82566099999999998</v>
      </c>
      <c r="H1686" s="2">
        <v>-1.1811199999999999</v>
      </c>
    </row>
    <row r="1687" spans="1:8" x14ac:dyDescent="0.2">
      <c r="A1687" s="2" t="s">
        <v>520</v>
      </c>
      <c r="B1687" s="2" t="s">
        <v>3146</v>
      </c>
      <c r="C1687" s="2" t="s">
        <v>2088</v>
      </c>
      <c r="D1687" s="2" t="s">
        <v>1836</v>
      </c>
      <c r="E1687" s="2" t="s">
        <v>1837</v>
      </c>
      <c r="F1687" s="2">
        <v>2.17096</v>
      </c>
      <c r="G1687" s="2">
        <v>0.95725199999999999</v>
      </c>
      <c r="H1687" s="2">
        <v>-1.18136</v>
      </c>
    </row>
    <row r="1688" spans="1:8" x14ac:dyDescent="0.2">
      <c r="A1688" s="2" t="s">
        <v>1149</v>
      </c>
      <c r="B1688" s="2" t="s">
        <v>3024</v>
      </c>
      <c r="C1688" s="2" t="s">
        <v>2381</v>
      </c>
      <c r="D1688" s="2" t="s">
        <v>1836</v>
      </c>
      <c r="E1688" s="2" t="s">
        <v>1838</v>
      </c>
      <c r="F1688" s="2">
        <v>2.7280099999999998</v>
      </c>
      <c r="G1688" s="2">
        <v>1.2024900000000001</v>
      </c>
      <c r="H1688" s="2">
        <v>-1.1818200000000001</v>
      </c>
    </row>
    <row r="1689" spans="1:8" x14ac:dyDescent="0.2">
      <c r="A1689" s="2" t="s">
        <v>190</v>
      </c>
      <c r="B1689" s="2" t="s">
        <v>3015</v>
      </c>
      <c r="C1689" s="2" t="s">
        <v>3015</v>
      </c>
      <c r="D1689" s="2" t="s">
        <v>1836</v>
      </c>
      <c r="E1689" s="2" t="s">
        <v>1838</v>
      </c>
      <c r="F1689" s="2">
        <v>8.6670700000000007</v>
      </c>
      <c r="G1689" s="2">
        <v>3.8184100000000001</v>
      </c>
      <c r="H1689" s="2">
        <v>-1.1825699999999999</v>
      </c>
    </row>
    <row r="1690" spans="1:8" x14ac:dyDescent="0.2">
      <c r="A1690" s="2" t="s">
        <v>1701</v>
      </c>
      <c r="B1690" s="2" t="s">
        <v>3015</v>
      </c>
      <c r="C1690" s="2" t="s">
        <v>1847</v>
      </c>
      <c r="D1690" s="2" t="s">
        <v>1839</v>
      </c>
      <c r="E1690" s="2" t="s">
        <v>1841</v>
      </c>
      <c r="F1690" s="2">
        <v>2.8120400000000001</v>
      </c>
      <c r="G1690" s="2">
        <v>1.23872</v>
      </c>
      <c r="H1690" s="2">
        <v>-1.18276</v>
      </c>
    </row>
    <row r="1691" spans="1:8" x14ac:dyDescent="0.2">
      <c r="A1691" s="2" t="s">
        <v>851</v>
      </c>
      <c r="B1691" s="2" t="s">
        <v>3035</v>
      </c>
      <c r="C1691" s="2" t="s">
        <v>1892</v>
      </c>
      <c r="D1691" s="2" t="s">
        <v>1836</v>
      </c>
      <c r="E1691" s="2" t="s">
        <v>1838</v>
      </c>
      <c r="F1691" s="2">
        <v>42.481200000000001</v>
      </c>
      <c r="G1691" s="2">
        <v>18.709900000000001</v>
      </c>
      <c r="H1691" s="2">
        <v>-1.18302</v>
      </c>
    </row>
    <row r="1692" spans="1:8" x14ac:dyDescent="0.2">
      <c r="A1692" s="2" t="s">
        <v>253</v>
      </c>
      <c r="B1692" s="2" t="s">
        <v>3015</v>
      </c>
      <c r="C1692" s="2" t="s">
        <v>2687</v>
      </c>
      <c r="D1692" s="2" t="s">
        <v>1839</v>
      </c>
      <c r="E1692" s="2" t="s">
        <v>1841</v>
      </c>
      <c r="F1692" s="2">
        <v>157.29599999999999</v>
      </c>
      <c r="G1692" s="2">
        <v>69.206000000000003</v>
      </c>
      <c r="H1692" s="2">
        <v>-1.18452</v>
      </c>
    </row>
    <row r="1693" spans="1:8" x14ac:dyDescent="0.2">
      <c r="A1693" s="2" t="s">
        <v>1382</v>
      </c>
      <c r="B1693" s="2" t="s">
        <v>3358</v>
      </c>
      <c r="C1693" s="2" t="s">
        <v>2558</v>
      </c>
      <c r="D1693" s="2" t="s">
        <v>1836</v>
      </c>
      <c r="E1693" s="2" t="s">
        <v>1838</v>
      </c>
      <c r="F1693" s="2">
        <v>1.34354</v>
      </c>
      <c r="G1693" s="2">
        <v>0.59048400000000001</v>
      </c>
      <c r="H1693" s="2">
        <v>-1.18607</v>
      </c>
    </row>
    <row r="1694" spans="1:8" x14ac:dyDescent="0.2">
      <c r="A1694" s="2" t="s">
        <v>1561</v>
      </c>
      <c r="B1694" s="2" t="s">
        <v>3015</v>
      </c>
      <c r="C1694" s="2" t="s">
        <v>2715</v>
      </c>
      <c r="D1694" s="2" t="s">
        <v>1839</v>
      </c>
      <c r="E1694" s="2" t="s">
        <v>1841</v>
      </c>
      <c r="F1694" s="2">
        <v>1.8907400000000001</v>
      </c>
      <c r="G1694" s="2">
        <v>0.83048</v>
      </c>
      <c r="H1694" s="2">
        <v>-1.18693</v>
      </c>
    </row>
    <row r="1695" spans="1:8" x14ac:dyDescent="0.2">
      <c r="A1695" s="2" t="s">
        <v>488</v>
      </c>
      <c r="B1695" s="2" t="s">
        <v>3015</v>
      </c>
      <c r="C1695" s="2" t="s">
        <v>2072</v>
      </c>
      <c r="D1695" s="2" t="s">
        <v>1836</v>
      </c>
      <c r="E1695" s="2" t="s">
        <v>1837</v>
      </c>
      <c r="F1695" s="2">
        <v>1.6633800000000001</v>
      </c>
      <c r="G1695" s="2">
        <v>0.72975900000000005</v>
      </c>
      <c r="H1695" s="2">
        <v>-1.1886300000000001</v>
      </c>
    </row>
    <row r="1696" spans="1:8" x14ac:dyDescent="0.2">
      <c r="A1696" s="2" t="s">
        <v>899</v>
      </c>
      <c r="B1696" s="2" t="s">
        <v>3116</v>
      </c>
      <c r="C1696" s="2" t="s">
        <v>2260</v>
      </c>
      <c r="D1696" s="2" t="s">
        <v>1836</v>
      </c>
      <c r="E1696" s="2" t="s">
        <v>1837</v>
      </c>
      <c r="F1696" s="2">
        <v>12.7454</v>
      </c>
      <c r="G1696" s="2">
        <v>5.5904400000000001</v>
      </c>
      <c r="H1696" s="2">
        <v>-1.1889400000000001</v>
      </c>
    </row>
    <row r="1697" spans="1:8" x14ac:dyDescent="0.2">
      <c r="A1697" s="2" t="s">
        <v>356</v>
      </c>
      <c r="B1697" s="2" t="s">
        <v>3320</v>
      </c>
      <c r="C1697" s="2" t="s">
        <v>3016</v>
      </c>
      <c r="D1697" s="2" t="s">
        <v>1839</v>
      </c>
      <c r="E1697" s="2" t="s">
        <v>1841</v>
      </c>
      <c r="F1697" s="2">
        <v>64.375699999999995</v>
      </c>
      <c r="G1697" s="2">
        <v>28.232199999999999</v>
      </c>
      <c r="H1697" s="2">
        <v>-1.1891799999999999</v>
      </c>
    </row>
    <row r="1698" spans="1:8" x14ac:dyDescent="0.2">
      <c r="A1698" s="2" t="s">
        <v>98</v>
      </c>
      <c r="B1698" s="2" t="s">
        <v>3045</v>
      </c>
      <c r="C1698" s="2" t="s">
        <v>1875</v>
      </c>
      <c r="D1698" s="2" t="s">
        <v>1836</v>
      </c>
      <c r="E1698" s="2" t="s">
        <v>1837</v>
      </c>
      <c r="F1698" s="2">
        <v>0.88974699999999995</v>
      </c>
      <c r="G1698" s="2">
        <v>0.390121</v>
      </c>
      <c r="H1698" s="2">
        <v>-1.18947</v>
      </c>
    </row>
    <row r="1699" spans="1:8" x14ac:dyDescent="0.2">
      <c r="A1699" s="2" t="s">
        <v>634</v>
      </c>
      <c r="B1699" s="2" t="s">
        <v>3015</v>
      </c>
      <c r="C1699" s="2" t="s">
        <v>2385</v>
      </c>
      <c r="D1699" s="2" t="s">
        <v>1836</v>
      </c>
      <c r="E1699" s="2" t="s">
        <v>1838</v>
      </c>
      <c r="F1699" s="2">
        <v>51.973799999999997</v>
      </c>
      <c r="G1699" s="2">
        <v>22.76</v>
      </c>
      <c r="H1699" s="2">
        <v>-1.1912799999999999</v>
      </c>
    </row>
    <row r="1700" spans="1:8" x14ac:dyDescent="0.2">
      <c r="A1700" s="2" t="s">
        <v>558</v>
      </c>
      <c r="B1700" s="2" t="s">
        <v>3339</v>
      </c>
      <c r="C1700" s="2" t="s">
        <v>2505</v>
      </c>
      <c r="D1700" s="2" t="s">
        <v>1836</v>
      </c>
      <c r="E1700" s="2" t="s">
        <v>1838</v>
      </c>
      <c r="F1700" s="2">
        <v>1.7053499999999999</v>
      </c>
      <c r="G1700" s="2">
        <v>0.74657300000000004</v>
      </c>
      <c r="H1700" s="2">
        <v>-1.19171</v>
      </c>
    </row>
    <row r="1701" spans="1:8" x14ac:dyDescent="0.2">
      <c r="A1701" s="2" t="s">
        <v>712</v>
      </c>
      <c r="B1701" s="2" t="s">
        <v>3015</v>
      </c>
      <c r="C1701" s="2" t="s">
        <v>2174</v>
      </c>
      <c r="D1701" s="2" t="s">
        <v>1836</v>
      </c>
      <c r="E1701" s="2" t="s">
        <v>1837</v>
      </c>
      <c r="F1701" s="2">
        <v>1.65584</v>
      </c>
      <c r="G1701" s="2">
        <v>0.72424699999999997</v>
      </c>
      <c r="H1701" s="2">
        <v>-1.1930099999999999</v>
      </c>
    </row>
    <row r="1702" spans="1:8" x14ac:dyDescent="0.2">
      <c r="A1702" s="2" t="s">
        <v>316</v>
      </c>
      <c r="B1702" s="2" t="s">
        <v>3015</v>
      </c>
      <c r="C1702" s="2" t="s">
        <v>1991</v>
      </c>
      <c r="D1702" s="2" t="s">
        <v>1836</v>
      </c>
      <c r="E1702" s="2" t="s">
        <v>1837</v>
      </c>
      <c r="F1702" s="2">
        <v>1.40516</v>
      </c>
      <c r="G1702" s="2">
        <v>0.61458599999999997</v>
      </c>
      <c r="H1702" s="2">
        <v>-1.1930499999999999</v>
      </c>
    </row>
    <row r="1703" spans="1:8" x14ac:dyDescent="0.2">
      <c r="A1703" s="2" t="s">
        <v>1027</v>
      </c>
      <c r="B1703" s="2" t="s">
        <v>3015</v>
      </c>
      <c r="C1703" s="2" t="s">
        <v>3015</v>
      </c>
      <c r="D1703" s="2" t="s">
        <v>1836</v>
      </c>
      <c r="E1703" s="2" t="s">
        <v>1837</v>
      </c>
      <c r="F1703" s="2">
        <v>2.9123800000000002</v>
      </c>
      <c r="G1703" s="2">
        <v>1.27295</v>
      </c>
      <c r="H1703" s="2">
        <v>-1.1940200000000001</v>
      </c>
    </row>
    <row r="1704" spans="1:8" x14ac:dyDescent="0.2">
      <c r="A1704" s="2" t="s">
        <v>1618</v>
      </c>
      <c r="B1704" s="2" t="s">
        <v>3015</v>
      </c>
      <c r="C1704" s="2" t="s">
        <v>2782</v>
      </c>
      <c r="D1704" s="2" t="s">
        <v>1839</v>
      </c>
      <c r="E1704" s="2" t="s">
        <v>1841</v>
      </c>
      <c r="F1704" s="2">
        <v>3.4591400000000001</v>
      </c>
      <c r="G1704" s="2">
        <v>1.5118799999999999</v>
      </c>
      <c r="H1704" s="2">
        <v>-1.19407</v>
      </c>
    </row>
    <row r="1705" spans="1:8" x14ac:dyDescent="0.2">
      <c r="A1705" s="2" t="s">
        <v>499</v>
      </c>
      <c r="B1705" s="2" t="s">
        <v>3015</v>
      </c>
      <c r="C1705" s="2" t="s">
        <v>2079</v>
      </c>
      <c r="D1705" s="2" t="s">
        <v>1836</v>
      </c>
      <c r="E1705" s="2" t="s">
        <v>1837</v>
      </c>
      <c r="F1705" s="2">
        <v>18.740300000000001</v>
      </c>
      <c r="G1705" s="2">
        <v>8.1801600000000008</v>
      </c>
      <c r="H1705" s="2">
        <v>-1.19594</v>
      </c>
    </row>
    <row r="1706" spans="1:8" x14ac:dyDescent="0.2">
      <c r="A1706" s="2" t="s">
        <v>874</v>
      </c>
      <c r="B1706" s="2" t="s">
        <v>3448</v>
      </c>
      <c r="C1706" s="2" t="s">
        <v>2907</v>
      </c>
      <c r="D1706" s="2" t="s">
        <v>1839</v>
      </c>
      <c r="E1706" s="2" t="s">
        <v>1841</v>
      </c>
      <c r="F1706" s="2">
        <v>114.291</v>
      </c>
      <c r="G1706" s="2">
        <v>49.885599999999997</v>
      </c>
      <c r="H1706" s="2">
        <v>-1.1960200000000001</v>
      </c>
    </row>
    <row r="1707" spans="1:8" x14ac:dyDescent="0.2">
      <c r="A1707" s="2" t="s">
        <v>1572</v>
      </c>
      <c r="B1707" s="2" t="s">
        <v>3015</v>
      </c>
      <c r="C1707" s="2" t="s">
        <v>2680</v>
      </c>
      <c r="D1707" s="2" t="s">
        <v>1839</v>
      </c>
      <c r="E1707" s="2" t="s">
        <v>1841</v>
      </c>
      <c r="F1707" s="2">
        <v>2.2843100000000001</v>
      </c>
      <c r="G1707" s="2">
        <v>0.99657600000000002</v>
      </c>
      <c r="H1707" s="2">
        <v>-1.1967099999999999</v>
      </c>
    </row>
    <row r="1708" spans="1:8" x14ac:dyDescent="0.2">
      <c r="A1708" s="2" t="s">
        <v>1381</v>
      </c>
      <c r="B1708" s="2" t="s">
        <v>3175</v>
      </c>
      <c r="C1708" s="2" t="s">
        <v>2557</v>
      </c>
      <c r="D1708" s="2" t="s">
        <v>1836</v>
      </c>
      <c r="E1708" s="2" t="s">
        <v>1838</v>
      </c>
      <c r="F1708" s="2">
        <v>2.5284200000000001</v>
      </c>
      <c r="G1708" s="2">
        <v>1.1026</v>
      </c>
      <c r="H1708" s="2">
        <v>-1.19733</v>
      </c>
    </row>
    <row r="1709" spans="1:8" x14ac:dyDescent="0.2">
      <c r="A1709" s="2" t="s">
        <v>766</v>
      </c>
      <c r="B1709" s="2" t="s">
        <v>3015</v>
      </c>
      <c r="C1709" s="2" t="s">
        <v>2195</v>
      </c>
      <c r="D1709" s="2" t="s">
        <v>1836</v>
      </c>
      <c r="E1709" s="2" t="s">
        <v>1838</v>
      </c>
      <c r="F1709" s="2">
        <v>2.3186300000000002</v>
      </c>
      <c r="G1709" s="2">
        <v>1.0105599999999999</v>
      </c>
      <c r="H1709" s="2">
        <v>-1.19811</v>
      </c>
    </row>
    <row r="1710" spans="1:8" x14ac:dyDescent="0.2">
      <c r="A1710" s="2" t="s">
        <v>804</v>
      </c>
      <c r="B1710" s="2" t="s">
        <v>3211</v>
      </c>
      <c r="C1710" s="2" t="s">
        <v>2210</v>
      </c>
      <c r="D1710" s="2" t="s">
        <v>1836</v>
      </c>
      <c r="E1710" s="2" t="s">
        <v>1837</v>
      </c>
      <c r="F1710" s="2">
        <v>2.6139999999999999</v>
      </c>
      <c r="G1710" s="2">
        <v>1.1392800000000001</v>
      </c>
      <c r="H1710" s="2">
        <v>-1.1981299999999999</v>
      </c>
    </row>
    <row r="1711" spans="1:8" x14ac:dyDescent="0.2">
      <c r="A1711" s="2" t="s">
        <v>727</v>
      </c>
      <c r="B1711" s="2" t="s">
        <v>3015</v>
      </c>
      <c r="C1711" s="2" t="s">
        <v>1862</v>
      </c>
      <c r="D1711" s="2" t="s">
        <v>1839</v>
      </c>
      <c r="E1711" s="2" t="s">
        <v>1841</v>
      </c>
      <c r="F1711" s="2">
        <v>271.16199999999998</v>
      </c>
      <c r="G1711" s="2">
        <v>118.11199999999999</v>
      </c>
      <c r="H1711" s="2">
        <v>-1.1990000000000001</v>
      </c>
    </row>
    <row r="1712" spans="1:8" x14ac:dyDescent="0.2">
      <c r="A1712" s="2" t="s">
        <v>903</v>
      </c>
      <c r="B1712" s="2" t="s">
        <v>3015</v>
      </c>
      <c r="C1712" s="2" t="s">
        <v>2262</v>
      </c>
      <c r="D1712" s="2" t="s">
        <v>1836</v>
      </c>
      <c r="E1712" s="2" t="s">
        <v>1837</v>
      </c>
      <c r="F1712" s="2">
        <v>0.990541</v>
      </c>
      <c r="G1712" s="2">
        <v>0.43131799999999998</v>
      </c>
      <c r="H1712" s="2">
        <v>-1.19947</v>
      </c>
    </row>
    <row r="1713" spans="1:8" x14ac:dyDescent="0.2">
      <c r="A1713" s="2" t="s">
        <v>517</v>
      </c>
      <c r="B1713" s="2" t="s">
        <v>3015</v>
      </c>
      <c r="C1713" s="2" t="s">
        <v>2086</v>
      </c>
      <c r="D1713" s="2" t="s">
        <v>1836</v>
      </c>
      <c r="E1713" s="2" t="s">
        <v>1837</v>
      </c>
      <c r="F1713" s="2">
        <v>1.87077</v>
      </c>
      <c r="G1713" s="2">
        <v>0.81402200000000002</v>
      </c>
      <c r="H1713" s="2">
        <v>-1.2004900000000001</v>
      </c>
    </row>
    <row r="1714" spans="1:8" x14ac:dyDescent="0.2">
      <c r="A1714" s="2" t="s">
        <v>71</v>
      </c>
      <c r="B1714" s="2" t="s">
        <v>3133</v>
      </c>
      <c r="C1714" s="2" t="s">
        <v>2031</v>
      </c>
      <c r="D1714" s="2" t="s">
        <v>1836</v>
      </c>
      <c r="E1714" s="2" t="s">
        <v>1838</v>
      </c>
      <c r="F1714" s="2">
        <v>7.2208800000000002</v>
      </c>
      <c r="G1714" s="2">
        <v>3.1417600000000001</v>
      </c>
      <c r="H1714" s="2">
        <v>-1.2005999999999999</v>
      </c>
    </row>
    <row r="1715" spans="1:8" x14ac:dyDescent="0.2">
      <c r="A1715" s="2" t="s">
        <v>530</v>
      </c>
      <c r="B1715" s="2" t="s">
        <v>3027</v>
      </c>
      <c r="C1715" s="2" t="s">
        <v>2497</v>
      </c>
      <c r="D1715" s="2" t="s">
        <v>1836</v>
      </c>
      <c r="E1715" s="2" t="s">
        <v>1838</v>
      </c>
      <c r="F1715" s="2">
        <v>5.6767500000000002</v>
      </c>
      <c r="G1715" s="2">
        <v>2.4678200000000001</v>
      </c>
      <c r="H1715" s="2">
        <v>-1.20183</v>
      </c>
    </row>
    <row r="1716" spans="1:8" x14ac:dyDescent="0.2">
      <c r="A1716" s="2" t="s">
        <v>1109</v>
      </c>
      <c r="B1716" s="2" t="s">
        <v>3271</v>
      </c>
      <c r="C1716" s="2" t="s">
        <v>1847</v>
      </c>
      <c r="D1716" s="2" t="s">
        <v>1839</v>
      </c>
      <c r="E1716" s="2" t="s">
        <v>1841</v>
      </c>
      <c r="F1716" s="2">
        <v>2.28071</v>
      </c>
      <c r="G1716" s="2">
        <v>0.99134900000000004</v>
      </c>
      <c r="H1716" s="2">
        <v>-1.2020200000000001</v>
      </c>
    </row>
    <row r="1717" spans="1:8" x14ac:dyDescent="0.2">
      <c r="A1717" s="2" t="s">
        <v>1243</v>
      </c>
      <c r="B1717" s="2" t="s">
        <v>3015</v>
      </c>
      <c r="C1717" s="2" t="s">
        <v>2451</v>
      </c>
      <c r="D1717" s="2" t="s">
        <v>1839</v>
      </c>
      <c r="E1717" s="2" t="s">
        <v>1841</v>
      </c>
      <c r="F1717" s="2">
        <v>8.1935099999999998</v>
      </c>
      <c r="G1717" s="2">
        <v>3.5608</v>
      </c>
      <c r="H1717" s="2">
        <v>-1.20228</v>
      </c>
    </row>
    <row r="1718" spans="1:8" x14ac:dyDescent="0.2">
      <c r="A1718" s="2" t="s">
        <v>754</v>
      </c>
      <c r="B1718" s="2" t="s">
        <v>3062</v>
      </c>
      <c r="C1718" s="2" t="s">
        <v>2188</v>
      </c>
      <c r="D1718" s="2" t="s">
        <v>1836</v>
      </c>
      <c r="E1718" s="2" t="s">
        <v>1837</v>
      </c>
      <c r="F1718" s="2">
        <v>6.9001400000000004</v>
      </c>
      <c r="G1718" s="2">
        <v>2.99742</v>
      </c>
      <c r="H1718" s="2">
        <v>-1.2029000000000001</v>
      </c>
    </row>
    <row r="1719" spans="1:8" x14ac:dyDescent="0.2">
      <c r="A1719" s="2" t="s">
        <v>684</v>
      </c>
      <c r="B1719" s="2" t="s">
        <v>3015</v>
      </c>
      <c r="C1719" s="2" t="s">
        <v>3015</v>
      </c>
      <c r="D1719" s="2" t="s">
        <v>1836</v>
      </c>
      <c r="E1719" s="2" t="s">
        <v>1838</v>
      </c>
      <c r="F1719" s="2">
        <v>17.581800000000001</v>
      </c>
      <c r="G1719" s="2">
        <v>7.6304600000000002</v>
      </c>
      <c r="H1719" s="2">
        <v>-1.20424</v>
      </c>
    </row>
    <row r="1720" spans="1:8" x14ac:dyDescent="0.2">
      <c r="A1720" s="2" t="s">
        <v>678</v>
      </c>
      <c r="B1720" s="2" t="s">
        <v>3015</v>
      </c>
      <c r="C1720" s="2" t="s">
        <v>3015</v>
      </c>
      <c r="D1720" s="2" t="s">
        <v>1839</v>
      </c>
      <c r="E1720" s="2" t="s">
        <v>1840</v>
      </c>
      <c r="F1720" s="2">
        <v>12.1343</v>
      </c>
      <c r="G1720" s="2">
        <v>5.2662000000000004</v>
      </c>
      <c r="H1720" s="2">
        <v>-1.2042600000000001</v>
      </c>
    </row>
    <row r="1721" spans="1:8" x14ac:dyDescent="0.2">
      <c r="A1721" s="2" t="s">
        <v>510</v>
      </c>
      <c r="B1721" s="2" t="s">
        <v>3333</v>
      </c>
      <c r="C1721" s="2" t="s">
        <v>2294</v>
      </c>
      <c r="D1721" s="2" t="s">
        <v>1836</v>
      </c>
      <c r="E1721" s="2" t="s">
        <v>1838</v>
      </c>
      <c r="F1721" s="2">
        <v>24.054600000000001</v>
      </c>
      <c r="G1721" s="2">
        <v>10.4267</v>
      </c>
      <c r="H1721" s="2">
        <v>-1.2060299999999999</v>
      </c>
    </row>
    <row r="1722" spans="1:8" x14ac:dyDescent="0.2">
      <c r="A1722" s="2" t="s">
        <v>1287</v>
      </c>
      <c r="B1722" s="2" t="s">
        <v>3053</v>
      </c>
      <c r="C1722" s="2" t="s">
        <v>2495</v>
      </c>
      <c r="D1722" s="2" t="s">
        <v>1836</v>
      </c>
      <c r="E1722" s="2" t="s">
        <v>1838</v>
      </c>
      <c r="F1722" s="2">
        <v>7.9058900000000003</v>
      </c>
      <c r="G1722" s="2">
        <v>3.4245800000000002</v>
      </c>
      <c r="H1722" s="2">
        <v>-1.2070000000000001</v>
      </c>
    </row>
    <row r="1723" spans="1:8" x14ac:dyDescent="0.2">
      <c r="A1723" s="2" t="s">
        <v>1741</v>
      </c>
      <c r="B1723" s="2" t="s">
        <v>3015</v>
      </c>
      <c r="C1723" s="2" t="s">
        <v>2910</v>
      </c>
      <c r="D1723" s="2" t="s">
        <v>1839</v>
      </c>
      <c r="E1723" s="2" t="s">
        <v>1841</v>
      </c>
      <c r="F1723" s="2">
        <v>21.600100000000001</v>
      </c>
      <c r="G1723" s="2">
        <v>9.3534600000000001</v>
      </c>
      <c r="H1723" s="2">
        <v>-1.20746</v>
      </c>
    </row>
    <row r="1724" spans="1:8" x14ac:dyDescent="0.2">
      <c r="A1724" s="2" t="s">
        <v>635</v>
      </c>
      <c r="B1724" s="2" t="s">
        <v>3068</v>
      </c>
      <c r="C1724" s="2" t="s">
        <v>2827</v>
      </c>
      <c r="D1724" s="2" t="s">
        <v>1839</v>
      </c>
      <c r="E1724" s="2" t="s">
        <v>1841</v>
      </c>
      <c r="F1724" s="2">
        <v>11.3964</v>
      </c>
      <c r="G1724" s="2">
        <v>4.9343500000000002</v>
      </c>
      <c r="H1724" s="2">
        <v>-1.20764</v>
      </c>
    </row>
    <row r="1725" spans="1:8" x14ac:dyDescent="0.2">
      <c r="A1725" s="2" t="s">
        <v>657</v>
      </c>
      <c r="B1725" s="2" t="s">
        <v>3185</v>
      </c>
      <c r="C1725" s="2" t="s">
        <v>2150</v>
      </c>
      <c r="D1725" s="2" t="s">
        <v>1836</v>
      </c>
      <c r="E1725" s="2" t="s">
        <v>1837</v>
      </c>
      <c r="F1725" s="2">
        <v>28.745100000000001</v>
      </c>
      <c r="G1725" s="2">
        <v>12.4398</v>
      </c>
      <c r="H1725" s="2">
        <v>-1.20835</v>
      </c>
    </row>
    <row r="1726" spans="1:8" x14ac:dyDescent="0.2">
      <c r="A1726" s="2" t="s">
        <v>836</v>
      </c>
      <c r="B1726" s="2" t="s">
        <v>3219</v>
      </c>
      <c r="C1726" s="2" t="s">
        <v>2226</v>
      </c>
      <c r="D1726" s="2" t="s">
        <v>1836</v>
      </c>
      <c r="E1726" s="2" t="s">
        <v>1838</v>
      </c>
      <c r="F1726" s="2">
        <v>1.8883099999999999</v>
      </c>
      <c r="G1726" s="2">
        <v>0.81683799999999995</v>
      </c>
      <c r="H1726" s="2">
        <v>-1.2089700000000001</v>
      </c>
    </row>
    <row r="1727" spans="1:8" x14ac:dyDescent="0.2">
      <c r="A1727" s="2" t="s">
        <v>169</v>
      </c>
      <c r="B1727" s="2" t="s">
        <v>3068</v>
      </c>
      <c r="C1727" s="2" t="s">
        <v>3015</v>
      </c>
      <c r="D1727" s="2" t="s">
        <v>1836</v>
      </c>
      <c r="E1727" s="2" t="s">
        <v>1837</v>
      </c>
      <c r="F1727" s="2">
        <v>9.5347799999999996</v>
      </c>
      <c r="G1727" s="2">
        <v>4.1205400000000001</v>
      </c>
      <c r="H1727" s="2">
        <v>-1.2103699999999999</v>
      </c>
    </row>
    <row r="1728" spans="1:8" x14ac:dyDescent="0.2">
      <c r="A1728" s="2" t="s">
        <v>1006</v>
      </c>
      <c r="B1728" s="2" t="s">
        <v>3319</v>
      </c>
      <c r="C1728" s="2" t="s">
        <v>1862</v>
      </c>
      <c r="D1728" s="2" t="s">
        <v>1839</v>
      </c>
      <c r="E1728" s="2" t="s">
        <v>1840</v>
      </c>
      <c r="F1728" s="2">
        <v>8.3578700000000001</v>
      </c>
      <c r="G1728" s="2">
        <v>3.6111499999999999</v>
      </c>
      <c r="H1728" s="2">
        <v>-1.21068</v>
      </c>
    </row>
    <row r="1729" spans="1:8" x14ac:dyDescent="0.2">
      <c r="A1729" s="2" t="s">
        <v>1686</v>
      </c>
      <c r="B1729" s="2" t="s">
        <v>3049</v>
      </c>
      <c r="C1729" s="2" t="s">
        <v>2855</v>
      </c>
      <c r="D1729" s="2" t="s">
        <v>1839</v>
      </c>
      <c r="E1729" s="2" t="s">
        <v>1840</v>
      </c>
      <c r="F1729" s="2">
        <v>1.0301499999999999</v>
      </c>
      <c r="G1729" s="2">
        <v>0.44484200000000002</v>
      </c>
      <c r="H1729" s="2">
        <v>-1.21149</v>
      </c>
    </row>
    <row r="1730" spans="1:8" x14ac:dyDescent="0.2">
      <c r="A1730" s="2" t="s">
        <v>1726</v>
      </c>
      <c r="B1730" s="2" t="s">
        <v>3015</v>
      </c>
      <c r="C1730" s="2" t="s">
        <v>2890</v>
      </c>
      <c r="D1730" s="2" t="s">
        <v>1839</v>
      </c>
      <c r="E1730" s="2" t="s">
        <v>1841</v>
      </c>
      <c r="F1730" s="2">
        <v>1.05138</v>
      </c>
      <c r="G1730" s="2">
        <v>0.45396900000000001</v>
      </c>
      <c r="H1730" s="2">
        <v>-1.2116199999999999</v>
      </c>
    </row>
    <row r="1731" spans="1:8" x14ac:dyDescent="0.2">
      <c r="A1731" s="2" t="s">
        <v>1588</v>
      </c>
      <c r="B1731" s="2" t="s">
        <v>3191</v>
      </c>
      <c r="C1731" s="2" t="s">
        <v>3015</v>
      </c>
      <c r="D1731" s="2" t="s">
        <v>1839</v>
      </c>
      <c r="E1731" s="2" t="s">
        <v>1841</v>
      </c>
      <c r="F1731" s="2">
        <v>13.160600000000001</v>
      </c>
      <c r="G1731" s="2">
        <v>5.6811800000000003</v>
      </c>
      <c r="H1731" s="2">
        <v>-1.2119599999999999</v>
      </c>
    </row>
    <row r="1732" spans="1:8" x14ac:dyDescent="0.2">
      <c r="A1732" s="2" t="s">
        <v>1106</v>
      </c>
      <c r="B1732" s="2" t="s">
        <v>3093</v>
      </c>
      <c r="C1732" s="2" t="s">
        <v>1847</v>
      </c>
      <c r="D1732" s="2" t="s">
        <v>1836</v>
      </c>
      <c r="E1732" s="2" t="s">
        <v>1837</v>
      </c>
      <c r="F1732" s="2">
        <v>13.6281</v>
      </c>
      <c r="G1732" s="2">
        <v>5.8785800000000004</v>
      </c>
      <c r="H1732" s="2">
        <v>-1.2130399999999999</v>
      </c>
    </row>
    <row r="1733" spans="1:8" x14ac:dyDescent="0.2">
      <c r="A1733" s="2" t="s">
        <v>828</v>
      </c>
      <c r="B1733" s="2" t="s">
        <v>3093</v>
      </c>
      <c r="C1733" s="2" t="s">
        <v>2221</v>
      </c>
      <c r="D1733" s="2" t="s">
        <v>1836</v>
      </c>
      <c r="E1733" s="2" t="s">
        <v>1838</v>
      </c>
      <c r="F1733" s="2">
        <v>42.320900000000002</v>
      </c>
      <c r="G1733" s="2">
        <v>18.239999999999998</v>
      </c>
      <c r="H1733" s="2">
        <v>-1.2142599999999999</v>
      </c>
    </row>
    <row r="1734" spans="1:8" x14ac:dyDescent="0.2">
      <c r="A1734" s="2" t="s">
        <v>370</v>
      </c>
      <c r="B1734" s="2" t="s">
        <v>3100</v>
      </c>
      <c r="C1734" s="2" t="s">
        <v>2015</v>
      </c>
      <c r="D1734" s="2" t="s">
        <v>1836</v>
      </c>
      <c r="E1734" s="2" t="s">
        <v>1837</v>
      </c>
      <c r="F1734" s="2">
        <v>6.5645899999999999</v>
      </c>
      <c r="G1734" s="2">
        <v>2.8257300000000001</v>
      </c>
      <c r="H1734" s="2">
        <v>-1.21608</v>
      </c>
    </row>
    <row r="1735" spans="1:8" x14ac:dyDescent="0.2">
      <c r="A1735" s="2" t="s">
        <v>1081</v>
      </c>
      <c r="B1735" s="2" t="s">
        <v>3158</v>
      </c>
      <c r="C1735" s="2" t="s">
        <v>2607</v>
      </c>
      <c r="D1735" s="2" t="s">
        <v>1836</v>
      </c>
      <c r="E1735" s="2" t="s">
        <v>1838</v>
      </c>
      <c r="F1735" s="2">
        <v>22.723500000000001</v>
      </c>
      <c r="G1735" s="2">
        <v>9.7792200000000005</v>
      </c>
      <c r="H1735" s="2">
        <v>-1.2163999999999999</v>
      </c>
    </row>
    <row r="1736" spans="1:8" x14ac:dyDescent="0.2">
      <c r="A1736" s="2" t="s">
        <v>863</v>
      </c>
      <c r="B1736" s="2" t="s">
        <v>3226</v>
      </c>
      <c r="C1736" s="2" t="s">
        <v>1847</v>
      </c>
      <c r="D1736" s="2" t="s">
        <v>1836</v>
      </c>
      <c r="E1736" s="2" t="s">
        <v>1837</v>
      </c>
      <c r="F1736" s="2">
        <v>1.11965</v>
      </c>
      <c r="G1736" s="2">
        <v>0.48151100000000002</v>
      </c>
      <c r="H1736" s="2">
        <v>-1.2174100000000001</v>
      </c>
    </row>
    <row r="1737" spans="1:8" x14ac:dyDescent="0.2">
      <c r="A1737" s="2" t="s">
        <v>1072</v>
      </c>
      <c r="B1737" s="2" t="s">
        <v>3015</v>
      </c>
      <c r="C1737" s="2" t="s">
        <v>1892</v>
      </c>
      <c r="D1737" s="2" t="s">
        <v>1836</v>
      </c>
      <c r="E1737" s="2" t="s">
        <v>1837</v>
      </c>
      <c r="F1737" s="2">
        <v>13.6236</v>
      </c>
      <c r="G1737" s="2">
        <v>5.8566200000000004</v>
      </c>
      <c r="H1737" s="2">
        <v>-1.21797</v>
      </c>
    </row>
    <row r="1738" spans="1:8" x14ac:dyDescent="0.2">
      <c r="A1738" s="2" t="s">
        <v>454</v>
      </c>
      <c r="B1738" s="2" t="s">
        <v>3058</v>
      </c>
      <c r="C1738" s="2" t="s">
        <v>2057</v>
      </c>
      <c r="D1738" s="2" t="s">
        <v>1836</v>
      </c>
      <c r="E1738" s="2" t="s">
        <v>1837</v>
      </c>
      <c r="F1738" s="2">
        <v>9.4695099999999996</v>
      </c>
      <c r="G1738" s="2">
        <v>4.0667799999999996</v>
      </c>
      <c r="H1738" s="2">
        <v>-1.2194</v>
      </c>
    </row>
    <row r="1739" spans="1:8" x14ac:dyDescent="0.2">
      <c r="A1739" s="2" t="s">
        <v>126</v>
      </c>
      <c r="B1739" s="2" t="s">
        <v>3057</v>
      </c>
      <c r="C1739" s="2" t="s">
        <v>1901</v>
      </c>
      <c r="D1739" s="2" t="s">
        <v>1836</v>
      </c>
      <c r="E1739" s="2" t="s">
        <v>1837</v>
      </c>
      <c r="F1739" s="2">
        <v>11.491300000000001</v>
      </c>
      <c r="G1739" s="2">
        <v>4.9334499999999997</v>
      </c>
      <c r="H1739" s="2">
        <v>-1.21987</v>
      </c>
    </row>
    <row r="1740" spans="1:8" x14ac:dyDescent="0.2">
      <c r="A1740" s="2" t="s">
        <v>1178</v>
      </c>
      <c r="B1740" s="2" t="s">
        <v>3015</v>
      </c>
      <c r="C1740" s="2" t="s">
        <v>2405</v>
      </c>
      <c r="D1740" s="2" t="s">
        <v>1836</v>
      </c>
      <c r="E1740" s="2" t="s">
        <v>1838</v>
      </c>
      <c r="F1740" s="2">
        <v>1.08775</v>
      </c>
      <c r="G1740" s="2">
        <v>0.466368</v>
      </c>
      <c r="H1740" s="2">
        <v>-1.2218100000000001</v>
      </c>
    </row>
    <row r="1741" spans="1:8" x14ac:dyDescent="0.2">
      <c r="A1741" s="2" t="s">
        <v>47</v>
      </c>
      <c r="B1741" s="2" t="s">
        <v>3015</v>
      </c>
      <c r="C1741" s="2" t="s">
        <v>1865</v>
      </c>
      <c r="D1741" s="2" t="s">
        <v>1836</v>
      </c>
      <c r="E1741" s="2" t="s">
        <v>1837</v>
      </c>
      <c r="F1741" s="2">
        <v>71.504800000000003</v>
      </c>
      <c r="G1741" s="2">
        <v>30.607299999999999</v>
      </c>
      <c r="H1741" s="2">
        <v>-1.22417</v>
      </c>
    </row>
    <row r="1742" spans="1:8" x14ac:dyDescent="0.2">
      <c r="A1742" s="2" t="s">
        <v>772</v>
      </c>
      <c r="B1742" s="2" t="s">
        <v>3015</v>
      </c>
      <c r="C1742" s="2" t="s">
        <v>1880</v>
      </c>
      <c r="D1742" s="2" t="s">
        <v>1839</v>
      </c>
      <c r="E1742" s="2" t="s">
        <v>1841</v>
      </c>
      <c r="F1742" s="2">
        <v>173.828</v>
      </c>
      <c r="G1742" s="2">
        <v>74.383499999999998</v>
      </c>
      <c r="H1742" s="2">
        <v>-1.22461</v>
      </c>
    </row>
    <row r="1743" spans="1:8" x14ac:dyDescent="0.2">
      <c r="A1743" s="2" t="s">
        <v>608</v>
      </c>
      <c r="B1743" s="2" t="s">
        <v>3030</v>
      </c>
      <c r="C1743" s="2" t="s">
        <v>2128</v>
      </c>
      <c r="D1743" s="2" t="s">
        <v>1839</v>
      </c>
      <c r="E1743" s="2" t="s">
        <v>1841</v>
      </c>
      <c r="F1743" s="2">
        <v>6.6764400000000004</v>
      </c>
      <c r="G1743" s="2">
        <v>2.85656</v>
      </c>
      <c r="H1743" s="2">
        <v>-1.2248000000000001</v>
      </c>
    </row>
    <row r="1744" spans="1:8" x14ac:dyDescent="0.2">
      <c r="A1744" s="2" t="s">
        <v>312</v>
      </c>
      <c r="B1744" s="2" t="s">
        <v>3135</v>
      </c>
      <c r="C1744" s="2" t="s">
        <v>2447</v>
      </c>
      <c r="D1744" s="2" t="s">
        <v>1836</v>
      </c>
      <c r="E1744" s="2" t="s">
        <v>1838</v>
      </c>
      <c r="F1744" s="2">
        <v>2.36652</v>
      </c>
      <c r="G1744" s="2">
        <v>1.01128</v>
      </c>
      <c r="H1744" s="2">
        <v>-1.22658</v>
      </c>
    </row>
    <row r="1745" spans="1:8" x14ac:dyDescent="0.2">
      <c r="A1745" s="2" t="s">
        <v>1033</v>
      </c>
      <c r="B1745" s="2" t="s">
        <v>3261</v>
      </c>
      <c r="C1745" s="2" t="s">
        <v>2329</v>
      </c>
      <c r="D1745" s="2" t="s">
        <v>1836</v>
      </c>
      <c r="E1745" s="2" t="s">
        <v>1838</v>
      </c>
      <c r="F1745" s="2">
        <v>20.3626</v>
      </c>
      <c r="G1745" s="2">
        <v>8.6988599999999998</v>
      </c>
      <c r="H1745" s="2">
        <v>-1.2270300000000001</v>
      </c>
    </row>
    <row r="1746" spans="1:8" x14ac:dyDescent="0.2">
      <c r="A1746" s="2" t="s">
        <v>1000</v>
      </c>
      <c r="B1746" s="2" t="s">
        <v>3015</v>
      </c>
      <c r="C1746" s="2" t="s">
        <v>3016</v>
      </c>
      <c r="D1746" s="2" t="s">
        <v>1836</v>
      </c>
      <c r="E1746" s="2" t="s">
        <v>1837</v>
      </c>
      <c r="F1746" s="2">
        <v>2.5510100000000002</v>
      </c>
      <c r="G1746" s="2">
        <v>1.0897300000000001</v>
      </c>
      <c r="H1746" s="2">
        <v>-1.2271000000000001</v>
      </c>
    </row>
    <row r="1747" spans="1:8" x14ac:dyDescent="0.2">
      <c r="A1747" s="2" t="s">
        <v>1771</v>
      </c>
      <c r="B1747" s="2" t="s">
        <v>3155</v>
      </c>
      <c r="C1747" s="2" t="s">
        <v>3015</v>
      </c>
      <c r="D1747" s="2" t="s">
        <v>1839</v>
      </c>
      <c r="E1747" s="2" t="s">
        <v>1841</v>
      </c>
      <c r="F1747" s="2">
        <v>1.76576</v>
      </c>
      <c r="G1747" s="2">
        <v>0.75401799999999997</v>
      </c>
      <c r="H1747" s="2">
        <v>-1.2276199999999999</v>
      </c>
    </row>
    <row r="1748" spans="1:8" x14ac:dyDescent="0.2">
      <c r="A1748" s="2" t="s">
        <v>214</v>
      </c>
      <c r="B1748" s="2" t="s">
        <v>3015</v>
      </c>
      <c r="C1748" s="2" t="s">
        <v>1945</v>
      </c>
      <c r="D1748" s="2" t="s">
        <v>1836</v>
      </c>
      <c r="E1748" s="2" t="s">
        <v>1837</v>
      </c>
      <c r="F1748" s="2">
        <v>4.7435600000000004</v>
      </c>
      <c r="G1748" s="2">
        <v>2.0251399999999999</v>
      </c>
      <c r="H1748" s="2">
        <v>-1.2279500000000001</v>
      </c>
    </row>
    <row r="1749" spans="1:8" x14ac:dyDescent="0.2">
      <c r="A1749" s="2" t="s">
        <v>165</v>
      </c>
      <c r="B1749" s="2" t="s">
        <v>3015</v>
      </c>
      <c r="C1749" s="2" t="s">
        <v>1880</v>
      </c>
      <c r="D1749" s="2" t="s">
        <v>1839</v>
      </c>
      <c r="E1749" s="2" t="s">
        <v>1841</v>
      </c>
      <c r="F1749" s="2">
        <v>87.256</v>
      </c>
      <c r="G1749" s="2">
        <v>37.2395</v>
      </c>
      <c r="H1749" s="2">
        <v>-1.2284200000000001</v>
      </c>
    </row>
    <row r="1750" spans="1:8" x14ac:dyDescent="0.2">
      <c r="A1750" s="2" t="s">
        <v>1338</v>
      </c>
      <c r="B1750" s="2" t="s">
        <v>3015</v>
      </c>
      <c r="C1750" s="2" t="s">
        <v>2532</v>
      </c>
      <c r="D1750" s="2" t="s">
        <v>1836</v>
      </c>
      <c r="E1750" s="2" t="s">
        <v>1838</v>
      </c>
      <c r="F1750" s="2">
        <v>3.4657900000000001</v>
      </c>
      <c r="G1750" s="2">
        <v>1.4791300000000001</v>
      </c>
      <c r="H1750" s="2">
        <v>-1.22844</v>
      </c>
    </row>
    <row r="1751" spans="1:8" x14ac:dyDescent="0.2">
      <c r="A1751" s="2" t="s">
        <v>1082</v>
      </c>
      <c r="B1751" s="2" t="s">
        <v>3015</v>
      </c>
      <c r="C1751" s="2" t="s">
        <v>2349</v>
      </c>
      <c r="D1751" s="2" t="s">
        <v>1836</v>
      </c>
      <c r="E1751" s="2" t="s">
        <v>1837</v>
      </c>
      <c r="F1751" s="2">
        <v>26.3996</v>
      </c>
      <c r="G1751" s="2">
        <v>11.2639</v>
      </c>
      <c r="H1751" s="2">
        <v>-1.22881</v>
      </c>
    </row>
    <row r="1752" spans="1:8" x14ac:dyDescent="0.2">
      <c r="A1752" s="2" t="s">
        <v>613</v>
      </c>
      <c r="B1752" s="2" t="s">
        <v>3015</v>
      </c>
      <c r="C1752" s="2" t="s">
        <v>2054</v>
      </c>
      <c r="D1752" s="2" t="s">
        <v>1836</v>
      </c>
      <c r="E1752" s="2" t="s">
        <v>1837</v>
      </c>
      <c r="F1752" s="2">
        <v>2.8349899999999999</v>
      </c>
      <c r="G1752" s="2">
        <v>1.2095899999999999</v>
      </c>
      <c r="H1752" s="2">
        <v>-1.2288300000000001</v>
      </c>
    </row>
    <row r="1753" spans="1:8" x14ac:dyDescent="0.2">
      <c r="A1753" s="2" t="s">
        <v>523</v>
      </c>
      <c r="B1753" s="2" t="s">
        <v>3154</v>
      </c>
      <c r="C1753" s="2" t="s">
        <v>2091</v>
      </c>
      <c r="D1753" s="2" t="s">
        <v>1836</v>
      </c>
      <c r="E1753" s="2" t="s">
        <v>1838</v>
      </c>
      <c r="F1753" s="2">
        <v>14.6564</v>
      </c>
      <c r="G1753" s="2">
        <v>6.2471800000000002</v>
      </c>
      <c r="H1753" s="2">
        <v>-1.2302500000000001</v>
      </c>
    </row>
    <row r="1754" spans="1:8" x14ac:dyDescent="0.2">
      <c r="A1754" s="2" t="s">
        <v>1198</v>
      </c>
      <c r="B1754" s="2" t="s">
        <v>3049</v>
      </c>
      <c r="C1754" s="2" t="s">
        <v>3015</v>
      </c>
      <c r="D1754" s="2" t="s">
        <v>1836</v>
      </c>
      <c r="E1754" s="2" t="s">
        <v>1838</v>
      </c>
      <c r="F1754" s="2">
        <v>3.6998700000000002</v>
      </c>
      <c r="G1754" s="2">
        <v>1.57677</v>
      </c>
      <c r="H1754" s="2">
        <v>-1.2304999999999999</v>
      </c>
    </row>
    <row r="1755" spans="1:8" x14ac:dyDescent="0.2">
      <c r="A1755" s="2" t="s">
        <v>1128</v>
      </c>
      <c r="B1755" s="2" t="s">
        <v>3279</v>
      </c>
      <c r="C1755" s="2" t="s">
        <v>3015</v>
      </c>
      <c r="D1755" s="2" t="s">
        <v>1839</v>
      </c>
      <c r="E1755" s="2" t="s">
        <v>1840</v>
      </c>
      <c r="F1755" s="2">
        <v>11.676</v>
      </c>
      <c r="G1755" s="2">
        <v>4.9741999999999997</v>
      </c>
      <c r="H1755" s="2">
        <v>-1.2310099999999999</v>
      </c>
    </row>
    <row r="1756" spans="1:8" x14ac:dyDescent="0.2">
      <c r="A1756" s="2" t="s">
        <v>1768</v>
      </c>
      <c r="B1756" s="2" t="s">
        <v>3015</v>
      </c>
      <c r="C1756" s="2" t="s">
        <v>1847</v>
      </c>
      <c r="D1756" s="2" t="s">
        <v>1839</v>
      </c>
      <c r="E1756" s="2" t="s">
        <v>1841</v>
      </c>
      <c r="F1756" s="2">
        <v>1.9741500000000001</v>
      </c>
      <c r="G1756" s="2">
        <v>0.84081300000000003</v>
      </c>
      <c r="H1756" s="2">
        <v>-1.2313700000000001</v>
      </c>
    </row>
    <row r="1757" spans="1:8" x14ac:dyDescent="0.2">
      <c r="A1757" s="2" t="s">
        <v>591</v>
      </c>
      <c r="B1757" s="2" t="s">
        <v>3087</v>
      </c>
      <c r="C1757" s="2" t="s">
        <v>2501</v>
      </c>
      <c r="D1757" s="2" t="s">
        <v>1836</v>
      </c>
      <c r="E1757" s="2" t="s">
        <v>1838</v>
      </c>
      <c r="F1757" s="2">
        <v>2.4919600000000002</v>
      </c>
      <c r="G1757" s="2">
        <v>1.06064</v>
      </c>
      <c r="H1757" s="2">
        <v>-1.23234</v>
      </c>
    </row>
    <row r="1758" spans="1:8" x14ac:dyDescent="0.2">
      <c r="A1758" s="2" t="s">
        <v>1462</v>
      </c>
      <c r="B1758" s="2" t="s">
        <v>3381</v>
      </c>
      <c r="C1758" s="2" t="s">
        <v>2018</v>
      </c>
      <c r="D1758" s="2" t="s">
        <v>1836</v>
      </c>
      <c r="E1758" s="2" t="s">
        <v>1838</v>
      </c>
      <c r="F1758" s="2">
        <v>1.7914000000000001</v>
      </c>
      <c r="G1758" s="2">
        <v>0.76242399999999999</v>
      </c>
      <c r="H1758" s="2">
        <v>-1.2324200000000001</v>
      </c>
    </row>
    <row r="1759" spans="1:8" x14ac:dyDescent="0.2">
      <c r="A1759" s="2" t="s">
        <v>233</v>
      </c>
      <c r="B1759" s="2" t="s">
        <v>3092</v>
      </c>
      <c r="C1759" s="2" t="s">
        <v>1953</v>
      </c>
      <c r="D1759" s="2" t="s">
        <v>1836</v>
      </c>
      <c r="E1759" s="2" t="s">
        <v>1838</v>
      </c>
      <c r="F1759" s="2">
        <v>2.37799</v>
      </c>
      <c r="G1759" s="2">
        <v>1.0119100000000001</v>
      </c>
      <c r="H1759" s="2">
        <v>-1.2326600000000001</v>
      </c>
    </row>
    <row r="1760" spans="1:8" x14ac:dyDescent="0.2">
      <c r="A1760" s="2" t="s">
        <v>1429</v>
      </c>
      <c r="B1760" s="2" t="s">
        <v>3093</v>
      </c>
      <c r="C1760" s="2" t="s">
        <v>2589</v>
      </c>
      <c r="D1760" s="2" t="s">
        <v>1836</v>
      </c>
      <c r="E1760" s="2" t="s">
        <v>1838</v>
      </c>
      <c r="F1760" s="2">
        <v>1.2181500000000001</v>
      </c>
      <c r="G1760" s="2">
        <v>0.51833399999999996</v>
      </c>
      <c r="H1760" s="2">
        <v>-1.2327399999999999</v>
      </c>
    </row>
    <row r="1761" spans="1:8" x14ac:dyDescent="0.2">
      <c r="A1761" s="2" t="s">
        <v>247</v>
      </c>
      <c r="B1761" s="2" t="s">
        <v>3031</v>
      </c>
      <c r="C1761" s="2" t="s">
        <v>1960</v>
      </c>
      <c r="D1761" s="2" t="s">
        <v>1836</v>
      </c>
      <c r="E1761" s="2" t="s">
        <v>1837</v>
      </c>
      <c r="F1761" s="2">
        <v>23.2804</v>
      </c>
      <c r="G1761" s="2">
        <v>9.9021500000000007</v>
      </c>
      <c r="H1761" s="2">
        <v>-1.2333000000000001</v>
      </c>
    </row>
    <row r="1762" spans="1:8" x14ac:dyDescent="0.2">
      <c r="A1762" s="2" t="s">
        <v>27</v>
      </c>
      <c r="B1762" s="2" t="s">
        <v>3030</v>
      </c>
      <c r="C1762" s="2" t="s">
        <v>1854</v>
      </c>
      <c r="D1762" s="2" t="s">
        <v>1836</v>
      </c>
      <c r="E1762" s="2" t="s">
        <v>1838</v>
      </c>
      <c r="F1762" s="2">
        <v>8.2099299999999999</v>
      </c>
      <c r="G1762" s="2">
        <v>3.4916700000000001</v>
      </c>
      <c r="H1762" s="2">
        <v>-1.2334499999999999</v>
      </c>
    </row>
    <row r="1763" spans="1:8" x14ac:dyDescent="0.2">
      <c r="A1763" s="2" t="s">
        <v>1417</v>
      </c>
      <c r="B1763" s="2" t="s">
        <v>3015</v>
      </c>
      <c r="C1763" s="2" t="s">
        <v>2914</v>
      </c>
      <c r="D1763" s="2" t="s">
        <v>1839</v>
      </c>
      <c r="E1763" s="2" t="s">
        <v>1841</v>
      </c>
      <c r="F1763" s="2">
        <v>1.5181199999999999</v>
      </c>
      <c r="G1763" s="2">
        <v>0.64555200000000001</v>
      </c>
      <c r="H1763" s="2">
        <v>-1.2336800000000001</v>
      </c>
    </row>
    <row r="1764" spans="1:8" x14ac:dyDescent="0.2">
      <c r="A1764" s="2" t="s">
        <v>407</v>
      </c>
      <c r="B1764" s="2" t="s">
        <v>3133</v>
      </c>
      <c r="C1764" s="2" t="s">
        <v>2031</v>
      </c>
      <c r="D1764" s="2" t="s">
        <v>1836</v>
      </c>
      <c r="E1764" s="2" t="s">
        <v>1837</v>
      </c>
      <c r="F1764" s="2">
        <v>16.747900000000001</v>
      </c>
      <c r="G1764" s="2">
        <v>7.1173500000000001</v>
      </c>
      <c r="H1764" s="2">
        <v>-1.2345699999999999</v>
      </c>
    </row>
    <row r="1765" spans="1:8" x14ac:dyDescent="0.2">
      <c r="A1765" s="2" t="s">
        <v>430</v>
      </c>
      <c r="B1765" s="2" t="s">
        <v>3015</v>
      </c>
      <c r="C1765" s="2" t="s">
        <v>2043</v>
      </c>
      <c r="D1765" s="2" t="s">
        <v>1836</v>
      </c>
      <c r="E1765" s="2" t="s">
        <v>1837</v>
      </c>
      <c r="F1765" s="2">
        <v>2.1421100000000002</v>
      </c>
      <c r="G1765" s="2">
        <v>0.90865899999999999</v>
      </c>
      <c r="H1765" s="2">
        <v>-1.23722</v>
      </c>
    </row>
    <row r="1766" spans="1:8" x14ac:dyDescent="0.2">
      <c r="A1766" s="2" t="s">
        <v>580</v>
      </c>
      <c r="B1766" s="2" t="s">
        <v>3015</v>
      </c>
      <c r="C1766" s="2" t="s">
        <v>2116</v>
      </c>
      <c r="D1766" s="2" t="s">
        <v>1836</v>
      </c>
      <c r="E1766" s="2" t="s">
        <v>1837</v>
      </c>
      <c r="F1766" s="2">
        <v>6.8998400000000002</v>
      </c>
      <c r="G1766" s="2">
        <v>2.92455</v>
      </c>
      <c r="H1766" s="2">
        <v>-1.2383500000000001</v>
      </c>
    </row>
    <row r="1767" spans="1:8" x14ac:dyDescent="0.2">
      <c r="A1767" s="2" t="s">
        <v>184</v>
      </c>
      <c r="B1767" s="2" t="s">
        <v>3074</v>
      </c>
      <c r="C1767" s="2" t="s">
        <v>1929</v>
      </c>
      <c r="D1767" s="2" t="s">
        <v>1839</v>
      </c>
      <c r="E1767" s="2" t="s">
        <v>1841</v>
      </c>
      <c r="F1767" s="2">
        <v>1.76997</v>
      </c>
      <c r="G1767" s="2">
        <v>0.75004400000000004</v>
      </c>
      <c r="H1767" s="2">
        <v>-1.23868</v>
      </c>
    </row>
    <row r="1768" spans="1:8" x14ac:dyDescent="0.2">
      <c r="A1768" s="2" t="s">
        <v>134</v>
      </c>
      <c r="B1768" s="2" t="s">
        <v>3292</v>
      </c>
      <c r="C1768" s="2" t="s">
        <v>2406</v>
      </c>
      <c r="D1768" s="2" t="s">
        <v>1836</v>
      </c>
      <c r="E1768" s="2" t="s">
        <v>1838</v>
      </c>
      <c r="F1768" s="2">
        <v>7.4361199999999998</v>
      </c>
      <c r="G1768" s="2">
        <v>3.1511100000000001</v>
      </c>
      <c r="H1768" s="2">
        <v>-1.2386900000000001</v>
      </c>
    </row>
    <row r="1769" spans="1:8" x14ac:dyDescent="0.2">
      <c r="A1769" s="2" t="s">
        <v>1301</v>
      </c>
      <c r="B1769" s="2" t="s">
        <v>3193</v>
      </c>
      <c r="C1769" s="2" t="s">
        <v>2803</v>
      </c>
      <c r="D1769" s="2" t="s">
        <v>1839</v>
      </c>
      <c r="E1769" s="2" t="s">
        <v>1840</v>
      </c>
      <c r="F1769" s="2">
        <v>6.21685</v>
      </c>
      <c r="G1769" s="2">
        <v>2.6338400000000002</v>
      </c>
      <c r="H1769" s="2">
        <v>-1.23902</v>
      </c>
    </row>
    <row r="1770" spans="1:8" x14ac:dyDescent="0.2">
      <c r="A1770" s="2" t="s">
        <v>614</v>
      </c>
      <c r="B1770" s="2" t="s">
        <v>3015</v>
      </c>
      <c r="C1770" s="2" t="s">
        <v>2816</v>
      </c>
      <c r="D1770" s="2" t="s">
        <v>1839</v>
      </c>
      <c r="E1770" s="2" t="s">
        <v>1841</v>
      </c>
      <c r="F1770" s="2">
        <v>2.2815799999999999</v>
      </c>
      <c r="G1770" s="2">
        <v>0.96648999999999996</v>
      </c>
      <c r="H1770" s="2">
        <v>-1.2392099999999999</v>
      </c>
    </row>
    <row r="1771" spans="1:8" x14ac:dyDescent="0.2">
      <c r="A1771" s="2" t="s">
        <v>1557</v>
      </c>
      <c r="B1771" s="2" t="s">
        <v>3015</v>
      </c>
      <c r="C1771" s="2" t="s">
        <v>3016</v>
      </c>
      <c r="D1771" s="2" t="s">
        <v>1839</v>
      </c>
      <c r="E1771" s="2" t="s">
        <v>1841</v>
      </c>
      <c r="F1771" s="2">
        <v>0.92178300000000002</v>
      </c>
      <c r="G1771" s="2">
        <v>0.39046199999999998</v>
      </c>
      <c r="H1771" s="2">
        <v>-1.23925</v>
      </c>
    </row>
    <row r="1772" spans="1:8" x14ac:dyDescent="0.2">
      <c r="A1772" s="2" t="s">
        <v>742</v>
      </c>
      <c r="B1772" s="2" t="s">
        <v>3058</v>
      </c>
      <c r="C1772" s="2" t="s">
        <v>2185</v>
      </c>
      <c r="D1772" s="2" t="s">
        <v>1836</v>
      </c>
      <c r="E1772" s="2" t="s">
        <v>1837</v>
      </c>
      <c r="F1772" s="2">
        <v>2.4286599999999998</v>
      </c>
      <c r="G1772" s="2">
        <v>1.02867</v>
      </c>
      <c r="H1772" s="2">
        <v>-1.2393799999999999</v>
      </c>
    </row>
    <row r="1773" spans="1:8" x14ac:dyDescent="0.2">
      <c r="A1773" s="2" t="s">
        <v>27</v>
      </c>
      <c r="B1773" s="2" t="s">
        <v>3030</v>
      </c>
      <c r="C1773" s="2" t="s">
        <v>1854</v>
      </c>
      <c r="D1773" s="2" t="s">
        <v>1836</v>
      </c>
      <c r="E1773" s="2" t="s">
        <v>1837</v>
      </c>
      <c r="F1773" s="2">
        <v>8.2099299999999999</v>
      </c>
      <c r="G1773" s="2">
        <v>3.4771700000000001</v>
      </c>
      <c r="H1773" s="2">
        <v>-1.23946</v>
      </c>
    </row>
    <row r="1774" spans="1:8" x14ac:dyDescent="0.2">
      <c r="A1774" s="2" t="s">
        <v>333</v>
      </c>
      <c r="B1774" s="2" t="s">
        <v>3119</v>
      </c>
      <c r="C1774" s="2" t="s">
        <v>2000</v>
      </c>
      <c r="D1774" s="2" t="s">
        <v>1836</v>
      </c>
      <c r="E1774" s="2" t="s">
        <v>1838</v>
      </c>
      <c r="F1774" s="2">
        <v>12.7761</v>
      </c>
      <c r="G1774" s="2">
        <v>5.4034899999999997</v>
      </c>
      <c r="H1774" s="2">
        <v>-1.24149</v>
      </c>
    </row>
    <row r="1775" spans="1:8" x14ac:dyDescent="0.2">
      <c r="A1775" s="2" t="s">
        <v>1258</v>
      </c>
      <c r="B1775" s="2" t="s">
        <v>3153</v>
      </c>
      <c r="C1775" s="2" t="s">
        <v>2462</v>
      </c>
      <c r="D1775" s="2" t="s">
        <v>1836</v>
      </c>
      <c r="E1775" s="2" t="s">
        <v>1838</v>
      </c>
      <c r="F1775" s="2">
        <v>62.427500000000002</v>
      </c>
      <c r="G1775" s="2">
        <v>26.400700000000001</v>
      </c>
      <c r="H1775" s="2">
        <v>-1.2416</v>
      </c>
    </row>
    <row r="1776" spans="1:8" x14ac:dyDescent="0.2">
      <c r="A1776" s="2" t="s">
        <v>564</v>
      </c>
      <c r="B1776" s="2" t="s">
        <v>3015</v>
      </c>
      <c r="C1776" s="2" t="s">
        <v>1880</v>
      </c>
      <c r="D1776" s="2" t="s">
        <v>1836</v>
      </c>
      <c r="E1776" s="2" t="s">
        <v>1837</v>
      </c>
      <c r="F1776" s="2">
        <v>1.20248</v>
      </c>
      <c r="G1776" s="2">
        <v>0.50843099999999997</v>
      </c>
      <c r="H1776" s="2">
        <v>-1.2418899999999999</v>
      </c>
    </row>
    <row r="1777" spans="1:8" x14ac:dyDescent="0.2">
      <c r="A1777" s="2" t="s">
        <v>790</v>
      </c>
      <c r="B1777" s="2" t="s">
        <v>3015</v>
      </c>
      <c r="C1777" s="2" t="s">
        <v>2202</v>
      </c>
      <c r="D1777" s="2" t="s">
        <v>1836</v>
      </c>
      <c r="E1777" s="2" t="s">
        <v>1837</v>
      </c>
      <c r="F1777" s="2">
        <v>17.147099999999998</v>
      </c>
      <c r="G1777" s="2">
        <v>7.2487199999999996</v>
      </c>
      <c r="H1777" s="2">
        <v>-1.24217</v>
      </c>
    </row>
    <row r="1778" spans="1:8" x14ac:dyDescent="0.2">
      <c r="A1778" s="2" t="s">
        <v>1783</v>
      </c>
      <c r="B1778" s="2" t="s">
        <v>3015</v>
      </c>
      <c r="C1778" s="2" t="s">
        <v>2959</v>
      </c>
      <c r="D1778" s="2" t="s">
        <v>1839</v>
      </c>
      <c r="E1778" s="2" t="s">
        <v>1841</v>
      </c>
      <c r="F1778" s="2">
        <v>0.82741100000000001</v>
      </c>
      <c r="G1778" s="2">
        <v>0.34961599999999998</v>
      </c>
      <c r="H1778" s="2">
        <v>-1.2428300000000001</v>
      </c>
    </row>
    <row r="1779" spans="1:8" x14ac:dyDescent="0.2">
      <c r="A1779" s="2" t="s">
        <v>93</v>
      </c>
      <c r="B1779" s="2" t="s">
        <v>3015</v>
      </c>
      <c r="C1779" s="2" t="s">
        <v>1844</v>
      </c>
      <c r="D1779" s="2" t="s">
        <v>1836</v>
      </c>
      <c r="E1779" s="2" t="s">
        <v>1837</v>
      </c>
      <c r="F1779" s="2">
        <v>1.9734700000000001</v>
      </c>
      <c r="G1779" s="2">
        <v>0.83375200000000005</v>
      </c>
      <c r="H1779" s="2">
        <v>-1.2430399999999999</v>
      </c>
    </row>
    <row r="1780" spans="1:8" x14ac:dyDescent="0.2">
      <c r="A1780" s="2" t="s">
        <v>1765</v>
      </c>
      <c r="B1780" s="2" t="s">
        <v>3015</v>
      </c>
      <c r="C1780" s="2" t="s">
        <v>2937</v>
      </c>
      <c r="D1780" s="2" t="s">
        <v>1839</v>
      </c>
      <c r="E1780" s="2" t="s">
        <v>1840</v>
      </c>
      <c r="F1780" s="2">
        <v>0.84363200000000005</v>
      </c>
      <c r="G1780" s="2">
        <v>0.356379</v>
      </c>
      <c r="H1780" s="2">
        <v>-1.2432000000000001</v>
      </c>
    </row>
    <row r="1781" spans="1:8" x14ac:dyDescent="0.2">
      <c r="A1781" s="2" t="s">
        <v>1269</v>
      </c>
      <c r="B1781" s="2" t="s">
        <v>3256</v>
      </c>
      <c r="C1781" s="2" t="s">
        <v>2472</v>
      </c>
      <c r="D1781" s="2" t="s">
        <v>1836</v>
      </c>
      <c r="E1781" s="2" t="s">
        <v>1838</v>
      </c>
      <c r="F1781" s="2">
        <v>3.4169900000000002</v>
      </c>
      <c r="G1781" s="2">
        <v>1.4427700000000001</v>
      </c>
      <c r="H1781" s="2">
        <v>-1.2438899999999999</v>
      </c>
    </row>
    <row r="1782" spans="1:8" x14ac:dyDescent="0.2">
      <c r="A1782" s="2" t="s">
        <v>1024</v>
      </c>
      <c r="B1782" s="2" t="s">
        <v>3094</v>
      </c>
      <c r="C1782" s="2" t="s">
        <v>2324</v>
      </c>
      <c r="D1782" s="2" t="s">
        <v>1836</v>
      </c>
      <c r="E1782" s="2" t="s">
        <v>1837</v>
      </c>
      <c r="F1782" s="2">
        <v>15.248799999999999</v>
      </c>
      <c r="G1782" s="2">
        <v>6.4359099999999998</v>
      </c>
      <c r="H1782" s="2">
        <v>-1.24448</v>
      </c>
    </row>
    <row r="1783" spans="1:8" x14ac:dyDescent="0.2">
      <c r="A1783" s="2" t="s">
        <v>169</v>
      </c>
      <c r="B1783" s="2" t="s">
        <v>3068</v>
      </c>
      <c r="C1783" s="2" t="s">
        <v>3015</v>
      </c>
      <c r="D1783" s="2" t="s">
        <v>1836</v>
      </c>
      <c r="E1783" s="2" t="s">
        <v>1838</v>
      </c>
      <c r="F1783" s="2">
        <v>9.5347799999999996</v>
      </c>
      <c r="G1783" s="2">
        <v>4.0239000000000003</v>
      </c>
      <c r="H1783" s="2">
        <v>-1.24461</v>
      </c>
    </row>
    <row r="1784" spans="1:8" x14ac:dyDescent="0.2">
      <c r="A1784" s="2" t="s">
        <v>1622</v>
      </c>
      <c r="B1784" s="2" t="s">
        <v>3435</v>
      </c>
      <c r="C1784" s="2" t="s">
        <v>2246</v>
      </c>
      <c r="D1784" s="2" t="s">
        <v>1839</v>
      </c>
      <c r="E1784" s="2" t="s">
        <v>1841</v>
      </c>
      <c r="F1784" s="2">
        <v>4.5105899999999997</v>
      </c>
      <c r="G1784" s="2">
        <v>1.9027400000000001</v>
      </c>
      <c r="H1784" s="2">
        <v>-1.2452399999999999</v>
      </c>
    </row>
    <row r="1785" spans="1:8" x14ac:dyDescent="0.2">
      <c r="A1785" s="2" t="s">
        <v>853</v>
      </c>
      <c r="B1785" s="2" t="s">
        <v>3369</v>
      </c>
      <c r="C1785" s="2" t="s">
        <v>2581</v>
      </c>
      <c r="D1785" s="2" t="s">
        <v>1836</v>
      </c>
      <c r="E1785" s="2" t="s">
        <v>1838</v>
      </c>
      <c r="F1785" s="2">
        <v>49.234200000000001</v>
      </c>
      <c r="G1785" s="2">
        <v>20.7684</v>
      </c>
      <c r="H1785" s="2">
        <v>-1.2452700000000001</v>
      </c>
    </row>
    <row r="1786" spans="1:8" x14ac:dyDescent="0.2">
      <c r="A1786" s="2" t="s">
        <v>396</v>
      </c>
      <c r="B1786" s="2" t="s">
        <v>3015</v>
      </c>
      <c r="C1786" s="2" t="s">
        <v>3016</v>
      </c>
      <c r="D1786" s="2" t="s">
        <v>1836</v>
      </c>
      <c r="E1786" s="2" t="s">
        <v>1838</v>
      </c>
      <c r="F1786" s="2">
        <v>8.1166800000000006</v>
      </c>
      <c r="G1786" s="2">
        <v>3.4234100000000001</v>
      </c>
      <c r="H1786" s="2">
        <v>-1.24546</v>
      </c>
    </row>
    <row r="1787" spans="1:8" x14ac:dyDescent="0.2">
      <c r="A1787" s="2" t="s">
        <v>91</v>
      </c>
      <c r="B1787" s="2" t="s">
        <v>3030</v>
      </c>
      <c r="C1787" s="2" t="s">
        <v>1880</v>
      </c>
      <c r="D1787" s="2" t="s">
        <v>1836</v>
      </c>
      <c r="E1787" s="2" t="s">
        <v>1838</v>
      </c>
      <c r="F1787" s="2">
        <v>2.6052399999999998</v>
      </c>
      <c r="G1787" s="2">
        <v>1.0978399999999999</v>
      </c>
      <c r="H1787" s="2">
        <v>-1.24675</v>
      </c>
    </row>
    <row r="1788" spans="1:8" x14ac:dyDescent="0.2">
      <c r="A1788" s="2" t="s">
        <v>649</v>
      </c>
      <c r="B1788" s="2" t="s">
        <v>3015</v>
      </c>
      <c r="C1788" s="2" t="s">
        <v>2146</v>
      </c>
      <c r="D1788" s="2" t="s">
        <v>1836</v>
      </c>
      <c r="E1788" s="2" t="s">
        <v>1837</v>
      </c>
      <c r="F1788" s="2">
        <v>1.3088900000000001</v>
      </c>
      <c r="G1788" s="2">
        <v>0.55152999999999996</v>
      </c>
      <c r="H1788" s="2">
        <v>-1.2468300000000001</v>
      </c>
    </row>
    <row r="1789" spans="1:8" x14ac:dyDescent="0.2">
      <c r="A1789" s="2" t="s">
        <v>285</v>
      </c>
      <c r="B1789" s="2" t="s">
        <v>3015</v>
      </c>
      <c r="C1789" s="2" t="s">
        <v>1976</v>
      </c>
      <c r="D1789" s="2" t="s">
        <v>1836</v>
      </c>
      <c r="E1789" s="2" t="s">
        <v>1837</v>
      </c>
      <c r="F1789" s="2">
        <v>2.4778600000000002</v>
      </c>
      <c r="G1789" s="2">
        <v>1.04382</v>
      </c>
      <c r="H1789" s="2">
        <v>-1.24722</v>
      </c>
    </row>
    <row r="1790" spans="1:8" x14ac:dyDescent="0.2">
      <c r="A1790" s="2" t="s">
        <v>94</v>
      </c>
      <c r="B1790" s="2" t="s">
        <v>3286</v>
      </c>
      <c r="C1790" s="2" t="s">
        <v>3015</v>
      </c>
      <c r="D1790" s="2" t="s">
        <v>1836</v>
      </c>
      <c r="E1790" s="2" t="s">
        <v>1838</v>
      </c>
      <c r="F1790" s="2">
        <v>54.419400000000003</v>
      </c>
      <c r="G1790" s="2">
        <v>22.908799999999999</v>
      </c>
      <c r="H1790" s="2">
        <v>-1.2482200000000001</v>
      </c>
    </row>
    <row r="1791" spans="1:8" x14ac:dyDescent="0.2">
      <c r="A1791" s="2" t="s">
        <v>89</v>
      </c>
      <c r="B1791" s="2" t="s">
        <v>3046</v>
      </c>
      <c r="C1791" s="2" t="s">
        <v>1882</v>
      </c>
      <c r="D1791" s="2" t="s">
        <v>1836</v>
      </c>
      <c r="E1791" s="2" t="s">
        <v>1838</v>
      </c>
      <c r="F1791" s="2">
        <v>2.21008</v>
      </c>
      <c r="G1791" s="2">
        <v>0.92837400000000003</v>
      </c>
      <c r="H1791" s="2">
        <v>-1.25132</v>
      </c>
    </row>
    <row r="1792" spans="1:8" x14ac:dyDescent="0.2">
      <c r="A1792" s="2" t="s">
        <v>1775</v>
      </c>
      <c r="B1792" s="2" t="s">
        <v>3100</v>
      </c>
      <c r="C1792" s="2" t="s">
        <v>2948</v>
      </c>
      <c r="D1792" s="2" t="s">
        <v>1839</v>
      </c>
      <c r="E1792" s="2" t="s">
        <v>1841</v>
      </c>
      <c r="F1792" s="2">
        <v>1.1756500000000001</v>
      </c>
      <c r="G1792" s="2">
        <v>0.493842</v>
      </c>
      <c r="H1792" s="2">
        <v>-1.2513399999999999</v>
      </c>
    </row>
    <row r="1793" spans="1:8" x14ac:dyDescent="0.2">
      <c r="A1793" s="2" t="s">
        <v>1168</v>
      </c>
      <c r="B1793" s="2" t="s">
        <v>3015</v>
      </c>
      <c r="C1793" s="2" t="s">
        <v>2663</v>
      </c>
      <c r="D1793" s="2" t="s">
        <v>1839</v>
      </c>
      <c r="E1793" s="2" t="s">
        <v>1841</v>
      </c>
      <c r="F1793" s="2">
        <v>2.5672899999999998</v>
      </c>
      <c r="G1793" s="2">
        <v>1.07765</v>
      </c>
      <c r="H1793" s="2">
        <v>-1.2523500000000001</v>
      </c>
    </row>
    <row r="1794" spans="1:8" x14ac:dyDescent="0.2">
      <c r="A1794" s="2" t="s">
        <v>117</v>
      </c>
      <c r="B1794" s="2" t="s">
        <v>3054</v>
      </c>
      <c r="C1794" s="2" t="s">
        <v>1894</v>
      </c>
      <c r="D1794" s="2" t="s">
        <v>1839</v>
      </c>
      <c r="E1794" s="2" t="s">
        <v>1841</v>
      </c>
      <c r="F1794" s="2">
        <v>3.3054600000000001</v>
      </c>
      <c r="G1794" s="2">
        <v>1.3873800000000001</v>
      </c>
      <c r="H1794" s="2">
        <v>-1.2524900000000001</v>
      </c>
    </row>
    <row r="1795" spans="1:8" x14ac:dyDescent="0.2">
      <c r="A1795" s="2" t="s">
        <v>1765</v>
      </c>
      <c r="B1795" s="2" t="s">
        <v>3015</v>
      </c>
      <c r="C1795" s="2" t="s">
        <v>2937</v>
      </c>
      <c r="D1795" s="2" t="s">
        <v>1839</v>
      </c>
      <c r="E1795" s="2" t="s">
        <v>1841</v>
      </c>
      <c r="F1795" s="2">
        <v>0.84363200000000005</v>
      </c>
      <c r="G1795" s="2">
        <v>0.35392299999999999</v>
      </c>
      <c r="H1795" s="2">
        <v>-1.25318</v>
      </c>
    </row>
    <row r="1796" spans="1:8" x14ac:dyDescent="0.2">
      <c r="A1796" s="2" t="s">
        <v>54</v>
      </c>
      <c r="B1796" s="2" t="s">
        <v>3039</v>
      </c>
      <c r="C1796" s="2" t="s">
        <v>1868</v>
      </c>
      <c r="D1796" s="2" t="s">
        <v>1836</v>
      </c>
      <c r="E1796" s="2" t="s">
        <v>1837</v>
      </c>
      <c r="F1796" s="2">
        <v>22.2803</v>
      </c>
      <c r="G1796" s="2">
        <v>9.3444400000000005</v>
      </c>
      <c r="H1796" s="2">
        <v>-1.25359</v>
      </c>
    </row>
    <row r="1797" spans="1:8" x14ac:dyDescent="0.2">
      <c r="A1797" s="2" t="s">
        <v>1791</v>
      </c>
      <c r="B1797" s="2" t="s">
        <v>3015</v>
      </c>
      <c r="C1797" s="2" t="s">
        <v>1880</v>
      </c>
      <c r="D1797" s="2" t="s">
        <v>1839</v>
      </c>
      <c r="E1797" s="2" t="s">
        <v>1841</v>
      </c>
      <c r="F1797" s="2">
        <v>4.4081200000000003</v>
      </c>
      <c r="G1797" s="2">
        <v>1.8487199999999999</v>
      </c>
      <c r="H1797" s="2">
        <v>-1.2536400000000001</v>
      </c>
    </row>
    <row r="1798" spans="1:8" x14ac:dyDescent="0.2">
      <c r="A1798" s="2" t="s">
        <v>837</v>
      </c>
      <c r="B1798" s="2" t="s">
        <v>3094</v>
      </c>
      <c r="C1798" s="2" t="s">
        <v>2227</v>
      </c>
      <c r="D1798" s="2" t="s">
        <v>1836</v>
      </c>
      <c r="E1798" s="2" t="s">
        <v>1837</v>
      </c>
      <c r="F1798" s="2">
        <v>3.4685199999999998</v>
      </c>
      <c r="G1798" s="2">
        <v>1.45427</v>
      </c>
      <c r="H1798" s="2">
        <v>-1.25403</v>
      </c>
    </row>
    <row r="1799" spans="1:8" x14ac:dyDescent="0.2">
      <c r="A1799" s="2" t="s">
        <v>97</v>
      </c>
      <c r="B1799" s="2" t="s">
        <v>3392</v>
      </c>
      <c r="C1799" s="2" t="s">
        <v>2651</v>
      </c>
      <c r="D1799" s="2" t="s">
        <v>1839</v>
      </c>
      <c r="E1799" s="2" t="s">
        <v>1841</v>
      </c>
      <c r="F1799" s="2">
        <v>57.593000000000004</v>
      </c>
      <c r="G1799" s="2">
        <v>24.135400000000001</v>
      </c>
      <c r="H1799" s="2">
        <v>-1.25474</v>
      </c>
    </row>
    <row r="1800" spans="1:8" x14ac:dyDescent="0.2">
      <c r="A1800" s="2" t="s">
        <v>683</v>
      </c>
      <c r="B1800" s="2" t="s">
        <v>3080</v>
      </c>
      <c r="C1800" s="2" t="s">
        <v>2160</v>
      </c>
      <c r="D1800" s="2" t="s">
        <v>1836</v>
      </c>
      <c r="E1800" s="2" t="s">
        <v>1837</v>
      </c>
      <c r="F1800" s="2">
        <v>3.46069</v>
      </c>
      <c r="G1800" s="2">
        <v>1.4502600000000001</v>
      </c>
      <c r="H1800" s="2">
        <v>-1.25475</v>
      </c>
    </row>
    <row r="1801" spans="1:8" x14ac:dyDescent="0.2">
      <c r="A1801" s="2" t="s">
        <v>178</v>
      </c>
      <c r="B1801" s="2" t="s">
        <v>3015</v>
      </c>
      <c r="C1801" s="2" t="s">
        <v>1927</v>
      </c>
      <c r="D1801" s="2" t="s">
        <v>1836</v>
      </c>
      <c r="E1801" s="2" t="s">
        <v>1837</v>
      </c>
      <c r="F1801" s="2">
        <v>1.3225899999999999</v>
      </c>
      <c r="G1801" s="2">
        <v>0.55396199999999995</v>
      </c>
      <c r="H1801" s="2">
        <v>-1.2555099999999999</v>
      </c>
    </row>
    <row r="1802" spans="1:8" x14ac:dyDescent="0.2">
      <c r="A1802" s="2" t="s">
        <v>962</v>
      </c>
      <c r="B1802" s="2" t="s">
        <v>3245</v>
      </c>
      <c r="C1802" s="2" t="s">
        <v>2590</v>
      </c>
      <c r="D1802" s="2" t="s">
        <v>1836</v>
      </c>
      <c r="E1802" s="2" t="s">
        <v>1838</v>
      </c>
      <c r="F1802" s="2">
        <v>15.619300000000001</v>
      </c>
      <c r="G1802" s="2">
        <v>6.5407599999999997</v>
      </c>
      <c r="H1802" s="2">
        <v>-1.2558</v>
      </c>
    </row>
    <row r="1803" spans="1:8" x14ac:dyDescent="0.2">
      <c r="A1803" s="2" t="s">
        <v>86</v>
      </c>
      <c r="B1803" s="2" t="s">
        <v>3015</v>
      </c>
      <c r="C1803" s="2" t="s">
        <v>2644</v>
      </c>
      <c r="D1803" s="2" t="s">
        <v>1839</v>
      </c>
      <c r="E1803" s="2" t="s">
        <v>1841</v>
      </c>
      <c r="F1803" s="2">
        <v>75.731099999999998</v>
      </c>
      <c r="G1803" s="2">
        <v>31.713200000000001</v>
      </c>
      <c r="H1803" s="2">
        <v>-1.2558</v>
      </c>
    </row>
    <row r="1804" spans="1:8" x14ac:dyDescent="0.2">
      <c r="A1804" s="2" t="s">
        <v>480</v>
      </c>
      <c r="B1804" s="2" t="s">
        <v>3039</v>
      </c>
      <c r="C1804" s="2" t="s">
        <v>2068</v>
      </c>
      <c r="D1804" s="2" t="s">
        <v>1836</v>
      </c>
      <c r="E1804" s="2" t="s">
        <v>1838</v>
      </c>
      <c r="F1804" s="2">
        <v>9.6453000000000007</v>
      </c>
      <c r="G1804" s="2">
        <v>4.0371899999999998</v>
      </c>
      <c r="H1804" s="2">
        <v>-1.25647</v>
      </c>
    </row>
    <row r="1805" spans="1:8" x14ac:dyDescent="0.2">
      <c r="A1805" s="2" t="s">
        <v>704</v>
      </c>
      <c r="B1805" s="2" t="s">
        <v>3015</v>
      </c>
      <c r="C1805" s="2" t="s">
        <v>2853</v>
      </c>
      <c r="D1805" s="2" t="s">
        <v>1839</v>
      </c>
      <c r="E1805" s="2" t="s">
        <v>1841</v>
      </c>
      <c r="F1805" s="2">
        <v>3.5814599999999999</v>
      </c>
      <c r="G1805" s="2">
        <v>1.49881</v>
      </c>
      <c r="H1805" s="2">
        <v>-1.2567299999999999</v>
      </c>
    </row>
    <row r="1806" spans="1:8" x14ac:dyDescent="0.2">
      <c r="A1806" s="2" t="s">
        <v>1482</v>
      </c>
      <c r="B1806" s="2" t="s">
        <v>3015</v>
      </c>
      <c r="C1806" s="2" t="s">
        <v>3016</v>
      </c>
      <c r="D1806" s="2" t="s">
        <v>1839</v>
      </c>
      <c r="E1806" s="2" t="s">
        <v>1841</v>
      </c>
      <c r="F1806" s="2">
        <v>15.2812</v>
      </c>
      <c r="G1806" s="2">
        <v>6.38774</v>
      </c>
      <c r="H1806" s="2">
        <v>-1.2583899999999999</v>
      </c>
    </row>
    <row r="1807" spans="1:8" x14ac:dyDescent="0.2">
      <c r="A1807" s="2" t="s">
        <v>364</v>
      </c>
      <c r="B1807" s="2" t="s">
        <v>3015</v>
      </c>
      <c r="C1807" s="2" t="s">
        <v>2010</v>
      </c>
      <c r="D1807" s="2" t="s">
        <v>1836</v>
      </c>
      <c r="E1807" s="2" t="s">
        <v>1837</v>
      </c>
      <c r="F1807" s="2">
        <v>4.1937199999999999</v>
      </c>
      <c r="G1807" s="2">
        <v>1.7515700000000001</v>
      </c>
      <c r="H1807" s="2">
        <v>-1.25959</v>
      </c>
    </row>
    <row r="1808" spans="1:8" x14ac:dyDescent="0.2">
      <c r="A1808" s="2" t="s">
        <v>1426</v>
      </c>
      <c r="B1808" s="2" t="s">
        <v>3182</v>
      </c>
      <c r="C1808" s="2" t="s">
        <v>2587</v>
      </c>
      <c r="D1808" s="2" t="s">
        <v>1836</v>
      </c>
      <c r="E1808" s="2" t="s">
        <v>1838</v>
      </c>
      <c r="F1808" s="2">
        <v>2.16147</v>
      </c>
      <c r="G1808" s="2">
        <v>0.90241400000000005</v>
      </c>
      <c r="H1808" s="2">
        <v>-1.2601500000000001</v>
      </c>
    </row>
    <row r="1809" spans="1:8" x14ac:dyDescent="0.2">
      <c r="A1809" s="2" t="s">
        <v>1671</v>
      </c>
      <c r="B1809" s="2" t="s">
        <v>3432</v>
      </c>
      <c r="C1809" s="2" t="s">
        <v>2833</v>
      </c>
      <c r="D1809" s="2" t="s">
        <v>1839</v>
      </c>
      <c r="E1809" s="2" t="s">
        <v>1841</v>
      </c>
      <c r="F1809" s="2">
        <v>2.4337300000000002</v>
      </c>
      <c r="G1809" s="2">
        <v>1.0158199999999999</v>
      </c>
      <c r="H1809" s="2">
        <v>-1.2605200000000001</v>
      </c>
    </row>
    <row r="1810" spans="1:8" x14ac:dyDescent="0.2">
      <c r="A1810" s="2" t="s">
        <v>891</v>
      </c>
      <c r="B1810" s="2" t="s">
        <v>3371</v>
      </c>
      <c r="C1810" s="2" t="s">
        <v>1934</v>
      </c>
      <c r="D1810" s="2" t="s">
        <v>1836</v>
      </c>
      <c r="E1810" s="2" t="s">
        <v>1838</v>
      </c>
      <c r="F1810" s="2">
        <v>5.8880999999999997</v>
      </c>
      <c r="G1810" s="2">
        <v>2.4565700000000001</v>
      </c>
      <c r="H1810" s="2">
        <v>-1.26115</v>
      </c>
    </row>
    <row r="1811" spans="1:8" x14ac:dyDescent="0.2">
      <c r="A1811" s="2" t="s">
        <v>295</v>
      </c>
      <c r="B1811" s="2" t="s">
        <v>3108</v>
      </c>
      <c r="C1811" s="2" t="s">
        <v>1980</v>
      </c>
      <c r="D1811" s="2" t="s">
        <v>1836</v>
      </c>
      <c r="E1811" s="2" t="s">
        <v>1837</v>
      </c>
      <c r="F1811" s="2">
        <v>1.4880599999999999</v>
      </c>
      <c r="G1811" s="2">
        <v>0.62072400000000005</v>
      </c>
      <c r="H1811" s="2">
        <v>-1.2614099999999999</v>
      </c>
    </row>
    <row r="1812" spans="1:8" x14ac:dyDescent="0.2">
      <c r="A1812" s="2" t="s">
        <v>1553</v>
      </c>
      <c r="B1812" s="2" t="s">
        <v>3015</v>
      </c>
      <c r="C1812" s="2" t="s">
        <v>2705</v>
      </c>
      <c r="D1812" s="2" t="s">
        <v>1839</v>
      </c>
      <c r="E1812" s="2" t="s">
        <v>1841</v>
      </c>
      <c r="F1812" s="2">
        <v>5.8144799999999996</v>
      </c>
      <c r="G1812" s="2">
        <v>2.4254199999999999</v>
      </c>
      <c r="H1812" s="2">
        <v>-1.26142</v>
      </c>
    </row>
    <row r="1813" spans="1:8" x14ac:dyDescent="0.2">
      <c r="A1813" s="2" t="s">
        <v>968</v>
      </c>
      <c r="B1813" s="2" t="s">
        <v>3015</v>
      </c>
      <c r="C1813" s="2" t="s">
        <v>2299</v>
      </c>
      <c r="D1813" s="2" t="s">
        <v>1836</v>
      </c>
      <c r="E1813" s="2" t="s">
        <v>1837</v>
      </c>
      <c r="F1813" s="2">
        <v>0.93010700000000002</v>
      </c>
      <c r="G1813" s="2">
        <v>0.387957</v>
      </c>
      <c r="H1813" s="2">
        <v>-1.2615000000000001</v>
      </c>
    </row>
    <row r="1814" spans="1:8" x14ac:dyDescent="0.2">
      <c r="A1814" s="2" t="s">
        <v>200</v>
      </c>
      <c r="B1814" s="2" t="s">
        <v>3080</v>
      </c>
      <c r="C1814" s="2" t="s">
        <v>1937</v>
      </c>
      <c r="D1814" s="2" t="s">
        <v>1839</v>
      </c>
      <c r="E1814" s="2" t="s">
        <v>1841</v>
      </c>
      <c r="F1814" s="2">
        <v>2.0425399999999998</v>
      </c>
      <c r="G1814" s="2">
        <v>0.85185200000000005</v>
      </c>
      <c r="H1814" s="2">
        <v>-1.26169</v>
      </c>
    </row>
    <row r="1815" spans="1:8" x14ac:dyDescent="0.2">
      <c r="A1815" s="2" t="s">
        <v>797</v>
      </c>
      <c r="B1815" s="2" t="s">
        <v>3209</v>
      </c>
      <c r="C1815" s="2" t="s">
        <v>2205</v>
      </c>
      <c r="D1815" s="2" t="s">
        <v>1836</v>
      </c>
      <c r="E1815" s="2" t="s">
        <v>1838</v>
      </c>
      <c r="F1815" s="2">
        <v>22.359100000000002</v>
      </c>
      <c r="G1815" s="2">
        <v>9.3239099999999997</v>
      </c>
      <c r="H1815" s="2">
        <v>-1.2618499999999999</v>
      </c>
    </row>
    <row r="1816" spans="1:8" x14ac:dyDescent="0.2">
      <c r="A1816" s="2" t="s">
        <v>1228</v>
      </c>
      <c r="B1816" s="2" t="s">
        <v>3015</v>
      </c>
      <c r="C1816" s="2" t="s">
        <v>2440</v>
      </c>
      <c r="D1816" s="2" t="s">
        <v>1836</v>
      </c>
      <c r="E1816" s="2" t="s">
        <v>1838</v>
      </c>
      <c r="F1816" s="2">
        <v>1.40924</v>
      </c>
      <c r="G1816" s="2">
        <v>0.58754099999999998</v>
      </c>
      <c r="H1816" s="2">
        <v>-1.2621599999999999</v>
      </c>
    </row>
    <row r="1817" spans="1:8" x14ac:dyDescent="0.2">
      <c r="A1817" s="2" t="s">
        <v>553</v>
      </c>
      <c r="B1817" s="2" t="s">
        <v>3039</v>
      </c>
      <c r="C1817" s="2" t="s">
        <v>2105</v>
      </c>
      <c r="D1817" s="2" t="s">
        <v>1836</v>
      </c>
      <c r="E1817" s="2" t="s">
        <v>1837</v>
      </c>
      <c r="F1817" s="2">
        <v>1.3607400000000001</v>
      </c>
      <c r="G1817" s="2">
        <v>0.56729300000000005</v>
      </c>
      <c r="H1817" s="2">
        <v>-1.2622199999999999</v>
      </c>
    </row>
    <row r="1818" spans="1:8" x14ac:dyDescent="0.2">
      <c r="A1818" s="2" t="s">
        <v>803</v>
      </c>
      <c r="B1818" s="2" t="s">
        <v>3093</v>
      </c>
      <c r="C1818" s="2" t="s">
        <v>2209</v>
      </c>
      <c r="D1818" s="2" t="s">
        <v>1836</v>
      </c>
      <c r="E1818" s="2" t="s">
        <v>1837</v>
      </c>
      <c r="F1818" s="2">
        <v>197.452</v>
      </c>
      <c r="G1818" s="2">
        <v>82.299599999999998</v>
      </c>
      <c r="H1818" s="2">
        <v>-1.2625500000000001</v>
      </c>
    </row>
    <row r="1819" spans="1:8" x14ac:dyDescent="0.2">
      <c r="A1819" s="2" t="s">
        <v>948</v>
      </c>
      <c r="B1819" s="2" t="s">
        <v>3155</v>
      </c>
      <c r="C1819" s="2" t="s">
        <v>2286</v>
      </c>
      <c r="D1819" s="2" t="s">
        <v>1836</v>
      </c>
      <c r="E1819" s="2" t="s">
        <v>1837</v>
      </c>
      <c r="F1819" s="2">
        <v>1.17944</v>
      </c>
      <c r="G1819" s="2">
        <v>0.49148999999999998</v>
      </c>
      <c r="H1819" s="2">
        <v>-1.2628699999999999</v>
      </c>
    </row>
    <row r="1820" spans="1:8" x14ac:dyDescent="0.2">
      <c r="A1820" s="2" t="s">
        <v>80</v>
      </c>
      <c r="B1820" s="2" t="s">
        <v>3287</v>
      </c>
      <c r="C1820" s="2" t="s">
        <v>2045</v>
      </c>
      <c r="D1820" s="2" t="s">
        <v>1836</v>
      </c>
      <c r="E1820" s="2" t="s">
        <v>1838</v>
      </c>
      <c r="F1820" s="2">
        <v>8.4488199999999996</v>
      </c>
      <c r="G1820" s="2">
        <v>3.5159199999999999</v>
      </c>
      <c r="H1820" s="2">
        <v>-1.26485</v>
      </c>
    </row>
    <row r="1821" spans="1:8" x14ac:dyDescent="0.2">
      <c r="A1821" s="2" t="s">
        <v>366</v>
      </c>
      <c r="B1821" s="2" t="s">
        <v>3127</v>
      </c>
      <c r="C1821" s="2" t="s">
        <v>2012</v>
      </c>
      <c r="D1821" s="2" t="s">
        <v>1836</v>
      </c>
      <c r="E1821" s="2" t="s">
        <v>1837</v>
      </c>
      <c r="F1821" s="2">
        <v>13.690300000000001</v>
      </c>
      <c r="G1821" s="2">
        <v>5.69468</v>
      </c>
      <c r="H1821" s="2">
        <v>-1.2654700000000001</v>
      </c>
    </row>
    <row r="1822" spans="1:8" x14ac:dyDescent="0.2">
      <c r="A1822" s="2" t="s">
        <v>1299</v>
      </c>
      <c r="B1822" s="2" t="s">
        <v>3201</v>
      </c>
      <c r="C1822" s="2" t="s">
        <v>2216</v>
      </c>
      <c r="D1822" s="2" t="s">
        <v>1839</v>
      </c>
      <c r="E1822" s="2" t="s">
        <v>1840</v>
      </c>
      <c r="F1822" s="2">
        <v>9.6729800000000008</v>
      </c>
      <c r="G1822" s="2">
        <v>4.0217799999999997</v>
      </c>
      <c r="H1822" s="2">
        <v>-1.26613</v>
      </c>
    </row>
    <row r="1823" spans="1:8" x14ac:dyDescent="0.2">
      <c r="A1823" s="2" t="s">
        <v>730</v>
      </c>
      <c r="B1823" s="2" t="s">
        <v>3030</v>
      </c>
      <c r="C1823" s="2" t="s">
        <v>1862</v>
      </c>
      <c r="D1823" s="2" t="s">
        <v>1836</v>
      </c>
      <c r="E1823" s="2" t="s">
        <v>1838</v>
      </c>
      <c r="F1823" s="2">
        <v>1.82142</v>
      </c>
      <c r="G1823" s="2">
        <v>0.75722400000000001</v>
      </c>
      <c r="H1823" s="2">
        <v>-1.26627</v>
      </c>
    </row>
    <row r="1824" spans="1:8" x14ac:dyDescent="0.2">
      <c r="A1824" s="2" t="s">
        <v>432</v>
      </c>
      <c r="B1824" s="2" t="s">
        <v>3015</v>
      </c>
      <c r="C1824" s="2" t="s">
        <v>2044</v>
      </c>
      <c r="D1824" s="2" t="s">
        <v>1836</v>
      </c>
      <c r="E1824" s="2" t="s">
        <v>1837</v>
      </c>
      <c r="F1824" s="2">
        <v>16.1647</v>
      </c>
      <c r="G1824" s="2">
        <v>6.7198599999999997</v>
      </c>
      <c r="H1824" s="2">
        <v>-1.26634</v>
      </c>
    </row>
    <row r="1825" spans="1:8" x14ac:dyDescent="0.2">
      <c r="A1825" s="2" t="s">
        <v>692</v>
      </c>
      <c r="B1825" s="2" t="s">
        <v>3209</v>
      </c>
      <c r="C1825" s="2" t="s">
        <v>3015</v>
      </c>
      <c r="D1825" s="2" t="s">
        <v>1839</v>
      </c>
      <c r="E1825" s="2" t="s">
        <v>1841</v>
      </c>
      <c r="F1825" s="2">
        <v>23.0016</v>
      </c>
      <c r="G1825" s="2">
        <v>9.5601000000000003</v>
      </c>
      <c r="H1825" s="2">
        <v>-1.26664</v>
      </c>
    </row>
    <row r="1826" spans="1:8" x14ac:dyDescent="0.2">
      <c r="A1826" s="2" t="s">
        <v>1659</v>
      </c>
      <c r="B1826" s="2" t="s">
        <v>3103</v>
      </c>
      <c r="C1826" s="2" t="s">
        <v>3015</v>
      </c>
      <c r="D1826" s="2" t="s">
        <v>1839</v>
      </c>
      <c r="E1826" s="2" t="s">
        <v>1841</v>
      </c>
      <c r="F1826" s="2">
        <v>7.88626</v>
      </c>
      <c r="G1826" s="2">
        <v>3.2768700000000002</v>
      </c>
      <c r="H1826" s="2">
        <v>-1.26702</v>
      </c>
    </row>
    <row r="1827" spans="1:8" x14ac:dyDescent="0.2">
      <c r="A1827" s="2" t="s">
        <v>149</v>
      </c>
      <c r="B1827" s="2" t="s">
        <v>3015</v>
      </c>
      <c r="C1827" s="2" t="s">
        <v>1914</v>
      </c>
      <c r="D1827" s="2" t="s">
        <v>1836</v>
      </c>
      <c r="E1827" s="2" t="s">
        <v>1837</v>
      </c>
      <c r="F1827" s="2">
        <v>3.9297599999999999</v>
      </c>
      <c r="G1827" s="2">
        <v>1.6311199999999999</v>
      </c>
      <c r="H1827" s="2">
        <v>-1.26858</v>
      </c>
    </row>
    <row r="1828" spans="1:8" x14ac:dyDescent="0.2">
      <c r="A1828" s="2" t="s">
        <v>1418</v>
      </c>
      <c r="B1828" s="2" t="s">
        <v>3015</v>
      </c>
      <c r="C1828" s="2" t="s">
        <v>3016</v>
      </c>
      <c r="D1828" s="2" t="s">
        <v>1836</v>
      </c>
      <c r="E1828" s="2" t="s">
        <v>1838</v>
      </c>
      <c r="F1828" s="2">
        <v>9.5686199999999992</v>
      </c>
      <c r="G1828" s="2">
        <v>3.97031</v>
      </c>
      <c r="H1828" s="2">
        <v>-1.2690600000000001</v>
      </c>
    </row>
    <row r="1829" spans="1:8" x14ac:dyDescent="0.2">
      <c r="A1829" s="2" t="s">
        <v>846</v>
      </c>
      <c r="B1829" s="2" t="s">
        <v>3221</v>
      </c>
      <c r="C1829" s="2" t="s">
        <v>2233</v>
      </c>
      <c r="D1829" s="2" t="s">
        <v>1836</v>
      </c>
      <c r="E1829" s="2" t="s">
        <v>1837</v>
      </c>
      <c r="F1829" s="2">
        <v>3.9114900000000001</v>
      </c>
      <c r="G1829" s="2">
        <v>1.62019</v>
      </c>
      <c r="H1829" s="2">
        <v>-1.27156</v>
      </c>
    </row>
    <row r="1830" spans="1:8" x14ac:dyDescent="0.2">
      <c r="A1830" s="2" t="s">
        <v>1718</v>
      </c>
      <c r="B1830" s="2" t="s">
        <v>3015</v>
      </c>
      <c r="C1830" s="2" t="s">
        <v>2881</v>
      </c>
      <c r="D1830" s="2" t="s">
        <v>1839</v>
      </c>
      <c r="E1830" s="2" t="s">
        <v>1840</v>
      </c>
      <c r="F1830" s="2">
        <v>4.1208799999999997</v>
      </c>
      <c r="G1830" s="2">
        <v>1.7063900000000001</v>
      </c>
      <c r="H1830" s="2">
        <v>-1.2720100000000001</v>
      </c>
    </row>
    <row r="1831" spans="1:8" x14ac:dyDescent="0.2">
      <c r="A1831" s="2" t="s">
        <v>1469</v>
      </c>
      <c r="B1831" s="2" t="s">
        <v>3253</v>
      </c>
      <c r="C1831" s="2" t="s">
        <v>2611</v>
      </c>
      <c r="D1831" s="2" t="s">
        <v>1836</v>
      </c>
      <c r="E1831" s="2" t="s">
        <v>1838</v>
      </c>
      <c r="F1831" s="2">
        <v>9.0486500000000003</v>
      </c>
      <c r="G1831" s="2">
        <v>3.7441599999999999</v>
      </c>
      <c r="H1831" s="2">
        <v>-1.2730600000000001</v>
      </c>
    </row>
    <row r="1832" spans="1:8" x14ac:dyDescent="0.2">
      <c r="A1832" s="2" t="s">
        <v>873</v>
      </c>
      <c r="B1832" s="2" t="s">
        <v>3080</v>
      </c>
      <c r="C1832" s="2" t="s">
        <v>2247</v>
      </c>
      <c r="D1832" s="2" t="s">
        <v>1836</v>
      </c>
      <c r="E1832" s="2" t="s">
        <v>1837</v>
      </c>
      <c r="F1832" s="2">
        <v>3.7013699999999998</v>
      </c>
      <c r="G1832" s="2">
        <v>1.53155</v>
      </c>
      <c r="H1832" s="2">
        <v>-1.2730699999999999</v>
      </c>
    </row>
    <row r="1833" spans="1:8" x14ac:dyDescent="0.2">
      <c r="A1833" s="2" t="s">
        <v>138</v>
      </c>
      <c r="B1833" s="2" t="s">
        <v>3015</v>
      </c>
      <c r="C1833" s="2" t="s">
        <v>1906</v>
      </c>
      <c r="D1833" s="2" t="s">
        <v>1836</v>
      </c>
      <c r="E1833" s="2" t="s">
        <v>1837</v>
      </c>
      <c r="F1833" s="2">
        <v>3.51186</v>
      </c>
      <c r="G1833" s="2">
        <v>1.4528700000000001</v>
      </c>
      <c r="H1833" s="2">
        <v>-1.2733300000000001</v>
      </c>
    </row>
    <row r="1834" spans="1:8" x14ac:dyDescent="0.2">
      <c r="A1834" s="2" t="s">
        <v>1107</v>
      </c>
      <c r="B1834" s="2" t="s">
        <v>3015</v>
      </c>
      <c r="C1834" s="2" t="s">
        <v>3016</v>
      </c>
      <c r="D1834" s="2" t="s">
        <v>1836</v>
      </c>
      <c r="E1834" s="2" t="s">
        <v>1838</v>
      </c>
      <c r="F1834" s="2">
        <v>1.4206799999999999</v>
      </c>
      <c r="G1834" s="2">
        <v>0.58769700000000002</v>
      </c>
      <c r="H1834" s="2">
        <v>-1.2734399999999999</v>
      </c>
    </row>
    <row r="1835" spans="1:8" x14ac:dyDescent="0.2">
      <c r="A1835" s="2" t="s">
        <v>66</v>
      </c>
      <c r="B1835" s="2" t="s">
        <v>3015</v>
      </c>
      <c r="C1835" s="2" t="s">
        <v>1877</v>
      </c>
      <c r="D1835" s="2" t="s">
        <v>1836</v>
      </c>
      <c r="E1835" s="2" t="s">
        <v>1837</v>
      </c>
      <c r="F1835" s="2">
        <v>2.3613400000000002</v>
      </c>
      <c r="G1835" s="2">
        <v>0.97677000000000003</v>
      </c>
      <c r="H1835" s="2">
        <v>-1.2735099999999999</v>
      </c>
    </row>
    <row r="1836" spans="1:8" x14ac:dyDescent="0.2">
      <c r="A1836" s="2" t="s">
        <v>67</v>
      </c>
      <c r="B1836" s="2" t="s">
        <v>3046</v>
      </c>
      <c r="C1836" s="2" t="s">
        <v>1878</v>
      </c>
      <c r="D1836" s="2" t="s">
        <v>1836</v>
      </c>
      <c r="E1836" s="2" t="s">
        <v>1837</v>
      </c>
      <c r="F1836" s="2">
        <v>1.26651</v>
      </c>
      <c r="G1836" s="2">
        <v>0.52339999999999998</v>
      </c>
      <c r="H1836" s="2">
        <v>-1.2748699999999999</v>
      </c>
    </row>
    <row r="1837" spans="1:8" x14ac:dyDescent="0.2">
      <c r="A1837" s="2" t="s">
        <v>1819</v>
      </c>
      <c r="B1837" s="2" t="s">
        <v>3310</v>
      </c>
      <c r="C1837" s="2" t="s">
        <v>2996</v>
      </c>
      <c r="D1837" s="2" t="s">
        <v>1839</v>
      </c>
      <c r="E1837" s="2" t="s">
        <v>1840</v>
      </c>
      <c r="F1837" s="2">
        <v>1.0426899999999999</v>
      </c>
      <c r="G1837" s="2">
        <v>0.43053399999999997</v>
      </c>
      <c r="H1837" s="2">
        <v>-1.2761100000000001</v>
      </c>
    </row>
    <row r="1838" spans="1:8" x14ac:dyDescent="0.2">
      <c r="A1838" s="2" t="s">
        <v>1822</v>
      </c>
      <c r="B1838" s="2" t="s">
        <v>3015</v>
      </c>
      <c r="C1838" s="2" t="s">
        <v>3001</v>
      </c>
      <c r="D1838" s="2" t="s">
        <v>1839</v>
      </c>
      <c r="E1838" s="2" t="s">
        <v>1840</v>
      </c>
      <c r="F1838" s="2">
        <v>1.13879</v>
      </c>
      <c r="G1838" s="2">
        <v>0.47020699999999999</v>
      </c>
      <c r="H1838" s="2">
        <v>-1.2761400000000001</v>
      </c>
    </row>
    <row r="1839" spans="1:8" x14ac:dyDescent="0.2">
      <c r="A1839" s="2" t="s">
        <v>1486</v>
      </c>
      <c r="B1839" s="2" t="s">
        <v>3015</v>
      </c>
      <c r="C1839" s="2" t="s">
        <v>3015</v>
      </c>
      <c r="D1839" s="2" t="s">
        <v>1839</v>
      </c>
      <c r="E1839" s="2" t="s">
        <v>1841</v>
      </c>
      <c r="F1839" s="2">
        <v>2.9232</v>
      </c>
      <c r="G1839" s="2">
        <v>1.2066699999999999</v>
      </c>
      <c r="H1839" s="2">
        <v>-1.2765200000000001</v>
      </c>
    </row>
    <row r="1840" spans="1:8" x14ac:dyDescent="0.2">
      <c r="A1840" s="2" t="s">
        <v>461</v>
      </c>
      <c r="B1840" s="2" t="s">
        <v>3015</v>
      </c>
      <c r="C1840" s="2" t="s">
        <v>2060</v>
      </c>
      <c r="D1840" s="2" t="s">
        <v>1836</v>
      </c>
      <c r="E1840" s="2" t="s">
        <v>1837</v>
      </c>
      <c r="F1840" s="2">
        <v>9.4544499999999996</v>
      </c>
      <c r="G1840" s="2">
        <v>3.9007000000000001</v>
      </c>
      <c r="H1840" s="2">
        <v>-1.2772600000000001</v>
      </c>
    </row>
    <row r="1841" spans="1:8" x14ac:dyDescent="0.2">
      <c r="A1841" s="2" t="s">
        <v>424</v>
      </c>
      <c r="B1841" s="2" t="s">
        <v>3015</v>
      </c>
      <c r="C1841" s="2" t="s">
        <v>2040</v>
      </c>
      <c r="D1841" s="2" t="s">
        <v>1836</v>
      </c>
      <c r="E1841" s="2" t="s">
        <v>1837</v>
      </c>
      <c r="F1841" s="2">
        <v>11.267099999999999</v>
      </c>
      <c r="G1841" s="2">
        <v>4.6474000000000002</v>
      </c>
      <c r="H1841" s="2">
        <v>-1.27762</v>
      </c>
    </row>
    <row r="1842" spans="1:8" x14ac:dyDescent="0.2">
      <c r="A1842" s="2" t="s">
        <v>15</v>
      </c>
      <c r="B1842" s="2" t="s">
        <v>3015</v>
      </c>
      <c r="C1842" s="2" t="s">
        <v>2614</v>
      </c>
      <c r="D1842" s="2" t="s">
        <v>1839</v>
      </c>
      <c r="E1842" s="2" t="s">
        <v>1841</v>
      </c>
      <c r="F1842" s="2">
        <v>38.895099999999999</v>
      </c>
      <c r="G1842" s="2">
        <v>16.028199999999998</v>
      </c>
      <c r="H1842" s="2">
        <v>-1.2789699999999999</v>
      </c>
    </row>
    <row r="1843" spans="1:8" x14ac:dyDescent="0.2">
      <c r="A1843" s="2" t="s">
        <v>1122</v>
      </c>
      <c r="B1843" s="2" t="s">
        <v>3015</v>
      </c>
      <c r="C1843" s="2" t="s">
        <v>3015</v>
      </c>
      <c r="D1843" s="2" t="s">
        <v>1839</v>
      </c>
      <c r="E1843" s="2" t="s">
        <v>1841</v>
      </c>
      <c r="F1843" s="2">
        <v>7.2976900000000002</v>
      </c>
      <c r="G1843" s="2">
        <v>3.00692</v>
      </c>
      <c r="H1843" s="2">
        <v>-1.27915</v>
      </c>
    </row>
    <row r="1844" spans="1:8" x14ac:dyDescent="0.2">
      <c r="A1844" s="2" t="s">
        <v>883</v>
      </c>
      <c r="B1844" s="2" t="s">
        <v>3231</v>
      </c>
      <c r="C1844" s="2" t="s">
        <v>2253</v>
      </c>
      <c r="D1844" s="2" t="s">
        <v>1836</v>
      </c>
      <c r="E1844" s="2" t="s">
        <v>1837</v>
      </c>
      <c r="F1844" s="2">
        <v>11.429600000000001</v>
      </c>
      <c r="G1844" s="2">
        <v>4.7084999999999999</v>
      </c>
      <c r="H1844" s="2">
        <v>-1.2794300000000001</v>
      </c>
    </row>
    <row r="1845" spans="1:8" x14ac:dyDescent="0.2">
      <c r="A1845" s="2" t="s">
        <v>848</v>
      </c>
      <c r="B1845" s="2" t="s">
        <v>3015</v>
      </c>
      <c r="C1845" s="2" t="s">
        <v>2234</v>
      </c>
      <c r="D1845" s="2" t="s">
        <v>1836</v>
      </c>
      <c r="E1845" s="2" t="s">
        <v>1838</v>
      </c>
      <c r="F1845" s="2">
        <v>0.98852300000000004</v>
      </c>
      <c r="G1845" s="2">
        <v>0.406808</v>
      </c>
      <c r="H1845" s="2">
        <v>-1.2809299999999999</v>
      </c>
    </row>
    <row r="1846" spans="1:8" x14ac:dyDescent="0.2">
      <c r="A1846" s="2" t="s">
        <v>773</v>
      </c>
      <c r="B1846" s="2" t="s">
        <v>3038</v>
      </c>
      <c r="C1846" s="2" t="s">
        <v>2034</v>
      </c>
      <c r="D1846" s="2" t="s">
        <v>1836</v>
      </c>
      <c r="E1846" s="2" t="s">
        <v>1838</v>
      </c>
      <c r="F1846" s="2">
        <v>4.3860599999999996</v>
      </c>
      <c r="G1846" s="2">
        <v>1.80416</v>
      </c>
      <c r="H1846" s="2">
        <v>-1.2816000000000001</v>
      </c>
    </row>
    <row r="1847" spans="1:8" x14ac:dyDescent="0.2">
      <c r="A1847" s="2" t="s">
        <v>1459</v>
      </c>
      <c r="B1847" s="2" t="s">
        <v>3015</v>
      </c>
      <c r="C1847" s="2" t="s">
        <v>2605</v>
      </c>
      <c r="D1847" s="2" t="s">
        <v>1836</v>
      </c>
      <c r="E1847" s="2" t="s">
        <v>1838</v>
      </c>
      <c r="F1847" s="2">
        <v>1.08341</v>
      </c>
      <c r="G1847" s="2">
        <v>0.445465</v>
      </c>
      <c r="H1847" s="2">
        <v>-1.2822</v>
      </c>
    </row>
    <row r="1848" spans="1:8" x14ac:dyDescent="0.2">
      <c r="A1848" s="2" t="s">
        <v>1045</v>
      </c>
      <c r="B1848" s="2" t="s">
        <v>3100</v>
      </c>
      <c r="C1848" s="2" t="s">
        <v>2333</v>
      </c>
      <c r="D1848" s="2" t="s">
        <v>1836</v>
      </c>
      <c r="E1848" s="2" t="s">
        <v>1837</v>
      </c>
      <c r="F1848" s="2">
        <v>2.6594699999999998</v>
      </c>
      <c r="G1848" s="2">
        <v>1.0932200000000001</v>
      </c>
      <c r="H1848" s="2">
        <v>-1.2825599999999999</v>
      </c>
    </row>
    <row r="1849" spans="1:8" x14ac:dyDescent="0.2">
      <c r="A1849" s="2" t="s">
        <v>1569</v>
      </c>
      <c r="B1849" s="2" t="s">
        <v>3015</v>
      </c>
      <c r="C1849" s="2" t="s">
        <v>2725</v>
      </c>
      <c r="D1849" s="2" t="s">
        <v>1839</v>
      </c>
      <c r="E1849" s="2" t="s">
        <v>1841</v>
      </c>
      <c r="F1849" s="2">
        <v>58.312800000000003</v>
      </c>
      <c r="G1849" s="2">
        <v>23.9617</v>
      </c>
      <c r="H1849" s="2">
        <v>-1.28308</v>
      </c>
    </row>
    <row r="1850" spans="1:8" x14ac:dyDescent="0.2">
      <c r="A1850" s="2" t="s">
        <v>246</v>
      </c>
      <c r="B1850" s="2" t="s">
        <v>3096</v>
      </c>
      <c r="C1850" s="2" t="s">
        <v>1959</v>
      </c>
      <c r="D1850" s="2" t="s">
        <v>1836</v>
      </c>
      <c r="E1850" s="2" t="s">
        <v>1837</v>
      </c>
      <c r="F1850" s="2">
        <v>1.0102100000000001</v>
      </c>
      <c r="G1850" s="2">
        <v>0.41486699999999999</v>
      </c>
      <c r="H1850" s="2">
        <v>-1.2839400000000001</v>
      </c>
    </row>
    <row r="1851" spans="1:8" x14ac:dyDescent="0.2">
      <c r="A1851" s="2" t="s">
        <v>1326</v>
      </c>
      <c r="B1851" s="2" t="s">
        <v>3015</v>
      </c>
      <c r="C1851" s="2" t="s">
        <v>2071</v>
      </c>
      <c r="D1851" s="2" t="s">
        <v>1836</v>
      </c>
      <c r="E1851" s="2" t="s">
        <v>1838</v>
      </c>
      <c r="F1851" s="2">
        <v>5.84856</v>
      </c>
      <c r="G1851" s="2">
        <v>2.4004099999999999</v>
      </c>
      <c r="H1851" s="2">
        <v>-1.2847999999999999</v>
      </c>
    </row>
    <row r="1852" spans="1:8" x14ac:dyDescent="0.2">
      <c r="A1852" s="2" t="s">
        <v>452</v>
      </c>
      <c r="B1852" s="2" t="s">
        <v>3015</v>
      </c>
      <c r="C1852" s="2" t="s">
        <v>2763</v>
      </c>
      <c r="D1852" s="2" t="s">
        <v>1839</v>
      </c>
      <c r="E1852" s="2" t="s">
        <v>1841</v>
      </c>
      <c r="F1852" s="2">
        <v>47.367199999999997</v>
      </c>
      <c r="G1852" s="2">
        <v>19.433199999999999</v>
      </c>
      <c r="H1852" s="2">
        <v>-1.2853600000000001</v>
      </c>
    </row>
    <row r="1853" spans="1:8" x14ac:dyDescent="0.2">
      <c r="A1853" s="2" t="s">
        <v>682</v>
      </c>
      <c r="B1853" s="2" t="s">
        <v>3191</v>
      </c>
      <c r="C1853" s="2" t="s">
        <v>3015</v>
      </c>
      <c r="D1853" s="2" t="s">
        <v>1836</v>
      </c>
      <c r="E1853" s="2" t="s">
        <v>1837</v>
      </c>
      <c r="F1853" s="2">
        <v>1.7057899999999999</v>
      </c>
      <c r="G1853" s="2">
        <v>0.69972699999999999</v>
      </c>
      <c r="H1853" s="2">
        <v>-1.2855799999999999</v>
      </c>
    </row>
    <row r="1854" spans="1:8" x14ac:dyDescent="0.2">
      <c r="A1854" s="2" t="s">
        <v>399</v>
      </c>
      <c r="B1854" s="2" t="s">
        <v>3038</v>
      </c>
      <c r="C1854" s="2" t="s">
        <v>2027</v>
      </c>
      <c r="D1854" s="2" t="s">
        <v>1836</v>
      </c>
      <c r="E1854" s="2" t="s">
        <v>1838</v>
      </c>
      <c r="F1854" s="2">
        <v>1.50061</v>
      </c>
      <c r="G1854" s="2">
        <v>0.61538800000000005</v>
      </c>
      <c r="H1854" s="2">
        <v>-1.2859799999999999</v>
      </c>
    </row>
    <row r="1855" spans="1:8" x14ac:dyDescent="0.2">
      <c r="A1855" s="2" t="s">
        <v>1110</v>
      </c>
      <c r="B1855" s="2" t="s">
        <v>3272</v>
      </c>
      <c r="C1855" s="2" t="s">
        <v>1852</v>
      </c>
      <c r="D1855" s="2" t="s">
        <v>1836</v>
      </c>
      <c r="E1855" s="2" t="s">
        <v>1837</v>
      </c>
      <c r="F1855" s="2">
        <v>1.44103</v>
      </c>
      <c r="G1855" s="2">
        <v>0.59076300000000004</v>
      </c>
      <c r="H1855" s="2">
        <v>-1.2864500000000001</v>
      </c>
    </row>
    <row r="1856" spans="1:8" x14ac:dyDescent="0.2">
      <c r="A1856" s="2" t="s">
        <v>977</v>
      </c>
      <c r="B1856" s="2" t="s">
        <v>3058</v>
      </c>
      <c r="C1856" s="2" t="s">
        <v>2018</v>
      </c>
      <c r="D1856" s="2" t="s">
        <v>1836</v>
      </c>
      <c r="E1856" s="2" t="s">
        <v>1838</v>
      </c>
      <c r="F1856" s="2">
        <v>16.8019</v>
      </c>
      <c r="G1856" s="2">
        <v>6.8839499999999996</v>
      </c>
      <c r="H1856" s="2">
        <v>-1.28731</v>
      </c>
    </row>
    <row r="1857" spans="1:8" x14ac:dyDescent="0.2">
      <c r="A1857" s="2" t="s">
        <v>802</v>
      </c>
      <c r="B1857" s="2" t="s">
        <v>3015</v>
      </c>
      <c r="C1857" s="2" t="s">
        <v>3015</v>
      </c>
      <c r="D1857" s="2" t="s">
        <v>1839</v>
      </c>
      <c r="E1857" s="2" t="s">
        <v>1841</v>
      </c>
      <c r="F1857" s="2">
        <v>18.704999999999998</v>
      </c>
      <c r="G1857" s="2">
        <v>7.6552899999999999</v>
      </c>
      <c r="H1857" s="2">
        <v>-1.2888900000000001</v>
      </c>
    </row>
    <row r="1858" spans="1:8" x14ac:dyDescent="0.2">
      <c r="A1858" s="2" t="s">
        <v>1411</v>
      </c>
      <c r="B1858" s="2" t="s">
        <v>3452</v>
      </c>
      <c r="C1858" s="2" t="s">
        <v>1981</v>
      </c>
      <c r="D1858" s="2" t="s">
        <v>1839</v>
      </c>
      <c r="E1858" s="2" t="s">
        <v>1841</v>
      </c>
      <c r="F1858" s="2">
        <v>17.732399999999998</v>
      </c>
      <c r="G1858" s="2">
        <v>7.2446599999999997</v>
      </c>
      <c r="H1858" s="2">
        <v>-1.2914000000000001</v>
      </c>
    </row>
    <row r="1859" spans="1:8" x14ac:dyDescent="0.2">
      <c r="A1859" s="2" t="s">
        <v>181</v>
      </c>
      <c r="B1859" s="2" t="s">
        <v>3037</v>
      </c>
      <c r="C1859" s="2" t="s">
        <v>1866</v>
      </c>
      <c r="D1859" s="2" t="s">
        <v>1836</v>
      </c>
      <c r="E1859" s="2" t="s">
        <v>1838</v>
      </c>
      <c r="F1859" s="2">
        <v>2.34788</v>
      </c>
      <c r="G1859" s="2">
        <v>0.95892299999999997</v>
      </c>
      <c r="H1859" s="2">
        <v>-1.2918700000000001</v>
      </c>
    </row>
    <row r="1860" spans="1:8" x14ac:dyDescent="0.2">
      <c r="A1860" s="2" t="s">
        <v>362</v>
      </c>
      <c r="B1860" s="2" t="s">
        <v>3100</v>
      </c>
      <c r="C1860" s="2" t="s">
        <v>2009</v>
      </c>
      <c r="D1860" s="2" t="s">
        <v>1836</v>
      </c>
      <c r="E1860" s="2" t="s">
        <v>1837</v>
      </c>
      <c r="F1860" s="2">
        <v>2.4043800000000002</v>
      </c>
      <c r="G1860" s="2">
        <v>0.98197900000000005</v>
      </c>
      <c r="H1860" s="2">
        <v>-1.2919</v>
      </c>
    </row>
    <row r="1861" spans="1:8" x14ac:dyDescent="0.2">
      <c r="A1861" s="2" t="s">
        <v>1631</v>
      </c>
      <c r="B1861" s="2" t="s">
        <v>3438</v>
      </c>
      <c r="C1861" s="2" t="s">
        <v>2795</v>
      </c>
      <c r="D1861" s="2" t="s">
        <v>1839</v>
      </c>
      <c r="E1861" s="2" t="s">
        <v>1841</v>
      </c>
      <c r="F1861" s="2">
        <v>1.0659099999999999</v>
      </c>
      <c r="G1861" s="2">
        <v>0.43523400000000001</v>
      </c>
      <c r="H1861" s="2">
        <v>-1.29223</v>
      </c>
    </row>
    <row r="1862" spans="1:8" x14ac:dyDescent="0.2">
      <c r="A1862" s="2" t="s">
        <v>137</v>
      </c>
      <c r="B1862" s="2" t="s">
        <v>3015</v>
      </c>
      <c r="C1862" s="2" t="s">
        <v>1905</v>
      </c>
      <c r="D1862" s="2" t="s">
        <v>1836</v>
      </c>
      <c r="E1862" s="2" t="s">
        <v>1837</v>
      </c>
      <c r="F1862" s="2">
        <v>3.3832800000000001</v>
      </c>
      <c r="G1862" s="2">
        <v>1.3814500000000001</v>
      </c>
      <c r="H1862" s="2">
        <v>-1.2922400000000001</v>
      </c>
    </row>
    <row r="1863" spans="1:8" x14ac:dyDescent="0.2">
      <c r="A1863" s="2" t="s">
        <v>22</v>
      </c>
      <c r="B1863" s="2" t="s">
        <v>3015</v>
      </c>
      <c r="C1863" s="2" t="s">
        <v>3016</v>
      </c>
      <c r="D1863" s="2" t="s">
        <v>1839</v>
      </c>
      <c r="E1863" s="2" t="s">
        <v>1840</v>
      </c>
      <c r="F1863" s="2">
        <v>1.4095</v>
      </c>
      <c r="G1863" s="2">
        <v>0.57542199999999999</v>
      </c>
      <c r="H1863" s="2">
        <v>-1.2924899999999999</v>
      </c>
    </row>
    <row r="1864" spans="1:8" x14ac:dyDescent="0.2">
      <c r="A1864" s="2" t="s">
        <v>1090</v>
      </c>
      <c r="B1864" s="2" t="s">
        <v>3015</v>
      </c>
      <c r="C1864" s="2" t="s">
        <v>2354</v>
      </c>
      <c r="D1864" s="2" t="s">
        <v>1839</v>
      </c>
      <c r="E1864" s="2" t="s">
        <v>1841</v>
      </c>
      <c r="F1864" s="2">
        <v>5.0093100000000002</v>
      </c>
      <c r="G1864" s="2">
        <v>2.0442900000000002</v>
      </c>
      <c r="H1864" s="2">
        <v>-1.29301</v>
      </c>
    </row>
    <row r="1865" spans="1:8" x14ac:dyDescent="0.2">
      <c r="A1865" s="2" t="s">
        <v>1401</v>
      </c>
      <c r="B1865" s="2" t="s">
        <v>3367</v>
      </c>
      <c r="C1865" s="2" t="s">
        <v>2578</v>
      </c>
      <c r="D1865" s="2" t="s">
        <v>1836</v>
      </c>
      <c r="E1865" s="2" t="s">
        <v>1838</v>
      </c>
      <c r="F1865" s="2">
        <v>41.184199999999997</v>
      </c>
      <c r="G1865" s="2">
        <v>16.8048</v>
      </c>
      <c r="H1865" s="2">
        <v>-1.29322</v>
      </c>
    </row>
    <row r="1866" spans="1:8" x14ac:dyDescent="0.2">
      <c r="A1866" s="2" t="s">
        <v>1053</v>
      </c>
      <c r="B1866" s="2" t="s">
        <v>3015</v>
      </c>
      <c r="C1866" s="2" t="s">
        <v>2337</v>
      </c>
      <c r="D1866" s="2" t="s">
        <v>1836</v>
      </c>
      <c r="E1866" s="2" t="s">
        <v>1837</v>
      </c>
      <c r="F1866" s="2">
        <v>1.45929</v>
      </c>
      <c r="G1866" s="2">
        <v>0.59490500000000002</v>
      </c>
      <c r="H1866" s="2">
        <v>-1.29454</v>
      </c>
    </row>
    <row r="1867" spans="1:8" x14ac:dyDescent="0.2">
      <c r="A1867" s="2" t="s">
        <v>112</v>
      </c>
      <c r="B1867" s="2" t="s">
        <v>3015</v>
      </c>
      <c r="C1867" s="2" t="s">
        <v>1890</v>
      </c>
      <c r="D1867" s="2" t="s">
        <v>1839</v>
      </c>
      <c r="E1867" s="2" t="s">
        <v>1841</v>
      </c>
      <c r="F1867" s="2">
        <v>2.76356</v>
      </c>
      <c r="G1867" s="2">
        <v>1.1264000000000001</v>
      </c>
      <c r="H1867" s="2">
        <v>-1.29481</v>
      </c>
    </row>
    <row r="1868" spans="1:8" x14ac:dyDescent="0.2">
      <c r="A1868" s="2" t="s">
        <v>987</v>
      </c>
      <c r="B1868" s="2" t="s">
        <v>3015</v>
      </c>
      <c r="C1868" s="2" t="s">
        <v>3015</v>
      </c>
      <c r="D1868" s="2" t="s">
        <v>1836</v>
      </c>
      <c r="E1868" s="2" t="s">
        <v>1838</v>
      </c>
      <c r="F1868" s="2">
        <v>1.93133</v>
      </c>
      <c r="G1868" s="2">
        <v>0.78715400000000002</v>
      </c>
      <c r="H1868" s="2">
        <v>-1.29488</v>
      </c>
    </row>
    <row r="1869" spans="1:8" x14ac:dyDescent="0.2">
      <c r="A1869" s="2" t="s">
        <v>1768</v>
      </c>
      <c r="B1869" s="2" t="s">
        <v>3015</v>
      </c>
      <c r="C1869" s="2" t="s">
        <v>1847</v>
      </c>
      <c r="D1869" s="2" t="s">
        <v>1839</v>
      </c>
      <c r="E1869" s="2" t="s">
        <v>1840</v>
      </c>
      <c r="F1869" s="2">
        <v>1.9741500000000001</v>
      </c>
      <c r="G1869" s="2">
        <v>0.80283899999999997</v>
      </c>
      <c r="H1869" s="2">
        <v>-1.2980499999999999</v>
      </c>
    </row>
    <row r="1870" spans="1:8" x14ac:dyDescent="0.2">
      <c r="A1870" s="2" t="s">
        <v>1212</v>
      </c>
      <c r="B1870" s="2" t="s">
        <v>3306</v>
      </c>
      <c r="C1870" s="2" t="s">
        <v>2430</v>
      </c>
      <c r="D1870" s="2" t="s">
        <v>1836</v>
      </c>
      <c r="E1870" s="2" t="s">
        <v>1838</v>
      </c>
      <c r="F1870" s="2">
        <v>5.4852400000000001</v>
      </c>
      <c r="G1870" s="2">
        <v>2.2300200000000001</v>
      </c>
      <c r="H1870" s="2">
        <v>-1.2985</v>
      </c>
    </row>
    <row r="1871" spans="1:8" x14ac:dyDescent="0.2">
      <c r="A1871" s="2" t="s">
        <v>446</v>
      </c>
      <c r="B1871" s="2" t="s">
        <v>3038</v>
      </c>
      <c r="C1871" s="2" t="s">
        <v>2050</v>
      </c>
      <c r="D1871" s="2" t="s">
        <v>1839</v>
      </c>
      <c r="E1871" s="2" t="s">
        <v>1840</v>
      </c>
      <c r="F1871" s="2">
        <v>3.1097199999999998</v>
      </c>
      <c r="G1871" s="2">
        <v>1.26311</v>
      </c>
      <c r="H1871" s="2">
        <v>-1.2998099999999999</v>
      </c>
    </row>
    <row r="1872" spans="1:8" x14ac:dyDescent="0.2">
      <c r="A1872" s="2" t="s">
        <v>679</v>
      </c>
      <c r="B1872" s="2" t="s">
        <v>3448</v>
      </c>
      <c r="C1872" s="2" t="s">
        <v>2839</v>
      </c>
      <c r="D1872" s="2" t="s">
        <v>1839</v>
      </c>
      <c r="E1872" s="2" t="s">
        <v>1841</v>
      </c>
      <c r="F1872" s="2">
        <v>137.56100000000001</v>
      </c>
      <c r="G1872" s="2">
        <v>55.832799999999999</v>
      </c>
      <c r="H1872" s="2">
        <v>-1.30088</v>
      </c>
    </row>
    <row r="1873" spans="1:8" x14ac:dyDescent="0.2">
      <c r="A1873" s="2" t="s">
        <v>1446</v>
      </c>
      <c r="B1873" s="2" t="s">
        <v>3377</v>
      </c>
      <c r="C1873" s="2" t="s">
        <v>2598</v>
      </c>
      <c r="D1873" s="2" t="s">
        <v>1836</v>
      </c>
      <c r="E1873" s="2" t="s">
        <v>1838</v>
      </c>
      <c r="F1873" s="2">
        <v>13.4358</v>
      </c>
      <c r="G1873" s="2">
        <v>5.4520400000000002</v>
      </c>
      <c r="H1873" s="2">
        <v>-1.30121</v>
      </c>
    </row>
    <row r="1874" spans="1:8" x14ac:dyDescent="0.2">
      <c r="A1874" s="2" t="s">
        <v>1508</v>
      </c>
      <c r="B1874" s="2" t="s">
        <v>3015</v>
      </c>
      <c r="C1874" s="2" t="s">
        <v>3016</v>
      </c>
      <c r="D1874" s="2" t="s">
        <v>1839</v>
      </c>
      <c r="E1874" s="2" t="s">
        <v>1841</v>
      </c>
      <c r="F1874" s="2">
        <v>2.8146599999999999</v>
      </c>
      <c r="G1874" s="2">
        <v>1.1415</v>
      </c>
      <c r="H1874" s="2">
        <v>-1.30203</v>
      </c>
    </row>
    <row r="1875" spans="1:8" x14ac:dyDescent="0.2">
      <c r="A1875" s="2" t="s">
        <v>1398</v>
      </c>
      <c r="B1875" s="2" t="s">
        <v>3081</v>
      </c>
      <c r="C1875" s="2" t="s">
        <v>2574</v>
      </c>
      <c r="D1875" s="2" t="s">
        <v>1836</v>
      </c>
      <c r="E1875" s="2" t="s">
        <v>1838</v>
      </c>
      <c r="F1875" s="2">
        <v>2.7931699999999999</v>
      </c>
      <c r="G1875" s="2">
        <v>1.13262</v>
      </c>
      <c r="H1875" s="2">
        <v>-1.30223</v>
      </c>
    </row>
    <row r="1876" spans="1:8" x14ac:dyDescent="0.2">
      <c r="A1876" s="2" t="s">
        <v>990</v>
      </c>
      <c r="B1876" s="2" t="s">
        <v>3015</v>
      </c>
      <c r="C1876" s="2" t="s">
        <v>2309</v>
      </c>
      <c r="D1876" s="2" t="s">
        <v>1836</v>
      </c>
      <c r="E1876" s="2" t="s">
        <v>1837</v>
      </c>
      <c r="F1876" s="2">
        <v>1.1097600000000001</v>
      </c>
      <c r="G1876" s="2">
        <v>0.44972400000000001</v>
      </c>
      <c r="H1876" s="2">
        <v>-1.30314</v>
      </c>
    </row>
    <row r="1877" spans="1:8" x14ac:dyDescent="0.2">
      <c r="A1877" s="2" t="s">
        <v>1400</v>
      </c>
      <c r="B1877" s="2" t="s">
        <v>3015</v>
      </c>
      <c r="C1877" s="2" t="s">
        <v>2577</v>
      </c>
      <c r="D1877" s="2" t="s">
        <v>1836</v>
      </c>
      <c r="E1877" s="2" t="s">
        <v>1838</v>
      </c>
      <c r="F1877" s="2">
        <v>1.79372</v>
      </c>
      <c r="G1877" s="2">
        <v>0.72582400000000002</v>
      </c>
      <c r="H1877" s="2">
        <v>-1.3052600000000001</v>
      </c>
    </row>
    <row r="1878" spans="1:8" x14ac:dyDescent="0.2">
      <c r="A1878" s="2" t="s">
        <v>961</v>
      </c>
      <c r="B1878" s="2" t="s">
        <v>3247</v>
      </c>
      <c r="C1878" s="2" t="s">
        <v>2294</v>
      </c>
      <c r="D1878" s="2" t="s">
        <v>1836</v>
      </c>
      <c r="E1878" s="2" t="s">
        <v>1838</v>
      </c>
      <c r="F1878" s="2">
        <v>39.926600000000001</v>
      </c>
      <c r="G1878" s="2">
        <v>16.1511</v>
      </c>
      <c r="H1878" s="2">
        <v>-1.30572</v>
      </c>
    </row>
    <row r="1879" spans="1:8" x14ac:dyDescent="0.2">
      <c r="A1879" s="2" t="s">
        <v>732</v>
      </c>
      <c r="B1879" s="2" t="s">
        <v>3015</v>
      </c>
      <c r="C1879" s="2" t="s">
        <v>2816</v>
      </c>
      <c r="D1879" s="2" t="s">
        <v>1839</v>
      </c>
      <c r="E1879" s="2" t="s">
        <v>1841</v>
      </c>
      <c r="F1879" s="2">
        <v>28.801100000000002</v>
      </c>
      <c r="G1879" s="2">
        <v>11.639799999999999</v>
      </c>
      <c r="H1879" s="2">
        <v>-1.3070600000000001</v>
      </c>
    </row>
    <row r="1880" spans="1:8" x14ac:dyDescent="0.2">
      <c r="A1880" s="2" t="s">
        <v>1227</v>
      </c>
      <c r="B1880" s="2" t="s">
        <v>3015</v>
      </c>
      <c r="C1880" s="2" t="s">
        <v>2439</v>
      </c>
      <c r="D1880" s="2" t="s">
        <v>1836</v>
      </c>
      <c r="E1880" s="2" t="s">
        <v>1838</v>
      </c>
      <c r="F1880" s="2">
        <v>0.83289199999999997</v>
      </c>
      <c r="G1880" s="2">
        <v>0.33635599999999999</v>
      </c>
      <c r="H1880" s="2">
        <v>-1.3081400000000001</v>
      </c>
    </row>
    <row r="1881" spans="1:8" x14ac:dyDescent="0.2">
      <c r="A1881" s="2" t="s">
        <v>1527</v>
      </c>
      <c r="B1881" s="2" t="s">
        <v>3015</v>
      </c>
      <c r="C1881" s="2" t="s">
        <v>3016</v>
      </c>
      <c r="D1881" s="2" t="s">
        <v>1839</v>
      </c>
      <c r="E1881" s="2" t="s">
        <v>1841</v>
      </c>
      <c r="F1881" s="2">
        <v>7.1895800000000003</v>
      </c>
      <c r="G1881" s="2">
        <v>2.9033600000000002</v>
      </c>
      <c r="H1881" s="2">
        <v>-1.3081799999999999</v>
      </c>
    </row>
    <row r="1882" spans="1:8" x14ac:dyDescent="0.2">
      <c r="A1882" s="2" t="s">
        <v>1537</v>
      </c>
      <c r="B1882" s="2" t="s">
        <v>3015</v>
      </c>
      <c r="C1882" s="2" t="s">
        <v>2639</v>
      </c>
      <c r="D1882" s="2" t="s">
        <v>1839</v>
      </c>
      <c r="E1882" s="2" t="s">
        <v>1841</v>
      </c>
      <c r="F1882" s="2">
        <v>4.9717500000000001</v>
      </c>
      <c r="G1882" s="2">
        <v>2.0065599999999999</v>
      </c>
      <c r="H1882" s="2">
        <v>-1.3090299999999999</v>
      </c>
    </row>
    <row r="1883" spans="1:8" x14ac:dyDescent="0.2">
      <c r="A1883" s="2" t="s">
        <v>1309</v>
      </c>
      <c r="B1883" s="2" t="s">
        <v>3032</v>
      </c>
      <c r="C1883" s="2" t="s">
        <v>1847</v>
      </c>
      <c r="D1883" s="2" t="s">
        <v>1836</v>
      </c>
      <c r="E1883" s="2" t="s">
        <v>1838</v>
      </c>
      <c r="F1883" s="2">
        <v>1.00776</v>
      </c>
      <c r="G1883" s="2">
        <v>0.40649400000000002</v>
      </c>
      <c r="H1883" s="2">
        <v>-1.3098399999999999</v>
      </c>
    </row>
    <row r="1884" spans="1:8" x14ac:dyDescent="0.2">
      <c r="A1884" s="2" t="s">
        <v>526</v>
      </c>
      <c r="B1884" s="2" t="s">
        <v>3185</v>
      </c>
      <c r="C1884" s="2" t="s">
        <v>2786</v>
      </c>
      <c r="D1884" s="2" t="s">
        <v>1839</v>
      </c>
      <c r="E1884" s="2" t="s">
        <v>1840</v>
      </c>
      <c r="F1884" s="2">
        <v>5.89053</v>
      </c>
      <c r="G1884" s="2">
        <v>2.37601</v>
      </c>
      <c r="H1884" s="2">
        <v>-1.30986</v>
      </c>
    </row>
    <row r="1885" spans="1:8" x14ac:dyDescent="0.2">
      <c r="A1885" s="2" t="s">
        <v>1026</v>
      </c>
      <c r="B1885" s="2" t="s">
        <v>3259</v>
      </c>
      <c r="C1885" s="2" t="s">
        <v>1847</v>
      </c>
      <c r="D1885" s="2" t="s">
        <v>1836</v>
      </c>
      <c r="E1885" s="2" t="s">
        <v>1837</v>
      </c>
      <c r="F1885" s="2">
        <v>11.9305</v>
      </c>
      <c r="G1885" s="2">
        <v>4.8121799999999997</v>
      </c>
      <c r="H1885" s="2">
        <v>-1.30989</v>
      </c>
    </row>
    <row r="1886" spans="1:8" x14ac:dyDescent="0.2">
      <c r="A1886" s="2" t="s">
        <v>757</v>
      </c>
      <c r="B1886" s="2" t="s">
        <v>3015</v>
      </c>
      <c r="C1886" s="2" t="s">
        <v>1880</v>
      </c>
      <c r="D1886" s="2" t="s">
        <v>1839</v>
      </c>
      <c r="E1886" s="2" t="s">
        <v>1841</v>
      </c>
      <c r="F1886" s="2">
        <v>155.86799999999999</v>
      </c>
      <c r="G1886" s="2">
        <v>62.861600000000003</v>
      </c>
      <c r="H1886" s="2">
        <v>-1.3100700000000001</v>
      </c>
    </row>
    <row r="1887" spans="1:8" x14ac:dyDescent="0.2">
      <c r="A1887" s="2" t="s">
        <v>1589</v>
      </c>
      <c r="B1887" s="2" t="s">
        <v>3015</v>
      </c>
      <c r="C1887" s="2" t="s">
        <v>2746</v>
      </c>
      <c r="D1887" s="2" t="s">
        <v>1839</v>
      </c>
      <c r="E1887" s="2" t="s">
        <v>1841</v>
      </c>
      <c r="F1887" s="2">
        <v>5.7364699999999997</v>
      </c>
      <c r="G1887" s="2">
        <v>2.3130799999999998</v>
      </c>
      <c r="H1887" s="2">
        <v>-1.3103499999999999</v>
      </c>
    </row>
    <row r="1888" spans="1:8" x14ac:dyDescent="0.2">
      <c r="A1888" s="2" t="s">
        <v>998</v>
      </c>
      <c r="B1888" s="2" t="s">
        <v>3015</v>
      </c>
      <c r="C1888" s="2" t="s">
        <v>3016</v>
      </c>
      <c r="D1888" s="2" t="s">
        <v>1839</v>
      </c>
      <c r="E1888" s="2" t="s">
        <v>1841</v>
      </c>
      <c r="F1888" s="2">
        <v>21.988299999999999</v>
      </c>
      <c r="G1888" s="2">
        <v>8.8636999999999997</v>
      </c>
      <c r="H1888" s="2">
        <v>-1.3107500000000001</v>
      </c>
    </row>
    <row r="1889" spans="1:8" x14ac:dyDescent="0.2">
      <c r="A1889" s="2" t="s">
        <v>1803</v>
      </c>
      <c r="B1889" s="2" t="s">
        <v>3015</v>
      </c>
      <c r="C1889" s="2" t="s">
        <v>3015</v>
      </c>
      <c r="D1889" s="2" t="s">
        <v>1839</v>
      </c>
      <c r="E1889" s="2" t="s">
        <v>1840</v>
      </c>
      <c r="F1889" s="2">
        <v>6.6737599999999997</v>
      </c>
      <c r="G1889" s="2">
        <v>2.69</v>
      </c>
      <c r="H1889" s="2">
        <v>-1.3108900000000001</v>
      </c>
    </row>
    <row r="1890" spans="1:8" x14ac:dyDescent="0.2">
      <c r="A1890" s="2" t="s">
        <v>1758</v>
      </c>
      <c r="B1890" s="2" t="s">
        <v>3015</v>
      </c>
      <c r="C1890" s="2" t="s">
        <v>3009</v>
      </c>
      <c r="D1890" s="2" t="s">
        <v>1839</v>
      </c>
      <c r="E1890" s="2" t="s">
        <v>1840</v>
      </c>
      <c r="F1890" s="2">
        <v>2.6737500000000001</v>
      </c>
      <c r="G1890" s="2">
        <v>1.07531</v>
      </c>
      <c r="H1890" s="2">
        <v>-1.3141099999999999</v>
      </c>
    </row>
    <row r="1891" spans="1:8" x14ac:dyDescent="0.2">
      <c r="A1891" s="2" t="s">
        <v>1064</v>
      </c>
      <c r="B1891" s="2" t="s">
        <v>3015</v>
      </c>
      <c r="C1891" s="2" t="s">
        <v>1854</v>
      </c>
      <c r="D1891" s="2" t="s">
        <v>1836</v>
      </c>
      <c r="E1891" s="2" t="s">
        <v>1838</v>
      </c>
      <c r="F1891" s="2">
        <v>7.1749999999999998</v>
      </c>
      <c r="G1891" s="2">
        <v>2.8826000000000001</v>
      </c>
      <c r="H1891" s="2">
        <v>-1.3156099999999999</v>
      </c>
    </row>
    <row r="1892" spans="1:8" x14ac:dyDescent="0.2">
      <c r="A1892" s="2" t="s">
        <v>496</v>
      </c>
      <c r="B1892" s="2" t="s">
        <v>3015</v>
      </c>
      <c r="C1892" s="2" t="s">
        <v>1847</v>
      </c>
      <c r="D1892" s="2" t="s">
        <v>1836</v>
      </c>
      <c r="E1892" s="2" t="s">
        <v>1838</v>
      </c>
      <c r="F1892" s="2">
        <v>2.05965</v>
      </c>
      <c r="G1892" s="2">
        <v>0.82718499999999995</v>
      </c>
      <c r="H1892" s="2">
        <v>-1.31612</v>
      </c>
    </row>
    <row r="1893" spans="1:8" x14ac:dyDescent="0.2">
      <c r="A1893" s="2" t="s">
        <v>374</v>
      </c>
      <c r="B1893" s="2" t="s">
        <v>3015</v>
      </c>
      <c r="C1893" s="2" t="s">
        <v>2466</v>
      </c>
      <c r="D1893" s="2" t="s">
        <v>1836</v>
      </c>
      <c r="E1893" s="2" t="s">
        <v>1838</v>
      </c>
      <c r="F1893" s="2">
        <v>26.980599999999999</v>
      </c>
      <c r="G1893" s="2">
        <v>10.828200000000001</v>
      </c>
      <c r="H1893" s="2">
        <v>-1.3171299999999999</v>
      </c>
    </row>
    <row r="1894" spans="1:8" x14ac:dyDescent="0.2">
      <c r="A1894" s="2" t="s">
        <v>336</v>
      </c>
      <c r="B1894" s="2" t="s">
        <v>3100</v>
      </c>
      <c r="C1894" s="2" t="s">
        <v>1948</v>
      </c>
      <c r="D1894" s="2" t="s">
        <v>1839</v>
      </c>
      <c r="E1894" s="2" t="s">
        <v>1841</v>
      </c>
      <c r="F1894" s="2">
        <v>31.6296</v>
      </c>
      <c r="G1894" s="2">
        <v>12.6897</v>
      </c>
      <c r="H1894" s="2">
        <v>-1.3176099999999999</v>
      </c>
    </row>
    <row r="1895" spans="1:8" x14ac:dyDescent="0.2">
      <c r="A1895" s="2" t="s">
        <v>1539</v>
      </c>
      <c r="B1895" s="2" t="s">
        <v>3093</v>
      </c>
      <c r="C1895" s="2" t="s">
        <v>2689</v>
      </c>
      <c r="D1895" s="2" t="s">
        <v>1839</v>
      </c>
      <c r="E1895" s="2" t="s">
        <v>1841</v>
      </c>
      <c r="F1895" s="2">
        <v>0.84841</v>
      </c>
      <c r="G1895" s="2">
        <v>0.34016400000000002</v>
      </c>
      <c r="H1895" s="2">
        <v>-1.31853</v>
      </c>
    </row>
    <row r="1896" spans="1:8" x14ac:dyDescent="0.2">
      <c r="A1896" s="2" t="s">
        <v>548</v>
      </c>
      <c r="B1896" s="2" t="s">
        <v>3015</v>
      </c>
      <c r="C1896" s="2" t="s">
        <v>2102</v>
      </c>
      <c r="D1896" s="2" t="s">
        <v>1836</v>
      </c>
      <c r="E1896" s="2" t="s">
        <v>1837</v>
      </c>
      <c r="F1896" s="2">
        <v>302.04500000000002</v>
      </c>
      <c r="G1896" s="2">
        <v>120.706</v>
      </c>
      <c r="H1896" s="2">
        <v>-1.3232699999999999</v>
      </c>
    </row>
    <row r="1897" spans="1:8" x14ac:dyDescent="0.2">
      <c r="A1897" s="2" t="s">
        <v>409</v>
      </c>
      <c r="B1897" s="2" t="s">
        <v>3015</v>
      </c>
      <c r="C1897" s="2" t="s">
        <v>2756</v>
      </c>
      <c r="D1897" s="2" t="s">
        <v>1839</v>
      </c>
      <c r="E1897" s="2" t="s">
        <v>1841</v>
      </c>
      <c r="F1897" s="2">
        <v>24.292999999999999</v>
      </c>
      <c r="G1897" s="2">
        <v>9.7067899999999998</v>
      </c>
      <c r="H1897" s="2">
        <v>-1.32348</v>
      </c>
    </row>
    <row r="1898" spans="1:8" x14ac:dyDescent="0.2">
      <c r="A1898" s="2" t="s">
        <v>615</v>
      </c>
      <c r="B1898" s="2" t="s">
        <v>3100</v>
      </c>
      <c r="C1898" s="2" t="s">
        <v>1948</v>
      </c>
      <c r="D1898" s="2" t="s">
        <v>1839</v>
      </c>
      <c r="E1898" s="2" t="s">
        <v>1840</v>
      </c>
      <c r="F1898" s="2">
        <v>1.58294</v>
      </c>
      <c r="G1898" s="2">
        <v>0.63175300000000001</v>
      </c>
      <c r="H1898" s="2">
        <v>-1.32518</v>
      </c>
    </row>
    <row r="1899" spans="1:8" x14ac:dyDescent="0.2">
      <c r="A1899" s="2" t="s">
        <v>81</v>
      </c>
      <c r="B1899" s="2" t="s">
        <v>3271</v>
      </c>
      <c r="C1899" s="2" t="s">
        <v>2386</v>
      </c>
      <c r="D1899" s="2" t="s">
        <v>1836</v>
      </c>
      <c r="E1899" s="2" t="s">
        <v>1838</v>
      </c>
      <c r="F1899" s="2">
        <v>4.8410299999999999</v>
      </c>
      <c r="G1899" s="2">
        <v>1.93167</v>
      </c>
      <c r="H1899" s="2">
        <v>-1.3254699999999999</v>
      </c>
    </row>
    <row r="1900" spans="1:8" x14ac:dyDescent="0.2">
      <c r="A1900" s="2" t="s">
        <v>426</v>
      </c>
      <c r="B1900" s="2" t="s">
        <v>3015</v>
      </c>
      <c r="C1900" s="2" t="s">
        <v>2040</v>
      </c>
      <c r="D1900" s="2" t="s">
        <v>1836</v>
      </c>
      <c r="E1900" s="2" t="s">
        <v>1837</v>
      </c>
      <c r="F1900" s="2">
        <v>9.9960799999999992</v>
      </c>
      <c r="G1900" s="2">
        <v>3.98752</v>
      </c>
      <c r="H1900" s="2">
        <v>-1.3258700000000001</v>
      </c>
    </row>
    <row r="1901" spans="1:8" x14ac:dyDescent="0.2">
      <c r="A1901" s="2" t="s">
        <v>982</v>
      </c>
      <c r="B1901" s="2" t="s">
        <v>3015</v>
      </c>
      <c r="C1901" s="2" t="s">
        <v>3016</v>
      </c>
      <c r="D1901" s="2" t="s">
        <v>1839</v>
      </c>
      <c r="E1901" s="2" t="s">
        <v>1841</v>
      </c>
      <c r="F1901" s="2">
        <v>2.2590699999999999</v>
      </c>
      <c r="G1901" s="2">
        <v>0.90088199999999996</v>
      </c>
      <c r="H1901" s="2">
        <v>-1.3263199999999999</v>
      </c>
    </row>
    <row r="1902" spans="1:8" x14ac:dyDescent="0.2">
      <c r="A1902" s="2" t="s">
        <v>921</v>
      </c>
      <c r="B1902" s="2" t="s">
        <v>3238</v>
      </c>
      <c r="C1902" s="2" t="s">
        <v>2272</v>
      </c>
      <c r="D1902" s="2" t="s">
        <v>1836</v>
      </c>
      <c r="E1902" s="2" t="s">
        <v>1837</v>
      </c>
      <c r="F1902" s="2">
        <v>3.66967</v>
      </c>
      <c r="G1902" s="2">
        <v>1.4633</v>
      </c>
      <c r="H1902" s="2">
        <v>-1.32643</v>
      </c>
    </row>
    <row r="1903" spans="1:8" x14ac:dyDescent="0.2">
      <c r="A1903" s="2" t="s">
        <v>363</v>
      </c>
      <c r="B1903" s="2" t="s">
        <v>3125</v>
      </c>
      <c r="C1903" s="2" t="s">
        <v>3016</v>
      </c>
      <c r="D1903" s="2" t="s">
        <v>1839</v>
      </c>
      <c r="E1903" s="2" t="s">
        <v>1841</v>
      </c>
      <c r="F1903" s="2">
        <v>2.5592700000000002</v>
      </c>
      <c r="G1903" s="2">
        <v>1.02023</v>
      </c>
      <c r="H1903" s="2">
        <v>-1.32684</v>
      </c>
    </row>
    <row r="1904" spans="1:8" x14ac:dyDescent="0.2">
      <c r="A1904" s="2" t="s">
        <v>514</v>
      </c>
      <c r="B1904" s="2" t="s">
        <v>3045</v>
      </c>
      <c r="C1904" s="2" t="s">
        <v>2491</v>
      </c>
      <c r="D1904" s="2" t="s">
        <v>1836</v>
      </c>
      <c r="E1904" s="2" t="s">
        <v>1838</v>
      </c>
      <c r="F1904" s="2">
        <v>19.6432</v>
      </c>
      <c r="G1904" s="2">
        <v>7.8249399999999998</v>
      </c>
      <c r="H1904" s="2">
        <v>-1.3278799999999999</v>
      </c>
    </row>
    <row r="1905" spans="1:8" x14ac:dyDescent="0.2">
      <c r="A1905" s="2" t="s">
        <v>5</v>
      </c>
      <c r="B1905" s="2" t="s">
        <v>3276</v>
      </c>
      <c r="C1905" s="2" t="s">
        <v>2360</v>
      </c>
      <c r="D1905" s="2" t="s">
        <v>1836</v>
      </c>
      <c r="E1905" s="2" t="s">
        <v>1837</v>
      </c>
      <c r="F1905" s="2">
        <v>4.3029999999999999</v>
      </c>
      <c r="G1905" s="2">
        <v>1.7140899999999999</v>
      </c>
      <c r="H1905" s="2">
        <v>-1.3279000000000001</v>
      </c>
    </row>
    <row r="1906" spans="1:8" x14ac:dyDescent="0.2">
      <c r="A1906" s="2" t="s">
        <v>900</v>
      </c>
      <c r="B1906" s="2" t="s">
        <v>3080</v>
      </c>
      <c r="C1906" s="2" t="s">
        <v>2261</v>
      </c>
      <c r="D1906" s="2" t="s">
        <v>1836</v>
      </c>
      <c r="E1906" s="2" t="s">
        <v>1837</v>
      </c>
      <c r="F1906" s="2">
        <v>8.3671699999999998</v>
      </c>
      <c r="G1906" s="2">
        <v>3.3323</v>
      </c>
      <c r="H1906" s="2">
        <v>-1.32822</v>
      </c>
    </row>
    <row r="1907" spans="1:8" x14ac:dyDescent="0.2">
      <c r="A1907" s="2" t="s">
        <v>572</v>
      </c>
      <c r="B1907" s="2" t="s">
        <v>3299</v>
      </c>
      <c r="C1907" s="2" t="s">
        <v>2804</v>
      </c>
      <c r="D1907" s="2" t="s">
        <v>1839</v>
      </c>
      <c r="E1907" s="2" t="s">
        <v>1841</v>
      </c>
      <c r="F1907" s="2">
        <v>6.3428800000000001</v>
      </c>
      <c r="G1907" s="2">
        <v>2.5238399999999999</v>
      </c>
      <c r="H1907" s="2">
        <v>-1.32952</v>
      </c>
    </row>
    <row r="1908" spans="1:8" x14ac:dyDescent="0.2">
      <c r="A1908" s="2" t="s">
        <v>461</v>
      </c>
      <c r="B1908" s="2" t="s">
        <v>3015</v>
      </c>
      <c r="C1908" s="2" t="s">
        <v>2060</v>
      </c>
      <c r="D1908" s="2" t="s">
        <v>1836</v>
      </c>
      <c r="E1908" s="2" t="s">
        <v>1838</v>
      </c>
      <c r="F1908" s="2">
        <v>9.4544499999999996</v>
      </c>
      <c r="G1908" s="2">
        <v>3.7604799999999998</v>
      </c>
      <c r="H1908" s="2">
        <v>-1.3300799999999999</v>
      </c>
    </row>
    <row r="1909" spans="1:8" x14ac:dyDescent="0.2">
      <c r="A1909" s="2" t="s">
        <v>531</v>
      </c>
      <c r="B1909" s="2" t="s">
        <v>3093</v>
      </c>
      <c r="C1909" s="2" t="s">
        <v>2094</v>
      </c>
      <c r="D1909" s="2" t="s">
        <v>1839</v>
      </c>
      <c r="E1909" s="2" t="s">
        <v>1840</v>
      </c>
      <c r="F1909" s="2">
        <v>0.78532199999999996</v>
      </c>
      <c r="G1909" s="2">
        <v>0.31211699999999998</v>
      </c>
      <c r="H1909" s="2">
        <v>-1.3311999999999999</v>
      </c>
    </row>
    <row r="1910" spans="1:8" x14ac:dyDescent="0.2">
      <c r="A1910" s="2" t="s">
        <v>286</v>
      </c>
      <c r="B1910" s="2" t="s">
        <v>3015</v>
      </c>
      <c r="C1910" s="2" t="s">
        <v>3015</v>
      </c>
      <c r="D1910" s="2" t="s">
        <v>1836</v>
      </c>
      <c r="E1910" s="2" t="s">
        <v>1837</v>
      </c>
      <c r="F1910" s="2">
        <v>23.9984</v>
      </c>
      <c r="G1910" s="2">
        <v>9.5113299999999992</v>
      </c>
      <c r="H1910" s="2">
        <v>-1.3352200000000001</v>
      </c>
    </row>
    <row r="1911" spans="1:8" x14ac:dyDescent="0.2">
      <c r="A1911" s="2" t="s">
        <v>1331</v>
      </c>
      <c r="B1911" s="2" t="s">
        <v>3191</v>
      </c>
      <c r="C1911" s="2" t="s">
        <v>2526</v>
      </c>
      <c r="D1911" s="2" t="s">
        <v>1836</v>
      </c>
      <c r="E1911" s="2" t="s">
        <v>1838</v>
      </c>
      <c r="F1911" s="2">
        <v>4.28444</v>
      </c>
      <c r="G1911" s="2">
        <v>1.6968000000000001</v>
      </c>
      <c r="H1911" s="2">
        <v>-1.33629</v>
      </c>
    </row>
    <row r="1912" spans="1:8" x14ac:dyDescent="0.2">
      <c r="A1912" s="2" t="s">
        <v>264</v>
      </c>
      <c r="B1912" s="2" t="s">
        <v>3102</v>
      </c>
      <c r="C1912" s="2" t="s">
        <v>1968</v>
      </c>
      <c r="D1912" s="2" t="s">
        <v>1836</v>
      </c>
      <c r="E1912" s="2" t="s">
        <v>1838</v>
      </c>
      <c r="F1912" s="2">
        <v>1.15181</v>
      </c>
      <c r="G1912" s="2">
        <v>0.45606000000000002</v>
      </c>
      <c r="H1912" s="2">
        <v>-1.3366100000000001</v>
      </c>
    </row>
    <row r="1913" spans="1:8" x14ac:dyDescent="0.2">
      <c r="A1913" s="2" t="s">
        <v>1568</v>
      </c>
      <c r="B1913" s="2" t="s">
        <v>3414</v>
      </c>
      <c r="C1913" s="2" t="s">
        <v>2724</v>
      </c>
      <c r="D1913" s="2" t="s">
        <v>1839</v>
      </c>
      <c r="E1913" s="2" t="s">
        <v>1841</v>
      </c>
      <c r="F1913" s="2">
        <v>3.9556499999999999</v>
      </c>
      <c r="G1913" s="2">
        <v>1.5646199999999999</v>
      </c>
      <c r="H1913" s="2">
        <v>-1.3381000000000001</v>
      </c>
    </row>
    <row r="1914" spans="1:8" x14ac:dyDescent="0.2">
      <c r="A1914" s="2" t="s">
        <v>644</v>
      </c>
      <c r="B1914" s="2" t="s">
        <v>3193</v>
      </c>
      <c r="C1914" s="2" t="s">
        <v>2166</v>
      </c>
      <c r="D1914" s="2" t="s">
        <v>1839</v>
      </c>
      <c r="E1914" s="2" t="s">
        <v>1841</v>
      </c>
      <c r="F1914" s="2">
        <v>561.09699999999998</v>
      </c>
      <c r="G1914" s="2">
        <v>221.88800000000001</v>
      </c>
      <c r="H1914" s="2">
        <v>-1.3384199999999999</v>
      </c>
    </row>
    <row r="1915" spans="1:8" x14ac:dyDescent="0.2">
      <c r="A1915" s="2" t="s">
        <v>753</v>
      </c>
      <c r="B1915" s="2" t="s">
        <v>3015</v>
      </c>
      <c r="C1915" s="2" t="s">
        <v>2871</v>
      </c>
      <c r="D1915" s="2" t="s">
        <v>1839</v>
      </c>
      <c r="E1915" s="2" t="s">
        <v>1840</v>
      </c>
      <c r="F1915" s="2">
        <v>8.2241199999999992</v>
      </c>
      <c r="G1915" s="2">
        <v>3.25021</v>
      </c>
      <c r="H1915" s="2">
        <v>-1.3393299999999999</v>
      </c>
    </row>
    <row r="1916" spans="1:8" x14ac:dyDescent="0.2">
      <c r="A1916" s="2" t="s">
        <v>844</v>
      </c>
      <c r="B1916" s="2" t="s">
        <v>3220</v>
      </c>
      <c r="C1916" s="2" t="s">
        <v>2231</v>
      </c>
      <c r="D1916" s="2" t="s">
        <v>1836</v>
      </c>
      <c r="E1916" s="2" t="s">
        <v>1837</v>
      </c>
      <c r="F1916" s="2">
        <v>4.7689500000000002</v>
      </c>
      <c r="G1916" s="2">
        <v>1.8828</v>
      </c>
      <c r="H1916" s="2">
        <v>-1.3407899999999999</v>
      </c>
    </row>
    <row r="1917" spans="1:8" x14ac:dyDescent="0.2">
      <c r="A1917" s="2" t="s">
        <v>1780</v>
      </c>
      <c r="B1917" s="2" t="s">
        <v>3015</v>
      </c>
      <c r="C1917" s="2" t="s">
        <v>2956</v>
      </c>
      <c r="D1917" s="2" t="s">
        <v>1839</v>
      </c>
      <c r="E1917" s="2" t="s">
        <v>1841</v>
      </c>
      <c r="F1917" s="2">
        <v>2.1651500000000001</v>
      </c>
      <c r="G1917" s="2">
        <v>0.85464700000000005</v>
      </c>
      <c r="H1917" s="2">
        <v>-1.3410599999999999</v>
      </c>
    </row>
    <row r="1918" spans="1:8" x14ac:dyDescent="0.2">
      <c r="A1918" s="2" t="s">
        <v>1786</v>
      </c>
      <c r="B1918" s="2" t="s">
        <v>3015</v>
      </c>
      <c r="C1918" s="2" t="s">
        <v>1880</v>
      </c>
      <c r="D1918" s="2" t="s">
        <v>1839</v>
      </c>
      <c r="E1918" s="2" t="s">
        <v>1841</v>
      </c>
      <c r="F1918" s="2">
        <v>5.6065899999999997</v>
      </c>
      <c r="G1918" s="2">
        <v>2.2128199999999998</v>
      </c>
      <c r="H1918" s="2">
        <v>-1.3412299999999999</v>
      </c>
    </row>
    <row r="1919" spans="1:8" x14ac:dyDescent="0.2">
      <c r="A1919" s="2" t="s">
        <v>1724</v>
      </c>
      <c r="B1919" s="2" t="s">
        <v>3073</v>
      </c>
      <c r="C1919" s="2" t="s">
        <v>2888</v>
      </c>
      <c r="D1919" s="2" t="s">
        <v>1839</v>
      </c>
      <c r="E1919" s="2" t="s">
        <v>1841</v>
      </c>
      <c r="F1919" s="2">
        <v>0.97533000000000003</v>
      </c>
      <c r="G1919" s="2">
        <v>0.38482499999999997</v>
      </c>
      <c r="H1919" s="2">
        <v>-1.34169</v>
      </c>
    </row>
    <row r="1920" spans="1:8" x14ac:dyDescent="0.2">
      <c r="A1920" s="2" t="s">
        <v>1008</v>
      </c>
      <c r="B1920" s="2" t="s">
        <v>3015</v>
      </c>
      <c r="C1920" s="2" t="s">
        <v>2315</v>
      </c>
      <c r="D1920" s="2" t="s">
        <v>1836</v>
      </c>
      <c r="E1920" s="2" t="s">
        <v>1837</v>
      </c>
      <c r="F1920" s="2">
        <v>6.97966</v>
      </c>
      <c r="G1920" s="2">
        <v>2.7517800000000001</v>
      </c>
      <c r="H1920" s="2">
        <v>-1.3427899999999999</v>
      </c>
    </row>
    <row r="1921" spans="1:8" x14ac:dyDescent="0.2">
      <c r="A1921" s="2" t="s">
        <v>831</v>
      </c>
      <c r="B1921" s="2" t="s">
        <v>3015</v>
      </c>
      <c r="C1921" s="2" t="s">
        <v>3016</v>
      </c>
      <c r="D1921" s="2" t="s">
        <v>1839</v>
      </c>
      <c r="E1921" s="2" t="s">
        <v>1841</v>
      </c>
      <c r="F1921" s="2">
        <v>29.063800000000001</v>
      </c>
      <c r="G1921" s="2">
        <v>11.4575</v>
      </c>
      <c r="H1921" s="2">
        <v>-1.34293</v>
      </c>
    </row>
    <row r="1922" spans="1:8" x14ac:dyDescent="0.2">
      <c r="A1922" s="2" t="s">
        <v>242</v>
      </c>
      <c r="B1922" s="2" t="s">
        <v>3303</v>
      </c>
      <c r="C1922" s="2" t="s">
        <v>2428</v>
      </c>
      <c r="D1922" s="2" t="s">
        <v>1836</v>
      </c>
      <c r="E1922" s="2" t="s">
        <v>1838</v>
      </c>
      <c r="F1922" s="2">
        <v>13.1554</v>
      </c>
      <c r="G1922" s="2">
        <v>5.1860499999999998</v>
      </c>
      <c r="H1922" s="2">
        <v>-1.3429500000000001</v>
      </c>
    </row>
    <row r="1923" spans="1:8" x14ac:dyDescent="0.2">
      <c r="A1923" s="2" t="s">
        <v>1001</v>
      </c>
      <c r="B1923" s="2" t="s">
        <v>3015</v>
      </c>
      <c r="C1923" s="2" t="s">
        <v>2312</v>
      </c>
      <c r="D1923" s="2" t="s">
        <v>1836</v>
      </c>
      <c r="E1923" s="2" t="s">
        <v>1837</v>
      </c>
      <c r="F1923" s="2">
        <v>4.4379299999999997</v>
      </c>
      <c r="G1923" s="2">
        <v>1.74892</v>
      </c>
      <c r="H1923" s="2">
        <v>-1.3434200000000001</v>
      </c>
    </row>
    <row r="1924" spans="1:8" x14ac:dyDescent="0.2">
      <c r="A1924" s="2" t="s">
        <v>647</v>
      </c>
      <c r="B1924" s="2" t="s">
        <v>3015</v>
      </c>
      <c r="C1924" s="2" t="s">
        <v>2528</v>
      </c>
      <c r="D1924" s="2" t="s">
        <v>1836</v>
      </c>
      <c r="E1924" s="2" t="s">
        <v>1838</v>
      </c>
      <c r="F1924" s="2">
        <v>27.730599999999999</v>
      </c>
      <c r="G1924" s="2">
        <v>10.9251</v>
      </c>
      <c r="H1924" s="2">
        <v>-1.3438399999999999</v>
      </c>
    </row>
    <row r="1925" spans="1:8" x14ac:dyDescent="0.2">
      <c r="A1925" s="2" t="s">
        <v>171</v>
      </c>
      <c r="B1925" s="2" t="s">
        <v>3035</v>
      </c>
      <c r="C1925" s="2" t="s">
        <v>2415</v>
      </c>
      <c r="D1925" s="2" t="s">
        <v>1836</v>
      </c>
      <c r="E1925" s="2" t="s">
        <v>1838</v>
      </c>
      <c r="F1925" s="2">
        <v>98.718900000000005</v>
      </c>
      <c r="G1925" s="2">
        <v>38.875900000000001</v>
      </c>
      <c r="H1925" s="2">
        <v>-1.3444499999999999</v>
      </c>
    </row>
    <row r="1926" spans="1:8" x14ac:dyDescent="0.2">
      <c r="A1926" s="2" t="s">
        <v>217</v>
      </c>
      <c r="B1926" s="2" t="s">
        <v>3189</v>
      </c>
      <c r="C1926" s="2" t="s">
        <v>2683</v>
      </c>
      <c r="D1926" s="2" t="s">
        <v>1839</v>
      </c>
      <c r="E1926" s="2" t="s">
        <v>1840</v>
      </c>
      <c r="F1926" s="2">
        <v>18.111999999999998</v>
      </c>
      <c r="G1926" s="2">
        <v>7.1253399999999996</v>
      </c>
      <c r="H1926" s="2">
        <v>-1.34592</v>
      </c>
    </row>
    <row r="1927" spans="1:8" x14ac:dyDescent="0.2">
      <c r="A1927" s="2" t="s">
        <v>582</v>
      </c>
      <c r="B1927" s="2" t="s">
        <v>3015</v>
      </c>
      <c r="C1927" s="2" t="s">
        <v>3015</v>
      </c>
      <c r="D1927" s="2" t="s">
        <v>1836</v>
      </c>
      <c r="E1927" s="2" t="s">
        <v>1838</v>
      </c>
      <c r="F1927" s="2">
        <v>24.3767</v>
      </c>
      <c r="G1927" s="2">
        <v>9.5897699999999997</v>
      </c>
      <c r="H1927" s="2">
        <v>-1.3459399999999999</v>
      </c>
    </row>
    <row r="1928" spans="1:8" x14ac:dyDescent="0.2">
      <c r="A1928" s="2" t="s">
        <v>1265</v>
      </c>
      <c r="B1928" s="2" t="s">
        <v>3324</v>
      </c>
      <c r="C1928" s="2" t="s">
        <v>2468</v>
      </c>
      <c r="D1928" s="2" t="s">
        <v>1839</v>
      </c>
      <c r="E1928" s="2" t="s">
        <v>1841</v>
      </c>
      <c r="F1928" s="2">
        <v>1.6583600000000001</v>
      </c>
      <c r="G1928" s="2">
        <v>0.65236799999999995</v>
      </c>
      <c r="H1928" s="2">
        <v>-1.3460000000000001</v>
      </c>
    </row>
    <row r="1929" spans="1:8" x14ac:dyDescent="0.2">
      <c r="A1929" s="2" t="s">
        <v>1576</v>
      </c>
      <c r="B1929" s="2" t="s">
        <v>3045</v>
      </c>
      <c r="C1929" s="2" t="s">
        <v>2733</v>
      </c>
      <c r="D1929" s="2" t="s">
        <v>1839</v>
      </c>
      <c r="E1929" s="2" t="s">
        <v>1841</v>
      </c>
      <c r="F1929" s="2">
        <v>2.4527399999999999</v>
      </c>
      <c r="G1929" s="2">
        <v>0.96453100000000003</v>
      </c>
      <c r="H1929" s="2">
        <v>-1.34649</v>
      </c>
    </row>
    <row r="1930" spans="1:8" x14ac:dyDescent="0.2">
      <c r="A1930" s="2" t="s">
        <v>1139</v>
      </c>
      <c r="B1930" s="2" t="s">
        <v>3015</v>
      </c>
      <c r="C1930" s="2" t="s">
        <v>1917</v>
      </c>
      <c r="D1930" s="2" t="s">
        <v>1836</v>
      </c>
      <c r="E1930" s="2" t="s">
        <v>1838</v>
      </c>
      <c r="F1930" s="2">
        <v>2.33988</v>
      </c>
      <c r="G1930" s="2">
        <v>0.92010199999999998</v>
      </c>
      <c r="H1930" s="2">
        <v>-1.34657</v>
      </c>
    </row>
    <row r="1931" spans="1:8" x14ac:dyDescent="0.2">
      <c r="A1931" s="2" t="s">
        <v>859</v>
      </c>
      <c r="B1931" s="2" t="s">
        <v>3015</v>
      </c>
      <c r="C1931" s="2" t="s">
        <v>2241</v>
      </c>
      <c r="D1931" s="2" t="s">
        <v>1836</v>
      </c>
      <c r="E1931" s="2" t="s">
        <v>1838</v>
      </c>
      <c r="F1931" s="2">
        <v>2.6664599999999998</v>
      </c>
      <c r="G1931" s="2">
        <v>1.04566</v>
      </c>
      <c r="H1931" s="2">
        <v>-1.3505199999999999</v>
      </c>
    </row>
    <row r="1932" spans="1:8" x14ac:dyDescent="0.2">
      <c r="A1932" s="2" t="s">
        <v>6</v>
      </c>
      <c r="B1932" s="2" t="s">
        <v>3024</v>
      </c>
      <c r="C1932" s="2" t="s">
        <v>1844</v>
      </c>
      <c r="D1932" s="2" t="s">
        <v>1836</v>
      </c>
      <c r="E1932" s="2" t="s">
        <v>1837</v>
      </c>
      <c r="F1932" s="2">
        <v>12.1189</v>
      </c>
      <c r="G1932" s="2">
        <v>4.75237</v>
      </c>
      <c r="H1932" s="2">
        <v>-1.3505400000000001</v>
      </c>
    </row>
    <row r="1933" spans="1:8" x14ac:dyDescent="0.2">
      <c r="A1933" s="2" t="s">
        <v>1613</v>
      </c>
      <c r="B1933" s="2" t="s">
        <v>3015</v>
      </c>
      <c r="C1933" s="2" t="s">
        <v>3016</v>
      </c>
      <c r="D1933" s="2" t="s">
        <v>1839</v>
      </c>
      <c r="E1933" s="2" t="s">
        <v>1841</v>
      </c>
      <c r="F1933" s="2">
        <v>9.7957300000000007</v>
      </c>
      <c r="G1933" s="2">
        <v>3.83907</v>
      </c>
      <c r="H1933" s="2">
        <v>-1.3513900000000001</v>
      </c>
    </row>
    <row r="1934" spans="1:8" x14ac:dyDescent="0.2">
      <c r="A1934" s="2" t="s">
        <v>272</v>
      </c>
      <c r="B1934" s="2" t="s">
        <v>3307</v>
      </c>
      <c r="C1934" s="2" t="s">
        <v>2433</v>
      </c>
      <c r="D1934" s="2" t="s">
        <v>1836</v>
      </c>
      <c r="E1934" s="2" t="s">
        <v>1838</v>
      </c>
      <c r="F1934" s="2">
        <v>22.128599999999999</v>
      </c>
      <c r="G1934" s="2">
        <v>8.66981</v>
      </c>
      <c r="H1934" s="2">
        <v>-1.3518399999999999</v>
      </c>
    </row>
    <row r="1935" spans="1:8" x14ac:dyDescent="0.2">
      <c r="A1935" s="2" t="s">
        <v>106</v>
      </c>
      <c r="B1935" s="2" t="s">
        <v>3015</v>
      </c>
      <c r="C1935" s="2" t="s">
        <v>2393</v>
      </c>
      <c r="D1935" s="2" t="s">
        <v>1836</v>
      </c>
      <c r="E1935" s="2" t="s">
        <v>1838</v>
      </c>
      <c r="F1935" s="2">
        <v>50.068399999999997</v>
      </c>
      <c r="G1935" s="2">
        <v>19.598500000000001</v>
      </c>
      <c r="H1935" s="2">
        <v>-1.3531599999999999</v>
      </c>
    </row>
    <row r="1936" spans="1:8" x14ac:dyDescent="0.2">
      <c r="A1936" s="2" t="s">
        <v>1016</v>
      </c>
      <c r="B1936" s="2" t="s">
        <v>3038</v>
      </c>
      <c r="C1936" s="2" t="s">
        <v>2320</v>
      </c>
      <c r="D1936" s="2" t="s">
        <v>1836</v>
      </c>
      <c r="E1936" s="2" t="s">
        <v>1838</v>
      </c>
      <c r="F1936" s="2">
        <v>1.04027</v>
      </c>
      <c r="G1936" s="2">
        <v>0.40648499999999999</v>
      </c>
      <c r="H1936" s="2">
        <v>-1.35568</v>
      </c>
    </row>
    <row r="1937" spans="1:8" x14ac:dyDescent="0.2">
      <c r="A1937" s="2" t="s">
        <v>373</v>
      </c>
      <c r="B1937" s="2" t="s">
        <v>3030</v>
      </c>
      <c r="C1937" s="2" t="s">
        <v>2017</v>
      </c>
      <c r="D1937" s="2" t="s">
        <v>1836</v>
      </c>
      <c r="E1937" s="2" t="s">
        <v>1837</v>
      </c>
      <c r="F1937" s="2">
        <v>1.50359</v>
      </c>
      <c r="G1937" s="2">
        <v>0.58696599999999999</v>
      </c>
      <c r="H1937" s="2">
        <v>-1.35707</v>
      </c>
    </row>
    <row r="1938" spans="1:8" x14ac:dyDescent="0.2">
      <c r="A1938" s="2" t="s">
        <v>14</v>
      </c>
      <c r="B1938" s="2" t="s">
        <v>3015</v>
      </c>
      <c r="C1938" s="2" t="s">
        <v>2362</v>
      </c>
      <c r="D1938" s="2" t="s">
        <v>1836</v>
      </c>
      <c r="E1938" s="2" t="s">
        <v>1838</v>
      </c>
      <c r="F1938" s="2">
        <v>6.8305100000000003</v>
      </c>
      <c r="G1938" s="2">
        <v>2.6626099999999999</v>
      </c>
      <c r="H1938" s="2">
        <v>-1.3591500000000001</v>
      </c>
    </row>
    <row r="1939" spans="1:8" x14ac:dyDescent="0.2">
      <c r="A1939" s="2" t="s">
        <v>1425</v>
      </c>
      <c r="B1939" s="2" t="s">
        <v>3081</v>
      </c>
      <c r="C1939" s="2" t="s">
        <v>1965</v>
      </c>
      <c r="D1939" s="2" t="s">
        <v>1836</v>
      </c>
      <c r="E1939" s="2" t="s">
        <v>1838</v>
      </c>
      <c r="F1939" s="2">
        <v>3.2894000000000001</v>
      </c>
      <c r="G1939" s="2">
        <v>1.2805599999999999</v>
      </c>
      <c r="H1939" s="2">
        <v>-1.3610500000000001</v>
      </c>
    </row>
    <row r="1940" spans="1:8" x14ac:dyDescent="0.2">
      <c r="A1940" s="2" t="s">
        <v>198</v>
      </c>
      <c r="B1940" s="2" t="s">
        <v>3079</v>
      </c>
      <c r="C1940" s="2" t="s">
        <v>1936</v>
      </c>
      <c r="D1940" s="2" t="s">
        <v>1836</v>
      </c>
      <c r="E1940" s="2" t="s">
        <v>1837</v>
      </c>
      <c r="F1940" s="2">
        <v>8.0376100000000008</v>
      </c>
      <c r="G1940" s="2">
        <v>3.1284700000000001</v>
      </c>
      <c r="H1940" s="2">
        <v>-1.36131</v>
      </c>
    </row>
    <row r="1941" spans="1:8" x14ac:dyDescent="0.2">
      <c r="A1941" s="2" t="s">
        <v>1583</v>
      </c>
      <c r="B1941" s="2" t="s">
        <v>3420</v>
      </c>
      <c r="C1941" s="2" t="s">
        <v>2741</v>
      </c>
      <c r="D1941" s="2" t="s">
        <v>1839</v>
      </c>
      <c r="E1941" s="2" t="s">
        <v>1841</v>
      </c>
      <c r="F1941" s="2">
        <v>2.9475099999999999</v>
      </c>
      <c r="G1941" s="2">
        <v>1.1464300000000001</v>
      </c>
      <c r="H1941" s="2">
        <v>-1.3623499999999999</v>
      </c>
    </row>
    <row r="1942" spans="1:8" x14ac:dyDescent="0.2">
      <c r="A1942" s="2" t="s">
        <v>1694</v>
      </c>
      <c r="B1942" s="2" t="s">
        <v>3015</v>
      </c>
      <c r="C1942" s="2" t="s">
        <v>2862</v>
      </c>
      <c r="D1942" s="2" t="s">
        <v>1839</v>
      </c>
      <c r="E1942" s="2" t="s">
        <v>1841</v>
      </c>
      <c r="F1942" s="2">
        <v>8.7159300000000002</v>
      </c>
      <c r="G1942" s="2">
        <v>3.38951</v>
      </c>
      <c r="H1942" s="2">
        <v>-1.3625799999999999</v>
      </c>
    </row>
    <row r="1943" spans="1:8" x14ac:dyDescent="0.2">
      <c r="A1943" s="2" t="s">
        <v>841</v>
      </c>
      <c r="B1943" s="2" t="s">
        <v>3083</v>
      </c>
      <c r="C1943" s="2" t="s">
        <v>2229</v>
      </c>
      <c r="D1943" s="2" t="s">
        <v>1836</v>
      </c>
      <c r="E1943" s="2" t="s">
        <v>1837</v>
      </c>
      <c r="F1943" s="2">
        <v>1.11364</v>
      </c>
      <c r="G1943" s="2">
        <v>0.43279200000000001</v>
      </c>
      <c r="H1943" s="2">
        <v>-1.3635299999999999</v>
      </c>
    </row>
    <row r="1944" spans="1:8" x14ac:dyDescent="0.2">
      <c r="A1944" s="2" t="s">
        <v>1481</v>
      </c>
      <c r="B1944" s="2" t="s">
        <v>3015</v>
      </c>
      <c r="C1944" s="2" t="s">
        <v>2621</v>
      </c>
      <c r="D1944" s="2" t="s">
        <v>1839</v>
      </c>
      <c r="E1944" s="2" t="s">
        <v>1841</v>
      </c>
      <c r="F1944" s="2">
        <v>11.0952</v>
      </c>
      <c r="G1944" s="2">
        <v>4.3097300000000001</v>
      </c>
      <c r="H1944" s="2">
        <v>-1.36426</v>
      </c>
    </row>
    <row r="1945" spans="1:8" x14ac:dyDescent="0.2">
      <c r="A1945" s="2" t="s">
        <v>942</v>
      </c>
      <c r="B1945" s="2" t="s">
        <v>3243</v>
      </c>
      <c r="C1945" s="2" t="s">
        <v>1847</v>
      </c>
      <c r="D1945" s="2" t="s">
        <v>1836</v>
      </c>
      <c r="E1945" s="2" t="s">
        <v>1838</v>
      </c>
      <c r="F1945" s="2">
        <v>8.2205399999999997</v>
      </c>
      <c r="G1945" s="2">
        <v>3.1914899999999999</v>
      </c>
      <c r="H1945" s="2">
        <v>-1.365</v>
      </c>
    </row>
    <row r="1946" spans="1:8" x14ac:dyDescent="0.2">
      <c r="A1946" s="2" t="s">
        <v>1056</v>
      </c>
      <c r="B1946" s="2" t="s">
        <v>3047</v>
      </c>
      <c r="C1946" s="2" t="s">
        <v>2277</v>
      </c>
      <c r="D1946" s="2" t="s">
        <v>1836</v>
      </c>
      <c r="E1946" s="2" t="s">
        <v>1837</v>
      </c>
      <c r="F1946" s="2">
        <v>1.00936</v>
      </c>
      <c r="G1946" s="2">
        <v>0.391731</v>
      </c>
      <c r="H1946" s="2">
        <v>-1.36551</v>
      </c>
    </row>
    <row r="1947" spans="1:8" x14ac:dyDescent="0.2">
      <c r="A1947" s="2" t="s">
        <v>278</v>
      </c>
      <c r="B1947" s="2" t="s">
        <v>3033</v>
      </c>
      <c r="C1947" s="2" t="s">
        <v>1971</v>
      </c>
      <c r="D1947" s="2" t="s">
        <v>1836</v>
      </c>
      <c r="E1947" s="2" t="s">
        <v>1837</v>
      </c>
      <c r="F1947" s="2">
        <v>16.901199999999999</v>
      </c>
      <c r="G1947" s="2">
        <v>6.5565100000000003</v>
      </c>
      <c r="H1947" s="2">
        <v>-1.3661300000000001</v>
      </c>
    </row>
    <row r="1948" spans="1:8" x14ac:dyDescent="0.2">
      <c r="A1948" s="2" t="s">
        <v>953</v>
      </c>
      <c r="B1948" s="2" t="s">
        <v>3015</v>
      </c>
      <c r="C1948" s="2" t="s">
        <v>2288</v>
      </c>
      <c r="D1948" s="2" t="s">
        <v>1836</v>
      </c>
      <c r="E1948" s="2" t="s">
        <v>1838</v>
      </c>
      <c r="F1948" s="2">
        <v>3.8626299999999998</v>
      </c>
      <c r="G1948" s="2">
        <v>1.4980500000000001</v>
      </c>
      <c r="H1948" s="2">
        <v>-1.3665</v>
      </c>
    </row>
    <row r="1949" spans="1:8" x14ac:dyDescent="0.2">
      <c r="A1949" s="2" t="s">
        <v>279</v>
      </c>
      <c r="B1949" s="2" t="s">
        <v>3015</v>
      </c>
      <c r="C1949" s="2" t="s">
        <v>1972</v>
      </c>
      <c r="D1949" s="2" t="s">
        <v>1836</v>
      </c>
      <c r="E1949" s="2" t="s">
        <v>1838</v>
      </c>
      <c r="F1949" s="2">
        <v>0.92411299999999996</v>
      </c>
      <c r="G1949" s="2">
        <v>0.358377</v>
      </c>
      <c r="H1949" s="2">
        <v>-1.36659</v>
      </c>
    </row>
    <row r="1950" spans="1:8" x14ac:dyDescent="0.2">
      <c r="A1950" s="2" t="s">
        <v>456</v>
      </c>
      <c r="B1950" s="2" t="s">
        <v>3143</v>
      </c>
      <c r="C1950" s="2" t="s">
        <v>2058</v>
      </c>
      <c r="D1950" s="2" t="s">
        <v>1836</v>
      </c>
      <c r="E1950" s="2" t="s">
        <v>1838</v>
      </c>
      <c r="F1950" s="2">
        <v>389.113</v>
      </c>
      <c r="G1950" s="2">
        <v>150.80199999999999</v>
      </c>
      <c r="H1950" s="2">
        <v>-1.3675299999999999</v>
      </c>
    </row>
    <row r="1951" spans="1:8" x14ac:dyDescent="0.2">
      <c r="A1951" s="2" t="s">
        <v>51</v>
      </c>
      <c r="B1951" s="2" t="s">
        <v>3037</v>
      </c>
      <c r="C1951" s="2" t="s">
        <v>1866</v>
      </c>
      <c r="D1951" s="2" t="s">
        <v>1839</v>
      </c>
      <c r="E1951" s="2" t="s">
        <v>1841</v>
      </c>
      <c r="F1951" s="2">
        <v>4.2758399999999996</v>
      </c>
      <c r="G1951" s="2">
        <v>1.6566099999999999</v>
      </c>
      <c r="H1951" s="2">
        <v>-1.36798</v>
      </c>
    </row>
    <row r="1952" spans="1:8" x14ac:dyDescent="0.2">
      <c r="A1952" s="2" t="s">
        <v>959</v>
      </c>
      <c r="B1952" s="2" t="s">
        <v>3047</v>
      </c>
      <c r="C1952" s="2" t="s">
        <v>2292</v>
      </c>
      <c r="D1952" s="2" t="s">
        <v>1836</v>
      </c>
      <c r="E1952" s="2" t="s">
        <v>1837</v>
      </c>
      <c r="F1952" s="2">
        <v>0.86680699999999999</v>
      </c>
      <c r="G1952" s="2">
        <v>0.33582099999999998</v>
      </c>
      <c r="H1952" s="2">
        <v>-1.36802</v>
      </c>
    </row>
    <row r="1953" spans="1:8" x14ac:dyDescent="0.2">
      <c r="A1953" s="2" t="s">
        <v>1696</v>
      </c>
      <c r="B1953" s="2" t="s">
        <v>3015</v>
      </c>
      <c r="C1953" s="2" t="s">
        <v>2863</v>
      </c>
      <c r="D1953" s="2" t="s">
        <v>1839</v>
      </c>
      <c r="E1953" s="2" t="s">
        <v>1841</v>
      </c>
      <c r="F1953" s="2">
        <v>18.302399999999999</v>
      </c>
      <c r="G1953" s="2">
        <v>7.0885699999999998</v>
      </c>
      <c r="H1953" s="2">
        <v>-1.36846</v>
      </c>
    </row>
    <row r="1954" spans="1:8" x14ac:dyDescent="0.2">
      <c r="A1954" s="2" t="s">
        <v>1049</v>
      </c>
      <c r="B1954" s="2" t="s">
        <v>3262</v>
      </c>
      <c r="C1954" s="2" t="s">
        <v>2335</v>
      </c>
      <c r="D1954" s="2" t="s">
        <v>1836</v>
      </c>
      <c r="E1954" s="2" t="s">
        <v>1837</v>
      </c>
      <c r="F1954" s="2">
        <v>200.76300000000001</v>
      </c>
      <c r="G1954" s="2">
        <v>77.751199999999997</v>
      </c>
      <c r="H1954" s="2">
        <v>-1.36856</v>
      </c>
    </row>
    <row r="1955" spans="1:8" x14ac:dyDescent="0.2">
      <c r="A1955" s="2" t="s">
        <v>675</v>
      </c>
      <c r="B1955" s="2" t="s">
        <v>3189</v>
      </c>
      <c r="C1955" s="2" t="s">
        <v>2157</v>
      </c>
      <c r="D1955" s="2" t="s">
        <v>1839</v>
      </c>
      <c r="E1955" s="2" t="s">
        <v>1841</v>
      </c>
      <c r="F1955" s="2">
        <v>21.8018</v>
      </c>
      <c r="G1955" s="2">
        <v>8.4424200000000003</v>
      </c>
      <c r="H1955" s="2">
        <v>-1.3687199999999999</v>
      </c>
    </row>
    <row r="1956" spans="1:8" x14ac:dyDescent="0.2">
      <c r="A1956" s="2" t="s">
        <v>561</v>
      </c>
      <c r="B1956" s="2" t="s">
        <v>3159</v>
      </c>
      <c r="C1956" s="2" t="s">
        <v>2107</v>
      </c>
      <c r="D1956" s="2" t="s">
        <v>1836</v>
      </c>
      <c r="E1956" s="2" t="s">
        <v>1837</v>
      </c>
      <c r="F1956" s="2">
        <v>2.8664800000000001</v>
      </c>
      <c r="G1956" s="2">
        <v>1.1098699999999999</v>
      </c>
      <c r="H1956" s="2">
        <v>-1.3688899999999999</v>
      </c>
    </row>
    <row r="1957" spans="1:8" x14ac:dyDescent="0.2">
      <c r="A1957" s="2" t="s">
        <v>671</v>
      </c>
      <c r="B1957" s="2" t="s">
        <v>3187</v>
      </c>
      <c r="C1957" s="2" t="s">
        <v>2155</v>
      </c>
      <c r="D1957" s="2" t="s">
        <v>1836</v>
      </c>
      <c r="E1957" s="2" t="s">
        <v>1837</v>
      </c>
      <c r="F1957" s="2">
        <v>0.82825099999999996</v>
      </c>
      <c r="G1957" s="2">
        <v>0.320627</v>
      </c>
      <c r="H1957" s="2">
        <v>-1.36917</v>
      </c>
    </row>
    <row r="1958" spans="1:8" x14ac:dyDescent="0.2">
      <c r="A1958" s="2" t="s">
        <v>159</v>
      </c>
      <c r="B1958" s="2" t="s">
        <v>3065</v>
      </c>
      <c r="C1958" s="2" t="s">
        <v>1920</v>
      </c>
      <c r="D1958" s="2" t="s">
        <v>1836</v>
      </c>
      <c r="E1958" s="2" t="s">
        <v>1837</v>
      </c>
      <c r="F1958" s="2">
        <v>11.1389</v>
      </c>
      <c r="G1958" s="2">
        <v>4.3109200000000003</v>
      </c>
      <c r="H1958" s="2">
        <v>-1.3695299999999999</v>
      </c>
    </row>
    <row r="1959" spans="1:8" x14ac:dyDescent="0.2">
      <c r="A1959" s="2" t="s">
        <v>583</v>
      </c>
      <c r="B1959" s="2" t="s">
        <v>3015</v>
      </c>
      <c r="C1959" s="2" t="s">
        <v>3015</v>
      </c>
      <c r="D1959" s="2" t="s">
        <v>1836</v>
      </c>
      <c r="E1959" s="2" t="s">
        <v>1837</v>
      </c>
      <c r="F1959" s="2">
        <v>273.91300000000001</v>
      </c>
      <c r="G1959" s="2">
        <v>105.904</v>
      </c>
      <c r="H1959" s="2">
        <v>-1.3709499999999999</v>
      </c>
    </row>
    <row r="1960" spans="1:8" x14ac:dyDescent="0.2">
      <c r="A1960" s="2" t="s">
        <v>1164</v>
      </c>
      <c r="B1960" s="2" t="s">
        <v>3030</v>
      </c>
      <c r="C1960" s="2" t="s">
        <v>2397</v>
      </c>
      <c r="D1960" s="2" t="s">
        <v>1836</v>
      </c>
      <c r="E1960" s="2" t="s">
        <v>1838</v>
      </c>
      <c r="F1960" s="2">
        <v>3.1493099999999998</v>
      </c>
      <c r="G1960" s="2">
        <v>1.2176</v>
      </c>
      <c r="H1960" s="2">
        <v>-1.3709899999999999</v>
      </c>
    </row>
    <row r="1961" spans="1:8" x14ac:dyDescent="0.2">
      <c r="A1961" s="2" t="s">
        <v>761</v>
      </c>
      <c r="B1961" s="2" t="s">
        <v>3015</v>
      </c>
      <c r="C1961" s="2" t="s">
        <v>2191</v>
      </c>
      <c r="D1961" s="2" t="s">
        <v>1836</v>
      </c>
      <c r="E1961" s="2" t="s">
        <v>1837</v>
      </c>
      <c r="F1961" s="2">
        <v>1.67391</v>
      </c>
      <c r="G1961" s="2">
        <v>0.647119</v>
      </c>
      <c r="H1961" s="2">
        <v>-1.3711199999999999</v>
      </c>
    </row>
    <row r="1962" spans="1:8" x14ac:dyDescent="0.2">
      <c r="A1962" s="2" t="s">
        <v>778</v>
      </c>
      <c r="B1962" s="2" t="s">
        <v>3094</v>
      </c>
      <c r="C1962" s="2" t="s">
        <v>2321</v>
      </c>
      <c r="D1962" s="2" t="s">
        <v>1836</v>
      </c>
      <c r="E1962" s="2" t="s">
        <v>1838</v>
      </c>
      <c r="F1962" s="2">
        <v>4.3981700000000004</v>
      </c>
      <c r="G1962" s="2">
        <v>1.69875</v>
      </c>
      <c r="H1962" s="2">
        <v>-1.37243</v>
      </c>
    </row>
    <row r="1963" spans="1:8" x14ac:dyDescent="0.2">
      <c r="A1963" s="2" t="s">
        <v>989</v>
      </c>
      <c r="B1963" s="2" t="s">
        <v>3015</v>
      </c>
      <c r="C1963" s="2" t="s">
        <v>1862</v>
      </c>
      <c r="D1963" s="2" t="s">
        <v>1836</v>
      </c>
      <c r="E1963" s="2" t="s">
        <v>1837</v>
      </c>
      <c r="F1963" s="2">
        <v>22.984300000000001</v>
      </c>
      <c r="G1963" s="2">
        <v>8.8755299999999995</v>
      </c>
      <c r="H1963" s="2">
        <v>-1.3727400000000001</v>
      </c>
    </row>
    <row r="1964" spans="1:8" x14ac:dyDescent="0.2">
      <c r="A1964" s="2" t="s">
        <v>777</v>
      </c>
      <c r="B1964" s="2" t="s">
        <v>3360</v>
      </c>
      <c r="C1964" s="2" t="s">
        <v>2563</v>
      </c>
      <c r="D1964" s="2" t="s">
        <v>1836</v>
      </c>
      <c r="E1964" s="2" t="s">
        <v>1838</v>
      </c>
      <c r="F1964" s="2">
        <v>3.3238799999999999</v>
      </c>
      <c r="G1964" s="2">
        <v>1.28331</v>
      </c>
      <c r="H1964" s="2">
        <v>-1.373</v>
      </c>
    </row>
    <row r="1965" spans="1:8" x14ac:dyDescent="0.2">
      <c r="A1965" s="2" t="s">
        <v>624</v>
      </c>
      <c r="B1965" s="2" t="s">
        <v>3158</v>
      </c>
      <c r="C1965" s="2" t="s">
        <v>2520</v>
      </c>
      <c r="D1965" s="2" t="s">
        <v>1836</v>
      </c>
      <c r="E1965" s="2" t="s">
        <v>1838</v>
      </c>
      <c r="F1965" s="2">
        <v>25.8858</v>
      </c>
      <c r="G1965" s="2">
        <v>9.9911799999999999</v>
      </c>
      <c r="H1965" s="2">
        <v>-1.3734299999999999</v>
      </c>
    </row>
    <row r="1966" spans="1:8" x14ac:dyDescent="0.2">
      <c r="A1966" s="2" t="s">
        <v>646</v>
      </c>
      <c r="B1966" s="2" t="s">
        <v>3182</v>
      </c>
      <c r="C1966" s="2" t="s">
        <v>2144</v>
      </c>
      <c r="D1966" s="2" t="s">
        <v>1836</v>
      </c>
      <c r="E1966" s="2" t="s">
        <v>1837</v>
      </c>
      <c r="F1966" s="2">
        <v>7.4388699999999996</v>
      </c>
      <c r="G1966" s="2">
        <v>2.8691</v>
      </c>
      <c r="H1966" s="2">
        <v>-1.3744799999999999</v>
      </c>
    </row>
    <row r="1967" spans="1:8" x14ac:dyDescent="0.2">
      <c r="A1967" s="2" t="s">
        <v>320</v>
      </c>
      <c r="B1967" s="2" t="s">
        <v>3113</v>
      </c>
      <c r="C1967" s="2" t="s">
        <v>1994</v>
      </c>
      <c r="D1967" s="2" t="s">
        <v>1836</v>
      </c>
      <c r="E1967" s="2" t="s">
        <v>1837</v>
      </c>
      <c r="F1967" s="2">
        <v>1.3244800000000001</v>
      </c>
      <c r="G1967" s="2">
        <v>0.51022699999999999</v>
      </c>
      <c r="H1967" s="2">
        <v>-1.3762099999999999</v>
      </c>
    </row>
    <row r="1968" spans="1:8" x14ac:dyDescent="0.2">
      <c r="A1968" s="2" t="s">
        <v>474</v>
      </c>
      <c r="B1968" s="2" t="s">
        <v>3015</v>
      </c>
      <c r="C1968" s="2" t="s">
        <v>1892</v>
      </c>
      <c r="D1968" s="2" t="s">
        <v>1836</v>
      </c>
      <c r="E1968" s="2" t="s">
        <v>1838</v>
      </c>
      <c r="F1968" s="2">
        <v>22.055499999999999</v>
      </c>
      <c r="G1968" s="2">
        <v>8.4771099999999997</v>
      </c>
      <c r="H1968" s="2">
        <v>-1.3794900000000001</v>
      </c>
    </row>
    <row r="1969" spans="1:8" x14ac:dyDescent="0.2">
      <c r="A1969" s="2" t="s">
        <v>1088</v>
      </c>
      <c r="B1969" s="2" t="s">
        <v>3081</v>
      </c>
      <c r="C1969" s="2" t="s">
        <v>2353</v>
      </c>
      <c r="D1969" s="2" t="s">
        <v>1836</v>
      </c>
      <c r="E1969" s="2" t="s">
        <v>1837</v>
      </c>
      <c r="F1969" s="2">
        <v>2.6558299999999999</v>
      </c>
      <c r="G1969" s="2">
        <v>1.02077</v>
      </c>
      <c r="H1969" s="2">
        <v>-1.3794999999999999</v>
      </c>
    </row>
    <row r="1970" spans="1:8" x14ac:dyDescent="0.2">
      <c r="A1970" s="2" t="s">
        <v>699</v>
      </c>
      <c r="B1970" s="2" t="s">
        <v>3153</v>
      </c>
      <c r="C1970" s="2" t="s">
        <v>2541</v>
      </c>
      <c r="D1970" s="2" t="s">
        <v>1836</v>
      </c>
      <c r="E1970" s="2" t="s">
        <v>1838</v>
      </c>
      <c r="F1970" s="2">
        <v>49.238199999999999</v>
      </c>
      <c r="G1970" s="2">
        <v>18.924800000000001</v>
      </c>
      <c r="H1970" s="2">
        <v>-1.3794999999999999</v>
      </c>
    </row>
    <row r="1971" spans="1:8" x14ac:dyDescent="0.2">
      <c r="A1971" s="2" t="s">
        <v>1312</v>
      </c>
      <c r="B1971" s="2" t="s">
        <v>3087</v>
      </c>
      <c r="C1971" s="2" t="s">
        <v>2513</v>
      </c>
      <c r="D1971" s="2" t="s">
        <v>1836</v>
      </c>
      <c r="E1971" s="2" t="s">
        <v>1838</v>
      </c>
      <c r="F1971" s="2">
        <v>1.10179</v>
      </c>
      <c r="G1971" s="2">
        <v>0.423398</v>
      </c>
      <c r="H1971" s="2">
        <v>-1.3797600000000001</v>
      </c>
    </row>
    <row r="1972" spans="1:8" x14ac:dyDescent="0.2">
      <c r="A1972" s="2" t="s">
        <v>1030</v>
      </c>
      <c r="B1972" s="2" t="s">
        <v>3050</v>
      </c>
      <c r="C1972" s="2" t="s">
        <v>2327</v>
      </c>
      <c r="D1972" s="2" t="s">
        <v>1836</v>
      </c>
      <c r="E1972" s="2" t="s">
        <v>1838</v>
      </c>
      <c r="F1972" s="2">
        <v>0.75981799999999999</v>
      </c>
      <c r="G1972" s="2">
        <v>0.29194100000000001</v>
      </c>
      <c r="H1972" s="2">
        <v>-1.37998</v>
      </c>
    </row>
    <row r="1973" spans="1:8" x14ac:dyDescent="0.2">
      <c r="A1973" s="2" t="s">
        <v>1748</v>
      </c>
      <c r="B1973" s="2" t="s">
        <v>3015</v>
      </c>
      <c r="C1973" s="2" t="s">
        <v>3016</v>
      </c>
      <c r="D1973" s="2" t="s">
        <v>1839</v>
      </c>
      <c r="E1973" s="2" t="s">
        <v>1841</v>
      </c>
      <c r="F1973" s="2">
        <v>1.5960300000000001</v>
      </c>
      <c r="G1973" s="2">
        <v>0.612599</v>
      </c>
      <c r="H1973" s="2">
        <v>-1.38147</v>
      </c>
    </row>
    <row r="1974" spans="1:8" x14ac:dyDescent="0.2">
      <c r="A1974" s="2" t="s">
        <v>12</v>
      </c>
      <c r="B1974" s="2" t="s">
        <v>3015</v>
      </c>
      <c r="C1974" s="2" t="s">
        <v>1847</v>
      </c>
      <c r="D1974" s="2" t="s">
        <v>1839</v>
      </c>
      <c r="E1974" s="2" t="s">
        <v>1841</v>
      </c>
      <c r="F1974" s="2">
        <v>15.9681</v>
      </c>
      <c r="G1974" s="2">
        <v>6.1269299999999998</v>
      </c>
      <c r="H1974" s="2">
        <v>-1.3819600000000001</v>
      </c>
    </row>
    <row r="1975" spans="1:8" x14ac:dyDescent="0.2">
      <c r="A1975" s="2" t="s">
        <v>1667</v>
      </c>
      <c r="B1975" s="2" t="s">
        <v>3015</v>
      </c>
      <c r="C1975" s="2" t="s">
        <v>2832</v>
      </c>
      <c r="D1975" s="2" t="s">
        <v>1839</v>
      </c>
      <c r="E1975" s="2" t="s">
        <v>1841</v>
      </c>
      <c r="F1975" s="2">
        <v>1.335</v>
      </c>
      <c r="G1975" s="2">
        <v>0.51204099999999997</v>
      </c>
      <c r="H1975" s="2">
        <v>-1.3825099999999999</v>
      </c>
    </row>
    <row r="1976" spans="1:8" x14ac:dyDescent="0.2">
      <c r="A1976" s="2" t="s">
        <v>612</v>
      </c>
      <c r="B1976" s="2" t="s">
        <v>3015</v>
      </c>
      <c r="C1976" s="2" t="s">
        <v>3016</v>
      </c>
      <c r="D1976" s="2" t="s">
        <v>1836</v>
      </c>
      <c r="E1976" s="2" t="s">
        <v>1837</v>
      </c>
      <c r="F1976" s="2">
        <v>4.11571</v>
      </c>
      <c r="G1976" s="2">
        <v>1.57751</v>
      </c>
      <c r="H1976" s="2">
        <v>-1.3834900000000001</v>
      </c>
    </row>
    <row r="1977" spans="1:8" x14ac:dyDescent="0.2">
      <c r="A1977" s="2" t="s">
        <v>66</v>
      </c>
      <c r="B1977" s="2" t="s">
        <v>3015</v>
      </c>
      <c r="C1977" s="2" t="s">
        <v>1877</v>
      </c>
      <c r="D1977" s="2" t="s">
        <v>1836</v>
      </c>
      <c r="E1977" s="2" t="s">
        <v>1838</v>
      </c>
      <c r="F1977" s="2">
        <v>2.3613400000000002</v>
      </c>
      <c r="G1977" s="2">
        <v>0.90427000000000002</v>
      </c>
      <c r="H1977" s="2">
        <v>-1.3847799999999999</v>
      </c>
    </row>
    <row r="1978" spans="1:8" x14ac:dyDescent="0.2">
      <c r="A1978" s="2" t="s">
        <v>1503</v>
      </c>
      <c r="B1978" s="2" t="s">
        <v>3015</v>
      </c>
      <c r="C1978" s="2" t="s">
        <v>3015</v>
      </c>
      <c r="D1978" s="2" t="s">
        <v>1839</v>
      </c>
      <c r="E1978" s="2" t="s">
        <v>1841</v>
      </c>
      <c r="F1978" s="2">
        <v>1.95966</v>
      </c>
      <c r="G1978" s="2">
        <v>0.74936199999999997</v>
      </c>
      <c r="H1978" s="2">
        <v>-1.38687</v>
      </c>
    </row>
    <row r="1979" spans="1:8" x14ac:dyDescent="0.2">
      <c r="A1979" s="2" t="s">
        <v>168</v>
      </c>
      <c r="B1979" s="2" t="s">
        <v>3015</v>
      </c>
      <c r="C1979" s="2" t="s">
        <v>1862</v>
      </c>
      <c r="D1979" s="2" t="s">
        <v>1839</v>
      </c>
      <c r="E1979" s="2" t="s">
        <v>1841</v>
      </c>
      <c r="F1979" s="2">
        <v>14.712999999999999</v>
      </c>
      <c r="G1979" s="2">
        <v>5.6211000000000002</v>
      </c>
      <c r="H1979" s="2">
        <v>-1.3881699999999999</v>
      </c>
    </row>
    <row r="1980" spans="1:8" x14ac:dyDescent="0.2">
      <c r="A1980" s="2" t="s">
        <v>1537</v>
      </c>
      <c r="B1980" s="2" t="s">
        <v>3015</v>
      </c>
      <c r="C1980" s="2" t="s">
        <v>2639</v>
      </c>
      <c r="D1980" s="2" t="s">
        <v>1839</v>
      </c>
      <c r="E1980" s="2" t="s">
        <v>1840</v>
      </c>
      <c r="F1980" s="2">
        <v>4.9717500000000001</v>
      </c>
      <c r="G1980" s="2">
        <v>1.8991</v>
      </c>
      <c r="H1980" s="2">
        <v>-1.3884399999999999</v>
      </c>
    </row>
    <row r="1981" spans="1:8" x14ac:dyDescent="0.2">
      <c r="A1981" s="2" t="s">
        <v>1353</v>
      </c>
      <c r="B1981" s="2" t="s">
        <v>3015</v>
      </c>
      <c r="C1981" s="2" t="s">
        <v>2543</v>
      </c>
      <c r="D1981" s="2" t="s">
        <v>1836</v>
      </c>
      <c r="E1981" s="2" t="s">
        <v>1838</v>
      </c>
      <c r="F1981" s="2">
        <v>1.44001</v>
      </c>
      <c r="G1981" s="2">
        <v>0.54995300000000003</v>
      </c>
      <c r="H1981" s="2">
        <v>-1.3887</v>
      </c>
    </row>
    <row r="1982" spans="1:8" x14ac:dyDescent="0.2">
      <c r="A1982" s="2" t="s">
        <v>1050</v>
      </c>
      <c r="B1982" s="2" t="s">
        <v>3015</v>
      </c>
      <c r="C1982" s="2" t="s">
        <v>2601</v>
      </c>
      <c r="D1982" s="2" t="s">
        <v>1836</v>
      </c>
      <c r="E1982" s="2" t="s">
        <v>1838</v>
      </c>
      <c r="F1982" s="2">
        <v>3.4470299999999998</v>
      </c>
      <c r="G1982" s="2">
        <v>1.3156600000000001</v>
      </c>
      <c r="H1982" s="2">
        <v>-1.3895599999999999</v>
      </c>
    </row>
    <row r="1983" spans="1:8" x14ac:dyDescent="0.2">
      <c r="A1983" s="2" t="s">
        <v>1276</v>
      </c>
      <c r="B1983" s="2" t="s">
        <v>3049</v>
      </c>
      <c r="C1983" s="2" t="s">
        <v>2766</v>
      </c>
      <c r="D1983" s="2" t="s">
        <v>1839</v>
      </c>
      <c r="E1983" s="2" t="s">
        <v>1841</v>
      </c>
      <c r="F1983" s="2">
        <v>6.7696800000000001</v>
      </c>
      <c r="G1983" s="2">
        <v>2.5798299999999998</v>
      </c>
      <c r="H1983" s="2">
        <v>-1.39181</v>
      </c>
    </row>
    <row r="1984" spans="1:8" x14ac:dyDescent="0.2">
      <c r="A1984" s="2" t="s">
        <v>1716</v>
      </c>
      <c r="B1984" s="2" t="s">
        <v>3015</v>
      </c>
      <c r="C1984" s="2" t="s">
        <v>2202</v>
      </c>
      <c r="D1984" s="2" t="s">
        <v>1839</v>
      </c>
      <c r="E1984" s="2" t="s">
        <v>1840</v>
      </c>
      <c r="F1984" s="2">
        <v>10.684799999999999</v>
      </c>
      <c r="G1984" s="2">
        <v>4.0705600000000004</v>
      </c>
      <c r="H1984" s="2">
        <v>-1.39225</v>
      </c>
    </row>
    <row r="1985" spans="1:8" x14ac:dyDescent="0.2">
      <c r="A1985" s="2" t="s">
        <v>861</v>
      </c>
      <c r="B1985" s="2" t="s">
        <v>3225</v>
      </c>
      <c r="C1985" s="2" t="s">
        <v>2242</v>
      </c>
      <c r="D1985" s="2" t="s">
        <v>1836</v>
      </c>
      <c r="E1985" s="2" t="s">
        <v>1837</v>
      </c>
      <c r="F1985" s="2">
        <v>4.1473199999999997</v>
      </c>
      <c r="G1985" s="2">
        <v>1.57884</v>
      </c>
      <c r="H1985" s="2">
        <v>-1.39331</v>
      </c>
    </row>
    <row r="1986" spans="1:8" x14ac:dyDescent="0.2">
      <c r="A1986" s="2" t="s">
        <v>756</v>
      </c>
      <c r="B1986" s="2" t="s">
        <v>3015</v>
      </c>
      <c r="C1986" s="2" t="s">
        <v>2872</v>
      </c>
      <c r="D1986" s="2" t="s">
        <v>1839</v>
      </c>
      <c r="E1986" s="2" t="s">
        <v>1841</v>
      </c>
      <c r="F1986" s="2">
        <v>264.815</v>
      </c>
      <c r="G1986" s="2">
        <v>100.806</v>
      </c>
      <c r="H1986" s="2">
        <v>-1.39341</v>
      </c>
    </row>
    <row r="1987" spans="1:8" x14ac:dyDescent="0.2">
      <c r="A1987" s="2" t="s">
        <v>201</v>
      </c>
      <c r="B1987" s="2" t="s">
        <v>3081</v>
      </c>
      <c r="C1987" s="2" t="s">
        <v>1938</v>
      </c>
      <c r="D1987" s="2" t="s">
        <v>1836</v>
      </c>
      <c r="E1987" s="2" t="s">
        <v>1837</v>
      </c>
      <c r="F1987" s="2">
        <v>3.15699</v>
      </c>
      <c r="G1987" s="2">
        <v>1.20122</v>
      </c>
      <c r="H1987" s="2">
        <v>-1.3940399999999999</v>
      </c>
    </row>
    <row r="1988" spans="1:8" x14ac:dyDescent="0.2">
      <c r="A1988" s="2" t="s">
        <v>1022</v>
      </c>
      <c r="B1988" s="2" t="s">
        <v>3015</v>
      </c>
      <c r="C1988" s="2" t="s">
        <v>1847</v>
      </c>
      <c r="D1988" s="2" t="s">
        <v>1836</v>
      </c>
      <c r="E1988" s="2" t="s">
        <v>1838</v>
      </c>
      <c r="F1988" s="2">
        <v>3.0855399999999999</v>
      </c>
      <c r="G1988" s="2">
        <v>1.1734599999999999</v>
      </c>
      <c r="H1988" s="2">
        <v>-1.3947499999999999</v>
      </c>
    </row>
    <row r="1989" spans="1:8" x14ac:dyDescent="0.2">
      <c r="A1989" s="2" t="s">
        <v>158</v>
      </c>
      <c r="B1989" s="2" t="s">
        <v>3015</v>
      </c>
      <c r="C1989" s="2" t="s">
        <v>1919</v>
      </c>
      <c r="D1989" s="2" t="s">
        <v>1836</v>
      </c>
      <c r="E1989" s="2" t="s">
        <v>1838</v>
      </c>
      <c r="F1989" s="2">
        <v>2.25888</v>
      </c>
      <c r="G1989" s="2">
        <v>0.85797599999999996</v>
      </c>
      <c r="H1989" s="2">
        <v>-1.3966000000000001</v>
      </c>
    </row>
    <row r="1990" spans="1:8" x14ac:dyDescent="0.2">
      <c r="A1990" s="2" t="s">
        <v>769</v>
      </c>
      <c r="B1990" s="2" t="s">
        <v>3207</v>
      </c>
      <c r="C1990" s="2" t="s">
        <v>2196</v>
      </c>
      <c r="D1990" s="2" t="s">
        <v>1836</v>
      </c>
      <c r="E1990" s="2" t="s">
        <v>1837</v>
      </c>
      <c r="F1990" s="2">
        <v>3.7873999999999999</v>
      </c>
      <c r="G1990" s="2">
        <v>1.43729</v>
      </c>
      <c r="H1990" s="2">
        <v>-1.3978600000000001</v>
      </c>
    </row>
    <row r="1991" spans="1:8" x14ac:dyDescent="0.2">
      <c r="A1991" s="2" t="s">
        <v>1208</v>
      </c>
      <c r="B1991" s="2" t="s">
        <v>3304</v>
      </c>
      <c r="C1991" s="2" t="s">
        <v>2380</v>
      </c>
      <c r="D1991" s="2" t="s">
        <v>1836</v>
      </c>
      <c r="E1991" s="2" t="s">
        <v>1838</v>
      </c>
      <c r="F1991" s="2">
        <v>2.8315299999999999</v>
      </c>
      <c r="G1991" s="2">
        <v>1.0740099999999999</v>
      </c>
      <c r="H1991" s="2">
        <v>-1.3985700000000001</v>
      </c>
    </row>
    <row r="1992" spans="1:8" x14ac:dyDescent="0.2">
      <c r="A1992" s="2" t="s">
        <v>210</v>
      </c>
      <c r="B1992" s="2" t="s">
        <v>3015</v>
      </c>
      <c r="C1992" s="2" t="s">
        <v>2681</v>
      </c>
      <c r="D1992" s="2" t="s">
        <v>1839</v>
      </c>
      <c r="E1992" s="2" t="s">
        <v>1840</v>
      </c>
      <c r="F1992" s="2">
        <v>2.04576</v>
      </c>
      <c r="G1992" s="2">
        <v>0.77570899999999998</v>
      </c>
      <c r="H1992" s="2">
        <v>-1.3990499999999999</v>
      </c>
    </row>
    <row r="1993" spans="1:8" x14ac:dyDescent="0.2">
      <c r="A1993" s="2" t="s">
        <v>31</v>
      </c>
      <c r="B1993" s="2" t="s">
        <v>3038</v>
      </c>
      <c r="C1993" s="2" t="s">
        <v>2366</v>
      </c>
      <c r="D1993" s="2" t="s">
        <v>1836</v>
      </c>
      <c r="E1993" s="2" t="s">
        <v>1838</v>
      </c>
      <c r="F1993" s="2">
        <v>18.437000000000001</v>
      </c>
      <c r="G1993" s="2">
        <v>6.9905600000000003</v>
      </c>
      <c r="H1993" s="2">
        <v>-1.3991199999999999</v>
      </c>
    </row>
    <row r="1994" spans="1:8" x14ac:dyDescent="0.2">
      <c r="A1994" s="2" t="s">
        <v>1710</v>
      </c>
      <c r="B1994" s="2" t="s">
        <v>3015</v>
      </c>
      <c r="C1994" s="2" t="s">
        <v>2873</v>
      </c>
      <c r="D1994" s="2" t="s">
        <v>1839</v>
      </c>
      <c r="E1994" s="2" t="s">
        <v>1841</v>
      </c>
      <c r="F1994" s="2">
        <v>0.81485300000000005</v>
      </c>
      <c r="G1994" s="2">
        <v>0.30877100000000002</v>
      </c>
      <c r="H1994" s="2">
        <v>-1.4</v>
      </c>
    </row>
    <row r="1995" spans="1:8" x14ac:dyDescent="0.2">
      <c r="A1995" s="2" t="s">
        <v>753</v>
      </c>
      <c r="B1995" s="2" t="s">
        <v>3015</v>
      </c>
      <c r="C1995" s="2" t="s">
        <v>2871</v>
      </c>
      <c r="D1995" s="2" t="s">
        <v>1839</v>
      </c>
      <c r="E1995" s="2" t="s">
        <v>1841</v>
      </c>
      <c r="F1995" s="2">
        <v>8.2241199999999992</v>
      </c>
      <c r="G1995" s="2">
        <v>3.1132900000000001</v>
      </c>
      <c r="H1995" s="2">
        <v>-1.4014200000000001</v>
      </c>
    </row>
    <row r="1996" spans="1:8" x14ac:dyDescent="0.2">
      <c r="A1996" s="2" t="s">
        <v>977</v>
      </c>
      <c r="B1996" s="2" t="s">
        <v>3058</v>
      </c>
      <c r="C1996" s="2" t="s">
        <v>2018</v>
      </c>
      <c r="D1996" s="2" t="s">
        <v>1836</v>
      </c>
      <c r="E1996" s="2" t="s">
        <v>1837</v>
      </c>
      <c r="F1996" s="2">
        <v>16.8019</v>
      </c>
      <c r="G1996" s="2">
        <v>6.35344</v>
      </c>
      <c r="H1996" s="2">
        <v>-1.4030100000000001</v>
      </c>
    </row>
    <row r="1997" spans="1:8" x14ac:dyDescent="0.2">
      <c r="A1997" s="2" t="s">
        <v>1567</v>
      </c>
      <c r="B1997" s="2" t="s">
        <v>3155</v>
      </c>
      <c r="C1997" s="2" t="s">
        <v>2723</v>
      </c>
      <c r="D1997" s="2" t="s">
        <v>1839</v>
      </c>
      <c r="E1997" s="2" t="s">
        <v>1840</v>
      </c>
      <c r="F1997" s="2">
        <v>3.49817</v>
      </c>
      <c r="G1997" s="2">
        <v>1.3207899999999999</v>
      </c>
      <c r="H1997" s="2">
        <v>-1.4052</v>
      </c>
    </row>
    <row r="1998" spans="1:8" x14ac:dyDescent="0.2">
      <c r="A1998" s="2" t="s">
        <v>1556</v>
      </c>
      <c r="B1998" s="2" t="s">
        <v>3015</v>
      </c>
      <c r="C1998" s="2" t="s">
        <v>2709</v>
      </c>
      <c r="D1998" s="2" t="s">
        <v>1839</v>
      </c>
      <c r="E1998" s="2" t="s">
        <v>1841</v>
      </c>
      <c r="F1998" s="2">
        <v>4.2792899999999996</v>
      </c>
      <c r="G1998" s="2">
        <v>1.61528</v>
      </c>
      <c r="H1998" s="2">
        <v>-1.4055899999999999</v>
      </c>
    </row>
    <row r="1999" spans="1:8" x14ac:dyDescent="0.2">
      <c r="A1999" s="2" t="s">
        <v>828</v>
      </c>
      <c r="B1999" s="2" t="s">
        <v>3093</v>
      </c>
      <c r="C1999" s="2" t="s">
        <v>2221</v>
      </c>
      <c r="D1999" s="2" t="s">
        <v>1836</v>
      </c>
      <c r="E1999" s="2" t="s">
        <v>1837</v>
      </c>
      <c r="F1999" s="2">
        <v>42.320900000000002</v>
      </c>
      <c r="G1999" s="2">
        <v>15.9556</v>
      </c>
      <c r="H1999" s="2">
        <v>-1.4073100000000001</v>
      </c>
    </row>
    <row r="2000" spans="1:8" x14ac:dyDescent="0.2">
      <c r="A2000" s="2" t="s">
        <v>1153</v>
      </c>
      <c r="B2000" s="2" t="s">
        <v>3049</v>
      </c>
      <c r="C2000" s="2" t="s">
        <v>2006</v>
      </c>
      <c r="D2000" s="2" t="s">
        <v>1836</v>
      </c>
      <c r="E2000" s="2" t="s">
        <v>1838</v>
      </c>
      <c r="F2000" s="2">
        <v>0.94909299999999996</v>
      </c>
      <c r="G2000" s="2">
        <v>0.35759299999999999</v>
      </c>
      <c r="H2000" s="2">
        <v>-1.4082300000000001</v>
      </c>
    </row>
    <row r="2001" spans="1:8" x14ac:dyDescent="0.2">
      <c r="A2001" s="2" t="s">
        <v>1286</v>
      </c>
      <c r="B2001" s="2" t="s">
        <v>3334</v>
      </c>
      <c r="C2001" s="2" t="s">
        <v>2494</v>
      </c>
      <c r="D2001" s="2" t="s">
        <v>1836</v>
      </c>
      <c r="E2001" s="2" t="s">
        <v>1838</v>
      </c>
      <c r="F2001" s="2">
        <v>1.95628</v>
      </c>
      <c r="G2001" s="2">
        <v>0.73667300000000002</v>
      </c>
      <c r="H2001" s="2">
        <v>-1.4090199999999999</v>
      </c>
    </row>
    <row r="2002" spans="1:8" x14ac:dyDescent="0.2">
      <c r="A2002" s="2" t="s">
        <v>1282</v>
      </c>
      <c r="B2002" s="2" t="s">
        <v>3047</v>
      </c>
      <c r="C2002" s="2" t="s">
        <v>1879</v>
      </c>
      <c r="D2002" s="2" t="s">
        <v>1836</v>
      </c>
      <c r="E2002" s="2" t="s">
        <v>1838</v>
      </c>
      <c r="F2002" s="2">
        <v>1.4160999999999999</v>
      </c>
      <c r="G2002" s="2">
        <v>0.53317800000000004</v>
      </c>
      <c r="H2002" s="2">
        <v>-1.40923</v>
      </c>
    </row>
    <row r="2003" spans="1:8" x14ac:dyDescent="0.2">
      <c r="A2003" s="2" t="s">
        <v>297</v>
      </c>
      <c r="B2003" s="2" t="s">
        <v>3015</v>
      </c>
      <c r="C2003" s="2" t="s">
        <v>2438</v>
      </c>
      <c r="D2003" s="2" t="s">
        <v>1836</v>
      </c>
      <c r="E2003" s="2" t="s">
        <v>1838</v>
      </c>
      <c r="F2003" s="2">
        <v>3.5659999999999998</v>
      </c>
      <c r="G2003" s="2">
        <v>1.34213</v>
      </c>
      <c r="H2003" s="2">
        <v>-1.40978</v>
      </c>
    </row>
    <row r="2004" spans="1:8" x14ac:dyDescent="0.2">
      <c r="A2004" s="2" t="s">
        <v>313</v>
      </c>
      <c r="B2004" s="2" t="s">
        <v>3030</v>
      </c>
      <c r="C2004" s="2" t="s">
        <v>1989</v>
      </c>
      <c r="D2004" s="2" t="s">
        <v>1836</v>
      </c>
      <c r="E2004" s="2" t="s">
        <v>1837</v>
      </c>
      <c r="F2004" s="2">
        <v>1.7499400000000001</v>
      </c>
      <c r="G2004" s="2">
        <v>0.65745600000000004</v>
      </c>
      <c r="H2004" s="2">
        <v>-1.4123399999999999</v>
      </c>
    </row>
    <row r="2005" spans="1:8" x14ac:dyDescent="0.2">
      <c r="A2005" s="2" t="s">
        <v>690</v>
      </c>
      <c r="B2005" s="2" t="s">
        <v>3116</v>
      </c>
      <c r="C2005" s="2" t="s">
        <v>2163</v>
      </c>
      <c r="D2005" s="2" t="s">
        <v>1836</v>
      </c>
      <c r="E2005" s="2" t="s">
        <v>1838</v>
      </c>
      <c r="F2005" s="2">
        <v>2.5925099999999999</v>
      </c>
      <c r="G2005" s="2">
        <v>0.97331199999999995</v>
      </c>
      <c r="H2005" s="2">
        <v>-1.4133800000000001</v>
      </c>
    </row>
    <row r="2006" spans="1:8" x14ac:dyDescent="0.2">
      <c r="A2006" s="2" t="s">
        <v>1132</v>
      </c>
      <c r="B2006" s="2" t="s">
        <v>3015</v>
      </c>
      <c r="C2006" s="2" t="s">
        <v>2368</v>
      </c>
      <c r="D2006" s="2" t="s">
        <v>1839</v>
      </c>
      <c r="E2006" s="2" t="s">
        <v>1840</v>
      </c>
      <c r="F2006" s="2">
        <v>0.75709499999999996</v>
      </c>
      <c r="G2006" s="2">
        <v>0.28344000000000003</v>
      </c>
      <c r="H2006" s="2">
        <v>-1.41743</v>
      </c>
    </row>
    <row r="2007" spans="1:8" x14ac:dyDescent="0.2">
      <c r="A2007" s="2" t="s">
        <v>1581</v>
      </c>
      <c r="B2007" s="2" t="s">
        <v>3301</v>
      </c>
      <c r="C2007" s="2" t="s">
        <v>2737</v>
      </c>
      <c r="D2007" s="2" t="s">
        <v>1839</v>
      </c>
      <c r="E2007" s="2" t="s">
        <v>1841</v>
      </c>
      <c r="F2007" s="2">
        <v>1.28501</v>
      </c>
      <c r="G2007" s="2">
        <v>0.480881</v>
      </c>
      <c r="H2007" s="2">
        <v>-1.4180299999999999</v>
      </c>
    </row>
    <row r="2008" spans="1:8" x14ac:dyDescent="0.2">
      <c r="A2008" s="2" t="s">
        <v>695</v>
      </c>
      <c r="B2008" s="2" t="s">
        <v>3049</v>
      </c>
      <c r="C2008" s="2" t="s">
        <v>2165</v>
      </c>
      <c r="D2008" s="2" t="s">
        <v>1836</v>
      </c>
      <c r="E2008" s="2" t="s">
        <v>1837</v>
      </c>
      <c r="F2008" s="2">
        <v>2.7762600000000002</v>
      </c>
      <c r="G2008" s="2">
        <v>1.0380400000000001</v>
      </c>
      <c r="H2008" s="2">
        <v>-1.4192800000000001</v>
      </c>
    </row>
    <row r="2009" spans="1:8" x14ac:dyDescent="0.2">
      <c r="A2009" s="2" t="s">
        <v>958</v>
      </c>
      <c r="B2009" s="2" t="s">
        <v>3475</v>
      </c>
      <c r="C2009" s="2" t="s">
        <v>2931</v>
      </c>
      <c r="D2009" s="2" t="s">
        <v>1839</v>
      </c>
      <c r="E2009" s="2" t="s">
        <v>1841</v>
      </c>
      <c r="F2009" s="2">
        <v>17.875800000000002</v>
      </c>
      <c r="G2009" s="2">
        <v>6.6726400000000003</v>
      </c>
      <c r="H2009" s="2">
        <v>-1.4216800000000001</v>
      </c>
    </row>
    <row r="2010" spans="1:8" x14ac:dyDescent="0.2">
      <c r="A2010" s="2" t="s">
        <v>130</v>
      </c>
      <c r="B2010" s="2" t="s">
        <v>3015</v>
      </c>
      <c r="C2010" s="2" t="s">
        <v>2665</v>
      </c>
      <c r="D2010" s="2" t="s">
        <v>1839</v>
      </c>
      <c r="E2010" s="2" t="s">
        <v>1841</v>
      </c>
      <c r="F2010" s="2">
        <v>6.3401699999999996</v>
      </c>
      <c r="G2010" s="2">
        <v>2.36497</v>
      </c>
      <c r="H2010" s="2">
        <v>-1.4227000000000001</v>
      </c>
    </row>
    <row r="2011" spans="1:8" x14ac:dyDescent="0.2">
      <c r="A2011" s="2" t="s">
        <v>1167</v>
      </c>
      <c r="B2011" s="2" t="s">
        <v>3015</v>
      </c>
      <c r="C2011" s="2" t="s">
        <v>2398</v>
      </c>
      <c r="D2011" s="2" t="s">
        <v>1836</v>
      </c>
      <c r="E2011" s="2" t="s">
        <v>1838</v>
      </c>
      <c r="F2011" s="2">
        <v>0.91224899999999998</v>
      </c>
      <c r="G2011" s="2">
        <v>0.34023199999999998</v>
      </c>
      <c r="H2011" s="2">
        <v>-1.4229099999999999</v>
      </c>
    </row>
    <row r="2012" spans="1:8" x14ac:dyDescent="0.2">
      <c r="A2012" s="2" t="s">
        <v>53</v>
      </c>
      <c r="B2012" s="2" t="s">
        <v>3038</v>
      </c>
      <c r="C2012" s="2" t="s">
        <v>1867</v>
      </c>
      <c r="D2012" s="2" t="s">
        <v>1836</v>
      </c>
      <c r="E2012" s="2" t="s">
        <v>1837</v>
      </c>
      <c r="F2012" s="2">
        <v>6.2652000000000001</v>
      </c>
      <c r="G2012" s="2">
        <v>2.33569</v>
      </c>
      <c r="H2012" s="2">
        <v>-1.4235100000000001</v>
      </c>
    </row>
    <row r="2013" spans="1:8" x14ac:dyDescent="0.2">
      <c r="A2013" s="2" t="s">
        <v>45</v>
      </c>
      <c r="B2013" s="2" t="s">
        <v>3015</v>
      </c>
      <c r="C2013" s="2" t="s">
        <v>1863</v>
      </c>
      <c r="D2013" s="2" t="s">
        <v>1839</v>
      </c>
      <c r="E2013" s="2" t="s">
        <v>1841</v>
      </c>
      <c r="F2013" s="2">
        <v>273.589</v>
      </c>
      <c r="G2013" s="2">
        <v>101.982</v>
      </c>
      <c r="H2013" s="2">
        <v>-1.4237</v>
      </c>
    </row>
    <row r="2014" spans="1:8" x14ac:dyDescent="0.2">
      <c r="A2014" s="2" t="s">
        <v>827</v>
      </c>
      <c r="B2014" s="2" t="s">
        <v>3015</v>
      </c>
      <c r="C2014" s="2" t="s">
        <v>2220</v>
      </c>
      <c r="D2014" s="2" t="s">
        <v>1836</v>
      </c>
      <c r="E2014" s="2" t="s">
        <v>1837</v>
      </c>
      <c r="F2014" s="2">
        <v>1.21454</v>
      </c>
      <c r="G2014" s="2">
        <v>0.45195099999999999</v>
      </c>
      <c r="H2014" s="2">
        <v>-1.4261699999999999</v>
      </c>
    </row>
    <row r="2015" spans="1:8" x14ac:dyDescent="0.2">
      <c r="A2015" s="2" t="s">
        <v>364</v>
      </c>
      <c r="B2015" s="2" t="s">
        <v>3015</v>
      </c>
      <c r="C2015" s="2" t="s">
        <v>2010</v>
      </c>
      <c r="D2015" s="2" t="s">
        <v>1839</v>
      </c>
      <c r="E2015" s="2" t="s">
        <v>1840</v>
      </c>
      <c r="F2015" s="2">
        <v>1.4238599999999999</v>
      </c>
      <c r="G2015" s="2">
        <v>0.52838200000000002</v>
      </c>
      <c r="H2015" s="2">
        <v>-1.4301600000000001</v>
      </c>
    </row>
    <row r="2016" spans="1:8" x14ac:dyDescent="0.2">
      <c r="A2016" s="2" t="s">
        <v>885</v>
      </c>
      <c r="B2016" s="2" t="s">
        <v>3015</v>
      </c>
      <c r="C2016" s="2" t="s">
        <v>2455</v>
      </c>
      <c r="D2016" s="2" t="s">
        <v>1839</v>
      </c>
      <c r="E2016" s="2" t="s">
        <v>1841</v>
      </c>
      <c r="F2016" s="2">
        <v>27.026499999999999</v>
      </c>
      <c r="G2016" s="2">
        <v>10.018800000000001</v>
      </c>
      <c r="H2016" s="2">
        <v>-1.43167</v>
      </c>
    </row>
    <row r="2017" spans="1:8" x14ac:dyDescent="0.2">
      <c r="A2017" s="2" t="s">
        <v>1021</v>
      </c>
      <c r="B2017" s="2" t="s">
        <v>3015</v>
      </c>
      <c r="C2017" s="2" t="s">
        <v>2323</v>
      </c>
      <c r="D2017" s="2" t="s">
        <v>1836</v>
      </c>
      <c r="E2017" s="2" t="s">
        <v>1837</v>
      </c>
      <c r="F2017" s="2">
        <v>6.3592599999999999</v>
      </c>
      <c r="G2017" s="2">
        <v>2.3572199999999999</v>
      </c>
      <c r="H2017" s="2">
        <v>-1.4317800000000001</v>
      </c>
    </row>
    <row r="2018" spans="1:8" x14ac:dyDescent="0.2">
      <c r="A2018" s="2" t="s">
        <v>880</v>
      </c>
      <c r="B2018" s="2" t="s">
        <v>3015</v>
      </c>
      <c r="C2018" s="2" t="s">
        <v>2251</v>
      </c>
      <c r="D2018" s="2" t="s">
        <v>1839</v>
      </c>
      <c r="E2018" s="2" t="s">
        <v>1841</v>
      </c>
      <c r="F2018" s="2">
        <v>2.0710199999999999</v>
      </c>
      <c r="G2018" s="2">
        <v>0.767594</v>
      </c>
      <c r="H2018" s="2">
        <v>-1.4319299999999999</v>
      </c>
    </row>
    <row r="2019" spans="1:8" x14ac:dyDescent="0.2">
      <c r="A2019" s="2" t="s">
        <v>709</v>
      </c>
      <c r="B2019" s="2" t="s">
        <v>3195</v>
      </c>
      <c r="C2019" s="2" t="s">
        <v>2172</v>
      </c>
      <c r="D2019" s="2" t="s">
        <v>1836</v>
      </c>
      <c r="E2019" s="2" t="s">
        <v>1837</v>
      </c>
      <c r="F2019" s="2">
        <v>62.06</v>
      </c>
      <c r="G2019" s="2">
        <v>22.997699999999998</v>
      </c>
      <c r="H2019" s="2">
        <v>-1.4321699999999999</v>
      </c>
    </row>
    <row r="2020" spans="1:8" x14ac:dyDescent="0.2">
      <c r="A2020" s="2" t="s">
        <v>1620</v>
      </c>
      <c r="B2020" s="2" t="s">
        <v>3015</v>
      </c>
      <c r="C2020" s="2" t="s">
        <v>2785</v>
      </c>
      <c r="D2020" s="2" t="s">
        <v>1839</v>
      </c>
      <c r="E2020" s="2" t="s">
        <v>1841</v>
      </c>
      <c r="F2020" s="2">
        <v>1.26274</v>
      </c>
      <c r="G2020" s="2">
        <v>0.46785100000000002</v>
      </c>
      <c r="H2020" s="2">
        <v>-1.4324399999999999</v>
      </c>
    </row>
    <row r="2021" spans="1:8" x14ac:dyDescent="0.2">
      <c r="A2021" s="2" t="s">
        <v>897</v>
      </c>
      <c r="B2021" s="2" t="s">
        <v>3015</v>
      </c>
      <c r="C2021" s="2" t="s">
        <v>2259</v>
      </c>
      <c r="D2021" s="2" t="s">
        <v>1839</v>
      </c>
      <c r="E2021" s="2" t="s">
        <v>1841</v>
      </c>
      <c r="F2021" s="2">
        <v>21.8584</v>
      </c>
      <c r="G2021" s="2">
        <v>8.0958699999999997</v>
      </c>
      <c r="H2021" s="2">
        <v>-1.43293</v>
      </c>
    </row>
    <row r="2022" spans="1:8" x14ac:dyDescent="0.2">
      <c r="A2022" s="2" t="s">
        <v>18</v>
      </c>
      <c r="B2022" s="2" t="s">
        <v>3015</v>
      </c>
      <c r="C2022" s="2" t="s">
        <v>1850</v>
      </c>
      <c r="D2022" s="2" t="s">
        <v>1836</v>
      </c>
      <c r="E2022" s="2" t="s">
        <v>1838</v>
      </c>
      <c r="F2022" s="2">
        <v>1.2079200000000001</v>
      </c>
      <c r="G2022" s="2">
        <v>0.44714599999999999</v>
      </c>
      <c r="H2022" s="2">
        <v>-1.43371</v>
      </c>
    </row>
    <row r="2023" spans="1:8" x14ac:dyDescent="0.2">
      <c r="A2023" s="2" t="s">
        <v>275</v>
      </c>
      <c r="B2023" s="2" t="s">
        <v>3015</v>
      </c>
      <c r="C2023" s="2" t="s">
        <v>3016</v>
      </c>
      <c r="D2023" s="2" t="s">
        <v>1839</v>
      </c>
      <c r="E2023" s="2" t="s">
        <v>1841</v>
      </c>
      <c r="F2023" s="2">
        <v>11.014799999999999</v>
      </c>
      <c r="G2023" s="2">
        <v>4.0753500000000003</v>
      </c>
      <c r="H2023" s="2">
        <v>-1.43445</v>
      </c>
    </row>
    <row r="2024" spans="1:8" x14ac:dyDescent="0.2">
      <c r="A2024" s="2" t="s">
        <v>385</v>
      </c>
      <c r="B2024" s="2" t="s">
        <v>3015</v>
      </c>
      <c r="C2024" s="2" t="s">
        <v>2020</v>
      </c>
      <c r="D2024" s="2" t="s">
        <v>1836</v>
      </c>
      <c r="E2024" s="2" t="s">
        <v>1837</v>
      </c>
      <c r="F2024" s="2">
        <v>6.4118199999999996</v>
      </c>
      <c r="G2024" s="2">
        <v>2.3714499999999998</v>
      </c>
      <c r="H2024" s="2">
        <v>-1.43496</v>
      </c>
    </row>
    <row r="2025" spans="1:8" x14ac:dyDescent="0.2">
      <c r="A2025" s="2" t="s">
        <v>210</v>
      </c>
      <c r="B2025" s="2" t="s">
        <v>3015</v>
      </c>
      <c r="C2025" s="2" t="s">
        <v>2681</v>
      </c>
      <c r="D2025" s="2" t="s">
        <v>1839</v>
      </c>
      <c r="E2025" s="2" t="s">
        <v>1841</v>
      </c>
      <c r="F2025" s="2">
        <v>2.04576</v>
      </c>
      <c r="G2025" s="2">
        <v>0.75660300000000003</v>
      </c>
      <c r="H2025" s="2">
        <v>-1.43502</v>
      </c>
    </row>
    <row r="2026" spans="1:8" x14ac:dyDescent="0.2">
      <c r="A2026" s="2" t="s">
        <v>206</v>
      </c>
      <c r="B2026" s="2" t="s">
        <v>3084</v>
      </c>
      <c r="C2026" s="2" t="s">
        <v>1941</v>
      </c>
      <c r="D2026" s="2" t="s">
        <v>1836</v>
      </c>
      <c r="E2026" s="2" t="s">
        <v>1838</v>
      </c>
      <c r="F2026" s="2">
        <v>4.0017699999999996</v>
      </c>
      <c r="G2026" s="2">
        <v>1.47973</v>
      </c>
      <c r="H2026" s="2">
        <v>-1.4353</v>
      </c>
    </row>
    <row r="2027" spans="1:8" x14ac:dyDescent="0.2">
      <c r="A2027" s="2" t="s">
        <v>871</v>
      </c>
      <c r="B2027" s="2" t="s">
        <v>3049</v>
      </c>
      <c r="C2027" s="2" t="s">
        <v>2246</v>
      </c>
      <c r="D2027" s="2" t="s">
        <v>1836</v>
      </c>
      <c r="E2027" s="2" t="s">
        <v>1838</v>
      </c>
      <c r="F2027" s="2">
        <v>35.804499999999997</v>
      </c>
      <c r="G2027" s="2">
        <v>13.235300000000001</v>
      </c>
      <c r="H2027" s="2">
        <v>-1.4357500000000001</v>
      </c>
    </row>
    <row r="2028" spans="1:8" x14ac:dyDescent="0.2">
      <c r="A2028" s="2" t="s">
        <v>1483</v>
      </c>
      <c r="B2028" s="2" t="s">
        <v>3015</v>
      </c>
      <c r="C2028" s="2" t="s">
        <v>2624</v>
      </c>
      <c r="D2028" s="2" t="s">
        <v>1839</v>
      </c>
      <c r="E2028" s="2" t="s">
        <v>1841</v>
      </c>
      <c r="F2028" s="2">
        <v>4.4900399999999996</v>
      </c>
      <c r="G2028" s="2">
        <v>1.65961</v>
      </c>
      <c r="H2028" s="2">
        <v>-1.43588</v>
      </c>
    </row>
    <row r="2029" spans="1:8" x14ac:dyDescent="0.2">
      <c r="A2029" s="2" t="s">
        <v>172</v>
      </c>
      <c r="B2029" s="2" t="s">
        <v>3069</v>
      </c>
      <c r="C2029" s="2" t="s">
        <v>1847</v>
      </c>
      <c r="D2029" s="2" t="s">
        <v>1836</v>
      </c>
      <c r="E2029" s="2" t="s">
        <v>1838</v>
      </c>
      <c r="F2029" s="2">
        <v>2.29921</v>
      </c>
      <c r="G2029" s="2">
        <v>0.84981200000000001</v>
      </c>
      <c r="H2029" s="2">
        <v>-1.4359200000000001</v>
      </c>
    </row>
    <row r="2030" spans="1:8" x14ac:dyDescent="0.2">
      <c r="A2030" s="2" t="s">
        <v>1123</v>
      </c>
      <c r="B2030" s="2" t="s">
        <v>3015</v>
      </c>
      <c r="C2030" s="2" t="s">
        <v>3015</v>
      </c>
      <c r="D2030" s="2" t="s">
        <v>1836</v>
      </c>
      <c r="E2030" s="2" t="s">
        <v>1838</v>
      </c>
      <c r="F2030" s="2">
        <v>4.0791700000000004</v>
      </c>
      <c r="G2030" s="2">
        <v>1.5074399999999999</v>
      </c>
      <c r="H2030" s="2">
        <v>-1.4361699999999999</v>
      </c>
    </row>
    <row r="2031" spans="1:8" x14ac:dyDescent="0.2">
      <c r="A2031" s="2" t="s">
        <v>260</v>
      </c>
      <c r="B2031" s="2" t="s">
        <v>3197</v>
      </c>
      <c r="C2031" s="2" t="s">
        <v>2179</v>
      </c>
      <c r="D2031" s="2" t="s">
        <v>1836</v>
      </c>
      <c r="E2031" s="2" t="s">
        <v>1838</v>
      </c>
      <c r="F2031" s="2">
        <v>8.90001</v>
      </c>
      <c r="G2031" s="2">
        <v>3.2874300000000001</v>
      </c>
      <c r="H2031" s="2">
        <v>-1.4368399999999999</v>
      </c>
    </row>
    <row r="2032" spans="1:8" x14ac:dyDescent="0.2">
      <c r="A2032" s="2" t="s">
        <v>655</v>
      </c>
      <c r="B2032" s="2" t="s">
        <v>3015</v>
      </c>
      <c r="C2032" s="2" t="s">
        <v>3015</v>
      </c>
      <c r="D2032" s="2" t="s">
        <v>1836</v>
      </c>
      <c r="E2032" s="2" t="s">
        <v>1837</v>
      </c>
      <c r="F2032" s="2">
        <v>1.47828</v>
      </c>
      <c r="G2032" s="2">
        <v>0.54596500000000003</v>
      </c>
      <c r="H2032" s="2">
        <v>-1.43703</v>
      </c>
    </row>
    <row r="2033" spans="1:8" x14ac:dyDescent="0.2">
      <c r="A2033" s="2" t="s">
        <v>1433</v>
      </c>
      <c r="B2033" s="2" t="s">
        <v>3376</v>
      </c>
      <c r="C2033" s="2" t="s">
        <v>2592</v>
      </c>
      <c r="D2033" s="2" t="s">
        <v>1836</v>
      </c>
      <c r="E2033" s="2" t="s">
        <v>1838</v>
      </c>
      <c r="F2033" s="2">
        <v>1.99238</v>
      </c>
      <c r="G2033" s="2">
        <v>0.73576399999999997</v>
      </c>
      <c r="H2033" s="2">
        <v>-1.4371799999999999</v>
      </c>
    </row>
    <row r="2034" spans="1:8" x14ac:dyDescent="0.2">
      <c r="A2034" s="2" t="s">
        <v>83</v>
      </c>
      <c r="B2034" s="2" t="s">
        <v>3288</v>
      </c>
      <c r="C2034" s="2" t="s">
        <v>2387</v>
      </c>
      <c r="D2034" s="2" t="s">
        <v>1836</v>
      </c>
      <c r="E2034" s="2" t="s">
        <v>1838</v>
      </c>
      <c r="F2034" s="2">
        <v>8.71706</v>
      </c>
      <c r="G2034" s="2">
        <v>3.2188699999999999</v>
      </c>
      <c r="H2034" s="2">
        <v>-1.43729</v>
      </c>
    </row>
    <row r="2035" spans="1:8" x14ac:dyDescent="0.2">
      <c r="A2035" s="2" t="s">
        <v>1002</v>
      </c>
      <c r="B2035" s="2" t="s">
        <v>3015</v>
      </c>
      <c r="C2035" s="2" t="s">
        <v>3015</v>
      </c>
      <c r="D2035" s="2" t="s">
        <v>1836</v>
      </c>
      <c r="E2035" s="2" t="s">
        <v>1837</v>
      </c>
      <c r="F2035" s="2">
        <v>11.661799999999999</v>
      </c>
      <c r="G2035" s="2">
        <v>4.3049299999999997</v>
      </c>
      <c r="H2035" s="2">
        <v>-1.4377200000000001</v>
      </c>
    </row>
    <row r="2036" spans="1:8" x14ac:dyDescent="0.2">
      <c r="A2036" s="2" t="s">
        <v>7</v>
      </c>
      <c r="B2036" s="2" t="s">
        <v>3015</v>
      </c>
      <c r="C2036" s="2" t="s">
        <v>1845</v>
      </c>
      <c r="D2036" s="2" t="s">
        <v>1836</v>
      </c>
      <c r="E2036" s="2" t="s">
        <v>1837</v>
      </c>
      <c r="F2036" s="2">
        <v>3.2798500000000002</v>
      </c>
      <c r="G2036" s="2">
        <v>1.21058</v>
      </c>
      <c r="H2036" s="2">
        <v>-1.4379299999999999</v>
      </c>
    </row>
    <row r="2037" spans="1:8" x14ac:dyDescent="0.2">
      <c r="A2037" s="2" t="s">
        <v>113</v>
      </c>
      <c r="B2037" s="2" t="s">
        <v>3052</v>
      </c>
      <c r="C2037" s="2" t="s">
        <v>1891</v>
      </c>
      <c r="D2037" s="2" t="s">
        <v>1836</v>
      </c>
      <c r="E2037" s="2" t="s">
        <v>1837</v>
      </c>
      <c r="F2037" s="2">
        <v>2.9787499999999998</v>
      </c>
      <c r="G2037" s="2">
        <v>1.0975999999999999</v>
      </c>
      <c r="H2037" s="2">
        <v>-1.44035</v>
      </c>
    </row>
    <row r="2038" spans="1:8" x14ac:dyDescent="0.2">
      <c r="A2038" s="2" t="s">
        <v>653</v>
      </c>
      <c r="B2038" s="2" t="s">
        <v>3015</v>
      </c>
      <c r="C2038" s="2" t="s">
        <v>3016</v>
      </c>
      <c r="D2038" s="2" t="s">
        <v>1839</v>
      </c>
      <c r="E2038" s="2" t="s">
        <v>1841</v>
      </c>
      <c r="F2038" s="2">
        <v>22.782800000000002</v>
      </c>
      <c r="G2038" s="2">
        <v>8.3915299999999995</v>
      </c>
      <c r="H2038" s="2">
        <v>-1.4409400000000001</v>
      </c>
    </row>
    <row r="2039" spans="1:8" x14ac:dyDescent="0.2">
      <c r="A2039" s="2" t="s">
        <v>1002</v>
      </c>
      <c r="B2039" s="2" t="s">
        <v>3015</v>
      </c>
      <c r="C2039" s="2" t="s">
        <v>3015</v>
      </c>
      <c r="D2039" s="2" t="s">
        <v>1836</v>
      </c>
      <c r="E2039" s="2" t="s">
        <v>1838</v>
      </c>
      <c r="F2039" s="2">
        <v>11.661799999999999</v>
      </c>
      <c r="G2039" s="2">
        <v>4.2900299999999998</v>
      </c>
      <c r="H2039" s="2">
        <v>-1.4427300000000001</v>
      </c>
    </row>
    <row r="2040" spans="1:8" x14ac:dyDescent="0.2">
      <c r="A2040" s="2" t="s">
        <v>1595</v>
      </c>
      <c r="B2040" s="2" t="s">
        <v>3015</v>
      </c>
      <c r="C2040" s="2" t="s">
        <v>2757</v>
      </c>
      <c r="D2040" s="2" t="s">
        <v>1839</v>
      </c>
      <c r="E2040" s="2" t="s">
        <v>1841</v>
      </c>
      <c r="F2040" s="2">
        <v>0.92048600000000003</v>
      </c>
      <c r="G2040" s="2">
        <v>0.33766299999999999</v>
      </c>
      <c r="H2040" s="2">
        <v>-1.4468099999999999</v>
      </c>
    </row>
    <row r="2041" spans="1:8" x14ac:dyDescent="0.2">
      <c r="A2041" s="2" t="s">
        <v>565</v>
      </c>
      <c r="B2041" s="2" t="s">
        <v>3161</v>
      </c>
      <c r="C2041" s="2" t="s">
        <v>2109</v>
      </c>
      <c r="D2041" s="2" t="s">
        <v>1836</v>
      </c>
      <c r="E2041" s="2" t="s">
        <v>1837</v>
      </c>
      <c r="F2041" s="2">
        <v>1.6105</v>
      </c>
      <c r="G2041" s="2">
        <v>0.59039799999999998</v>
      </c>
      <c r="H2041" s="2">
        <v>-1.4477500000000001</v>
      </c>
    </row>
    <row r="2042" spans="1:8" x14ac:dyDescent="0.2">
      <c r="A2042" s="2" t="s">
        <v>285</v>
      </c>
      <c r="B2042" s="2" t="s">
        <v>3015</v>
      </c>
      <c r="C2042" s="2" t="s">
        <v>1976</v>
      </c>
      <c r="D2042" s="2" t="s">
        <v>1839</v>
      </c>
      <c r="E2042" s="2" t="s">
        <v>1841</v>
      </c>
      <c r="F2042" s="2">
        <v>1.9960100000000001</v>
      </c>
      <c r="G2042" s="2">
        <v>0.73155400000000004</v>
      </c>
      <c r="H2042" s="2">
        <v>-1.44808</v>
      </c>
    </row>
    <row r="2043" spans="1:8" x14ac:dyDescent="0.2">
      <c r="A2043" s="2" t="s">
        <v>35</v>
      </c>
      <c r="B2043" s="2" t="s">
        <v>3034</v>
      </c>
      <c r="C2043" s="2" t="s">
        <v>1859</v>
      </c>
      <c r="D2043" s="2" t="s">
        <v>1836</v>
      </c>
      <c r="E2043" s="2" t="s">
        <v>1837</v>
      </c>
      <c r="F2043" s="2">
        <v>1.36585</v>
      </c>
      <c r="G2043" s="2">
        <v>0.50004499999999996</v>
      </c>
      <c r="H2043" s="2">
        <v>-1.44967</v>
      </c>
    </row>
    <row r="2044" spans="1:8" x14ac:dyDescent="0.2">
      <c r="A2044" s="2" t="s">
        <v>1295</v>
      </c>
      <c r="B2044" s="2" t="s">
        <v>3015</v>
      </c>
      <c r="C2044" s="2" t="s">
        <v>2502</v>
      </c>
      <c r="D2044" s="2" t="s">
        <v>1836</v>
      </c>
      <c r="E2044" s="2" t="s">
        <v>1838</v>
      </c>
      <c r="F2044" s="2">
        <v>1.1675800000000001</v>
      </c>
      <c r="G2044" s="2">
        <v>0.42689700000000003</v>
      </c>
      <c r="H2044" s="2">
        <v>-1.45156</v>
      </c>
    </row>
    <row r="2045" spans="1:8" x14ac:dyDescent="0.2">
      <c r="A2045" s="2" t="s">
        <v>1706</v>
      </c>
      <c r="B2045" s="2" t="s">
        <v>3015</v>
      </c>
      <c r="C2045" s="2" t="s">
        <v>2870</v>
      </c>
      <c r="D2045" s="2" t="s">
        <v>1839</v>
      </c>
      <c r="E2045" s="2" t="s">
        <v>1841</v>
      </c>
      <c r="F2045" s="2">
        <v>2.5070199999999998</v>
      </c>
      <c r="G2045" s="2">
        <v>0.91635800000000001</v>
      </c>
      <c r="H2045" s="2">
        <v>-1.4519899999999999</v>
      </c>
    </row>
    <row r="2046" spans="1:8" x14ac:dyDescent="0.2">
      <c r="A2046" s="2" t="s">
        <v>1513</v>
      </c>
      <c r="B2046" s="2" t="s">
        <v>3015</v>
      </c>
      <c r="C2046" s="2" t="s">
        <v>1904</v>
      </c>
      <c r="D2046" s="2" t="s">
        <v>1839</v>
      </c>
      <c r="E2046" s="2" t="s">
        <v>1840</v>
      </c>
      <c r="F2046" s="2">
        <v>2.9752900000000002</v>
      </c>
      <c r="G2046" s="2">
        <v>1.08639</v>
      </c>
      <c r="H2046" s="2">
        <v>-1.4534899999999999</v>
      </c>
    </row>
    <row r="2047" spans="1:8" x14ac:dyDescent="0.2">
      <c r="A2047" s="2" t="s">
        <v>173</v>
      </c>
      <c r="B2047" s="2" t="s">
        <v>3298</v>
      </c>
      <c r="C2047" s="2" t="s">
        <v>2417</v>
      </c>
      <c r="D2047" s="2" t="s">
        <v>1836</v>
      </c>
      <c r="E2047" s="2" t="s">
        <v>1838</v>
      </c>
      <c r="F2047" s="2">
        <v>4.5422700000000003</v>
      </c>
      <c r="G2047" s="2">
        <v>1.6573500000000001</v>
      </c>
      <c r="H2047" s="2">
        <v>-1.4545399999999999</v>
      </c>
    </row>
    <row r="2048" spans="1:8" x14ac:dyDescent="0.2">
      <c r="A2048" s="2" t="s">
        <v>127</v>
      </c>
      <c r="B2048" s="2" t="s">
        <v>3015</v>
      </c>
      <c r="C2048" s="2" t="s">
        <v>1902</v>
      </c>
      <c r="D2048" s="2" t="s">
        <v>1836</v>
      </c>
      <c r="E2048" s="2" t="s">
        <v>1837</v>
      </c>
      <c r="F2048" s="2">
        <v>13.694800000000001</v>
      </c>
      <c r="G2048" s="2">
        <v>4.9959899999999999</v>
      </c>
      <c r="H2048" s="2">
        <v>-1.45478</v>
      </c>
    </row>
    <row r="2049" spans="1:8" x14ac:dyDescent="0.2">
      <c r="A2049" s="2" t="s">
        <v>648</v>
      </c>
      <c r="B2049" s="2" t="s">
        <v>3015</v>
      </c>
      <c r="C2049" s="2" t="s">
        <v>2145</v>
      </c>
      <c r="D2049" s="2" t="s">
        <v>1836</v>
      </c>
      <c r="E2049" s="2" t="s">
        <v>1838</v>
      </c>
      <c r="F2049" s="2">
        <v>27.835999999999999</v>
      </c>
      <c r="G2049" s="2">
        <v>10.144299999999999</v>
      </c>
      <c r="H2049" s="2">
        <v>-1.45628</v>
      </c>
    </row>
    <row r="2050" spans="1:8" x14ac:dyDescent="0.2">
      <c r="A2050" s="2" t="s">
        <v>1673</v>
      </c>
      <c r="B2050" s="2" t="s">
        <v>3201</v>
      </c>
      <c r="C2050" s="2" t="s">
        <v>2216</v>
      </c>
      <c r="D2050" s="2" t="s">
        <v>1839</v>
      </c>
      <c r="E2050" s="2" t="s">
        <v>1841</v>
      </c>
      <c r="F2050" s="2">
        <v>2.08229</v>
      </c>
      <c r="G2050" s="2">
        <v>0.75761999999999996</v>
      </c>
      <c r="H2050" s="2">
        <v>-1.45862</v>
      </c>
    </row>
    <row r="2051" spans="1:8" x14ac:dyDescent="0.2">
      <c r="A2051" s="2" t="s">
        <v>1416</v>
      </c>
      <c r="B2051" s="2" t="s">
        <v>3372</v>
      </c>
      <c r="C2051" s="2" t="s">
        <v>3015</v>
      </c>
      <c r="D2051" s="2" t="s">
        <v>1836</v>
      </c>
      <c r="E2051" s="2" t="s">
        <v>1838</v>
      </c>
      <c r="F2051" s="2">
        <v>1.9464999999999999</v>
      </c>
      <c r="G2051" s="2">
        <v>0.70725099999999996</v>
      </c>
      <c r="H2051" s="2">
        <v>-1.4605900000000001</v>
      </c>
    </row>
    <row r="2052" spans="1:8" x14ac:dyDescent="0.2">
      <c r="A2052" s="2" t="s">
        <v>401</v>
      </c>
      <c r="B2052" s="2" t="s">
        <v>3015</v>
      </c>
      <c r="C2052" s="2" t="s">
        <v>3016</v>
      </c>
      <c r="D2052" s="2" t="s">
        <v>1836</v>
      </c>
      <c r="E2052" s="2" t="s">
        <v>1838</v>
      </c>
      <c r="F2052" s="2">
        <v>0.95647199999999999</v>
      </c>
      <c r="G2052" s="2">
        <v>0.347354</v>
      </c>
      <c r="H2052" s="2">
        <v>-1.46132</v>
      </c>
    </row>
    <row r="2053" spans="1:8" x14ac:dyDescent="0.2">
      <c r="A2053" s="2" t="s">
        <v>486</v>
      </c>
      <c r="B2053" s="2" t="s">
        <v>3015</v>
      </c>
      <c r="C2053" s="2" t="s">
        <v>1847</v>
      </c>
      <c r="D2053" s="2" t="s">
        <v>1836</v>
      </c>
      <c r="E2053" s="2" t="s">
        <v>1838</v>
      </c>
      <c r="F2053" s="2">
        <v>66.097099999999998</v>
      </c>
      <c r="G2053" s="2">
        <v>23.999700000000001</v>
      </c>
      <c r="H2053" s="2">
        <v>-1.46157</v>
      </c>
    </row>
    <row r="2054" spans="1:8" x14ac:dyDescent="0.2">
      <c r="A2054" s="2" t="s">
        <v>1368</v>
      </c>
      <c r="B2054" s="2" t="s">
        <v>3015</v>
      </c>
      <c r="C2054" s="2" t="s">
        <v>1847</v>
      </c>
      <c r="D2054" s="2" t="s">
        <v>1839</v>
      </c>
      <c r="E2054" s="2" t="s">
        <v>1840</v>
      </c>
      <c r="F2054" s="2">
        <v>5.4162600000000003</v>
      </c>
      <c r="G2054" s="2">
        <v>1.96546</v>
      </c>
      <c r="H2054" s="2">
        <v>-1.4624299999999999</v>
      </c>
    </row>
    <row r="2055" spans="1:8" x14ac:dyDescent="0.2">
      <c r="A2055" s="2" t="s">
        <v>1551</v>
      </c>
      <c r="B2055" s="2" t="s">
        <v>3015</v>
      </c>
      <c r="C2055" s="2" t="s">
        <v>3015</v>
      </c>
      <c r="D2055" s="2" t="s">
        <v>1839</v>
      </c>
      <c r="E2055" s="2" t="s">
        <v>1840</v>
      </c>
      <c r="F2055" s="2">
        <v>7.89316</v>
      </c>
      <c r="G2055" s="2">
        <v>2.8633899999999999</v>
      </c>
      <c r="H2055" s="2">
        <v>-1.46288</v>
      </c>
    </row>
    <row r="2056" spans="1:8" x14ac:dyDescent="0.2">
      <c r="A2056" s="2" t="s">
        <v>615</v>
      </c>
      <c r="B2056" s="2" t="s">
        <v>3100</v>
      </c>
      <c r="C2056" s="2" t="s">
        <v>1948</v>
      </c>
      <c r="D2056" s="2" t="s">
        <v>1839</v>
      </c>
      <c r="E2056" s="2" t="s">
        <v>1841</v>
      </c>
      <c r="F2056" s="2">
        <v>1.58294</v>
      </c>
      <c r="G2056" s="2">
        <v>0.57338800000000001</v>
      </c>
      <c r="H2056" s="2">
        <v>-1.46502</v>
      </c>
    </row>
    <row r="2057" spans="1:8" x14ac:dyDescent="0.2">
      <c r="A2057" s="2" t="s">
        <v>1762</v>
      </c>
      <c r="B2057" s="2" t="s">
        <v>3015</v>
      </c>
      <c r="C2057" s="2" t="s">
        <v>2933</v>
      </c>
      <c r="D2057" s="2" t="s">
        <v>1839</v>
      </c>
      <c r="E2057" s="2" t="s">
        <v>1841</v>
      </c>
      <c r="F2057" s="2">
        <v>1.1585799999999999</v>
      </c>
      <c r="G2057" s="2">
        <v>0.41941899999999999</v>
      </c>
      <c r="H2057" s="2">
        <v>-1.4658899999999999</v>
      </c>
    </row>
    <row r="2058" spans="1:8" x14ac:dyDescent="0.2">
      <c r="A2058" s="2" t="s">
        <v>918</v>
      </c>
      <c r="B2058" s="2" t="s">
        <v>3049</v>
      </c>
      <c r="C2058" s="2" t="s">
        <v>2246</v>
      </c>
      <c r="D2058" s="2" t="s">
        <v>1836</v>
      </c>
      <c r="E2058" s="2" t="s">
        <v>1837</v>
      </c>
      <c r="F2058" s="2">
        <v>1.1626300000000001</v>
      </c>
      <c r="G2058" s="2">
        <v>0.42072399999999999</v>
      </c>
      <c r="H2058" s="2">
        <v>-1.46645</v>
      </c>
    </row>
    <row r="2059" spans="1:8" x14ac:dyDescent="0.2">
      <c r="A2059" s="2" t="s">
        <v>1123</v>
      </c>
      <c r="B2059" s="2" t="s">
        <v>3015</v>
      </c>
      <c r="C2059" s="2" t="s">
        <v>3015</v>
      </c>
      <c r="D2059" s="2" t="s">
        <v>1836</v>
      </c>
      <c r="E2059" s="2" t="s">
        <v>1837</v>
      </c>
      <c r="F2059" s="2">
        <v>4.0791700000000004</v>
      </c>
      <c r="G2059" s="2">
        <v>1.4754</v>
      </c>
      <c r="H2059" s="2">
        <v>-1.4671700000000001</v>
      </c>
    </row>
    <row r="2060" spans="1:8" x14ac:dyDescent="0.2">
      <c r="A2060" s="2" t="s">
        <v>8</v>
      </c>
      <c r="B2060" s="2" t="s">
        <v>3015</v>
      </c>
      <c r="C2060" s="2" t="s">
        <v>3015</v>
      </c>
      <c r="D2060" s="2" t="s">
        <v>1836</v>
      </c>
      <c r="E2060" s="2" t="s">
        <v>1837</v>
      </c>
      <c r="F2060" s="2">
        <v>242.529</v>
      </c>
      <c r="G2060" s="2">
        <v>87.713399999999993</v>
      </c>
      <c r="H2060" s="2">
        <v>-1.46729</v>
      </c>
    </row>
    <row r="2061" spans="1:8" x14ac:dyDescent="0.2">
      <c r="A2061" s="2" t="s">
        <v>1797</v>
      </c>
      <c r="B2061" s="2" t="s">
        <v>3015</v>
      </c>
      <c r="C2061" s="2" t="s">
        <v>3015</v>
      </c>
      <c r="D2061" s="2" t="s">
        <v>1839</v>
      </c>
      <c r="E2061" s="2" t="s">
        <v>1841</v>
      </c>
      <c r="F2061" s="2">
        <v>23.221800000000002</v>
      </c>
      <c r="G2061" s="2">
        <v>8.3912700000000005</v>
      </c>
      <c r="H2061" s="2">
        <v>-1.46852</v>
      </c>
    </row>
    <row r="2062" spans="1:8" x14ac:dyDescent="0.2">
      <c r="A2062" s="2" t="s">
        <v>717</v>
      </c>
      <c r="B2062" s="2" t="s">
        <v>3104</v>
      </c>
      <c r="C2062" s="2" t="s">
        <v>2177</v>
      </c>
      <c r="D2062" s="2" t="s">
        <v>1836</v>
      </c>
      <c r="E2062" s="2" t="s">
        <v>1837</v>
      </c>
      <c r="F2062" s="2">
        <v>6.6232800000000003</v>
      </c>
      <c r="G2062" s="2">
        <v>2.3896000000000002</v>
      </c>
      <c r="H2062" s="2">
        <v>-1.47078</v>
      </c>
    </row>
    <row r="2063" spans="1:8" x14ac:dyDescent="0.2">
      <c r="A2063" s="2" t="s">
        <v>327</v>
      </c>
      <c r="B2063" s="2" t="s">
        <v>3315</v>
      </c>
      <c r="C2063" s="2" t="s">
        <v>2421</v>
      </c>
      <c r="D2063" s="2" t="s">
        <v>1836</v>
      </c>
      <c r="E2063" s="2" t="s">
        <v>1838</v>
      </c>
      <c r="F2063" s="2">
        <v>4.6942700000000004</v>
      </c>
      <c r="G2063" s="2">
        <v>1.69181</v>
      </c>
      <c r="H2063" s="2">
        <v>-1.4723299999999999</v>
      </c>
    </row>
    <row r="2064" spans="1:8" x14ac:dyDescent="0.2">
      <c r="A2064" s="2" t="s">
        <v>1186</v>
      </c>
      <c r="B2064" s="2" t="s">
        <v>3015</v>
      </c>
      <c r="C2064" s="2" t="s">
        <v>2412</v>
      </c>
      <c r="D2064" s="2" t="s">
        <v>1836</v>
      </c>
      <c r="E2064" s="2" t="s">
        <v>1838</v>
      </c>
      <c r="F2064" s="2">
        <v>2.6879</v>
      </c>
      <c r="G2064" s="2">
        <v>0.96709999999999996</v>
      </c>
      <c r="H2064" s="2">
        <v>-1.4747399999999999</v>
      </c>
    </row>
    <row r="2065" spans="1:8" x14ac:dyDescent="0.2">
      <c r="A2065" s="2" t="s">
        <v>1192</v>
      </c>
      <c r="B2065" s="2" t="s">
        <v>3087</v>
      </c>
      <c r="C2065" s="2" t="s">
        <v>1947</v>
      </c>
      <c r="D2065" s="2" t="s">
        <v>1836</v>
      </c>
      <c r="E2065" s="2" t="s">
        <v>1838</v>
      </c>
      <c r="F2065" s="2">
        <v>1.5593699999999999</v>
      </c>
      <c r="G2065" s="2">
        <v>0.56005700000000003</v>
      </c>
      <c r="H2065" s="2">
        <v>-1.47732</v>
      </c>
    </row>
    <row r="2066" spans="1:8" x14ac:dyDescent="0.2">
      <c r="A2066" s="2" t="s">
        <v>1548</v>
      </c>
      <c r="B2066" s="2" t="s">
        <v>3015</v>
      </c>
      <c r="C2066" s="2" t="s">
        <v>2698</v>
      </c>
      <c r="D2066" s="2" t="s">
        <v>1839</v>
      </c>
      <c r="E2066" s="2" t="s">
        <v>1841</v>
      </c>
      <c r="F2066" s="2">
        <v>1.6731100000000001</v>
      </c>
      <c r="G2066" s="2">
        <v>0.60044500000000001</v>
      </c>
      <c r="H2066" s="2">
        <v>-1.4784299999999999</v>
      </c>
    </row>
    <row r="2067" spans="1:8" x14ac:dyDescent="0.2">
      <c r="A2067" s="2" t="s">
        <v>1335</v>
      </c>
      <c r="B2067" s="2" t="s">
        <v>3015</v>
      </c>
      <c r="C2067" s="2" t="s">
        <v>2530</v>
      </c>
      <c r="D2067" s="2" t="s">
        <v>1836</v>
      </c>
      <c r="E2067" s="2" t="s">
        <v>1838</v>
      </c>
      <c r="F2067" s="2">
        <v>1.2725900000000001</v>
      </c>
      <c r="G2067" s="2">
        <v>0.45558399999999999</v>
      </c>
      <c r="H2067" s="2">
        <v>-1.4819800000000001</v>
      </c>
    </row>
    <row r="2068" spans="1:8" x14ac:dyDescent="0.2">
      <c r="A2068" s="2" t="s">
        <v>826</v>
      </c>
      <c r="B2068" s="2" t="s">
        <v>3015</v>
      </c>
      <c r="C2068" s="2" t="s">
        <v>2219</v>
      </c>
      <c r="D2068" s="2" t="s">
        <v>1836</v>
      </c>
      <c r="E2068" s="2" t="s">
        <v>1837</v>
      </c>
      <c r="F2068" s="2">
        <v>1.2563800000000001</v>
      </c>
      <c r="G2068" s="2">
        <v>0.44960699999999998</v>
      </c>
      <c r="H2068" s="2">
        <v>-1.48254</v>
      </c>
    </row>
    <row r="2069" spans="1:8" x14ac:dyDescent="0.2">
      <c r="A2069" s="2" t="s">
        <v>601</v>
      </c>
      <c r="B2069" s="2" t="s">
        <v>3058</v>
      </c>
      <c r="C2069" s="2" t="s">
        <v>2057</v>
      </c>
      <c r="D2069" s="2" t="s">
        <v>1836</v>
      </c>
      <c r="E2069" s="2" t="s">
        <v>1838</v>
      </c>
      <c r="F2069" s="2">
        <v>4.4676499999999999</v>
      </c>
      <c r="G2069" s="2">
        <v>1.59819</v>
      </c>
      <c r="H2069" s="2">
        <v>-1.4830700000000001</v>
      </c>
    </row>
    <row r="2070" spans="1:8" x14ac:dyDescent="0.2">
      <c r="A2070" s="2" t="s">
        <v>1535</v>
      </c>
      <c r="B2070" s="2" t="s">
        <v>3015</v>
      </c>
      <c r="C2070" s="2" t="s">
        <v>2686</v>
      </c>
      <c r="D2070" s="2" t="s">
        <v>1839</v>
      </c>
      <c r="E2070" s="2" t="s">
        <v>1841</v>
      </c>
      <c r="F2070" s="2">
        <v>25.8443</v>
      </c>
      <c r="G2070" s="2">
        <v>9.2348599999999994</v>
      </c>
      <c r="H2070" s="2">
        <v>-1.48468</v>
      </c>
    </row>
    <row r="2071" spans="1:8" x14ac:dyDescent="0.2">
      <c r="A2071" s="2" t="s">
        <v>1189</v>
      </c>
      <c r="B2071" s="2" t="s">
        <v>3269</v>
      </c>
      <c r="C2071" s="2" t="s">
        <v>2981</v>
      </c>
      <c r="D2071" s="2" t="s">
        <v>1839</v>
      </c>
      <c r="E2071" s="2" t="s">
        <v>1840</v>
      </c>
      <c r="F2071" s="2">
        <v>0.82891800000000004</v>
      </c>
      <c r="G2071" s="2">
        <v>0.29592200000000002</v>
      </c>
      <c r="H2071" s="2">
        <v>-1.4860100000000001</v>
      </c>
    </row>
    <row r="2072" spans="1:8" x14ac:dyDescent="0.2">
      <c r="A2072" s="2" t="s">
        <v>248</v>
      </c>
      <c r="B2072" s="2" t="s">
        <v>3015</v>
      </c>
      <c r="C2072" s="2" t="s">
        <v>1862</v>
      </c>
      <c r="D2072" s="2" t="s">
        <v>1836</v>
      </c>
      <c r="E2072" s="2" t="s">
        <v>1838</v>
      </c>
      <c r="F2072" s="2">
        <v>1.48085</v>
      </c>
      <c r="G2072" s="2">
        <v>0.52840100000000001</v>
      </c>
      <c r="H2072" s="2">
        <v>-1.48672</v>
      </c>
    </row>
    <row r="2073" spans="1:8" x14ac:dyDescent="0.2">
      <c r="A2073" s="2" t="s">
        <v>687</v>
      </c>
      <c r="B2073" s="2" t="s">
        <v>3015</v>
      </c>
      <c r="C2073" s="2" t="s">
        <v>1847</v>
      </c>
      <c r="D2073" s="2" t="s">
        <v>1836</v>
      </c>
      <c r="E2073" s="2" t="s">
        <v>1837</v>
      </c>
      <c r="F2073" s="2">
        <v>3.3123100000000001</v>
      </c>
      <c r="G2073" s="2">
        <v>1.1816800000000001</v>
      </c>
      <c r="H2073" s="2">
        <v>-1.4870000000000001</v>
      </c>
    </row>
    <row r="2074" spans="1:8" x14ac:dyDescent="0.2">
      <c r="A2074" s="2" t="s">
        <v>1437</v>
      </c>
      <c r="B2074" s="2" t="s">
        <v>3015</v>
      </c>
      <c r="C2074" s="2" t="s">
        <v>1847</v>
      </c>
      <c r="D2074" s="2" t="s">
        <v>1836</v>
      </c>
      <c r="E2074" s="2" t="s">
        <v>1838</v>
      </c>
      <c r="F2074" s="2">
        <v>6.4558200000000001</v>
      </c>
      <c r="G2074" s="2">
        <v>2.30294</v>
      </c>
      <c r="H2074" s="2">
        <v>-1.48712</v>
      </c>
    </row>
    <row r="2075" spans="1:8" x14ac:dyDescent="0.2">
      <c r="A2075" s="2" t="s">
        <v>1091</v>
      </c>
      <c r="B2075" s="2" t="s">
        <v>3015</v>
      </c>
      <c r="C2075" s="2" t="s">
        <v>3016</v>
      </c>
      <c r="D2075" s="2" t="s">
        <v>1836</v>
      </c>
      <c r="E2075" s="2" t="s">
        <v>1837</v>
      </c>
      <c r="F2075" s="2">
        <v>2.5340699999999998</v>
      </c>
      <c r="G2075" s="2">
        <v>0.90342500000000003</v>
      </c>
      <c r="H2075" s="2">
        <v>-1.4879800000000001</v>
      </c>
    </row>
    <row r="2076" spans="1:8" x14ac:dyDescent="0.2">
      <c r="A2076" s="2" t="s">
        <v>645</v>
      </c>
      <c r="B2076" s="2" t="s">
        <v>3181</v>
      </c>
      <c r="C2076" s="2" t="s">
        <v>2143</v>
      </c>
      <c r="D2076" s="2" t="s">
        <v>1836</v>
      </c>
      <c r="E2076" s="2" t="s">
        <v>1837</v>
      </c>
      <c r="F2076" s="2">
        <v>39.311999999999998</v>
      </c>
      <c r="G2076" s="2">
        <v>14.004200000000001</v>
      </c>
      <c r="H2076" s="2">
        <v>-1.4891099999999999</v>
      </c>
    </row>
    <row r="2077" spans="1:8" x14ac:dyDescent="0.2">
      <c r="A2077" s="2" t="s">
        <v>294</v>
      </c>
      <c r="B2077" s="2" t="s">
        <v>3015</v>
      </c>
      <c r="C2077" s="2" t="s">
        <v>1979</v>
      </c>
      <c r="D2077" s="2" t="s">
        <v>1836</v>
      </c>
      <c r="E2077" s="2" t="s">
        <v>1837</v>
      </c>
      <c r="F2077" s="2">
        <v>2.8870399999999998</v>
      </c>
      <c r="G2077" s="2">
        <v>1.0282899999999999</v>
      </c>
      <c r="H2077" s="2">
        <v>-1.4893400000000001</v>
      </c>
    </row>
    <row r="2078" spans="1:8" x14ac:dyDescent="0.2">
      <c r="A2078" s="2" t="s">
        <v>849</v>
      </c>
      <c r="B2078" s="2" t="s">
        <v>3222</v>
      </c>
      <c r="C2078" s="2" t="s">
        <v>2235</v>
      </c>
      <c r="D2078" s="2" t="s">
        <v>1836</v>
      </c>
      <c r="E2078" s="2" t="s">
        <v>1837</v>
      </c>
      <c r="F2078" s="2">
        <v>9.0080600000000004</v>
      </c>
      <c r="G2078" s="2">
        <v>3.2047099999999999</v>
      </c>
      <c r="H2078" s="2">
        <v>-1.49102</v>
      </c>
    </row>
    <row r="2079" spans="1:8" x14ac:dyDescent="0.2">
      <c r="A2079" s="2" t="s">
        <v>829</v>
      </c>
      <c r="B2079" s="2" t="s">
        <v>3015</v>
      </c>
      <c r="C2079" s="2" t="s">
        <v>2222</v>
      </c>
      <c r="D2079" s="2" t="s">
        <v>1836</v>
      </c>
      <c r="E2079" s="2" t="s">
        <v>1837</v>
      </c>
      <c r="F2079" s="2">
        <v>995.572</v>
      </c>
      <c r="G2079" s="2">
        <v>354.11700000000002</v>
      </c>
      <c r="H2079" s="2">
        <v>-1.4913000000000001</v>
      </c>
    </row>
    <row r="2080" spans="1:8" x14ac:dyDescent="0.2">
      <c r="A2080" s="2" t="s">
        <v>1365</v>
      </c>
      <c r="B2080" s="2" t="s">
        <v>3081</v>
      </c>
      <c r="C2080" s="2" t="s">
        <v>1965</v>
      </c>
      <c r="D2080" s="2" t="s">
        <v>1836</v>
      </c>
      <c r="E2080" s="2" t="s">
        <v>1838</v>
      </c>
      <c r="F2080" s="2">
        <v>2.0848800000000001</v>
      </c>
      <c r="G2080" s="2">
        <v>0.74038800000000005</v>
      </c>
      <c r="H2080" s="2">
        <v>-1.4936100000000001</v>
      </c>
    </row>
    <row r="2081" spans="1:8" x14ac:dyDescent="0.2">
      <c r="A2081" s="2" t="s">
        <v>734</v>
      </c>
      <c r="B2081" s="2" t="s">
        <v>3081</v>
      </c>
      <c r="C2081" s="2" t="s">
        <v>2489</v>
      </c>
      <c r="D2081" s="2" t="s">
        <v>1839</v>
      </c>
      <c r="E2081" s="2" t="s">
        <v>1840</v>
      </c>
      <c r="F2081" s="2">
        <v>52.354300000000002</v>
      </c>
      <c r="G2081" s="2">
        <v>18.5915</v>
      </c>
      <c r="H2081" s="2">
        <v>-1.49366</v>
      </c>
    </row>
    <row r="2082" spans="1:8" x14ac:dyDescent="0.2">
      <c r="A2082" s="2" t="s">
        <v>1392</v>
      </c>
      <c r="B2082" s="2" t="s">
        <v>3243</v>
      </c>
      <c r="C2082" s="2" t="s">
        <v>1953</v>
      </c>
      <c r="D2082" s="2" t="s">
        <v>1836</v>
      </c>
      <c r="E2082" s="2" t="s">
        <v>1838</v>
      </c>
      <c r="F2082" s="2">
        <v>228.00899999999999</v>
      </c>
      <c r="G2082" s="2">
        <v>80.881799999999998</v>
      </c>
      <c r="H2082" s="2">
        <v>-1.4952000000000001</v>
      </c>
    </row>
    <row r="2083" spans="1:8" x14ac:dyDescent="0.2">
      <c r="A2083" s="2" t="s">
        <v>1319</v>
      </c>
      <c r="B2083" s="2" t="s">
        <v>3015</v>
      </c>
      <c r="C2083" s="2" t="s">
        <v>1862</v>
      </c>
      <c r="D2083" s="2" t="s">
        <v>1836</v>
      </c>
      <c r="E2083" s="2" t="s">
        <v>1838</v>
      </c>
      <c r="F2083" s="2">
        <v>2.1225000000000001</v>
      </c>
      <c r="G2083" s="2">
        <v>0.75275000000000003</v>
      </c>
      <c r="H2083" s="2">
        <v>-1.49552</v>
      </c>
    </row>
    <row r="2084" spans="1:8" x14ac:dyDescent="0.2">
      <c r="A2084" s="2" t="s">
        <v>427</v>
      </c>
      <c r="B2084" s="2" t="s">
        <v>3015</v>
      </c>
      <c r="C2084" s="2" t="s">
        <v>2477</v>
      </c>
      <c r="D2084" s="2" t="s">
        <v>1836</v>
      </c>
      <c r="E2084" s="2" t="s">
        <v>1838</v>
      </c>
      <c r="F2084" s="2">
        <v>12.869300000000001</v>
      </c>
      <c r="G2084" s="2">
        <v>4.5631599999999999</v>
      </c>
      <c r="H2084" s="2">
        <v>-1.49583</v>
      </c>
    </row>
    <row r="2085" spans="1:8" x14ac:dyDescent="0.2">
      <c r="A2085" s="2" t="s">
        <v>1180</v>
      </c>
      <c r="B2085" s="2" t="s">
        <v>3015</v>
      </c>
      <c r="C2085" s="2" t="s">
        <v>2408</v>
      </c>
      <c r="D2085" s="2" t="s">
        <v>1836</v>
      </c>
      <c r="E2085" s="2" t="s">
        <v>1838</v>
      </c>
      <c r="F2085" s="2">
        <v>1.3650199999999999</v>
      </c>
      <c r="G2085" s="2">
        <v>0.48381999999999997</v>
      </c>
      <c r="H2085" s="2">
        <v>-1.49638</v>
      </c>
    </row>
    <row r="2086" spans="1:8" x14ac:dyDescent="0.2">
      <c r="A2086" s="2" t="s">
        <v>1058</v>
      </c>
      <c r="B2086" s="2" t="s">
        <v>3015</v>
      </c>
      <c r="C2086" s="2" t="s">
        <v>1880</v>
      </c>
      <c r="D2086" s="2" t="s">
        <v>1839</v>
      </c>
      <c r="E2086" s="2" t="s">
        <v>1841</v>
      </c>
      <c r="F2086" s="2">
        <v>10.881500000000001</v>
      </c>
      <c r="G2086" s="2">
        <v>3.8483800000000001</v>
      </c>
      <c r="H2086" s="2">
        <v>-1.4995499999999999</v>
      </c>
    </row>
    <row r="2087" spans="1:8" x14ac:dyDescent="0.2">
      <c r="A2087" s="2" t="s">
        <v>1674</v>
      </c>
      <c r="B2087" s="2" t="s">
        <v>3015</v>
      </c>
      <c r="C2087" s="2" t="s">
        <v>1862</v>
      </c>
      <c r="D2087" s="2" t="s">
        <v>1839</v>
      </c>
      <c r="E2087" s="2" t="s">
        <v>1840</v>
      </c>
      <c r="F2087" s="2">
        <v>0.91466199999999998</v>
      </c>
      <c r="G2087" s="2">
        <v>0.32293699999999997</v>
      </c>
      <c r="H2087" s="2">
        <v>-1.5019800000000001</v>
      </c>
    </row>
    <row r="2088" spans="1:8" x14ac:dyDescent="0.2">
      <c r="A2088" s="2" t="s">
        <v>394</v>
      </c>
      <c r="B2088" s="2" t="s">
        <v>3015</v>
      </c>
      <c r="C2088" s="2" t="s">
        <v>1847</v>
      </c>
      <c r="D2088" s="2" t="s">
        <v>1836</v>
      </c>
      <c r="E2088" s="2" t="s">
        <v>1838</v>
      </c>
      <c r="F2088" s="2">
        <v>3.21462</v>
      </c>
      <c r="G2088" s="2">
        <v>1.13306</v>
      </c>
      <c r="H2088" s="2">
        <v>-1.5044200000000001</v>
      </c>
    </row>
    <row r="2089" spans="1:8" x14ac:dyDescent="0.2">
      <c r="A2089" s="2" t="s">
        <v>1138</v>
      </c>
      <c r="B2089" s="2" t="s">
        <v>3089</v>
      </c>
      <c r="C2089" s="2" t="s">
        <v>2372</v>
      </c>
      <c r="D2089" s="2" t="s">
        <v>1836</v>
      </c>
      <c r="E2089" s="2" t="s">
        <v>1838</v>
      </c>
      <c r="F2089" s="2">
        <v>3.6878199999999999</v>
      </c>
      <c r="G2089" s="2">
        <v>1.2954000000000001</v>
      </c>
      <c r="H2089" s="2">
        <v>-1.5093700000000001</v>
      </c>
    </row>
    <row r="2090" spans="1:8" x14ac:dyDescent="0.2">
      <c r="A2090" s="2" t="s">
        <v>798</v>
      </c>
      <c r="B2090" s="2" t="s">
        <v>3015</v>
      </c>
      <c r="C2090" s="2" t="s">
        <v>2206</v>
      </c>
      <c r="D2090" s="2" t="s">
        <v>1836</v>
      </c>
      <c r="E2090" s="2" t="s">
        <v>1837</v>
      </c>
      <c r="F2090" s="2">
        <v>27.613</v>
      </c>
      <c r="G2090" s="2">
        <v>9.6977100000000007</v>
      </c>
      <c r="H2090" s="2">
        <v>-1.50963</v>
      </c>
    </row>
    <row r="2091" spans="1:8" x14ac:dyDescent="0.2">
      <c r="A2091" s="2" t="s">
        <v>422</v>
      </c>
      <c r="B2091" s="2" t="s">
        <v>3136</v>
      </c>
      <c r="C2091" s="2" t="s">
        <v>2039</v>
      </c>
      <c r="D2091" s="2" t="s">
        <v>1836</v>
      </c>
      <c r="E2091" s="2" t="s">
        <v>1837</v>
      </c>
      <c r="F2091" s="2">
        <v>1.1167400000000001</v>
      </c>
      <c r="G2091" s="2">
        <v>0.39197300000000002</v>
      </c>
      <c r="H2091" s="2">
        <v>-1.51047</v>
      </c>
    </row>
    <row r="2092" spans="1:8" x14ac:dyDescent="0.2">
      <c r="A2092" s="2" t="s">
        <v>1205</v>
      </c>
      <c r="B2092" s="2" t="s">
        <v>3015</v>
      </c>
      <c r="C2092" s="2" t="s">
        <v>1847</v>
      </c>
      <c r="D2092" s="2" t="s">
        <v>1836</v>
      </c>
      <c r="E2092" s="2" t="s">
        <v>1838</v>
      </c>
      <c r="F2092" s="2">
        <v>1.66167</v>
      </c>
      <c r="G2092" s="2">
        <v>0.58242700000000003</v>
      </c>
      <c r="H2092" s="2">
        <v>-1.51248</v>
      </c>
    </row>
    <row r="2093" spans="1:8" x14ac:dyDescent="0.2">
      <c r="A2093" s="2" t="s">
        <v>836</v>
      </c>
      <c r="B2093" s="2" t="s">
        <v>3219</v>
      </c>
      <c r="C2093" s="2" t="s">
        <v>2226</v>
      </c>
      <c r="D2093" s="2" t="s">
        <v>1836</v>
      </c>
      <c r="E2093" s="2" t="s">
        <v>1837</v>
      </c>
      <c r="F2093" s="2">
        <v>1.8883099999999999</v>
      </c>
      <c r="G2093" s="2">
        <v>0.66045500000000001</v>
      </c>
      <c r="H2093" s="2">
        <v>-1.51556</v>
      </c>
    </row>
    <row r="2094" spans="1:8" x14ac:dyDescent="0.2">
      <c r="A2094" s="2" t="s">
        <v>599</v>
      </c>
      <c r="B2094" s="2" t="s">
        <v>3063</v>
      </c>
      <c r="C2094" s="2" t="s">
        <v>2100</v>
      </c>
      <c r="D2094" s="2" t="s">
        <v>1836</v>
      </c>
      <c r="E2094" s="2" t="s">
        <v>1837</v>
      </c>
      <c r="F2094" s="2">
        <v>3.4403600000000001</v>
      </c>
      <c r="G2094" s="2">
        <v>1.19842</v>
      </c>
      <c r="H2094" s="2">
        <v>-1.52142</v>
      </c>
    </row>
    <row r="2095" spans="1:8" x14ac:dyDescent="0.2">
      <c r="A2095" s="2" t="s">
        <v>1702</v>
      </c>
      <c r="B2095" s="2" t="s">
        <v>3243</v>
      </c>
      <c r="C2095" s="2" t="s">
        <v>1953</v>
      </c>
      <c r="D2095" s="2" t="s">
        <v>1839</v>
      </c>
      <c r="E2095" s="2" t="s">
        <v>1841</v>
      </c>
      <c r="F2095" s="2">
        <v>0.95299900000000004</v>
      </c>
      <c r="G2095" s="2">
        <v>0.331293</v>
      </c>
      <c r="H2095" s="2">
        <v>-1.52437</v>
      </c>
    </row>
    <row r="2096" spans="1:8" x14ac:dyDescent="0.2">
      <c r="A2096" s="2" t="s">
        <v>1267</v>
      </c>
      <c r="B2096" s="2" t="s">
        <v>3090</v>
      </c>
      <c r="C2096" s="2" t="s">
        <v>2470</v>
      </c>
      <c r="D2096" s="2" t="s">
        <v>1836</v>
      </c>
      <c r="E2096" s="2" t="s">
        <v>1838</v>
      </c>
      <c r="F2096" s="2">
        <v>4.5533599999999996</v>
      </c>
      <c r="G2096" s="2">
        <v>1.5814900000000001</v>
      </c>
      <c r="H2096" s="2">
        <v>-1.5256400000000001</v>
      </c>
    </row>
    <row r="2097" spans="1:8" x14ac:dyDescent="0.2">
      <c r="A2097" s="2" t="s">
        <v>913</v>
      </c>
      <c r="B2097" s="2" t="s">
        <v>3235</v>
      </c>
      <c r="C2097" s="2" t="s">
        <v>2267</v>
      </c>
      <c r="D2097" s="2" t="s">
        <v>1836</v>
      </c>
      <c r="E2097" s="2" t="s">
        <v>1837</v>
      </c>
      <c r="F2097" s="2">
        <v>5.3484499999999997</v>
      </c>
      <c r="G2097" s="2">
        <v>1.8572</v>
      </c>
      <c r="H2097" s="2">
        <v>-1.52599</v>
      </c>
    </row>
    <row r="2098" spans="1:8" x14ac:dyDescent="0.2">
      <c r="A2098" s="2" t="s">
        <v>1251</v>
      </c>
      <c r="B2098" s="2" t="s">
        <v>3146</v>
      </c>
      <c r="C2098" s="2" t="s">
        <v>2458</v>
      </c>
      <c r="D2098" s="2" t="s">
        <v>1836</v>
      </c>
      <c r="E2098" s="2" t="s">
        <v>1838</v>
      </c>
      <c r="F2098" s="2">
        <v>22.19</v>
      </c>
      <c r="G2098" s="2">
        <v>7.6844099999999997</v>
      </c>
      <c r="H2098" s="2">
        <v>-1.5299</v>
      </c>
    </row>
    <row r="2099" spans="1:8" x14ac:dyDescent="0.2">
      <c r="A2099" s="2" t="s">
        <v>532</v>
      </c>
      <c r="B2099" s="2" t="s">
        <v>3043</v>
      </c>
      <c r="C2099" s="2" t="s">
        <v>2095</v>
      </c>
      <c r="D2099" s="2" t="s">
        <v>1836</v>
      </c>
      <c r="E2099" s="2" t="s">
        <v>1837</v>
      </c>
      <c r="F2099" s="2">
        <v>21.0182</v>
      </c>
      <c r="G2099" s="2">
        <v>7.2773099999999999</v>
      </c>
      <c r="H2099" s="2">
        <v>-1.53016</v>
      </c>
    </row>
    <row r="2100" spans="1:8" x14ac:dyDescent="0.2">
      <c r="A2100" s="2" t="s">
        <v>405</v>
      </c>
      <c r="B2100" s="2" t="s">
        <v>3063</v>
      </c>
      <c r="C2100" s="2" t="s">
        <v>2030</v>
      </c>
      <c r="D2100" s="2" t="s">
        <v>1836</v>
      </c>
      <c r="E2100" s="2" t="s">
        <v>1837</v>
      </c>
      <c r="F2100" s="2">
        <v>5.6101799999999997</v>
      </c>
      <c r="G2100" s="2">
        <v>1.94157</v>
      </c>
      <c r="H2100" s="2">
        <v>-1.5308200000000001</v>
      </c>
    </row>
    <row r="2101" spans="1:8" x14ac:dyDescent="0.2">
      <c r="A2101" s="2" t="s">
        <v>1460</v>
      </c>
      <c r="B2101" s="2" t="s">
        <v>3015</v>
      </c>
      <c r="C2101" s="2" t="s">
        <v>3016</v>
      </c>
      <c r="D2101" s="2" t="s">
        <v>1836</v>
      </c>
      <c r="E2101" s="2" t="s">
        <v>1838</v>
      </c>
      <c r="F2101" s="2">
        <v>0.90095999999999998</v>
      </c>
      <c r="G2101" s="2">
        <v>0.31146600000000002</v>
      </c>
      <c r="H2101" s="2">
        <v>-1.5323899999999999</v>
      </c>
    </row>
    <row r="2102" spans="1:8" x14ac:dyDescent="0.2">
      <c r="A2102" s="2" t="s">
        <v>512</v>
      </c>
      <c r="B2102" s="2" t="s">
        <v>3045</v>
      </c>
      <c r="C2102" s="2" t="s">
        <v>2085</v>
      </c>
      <c r="D2102" s="2" t="s">
        <v>1836</v>
      </c>
      <c r="E2102" s="2" t="s">
        <v>1837</v>
      </c>
      <c r="F2102" s="2">
        <v>0.82557199999999997</v>
      </c>
      <c r="G2102" s="2">
        <v>0.28521999999999997</v>
      </c>
      <c r="H2102" s="2">
        <v>-1.53332</v>
      </c>
    </row>
    <row r="2103" spans="1:8" x14ac:dyDescent="0.2">
      <c r="A2103" s="2" t="s">
        <v>125</v>
      </c>
      <c r="B2103" s="2" t="s">
        <v>3015</v>
      </c>
      <c r="C2103" s="2" t="s">
        <v>2400</v>
      </c>
      <c r="D2103" s="2" t="s">
        <v>1836</v>
      </c>
      <c r="E2103" s="2" t="s">
        <v>1838</v>
      </c>
      <c r="F2103" s="2">
        <v>720.69799999999998</v>
      </c>
      <c r="G2103" s="2">
        <v>248.887</v>
      </c>
      <c r="H2103" s="2">
        <v>-1.5339100000000001</v>
      </c>
    </row>
    <row r="2104" spans="1:8" x14ac:dyDescent="0.2">
      <c r="A2104" s="2" t="s">
        <v>463</v>
      </c>
      <c r="B2104" s="2" t="s">
        <v>3015</v>
      </c>
      <c r="C2104" s="2" t="s">
        <v>2482</v>
      </c>
      <c r="D2104" s="2" t="s">
        <v>1836</v>
      </c>
      <c r="E2104" s="2" t="s">
        <v>1838</v>
      </c>
      <c r="F2104" s="2">
        <v>4.1204700000000001</v>
      </c>
      <c r="G2104" s="2">
        <v>1.4219900000000001</v>
      </c>
      <c r="H2104" s="2">
        <v>-1.5348999999999999</v>
      </c>
    </row>
    <row r="2105" spans="1:8" x14ac:dyDescent="0.2">
      <c r="A2105" s="2" t="s">
        <v>319</v>
      </c>
      <c r="B2105" s="2" t="s">
        <v>3015</v>
      </c>
      <c r="C2105" s="2" t="s">
        <v>2729</v>
      </c>
      <c r="D2105" s="2" t="s">
        <v>1839</v>
      </c>
      <c r="E2105" s="2" t="s">
        <v>1841</v>
      </c>
      <c r="F2105" s="2">
        <v>4.6597900000000001</v>
      </c>
      <c r="G2105" s="2">
        <v>1.60731</v>
      </c>
      <c r="H2105" s="2">
        <v>-1.5356099999999999</v>
      </c>
    </row>
    <row r="2106" spans="1:8" x14ac:dyDescent="0.2">
      <c r="A2106" s="2" t="s">
        <v>184</v>
      </c>
      <c r="B2106" s="2" t="s">
        <v>3074</v>
      </c>
      <c r="C2106" s="2" t="s">
        <v>1929</v>
      </c>
      <c r="D2106" s="2" t="s">
        <v>1836</v>
      </c>
      <c r="E2106" s="2" t="s">
        <v>1837</v>
      </c>
      <c r="F2106" s="2">
        <v>6.7115900000000002</v>
      </c>
      <c r="G2106" s="2">
        <v>2.3137799999999999</v>
      </c>
      <c r="H2106" s="2">
        <v>-1.5364</v>
      </c>
    </row>
    <row r="2107" spans="1:8" x14ac:dyDescent="0.2">
      <c r="A2107" s="2" t="s">
        <v>670</v>
      </c>
      <c r="B2107" s="2" t="s">
        <v>3447</v>
      </c>
      <c r="C2107" s="2" t="s">
        <v>2836</v>
      </c>
      <c r="D2107" s="2" t="s">
        <v>1839</v>
      </c>
      <c r="E2107" s="2" t="s">
        <v>1841</v>
      </c>
      <c r="F2107" s="2">
        <v>18.606000000000002</v>
      </c>
      <c r="G2107" s="2">
        <v>6.4110699999999996</v>
      </c>
      <c r="H2107" s="2">
        <v>-1.5371300000000001</v>
      </c>
    </row>
    <row r="2108" spans="1:8" x14ac:dyDescent="0.2">
      <c r="A2108" s="2" t="s">
        <v>142</v>
      </c>
      <c r="B2108" s="2" t="s">
        <v>3015</v>
      </c>
      <c r="C2108" s="2" t="s">
        <v>1909</v>
      </c>
      <c r="D2108" s="2" t="s">
        <v>1836</v>
      </c>
      <c r="E2108" s="2" t="s">
        <v>1837</v>
      </c>
      <c r="F2108" s="2">
        <v>10.6622</v>
      </c>
      <c r="G2108" s="2">
        <v>3.6695099999999998</v>
      </c>
      <c r="H2108" s="2">
        <v>-1.5388500000000001</v>
      </c>
    </row>
    <row r="2109" spans="1:8" x14ac:dyDescent="0.2">
      <c r="A2109" s="2" t="s">
        <v>1019</v>
      </c>
      <c r="B2109" s="2" t="s">
        <v>3025</v>
      </c>
      <c r="C2109" s="2" t="s">
        <v>2269</v>
      </c>
      <c r="D2109" s="2" t="s">
        <v>1836</v>
      </c>
      <c r="E2109" s="2" t="s">
        <v>1837</v>
      </c>
      <c r="F2109" s="2">
        <v>1.64679</v>
      </c>
      <c r="G2109" s="2">
        <v>0.56609399999999999</v>
      </c>
      <c r="H2109" s="2">
        <v>-1.54054</v>
      </c>
    </row>
    <row r="2110" spans="1:8" x14ac:dyDescent="0.2">
      <c r="A2110" s="2" t="s">
        <v>1073</v>
      </c>
      <c r="B2110" s="2" t="s">
        <v>3015</v>
      </c>
      <c r="C2110" s="2" t="s">
        <v>1847</v>
      </c>
      <c r="D2110" s="2" t="s">
        <v>1836</v>
      </c>
      <c r="E2110" s="2" t="s">
        <v>1837</v>
      </c>
      <c r="F2110" s="2">
        <v>19.0151</v>
      </c>
      <c r="G2110" s="2">
        <v>6.5355299999999996</v>
      </c>
      <c r="H2110" s="2">
        <v>-1.54077</v>
      </c>
    </row>
    <row r="2111" spans="1:8" x14ac:dyDescent="0.2">
      <c r="A2111" s="2" t="s">
        <v>65</v>
      </c>
      <c r="B2111" s="2" t="s">
        <v>3015</v>
      </c>
      <c r="C2111" s="2" t="s">
        <v>1876</v>
      </c>
      <c r="D2111" s="2" t="s">
        <v>1836</v>
      </c>
      <c r="E2111" s="2" t="s">
        <v>1837</v>
      </c>
      <c r="F2111" s="2">
        <v>17.822399999999998</v>
      </c>
      <c r="G2111" s="2">
        <v>6.1206899999999997</v>
      </c>
      <c r="H2111" s="2">
        <v>-1.54192</v>
      </c>
    </row>
    <row r="2112" spans="1:8" x14ac:dyDescent="0.2">
      <c r="A2112" s="2" t="s">
        <v>1000</v>
      </c>
      <c r="B2112" s="2" t="s">
        <v>3015</v>
      </c>
      <c r="C2112" s="2" t="s">
        <v>3016</v>
      </c>
      <c r="D2112" s="2" t="s">
        <v>1836</v>
      </c>
      <c r="E2112" s="2" t="s">
        <v>1838</v>
      </c>
      <c r="F2112" s="2">
        <v>2.5510100000000002</v>
      </c>
      <c r="G2112" s="2">
        <v>0.87454100000000001</v>
      </c>
      <c r="H2112" s="2">
        <v>-1.54447</v>
      </c>
    </row>
    <row r="2113" spans="1:8" x14ac:dyDescent="0.2">
      <c r="A2113" s="2" t="s">
        <v>176</v>
      </c>
      <c r="B2113" s="2" t="s">
        <v>3071</v>
      </c>
      <c r="C2113" s="2" t="s">
        <v>3015</v>
      </c>
      <c r="D2113" s="2" t="s">
        <v>1836</v>
      </c>
      <c r="E2113" s="2" t="s">
        <v>1837</v>
      </c>
      <c r="F2113" s="2">
        <v>54.093699999999998</v>
      </c>
      <c r="G2113" s="2">
        <v>18.5306</v>
      </c>
      <c r="H2113" s="2">
        <v>-1.54555</v>
      </c>
    </row>
    <row r="2114" spans="1:8" x14ac:dyDescent="0.2">
      <c r="A2114" s="2" t="s">
        <v>735</v>
      </c>
      <c r="B2114" s="2" t="s">
        <v>3171</v>
      </c>
      <c r="C2114" s="2" t="s">
        <v>2123</v>
      </c>
      <c r="D2114" s="2" t="s">
        <v>1839</v>
      </c>
      <c r="E2114" s="2" t="s">
        <v>1840</v>
      </c>
      <c r="F2114" s="2">
        <v>3.6709499999999999</v>
      </c>
      <c r="G2114" s="2">
        <v>1.2569999999999999</v>
      </c>
      <c r="H2114" s="2">
        <v>-1.54617</v>
      </c>
    </row>
    <row r="2115" spans="1:8" x14ac:dyDescent="0.2">
      <c r="A2115" s="2" t="s">
        <v>1757</v>
      </c>
      <c r="B2115" s="2" t="s">
        <v>3105</v>
      </c>
      <c r="C2115" s="2" t="s">
        <v>2927</v>
      </c>
      <c r="D2115" s="2" t="s">
        <v>1839</v>
      </c>
      <c r="E2115" s="2" t="s">
        <v>1841</v>
      </c>
      <c r="F2115" s="2">
        <v>13.1935</v>
      </c>
      <c r="G2115" s="2">
        <v>4.5147300000000001</v>
      </c>
      <c r="H2115" s="2">
        <v>-1.5471200000000001</v>
      </c>
    </row>
    <row r="2116" spans="1:8" x14ac:dyDescent="0.2">
      <c r="A2116" s="2" t="s">
        <v>701</v>
      </c>
      <c r="B2116" s="2" t="s">
        <v>3015</v>
      </c>
      <c r="C2116" s="2" t="s">
        <v>2169</v>
      </c>
      <c r="D2116" s="2" t="s">
        <v>1836</v>
      </c>
      <c r="E2116" s="2" t="s">
        <v>1838</v>
      </c>
      <c r="F2116" s="2">
        <v>2.2369500000000002</v>
      </c>
      <c r="G2116" s="2">
        <v>0.76460399999999995</v>
      </c>
      <c r="H2116" s="2">
        <v>-1.5487500000000001</v>
      </c>
    </row>
    <row r="2117" spans="1:8" x14ac:dyDescent="0.2">
      <c r="A2117" s="2" t="s">
        <v>1066</v>
      </c>
      <c r="B2117" s="2" t="s">
        <v>3093</v>
      </c>
      <c r="C2117" s="2" t="s">
        <v>2029</v>
      </c>
      <c r="D2117" s="2" t="s">
        <v>1836</v>
      </c>
      <c r="E2117" s="2" t="s">
        <v>1837</v>
      </c>
      <c r="F2117" s="2">
        <v>7.9269299999999996</v>
      </c>
      <c r="G2117" s="2">
        <v>2.7083699999999999</v>
      </c>
      <c r="H2117" s="2">
        <v>-1.5493399999999999</v>
      </c>
    </row>
    <row r="2118" spans="1:8" x14ac:dyDescent="0.2">
      <c r="A2118" s="2" t="s">
        <v>1513</v>
      </c>
      <c r="B2118" s="2" t="s">
        <v>3015</v>
      </c>
      <c r="C2118" s="2" t="s">
        <v>1904</v>
      </c>
      <c r="D2118" s="2" t="s">
        <v>1839</v>
      </c>
      <c r="E2118" s="2" t="s">
        <v>1841</v>
      </c>
      <c r="F2118" s="2">
        <v>2.9752900000000002</v>
      </c>
      <c r="G2118" s="2">
        <v>1.01637</v>
      </c>
      <c r="H2118" s="2">
        <v>-1.5496099999999999</v>
      </c>
    </row>
    <row r="2119" spans="1:8" x14ac:dyDescent="0.2">
      <c r="A2119" s="2" t="s">
        <v>676</v>
      </c>
      <c r="B2119" s="2" t="s">
        <v>3038</v>
      </c>
      <c r="C2119" s="2" t="s">
        <v>2158</v>
      </c>
      <c r="D2119" s="2" t="s">
        <v>1836</v>
      </c>
      <c r="E2119" s="2" t="s">
        <v>1837</v>
      </c>
      <c r="F2119" s="2">
        <v>1.08673</v>
      </c>
      <c r="G2119" s="2">
        <v>0.37110799999999999</v>
      </c>
      <c r="H2119" s="2">
        <v>-1.5500799999999999</v>
      </c>
    </row>
    <row r="2120" spans="1:8" x14ac:dyDescent="0.2">
      <c r="A2120" s="2" t="s">
        <v>698</v>
      </c>
      <c r="B2120" s="2" t="s">
        <v>3081</v>
      </c>
      <c r="C2120" s="2" t="s">
        <v>2851</v>
      </c>
      <c r="D2120" s="2" t="s">
        <v>1839</v>
      </c>
      <c r="E2120" s="2" t="s">
        <v>1841</v>
      </c>
      <c r="F2120" s="2">
        <v>28.2943</v>
      </c>
      <c r="G2120" s="2">
        <v>9.6128599999999995</v>
      </c>
      <c r="H2120" s="2">
        <v>-1.5574699999999999</v>
      </c>
    </row>
    <row r="2121" spans="1:8" x14ac:dyDescent="0.2">
      <c r="A2121" s="2" t="s">
        <v>835</v>
      </c>
      <c r="B2121" s="2" t="s">
        <v>3218</v>
      </c>
      <c r="C2121" s="2" t="s">
        <v>2225</v>
      </c>
      <c r="D2121" s="2" t="s">
        <v>1836</v>
      </c>
      <c r="E2121" s="2" t="s">
        <v>1838</v>
      </c>
      <c r="F2121" s="2">
        <v>203.636</v>
      </c>
      <c r="G2121" s="2">
        <v>69.062299999999993</v>
      </c>
      <c r="H2121" s="2">
        <v>-1.56002</v>
      </c>
    </row>
    <row r="2122" spans="1:8" x14ac:dyDescent="0.2">
      <c r="A2122" s="2" t="s">
        <v>271</v>
      </c>
      <c r="B2122" s="2" t="s">
        <v>3030</v>
      </c>
      <c r="C2122" s="2" t="s">
        <v>2707</v>
      </c>
      <c r="D2122" s="2" t="s">
        <v>1839</v>
      </c>
      <c r="E2122" s="2" t="s">
        <v>1841</v>
      </c>
      <c r="F2122" s="2">
        <v>6.2331300000000001</v>
      </c>
      <c r="G2122" s="2">
        <v>2.1027</v>
      </c>
      <c r="H2122" s="2">
        <v>-1.5677099999999999</v>
      </c>
    </row>
    <row r="2123" spans="1:8" x14ac:dyDescent="0.2">
      <c r="A2123" s="2" t="s">
        <v>523</v>
      </c>
      <c r="B2123" s="2" t="s">
        <v>3154</v>
      </c>
      <c r="C2123" s="2" t="s">
        <v>2091</v>
      </c>
      <c r="D2123" s="2" t="s">
        <v>1836</v>
      </c>
      <c r="E2123" s="2" t="s">
        <v>1837</v>
      </c>
      <c r="F2123" s="2">
        <v>14.6564</v>
      </c>
      <c r="G2123" s="2">
        <v>4.9318799999999996</v>
      </c>
      <c r="H2123" s="2">
        <v>-1.5713200000000001</v>
      </c>
    </row>
    <row r="2124" spans="1:8" x14ac:dyDescent="0.2">
      <c r="A2124" s="2" t="s">
        <v>595</v>
      </c>
      <c r="B2124" s="2" t="s">
        <v>3171</v>
      </c>
      <c r="C2124" s="2" t="s">
        <v>2123</v>
      </c>
      <c r="D2124" s="2" t="s">
        <v>1836</v>
      </c>
      <c r="E2124" s="2" t="s">
        <v>1838</v>
      </c>
      <c r="F2124" s="2">
        <v>2.1012900000000001</v>
      </c>
      <c r="G2124" s="2">
        <v>0.70708199999999999</v>
      </c>
      <c r="H2124" s="2">
        <v>-1.5713200000000001</v>
      </c>
    </row>
    <row r="2125" spans="1:8" x14ac:dyDescent="0.2">
      <c r="A2125" s="2" t="s">
        <v>705</v>
      </c>
      <c r="B2125" s="2" t="s">
        <v>3015</v>
      </c>
      <c r="C2125" s="2" t="s">
        <v>2170</v>
      </c>
      <c r="D2125" s="2" t="s">
        <v>1836</v>
      </c>
      <c r="E2125" s="2" t="s">
        <v>1837</v>
      </c>
      <c r="F2125" s="2">
        <v>2.0831900000000001</v>
      </c>
      <c r="G2125" s="2">
        <v>0.70018999999999998</v>
      </c>
      <c r="H2125" s="2">
        <v>-1.57298</v>
      </c>
    </row>
    <row r="2126" spans="1:8" x14ac:dyDescent="0.2">
      <c r="A2126" s="2" t="s">
        <v>377</v>
      </c>
      <c r="B2126" s="2" t="s">
        <v>3015</v>
      </c>
      <c r="C2126" s="2" t="s">
        <v>1880</v>
      </c>
      <c r="D2126" s="2" t="s">
        <v>1836</v>
      </c>
      <c r="E2126" s="2" t="s">
        <v>1837</v>
      </c>
      <c r="F2126" s="2">
        <v>3.22315</v>
      </c>
      <c r="G2126" s="2">
        <v>1.08077</v>
      </c>
      <c r="H2126" s="2">
        <v>-1.5764100000000001</v>
      </c>
    </row>
    <row r="2127" spans="1:8" x14ac:dyDescent="0.2">
      <c r="A2127" s="2" t="s">
        <v>1089</v>
      </c>
      <c r="B2127" s="2" t="s">
        <v>3015</v>
      </c>
      <c r="C2127" s="2" t="s">
        <v>1917</v>
      </c>
      <c r="D2127" s="2" t="s">
        <v>1836</v>
      </c>
      <c r="E2127" s="2" t="s">
        <v>1837</v>
      </c>
      <c r="F2127" s="2">
        <v>6.87052</v>
      </c>
      <c r="G2127" s="2">
        <v>2.2995100000000002</v>
      </c>
      <c r="H2127" s="2">
        <v>-1.5790900000000001</v>
      </c>
    </row>
    <row r="2128" spans="1:8" x14ac:dyDescent="0.2">
      <c r="A2128" s="2" t="s">
        <v>342</v>
      </c>
      <c r="B2128" s="2" t="s">
        <v>3121</v>
      </c>
      <c r="C2128" s="2" t="s">
        <v>3016</v>
      </c>
      <c r="D2128" s="2" t="s">
        <v>1836</v>
      </c>
      <c r="E2128" s="2" t="s">
        <v>1838</v>
      </c>
      <c r="F2128" s="2">
        <v>8.3036999999999992</v>
      </c>
      <c r="G2128" s="2">
        <v>2.7781500000000001</v>
      </c>
      <c r="H2128" s="2">
        <v>-1.5796300000000001</v>
      </c>
    </row>
    <row r="2129" spans="1:8" x14ac:dyDescent="0.2">
      <c r="A2129" s="2" t="s">
        <v>376</v>
      </c>
      <c r="B2129" s="2" t="s">
        <v>3058</v>
      </c>
      <c r="C2129" s="2" t="s">
        <v>2018</v>
      </c>
      <c r="D2129" s="2" t="s">
        <v>1836</v>
      </c>
      <c r="E2129" s="2" t="s">
        <v>1837</v>
      </c>
      <c r="F2129" s="2">
        <v>2.2351700000000001</v>
      </c>
      <c r="G2129" s="2">
        <v>0.74752200000000002</v>
      </c>
      <c r="H2129" s="2">
        <v>-1.58019</v>
      </c>
    </row>
    <row r="2130" spans="1:8" x14ac:dyDescent="0.2">
      <c r="A2130" s="2" t="s">
        <v>678</v>
      </c>
      <c r="B2130" s="2" t="s">
        <v>3015</v>
      </c>
      <c r="C2130" s="2" t="s">
        <v>3015</v>
      </c>
      <c r="D2130" s="2" t="s">
        <v>1839</v>
      </c>
      <c r="E2130" s="2" t="s">
        <v>1841</v>
      </c>
      <c r="F2130" s="2">
        <v>12.1343</v>
      </c>
      <c r="G2130" s="2">
        <v>4.0540399999999996</v>
      </c>
      <c r="H2130" s="2">
        <v>-1.5816600000000001</v>
      </c>
    </row>
    <row r="2131" spans="1:8" x14ac:dyDescent="0.2">
      <c r="A2131" s="2" t="s">
        <v>1010</v>
      </c>
      <c r="B2131" s="2" t="s">
        <v>3015</v>
      </c>
      <c r="C2131" s="2" t="s">
        <v>1915</v>
      </c>
      <c r="D2131" s="2" t="s">
        <v>1836</v>
      </c>
      <c r="E2131" s="2" t="s">
        <v>1837</v>
      </c>
      <c r="F2131" s="2">
        <v>1.31871</v>
      </c>
      <c r="G2131" s="2">
        <v>0.43974400000000002</v>
      </c>
      <c r="H2131" s="2">
        <v>-1.58439</v>
      </c>
    </row>
    <row r="2132" spans="1:8" x14ac:dyDescent="0.2">
      <c r="A2132" s="2" t="s">
        <v>177</v>
      </c>
      <c r="B2132" s="2" t="s">
        <v>3072</v>
      </c>
      <c r="C2132" s="2" t="s">
        <v>1926</v>
      </c>
      <c r="D2132" s="2" t="s">
        <v>1836</v>
      </c>
      <c r="E2132" s="2" t="s">
        <v>1837</v>
      </c>
      <c r="F2132" s="2">
        <v>10.1632</v>
      </c>
      <c r="G2132" s="2">
        <v>3.3848799999999999</v>
      </c>
      <c r="H2132" s="2">
        <v>-1.5861799999999999</v>
      </c>
    </row>
    <row r="2133" spans="1:8" x14ac:dyDescent="0.2">
      <c r="A2133" s="2" t="s">
        <v>161</v>
      </c>
      <c r="B2133" s="2" t="s">
        <v>3015</v>
      </c>
      <c r="C2133" s="2" t="s">
        <v>1921</v>
      </c>
      <c r="D2133" s="2" t="s">
        <v>1836</v>
      </c>
      <c r="E2133" s="2" t="s">
        <v>1837</v>
      </c>
      <c r="F2133" s="2">
        <v>2.2109899999999998</v>
      </c>
      <c r="G2133" s="2">
        <v>0.73630300000000004</v>
      </c>
      <c r="H2133" s="2">
        <v>-1.58632</v>
      </c>
    </row>
    <row r="2134" spans="1:8" x14ac:dyDescent="0.2">
      <c r="A2134" s="2" t="s">
        <v>691</v>
      </c>
      <c r="B2134" s="2" t="s">
        <v>3015</v>
      </c>
      <c r="C2134" s="2" t="s">
        <v>2164</v>
      </c>
      <c r="D2134" s="2" t="s">
        <v>1836</v>
      </c>
      <c r="E2134" s="2" t="s">
        <v>1837</v>
      </c>
      <c r="F2134" s="2">
        <v>1.3046599999999999</v>
      </c>
      <c r="G2134" s="2">
        <v>0.43444700000000003</v>
      </c>
      <c r="H2134" s="2">
        <v>-1.5864199999999999</v>
      </c>
    </row>
    <row r="2135" spans="1:8" x14ac:dyDescent="0.2">
      <c r="A2135" s="2" t="s">
        <v>122</v>
      </c>
      <c r="B2135" s="2" t="s">
        <v>3015</v>
      </c>
      <c r="C2135" s="2" t="s">
        <v>1898</v>
      </c>
      <c r="D2135" s="2" t="s">
        <v>1839</v>
      </c>
      <c r="E2135" s="2" t="s">
        <v>1841</v>
      </c>
      <c r="F2135" s="2">
        <v>6.0011000000000001</v>
      </c>
      <c r="G2135" s="2">
        <v>1.9975499999999999</v>
      </c>
      <c r="H2135" s="2">
        <v>-1.587</v>
      </c>
    </row>
    <row r="2136" spans="1:8" x14ac:dyDescent="0.2">
      <c r="A2136" s="2" t="s">
        <v>369</v>
      </c>
      <c r="B2136" s="2" t="s">
        <v>3015</v>
      </c>
      <c r="C2136" s="2" t="s">
        <v>1847</v>
      </c>
      <c r="D2136" s="2" t="s">
        <v>1836</v>
      </c>
      <c r="E2136" s="2" t="s">
        <v>1837</v>
      </c>
      <c r="F2136" s="2">
        <v>0.86500299999999997</v>
      </c>
      <c r="G2136" s="2">
        <v>0.28790199999999999</v>
      </c>
      <c r="H2136" s="2">
        <v>-1.5871299999999999</v>
      </c>
    </row>
    <row r="2137" spans="1:8" x14ac:dyDescent="0.2">
      <c r="A2137" s="2" t="s">
        <v>960</v>
      </c>
      <c r="B2137" s="2" t="s">
        <v>3038</v>
      </c>
      <c r="C2137" s="2" t="s">
        <v>2293</v>
      </c>
      <c r="D2137" s="2" t="s">
        <v>1839</v>
      </c>
      <c r="E2137" s="2" t="s">
        <v>1841</v>
      </c>
      <c r="F2137" s="2">
        <v>7.5668699999999998</v>
      </c>
      <c r="G2137" s="2">
        <v>2.5182600000000002</v>
      </c>
      <c r="H2137" s="2">
        <v>-1.58727</v>
      </c>
    </row>
    <row r="2138" spans="1:8" x14ac:dyDescent="0.2">
      <c r="A2138" s="2" t="s">
        <v>878</v>
      </c>
      <c r="B2138" s="2" t="s">
        <v>3166</v>
      </c>
      <c r="C2138" s="2" t="s">
        <v>2249</v>
      </c>
      <c r="D2138" s="2" t="s">
        <v>1836</v>
      </c>
      <c r="E2138" s="2" t="s">
        <v>1837</v>
      </c>
      <c r="F2138" s="2">
        <v>3.5211000000000001</v>
      </c>
      <c r="G2138" s="2">
        <v>1.17137</v>
      </c>
      <c r="H2138" s="2">
        <v>-1.5878399999999999</v>
      </c>
    </row>
    <row r="2139" spans="1:8" x14ac:dyDescent="0.2">
      <c r="A2139" s="2" t="s">
        <v>1323</v>
      </c>
      <c r="B2139" s="2" t="s">
        <v>3093</v>
      </c>
      <c r="C2139" s="2" t="s">
        <v>2473</v>
      </c>
      <c r="D2139" s="2" t="s">
        <v>1836</v>
      </c>
      <c r="E2139" s="2" t="s">
        <v>1838</v>
      </c>
      <c r="F2139" s="2">
        <v>2.62277</v>
      </c>
      <c r="G2139" s="2">
        <v>0.871224</v>
      </c>
      <c r="H2139" s="2">
        <v>-1.5899799999999999</v>
      </c>
    </row>
    <row r="2140" spans="1:8" x14ac:dyDescent="0.2">
      <c r="A2140" s="2" t="s">
        <v>1767</v>
      </c>
      <c r="B2140" s="2" t="s">
        <v>3030</v>
      </c>
      <c r="C2140" s="2" t="s">
        <v>2940</v>
      </c>
      <c r="D2140" s="2" t="s">
        <v>1839</v>
      </c>
      <c r="E2140" s="2" t="s">
        <v>1840</v>
      </c>
      <c r="F2140" s="2">
        <v>2.8555799999999998</v>
      </c>
      <c r="G2140" s="2">
        <v>0.948515</v>
      </c>
      <c r="H2140" s="2">
        <v>-1.5900399999999999</v>
      </c>
    </row>
    <row r="2141" spans="1:8" x14ac:dyDescent="0.2">
      <c r="A2141" s="2" t="s">
        <v>1142</v>
      </c>
      <c r="B2141" s="2" t="s">
        <v>3283</v>
      </c>
      <c r="C2141" s="2" t="s">
        <v>2374</v>
      </c>
      <c r="D2141" s="2" t="s">
        <v>1836</v>
      </c>
      <c r="E2141" s="2" t="s">
        <v>1838</v>
      </c>
      <c r="F2141" s="2">
        <v>1.3757699999999999</v>
      </c>
      <c r="G2141" s="2">
        <v>0.456488</v>
      </c>
      <c r="H2141" s="2">
        <v>-1.5915900000000001</v>
      </c>
    </row>
    <row r="2142" spans="1:8" x14ac:dyDescent="0.2">
      <c r="A2142" s="2" t="s">
        <v>1386</v>
      </c>
      <c r="B2142" s="2" t="s">
        <v>3068</v>
      </c>
      <c r="C2142" s="2" t="s">
        <v>2562</v>
      </c>
      <c r="D2142" s="2" t="s">
        <v>1836</v>
      </c>
      <c r="E2142" s="2" t="s">
        <v>1838</v>
      </c>
      <c r="F2142" s="2">
        <v>7.2402899999999999</v>
      </c>
      <c r="G2142" s="2">
        <v>2.3975200000000001</v>
      </c>
      <c r="H2142" s="2">
        <v>-1.5945100000000001</v>
      </c>
    </row>
    <row r="2143" spans="1:8" x14ac:dyDescent="0.2">
      <c r="A2143" s="2" t="s">
        <v>1065</v>
      </c>
      <c r="B2143" s="2" t="s">
        <v>3015</v>
      </c>
      <c r="C2143" s="2" t="s">
        <v>2340</v>
      </c>
      <c r="D2143" s="2" t="s">
        <v>1836</v>
      </c>
      <c r="E2143" s="2" t="s">
        <v>1837</v>
      </c>
      <c r="F2143" s="2">
        <v>1.55291</v>
      </c>
      <c r="G2143" s="2">
        <v>0.51347799999999999</v>
      </c>
      <c r="H2143" s="2">
        <v>-1.59659</v>
      </c>
    </row>
    <row r="2144" spans="1:8" x14ac:dyDescent="0.2">
      <c r="A2144" s="2" t="s">
        <v>668</v>
      </c>
      <c r="B2144" s="2" t="s">
        <v>3015</v>
      </c>
      <c r="C2144" s="2" t="s">
        <v>3016</v>
      </c>
      <c r="D2144" s="2" t="s">
        <v>1836</v>
      </c>
      <c r="E2144" s="2" t="s">
        <v>1838</v>
      </c>
      <c r="F2144" s="2">
        <v>7.1596099999999998</v>
      </c>
      <c r="G2144" s="2">
        <v>2.3672900000000001</v>
      </c>
      <c r="H2144" s="2">
        <v>-1.5966499999999999</v>
      </c>
    </row>
    <row r="2145" spans="1:8" x14ac:dyDescent="0.2">
      <c r="A2145" s="2" t="s">
        <v>56</v>
      </c>
      <c r="B2145" s="2" t="s">
        <v>3040</v>
      </c>
      <c r="C2145" s="2" t="s">
        <v>1869</v>
      </c>
      <c r="D2145" s="2" t="s">
        <v>1836</v>
      </c>
      <c r="E2145" s="2" t="s">
        <v>1837</v>
      </c>
      <c r="F2145" s="2">
        <v>81.445899999999995</v>
      </c>
      <c r="G2145" s="2">
        <v>26.928100000000001</v>
      </c>
      <c r="H2145" s="2">
        <v>-1.59673</v>
      </c>
    </row>
    <row r="2146" spans="1:8" x14ac:dyDescent="0.2">
      <c r="A2146" s="2" t="s">
        <v>1448</v>
      </c>
      <c r="B2146" s="2" t="s">
        <v>3015</v>
      </c>
      <c r="C2146" s="2" t="s">
        <v>3015</v>
      </c>
      <c r="D2146" s="2" t="s">
        <v>1836</v>
      </c>
      <c r="E2146" s="2" t="s">
        <v>1838</v>
      </c>
      <c r="F2146" s="2">
        <v>2.6157400000000002</v>
      </c>
      <c r="G2146" s="2">
        <v>0.86454299999999995</v>
      </c>
      <c r="H2146" s="2">
        <v>-1.59721</v>
      </c>
    </row>
    <row r="2147" spans="1:8" x14ac:dyDescent="0.2">
      <c r="A2147" s="2" t="s">
        <v>1248</v>
      </c>
      <c r="B2147" s="2" t="s">
        <v>3015</v>
      </c>
      <c r="C2147" s="2" t="s">
        <v>2455</v>
      </c>
      <c r="D2147" s="2" t="s">
        <v>1836</v>
      </c>
      <c r="E2147" s="2" t="s">
        <v>1838</v>
      </c>
      <c r="F2147" s="2">
        <v>47.194699999999997</v>
      </c>
      <c r="G2147" s="2">
        <v>15.59</v>
      </c>
      <c r="H2147" s="2">
        <v>-1.5980099999999999</v>
      </c>
    </row>
    <row r="2148" spans="1:8" x14ac:dyDescent="0.2">
      <c r="A2148" s="2" t="s">
        <v>866</v>
      </c>
      <c r="B2148" s="2" t="s">
        <v>3015</v>
      </c>
      <c r="C2148" s="2" t="s">
        <v>2244</v>
      </c>
      <c r="D2148" s="2" t="s">
        <v>1836</v>
      </c>
      <c r="E2148" s="2" t="s">
        <v>1837</v>
      </c>
      <c r="F2148" s="2">
        <v>1.76268</v>
      </c>
      <c r="G2148" s="2">
        <v>0.58179199999999998</v>
      </c>
      <c r="H2148" s="2">
        <v>-1.5992</v>
      </c>
    </row>
    <row r="2149" spans="1:8" x14ac:dyDescent="0.2">
      <c r="A2149" s="2" t="s">
        <v>158</v>
      </c>
      <c r="B2149" s="2" t="s">
        <v>3015</v>
      </c>
      <c r="C2149" s="2" t="s">
        <v>1919</v>
      </c>
      <c r="D2149" s="2" t="s">
        <v>1836</v>
      </c>
      <c r="E2149" s="2" t="s">
        <v>1837</v>
      </c>
      <c r="F2149" s="2">
        <v>2.25888</v>
      </c>
      <c r="G2149" s="2">
        <v>0.74527399999999999</v>
      </c>
      <c r="H2149" s="2">
        <v>-1.5997600000000001</v>
      </c>
    </row>
    <row r="2150" spans="1:8" x14ac:dyDescent="0.2">
      <c r="A2150" s="2" t="s">
        <v>910</v>
      </c>
      <c r="B2150" s="2" t="s">
        <v>3015</v>
      </c>
      <c r="C2150" s="2" t="s">
        <v>2266</v>
      </c>
      <c r="D2150" s="2" t="s">
        <v>1836</v>
      </c>
      <c r="E2150" s="2" t="s">
        <v>1837</v>
      </c>
      <c r="F2150" s="2">
        <v>6.3342799999999997</v>
      </c>
      <c r="G2150" s="2">
        <v>2.0898099999999999</v>
      </c>
      <c r="H2150" s="2">
        <v>-1.59981</v>
      </c>
    </row>
    <row r="2151" spans="1:8" x14ac:dyDescent="0.2">
      <c r="A2151" s="2" t="s">
        <v>1414</v>
      </c>
      <c r="B2151" s="2" t="s">
        <v>3015</v>
      </c>
      <c r="C2151" s="2" t="s">
        <v>3015</v>
      </c>
      <c r="D2151" s="2" t="s">
        <v>1836</v>
      </c>
      <c r="E2151" s="2" t="s">
        <v>1838</v>
      </c>
      <c r="F2151" s="2">
        <v>4.3289</v>
      </c>
      <c r="G2151" s="2">
        <v>1.42713</v>
      </c>
      <c r="H2151" s="2">
        <v>-1.6008800000000001</v>
      </c>
    </row>
    <row r="2152" spans="1:8" x14ac:dyDescent="0.2">
      <c r="A2152" s="2" t="s">
        <v>365</v>
      </c>
      <c r="B2152" s="2" t="s">
        <v>3126</v>
      </c>
      <c r="C2152" s="2" t="s">
        <v>2011</v>
      </c>
      <c r="D2152" s="2" t="s">
        <v>1836</v>
      </c>
      <c r="E2152" s="2" t="s">
        <v>1837</v>
      </c>
      <c r="F2152" s="2">
        <v>42.749299999999998</v>
      </c>
      <c r="G2152" s="2">
        <v>14.090299999999999</v>
      </c>
      <c r="H2152" s="2">
        <v>-1.6012</v>
      </c>
    </row>
    <row r="2153" spans="1:8" x14ac:dyDescent="0.2">
      <c r="A2153" s="2" t="s">
        <v>123</v>
      </c>
      <c r="B2153" s="2" t="s">
        <v>3056</v>
      </c>
      <c r="C2153" s="2" t="s">
        <v>1899</v>
      </c>
      <c r="D2153" s="2" t="s">
        <v>1836</v>
      </c>
      <c r="E2153" s="2" t="s">
        <v>1837</v>
      </c>
      <c r="F2153" s="2">
        <v>1.9359599999999999</v>
      </c>
      <c r="G2153" s="2">
        <v>0.63763400000000003</v>
      </c>
      <c r="H2153" s="2">
        <v>-1.60225</v>
      </c>
    </row>
    <row r="2154" spans="1:8" x14ac:dyDescent="0.2">
      <c r="A2154" s="2" t="s">
        <v>1242</v>
      </c>
      <c r="B2154" s="2" t="s">
        <v>3300</v>
      </c>
      <c r="C2154" s="2" t="s">
        <v>2450</v>
      </c>
      <c r="D2154" s="2" t="s">
        <v>1836</v>
      </c>
      <c r="E2154" s="2" t="s">
        <v>1838</v>
      </c>
      <c r="F2154" s="2">
        <v>9.8988399999999999</v>
      </c>
      <c r="G2154" s="2">
        <v>3.2591000000000001</v>
      </c>
      <c r="H2154" s="2">
        <v>-1.6027800000000001</v>
      </c>
    </row>
    <row r="2155" spans="1:8" x14ac:dyDescent="0.2">
      <c r="A2155" s="2" t="s">
        <v>734</v>
      </c>
      <c r="B2155" s="2" t="s">
        <v>3081</v>
      </c>
      <c r="C2155" s="2" t="s">
        <v>2489</v>
      </c>
      <c r="D2155" s="2" t="s">
        <v>1839</v>
      </c>
      <c r="E2155" s="2" t="s">
        <v>1841</v>
      </c>
      <c r="F2155" s="2">
        <v>52.354300000000002</v>
      </c>
      <c r="G2155" s="2">
        <v>17.218299999999999</v>
      </c>
      <c r="H2155" s="2">
        <v>-1.6043700000000001</v>
      </c>
    </row>
    <row r="2156" spans="1:8" x14ac:dyDescent="0.2">
      <c r="A2156" s="2" t="s">
        <v>112</v>
      </c>
      <c r="B2156" s="2" t="s">
        <v>3015</v>
      </c>
      <c r="C2156" s="2" t="s">
        <v>1890</v>
      </c>
      <c r="D2156" s="2" t="s">
        <v>1836</v>
      </c>
      <c r="E2156" s="2" t="s">
        <v>1837</v>
      </c>
      <c r="F2156" s="2">
        <v>6.4114699999999996</v>
      </c>
      <c r="G2156" s="2">
        <v>2.1083599999999998</v>
      </c>
      <c r="H2156" s="2">
        <v>-1.6045400000000001</v>
      </c>
    </row>
    <row r="2157" spans="1:8" x14ac:dyDescent="0.2">
      <c r="A2157" s="2" t="s">
        <v>255</v>
      </c>
      <c r="B2157" s="2" t="s">
        <v>3081</v>
      </c>
      <c r="C2157" s="2" t="s">
        <v>1965</v>
      </c>
      <c r="D2157" s="2" t="s">
        <v>1836</v>
      </c>
      <c r="E2157" s="2" t="s">
        <v>1837</v>
      </c>
      <c r="F2157" s="2">
        <v>1.2719400000000001</v>
      </c>
      <c r="G2157" s="2">
        <v>0.41779300000000003</v>
      </c>
      <c r="H2157" s="2">
        <v>-1.6061700000000001</v>
      </c>
    </row>
    <row r="2158" spans="1:8" x14ac:dyDescent="0.2">
      <c r="A2158" s="2" t="s">
        <v>914</v>
      </c>
      <c r="B2158" s="2" t="s">
        <v>3015</v>
      </c>
      <c r="C2158" s="2" t="s">
        <v>2268</v>
      </c>
      <c r="D2158" s="2" t="s">
        <v>1836</v>
      </c>
      <c r="E2158" s="2" t="s">
        <v>1838</v>
      </c>
      <c r="F2158" s="2">
        <v>1.7861400000000001</v>
      </c>
      <c r="G2158" s="2">
        <v>0.58648400000000001</v>
      </c>
      <c r="H2158" s="2">
        <v>-1.6066800000000001</v>
      </c>
    </row>
    <row r="2159" spans="1:8" x14ac:dyDescent="0.2">
      <c r="A2159" s="2" t="s">
        <v>430</v>
      </c>
      <c r="B2159" s="2" t="s">
        <v>3015</v>
      </c>
      <c r="C2159" s="2" t="s">
        <v>2043</v>
      </c>
      <c r="D2159" s="2" t="s">
        <v>1836</v>
      </c>
      <c r="E2159" s="2" t="s">
        <v>1838</v>
      </c>
      <c r="F2159" s="2">
        <v>2.1421100000000002</v>
      </c>
      <c r="G2159" s="2">
        <v>0.70322700000000005</v>
      </c>
      <c r="H2159" s="2">
        <v>-1.60697</v>
      </c>
    </row>
    <row r="2160" spans="1:8" x14ac:dyDescent="0.2">
      <c r="A2160" s="2" t="s">
        <v>707</v>
      </c>
      <c r="B2160" s="2" t="s">
        <v>3015</v>
      </c>
      <c r="C2160" s="2" t="s">
        <v>2171</v>
      </c>
      <c r="D2160" s="2" t="s">
        <v>1836</v>
      </c>
      <c r="E2160" s="2" t="s">
        <v>1837</v>
      </c>
      <c r="F2160" s="2">
        <v>22.814599999999999</v>
      </c>
      <c r="G2160" s="2">
        <v>7.4643600000000001</v>
      </c>
      <c r="H2160" s="2">
        <v>-1.6118699999999999</v>
      </c>
    </row>
    <row r="2161" spans="1:8" x14ac:dyDescent="0.2">
      <c r="A2161" s="2" t="s">
        <v>1121</v>
      </c>
      <c r="B2161" s="2" t="s">
        <v>3015</v>
      </c>
      <c r="C2161" s="2" t="s">
        <v>3015</v>
      </c>
      <c r="D2161" s="2" t="s">
        <v>1839</v>
      </c>
      <c r="E2161" s="2" t="s">
        <v>1841</v>
      </c>
      <c r="F2161" s="2">
        <v>31.9072</v>
      </c>
      <c r="G2161" s="2">
        <v>10.424799999999999</v>
      </c>
      <c r="H2161" s="2">
        <v>-1.6138600000000001</v>
      </c>
    </row>
    <row r="2162" spans="1:8" x14ac:dyDescent="0.2">
      <c r="A2162" s="2" t="s">
        <v>1767</v>
      </c>
      <c r="B2162" s="2" t="s">
        <v>3030</v>
      </c>
      <c r="C2162" s="2" t="s">
        <v>2940</v>
      </c>
      <c r="D2162" s="2" t="s">
        <v>1839</v>
      </c>
      <c r="E2162" s="2" t="s">
        <v>1841</v>
      </c>
      <c r="F2162" s="2">
        <v>2.8555799999999998</v>
      </c>
      <c r="G2162" s="2">
        <v>0.93242899999999995</v>
      </c>
      <c r="H2162" s="2">
        <v>-1.6147199999999999</v>
      </c>
    </row>
    <row r="2163" spans="1:8" x14ac:dyDescent="0.2">
      <c r="A2163" s="2" t="s">
        <v>363</v>
      </c>
      <c r="B2163" s="2" t="s">
        <v>3125</v>
      </c>
      <c r="C2163" s="2" t="s">
        <v>3016</v>
      </c>
      <c r="D2163" s="2" t="s">
        <v>1836</v>
      </c>
      <c r="E2163" s="2" t="s">
        <v>1837</v>
      </c>
      <c r="F2163" s="2">
        <v>5.3722799999999999</v>
      </c>
      <c r="G2163" s="2">
        <v>1.75054</v>
      </c>
      <c r="H2163" s="2">
        <v>-1.6177299999999999</v>
      </c>
    </row>
    <row r="2164" spans="1:8" x14ac:dyDescent="0.2">
      <c r="A2164" s="2" t="s">
        <v>1489</v>
      </c>
      <c r="B2164" s="2" t="s">
        <v>3344</v>
      </c>
      <c r="C2164" s="2" t="s">
        <v>2633</v>
      </c>
      <c r="D2164" s="2" t="s">
        <v>1839</v>
      </c>
      <c r="E2164" s="2" t="s">
        <v>1841</v>
      </c>
      <c r="F2164" s="2">
        <v>1.74996</v>
      </c>
      <c r="G2164" s="2">
        <v>0.57017700000000004</v>
      </c>
      <c r="H2164" s="2">
        <v>-1.6178399999999999</v>
      </c>
    </row>
    <row r="2165" spans="1:8" x14ac:dyDescent="0.2">
      <c r="A2165" s="2" t="s">
        <v>1030</v>
      </c>
      <c r="B2165" s="2" t="s">
        <v>3050</v>
      </c>
      <c r="C2165" s="2" t="s">
        <v>2327</v>
      </c>
      <c r="D2165" s="2" t="s">
        <v>1836</v>
      </c>
      <c r="E2165" s="2" t="s">
        <v>1837</v>
      </c>
      <c r="F2165" s="2">
        <v>0.75981799999999999</v>
      </c>
      <c r="G2165" s="2">
        <v>0.24716399999999999</v>
      </c>
      <c r="H2165" s="2">
        <v>-1.62018</v>
      </c>
    </row>
    <row r="2166" spans="1:8" x14ac:dyDescent="0.2">
      <c r="A2166" s="2" t="s">
        <v>581</v>
      </c>
      <c r="B2166" s="2" t="s">
        <v>3167</v>
      </c>
      <c r="C2166" s="2" t="s">
        <v>2117</v>
      </c>
      <c r="D2166" s="2" t="s">
        <v>1836</v>
      </c>
      <c r="E2166" s="2" t="s">
        <v>1838</v>
      </c>
      <c r="F2166" s="2">
        <v>70.599400000000003</v>
      </c>
      <c r="G2166" s="2">
        <v>22.953199999999999</v>
      </c>
      <c r="H2166" s="2">
        <v>-1.62096</v>
      </c>
    </row>
    <row r="2167" spans="1:8" x14ac:dyDescent="0.2">
      <c r="A2167" s="2" t="s">
        <v>657</v>
      </c>
      <c r="B2167" s="2" t="s">
        <v>3185</v>
      </c>
      <c r="C2167" s="2" t="s">
        <v>2150</v>
      </c>
      <c r="D2167" s="2" t="s">
        <v>1836</v>
      </c>
      <c r="E2167" s="2" t="s">
        <v>1838</v>
      </c>
      <c r="F2167" s="2">
        <v>28.745100000000001</v>
      </c>
      <c r="G2167" s="2">
        <v>9.3419699999999999</v>
      </c>
      <c r="H2167" s="2">
        <v>-1.6215200000000001</v>
      </c>
    </row>
    <row r="2168" spans="1:8" x14ac:dyDescent="0.2">
      <c r="A2168" s="2" t="s">
        <v>990</v>
      </c>
      <c r="B2168" s="2" t="s">
        <v>3015</v>
      </c>
      <c r="C2168" s="2" t="s">
        <v>2309</v>
      </c>
      <c r="D2168" s="2" t="s">
        <v>1839</v>
      </c>
      <c r="E2168" s="2" t="s">
        <v>1841</v>
      </c>
      <c r="F2168" s="2">
        <v>1.2685299999999999</v>
      </c>
      <c r="G2168" s="2">
        <v>0.41219800000000001</v>
      </c>
      <c r="H2168" s="2">
        <v>-1.62175</v>
      </c>
    </row>
    <row r="2169" spans="1:8" x14ac:dyDescent="0.2">
      <c r="A2169" s="2" t="s">
        <v>1130</v>
      </c>
      <c r="B2169" s="2" t="s">
        <v>3049</v>
      </c>
      <c r="C2169" s="2" t="s">
        <v>2365</v>
      </c>
      <c r="D2169" s="2" t="s">
        <v>1836</v>
      </c>
      <c r="E2169" s="2" t="s">
        <v>1838</v>
      </c>
      <c r="F2169" s="2">
        <v>1.2903800000000001</v>
      </c>
      <c r="G2169" s="2">
        <v>0.41879300000000003</v>
      </c>
      <c r="H2169" s="2">
        <v>-1.62348</v>
      </c>
    </row>
    <row r="2170" spans="1:8" x14ac:dyDescent="0.2">
      <c r="A2170" s="2" t="s">
        <v>250</v>
      </c>
      <c r="B2170" s="2" t="s">
        <v>3098</v>
      </c>
      <c r="C2170" s="2" t="s">
        <v>1962</v>
      </c>
      <c r="D2170" s="2" t="s">
        <v>1836</v>
      </c>
      <c r="E2170" s="2" t="s">
        <v>1837</v>
      </c>
      <c r="F2170" s="2">
        <v>1.2837000000000001</v>
      </c>
      <c r="G2170" s="2">
        <v>0.41604600000000003</v>
      </c>
      <c r="H2170" s="2">
        <v>-1.6254900000000001</v>
      </c>
    </row>
    <row r="2171" spans="1:8" x14ac:dyDescent="0.2">
      <c r="A2171" s="2" t="s">
        <v>38</v>
      </c>
      <c r="B2171" s="2" t="s">
        <v>3035</v>
      </c>
      <c r="C2171" s="2" t="s">
        <v>1892</v>
      </c>
      <c r="D2171" s="2" t="s">
        <v>1836</v>
      </c>
      <c r="E2171" s="2" t="s">
        <v>1838</v>
      </c>
      <c r="F2171" s="2">
        <v>44.583599999999997</v>
      </c>
      <c r="G2171" s="2">
        <v>14.430300000000001</v>
      </c>
      <c r="H2171" s="2">
        <v>-1.62741</v>
      </c>
    </row>
    <row r="2172" spans="1:8" x14ac:dyDescent="0.2">
      <c r="A2172" s="2" t="s">
        <v>1281</v>
      </c>
      <c r="B2172" s="2" t="s">
        <v>3015</v>
      </c>
      <c r="C2172" s="2" t="s">
        <v>2485</v>
      </c>
      <c r="D2172" s="2" t="s">
        <v>1836</v>
      </c>
      <c r="E2172" s="2" t="s">
        <v>1838</v>
      </c>
      <c r="F2172" s="2">
        <v>6.0064399999999996</v>
      </c>
      <c r="G2172" s="2">
        <v>1.94323</v>
      </c>
      <c r="H2172" s="2">
        <v>-1.62805</v>
      </c>
    </row>
    <row r="2173" spans="1:8" x14ac:dyDescent="0.2">
      <c r="A2173" s="2" t="s">
        <v>401</v>
      </c>
      <c r="B2173" s="2" t="s">
        <v>3015</v>
      </c>
      <c r="C2173" s="2" t="s">
        <v>3016</v>
      </c>
      <c r="D2173" s="2" t="s">
        <v>1836</v>
      </c>
      <c r="E2173" s="2" t="s">
        <v>1837</v>
      </c>
      <c r="F2173" s="2">
        <v>0.95647199999999999</v>
      </c>
      <c r="G2173" s="2">
        <v>0.30928800000000001</v>
      </c>
      <c r="H2173" s="2">
        <v>-1.6287700000000001</v>
      </c>
    </row>
    <row r="2174" spans="1:8" x14ac:dyDescent="0.2">
      <c r="A2174" s="2" t="s">
        <v>646</v>
      </c>
      <c r="B2174" s="2" t="s">
        <v>3182</v>
      </c>
      <c r="C2174" s="2" t="s">
        <v>2144</v>
      </c>
      <c r="D2174" s="2" t="s">
        <v>1836</v>
      </c>
      <c r="E2174" s="2" t="s">
        <v>1838</v>
      </c>
      <c r="F2174" s="2">
        <v>7.4388699999999996</v>
      </c>
      <c r="G2174" s="2">
        <v>2.4039100000000002</v>
      </c>
      <c r="H2174" s="2">
        <v>-1.6296999999999999</v>
      </c>
    </row>
    <row r="2175" spans="1:8" x14ac:dyDescent="0.2">
      <c r="A2175" s="2" t="s">
        <v>191</v>
      </c>
      <c r="B2175" s="2" t="s">
        <v>3015</v>
      </c>
      <c r="C2175" s="2" t="s">
        <v>3016</v>
      </c>
      <c r="D2175" s="2" t="s">
        <v>1836</v>
      </c>
      <c r="E2175" s="2" t="s">
        <v>1837</v>
      </c>
      <c r="F2175" s="2">
        <v>1.44875</v>
      </c>
      <c r="G2175" s="2">
        <v>0.46772399999999997</v>
      </c>
      <c r="H2175" s="2">
        <v>-1.6310800000000001</v>
      </c>
    </row>
    <row r="2176" spans="1:8" x14ac:dyDescent="0.2">
      <c r="A2176" s="2" t="s">
        <v>1328</v>
      </c>
      <c r="B2176" s="2" t="s">
        <v>3015</v>
      </c>
      <c r="C2176" s="2" t="s">
        <v>1875</v>
      </c>
      <c r="D2176" s="2" t="s">
        <v>1836</v>
      </c>
      <c r="E2176" s="2" t="s">
        <v>1838</v>
      </c>
      <c r="F2176" s="2">
        <v>3.2232400000000001</v>
      </c>
      <c r="G2176" s="2">
        <v>1.0396000000000001</v>
      </c>
      <c r="H2176" s="2">
        <v>-1.6324799999999999</v>
      </c>
    </row>
    <row r="2177" spans="1:8" x14ac:dyDescent="0.2">
      <c r="A2177" s="2" t="s">
        <v>748</v>
      </c>
      <c r="B2177" s="2" t="s">
        <v>3015</v>
      </c>
      <c r="C2177" s="2" t="s">
        <v>3015</v>
      </c>
      <c r="D2177" s="2" t="s">
        <v>1836</v>
      </c>
      <c r="E2177" s="2" t="s">
        <v>1837</v>
      </c>
      <c r="F2177" s="2">
        <v>4.5364699999999996</v>
      </c>
      <c r="G2177" s="2">
        <v>1.4626300000000001</v>
      </c>
      <c r="H2177" s="2">
        <v>-1.6330100000000001</v>
      </c>
    </row>
    <row r="2178" spans="1:8" x14ac:dyDescent="0.2">
      <c r="A2178" s="2" t="s">
        <v>206</v>
      </c>
      <c r="B2178" s="2" t="s">
        <v>3084</v>
      </c>
      <c r="C2178" s="2" t="s">
        <v>1941</v>
      </c>
      <c r="D2178" s="2" t="s">
        <v>1836</v>
      </c>
      <c r="E2178" s="2" t="s">
        <v>1837</v>
      </c>
      <c r="F2178" s="2">
        <v>4.0017699999999996</v>
      </c>
      <c r="G2178" s="2">
        <v>1.2899400000000001</v>
      </c>
      <c r="H2178" s="2">
        <v>-1.6333299999999999</v>
      </c>
    </row>
    <row r="2179" spans="1:8" x14ac:dyDescent="0.2">
      <c r="A2179" s="2" t="s">
        <v>292</v>
      </c>
      <c r="B2179" s="2" t="s">
        <v>3107</v>
      </c>
      <c r="C2179" s="2" t="s">
        <v>1978</v>
      </c>
      <c r="D2179" s="2" t="s">
        <v>1836</v>
      </c>
      <c r="E2179" s="2" t="s">
        <v>1837</v>
      </c>
      <c r="F2179" s="2">
        <v>1.8429</v>
      </c>
      <c r="G2179" s="2">
        <v>0.59233899999999995</v>
      </c>
      <c r="H2179" s="2">
        <v>-1.63748</v>
      </c>
    </row>
    <row r="2180" spans="1:8" x14ac:dyDescent="0.2">
      <c r="A2180" s="2" t="s">
        <v>1341</v>
      </c>
      <c r="B2180" s="2" t="s">
        <v>3081</v>
      </c>
      <c r="C2180" s="2" t="s">
        <v>2537</v>
      </c>
      <c r="D2180" s="2" t="s">
        <v>1836</v>
      </c>
      <c r="E2180" s="2" t="s">
        <v>1838</v>
      </c>
      <c r="F2180" s="2">
        <v>1.4122600000000001</v>
      </c>
      <c r="G2180" s="2">
        <v>0.453872</v>
      </c>
      <c r="H2180" s="2">
        <v>-1.6376500000000001</v>
      </c>
    </row>
    <row r="2181" spans="1:8" x14ac:dyDescent="0.2">
      <c r="A2181" s="2" t="s">
        <v>1155</v>
      </c>
      <c r="B2181" s="2" t="s">
        <v>3189</v>
      </c>
      <c r="C2181" s="2" t="s">
        <v>2389</v>
      </c>
      <c r="D2181" s="2" t="s">
        <v>1836</v>
      </c>
      <c r="E2181" s="2" t="s">
        <v>1838</v>
      </c>
      <c r="F2181" s="2">
        <v>1.12731</v>
      </c>
      <c r="G2181" s="2">
        <v>0.36174699999999999</v>
      </c>
      <c r="H2181" s="2">
        <v>-1.6398299999999999</v>
      </c>
    </row>
    <row r="2182" spans="1:8" x14ac:dyDescent="0.2">
      <c r="A2182" s="2" t="s">
        <v>133</v>
      </c>
      <c r="B2182" s="2" t="s">
        <v>3291</v>
      </c>
      <c r="C2182" s="2" t="s">
        <v>2404</v>
      </c>
      <c r="D2182" s="2" t="s">
        <v>1836</v>
      </c>
      <c r="E2182" s="2" t="s">
        <v>1838</v>
      </c>
      <c r="F2182" s="2">
        <v>2.7873399999999999</v>
      </c>
      <c r="G2182" s="2">
        <v>0.89385599999999998</v>
      </c>
      <c r="H2182" s="2">
        <v>-1.6407700000000001</v>
      </c>
    </row>
    <row r="2183" spans="1:8" x14ac:dyDescent="0.2">
      <c r="A2183" s="2" t="s">
        <v>521</v>
      </c>
      <c r="B2183" s="2" t="s">
        <v>3152</v>
      </c>
      <c r="C2183" s="2" t="s">
        <v>2089</v>
      </c>
      <c r="D2183" s="2" t="s">
        <v>1836</v>
      </c>
      <c r="E2183" s="2" t="s">
        <v>1837</v>
      </c>
      <c r="F2183" s="2">
        <v>1.17815</v>
      </c>
      <c r="G2183" s="2">
        <v>0.37748100000000001</v>
      </c>
      <c r="H2183" s="2">
        <v>-1.64205</v>
      </c>
    </row>
    <row r="2184" spans="1:8" x14ac:dyDescent="0.2">
      <c r="A2184" s="2" t="s">
        <v>759</v>
      </c>
      <c r="B2184" s="2" t="s">
        <v>3204</v>
      </c>
      <c r="C2184" s="2" t="s">
        <v>2190</v>
      </c>
      <c r="D2184" s="2" t="s">
        <v>1836</v>
      </c>
      <c r="E2184" s="2" t="s">
        <v>1838</v>
      </c>
      <c r="F2184" s="2">
        <v>10.7218</v>
      </c>
      <c r="G2184" s="2">
        <v>3.4334600000000002</v>
      </c>
      <c r="H2184" s="2">
        <v>-1.6428100000000001</v>
      </c>
    </row>
    <row r="2185" spans="1:8" x14ac:dyDescent="0.2">
      <c r="A2185" s="2" t="s">
        <v>943</v>
      </c>
      <c r="B2185" s="2" t="s">
        <v>3058</v>
      </c>
      <c r="C2185" s="2" t="s">
        <v>2018</v>
      </c>
      <c r="D2185" s="2" t="s">
        <v>1836</v>
      </c>
      <c r="E2185" s="2" t="s">
        <v>1837</v>
      </c>
      <c r="F2185" s="2">
        <v>7.7013999999999996</v>
      </c>
      <c r="G2185" s="2">
        <v>2.4658000000000002</v>
      </c>
      <c r="H2185" s="2">
        <v>-1.64307</v>
      </c>
    </row>
    <row r="2186" spans="1:8" x14ac:dyDescent="0.2">
      <c r="A2186" s="2" t="s">
        <v>226</v>
      </c>
      <c r="B2186" s="2" t="s">
        <v>3088</v>
      </c>
      <c r="C2186" s="2" t="s">
        <v>1949</v>
      </c>
      <c r="D2186" s="2" t="s">
        <v>1836</v>
      </c>
      <c r="E2186" s="2" t="s">
        <v>1837</v>
      </c>
      <c r="F2186" s="2">
        <v>2.8717700000000002</v>
      </c>
      <c r="G2186" s="2">
        <v>0.919157</v>
      </c>
      <c r="H2186" s="2">
        <v>-1.6435500000000001</v>
      </c>
    </row>
    <row r="2187" spans="1:8" x14ac:dyDescent="0.2">
      <c r="A2187" s="2" t="s">
        <v>842</v>
      </c>
      <c r="B2187" s="2" t="s">
        <v>3368</v>
      </c>
      <c r="C2187" s="2" t="s">
        <v>2502</v>
      </c>
      <c r="D2187" s="2" t="s">
        <v>1836</v>
      </c>
      <c r="E2187" s="2" t="s">
        <v>1838</v>
      </c>
      <c r="F2187" s="2">
        <v>9.3834</v>
      </c>
      <c r="G2187" s="2">
        <v>3.0026000000000002</v>
      </c>
      <c r="H2187" s="2">
        <v>-1.6438999999999999</v>
      </c>
    </row>
    <row r="2188" spans="1:8" x14ac:dyDescent="0.2">
      <c r="A2188" s="2" t="s">
        <v>1449</v>
      </c>
      <c r="B2188" s="2" t="s">
        <v>3379</v>
      </c>
      <c r="C2188" s="2" t="s">
        <v>2600</v>
      </c>
      <c r="D2188" s="2" t="s">
        <v>1836</v>
      </c>
      <c r="E2188" s="2" t="s">
        <v>1838</v>
      </c>
      <c r="F2188" s="2">
        <v>10.610799999999999</v>
      </c>
      <c r="G2188" s="2">
        <v>3.3929900000000002</v>
      </c>
      <c r="H2188" s="2">
        <v>-1.6449</v>
      </c>
    </row>
    <row r="2189" spans="1:8" x14ac:dyDescent="0.2">
      <c r="A2189" s="2" t="s">
        <v>342</v>
      </c>
      <c r="B2189" s="2" t="s">
        <v>3121</v>
      </c>
      <c r="C2189" s="2" t="s">
        <v>3016</v>
      </c>
      <c r="D2189" s="2" t="s">
        <v>1836</v>
      </c>
      <c r="E2189" s="2" t="s">
        <v>1837</v>
      </c>
      <c r="F2189" s="2">
        <v>8.3036999999999992</v>
      </c>
      <c r="G2189" s="2">
        <v>2.6521400000000002</v>
      </c>
      <c r="H2189" s="2">
        <v>-1.64659</v>
      </c>
    </row>
    <row r="2190" spans="1:8" x14ac:dyDescent="0.2">
      <c r="A2190" s="2" t="s">
        <v>953</v>
      </c>
      <c r="B2190" s="2" t="s">
        <v>3015</v>
      </c>
      <c r="C2190" s="2" t="s">
        <v>2288</v>
      </c>
      <c r="D2190" s="2" t="s">
        <v>1836</v>
      </c>
      <c r="E2190" s="2" t="s">
        <v>1837</v>
      </c>
      <c r="F2190" s="2">
        <v>3.8626299999999998</v>
      </c>
      <c r="G2190" s="2">
        <v>1.2318</v>
      </c>
      <c r="H2190" s="2">
        <v>-1.6488100000000001</v>
      </c>
    </row>
    <row r="2191" spans="1:8" x14ac:dyDescent="0.2">
      <c r="A2191" s="2" t="s">
        <v>830</v>
      </c>
      <c r="B2191" s="2" t="s">
        <v>3015</v>
      </c>
      <c r="C2191" s="2" t="s">
        <v>2005</v>
      </c>
      <c r="D2191" s="2" t="s">
        <v>1836</v>
      </c>
      <c r="E2191" s="2" t="s">
        <v>1838</v>
      </c>
      <c r="F2191" s="2">
        <v>2.8201299999999998</v>
      </c>
      <c r="G2191" s="2">
        <v>0.89882200000000001</v>
      </c>
      <c r="H2191" s="2">
        <v>-1.6496500000000001</v>
      </c>
    </row>
    <row r="2192" spans="1:8" x14ac:dyDescent="0.2">
      <c r="A2192" s="2" t="s">
        <v>801</v>
      </c>
      <c r="B2192" s="2" t="s">
        <v>3024</v>
      </c>
      <c r="C2192" s="2" t="s">
        <v>2053</v>
      </c>
      <c r="D2192" s="2" t="s">
        <v>1836</v>
      </c>
      <c r="E2192" s="2" t="s">
        <v>1837</v>
      </c>
      <c r="F2192" s="2">
        <v>1.1000700000000001</v>
      </c>
      <c r="G2192" s="2">
        <v>0.350462</v>
      </c>
      <c r="H2192" s="2">
        <v>-1.6502600000000001</v>
      </c>
    </row>
    <row r="2193" spans="1:8" x14ac:dyDescent="0.2">
      <c r="A2193" s="2" t="s">
        <v>1220</v>
      </c>
      <c r="B2193" s="2" t="s">
        <v>3015</v>
      </c>
      <c r="C2193" s="2" t="s">
        <v>1862</v>
      </c>
      <c r="D2193" s="2" t="s">
        <v>1836</v>
      </c>
      <c r="E2193" s="2" t="s">
        <v>1838</v>
      </c>
      <c r="F2193" s="2">
        <v>3.08724</v>
      </c>
      <c r="G2193" s="2">
        <v>0.98291099999999998</v>
      </c>
      <c r="H2193" s="2">
        <v>-1.6511800000000001</v>
      </c>
    </row>
    <row r="2194" spans="1:8" x14ac:dyDescent="0.2">
      <c r="A2194" s="2" t="s">
        <v>6</v>
      </c>
      <c r="B2194" s="2" t="s">
        <v>3024</v>
      </c>
      <c r="C2194" s="2" t="s">
        <v>1844</v>
      </c>
      <c r="D2194" s="2" t="s">
        <v>1839</v>
      </c>
      <c r="E2194" s="2" t="s">
        <v>1841</v>
      </c>
      <c r="F2194" s="2">
        <v>2.3382299999999998</v>
      </c>
      <c r="G2194" s="2">
        <v>0.74075599999999997</v>
      </c>
      <c r="H2194" s="2">
        <v>-1.65835</v>
      </c>
    </row>
    <row r="2195" spans="1:8" x14ac:dyDescent="0.2">
      <c r="A2195" s="2" t="s">
        <v>701</v>
      </c>
      <c r="B2195" s="2" t="s">
        <v>3015</v>
      </c>
      <c r="C2195" s="2" t="s">
        <v>2169</v>
      </c>
      <c r="D2195" s="2" t="s">
        <v>1836</v>
      </c>
      <c r="E2195" s="2" t="s">
        <v>1837</v>
      </c>
      <c r="F2195" s="2">
        <v>2.2369500000000002</v>
      </c>
      <c r="G2195" s="2">
        <v>0.70762199999999997</v>
      </c>
      <c r="H2195" s="2">
        <v>-1.66048</v>
      </c>
    </row>
    <row r="2196" spans="1:8" x14ac:dyDescent="0.2">
      <c r="A2196" s="2" t="s">
        <v>1501</v>
      </c>
      <c r="B2196" s="2" t="s">
        <v>3015</v>
      </c>
      <c r="C2196" s="2" t="s">
        <v>2455</v>
      </c>
      <c r="D2196" s="2" t="s">
        <v>1839</v>
      </c>
      <c r="E2196" s="2" t="s">
        <v>1841</v>
      </c>
      <c r="F2196" s="2">
        <v>1.1763699999999999</v>
      </c>
      <c r="G2196" s="2">
        <v>0.37171399999999999</v>
      </c>
      <c r="H2196" s="2">
        <v>-1.6620699999999999</v>
      </c>
    </row>
    <row r="2197" spans="1:8" x14ac:dyDescent="0.2">
      <c r="A2197" s="2" t="s">
        <v>871</v>
      </c>
      <c r="B2197" s="2" t="s">
        <v>3049</v>
      </c>
      <c r="C2197" s="2" t="s">
        <v>2246</v>
      </c>
      <c r="D2197" s="2" t="s">
        <v>1836</v>
      </c>
      <c r="E2197" s="2" t="s">
        <v>1837</v>
      </c>
      <c r="F2197" s="2">
        <v>35.804499999999997</v>
      </c>
      <c r="G2197" s="2">
        <v>11.3049</v>
      </c>
      <c r="H2197" s="2">
        <v>-1.6632</v>
      </c>
    </row>
    <row r="2198" spans="1:8" x14ac:dyDescent="0.2">
      <c r="A2198" s="2" t="s">
        <v>209</v>
      </c>
      <c r="B2198" s="2" t="s">
        <v>3015</v>
      </c>
      <c r="C2198" s="2" t="s">
        <v>2681</v>
      </c>
      <c r="D2198" s="2" t="s">
        <v>1839</v>
      </c>
      <c r="E2198" s="2" t="s">
        <v>1841</v>
      </c>
      <c r="F2198" s="2">
        <v>1.92746</v>
      </c>
      <c r="G2198" s="2">
        <v>0.608097</v>
      </c>
      <c r="H2198" s="2">
        <v>-1.6643300000000001</v>
      </c>
    </row>
    <row r="2199" spans="1:8" x14ac:dyDescent="0.2">
      <c r="A2199" s="2" t="s">
        <v>56</v>
      </c>
      <c r="B2199" s="2" t="s">
        <v>3040</v>
      </c>
      <c r="C2199" s="2" t="s">
        <v>1869</v>
      </c>
      <c r="D2199" s="2" t="s">
        <v>1836</v>
      </c>
      <c r="E2199" s="2" t="s">
        <v>1838</v>
      </c>
      <c r="F2199" s="2">
        <v>81.445899999999995</v>
      </c>
      <c r="G2199" s="2">
        <v>25.654900000000001</v>
      </c>
      <c r="H2199" s="2">
        <v>-1.6666099999999999</v>
      </c>
    </row>
    <row r="2200" spans="1:8" x14ac:dyDescent="0.2">
      <c r="A2200" s="2" t="s">
        <v>761</v>
      </c>
      <c r="B2200" s="2" t="s">
        <v>3015</v>
      </c>
      <c r="C2200" s="2" t="s">
        <v>2191</v>
      </c>
      <c r="D2200" s="2" t="s">
        <v>1839</v>
      </c>
      <c r="E2200" s="2" t="s">
        <v>1841</v>
      </c>
      <c r="F2200" s="2">
        <v>4.4885799999999998</v>
      </c>
      <c r="G2200" s="2">
        <v>1.41126</v>
      </c>
      <c r="H2200" s="2">
        <v>-1.66927</v>
      </c>
    </row>
    <row r="2201" spans="1:8" x14ac:dyDescent="0.2">
      <c r="A2201" s="2" t="s">
        <v>1172</v>
      </c>
      <c r="B2201" s="2" t="s">
        <v>3038</v>
      </c>
      <c r="C2201" s="2" t="s">
        <v>2402</v>
      </c>
      <c r="D2201" s="2" t="s">
        <v>1836</v>
      </c>
      <c r="E2201" s="2" t="s">
        <v>1838</v>
      </c>
      <c r="F2201" s="2">
        <v>4.6728100000000001</v>
      </c>
      <c r="G2201" s="2">
        <v>1.4662599999999999</v>
      </c>
      <c r="H2201" s="2">
        <v>-1.67215</v>
      </c>
    </row>
    <row r="2202" spans="1:8" x14ac:dyDescent="0.2">
      <c r="A2202" s="2" t="s">
        <v>1028</v>
      </c>
      <c r="B2202" s="2" t="s">
        <v>3015</v>
      </c>
      <c r="C2202" s="2" t="s">
        <v>2326</v>
      </c>
      <c r="D2202" s="2" t="s">
        <v>1836</v>
      </c>
      <c r="E2202" s="2" t="s">
        <v>1838</v>
      </c>
      <c r="F2202" s="2">
        <v>22.631</v>
      </c>
      <c r="G2202" s="2">
        <v>7.0976299999999997</v>
      </c>
      <c r="H2202" s="2">
        <v>-1.67289</v>
      </c>
    </row>
    <row r="2203" spans="1:8" x14ac:dyDescent="0.2">
      <c r="A2203" s="2" t="s">
        <v>230</v>
      </c>
      <c r="B2203" s="2" t="s">
        <v>3090</v>
      </c>
      <c r="C2203" s="2" t="s">
        <v>1951</v>
      </c>
      <c r="D2203" s="2" t="s">
        <v>1836</v>
      </c>
      <c r="E2203" s="2" t="s">
        <v>1837</v>
      </c>
      <c r="F2203" s="2">
        <v>52.3384</v>
      </c>
      <c r="G2203" s="2">
        <v>16.386700000000001</v>
      </c>
      <c r="H2203" s="2">
        <v>-1.6753499999999999</v>
      </c>
    </row>
    <row r="2204" spans="1:8" x14ac:dyDescent="0.2">
      <c r="A2204" s="2" t="s">
        <v>8</v>
      </c>
      <c r="B2204" s="2" t="s">
        <v>3015</v>
      </c>
      <c r="C2204" s="2" t="s">
        <v>3015</v>
      </c>
      <c r="D2204" s="2" t="s">
        <v>1836</v>
      </c>
      <c r="E2204" s="2" t="s">
        <v>1837</v>
      </c>
      <c r="F2204" s="2">
        <v>3.0423200000000001</v>
      </c>
      <c r="G2204" s="2">
        <v>0.95230999999999999</v>
      </c>
      <c r="H2204" s="2">
        <v>-1.67567</v>
      </c>
    </row>
    <row r="2205" spans="1:8" x14ac:dyDescent="0.2">
      <c r="A2205" s="2" t="s">
        <v>236</v>
      </c>
      <c r="B2205" s="2" t="s">
        <v>3094</v>
      </c>
      <c r="C2205" s="2" t="s">
        <v>1955</v>
      </c>
      <c r="D2205" s="2" t="s">
        <v>1836</v>
      </c>
      <c r="E2205" s="2" t="s">
        <v>1837</v>
      </c>
      <c r="F2205" s="2">
        <v>2.7602500000000001</v>
      </c>
      <c r="G2205" s="2">
        <v>0.86114900000000005</v>
      </c>
      <c r="H2205" s="2">
        <v>-1.6804600000000001</v>
      </c>
    </row>
    <row r="2206" spans="1:8" x14ac:dyDescent="0.2">
      <c r="A2206" s="2" t="s">
        <v>826</v>
      </c>
      <c r="B2206" s="2" t="s">
        <v>3015</v>
      </c>
      <c r="C2206" s="2" t="s">
        <v>2219</v>
      </c>
      <c r="D2206" s="2" t="s">
        <v>1836</v>
      </c>
      <c r="E2206" s="2" t="s">
        <v>1838</v>
      </c>
      <c r="F2206" s="2">
        <v>1.2563800000000001</v>
      </c>
      <c r="G2206" s="2">
        <v>0.39192500000000002</v>
      </c>
      <c r="H2206" s="2">
        <v>-1.68062</v>
      </c>
    </row>
    <row r="2207" spans="1:8" x14ac:dyDescent="0.2">
      <c r="A2207" s="2" t="s">
        <v>806</v>
      </c>
      <c r="B2207" s="2" t="s">
        <v>3015</v>
      </c>
      <c r="C2207" s="2" t="s">
        <v>3015</v>
      </c>
      <c r="D2207" s="2" t="s">
        <v>1836</v>
      </c>
      <c r="E2207" s="2" t="s">
        <v>1838</v>
      </c>
      <c r="F2207" s="2">
        <v>34.9771</v>
      </c>
      <c r="G2207" s="2">
        <v>10.886900000000001</v>
      </c>
      <c r="H2207" s="2">
        <v>-1.6838200000000001</v>
      </c>
    </row>
    <row r="2208" spans="1:8" x14ac:dyDescent="0.2">
      <c r="A2208" s="2" t="s">
        <v>33</v>
      </c>
      <c r="B2208" s="2" t="s">
        <v>3033</v>
      </c>
      <c r="C2208" s="2" t="s">
        <v>1858</v>
      </c>
      <c r="D2208" s="2" t="s">
        <v>1839</v>
      </c>
      <c r="E2208" s="2" t="s">
        <v>1841</v>
      </c>
      <c r="F2208" s="2">
        <v>1.06348</v>
      </c>
      <c r="G2208" s="2">
        <v>0.33099800000000001</v>
      </c>
      <c r="H2208" s="2">
        <v>-1.6838900000000001</v>
      </c>
    </row>
    <row r="2209" spans="1:8" x14ac:dyDescent="0.2">
      <c r="A2209" s="2" t="s">
        <v>1380</v>
      </c>
      <c r="B2209" s="2" t="s">
        <v>3024</v>
      </c>
      <c r="C2209" s="2" t="s">
        <v>2556</v>
      </c>
      <c r="D2209" s="2" t="s">
        <v>1836</v>
      </c>
      <c r="E2209" s="2" t="s">
        <v>1838</v>
      </c>
      <c r="F2209" s="2">
        <v>6.38462</v>
      </c>
      <c r="G2209" s="2">
        <v>1.9826600000000001</v>
      </c>
      <c r="H2209" s="2">
        <v>-1.68716</v>
      </c>
    </row>
    <row r="2210" spans="1:8" x14ac:dyDescent="0.2">
      <c r="A2210" s="2" t="s">
        <v>442</v>
      </c>
      <c r="B2210" s="2" t="s">
        <v>3015</v>
      </c>
      <c r="C2210" s="2" t="s">
        <v>1862</v>
      </c>
      <c r="D2210" s="2" t="s">
        <v>1839</v>
      </c>
      <c r="E2210" s="2" t="s">
        <v>1841</v>
      </c>
      <c r="F2210" s="2">
        <v>28.128</v>
      </c>
      <c r="G2210" s="2">
        <v>8.7301199999999994</v>
      </c>
      <c r="H2210" s="2">
        <v>-1.6879299999999999</v>
      </c>
    </row>
    <row r="2211" spans="1:8" x14ac:dyDescent="0.2">
      <c r="A2211" s="2" t="s">
        <v>230</v>
      </c>
      <c r="B2211" s="2" t="s">
        <v>3090</v>
      </c>
      <c r="C2211" s="2" t="s">
        <v>1951</v>
      </c>
      <c r="D2211" s="2" t="s">
        <v>1839</v>
      </c>
      <c r="E2211" s="2" t="s">
        <v>1841</v>
      </c>
      <c r="F2211" s="2">
        <v>22.0519</v>
      </c>
      <c r="G2211" s="2">
        <v>6.8376299999999999</v>
      </c>
      <c r="H2211" s="2">
        <v>-1.68933</v>
      </c>
    </row>
    <row r="2212" spans="1:8" x14ac:dyDescent="0.2">
      <c r="A2212" s="2" t="s">
        <v>964</v>
      </c>
      <c r="B2212" s="2" t="s">
        <v>3015</v>
      </c>
      <c r="C2212" s="2" t="s">
        <v>2296</v>
      </c>
      <c r="D2212" s="2" t="s">
        <v>1839</v>
      </c>
      <c r="E2212" s="2" t="s">
        <v>1841</v>
      </c>
      <c r="F2212" s="2">
        <v>5.8461299999999996</v>
      </c>
      <c r="G2212" s="2">
        <v>1.8121700000000001</v>
      </c>
      <c r="H2212" s="2">
        <v>-1.6897599999999999</v>
      </c>
    </row>
    <row r="2213" spans="1:8" x14ac:dyDescent="0.2">
      <c r="A2213" s="2" t="s">
        <v>931</v>
      </c>
      <c r="B2213" s="2" t="s">
        <v>3241</v>
      </c>
      <c r="C2213" s="2" t="s">
        <v>2279</v>
      </c>
      <c r="D2213" s="2" t="s">
        <v>1836</v>
      </c>
      <c r="E2213" s="2" t="s">
        <v>1837</v>
      </c>
      <c r="F2213" s="2">
        <v>10.908799999999999</v>
      </c>
      <c r="G2213" s="2">
        <v>3.3734899999999999</v>
      </c>
      <c r="H2213" s="2">
        <v>-1.6931799999999999</v>
      </c>
    </row>
    <row r="2214" spans="1:8" x14ac:dyDescent="0.2">
      <c r="A2214" s="2" t="s">
        <v>630</v>
      </c>
      <c r="B2214" s="2" t="s">
        <v>3179</v>
      </c>
      <c r="C2214" s="2" t="s">
        <v>2137</v>
      </c>
      <c r="D2214" s="2" t="s">
        <v>1836</v>
      </c>
      <c r="E2214" s="2" t="s">
        <v>1838</v>
      </c>
      <c r="F2214" s="2">
        <v>9.6281999999999996</v>
      </c>
      <c r="G2214" s="2">
        <v>2.9689000000000001</v>
      </c>
      <c r="H2214" s="2">
        <v>-1.6973400000000001</v>
      </c>
    </row>
    <row r="2215" spans="1:8" x14ac:dyDescent="0.2">
      <c r="A2215" s="2" t="s">
        <v>713</v>
      </c>
      <c r="B2215" s="2" t="s">
        <v>3015</v>
      </c>
      <c r="C2215" s="2" t="s">
        <v>2175</v>
      </c>
      <c r="D2215" s="2" t="s">
        <v>1836</v>
      </c>
      <c r="E2215" s="2" t="s">
        <v>1837</v>
      </c>
      <c r="F2215" s="2">
        <v>6.0875300000000001</v>
      </c>
      <c r="G2215" s="2">
        <v>1.87673</v>
      </c>
      <c r="H2215" s="2">
        <v>-1.69764</v>
      </c>
    </row>
    <row r="2216" spans="1:8" x14ac:dyDescent="0.2">
      <c r="A2216" s="2" t="s">
        <v>410</v>
      </c>
      <c r="B2216" s="2" t="s">
        <v>3015</v>
      </c>
      <c r="C2216" s="2" t="s">
        <v>3016</v>
      </c>
      <c r="D2216" s="2" t="s">
        <v>1839</v>
      </c>
      <c r="E2216" s="2" t="s">
        <v>1841</v>
      </c>
      <c r="F2216" s="2">
        <v>6.8853600000000004</v>
      </c>
      <c r="G2216" s="2">
        <v>2.11782</v>
      </c>
      <c r="H2216" s="2">
        <v>-1.70095</v>
      </c>
    </row>
    <row r="2217" spans="1:8" x14ac:dyDescent="0.2">
      <c r="A2217" s="2" t="s">
        <v>794</v>
      </c>
      <c r="B2217" s="2" t="s">
        <v>3015</v>
      </c>
      <c r="C2217" s="2" t="s">
        <v>2197</v>
      </c>
      <c r="D2217" s="2" t="s">
        <v>1839</v>
      </c>
      <c r="E2217" s="2" t="s">
        <v>1840</v>
      </c>
      <c r="F2217" s="2">
        <v>7.4331100000000001</v>
      </c>
      <c r="G2217" s="2">
        <v>2.2809499999999998</v>
      </c>
      <c r="H2217" s="2">
        <v>-1.7043299999999999</v>
      </c>
    </row>
    <row r="2218" spans="1:8" x14ac:dyDescent="0.2">
      <c r="A2218" s="2" t="s">
        <v>1241</v>
      </c>
      <c r="B2218" s="2" t="s">
        <v>3100</v>
      </c>
      <c r="C2218" s="2" t="s">
        <v>2449</v>
      </c>
      <c r="D2218" s="2" t="s">
        <v>1836</v>
      </c>
      <c r="E2218" s="2" t="s">
        <v>1838</v>
      </c>
      <c r="F2218" s="2">
        <v>5.4743500000000003</v>
      </c>
      <c r="G2218" s="2">
        <v>1.6683600000000001</v>
      </c>
      <c r="H2218" s="2">
        <v>-1.7142599999999999</v>
      </c>
    </row>
    <row r="2219" spans="1:8" x14ac:dyDescent="0.2">
      <c r="A2219" s="2" t="s">
        <v>65</v>
      </c>
      <c r="B2219" s="2" t="s">
        <v>3015</v>
      </c>
      <c r="C2219" s="2" t="s">
        <v>1876</v>
      </c>
      <c r="D2219" s="2" t="s">
        <v>1836</v>
      </c>
      <c r="E2219" s="2" t="s">
        <v>1838</v>
      </c>
      <c r="F2219" s="2">
        <v>17.822399999999998</v>
      </c>
      <c r="G2219" s="2">
        <v>5.4240399999999998</v>
      </c>
      <c r="H2219" s="2">
        <v>-1.7162500000000001</v>
      </c>
    </row>
    <row r="2220" spans="1:8" x14ac:dyDescent="0.2">
      <c r="A2220" s="2" t="s">
        <v>499</v>
      </c>
      <c r="B2220" s="2" t="s">
        <v>3015</v>
      </c>
      <c r="C2220" s="2" t="s">
        <v>2079</v>
      </c>
      <c r="D2220" s="2" t="s">
        <v>1839</v>
      </c>
      <c r="E2220" s="2" t="s">
        <v>1841</v>
      </c>
      <c r="F2220" s="2">
        <v>19.516300000000001</v>
      </c>
      <c r="G2220" s="2">
        <v>5.9176200000000003</v>
      </c>
      <c r="H2220" s="2">
        <v>-1.72159</v>
      </c>
    </row>
    <row r="2221" spans="1:8" x14ac:dyDescent="0.2">
      <c r="A2221" s="2" t="s">
        <v>931</v>
      </c>
      <c r="B2221" s="2" t="s">
        <v>3241</v>
      </c>
      <c r="C2221" s="2" t="s">
        <v>2279</v>
      </c>
      <c r="D2221" s="2" t="s">
        <v>1836</v>
      </c>
      <c r="E2221" s="2" t="s">
        <v>1838</v>
      </c>
      <c r="F2221" s="2">
        <v>10.908799999999999</v>
      </c>
      <c r="G2221" s="2">
        <v>3.30714</v>
      </c>
      <c r="H2221" s="2">
        <v>-1.72184</v>
      </c>
    </row>
    <row r="2222" spans="1:8" x14ac:dyDescent="0.2">
      <c r="A2222" s="2" t="s">
        <v>1654</v>
      </c>
      <c r="B2222" s="2" t="s">
        <v>3015</v>
      </c>
      <c r="C2222" s="2" t="s">
        <v>2821</v>
      </c>
      <c r="D2222" s="2" t="s">
        <v>1839</v>
      </c>
      <c r="E2222" s="2" t="s">
        <v>1841</v>
      </c>
      <c r="F2222" s="2">
        <v>1.13381</v>
      </c>
      <c r="G2222" s="2">
        <v>0.34300900000000001</v>
      </c>
      <c r="H2222" s="2">
        <v>-1.72485</v>
      </c>
    </row>
    <row r="2223" spans="1:8" x14ac:dyDescent="0.2">
      <c r="A2223" s="2" t="s">
        <v>1046</v>
      </c>
      <c r="B2223" s="2" t="s">
        <v>3073</v>
      </c>
      <c r="C2223" s="2" t="s">
        <v>2334</v>
      </c>
      <c r="D2223" s="2" t="s">
        <v>1836</v>
      </c>
      <c r="E2223" s="2" t="s">
        <v>1837</v>
      </c>
      <c r="F2223" s="2">
        <v>5.6726799999999997</v>
      </c>
      <c r="G2223" s="2">
        <v>1.7147699999999999</v>
      </c>
      <c r="H2223" s="2">
        <v>-1.7260200000000001</v>
      </c>
    </row>
    <row r="2224" spans="1:8" x14ac:dyDescent="0.2">
      <c r="A2224" s="2" t="s">
        <v>960</v>
      </c>
      <c r="B2224" s="2" t="s">
        <v>3038</v>
      </c>
      <c r="C2224" s="2" t="s">
        <v>2293</v>
      </c>
      <c r="D2224" s="2" t="s">
        <v>1836</v>
      </c>
      <c r="E2224" s="2" t="s">
        <v>1837</v>
      </c>
      <c r="F2224" s="2">
        <v>12.0421</v>
      </c>
      <c r="G2224" s="2">
        <v>3.6397599999999999</v>
      </c>
      <c r="H2224" s="2">
        <v>-1.72617</v>
      </c>
    </row>
    <row r="2225" spans="1:8" x14ac:dyDescent="0.2">
      <c r="A2225" s="2" t="s">
        <v>909</v>
      </c>
      <c r="B2225" s="2" t="s">
        <v>3015</v>
      </c>
      <c r="C2225" s="2" t="s">
        <v>2265</v>
      </c>
      <c r="D2225" s="2" t="s">
        <v>1836</v>
      </c>
      <c r="E2225" s="2" t="s">
        <v>1837</v>
      </c>
      <c r="F2225" s="2">
        <v>1.6230100000000001</v>
      </c>
      <c r="G2225" s="2">
        <v>0.49054999999999999</v>
      </c>
      <c r="H2225" s="2">
        <v>-1.7262</v>
      </c>
    </row>
    <row r="2226" spans="1:8" x14ac:dyDescent="0.2">
      <c r="A2226" s="2" t="s">
        <v>1650</v>
      </c>
      <c r="B2226" s="2" t="s">
        <v>3166</v>
      </c>
      <c r="C2226" s="2" t="s">
        <v>2114</v>
      </c>
      <c r="D2226" s="2" t="s">
        <v>1839</v>
      </c>
      <c r="E2226" s="2" t="s">
        <v>1841</v>
      </c>
      <c r="F2226" s="2">
        <v>1.03796</v>
      </c>
      <c r="G2226" s="2">
        <v>0.31313200000000002</v>
      </c>
      <c r="H2226" s="2">
        <v>-1.7289099999999999</v>
      </c>
    </row>
    <row r="2227" spans="1:8" x14ac:dyDescent="0.2">
      <c r="A2227" s="2" t="s">
        <v>1283</v>
      </c>
      <c r="B2227" s="2" t="s">
        <v>3081</v>
      </c>
      <c r="C2227" s="2" t="s">
        <v>2489</v>
      </c>
      <c r="D2227" s="2" t="s">
        <v>1836</v>
      </c>
      <c r="E2227" s="2" t="s">
        <v>1838</v>
      </c>
      <c r="F2227" s="2">
        <v>1.00528</v>
      </c>
      <c r="G2227" s="2">
        <v>0.302873</v>
      </c>
      <c r="H2227" s="2">
        <v>-1.73081</v>
      </c>
    </row>
    <row r="2228" spans="1:8" x14ac:dyDescent="0.2">
      <c r="A2228" s="2" t="s">
        <v>565</v>
      </c>
      <c r="B2228" s="2" t="s">
        <v>3161</v>
      </c>
      <c r="C2228" s="2" t="s">
        <v>2109</v>
      </c>
      <c r="D2228" s="2" t="s">
        <v>1836</v>
      </c>
      <c r="E2228" s="2" t="s">
        <v>1838</v>
      </c>
      <c r="F2228" s="2">
        <v>1.6105</v>
      </c>
      <c r="G2228" s="2">
        <v>0.48347200000000001</v>
      </c>
      <c r="H2228" s="2">
        <v>-1.736</v>
      </c>
    </row>
    <row r="2229" spans="1:8" x14ac:dyDescent="0.2">
      <c r="A2229" s="2" t="s">
        <v>429</v>
      </c>
      <c r="B2229" s="2" t="s">
        <v>3094</v>
      </c>
      <c r="C2229" s="2" t="s">
        <v>2042</v>
      </c>
      <c r="D2229" s="2" t="s">
        <v>1839</v>
      </c>
      <c r="E2229" s="2" t="s">
        <v>1840</v>
      </c>
      <c r="F2229" s="2">
        <v>3.6671900000000002</v>
      </c>
      <c r="G2229" s="2">
        <v>1.09918</v>
      </c>
      <c r="H2229" s="2">
        <v>-1.7382500000000001</v>
      </c>
    </row>
    <row r="2230" spans="1:8" x14ac:dyDescent="0.2">
      <c r="A2230" s="2" t="s">
        <v>913</v>
      </c>
      <c r="B2230" s="2" t="s">
        <v>3235</v>
      </c>
      <c r="C2230" s="2" t="s">
        <v>2267</v>
      </c>
      <c r="D2230" s="2" t="s">
        <v>1836</v>
      </c>
      <c r="E2230" s="2" t="s">
        <v>1838</v>
      </c>
      <c r="F2230" s="2">
        <v>5.3484499999999997</v>
      </c>
      <c r="G2230" s="2">
        <v>1.6</v>
      </c>
      <c r="H2230" s="2">
        <v>-1.74105</v>
      </c>
    </row>
    <row r="2231" spans="1:8" x14ac:dyDescent="0.2">
      <c r="A2231" s="2" t="s">
        <v>348</v>
      </c>
      <c r="B2231" s="2" t="s">
        <v>3015</v>
      </c>
      <c r="C2231" s="2" t="s">
        <v>2005</v>
      </c>
      <c r="D2231" s="2" t="s">
        <v>1836</v>
      </c>
      <c r="E2231" s="2" t="s">
        <v>1838</v>
      </c>
      <c r="F2231" s="2">
        <v>10.125400000000001</v>
      </c>
      <c r="G2231" s="2">
        <v>3.0287500000000001</v>
      </c>
      <c r="H2231" s="2">
        <v>-1.7411799999999999</v>
      </c>
    </row>
    <row r="2232" spans="1:8" x14ac:dyDescent="0.2">
      <c r="A2232" s="2" t="s">
        <v>443</v>
      </c>
      <c r="B2232" s="2" t="s">
        <v>3139</v>
      </c>
      <c r="C2232" s="2" t="s">
        <v>2048</v>
      </c>
      <c r="D2232" s="2" t="s">
        <v>1836</v>
      </c>
      <c r="E2232" s="2" t="s">
        <v>1837</v>
      </c>
      <c r="F2232" s="2">
        <v>26.4116</v>
      </c>
      <c r="G2232" s="2">
        <v>7.88727</v>
      </c>
      <c r="H2232" s="2">
        <v>-1.7435700000000001</v>
      </c>
    </row>
    <row r="2233" spans="1:8" x14ac:dyDescent="0.2">
      <c r="A2233" s="2" t="s">
        <v>1135</v>
      </c>
      <c r="B2233" s="2" t="s">
        <v>3015</v>
      </c>
      <c r="C2233" s="2" t="s">
        <v>2370</v>
      </c>
      <c r="D2233" s="2" t="s">
        <v>1836</v>
      </c>
      <c r="E2233" s="2" t="s">
        <v>1838</v>
      </c>
      <c r="F2233" s="2">
        <v>1.22997</v>
      </c>
      <c r="G2233" s="2">
        <v>0.36692900000000001</v>
      </c>
      <c r="H2233" s="2">
        <v>-1.74505</v>
      </c>
    </row>
    <row r="2234" spans="1:8" x14ac:dyDescent="0.2">
      <c r="A2234" s="2" t="s">
        <v>1665</v>
      </c>
      <c r="B2234" s="2" t="s">
        <v>3062</v>
      </c>
      <c r="C2234" s="2" t="s">
        <v>2997</v>
      </c>
      <c r="D2234" s="2" t="s">
        <v>1839</v>
      </c>
      <c r="E2234" s="2" t="s">
        <v>1840</v>
      </c>
      <c r="F2234" s="2">
        <v>1.8363700000000001</v>
      </c>
      <c r="G2234" s="2">
        <v>0.54770200000000002</v>
      </c>
      <c r="H2234" s="2">
        <v>-1.74539</v>
      </c>
    </row>
    <row r="2235" spans="1:8" x14ac:dyDescent="0.2">
      <c r="A2235" s="2" t="s">
        <v>1033</v>
      </c>
      <c r="B2235" s="2" t="s">
        <v>3261</v>
      </c>
      <c r="C2235" s="2" t="s">
        <v>2329</v>
      </c>
      <c r="D2235" s="2" t="s">
        <v>1836</v>
      </c>
      <c r="E2235" s="2" t="s">
        <v>1837</v>
      </c>
      <c r="F2235" s="2">
        <v>20.3626</v>
      </c>
      <c r="G2235" s="2">
        <v>6.0663</v>
      </c>
      <c r="H2235" s="2">
        <v>-1.7470300000000001</v>
      </c>
    </row>
    <row r="2236" spans="1:8" x14ac:dyDescent="0.2">
      <c r="A2236" s="2" t="s">
        <v>1076</v>
      </c>
      <c r="B2236" s="2" t="s">
        <v>3266</v>
      </c>
      <c r="C2236" s="2" t="s">
        <v>2347</v>
      </c>
      <c r="D2236" s="2" t="s">
        <v>1836</v>
      </c>
      <c r="E2236" s="2" t="s">
        <v>1837</v>
      </c>
      <c r="F2236" s="2">
        <v>1.0552600000000001</v>
      </c>
      <c r="G2236" s="2">
        <v>0.313948</v>
      </c>
      <c r="H2236" s="2">
        <v>-1.74899</v>
      </c>
    </row>
    <row r="2237" spans="1:8" x14ac:dyDescent="0.2">
      <c r="A2237" s="2" t="s">
        <v>428</v>
      </c>
      <c r="B2237" s="2" t="s">
        <v>3080</v>
      </c>
      <c r="C2237" s="2" t="s">
        <v>2041</v>
      </c>
      <c r="D2237" s="2" t="s">
        <v>1836</v>
      </c>
      <c r="E2237" s="2" t="s">
        <v>1838</v>
      </c>
      <c r="F2237" s="2">
        <v>1.51708</v>
      </c>
      <c r="G2237" s="2">
        <v>0.45058500000000001</v>
      </c>
      <c r="H2237" s="2">
        <v>-1.75142</v>
      </c>
    </row>
    <row r="2238" spans="1:8" x14ac:dyDescent="0.2">
      <c r="A2238" s="2" t="s">
        <v>988</v>
      </c>
      <c r="B2238" s="2" t="s">
        <v>3047</v>
      </c>
      <c r="C2238" s="2" t="s">
        <v>2277</v>
      </c>
      <c r="D2238" s="2" t="s">
        <v>1836</v>
      </c>
      <c r="E2238" s="2" t="s">
        <v>1837</v>
      </c>
      <c r="F2238" s="2">
        <v>9.5418099999999999</v>
      </c>
      <c r="G2238" s="2">
        <v>2.8335499999999998</v>
      </c>
      <c r="H2238" s="2">
        <v>-1.7516499999999999</v>
      </c>
    </row>
    <row r="2239" spans="1:8" x14ac:dyDescent="0.2">
      <c r="A2239" s="2" t="s">
        <v>1354</v>
      </c>
      <c r="B2239" s="2" t="s">
        <v>3015</v>
      </c>
      <c r="C2239" s="2" t="s">
        <v>3016</v>
      </c>
      <c r="D2239" s="2" t="s">
        <v>1836</v>
      </c>
      <c r="E2239" s="2" t="s">
        <v>1838</v>
      </c>
      <c r="F2239" s="2">
        <v>1.5977399999999999</v>
      </c>
      <c r="G2239" s="2">
        <v>0.47414499999999998</v>
      </c>
      <c r="H2239" s="2">
        <v>-1.7526299999999999</v>
      </c>
    </row>
    <row r="2240" spans="1:8" x14ac:dyDescent="0.2">
      <c r="A2240" s="2" t="s">
        <v>641</v>
      </c>
      <c r="B2240" s="2" t="s">
        <v>3015</v>
      </c>
      <c r="C2240" s="2" t="s">
        <v>3015</v>
      </c>
      <c r="D2240" s="2" t="s">
        <v>1836</v>
      </c>
      <c r="E2240" s="2" t="s">
        <v>1837</v>
      </c>
      <c r="F2240" s="2">
        <v>7.6719099999999996</v>
      </c>
      <c r="G2240" s="2">
        <v>2.2728299999999999</v>
      </c>
      <c r="H2240" s="2">
        <v>-1.7551000000000001</v>
      </c>
    </row>
    <row r="2241" spans="1:8" x14ac:dyDescent="0.2">
      <c r="A2241" s="2" t="s">
        <v>1801</v>
      </c>
      <c r="B2241" s="2" t="s">
        <v>3026</v>
      </c>
      <c r="C2241" s="2" t="s">
        <v>2979</v>
      </c>
      <c r="D2241" s="2" t="s">
        <v>1839</v>
      </c>
      <c r="E2241" s="2" t="s">
        <v>1840</v>
      </c>
      <c r="F2241" s="2">
        <v>1.05522</v>
      </c>
      <c r="G2241" s="2">
        <v>0.31259700000000001</v>
      </c>
      <c r="H2241" s="2">
        <v>-1.75518</v>
      </c>
    </row>
    <row r="2242" spans="1:8" x14ac:dyDescent="0.2">
      <c r="A2242" s="2" t="s">
        <v>1280</v>
      </c>
      <c r="B2242" s="2" t="s">
        <v>3030</v>
      </c>
      <c r="C2242" s="2" t="s">
        <v>2776</v>
      </c>
      <c r="D2242" s="2" t="s">
        <v>1839</v>
      </c>
      <c r="E2242" s="2" t="s">
        <v>1841</v>
      </c>
      <c r="F2242" s="2">
        <v>121.669</v>
      </c>
      <c r="G2242" s="2">
        <v>36.0229</v>
      </c>
      <c r="H2242" s="2">
        <v>-1.75597</v>
      </c>
    </row>
    <row r="2243" spans="1:8" x14ac:dyDescent="0.2">
      <c r="A2243" s="2" t="s">
        <v>914</v>
      </c>
      <c r="B2243" s="2" t="s">
        <v>3015</v>
      </c>
      <c r="C2243" s="2" t="s">
        <v>2268</v>
      </c>
      <c r="D2243" s="2" t="s">
        <v>1836</v>
      </c>
      <c r="E2243" s="2" t="s">
        <v>1837</v>
      </c>
      <c r="F2243" s="2">
        <v>1.7861400000000001</v>
      </c>
      <c r="G2243" s="2">
        <v>0.52727900000000005</v>
      </c>
      <c r="H2243" s="2">
        <v>-1.7602</v>
      </c>
    </row>
    <row r="2244" spans="1:8" x14ac:dyDescent="0.2">
      <c r="A2244" s="2" t="s">
        <v>721</v>
      </c>
      <c r="B2244" s="2" t="s">
        <v>3305</v>
      </c>
      <c r="C2244" s="2" t="s">
        <v>2429</v>
      </c>
      <c r="D2244" s="2" t="s">
        <v>1836</v>
      </c>
      <c r="E2244" s="2" t="s">
        <v>1838</v>
      </c>
      <c r="F2244" s="2">
        <v>4.9817099999999996</v>
      </c>
      <c r="G2244" s="2">
        <v>1.47048</v>
      </c>
      <c r="H2244" s="2">
        <v>-1.7603500000000001</v>
      </c>
    </row>
    <row r="2245" spans="1:8" x14ac:dyDescent="0.2">
      <c r="A2245" s="2" t="s">
        <v>428</v>
      </c>
      <c r="B2245" s="2" t="s">
        <v>3080</v>
      </c>
      <c r="C2245" s="2" t="s">
        <v>2041</v>
      </c>
      <c r="D2245" s="2" t="s">
        <v>1836</v>
      </c>
      <c r="E2245" s="2" t="s">
        <v>1837</v>
      </c>
      <c r="F2245" s="2">
        <v>1.51708</v>
      </c>
      <c r="G2245" s="2">
        <v>0.44758599999999998</v>
      </c>
      <c r="H2245" s="2">
        <v>-1.7610600000000001</v>
      </c>
    </row>
    <row r="2246" spans="1:8" x14ac:dyDescent="0.2">
      <c r="A2246" s="2" t="s">
        <v>1016</v>
      </c>
      <c r="B2246" s="2" t="s">
        <v>3038</v>
      </c>
      <c r="C2246" s="2" t="s">
        <v>2320</v>
      </c>
      <c r="D2246" s="2" t="s">
        <v>1836</v>
      </c>
      <c r="E2246" s="2" t="s">
        <v>1837</v>
      </c>
      <c r="F2246" s="2">
        <v>1.04027</v>
      </c>
      <c r="G2246" s="2">
        <v>0.30686200000000002</v>
      </c>
      <c r="H2246" s="2">
        <v>-1.76129</v>
      </c>
    </row>
    <row r="2247" spans="1:8" x14ac:dyDescent="0.2">
      <c r="A2247" s="2" t="s">
        <v>1010</v>
      </c>
      <c r="B2247" s="2" t="s">
        <v>3015</v>
      </c>
      <c r="C2247" s="2" t="s">
        <v>1915</v>
      </c>
      <c r="D2247" s="2" t="s">
        <v>1836</v>
      </c>
      <c r="E2247" s="2" t="s">
        <v>1838</v>
      </c>
      <c r="F2247" s="2">
        <v>1.31871</v>
      </c>
      <c r="G2247" s="2">
        <v>0.38899699999999998</v>
      </c>
      <c r="H2247" s="2">
        <v>-1.76129</v>
      </c>
    </row>
    <row r="2248" spans="1:8" x14ac:dyDescent="0.2">
      <c r="A2248" s="2" t="s">
        <v>1255</v>
      </c>
      <c r="B2248" s="2" t="s">
        <v>3038</v>
      </c>
      <c r="C2248" s="2" t="s">
        <v>1847</v>
      </c>
      <c r="D2248" s="2" t="s">
        <v>1836</v>
      </c>
      <c r="E2248" s="2" t="s">
        <v>1838</v>
      </c>
      <c r="F2248" s="2">
        <v>4.0916899999999998</v>
      </c>
      <c r="G2248" s="2">
        <v>1.2051000000000001</v>
      </c>
      <c r="H2248" s="2">
        <v>-1.7635400000000001</v>
      </c>
    </row>
    <row r="2249" spans="1:8" x14ac:dyDescent="0.2">
      <c r="A2249" s="2" t="s">
        <v>1406</v>
      </c>
      <c r="B2249" s="2" t="s">
        <v>3209</v>
      </c>
      <c r="C2249" s="2" t="s">
        <v>2580</v>
      </c>
      <c r="D2249" s="2" t="s">
        <v>1836</v>
      </c>
      <c r="E2249" s="2" t="s">
        <v>1838</v>
      </c>
      <c r="F2249" s="2">
        <v>8.4133800000000001</v>
      </c>
      <c r="G2249" s="2">
        <v>2.47749</v>
      </c>
      <c r="H2249" s="2">
        <v>-1.7638</v>
      </c>
    </row>
    <row r="2250" spans="1:8" x14ac:dyDescent="0.2">
      <c r="A2250" s="2" t="s">
        <v>1440</v>
      </c>
      <c r="B2250" s="2" t="s">
        <v>3015</v>
      </c>
      <c r="C2250" s="2" t="s">
        <v>2299</v>
      </c>
      <c r="D2250" s="2" t="s">
        <v>1836</v>
      </c>
      <c r="E2250" s="2" t="s">
        <v>1838</v>
      </c>
      <c r="F2250" s="2">
        <v>0.98548800000000003</v>
      </c>
      <c r="G2250" s="2">
        <v>0.28969299999999998</v>
      </c>
      <c r="H2250" s="2">
        <v>-1.76631</v>
      </c>
    </row>
    <row r="2251" spans="1:8" x14ac:dyDescent="0.2">
      <c r="A2251" s="2" t="s">
        <v>843</v>
      </c>
      <c r="B2251" s="2" t="s">
        <v>3032</v>
      </c>
      <c r="C2251" s="2" t="s">
        <v>2230</v>
      </c>
      <c r="D2251" s="2" t="s">
        <v>1836</v>
      </c>
      <c r="E2251" s="2" t="s">
        <v>1837</v>
      </c>
      <c r="F2251" s="2">
        <v>0.96376499999999998</v>
      </c>
      <c r="G2251" s="2">
        <v>0.28293000000000001</v>
      </c>
      <c r="H2251" s="2">
        <v>-1.76824</v>
      </c>
    </row>
    <row r="2252" spans="1:8" x14ac:dyDescent="0.2">
      <c r="A2252" s="2" t="s">
        <v>1716</v>
      </c>
      <c r="B2252" s="2" t="s">
        <v>3015</v>
      </c>
      <c r="C2252" s="2" t="s">
        <v>2202</v>
      </c>
      <c r="D2252" s="2" t="s">
        <v>1839</v>
      </c>
      <c r="E2252" s="2" t="s">
        <v>1841</v>
      </c>
      <c r="F2252" s="2">
        <v>10.684799999999999</v>
      </c>
      <c r="G2252" s="2">
        <v>3.12906</v>
      </c>
      <c r="H2252" s="2">
        <v>-1.7717499999999999</v>
      </c>
    </row>
    <row r="2253" spans="1:8" x14ac:dyDescent="0.2">
      <c r="A2253" s="2" t="s">
        <v>1116</v>
      </c>
      <c r="B2253" s="2" t="s">
        <v>3039</v>
      </c>
      <c r="C2253" s="2" t="s">
        <v>2105</v>
      </c>
      <c r="D2253" s="2" t="s">
        <v>1836</v>
      </c>
      <c r="E2253" s="2" t="s">
        <v>1837</v>
      </c>
      <c r="F2253" s="2">
        <v>1.7441899999999999</v>
      </c>
      <c r="G2253" s="2">
        <v>0.51059200000000005</v>
      </c>
      <c r="H2253" s="2">
        <v>-1.7723100000000001</v>
      </c>
    </row>
    <row r="2254" spans="1:8" x14ac:dyDescent="0.2">
      <c r="A2254" s="2" t="s">
        <v>1082</v>
      </c>
      <c r="B2254" s="2" t="s">
        <v>3015</v>
      </c>
      <c r="C2254" s="2" t="s">
        <v>2349</v>
      </c>
      <c r="D2254" s="2" t="s">
        <v>1836</v>
      </c>
      <c r="E2254" s="2" t="s">
        <v>1838</v>
      </c>
      <c r="F2254" s="2">
        <v>26.3996</v>
      </c>
      <c r="G2254" s="2">
        <v>7.72431</v>
      </c>
      <c r="H2254" s="2">
        <v>-1.7730399999999999</v>
      </c>
    </row>
    <row r="2255" spans="1:8" x14ac:dyDescent="0.2">
      <c r="A2255" s="2" t="s">
        <v>888</v>
      </c>
      <c r="B2255" s="2" t="s">
        <v>3015</v>
      </c>
      <c r="C2255" s="2" t="s">
        <v>3016</v>
      </c>
      <c r="D2255" s="2" t="s">
        <v>1839</v>
      </c>
      <c r="E2255" s="2" t="s">
        <v>1841</v>
      </c>
      <c r="F2255" s="2">
        <v>1.62503</v>
      </c>
      <c r="G2255" s="2">
        <v>0.47545399999999999</v>
      </c>
      <c r="H2255" s="2">
        <v>-1.7730900000000001</v>
      </c>
    </row>
    <row r="2256" spans="1:8" x14ac:dyDescent="0.2">
      <c r="A2256" s="2" t="s">
        <v>1237</v>
      </c>
      <c r="B2256" s="2" t="s">
        <v>3313</v>
      </c>
      <c r="C2256" s="2" t="s">
        <v>2445</v>
      </c>
      <c r="D2256" s="2" t="s">
        <v>1836</v>
      </c>
      <c r="E2256" s="2" t="s">
        <v>1838</v>
      </c>
      <c r="F2256" s="2">
        <v>13.1112</v>
      </c>
      <c r="G2256" s="2">
        <v>3.8327800000000001</v>
      </c>
      <c r="H2256" s="2">
        <v>-1.77433</v>
      </c>
    </row>
    <row r="2257" spans="1:8" x14ac:dyDescent="0.2">
      <c r="A2257" s="2" t="s">
        <v>1020</v>
      </c>
      <c r="B2257" s="2" t="s">
        <v>3015</v>
      </c>
      <c r="C2257" s="2" t="s">
        <v>2322</v>
      </c>
      <c r="D2257" s="2" t="s">
        <v>1839</v>
      </c>
      <c r="E2257" s="2" t="s">
        <v>1841</v>
      </c>
      <c r="F2257" s="2">
        <v>94.046199999999999</v>
      </c>
      <c r="G2257" s="2">
        <v>27.4924</v>
      </c>
      <c r="H2257" s="2">
        <v>-1.77433</v>
      </c>
    </row>
    <row r="2258" spans="1:8" x14ac:dyDescent="0.2">
      <c r="A2258" s="2" t="s">
        <v>1259</v>
      </c>
      <c r="B2258" s="2" t="s">
        <v>3015</v>
      </c>
      <c r="C2258" s="2" t="s">
        <v>3016</v>
      </c>
      <c r="D2258" s="2" t="s">
        <v>1836</v>
      </c>
      <c r="E2258" s="2" t="s">
        <v>1838</v>
      </c>
      <c r="F2258" s="2">
        <v>6.1408100000000001</v>
      </c>
      <c r="G2258" s="2">
        <v>1.7945500000000001</v>
      </c>
      <c r="H2258" s="2">
        <v>-1.77481</v>
      </c>
    </row>
    <row r="2259" spans="1:8" x14ac:dyDescent="0.2">
      <c r="A2259" s="2" t="s">
        <v>1019</v>
      </c>
      <c r="B2259" s="2" t="s">
        <v>3025</v>
      </c>
      <c r="C2259" s="2" t="s">
        <v>2269</v>
      </c>
      <c r="D2259" s="2" t="s">
        <v>1836</v>
      </c>
      <c r="E2259" s="2" t="s">
        <v>1838</v>
      </c>
      <c r="F2259" s="2">
        <v>1.64679</v>
      </c>
      <c r="G2259" s="2">
        <v>0.48100199999999999</v>
      </c>
      <c r="H2259" s="2">
        <v>-1.7755399999999999</v>
      </c>
    </row>
    <row r="2260" spans="1:8" x14ac:dyDescent="0.2">
      <c r="A2260" s="2" t="s">
        <v>380</v>
      </c>
      <c r="B2260" s="2" t="s">
        <v>3121</v>
      </c>
      <c r="C2260" s="2" t="s">
        <v>2750</v>
      </c>
      <c r="D2260" s="2" t="s">
        <v>1839</v>
      </c>
      <c r="E2260" s="2" t="s">
        <v>1840</v>
      </c>
      <c r="F2260" s="2">
        <v>8.7213799999999999</v>
      </c>
      <c r="G2260" s="2">
        <v>2.5461100000000001</v>
      </c>
      <c r="H2260" s="2">
        <v>-1.77626</v>
      </c>
    </row>
    <row r="2261" spans="1:8" x14ac:dyDescent="0.2">
      <c r="A2261" s="2" t="s">
        <v>1001</v>
      </c>
      <c r="B2261" s="2" t="s">
        <v>3015</v>
      </c>
      <c r="C2261" s="2" t="s">
        <v>2312</v>
      </c>
      <c r="D2261" s="2" t="s">
        <v>1839</v>
      </c>
      <c r="E2261" s="2" t="s">
        <v>1841</v>
      </c>
      <c r="F2261" s="2">
        <v>2.9210500000000001</v>
      </c>
      <c r="G2261" s="2">
        <v>0.85207599999999994</v>
      </c>
      <c r="H2261" s="2">
        <v>-1.7774300000000001</v>
      </c>
    </row>
    <row r="2262" spans="1:8" x14ac:dyDescent="0.2">
      <c r="A2262" s="2" t="s">
        <v>997</v>
      </c>
      <c r="B2262" s="2" t="s">
        <v>3254</v>
      </c>
      <c r="C2262" s="2" t="s">
        <v>1847</v>
      </c>
      <c r="D2262" s="2" t="s">
        <v>1839</v>
      </c>
      <c r="E2262" s="2" t="s">
        <v>1841</v>
      </c>
      <c r="F2262" s="2">
        <v>30.1279</v>
      </c>
      <c r="G2262" s="2">
        <v>8.7747100000000007</v>
      </c>
      <c r="H2262" s="2">
        <v>-1.7796700000000001</v>
      </c>
    </row>
    <row r="2263" spans="1:8" x14ac:dyDescent="0.2">
      <c r="A2263" s="2" t="s">
        <v>1226</v>
      </c>
      <c r="B2263" s="2" t="s">
        <v>3310</v>
      </c>
      <c r="C2263" s="2" t="s">
        <v>2437</v>
      </c>
      <c r="D2263" s="2" t="s">
        <v>1836</v>
      </c>
      <c r="E2263" s="2" t="s">
        <v>1838</v>
      </c>
      <c r="F2263" s="2">
        <v>1.7501100000000001</v>
      </c>
      <c r="G2263" s="2">
        <v>0.50839800000000002</v>
      </c>
      <c r="H2263" s="2">
        <v>-1.78342</v>
      </c>
    </row>
    <row r="2264" spans="1:8" x14ac:dyDescent="0.2">
      <c r="A2264" s="2" t="s">
        <v>1213</v>
      </c>
      <c r="B2264" s="2" t="s">
        <v>3015</v>
      </c>
      <c r="C2264" s="2" t="s">
        <v>2431</v>
      </c>
      <c r="D2264" s="2" t="s">
        <v>1836</v>
      </c>
      <c r="E2264" s="2" t="s">
        <v>1838</v>
      </c>
      <c r="F2264" s="2">
        <v>59.415900000000001</v>
      </c>
      <c r="G2264" s="2">
        <v>17.190799999999999</v>
      </c>
      <c r="H2264" s="2">
        <v>-1.78921</v>
      </c>
    </row>
    <row r="2265" spans="1:8" x14ac:dyDescent="0.2">
      <c r="A2265" s="2" t="s">
        <v>889</v>
      </c>
      <c r="B2265" s="2" t="s">
        <v>3037</v>
      </c>
      <c r="C2265" s="2" t="s">
        <v>2255</v>
      </c>
      <c r="D2265" s="2" t="s">
        <v>1836</v>
      </c>
      <c r="E2265" s="2" t="s">
        <v>1837</v>
      </c>
      <c r="F2265" s="2">
        <v>10.1067</v>
      </c>
      <c r="G2265" s="2">
        <v>2.9230200000000002</v>
      </c>
      <c r="H2265" s="2">
        <v>-1.7897799999999999</v>
      </c>
    </row>
    <row r="2266" spans="1:8" x14ac:dyDescent="0.2">
      <c r="A2266" s="2" t="s">
        <v>1516</v>
      </c>
      <c r="B2266" s="2" t="s">
        <v>3049</v>
      </c>
      <c r="C2266" s="2" t="s">
        <v>1847</v>
      </c>
      <c r="D2266" s="2" t="s">
        <v>1839</v>
      </c>
      <c r="E2266" s="2" t="s">
        <v>1841</v>
      </c>
      <c r="F2266" s="2">
        <v>4.2119200000000001</v>
      </c>
      <c r="G2266" s="2">
        <v>1.21801</v>
      </c>
      <c r="H2266" s="2">
        <v>-1.7899499999999999</v>
      </c>
    </row>
    <row r="2267" spans="1:8" x14ac:dyDescent="0.2">
      <c r="A2267" s="2" t="s">
        <v>484</v>
      </c>
      <c r="B2267" s="2" t="s">
        <v>3015</v>
      </c>
      <c r="C2267" s="2" t="s">
        <v>2070</v>
      </c>
      <c r="D2267" s="2" t="s">
        <v>1836</v>
      </c>
      <c r="E2267" s="2" t="s">
        <v>1837</v>
      </c>
      <c r="F2267" s="2">
        <v>15.450100000000001</v>
      </c>
      <c r="G2267" s="2">
        <v>4.4669699999999999</v>
      </c>
      <c r="H2267" s="2">
        <v>-1.7902499999999999</v>
      </c>
    </row>
    <row r="2268" spans="1:8" x14ac:dyDescent="0.2">
      <c r="A2268" s="2" t="s">
        <v>1450</v>
      </c>
      <c r="B2268" s="2" t="s">
        <v>3175</v>
      </c>
      <c r="C2268" s="2" t="s">
        <v>2557</v>
      </c>
      <c r="D2268" s="2" t="s">
        <v>1836</v>
      </c>
      <c r="E2268" s="2" t="s">
        <v>1838</v>
      </c>
      <c r="F2268" s="2">
        <v>3.8431799999999998</v>
      </c>
      <c r="G2268" s="2">
        <v>1.1108199999999999</v>
      </c>
      <c r="H2268" s="2">
        <v>-1.79068</v>
      </c>
    </row>
    <row r="2269" spans="1:8" x14ac:dyDescent="0.2">
      <c r="A2269" s="2" t="s">
        <v>718</v>
      </c>
      <c r="B2269" s="2" t="s">
        <v>3094</v>
      </c>
      <c r="C2269" s="2" t="s">
        <v>2178</v>
      </c>
      <c r="D2269" s="2" t="s">
        <v>1836</v>
      </c>
      <c r="E2269" s="2" t="s">
        <v>1837</v>
      </c>
      <c r="F2269" s="2">
        <v>1.67675</v>
      </c>
      <c r="G2269" s="2">
        <v>0.484346</v>
      </c>
      <c r="H2269" s="2">
        <v>-1.79155</v>
      </c>
    </row>
    <row r="2270" spans="1:8" x14ac:dyDescent="0.2">
      <c r="A2270" s="2" t="s">
        <v>1468</v>
      </c>
      <c r="B2270" s="2" t="s">
        <v>3015</v>
      </c>
      <c r="C2270" s="2" t="s">
        <v>3015</v>
      </c>
      <c r="D2270" s="2" t="s">
        <v>1836</v>
      </c>
      <c r="E2270" s="2" t="s">
        <v>1838</v>
      </c>
      <c r="F2270" s="2">
        <v>0.86429900000000004</v>
      </c>
      <c r="G2270" s="2">
        <v>0.24938099999999999</v>
      </c>
      <c r="H2270" s="2">
        <v>-1.79318</v>
      </c>
    </row>
    <row r="2271" spans="1:8" x14ac:dyDescent="0.2">
      <c r="A2271" s="2" t="s">
        <v>376</v>
      </c>
      <c r="B2271" s="2" t="s">
        <v>3058</v>
      </c>
      <c r="C2271" s="2" t="s">
        <v>2018</v>
      </c>
      <c r="D2271" s="2" t="s">
        <v>1836</v>
      </c>
      <c r="E2271" s="2" t="s">
        <v>1838</v>
      </c>
      <c r="F2271" s="2">
        <v>2.2351700000000001</v>
      </c>
      <c r="G2271" s="2">
        <v>0.643876</v>
      </c>
      <c r="H2271" s="2">
        <v>-1.7955300000000001</v>
      </c>
    </row>
    <row r="2272" spans="1:8" x14ac:dyDescent="0.2">
      <c r="A2272" s="2" t="s">
        <v>789</v>
      </c>
      <c r="B2272" s="2" t="s">
        <v>3015</v>
      </c>
      <c r="C2272" s="2" t="s">
        <v>2202</v>
      </c>
      <c r="D2272" s="2" t="s">
        <v>1836</v>
      </c>
      <c r="E2272" s="2" t="s">
        <v>1837</v>
      </c>
      <c r="F2272" s="2">
        <v>2.0173899999999998</v>
      </c>
      <c r="G2272" s="2">
        <v>0.58014500000000002</v>
      </c>
      <c r="H2272" s="2">
        <v>-1.798</v>
      </c>
    </row>
    <row r="2273" spans="1:8" x14ac:dyDescent="0.2">
      <c r="A2273" s="2" t="s">
        <v>1001</v>
      </c>
      <c r="B2273" s="2" t="s">
        <v>3015</v>
      </c>
      <c r="C2273" s="2" t="s">
        <v>2312</v>
      </c>
      <c r="D2273" s="2" t="s">
        <v>1839</v>
      </c>
      <c r="E2273" s="2" t="s">
        <v>1840</v>
      </c>
      <c r="F2273" s="2">
        <v>2.9210500000000001</v>
      </c>
      <c r="G2273" s="2">
        <v>0.83888700000000005</v>
      </c>
      <c r="H2273" s="2">
        <v>-1.7999400000000001</v>
      </c>
    </row>
    <row r="2274" spans="1:8" x14ac:dyDescent="0.2">
      <c r="A2274" s="2" t="s">
        <v>1311</v>
      </c>
      <c r="B2274" s="2" t="s">
        <v>3087</v>
      </c>
      <c r="C2274" s="2" t="s">
        <v>2501</v>
      </c>
      <c r="D2274" s="2" t="s">
        <v>1836</v>
      </c>
      <c r="E2274" s="2" t="s">
        <v>1838</v>
      </c>
      <c r="F2274" s="2">
        <v>1.6614199999999999</v>
      </c>
      <c r="G2274" s="2">
        <v>0.47556500000000002</v>
      </c>
      <c r="H2274" s="2">
        <v>-1.80471</v>
      </c>
    </row>
    <row r="2275" spans="1:8" x14ac:dyDescent="0.2">
      <c r="A2275" s="2" t="s">
        <v>216</v>
      </c>
      <c r="B2275" s="2" t="s">
        <v>3015</v>
      </c>
      <c r="C2275" s="2" t="s">
        <v>2683</v>
      </c>
      <c r="D2275" s="2" t="s">
        <v>1839</v>
      </c>
      <c r="E2275" s="2" t="s">
        <v>1841</v>
      </c>
      <c r="F2275" s="2">
        <v>45.917499999999997</v>
      </c>
      <c r="G2275" s="2">
        <v>13.104100000000001</v>
      </c>
      <c r="H2275" s="2">
        <v>-1.8090299999999999</v>
      </c>
    </row>
    <row r="2276" spans="1:8" x14ac:dyDescent="0.2">
      <c r="A2276" s="2" t="s">
        <v>1307</v>
      </c>
      <c r="B2276" s="2" t="s">
        <v>3336</v>
      </c>
      <c r="C2276" s="2" t="s">
        <v>2498</v>
      </c>
      <c r="D2276" s="2" t="s">
        <v>1836</v>
      </c>
      <c r="E2276" s="2" t="s">
        <v>1838</v>
      </c>
      <c r="F2276" s="2">
        <v>430.42399999999998</v>
      </c>
      <c r="G2276" s="2">
        <v>122.57599999999999</v>
      </c>
      <c r="H2276" s="2">
        <v>-1.8120799999999999</v>
      </c>
    </row>
    <row r="2277" spans="1:8" x14ac:dyDescent="0.2">
      <c r="A2277" s="2" t="s">
        <v>1358</v>
      </c>
      <c r="B2277" s="2" t="s">
        <v>3015</v>
      </c>
      <c r="C2277" s="2" t="s">
        <v>2546</v>
      </c>
      <c r="D2277" s="2" t="s">
        <v>1836</v>
      </c>
      <c r="E2277" s="2" t="s">
        <v>1838</v>
      </c>
      <c r="F2277" s="2">
        <v>1.4504999999999999</v>
      </c>
      <c r="G2277" s="2">
        <v>0.41107700000000003</v>
      </c>
      <c r="H2277" s="2">
        <v>-1.81907</v>
      </c>
    </row>
    <row r="2278" spans="1:8" x14ac:dyDescent="0.2">
      <c r="A2278" s="2" t="s">
        <v>929</v>
      </c>
      <c r="B2278" s="2" t="s">
        <v>3047</v>
      </c>
      <c r="C2278" s="2" t="s">
        <v>2277</v>
      </c>
      <c r="D2278" s="2" t="s">
        <v>1836</v>
      </c>
      <c r="E2278" s="2" t="s">
        <v>1838</v>
      </c>
      <c r="F2278" s="2">
        <v>8.9835600000000007</v>
      </c>
      <c r="G2278" s="2">
        <v>2.5358200000000002</v>
      </c>
      <c r="H2278" s="2">
        <v>-1.82483</v>
      </c>
    </row>
    <row r="2279" spans="1:8" x14ac:dyDescent="0.2">
      <c r="A2279" s="2" t="s">
        <v>1447</v>
      </c>
      <c r="B2279" s="2" t="s">
        <v>3378</v>
      </c>
      <c r="C2279" s="2" t="s">
        <v>2599</v>
      </c>
      <c r="D2279" s="2" t="s">
        <v>1836</v>
      </c>
      <c r="E2279" s="2" t="s">
        <v>1838</v>
      </c>
      <c r="F2279" s="2">
        <v>2.5872799999999998</v>
      </c>
      <c r="G2279" s="2">
        <v>0.72979000000000005</v>
      </c>
      <c r="H2279" s="2">
        <v>-1.82589</v>
      </c>
    </row>
    <row r="2280" spans="1:8" x14ac:dyDescent="0.2">
      <c r="A2280" s="2" t="s">
        <v>500</v>
      </c>
      <c r="B2280" s="2" t="s">
        <v>3015</v>
      </c>
      <c r="C2280" s="2" t="s">
        <v>3015</v>
      </c>
      <c r="D2280" s="2" t="s">
        <v>1839</v>
      </c>
      <c r="E2280" s="2" t="s">
        <v>1841</v>
      </c>
      <c r="F2280" s="2">
        <v>19.98</v>
      </c>
      <c r="G2280" s="2">
        <v>5.6262699999999999</v>
      </c>
      <c r="H2280" s="2">
        <v>-1.8283100000000001</v>
      </c>
    </row>
    <row r="2281" spans="1:8" x14ac:dyDescent="0.2">
      <c r="A2281" s="2" t="s">
        <v>196</v>
      </c>
      <c r="B2281" s="2" t="s">
        <v>3077</v>
      </c>
      <c r="C2281" s="2" t="s">
        <v>1934</v>
      </c>
      <c r="D2281" s="2" t="s">
        <v>1836</v>
      </c>
      <c r="E2281" s="2" t="s">
        <v>1838</v>
      </c>
      <c r="F2281" s="2">
        <v>2.6640000000000001</v>
      </c>
      <c r="G2281" s="2">
        <v>0.749417</v>
      </c>
      <c r="H2281" s="2">
        <v>-1.8297600000000001</v>
      </c>
    </row>
    <row r="2282" spans="1:8" x14ac:dyDescent="0.2">
      <c r="A2282" s="2" t="s">
        <v>595</v>
      </c>
      <c r="B2282" s="2" t="s">
        <v>3171</v>
      </c>
      <c r="C2282" s="2" t="s">
        <v>2123</v>
      </c>
      <c r="D2282" s="2" t="s">
        <v>1836</v>
      </c>
      <c r="E2282" s="2" t="s">
        <v>1837</v>
      </c>
      <c r="F2282" s="2">
        <v>2.1012900000000001</v>
      </c>
      <c r="G2282" s="2">
        <v>0.58864000000000005</v>
      </c>
      <c r="H2282" s="2">
        <v>-1.83582</v>
      </c>
    </row>
    <row r="2283" spans="1:8" x14ac:dyDescent="0.2">
      <c r="A2283" s="2" t="s">
        <v>625</v>
      </c>
      <c r="B2283" s="2" t="s">
        <v>3015</v>
      </c>
      <c r="C2283" s="2" t="s">
        <v>2134</v>
      </c>
      <c r="D2283" s="2" t="s">
        <v>1836</v>
      </c>
      <c r="E2283" s="2" t="s">
        <v>1837</v>
      </c>
      <c r="F2283" s="2">
        <v>2.1829100000000001</v>
      </c>
      <c r="G2283" s="2">
        <v>0.61018300000000003</v>
      </c>
      <c r="H2283" s="2">
        <v>-1.83894</v>
      </c>
    </row>
    <row r="2284" spans="1:8" x14ac:dyDescent="0.2">
      <c r="A2284" s="2" t="s">
        <v>1017</v>
      </c>
      <c r="B2284" s="2" t="s">
        <v>3094</v>
      </c>
      <c r="C2284" s="2" t="s">
        <v>2321</v>
      </c>
      <c r="D2284" s="2" t="s">
        <v>1836</v>
      </c>
      <c r="E2284" s="2" t="s">
        <v>1838</v>
      </c>
      <c r="F2284" s="2">
        <v>2.3548800000000001</v>
      </c>
      <c r="G2284" s="2">
        <v>0.65812199999999998</v>
      </c>
      <c r="H2284" s="2">
        <v>-1.8392200000000001</v>
      </c>
    </row>
    <row r="2285" spans="1:8" x14ac:dyDescent="0.2">
      <c r="A2285" s="2" t="s">
        <v>137</v>
      </c>
      <c r="B2285" s="2" t="s">
        <v>3015</v>
      </c>
      <c r="C2285" s="2" t="s">
        <v>1905</v>
      </c>
      <c r="D2285" s="2" t="s">
        <v>1836</v>
      </c>
      <c r="E2285" s="2" t="s">
        <v>1838</v>
      </c>
      <c r="F2285" s="2">
        <v>3.3832800000000001</v>
      </c>
      <c r="G2285" s="2">
        <v>0.94155100000000003</v>
      </c>
      <c r="H2285" s="2">
        <v>-1.84531</v>
      </c>
    </row>
    <row r="2286" spans="1:8" x14ac:dyDescent="0.2">
      <c r="A2286" s="2" t="s">
        <v>24</v>
      </c>
      <c r="B2286" s="2" t="s">
        <v>3015</v>
      </c>
      <c r="C2286" s="2" t="s">
        <v>3015</v>
      </c>
      <c r="D2286" s="2" t="s">
        <v>1836</v>
      </c>
      <c r="E2286" s="2" t="s">
        <v>1837</v>
      </c>
      <c r="F2286" s="2">
        <v>3.9942299999999999</v>
      </c>
      <c r="G2286" s="2">
        <v>1.11087</v>
      </c>
      <c r="H2286" s="2">
        <v>-1.84622</v>
      </c>
    </row>
    <row r="2287" spans="1:8" x14ac:dyDescent="0.2">
      <c r="A2287" s="2" t="s">
        <v>217</v>
      </c>
      <c r="B2287" s="2" t="s">
        <v>3189</v>
      </c>
      <c r="C2287" s="2" t="s">
        <v>2683</v>
      </c>
      <c r="D2287" s="2" t="s">
        <v>1839</v>
      </c>
      <c r="E2287" s="2" t="s">
        <v>1841</v>
      </c>
      <c r="F2287" s="2">
        <v>18.111999999999998</v>
      </c>
      <c r="G2287" s="2">
        <v>5.0169800000000002</v>
      </c>
      <c r="H2287" s="2">
        <v>-1.85205</v>
      </c>
    </row>
    <row r="2288" spans="1:8" x14ac:dyDescent="0.2">
      <c r="A2288" s="2" t="s">
        <v>531</v>
      </c>
      <c r="B2288" s="2" t="s">
        <v>3093</v>
      </c>
      <c r="C2288" s="2" t="s">
        <v>2094</v>
      </c>
      <c r="D2288" s="2" t="s">
        <v>1836</v>
      </c>
      <c r="E2288" s="2" t="s">
        <v>1837</v>
      </c>
      <c r="F2288" s="2">
        <v>0.881525</v>
      </c>
      <c r="G2288" s="2">
        <v>0.244174</v>
      </c>
      <c r="H2288" s="2">
        <v>-1.85209</v>
      </c>
    </row>
    <row r="2289" spans="1:8" x14ac:dyDescent="0.2">
      <c r="A2289" s="2" t="s">
        <v>84</v>
      </c>
      <c r="B2289" s="2" t="s">
        <v>3288</v>
      </c>
      <c r="C2289" s="2" t="s">
        <v>2388</v>
      </c>
      <c r="D2289" s="2" t="s">
        <v>1836</v>
      </c>
      <c r="E2289" s="2" t="s">
        <v>1838</v>
      </c>
      <c r="F2289" s="2">
        <v>2.7646600000000001</v>
      </c>
      <c r="G2289" s="2">
        <v>0.76514300000000002</v>
      </c>
      <c r="H2289" s="2">
        <v>-1.8532999999999999</v>
      </c>
    </row>
    <row r="2290" spans="1:8" x14ac:dyDescent="0.2">
      <c r="A2290" s="2" t="s">
        <v>18</v>
      </c>
      <c r="B2290" s="2" t="s">
        <v>3015</v>
      </c>
      <c r="C2290" s="2" t="s">
        <v>1850</v>
      </c>
      <c r="D2290" s="2" t="s">
        <v>1836</v>
      </c>
      <c r="E2290" s="2" t="s">
        <v>1837</v>
      </c>
      <c r="F2290" s="2">
        <v>1.2079200000000001</v>
      </c>
      <c r="G2290" s="2">
        <v>0.33419900000000002</v>
      </c>
      <c r="H2290" s="2">
        <v>-1.85375</v>
      </c>
    </row>
    <row r="2291" spans="1:8" x14ac:dyDescent="0.2">
      <c r="A2291" s="2" t="s">
        <v>515</v>
      </c>
      <c r="B2291" s="2" t="s">
        <v>3045</v>
      </c>
      <c r="C2291" s="2" t="s">
        <v>2492</v>
      </c>
      <c r="D2291" s="2" t="s">
        <v>1836</v>
      </c>
      <c r="E2291" s="2" t="s">
        <v>1838</v>
      </c>
      <c r="F2291" s="2">
        <v>26.796600000000002</v>
      </c>
      <c r="G2291" s="2">
        <v>7.3955900000000003</v>
      </c>
      <c r="H2291" s="2">
        <v>-1.85731</v>
      </c>
    </row>
    <row r="2292" spans="1:8" x14ac:dyDescent="0.2">
      <c r="A2292" s="2" t="s">
        <v>1303</v>
      </c>
      <c r="B2292" s="2" t="s">
        <v>3015</v>
      </c>
      <c r="C2292" s="2" t="s">
        <v>2507</v>
      </c>
      <c r="D2292" s="2" t="s">
        <v>1836</v>
      </c>
      <c r="E2292" s="2" t="s">
        <v>1838</v>
      </c>
      <c r="F2292" s="2">
        <v>1.98668</v>
      </c>
      <c r="G2292" s="2">
        <v>0.54719899999999999</v>
      </c>
      <c r="H2292" s="2">
        <v>-1.86022</v>
      </c>
    </row>
    <row r="2293" spans="1:8" x14ac:dyDescent="0.2">
      <c r="A2293" s="2" t="s">
        <v>750</v>
      </c>
      <c r="B2293" s="2" t="s">
        <v>3047</v>
      </c>
      <c r="C2293" s="2" t="s">
        <v>3015</v>
      </c>
      <c r="D2293" s="2" t="s">
        <v>1836</v>
      </c>
      <c r="E2293" s="2" t="s">
        <v>1837</v>
      </c>
      <c r="F2293" s="2">
        <v>5.2603799999999996</v>
      </c>
      <c r="G2293" s="2">
        <v>1.4453800000000001</v>
      </c>
      <c r="H2293" s="2">
        <v>-1.86372</v>
      </c>
    </row>
    <row r="2294" spans="1:8" x14ac:dyDescent="0.2">
      <c r="A2294" s="2" t="s">
        <v>655</v>
      </c>
      <c r="B2294" s="2" t="s">
        <v>3015</v>
      </c>
      <c r="C2294" s="2" t="s">
        <v>3015</v>
      </c>
      <c r="D2294" s="2" t="s">
        <v>1836</v>
      </c>
      <c r="E2294" s="2" t="s">
        <v>1838</v>
      </c>
      <c r="F2294" s="2">
        <v>1.47828</v>
      </c>
      <c r="G2294" s="2">
        <v>0.40585300000000002</v>
      </c>
      <c r="H2294" s="2">
        <v>-1.8648899999999999</v>
      </c>
    </row>
    <row r="2295" spans="1:8" x14ac:dyDescent="0.2">
      <c r="A2295" s="2" t="s">
        <v>830</v>
      </c>
      <c r="B2295" s="2" t="s">
        <v>3015</v>
      </c>
      <c r="C2295" s="2" t="s">
        <v>2005</v>
      </c>
      <c r="D2295" s="2" t="s">
        <v>1836</v>
      </c>
      <c r="E2295" s="2" t="s">
        <v>1837</v>
      </c>
      <c r="F2295" s="2">
        <v>2.8201299999999998</v>
      </c>
      <c r="G2295" s="2">
        <v>0.77189200000000002</v>
      </c>
      <c r="H2295" s="2">
        <v>-1.8692899999999999</v>
      </c>
    </row>
    <row r="2296" spans="1:8" x14ac:dyDescent="0.2">
      <c r="A2296" s="2" t="s">
        <v>264</v>
      </c>
      <c r="B2296" s="2" t="s">
        <v>3102</v>
      </c>
      <c r="C2296" s="2" t="s">
        <v>1968</v>
      </c>
      <c r="D2296" s="2" t="s">
        <v>1836</v>
      </c>
      <c r="E2296" s="2" t="s">
        <v>1837</v>
      </c>
      <c r="F2296" s="2">
        <v>1.15181</v>
      </c>
      <c r="G2296" s="2">
        <v>0.31417600000000001</v>
      </c>
      <c r="H2296" s="2">
        <v>-1.87426</v>
      </c>
    </row>
    <row r="2297" spans="1:8" x14ac:dyDescent="0.2">
      <c r="A2297" s="2" t="s">
        <v>1299</v>
      </c>
      <c r="B2297" s="2" t="s">
        <v>3201</v>
      </c>
      <c r="C2297" s="2" t="s">
        <v>2216</v>
      </c>
      <c r="D2297" s="2" t="s">
        <v>1839</v>
      </c>
      <c r="E2297" s="2" t="s">
        <v>1841</v>
      </c>
      <c r="F2297" s="2">
        <v>9.6729800000000008</v>
      </c>
      <c r="G2297" s="2">
        <v>2.6281500000000002</v>
      </c>
      <c r="H2297" s="2">
        <v>-1.87991</v>
      </c>
    </row>
    <row r="2298" spans="1:8" x14ac:dyDescent="0.2">
      <c r="A2298" s="2" t="s">
        <v>496</v>
      </c>
      <c r="B2298" s="2" t="s">
        <v>3015</v>
      </c>
      <c r="C2298" s="2" t="s">
        <v>1847</v>
      </c>
      <c r="D2298" s="2" t="s">
        <v>1836</v>
      </c>
      <c r="E2298" s="2" t="s">
        <v>1837</v>
      </c>
      <c r="F2298" s="2">
        <v>2.05965</v>
      </c>
      <c r="G2298" s="2">
        <v>0.55950800000000001</v>
      </c>
      <c r="H2298" s="2">
        <v>-1.8801699999999999</v>
      </c>
    </row>
    <row r="2299" spans="1:8" x14ac:dyDescent="0.2">
      <c r="A2299" s="2" t="s">
        <v>997</v>
      </c>
      <c r="B2299" s="2" t="s">
        <v>3254</v>
      </c>
      <c r="C2299" s="2" t="s">
        <v>1847</v>
      </c>
      <c r="D2299" s="2" t="s">
        <v>1836</v>
      </c>
      <c r="E2299" s="2" t="s">
        <v>1837</v>
      </c>
      <c r="F2299" s="2">
        <v>24.437200000000001</v>
      </c>
      <c r="G2299" s="2">
        <v>6.6295799999999998</v>
      </c>
      <c r="H2299" s="2">
        <v>-1.88209</v>
      </c>
    </row>
    <row r="2300" spans="1:8" x14ac:dyDescent="0.2">
      <c r="A2300" s="2" t="s">
        <v>889</v>
      </c>
      <c r="B2300" s="2" t="s">
        <v>3037</v>
      </c>
      <c r="C2300" s="2" t="s">
        <v>2255</v>
      </c>
      <c r="D2300" s="2" t="s">
        <v>1836</v>
      </c>
      <c r="E2300" s="2" t="s">
        <v>1838</v>
      </c>
      <c r="F2300" s="2">
        <v>10.1067</v>
      </c>
      <c r="G2300" s="2">
        <v>2.7416399999999999</v>
      </c>
      <c r="H2300" s="2">
        <v>-1.8822000000000001</v>
      </c>
    </row>
    <row r="2301" spans="1:8" x14ac:dyDescent="0.2">
      <c r="A2301" s="2" t="s">
        <v>940</v>
      </c>
      <c r="B2301" s="2" t="s">
        <v>3242</v>
      </c>
      <c r="C2301" s="2" t="s">
        <v>2282</v>
      </c>
      <c r="D2301" s="2" t="s">
        <v>1836</v>
      </c>
      <c r="E2301" s="2" t="s">
        <v>1838</v>
      </c>
      <c r="F2301" s="2">
        <v>2.2209599999999998</v>
      </c>
      <c r="G2301" s="2">
        <v>0.59855700000000001</v>
      </c>
      <c r="H2301" s="2">
        <v>-1.8916200000000001</v>
      </c>
    </row>
    <row r="2302" spans="1:8" x14ac:dyDescent="0.2">
      <c r="A2302" s="2" t="s">
        <v>1296</v>
      </c>
      <c r="B2302" s="2" t="s">
        <v>3015</v>
      </c>
      <c r="C2302" s="2" t="s">
        <v>3016</v>
      </c>
      <c r="D2302" s="2" t="s">
        <v>1836</v>
      </c>
      <c r="E2302" s="2" t="s">
        <v>1838</v>
      </c>
      <c r="F2302" s="2">
        <v>3.1221700000000001</v>
      </c>
      <c r="G2302" s="2">
        <v>0.84138999999999997</v>
      </c>
      <c r="H2302" s="2">
        <v>-1.8916999999999999</v>
      </c>
    </row>
    <row r="2303" spans="1:8" x14ac:dyDescent="0.2">
      <c r="A2303" s="2" t="s">
        <v>280</v>
      </c>
      <c r="B2303" s="2" t="s">
        <v>3015</v>
      </c>
      <c r="C2303" s="2" t="s">
        <v>1973</v>
      </c>
      <c r="D2303" s="2" t="s">
        <v>1836</v>
      </c>
      <c r="E2303" s="2" t="s">
        <v>1837</v>
      </c>
      <c r="F2303" s="2">
        <v>1.0440799999999999</v>
      </c>
      <c r="G2303" s="2">
        <v>0.28086299999999997</v>
      </c>
      <c r="H2303" s="2">
        <v>-1.89429</v>
      </c>
    </row>
    <row r="2304" spans="1:8" x14ac:dyDescent="0.2">
      <c r="A2304" s="2" t="s">
        <v>282</v>
      </c>
      <c r="B2304" s="2" t="s">
        <v>3105</v>
      </c>
      <c r="C2304" s="2" t="s">
        <v>1974</v>
      </c>
      <c r="D2304" s="2" t="s">
        <v>1836</v>
      </c>
      <c r="E2304" s="2" t="s">
        <v>1837</v>
      </c>
      <c r="F2304" s="2">
        <v>5.4650999999999996</v>
      </c>
      <c r="G2304" s="2">
        <v>1.46767</v>
      </c>
      <c r="H2304" s="2">
        <v>-1.89672</v>
      </c>
    </row>
    <row r="2305" spans="1:8" x14ac:dyDescent="0.2">
      <c r="A2305" s="2" t="s">
        <v>1367</v>
      </c>
      <c r="B2305" s="2" t="s">
        <v>3015</v>
      </c>
      <c r="C2305" s="2" t="s">
        <v>3016</v>
      </c>
      <c r="D2305" s="2" t="s">
        <v>1836</v>
      </c>
      <c r="E2305" s="2" t="s">
        <v>1838</v>
      </c>
      <c r="F2305" s="2">
        <v>1.8270500000000001</v>
      </c>
      <c r="G2305" s="2">
        <v>0.48958499999999999</v>
      </c>
      <c r="H2305" s="2">
        <v>-1.89988</v>
      </c>
    </row>
    <row r="2306" spans="1:8" x14ac:dyDescent="0.2">
      <c r="A2306" s="2" t="s">
        <v>1065</v>
      </c>
      <c r="B2306" s="2" t="s">
        <v>3015</v>
      </c>
      <c r="C2306" s="2" t="s">
        <v>2340</v>
      </c>
      <c r="D2306" s="2" t="s">
        <v>1836</v>
      </c>
      <c r="E2306" s="2" t="s">
        <v>1838</v>
      </c>
      <c r="F2306" s="2">
        <v>1.55291</v>
      </c>
      <c r="G2306" s="2">
        <v>0.41535899999999998</v>
      </c>
      <c r="H2306" s="2">
        <v>-1.9025399999999999</v>
      </c>
    </row>
    <row r="2307" spans="1:8" x14ac:dyDescent="0.2">
      <c r="A2307" s="2" t="s">
        <v>1160</v>
      </c>
      <c r="B2307" s="2" t="s">
        <v>3015</v>
      </c>
      <c r="C2307" s="2" t="s">
        <v>2394</v>
      </c>
      <c r="D2307" s="2" t="s">
        <v>1836</v>
      </c>
      <c r="E2307" s="2" t="s">
        <v>1838</v>
      </c>
      <c r="F2307" s="2">
        <v>0.82865500000000003</v>
      </c>
      <c r="G2307" s="2">
        <v>0.21985499999999999</v>
      </c>
      <c r="H2307" s="2">
        <v>-1.91422</v>
      </c>
    </row>
    <row r="2308" spans="1:8" x14ac:dyDescent="0.2">
      <c r="A2308" s="2" t="s">
        <v>1025</v>
      </c>
      <c r="B2308" s="2" t="s">
        <v>3094</v>
      </c>
      <c r="C2308" s="2" t="s">
        <v>2325</v>
      </c>
      <c r="D2308" s="2" t="s">
        <v>1836</v>
      </c>
      <c r="E2308" s="2" t="s">
        <v>1837</v>
      </c>
      <c r="F2308" s="2">
        <v>1.7602599999999999</v>
      </c>
      <c r="G2308" s="2">
        <v>0.46684799999999999</v>
      </c>
      <c r="H2308" s="2">
        <v>-1.91476</v>
      </c>
    </row>
    <row r="2309" spans="1:8" x14ac:dyDescent="0.2">
      <c r="A2309" s="2" t="s">
        <v>731</v>
      </c>
      <c r="B2309" s="2" t="s">
        <v>3015</v>
      </c>
      <c r="C2309" s="2" t="s">
        <v>2183</v>
      </c>
      <c r="D2309" s="2" t="s">
        <v>1836</v>
      </c>
      <c r="E2309" s="2" t="s">
        <v>1837</v>
      </c>
      <c r="F2309" s="2">
        <v>5.3973699999999996</v>
      </c>
      <c r="G2309" s="2">
        <v>1.42554</v>
      </c>
      <c r="H2309" s="2">
        <v>-1.92075</v>
      </c>
    </row>
    <row r="2310" spans="1:8" x14ac:dyDescent="0.2">
      <c r="A2310" s="2" t="s">
        <v>1636</v>
      </c>
      <c r="B2310" s="2" t="s">
        <v>3015</v>
      </c>
      <c r="C2310" s="2" t="s">
        <v>3015</v>
      </c>
      <c r="D2310" s="2" t="s">
        <v>1839</v>
      </c>
      <c r="E2310" s="2" t="s">
        <v>1841</v>
      </c>
      <c r="F2310" s="2">
        <v>4.0718699999999997</v>
      </c>
      <c r="G2310" s="2">
        <v>1.0727500000000001</v>
      </c>
      <c r="H2310" s="2">
        <v>-1.92438</v>
      </c>
    </row>
    <row r="2311" spans="1:8" x14ac:dyDescent="0.2">
      <c r="A2311" s="2" t="s">
        <v>616</v>
      </c>
      <c r="B2311" s="2" t="s">
        <v>3176</v>
      </c>
      <c r="C2311" s="2" t="s">
        <v>2130</v>
      </c>
      <c r="D2311" s="2" t="s">
        <v>1836</v>
      </c>
      <c r="E2311" s="2" t="s">
        <v>1837</v>
      </c>
      <c r="F2311" s="2">
        <v>9.3573799999999991</v>
      </c>
      <c r="G2311" s="2">
        <v>2.46454</v>
      </c>
      <c r="H2311" s="2">
        <v>-1.9247799999999999</v>
      </c>
    </row>
    <row r="2312" spans="1:8" x14ac:dyDescent="0.2">
      <c r="A2312" s="2" t="s">
        <v>1191</v>
      </c>
      <c r="B2312" s="2" t="s">
        <v>3015</v>
      </c>
      <c r="C2312" s="2" t="s">
        <v>2419</v>
      </c>
      <c r="D2312" s="2" t="s">
        <v>1836</v>
      </c>
      <c r="E2312" s="2" t="s">
        <v>1838</v>
      </c>
      <c r="F2312" s="2">
        <v>1.3248</v>
      </c>
      <c r="G2312" s="2">
        <v>0.34825200000000001</v>
      </c>
      <c r="H2312" s="2">
        <v>-1.92757</v>
      </c>
    </row>
    <row r="2313" spans="1:8" x14ac:dyDescent="0.2">
      <c r="A2313" s="2" t="s">
        <v>282</v>
      </c>
      <c r="B2313" s="2" t="s">
        <v>3105</v>
      </c>
      <c r="C2313" s="2" t="s">
        <v>1974</v>
      </c>
      <c r="D2313" s="2" t="s">
        <v>1836</v>
      </c>
      <c r="E2313" s="2" t="s">
        <v>1838</v>
      </c>
      <c r="F2313" s="2">
        <v>5.4650999999999996</v>
      </c>
      <c r="G2313" s="2">
        <v>1.4354</v>
      </c>
      <c r="H2313" s="2">
        <v>-1.9288000000000001</v>
      </c>
    </row>
    <row r="2314" spans="1:8" x14ac:dyDescent="0.2">
      <c r="A2314" s="2" t="s">
        <v>441</v>
      </c>
      <c r="B2314" s="2" t="s">
        <v>3313</v>
      </c>
      <c r="C2314" s="2" t="s">
        <v>2479</v>
      </c>
      <c r="D2314" s="2" t="s">
        <v>1836</v>
      </c>
      <c r="E2314" s="2" t="s">
        <v>1838</v>
      </c>
      <c r="F2314" s="2">
        <v>1.7199500000000001</v>
      </c>
      <c r="G2314" s="2">
        <v>0.45171299999999998</v>
      </c>
      <c r="H2314" s="2">
        <v>-1.92889</v>
      </c>
    </row>
    <row r="2315" spans="1:8" x14ac:dyDescent="0.2">
      <c r="A2315" s="2" t="s">
        <v>907</v>
      </c>
      <c r="B2315" s="2" t="s">
        <v>3234</v>
      </c>
      <c r="C2315" s="2" t="s">
        <v>2264</v>
      </c>
      <c r="D2315" s="2" t="s">
        <v>1836</v>
      </c>
      <c r="E2315" s="2" t="s">
        <v>1837</v>
      </c>
      <c r="F2315" s="2">
        <v>1.0944799999999999</v>
      </c>
      <c r="G2315" s="2">
        <v>0.28693600000000002</v>
      </c>
      <c r="H2315" s="2">
        <v>-1.93144</v>
      </c>
    </row>
    <row r="2316" spans="1:8" x14ac:dyDescent="0.2">
      <c r="A2316" s="2" t="s">
        <v>686</v>
      </c>
      <c r="B2316" s="2" t="s">
        <v>3045</v>
      </c>
      <c r="C2316" s="2" t="s">
        <v>1923</v>
      </c>
      <c r="D2316" s="2" t="s">
        <v>1836</v>
      </c>
      <c r="E2316" s="2" t="s">
        <v>1838</v>
      </c>
      <c r="F2316" s="2">
        <v>1.31301</v>
      </c>
      <c r="G2316" s="2">
        <v>0.34384799999999999</v>
      </c>
      <c r="H2316" s="2">
        <v>-1.9330400000000001</v>
      </c>
    </row>
    <row r="2317" spans="1:8" x14ac:dyDescent="0.2">
      <c r="A2317" s="2" t="s">
        <v>102</v>
      </c>
      <c r="B2317" s="2" t="s">
        <v>3050</v>
      </c>
      <c r="C2317" s="2" t="s">
        <v>1886</v>
      </c>
      <c r="D2317" s="2" t="s">
        <v>1836</v>
      </c>
      <c r="E2317" s="2" t="s">
        <v>1838</v>
      </c>
      <c r="F2317" s="2">
        <v>2.8573599999999999</v>
      </c>
      <c r="G2317" s="2">
        <v>0.748139</v>
      </c>
      <c r="H2317" s="2">
        <v>-1.9333</v>
      </c>
    </row>
    <row r="2318" spans="1:8" x14ac:dyDescent="0.2">
      <c r="A2318" s="2" t="s">
        <v>1017</v>
      </c>
      <c r="B2318" s="2" t="s">
        <v>3094</v>
      </c>
      <c r="C2318" s="2" t="s">
        <v>2321</v>
      </c>
      <c r="D2318" s="2" t="s">
        <v>1836</v>
      </c>
      <c r="E2318" s="2" t="s">
        <v>1837</v>
      </c>
      <c r="F2318" s="2">
        <v>2.3548800000000001</v>
      </c>
      <c r="G2318" s="2">
        <v>0.61653999999999998</v>
      </c>
      <c r="H2318" s="2">
        <v>-1.9333800000000001</v>
      </c>
    </row>
    <row r="2319" spans="1:8" x14ac:dyDescent="0.2">
      <c r="A2319" s="2" t="s">
        <v>1290</v>
      </c>
      <c r="B2319" s="2" t="s">
        <v>3336</v>
      </c>
      <c r="C2319" s="2" t="s">
        <v>2498</v>
      </c>
      <c r="D2319" s="2" t="s">
        <v>1836</v>
      </c>
      <c r="E2319" s="2" t="s">
        <v>1838</v>
      </c>
      <c r="F2319" s="2">
        <v>472.62900000000002</v>
      </c>
      <c r="G2319" s="2">
        <v>123.27200000000001</v>
      </c>
      <c r="H2319" s="2">
        <v>-1.9388700000000001</v>
      </c>
    </row>
    <row r="2320" spans="1:8" x14ac:dyDescent="0.2">
      <c r="A2320" s="2" t="s">
        <v>744</v>
      </c>
      <c r="B2320" s="2" t="s">
        <v>3202</v>
      </c>
      <c r="C2320" s="2" t="s">
        <v>1937</v>
      </c>
      <c r="D2320" s="2" t="s">
        <v>1836</v>
      </c>
      <c r="E2320" s="2" t="s">
        <v>1837</v>
      </c>
      <c r="F2320" s="2">
        <v>2.5004200000000001</v>
      </c>
      <c r="G2320" s="2">
        <v>0.650474</v>
      </c>
      <c r="H2320" s="2">
        <v>-1.9426099999999999</v>
      </c>
    </row>
    <row r="2321" spans="1:8" x14ac:dyDescent="0.2">
      <c r="A2321" s="2" t="s">
        <v>961</v>
      </c>
      <c r="B2321" s="2" t="s">
        <v>3247</v>
      </c>
      <c r="C2321" s="2" t="s">
        <v>2294</v>
      </c>
      <c r="D2321" s="2" t="s">
        <v>1836</v>
      </c>
      <c r="E2321" s="2" t="s">
        <v>1837</v>
      </c>
      <c r="F2321" s="2">
        <v>39.926600000000001</v>
      </c>
      <c r="G2321" s="2">
        <v>10.3432</v>
      </c>
      <c r="H2321" s="2">
        <v>-1.9486699999999999</v>
      </c>
    </row>
    <row r="2322" spans="1:8" x14ac:dyDescent="0.2">
      <c r="A2322" s="2" t="s">
        <v>396</v>
      </c>
      <c r="B2322" s="2" t="s">
        <v>3015</v>
      </c>
      <c r="C2322" s="2" t="s">
        <v>3016</v>
      </c>
      <c r="D2322" s="2" t="s">
        <v>1836</v>
      </c>
      <c r="E2322" s="2" t="s">
        <v>1837</v>
      </c>
      <c r="F2322" s="2">
        <v>8.1166800000000006</v>
      </c>
      <c r="G2322" s="2">
        <v>2.0994600000000001</v>
      </c>
      <c r="H2322" s="2">
        <v>-1.9508700000000001</v>
      </c>
    </row>
    <row r="2323" spans="1:8" x14ac:dyDescent="0.2">
      <c r="A2323" s="2" t="s">
        <v>524</v>
      </c>
      <c r="B2323" s="2" t="s">
        <v>3015</v>
      </c>
      <c r="C2323" s="2" t="s">
        <v>3015</v>
      </c>
      <c r="D2323" s="2" t="s">
        <v>1836</v>
      </c>
      <c r="E2323" s="2" t="s">
        <v>1837</v>
      </c>
      <c r="F2323" s="2">
        <v>114.264</v>
      </c>
      <c r="G2323" s="2">
        <v>29.545200000000001</v>
      </c>
      <c r="H2323" s="2">
        <v>-1.95137</v>
      </c>
    </row>
    <row r="2324" spans="1:8" x14ac:dyDescent="0.2">
      <c r="A2324" s="2" t="s">
        <v>854</v>
      </c>
      <c r="B2324" s="2" t="s">
        <v>3058</v>
      </c>
      <c r="C2324" s="2" t="s">
        <v>2237</v>
      </c>
      <c r="D2324" s="2" t="s">
        <v>1836</v>
      </c>
      <c r="E2324" s="2" t="s">
        <v>1837</v>
      </c>
      <c r="F2324" s="2">
        <v>2.8422999999999998</v>
      </c>
      <c r="G2324" s="2">
        <v>0.734043</v>
      </c>
      <c r="H2324" s="2">
        <v>-1.95313</v>
      </c>
    </row>
    <row r="2325" spans="1:8" x14ac:dyDescent="0.2">
      <c r="A2325" s="2" t="s">
        <v>201</v>
      </c>
      <c r="B2325" s="2" t="s">
        <v>3081</v>
      </c>
      <c r="C2325" s="2" t="s">
        <v>1938</v>
      </c>
      <c r="D2325" s="2" t="s">
        <v>1836</v>
      </c>
      <c r="E2325" s="2" t="s">
        <v>1838</v>
      </c>
      <c r="F2325" s="2">
        <v>3.15699</v>
      </c>
      <c r="G2325" s="2">
        <v>0.81510300000000002</v>
      </c>
      <c r="H2325" s="2">
        <v>-1.9534899999999999</v>
      </c>
    </row>
    <row r="2326" spans="1:8" x14ac:dyDescent="0.2">
      <c r="A2326" s="2" t="s">
        <v>1360</v>
      </c>
      <c r="B2326" s="2" t="s">
        <v>3197</v>
      </c>
      <c r="C2326" s="2" t="s">
        <v>2179</v>
      </c>
      <c r="D2326" s="2" t="s">
        <v>1836</v>
      </c>
      <c r="E2326" s="2" t="s">
        <v>1838</v>
      </c>
      <c r="F2326" s="2">
        <v>0.85164099999999998</v>
      </c>
      <c r="G2326" s="2">
        <v>0.21985299999999999</v>
      </c>
      <c r="H2326" s="2">
        <v>-1.9537100000000001</v>
      </c>
    </row>
    <row r="2327" spans="1:8" x14ac:dyDescent="0.2">
      <c r="A2327" s="2" t="s">
        <v>1334</v>
      </c>
      <c r="B2327" s="2" t="s">
        <v>3015</v>
      </c>
      <c r="C2327" s="2" t="s">
        <v>2529</v>
      </c>
      <c r="D2327" s="2" t="s">
        <v>1836</v>
      </c>
      <c r="E2327" s="2" t="s">
        <v>1838</v>
      </c>
      <c r="F2327" s="2">
        <v>0.92984299999999998</v>
      </c>
      <c r="G2327" s="2">
        <v>0.23998</v>
      </c>
      <c r="H2327" s="2">
        <v>-1.95407</v>
      </c>
    </row>
    <row r="2328" spans="1:8" x14ac:dyDescent="0.2">
      <c r="A2328" s="2" t="s">
        <v>564</v>
      </c>
      <c r="B2328" s="2" t="s">
        <v>3015</v>
      </c>
      <c r="C2328" s="2" t="s">
        <v>1880</v>
      </c>
      <c r="D2328" s="2" t="s">
        <v>1836</v>
      </c>
      <c r="E2328" s="2" t="s">
        <v>1838</v>
      </c>
      <c r="F2328" s="2">
        <v>1.20248</v>
      </c>
      <c r="G2328" s="2">
        <v>0.30965300000000001</v>
      </c>
      <c r="H2328" s="2">
        <v>-1.95729</v>
      </c>
    </row>
    <row r="2329" spans="1:8" x14ac:dyDescent="0.2">
      <c r="A2329" s="2" t="s">
        <v>413</v>
      </c>
      <c r="B2329" s="2" t="s">
        <v>3050</v>
      </c>
      <c r="C2329" s="2" t="s">
        <v>2033</v>
      </c>
      <c r="D2329" s="2" t="s">
        <v>1836</v>
      </c>
      <c r="E2329" s="2" t="s">
        <v>1837</v>
      </c>
      <c r="F2329" s="2">
        <v>6.9451999999999998</v>
      </c>
      <c r="G2329" s="2">
        <v>1.7853699999999999</v>
      </c>
      <c r="H2329" s="2">
        <v>-1.9597899999999999</v>
      </c>
    </row>
    <row r="2330" spans="1:8" x14ac:dyDescent="0.2">
      <c r="A2330" s="2" t="s">
        <v>1036</v>
      </c>
      <c r="B2330" s="2" t="s">
        <v>3015</v>
      </c>
      <c r="C2330" s="2" t="s">
        <v>2330</v>
      </c>
      <c r="D2330" s="2" t="s">
        <v>1836</v>
      </c>
      <c r="E2330" s="2" t="s">
        <v>1837</v>
      </c>
      <c r="F2330" s="2">
        <v>1.91411</v>
      </c>
      <c r="G2330" s="2">
        <v>0.49096400000000001</v>
      </c>
      <c r="H2330" s="2">
        <v>-1.96299</v>
      </c>
    </row>
    <row r="2331" spans="1:8" x14ac:dyDescent="0.2">
      <c r="A2331" s="2" t="s">
        <v>1465</v>
      </c>
      <c r="B2331" s="2" t="s">
        <v>3015</v>
      </c>
      <c r="C2331" s="2" t="s">
        <v>1880</v>
      </c>
      <c r="D2331" s="2" t="s">
        <v>1836</v>
      </c>
      <c r="E2331" s="2" t="s">
        <v>1838</v>
      </c>
      <c r="F2331" s="2">
        <v>2.34517</v>
      </c>
      <c r="G2331" s="2">
        <v>0.599719</v>
      </c>
      <c r="H2331" s="2">
        <v>-1.96733</v>
      </c>
    </row>
    <row r="2332" spans="1:8" x14ac:dyDescent="0.2">
      <c r="A2332" s="2" t="s">
        <v>531</v>
      </c>
      <c r="B2332" s="2" t="s">
        <v>3093</v>
      </c>
      <c r="C2332" s="2" t="s">
        <v>2094</v>
      </c>
      <c r="D2332" s="2" t="s">
        <v>1839</v>
      </c>
      <c r="E2332" s="2" t="s">
        <v>1841</v>
      </c>
      <c r="F2332" s="2">
        <v>0.78532199999999996</v>
      </c>
      <c r="G2332" s="2">
        <v>0.20063500000000001</v>
      </c>
      <c r="H2332" s="2">
        <v>-1.96871</v>
      </c>
    </row>
    <row r="2333" spans="1:8" x14ac:dyDescent="0.2">
      <c r="A2333" s="2" t="s">
        <v>22</v>
      </c>
      <c r="B2333" s="2" t="s">
        <v>3015</v>
      </c>
      <c r="C2333" s="2" t="s">
        <v>3016</v>
      </c>
      <c r="D2333" s="2" t="s">
        <v>1839</v>
      </c>
      <c r="E2333" s="2" t="s">
        <v>1841</v>
      </c>
      <c r="F2333" s="2">
        <v>1.4095</v>
      </c>
      <c r="G2333" s="2">
        <v>0.35621199999999997</v>
      </c>
      <c r="H2333" s="2">
        <v>-1.98438</v>
      </c>
    </row>
    <row r="2334" spans="1:8" x14ac:dyDescent="0.2">
      <c r="A2334" s="2" t="s">
        <v>24</v>
      </c>
      <c r="B2334" s="2" t="s">
        <v>3015</v>
      </c>
      <c r="C2334" s="2" t="s">
        <v>3015</v>
      </c>
      <c r="D2334" s="2" t="s">
        <v>1836</v>
      </c>
      <c r="E2334" s="2" t="s">
        <v>1838</v>
      </c>
      <c r="F2334" s="2">
        <v>3.9942299999999999</v>
      </c>
      <c r="G2334" s="2">
        <v>1.00623</v>
      </c>
      <c r="H2334" s="2">
        <v>-1.98895</v>
      </c>
    </row>
    <row r="2335" spans="1:8" x14ac:dyDescent="0.2">
      <c r="A2335" s="2" t="s">
        <v>480</v>
      </c>
      <c r="B2335" s="2" t="s">
        <v>3039</v>
      </c>
      <c r="C2335" s="2" t="s">
        <v>2068</v>
      </c>
      <c r="D2335" s="2" t="s">
        <v>1836</v>
      </c>
      <c r="E2335" s="2" t="s">
        <v>1837</v>
      </c>
      <c r="F2335" s="2">
        <v>9.6453000000000007</v>
      </c>
      <c r="G2335" s="2">
        <v>2.4267500000000002</v>
      </c>
      <c r="H2335" s="2">
        <v>-1.9907999999999999</v>
      </c>
    </row>
    <row r="2336" spans="1:8" x14ac:dyDescent="0.2">
      <c r="A2336" s="2" t="s">
        <v>696</v>
      </c>
      <c r="B2336" s="2" t="s">
        <v>3193</v>
      </c>
      <c r="C2336" s="2" t="s">
        <v>2166</v>
      </c>
      <c r="D2336" s="2" t="s">
        <v>1836</v>
      </c>
      <c r="E2336" s="2" t="s">
        <v>1837</v>
      </c>
      <c r="F2336" s="2">
        <v>15.4168</v>
      </c>
      <c r="G2336" s="2">
        <v>3.8514400000000002</v>
      </c>
      <c r="H2336" s="2">
        <v>-2.0010300000000001</v>
      </c>
    </row>
    <row r="2337" spans="1:8" x14ac:dyDescent="0.2">
      <c r="A2337" s="2" t="s">
        <v>361</v>
      </c>
      <c r="B2337" s="2" t="s">
        <v>3015</v>
      </c>
      <c r="C2337" s="2" t="s">
        <v>1948</v>
      </c>
      <c r="D2337" s="2" t="s">
        <v>1836</v>
      </c>
      <c r="E2337" s="2" t="s">
        <v>1838</v>
      </c>
      <c r="F2337" s="2">
        <v>21.107800000000001</v>
      </c>
      <c r="G2337" s="2">
        <v>5.2730199999999998</v>
      </c>
      <c r="H2337" s="2">
        <v>-2.0010699999999999</v>
      </c>
    </row>
    <row r="2338" spans="1:8" x14ac:dyDescent="0.2">
      <c r="A2338" s="2" t="s">
        <v>214</v>
      </c>
      <c r="B2338" s="2" t="s">
        <v>3015</v>
      </c>
      <c r="C2338" s="2" t="s">
        <v>1945</v>
      </c>
      <c r="D2338" s="2" t="s">
        <v>1836</v>
      </c>
      <c r="E2338" s="2" t="s">
        <v>1838</v>
      </c>
      <c r="F2338" s="2">
        <v>4.7435600000000004</v>
      </c>
      <c r="G2338" s="2">
        <v>1.1833100000000001</v>
      </c>
      <c r="H2338" s="2">
        <v>-2.0031400000000001</v>
      </c>
    </row>
    <row r="2339" spans="1:8" x14ac:dyDescent="0.2">
      <c r="A2339" s="2" t="s">
        <v>414</v>
      </c>
      <c r="B2339" s="2" t="s">
        <v>3015</v>
      </c>
      <c r="C2339" s="2" t="s">
        <v>2034</v>
      </c>
      <c r="D2339" s="2" t="s">
        <v>1836</v>
      </c>
      <c r="E2339" s="2" t="s">
        <v>1838</v>
      </c>
      <c r="F2339" s="2">
        <v>0.91733600000000004</v>
      </c>
      <c r="G2339" s="2">
        <v>0.22856899999999999</v>
      </c>
      <c r="H2339" s="2">
        <v>-2.00482</v>
      </c>
    </row>
    <row r="2340" spans="1:8" x14ac:dyDescent="0.2">
      <c r="A2340" s="2" t="s">
        <v>1693</v>
      </c>
      <c r="B2340" s="2" t="s">
        <v>3030</v>
      </c>
      <c r="C2340" s="2" t="s">
        <v>3016</v>
      </c>
      <c r="D2340" s="2" t="s">
        <v>1839</v>
      </c>
      <c r="E2340" s="2" t="s">
        <v>1840</v>
      </c>
      <c r="F2340" s="2">
        <v>1.78399</v>
      </c>
      <c r="G2340" s="2">
        <v>0.44422299999999998</v>
      </c>
      <c r="H2340" s="2">
        <v>-2.0057499999999999</v>
      </c>
    </row>
    <row r="2341" spans="1:8" x14ac:dyDescent="0.2">
      <c r="A2341" s="2" t="s">
        <v>1567</v>
      </c>
      <c r="B2341" s="2" t="s">
        <v>3155</v>
      </c>
      <c r="C2341" s="2" t="s">
        <v>2723</v>
      </c>
      <c r="D2341" s="2" t="s">
        <v>1839</v>
      </c>
      <c r="E2341" s="2" t="s">
        <v>1841</v>
      </c>
      <c r="F2341" s="2">
        <v>3.49817</v>
      </c>
      <c r="G2341" s="2">
        <v>0.87029000000000001</v>
      </c>
      <c r="H2341" s="2">
        <v>-2.0070299999999999</v>
      </c>
    </row>
    <row r="2342" spans="1:8" x14ac:dyDescent="0.2">
      <c r="A2342" s="2" t="s">
        <v>1686</v>
      </c>
      <c r="B2342" s="2" t="s">
        <v>3049</v>
      </c>
      <c r="C2342" s="2" t="s">
        <v>2855</v>
      </c>
      <c r="D2342" s="2" t="s">
        <v>1839</v>
      </c>
      <c r="E2342" s="2" t="s">
        <v>1841</v>
      </c>
      <c r="F2342" s="2">
        <v>1.0301499999999999</v>
      </c>
      <c r="G2342" s="2">
        <v>0.255938</v>
      </c>
      <c r="H2342" s="2">
        <v>-2.0089899999999998</v>
      </c>
    </row>
    <row r="2343" spans="1:8" x14ac:dyDescent="0.2">
      <c r="A2343" s="2" t="s">
        <v>121</v>
      </c>
      <c r="B2343" s="2" t="s">
        <v>3015</v>
      </c>
      <c r="C2343" s="2" t="s">
        <v>1897</v>
      </c>
      <c r="D2343" s="2" t="s">
        <v>1836</v>
      </c>
      <c r="E2343" s="2" t="s">
        <v>1837</v>
      </c>
      <c r="F2343" s="2">
        <v>17.191099999999999</v>
      </c>
      <c r="G2343" s="2">
        <v>4.23956</v>
      </c>
      <c r="H2343" s="2">
        <v>-2.0196700000000001</v>
      </c>
    </row>
    <row r="2344" spans="1:8" x14ac:dyDescent="0.2">
      <c r="A2344" s="2" t="s">
        <v>364</v>
      </c>
      <c r="B2344" s="2" t="s">
        <v>3015</v>
      </c>
      <c r="C2344" s="2" t="s">
        <v>2010</v>
      </c>
      <c r="D2344" s="2" t="s">
        <v>1839</v>
      </c>
      <c r="E2344" s="2" t="s">
        <v>1841</v>
      </c>
      <c r="F2344" s="2">
        <v>1.4238599999999999</v>
      </c>
      <c r="G2344" s="2">
        <v>0.35070899999999999</v>
      </c>
      <c r="H2344" s="2">
        <v>-2.0214699999999999</v>
      </c>
    </row>
    <row r="2345" spans="1:8" x14ac:dyDescent="0.2">
      <c r="A2345" s="2" t="s">
        <v>69</v>
      </c>
      <c r="B2345" s="2" t="s">
        <v>3047</v>
      </c>
      <c r="C2345" s="2" t="s">
        <v>1879</v>
      </c>
      <c r="D2345" s="2" t="s">
        <v>1836</v>
      </c>
      <c r="E2345" s="2" t="s">
        <v>1837</v>
      </c>
      <c r="F2345" s="2">
        <v>4.0621799999999997</v>
      </c>
      <c r="G2345" s="2">
        <v>0.99835700000000005</v>
      </c>
      <c r="H2345" s="2">
        <v>-2.0246300000000002</v>
      </c>
    </row>
    <row r="2346" spans="1:8" x14ac:dyDescent="0.2">
      <c r="A2346" s="2" t="s">
        <v>1449</v>
      </c>
      <c r="B2346" s="2" t="s">
        <v>3379</v>
      </c>
      <c r="C2346" s="2" t="s">
        <v>2600</v>
      </c>
      <c r="D2346" s="2" t="s">
        <v>1839</v>
      </c>
      <c r="E2346" s="2" t="s">
        <v>1840</v>
      </c>
      <c r="F2346" s="2">
        <v>1.2545200000000001</v>
      </c>
      <c r="G2346" s="2">
        <v>0.30783300000000002</v>
      </c>
      <c r="H2346" s="2">
        <v>-2.0269200000000001</v>
      </c>
    </row>
    <row r="2347" spans="1:8" x14ac:dyDescent="0.2">
      <c r="A2347" s="2" t="s">
        <v>380</v>
      </c>
      <c r="B2347" s="2" t="s">
        <v>3121</v>
      </c>
      <c r="C2347" s="2" t="s">
        <v>2750</v>
      </c>
      <c r="D2347" s="2" t="s">
        <v>1839</v>
      </c>
      <c r="E2347" s="2" t="s">
        <v>1841</v>
      </c>
      <c r="F2347" s="2">
        <v>8.7213799999999999</v>
      </c>
      <c r="G2347" s="2">
        <v>2.1347</v>
      </c>
      <c r="H2347" s="2">
        <v>-2.0305200000000001</v>
      </c>
    </row>
    <row r="2348" spans="1:8" x14ac:dyDescent="0.2">
      <c r="A2348" s="2" t="s">
        <v>1042</v>
      </c>
      <c r="B2348" s="2" t="s">
        <v>3062</v>
      </c>
      <c r="C2348" s="2" t="s">
        <v>2188</v>
      </c>
      <c r="D2348" s="2" t="s">
        <v>1836</v>
      </c>
      <c r="E2348" s="2" t="s">
        <v>1838</v>
      </c>
      <c r="F2348" s="2">
        <v>3.4969700000000001</v>
      </c>
      <c r="G2348" s="2">
        <v>0.85538400000000003</v>
      </c>
      <c r="H2348" s="2">
        <v>-2.03146</v>
      </c>
    </row>
    <row r="2349" spans="1:8" x14ac:dyDescent="0.2">
      <c r="A2349" s="2" t="s">
        <v>749</v>
      </c>
      <c r="B2349" s="2" t="s">
        <v>3015</v>
      </c>
      <c r="C2349" s="2" t="s">
        <v>3016</v>
      </c>
      <c r="D2349" s="2" t="s">
        <v>1839</v>
      </c>
      <c r="E2349" s="2" t="s">
        <v>1841</v>
      </c>
      <c r="F2349" s="2">
        <v>39.369199999999999</v>
      </c>
      <c r="G2349" s="2">
        <v>9.5924200000000006</v>
      </c>
      <c r="H2349" s="2">
        <v>-2.0371000000000001</v>
      </c>
    </row>
    <row r="2350" spans="1:8" x14ac:dyDescent="0.2">
      <c r="A2350" s="2" t="s">
        <v>456</v>
      </c>
      <c r="B2350" s="2" t="s">
        <v>3143</v>
      </c>
      <c r="C2350" s="2" t="s">
        <v>2058</v>
      </c>
      <c r="D2350" s="2" t="s">
        <v>1836</v>
      </c>
      <c r="E2350" s="2" t="s">
        <v>1837</v>
      </c>
      <c r="F2350" s="2">
        <v>389.113</v>
      </c>
      <c r="G2350" s="2">
        <v>94.306399999999996</v>
      </c>
      <c r="H2350" s="2">
        <v>-2.0447600000000001</v>
      </c>
    </row>
    <row r="2351" spans="1:8" x14ac:dyDescent="0.2">
      <c r="A2351" s="2" t="s">
        <v>1199</v>
      </c>
      <c r="B2351" s="2" t="s">
        <v>3045</v>
      </c>
      <c r="C2351" s="2" t="s">
        <v>2423</v>
      </c>
      <c r="D2351" s="2" t="s">
        <v>1836</v>
      </c>
      <c r="E2351" s="2" t="s">
        <v>1838</v>
      </c>
      <c r="F2351" s="2">
        <v>1.44997</v>
      </c>
      <c r="G2351" s="2">
        <v>0.35103600000000001</v>
      </c>
      <c r="H2351" s="2">
        <v>-2.0463300000000002</v>
      </c>
    </row>
    <row r="2352" spans="1:8" x14ac:dyDescent="0.2">
      <c r="A2352" s="2" t="s">
        <v>1194</v>
      </c>
      <c r="B2352" s="2" t="s">
        <v>3300</v>
      </c>
      <c r="C2352" s="2" t="s">
        <v>2420</v>
      </c>
      <c r="D2352" s="2" t="s">
        <v>1836</v>
      </c>
      <c r="E2352" s="2" t="s">
        <v>1838</v>
      </c>
      <c r="F2352" s="2">
        <v>8.2578099999999992</v>
      </c>
      <c r="G2352" s="2">
        <v>1.9921800000000001</v>
      </c>
      <c r="H2352" s="2">
        <v>-2.0514100000000002</v>
      </c>
    </row>
    <row r="2353" spans="1:8" x14ac:dyDescent="0.2">
      <c r="A2353" s="2" t="s">
        <v>763</v>
      </c>
      <c r="B2353" s="2" t="s">
        <v>3045</v>
      </c>
      <c r="C2353" s="2" t="s">
        <v>2193</v>
      </c>
      <c r="D2353" s="2" t="s">
        <v>1836</v>
      </c>
      <c r="E2353" s="2" t="s">
        <v>1838</v>
      </c>
      <c r="F2353" s="2">
        <v>4.4005799999999997</v>
      </c>
      <c r="G2353" s="2">
        <v>1.0616099999999999</v>
      </c>
      <c r="H2353" s="2">
        <v>-2.0514299999999999</v>
      </c>
    </row>
    <row r="2354" spans="1:8" x14ac:dyDescent="0.2">
      <c r="A2354" s="2" t="s">
        <v>803</v>
      </c>
      <c r="B2354" s="2" t="s">
        <v>3093</v>
      </c>
      <c r="C2354" s="2" t="s">
        <v>2209</v>
      </c>
      <c r="D2354" s="2" t="s">
        <v>1839</v>
      </c>
      <c r="E2354" s="2" t="s">
        <v>1840</v>
      </c>
      <c r="F2354" s="2">
        <v>147.08500000000001</v>
      </c>
      <c r="G2354" s="2">
        <v>35.334899999999998</v>
      </c>
      <c r="H2354" s="2">
        <v>-2.05748</v>
      </c>
    </row>
    <row r="2355" spans="1:8" x14ac:dyDescent="0.2">
      <c r="A2355" s="2" t="s">
        <v>1182</v>
      </c>
      <c r="B2355" s="2" t="s">
        <v>3295</v>
      </c>
      <c r="C2355" s="2" t="s">
        <v>2409</v>
      </c>
      <c r="D2355" s="2" t="s">
        <v>1836</v>
      </c>
      <c r="E2355" s="2" t="s">
        <v>1838</v>
      </c>
      <c r="F2355" s="2">
        <v>2.1414800000000001</v>
      </c>
      <c r="G2355" s="2">
        <v>0.51398299999999997</v>
      </c>
      <c r="H2355" s="2">
        <v>-2.0588099999999998</v>
      </c>
    </row>
    <row r="2356" spans="1:8" x14ac:dyDescent="0.2">
      <c r="A2356" s="2" t="s">
        <v>507</v>
      </c>
      <c r="B2356" s="2" t="s">
        <v>3015</v>
      </c>
      <c r="C2356" s="2" t="s">
        <v>2082</v>
      </c>
      <c r="D2356" s="2" t="s">
        <v>1836</v>
      </c>
      <c r="E2356" s="2" t="s">
        <v>1838</v>
      </c>
      <c r="F2356" s="2">
        <v>2.4866899999999998</v>
      </c>
      <c r="G2356" s="2">
        <v>0.59425399999999995</v>
      </c>
      <c r="H2356" s="2">
        <v>-2.06508</v>
      </c>
    </row>
    <row r="2357" spans="1:8" x14ac:dyDescent="0.2">
      <c r="A2357" s="2" t="s">
        <v>910</v>
      </c>
      <c r="B2357" s="2" t="s">
        <v>3015</v>
      </c>
      <c r="C2357" s="2" t="s">
        <v>2266</v>
      </c>
      <c r="D2357" s="2" t="s">
        <v>1836</v>
      </c>
      <c r="E2357" s="2" t="s">
        <v>1838</v>
      </c>
      <c r="F2357" s="2">
        <v>6.3342799999999997</v>
      </c>
      <c r="G2357" s="2">
        <v>1.51119</v>
      </c>
      <c r="H2357" s="2">
        <v>-2.0674899999999998</v>
      </c>
    </row>
    <row r="2358" spans="1:8" x14ac:dyDescent="0.2">
      <c r="A2358" s="2" t="s">
        <v>681</v>
      </c>
      <c r="B2358" s="2" t="s">
        <v>3015</v>
      </c>
      <c r="C2358" s="2" t="s">
        <v>3015</v>
      </c>
      <c r="D2358" s="2" t="s">
        <v>1836</v>
      </c>
      <c r="E2358" s="2" t="s">
        <v>1838</v>
      </c>
      <c r="F2358" s="2">
        <v>1.41387</v>
      </c>
      <c r="G2358" s="2">
        <v>0.33641100000000002</v>
      </c>
      <c r="H2358" s="2">
        <v>-2.0713499999999998</v>
      </c>
    </row>
    <row r="2359" spans="1:8" x14ac:dyDescent="0.2">
      <c r="A2359" s="2" t="s">
        <v>429</v>
      </c>
      <c r="B2359" s="2" t="s">
        <v>3094</v>
      </c>
      <c r="C2359" s="2" t="s">
        <v>2042</v>
      </c>
      <c r="D2359" s="2" t="s">
        <v>1836</v>
      </c>
      <c r="E2359" s="2" t="s">
        <v>1837</v>
      </c>
      <c r="F2359" s="2">
        <v>9.0958199999999998</v>
      </c>
      <c r="G2359" s="2">
        <v>2.1496</v>
      </c>
      <c r="H2359" s="2">
        <v>-2.08114</v>
      </c>
    </row>
    <row r="2360" spans="1:8" x14ac:dyDescent="0.2">
      <c r="A2360" s="2" t="s">
        <v>365</v>
      </c>
      <c r="B2360" s="2" t="s">
        <v>3126</v>
      </c>
      <c r="C2360" s="2" t="s">
        <v>2011</v>
      </c>
      <c r="D2360" s="2" t="s">
        <v>1836</v>
      </c>
      <c r="E2360" s="2" t="s">
        <v>1838</v>
      </c>
      <c r="F2360" s="2">
        <v>42.749299999999998</v>
      </c>
      <c r="G2360" s="2">
        <v>10.098000000000001</v>
      </c>
      <c r="H2360" s="2">
        <v>-2.0818400000000001</v>
      </c>
    </row>
    <row r="2361" spans="1:8" x14ac:dyDescent="0.2">
      <c r="A2361" s="2" t="s">
        <v>1150</v>
      </c>
      <c r="B2361" s="2" t="s">
        <v>3286</v>
      </c>
      <c r="C2361" s="2" t="s">
        <v>2382</v>
      </c>
      <c r="D2361" s="2" t="s">
        <v>1836</v>
      </c>
      <c r="E2361" s="2" t="s">
        <v>1838</v>
      </c>
      <c r="F2361" s="2">
        <v>0.81876700000000002</v>
      </c>
      <c r="G2361" s="2">
        <v>0.191665</v>
      </c>
      <c r="H2361" s="2">
        <v>-2.0948699999999998</v>
      </c>
    </row>
    <row r="2362" spans="1:8" x14ac:dyDescent="0.2">
      <c r="A2362" s="2" t="s">
        <v>231</v>
      </c>
      <c r="B2362" s="2" t="s">
        <v>3091</v>
      </c>
      <c r="C2362" s="2" t="s">
        <v>3016</v>
      </c>
      <c r="D2362" s="2" t="s">
        <v>1836</v>
      </c>
      <c r="E2362" s="2" t="s">
        <v>1837</v>
      </c>
      <c r="F2362" s="2">
        <v>2.6390799999999999</v>
      </c>
      <c r="G2362" s="2">
        <v>0.61499300000000001</v>
      </c>
      <c r="H2362" s="2">
        <v>-2.1013899999999999</v>
      </c>
    </row>
    <row r="2363" spans="1:8" x14ac:dyDescent="0.2">
      <c r="A2363" s="2" t="s">
        <v>1083</v>
      </c>
      <c r="B2363" s="2" t="s">
        <v>3080</v>
      </c>
      <c r="C2363" s="2" t="s">
        <v>2350</v>
      </c>
      <c r="D2363" s="2" t="s">
        <v>1836</v>
      </c>
      <c r="E2363" s="2" t="s">
        <v>1837</v>
      </c>
      <c r="F2363" s="2">
        <v>8.1259999999999994</v>
      </c>
      <c r="G2363" s="2">
        <v>1.8910499999999999</v>
      </c>
      <c r="H2363" s="2">
        <v>-2.1033599999999999</v>
      </c>
    </row>
    <row r="2364" spans="1:8" x14ac:dyDescent="0.2">
      <c r="A2364" s="2" t="s">
        <v>1431</v>
      </c>
      <c r="B2364" s="2" t="s">
        <v>3053</v>
      </c>
      <c r="C2364" s="2" t="s">
        <v>2495</v>
      </c>
      <c r="D2364" s="2" t="s">
        <v>1836</v>
      </c>
      <c r="E2364" s="2" t="s">
        <v>1838</v>
      </c>
      <c r="F2364" s="2">
        <v>1.1852799999999999</v>
      </c>
      <c r="G2364" s="2">
        <v>0.275754</v>
      </c>
      <c r="H2364" s="2">
        <v>-2.1037699999999999</v>
      </c>
    </row>
    <row r="2365" spans="1:8" x14ac:dyDescent="0.2">
      <c r="A2365" s="2" t="s">
        <v>1609</v>
      </c>
      <c r="B2365" s="2" t="s">
        <v>3093</v>
      </c>
      <c r="C2365" s="2" t="s">
        <v>2770</v>
      </c>
      <c r="D2365" s="2" t="s">
        <v>1839</v>
      </c>
      <c r="E2365" s="2" t="s">
        <v>1841</v>
      </c>
      <c r="F2365" s="2">
        <v>0.99762700000000004</v>
      </c>
      <c r="G2365" s="2">
        <v>0.23108200000000001</v>
      </c>
      <c r="H2365" s="2">
        <v>-2.1101000000000001</v>
      </c>
    </row>
    <row r="2366" spans="1:8" x14ac:dyDescent="0.2">
      <c r="A2366" s="2" t="s">
        <v>135</v>
      </c>
      <c r="B2366" s="2" t="s">
        <v>3015</v>
      </c>
      <c r="C2366" s="2" t="s">
        <v>1904</v>
      </c>
      <c r="D2366" s="2" t="s">
        <v>1836</v>
      </c>
      <c r="E2366" s="2" t="s">
        <v>1837</v>
      </c>
      <c r="F2366" s="2">
        <v>1.90184</v>
      </c>
      <c r="G2366" s="2">
        <v>0.439998</v>
      </c>
      <c r="H2366" s="2">
        <v>-2.1118299999999999</v>
      </c>
    </row>
    <row r="2367" spans="1:8" x14ac:dyDescent="0.2">
      <c r="A2367" s="2" t="s">
        <v>182</v>
      </c>
      <c r="B2367" s="2" t="s">
        <v>3047</v>
      </c>
      <c r="C2367" s="2" t="s">
        <v>1928</v>
      </c>
      <c r="D2367" s="2" t="s">
        <v>1836</v>
      </c>
      <c r="E2367" s="2" t="s">
        <v>1837</v>
      </c>
      <c r="F2367" s="2">
        <v>0.87856100000000004</v>
      </c>
      <c r="G2367" s="2">
        <v>0.20307700000000001</v>
      </c>
      <c r="H2367" s="2">
        <v>-2.1131099999999998</v>
      </c>
    </row>
    <row r="2368" spans="1:8" x14ac:dyDescent="0.2">
      <c r="A2368" s="2" t="s">
        <v>525</v>
      </c>
      <c r="B2368" s="2" t="s">
        <v>3015</v>
      </c>
      <c r="C2368" s="2" t="s">
        <v>3015</v>
      </c>
      <c r="D2368" s="2" t="s">
        <v>1836</v>
      </c>
      <c r="E2368" s="2" t="s">
        <v>1837</v>
      </c>
      <c r="F2368" s="2">
        <v>18.343399999999999</v>
      </c>
      <c r="G2368" s="2">
        <v>4.2271700000000001</v>
      </c>
      <c r="H2368" s="2">
        <v>-2.1175000000000002</v>
      </c>
    </row>
    <row r="2369" spans="1:8" x14ac:dyDescent="0.2">
      <c r="A2369" s="2" t="s">
        <v>929</v>
      </c>
      <c r="B2369" s="2" t="s">
        <v>3047</v>
      </c>
      <c r="C2369" s="2" t="s">
        <v>2277</v>
      </c>
      <c r="D2369" s="2" t="s">
        <v>1836</v>
      </c>
      <c r="E2369" s="2" t="s">
        <v>1837</v>
      </c>
      <c r="F2369" s="2">
        <v>8.9835600000000007</v>
      </c>
      <c r="G2369" s="2">
        <v>2.0699399999999999</v>
      </c>
      <c r="H2369" s="2">
        <v>-2.1177000000000001</v>
      </c>
    </row>
    <row r="2370" spans="1:8" x14ac:dyDescent="0.2">
      <c r="A2370" s="2" t="s">
        <v>265</v>
      </c>
      <c r="B2370" s="2" t="s">
        <v>3045</v>
      </c>
      <c r="C2370" s="2" t="s">
        <v>1923</v>
      </c>
      <c r="D2370" s="2" t="s">
        <v>1836</v>
      </c>
      <c r="E2370" s="2" t="s">
        <v>1837</v>
      </c>
      <c r="F2370" s="2">
        <v>1.00288</v>
      </c>
      <c r="G2370" s="2">
        <v>0.23069400000000001</v>
      </c>
      <c r="H2370" s="2">
        <v>-2.1200899999999998</v>
      </c>
    </row>
    <row r="2371" spans="1:8" x14ac:dyDescent="0.2">
      <c r="A2371" s="2" t="s">
        <v>849</v>
      </c>
      <c r="B2371" s="2" t="s">
        <v>3222</v>
      </c>
      <c r="C2371" s="2" t="s">
        <v>2235</v>
      </c>
      <c r="D2371" s="2" t="s">
        <v>1836</v>
      </c>
      <c r="E2371" s="2" t="s">
        <v>1838</v>
      </c>
      <c r="F2371" s="2">
        <v>9.0080600000000004</v>
      </c>
      <c r="G2371" s="2">
        <v>2.07213</v>
      </c>
      <c r="H2371" s="2">
        <v>-2.1200999999999999</v>
      </c>
    </row>
    <row r="2372" spans="1:8" x14ac:dyDescent="0.2">
      <c r="A2372" s="2" t="s">
        <v>1022</v>
      </c>
      <c r="B2372" s="2" t="s">
        <v>3015</v>
      </c>
      <c r="C2372" s="2" t="s">
        <v>1847</v>
      </c>
      <c r="D2372" s="2" t="s">
        <v>1836</v>
      </c>
      <c r="E2372" s="2" t="s">
        <v>1837</v>
      </c>
      <c r="F2372" s="2">
        <v>3.0855399999999999</v>
      </c>
      <c r="G2372" s="2">
        <v>0.70496400000000004</v>
      </c>
      <c r="H2372" s="2">
        <v>-2.1299000000000001</v>
      </c>
    </row>
    <row r="2373" spans="1:8" x14ac:dyDescent="0.2">
      <c r="A2373" s="2" t="s">
        <v>656</v>
      </c>
      <c r="B2373" s="2" t="s">
        <v>3015</v>
      </c>
      <c r="C2373" s="2" t="s">
        <v>3016</v>
      </c>
      <c r="D2373" s="2" t="s">
        <v>1836</v>
      </c>
      <c r="E2373" s="2" t="s">
        <v>1837</v>
      </c>
      <c r="F2373" s="2">
        <v>10.4472</v>
      </c>
      <c r="G2373" s="2">
        <v>2.3680500000000002</v>
      </c>
      <c r="H2373" s="2">
        <v>-2.14134</v>
      </c>
    </row>
    <row r="2374" spans="1:8" x14ac:dyDescent="0.2">
      <c r="A2374" s="2" t="s">
        <v>750</v>
      </c>
      <c r="B2374" s="2" t="s">
        <v>3047</v>
      </c>
      <c r="C2374" s="2" t="s">
        <v>3015</v>
      </c>
      <c r="D2374" s="2" t="s">
        <v>1836</v>
      </c>
      <c r="E2374" s="2" t="s">
        <v>1838</v>
      </c>
      <c r="F2374" s="2">
        <v>5.2603799999999996</v>
      </c>
      <c r="G2374" s="2">
        <v>1.19153</v>
      </c>
      <c r="H2374" s="2">
        <v>-2.14235</v>
      </c>
    </row>
    <row r="2375" spans="1:8" x14ac:dyDescent="0.2">
      <c r="A2375" s="2" t="s">
        <v>518</v>
      </c>
      <c r="B2375" s="2" t="s">
        <v>3015</v>
      </c>
      <c r="C2375" s="2" t="s">
        <v>2087</v>
      </c>
      <c r="D2375" s="2" t="s">
        <v>1836</v>
      </c>
      <c r="E2375" s="2" t="s">
        <v>1838</v>
      </c>
      <c r="F2375" s="2">
        <v>6.4826899999999998</v>
      </c>
      <c r="G2375" s="2">
        <v>1.4646699999999999</v>
      </c>
      <c r="H2375" s="2">
        <v>-2.14601</v>
      </c>
    </row>
    <row r="2376" spans="1:8" x14ac:dyDescent="0.2">
      <c r="A2376" s="2" t="s">
        <v>1372</v>
      </c>
      <c r="B2376" s="2" t="s">
        <v>3354</v>
      </c>
      <c r="C2376" s="2" t="s">
        <v>2552</v>
      </c>
      <c r="D2376" s="2" t="s">
        <v>1836</v>
      </c>
      <c r="E2376" s="2" t="s">
        <v>1838</v>
      </c>
      <c r="F2376" s="2">
        <v>4.0178599999999998</v>
      </c>
      <c r="G2376" s="2">
        <v>0.90687600000000002</v>
      </c>
      <c r="H2376" s="2">
        <v>-2.1474500000000001</v>
      </c>
    </row>
    <row r="2377" spans="1:8" x14ac:dyDescent="0.2">
      <c r="A2377" s="2" t="s">
        <v>1253</v>
      </c>
      <c r="B2377" s="2" t="s">
        <v>3321</v>
      </c>
      <c r="C2377" s="2" t="s">
        <v>2461</v>
      </c>
      <c r="D2377" s="2" t="s">
        <v>1836</v>
      </c>
      <c r="E2377" s="2" t="s">
        <v>1838</v>
      </c>
      <c r="F2377" s="2">
        <v>11.401300000000001</v>
      </c>
      <c r="G2377" s="2">
        <v>2.5701100000000001</v>
      </c>
      <c r="H2377" s="2">
        <v>-2.1493000000000002</v>
      </c>
    </row>
    <row r="2378" spans="1:8" x14ac:dyDescent="0.2">
      <c r="A2378" s="2" t="s">
        <v>1586</v>
      </c>
      <c r="B2378" s="2" t="s">
        <v>3015</v>
      </c>
      <c r="C2378" s="2" t="s">
        <v>2745</v>
      </c>
      <c r="D2378" s="2" t="s">
        <v>1839</v>
      </c>
      <c r="E2378" s="2" t="s">
        <v>1841</v>
      </c>
      <c r="F2378" s="2">
        <v>0.96471899999999999</v>
      </c>
      <c r="G2378" s="2">
        <v>0.21701899999999999</v>
      </c>
      <c r="H2378" s="2">
        <v>-2.1522899999999998</v>
      </c>
    </row>
    <row r="2379" spans="1:8" x14ac:dyDescent="0.2">
      <c r="A2379" s="2" t="s">
        <v>314</v>
      </c>
      <c r="B2379" s="2" t="s">
        <v>3094</v>
      </c>
      <c r="C2379" s="2" t="s">
        <v>1955</v>
      </c>
      <c r="D2379" s="2" t="s">
        <v>1836</v>
      </c>
      <c r="E2379" s="2" t="s">
        <v>1837</v>
      </c>
      <c r="F2379" s="2">
        <v>1.49472</v>
      </c>
      <c r="G2379" s="2">
        <v>0.33613900000000002</v>
      </c>
      <c r="H2379" s="2">
        <v>-2.1527400000000001</v>
      </c>
    </row>
    <row r="2380" spans="1:8" x14ac:dyDescent="0.2">
      <c r="A2380" s="2" t="s">
        <v>1466</v>
      </c>
      <c r="B2380" s="2" t="s">
        <v>3313</v>
      </c>
      <c r="C2380" s="2" t="s">
        <v>2479</v>
      </c>
      <c r="D2380" s="2" t="s">
        <v>1836</v>
      </c>
      <c r="E2380" s="2" t="s">
        <v>1838</v>
      </c>
      <c r="F2380" s="2">
        <v>146.245</v>
      </c>
      <c r="G2380" s="2">
        <v>32.774700000000003</v>
      </c>
      <c r="H2380" s="2">
        <v>-2.1577299999999999</v>
      </c>
    </row>
    <row r="2381" spans="1:8" x14ac:dyDescent="0.2">
      <c r="A2381" s="2" t="s">
        <v>707</v>
      </c>
      <c r="B2381" s="2" t="s">
        <v>3015</v>
      </c>
      <c r="C2381" s="2" t="s">
        <v>2171</v>
      </c>
      <c r="D2381" s="2" t="s">
        <v>1836</v>
      </c>
      <c r="E2381" s="2" t="s">
        <v>1838</v>
      </c>
      <c r="F2381" s="2">
        <v>22.814599999999999</v>
      </c>
      <c r="G2381" s="2">
        <v>5.0983799999999997</v>
      </c>
      <c r="H2381" s="2">
        <v>-2.1618499999999998</v>
      </c>
    </row>
    <row r="2382" spans="1:8" x14ac:dyDescent="0.2">
      <c r="A2382" s="2" t="s">
        <v>597</v>
      </c>
      <c r="B2382" s="2" t="s">
        <v>3172</v>
      </c>
      <c r="C2382" s="2" t="s">
        <v>3016</v>
      </c>
      <c r="D2382" s="2" t="s">
        <v>1836</v>
      </c>
      <c r="E2382" s="2" t="s">
        <v>1838</v>
      </c>
      <c r="F2382" s="2">
        <v>8.3787299999999991</v>
      </c>
      <c r="G2382" s="2">
        <v>1.8648100000000001</v>
      </c>
      <c r="H2382" s="2">
        <v>-2.1677</v>
      </c>
    </row>
    <row r="2383" spans="1:8" x14ac:dyDescent="0.2">
      <c r="A2383" s="2" t="s">
        <v>834</v>
      </c>
      <c r="B2383" s="2" t="s">
        <v>3034</v>
      </c>
      <c r="C2383" s="2" t="s">
        <v>2224</v>
      </c>
      <c r="D2383" s="2" t="s">
        <v>1836</v>
      </c>
      <c r="E2383" s="2" t="s">
        <v>1838</v>
      </c>
      <c r="F2383" s="2">
        <v>1.16185</v>
      </c>
      <c r="G2383" s="2">
        <v>0.25799699999999998</v>
      </c>
      <c r="H2383" s="2">
        <v>-2.1709999999999998</v>
      </c>
    </row>
    <row r="2384" spans="1:8" x14ac:dyDescent="0.2">
      <c r="A2384" s="2" t="s">
        <v>1040</v>
      </c>
      <c r="B2384" s="2" t="s">
        <v>3379</v>
      </c>
      <c r="C2384" s="2" t="s">
        <v>2600</v>
      </c>
      <c r="D2384" s="2" t="s">
        <v>1836</v>
      </c>
      <c r="E2384" s="2" t="s">
        <v>1838</v>
      </c>
      <c r="F2384" s="2">
        <v>13.463800000000001</v>
      </c>
      <c r="G2384" s="2">
        <v>2.9878200000000001</v>
      </c>
      <c r="H2384" s="2">
        <v>-2.1719200000000001</v>
      </c>
    </row>
    <row r="2385" spans="1:8" x14ac:dyDescent="0.2">
      <c r="A2385" s="2" t="s">
        <v>518</v>
      </c>
      <c r="B2385" s="2" t="s">
        <v>3015</v>
      </c>
      <c r="C2385" s="2" t="s">
        <v>2087</v>
      </c>
      <c r="D2385" s="2" t="s">
        <v>1836</v>
      </c>
      <c r="E2385" s="2" t="s">
        <v>1837</v>
      </c>
      <c r="F2385" s="2">
        <v>6.4826899999999998</v>
      </c>
      <c r="G2385" s="2">
        <v>1.4261999999999999</v>
      </c>
      <c r="H2385" s="2">
        <v>-2.1844199999999998</v>
      </c>
    </row>
    <row r="2386" spans="1:8" x14ac:dyDescent="0.2">
      <c r="A2386" s="2" t="s">
        <v>988</v>
      </c>
      <c r="B2386" s="2" t="s">
        <v>3047</v>
      </c>
      <c r="C2386" s="2" t="s">
        <v>2277</v>
      </c>
      <c r="D2386" s="2" t="s">
        <v>1836</v>
      </c>
      <c r="E2386" s="2" t="s">
        <v>1838</v>
      </c>
      <c r="F2386" s="2">
        <v>9.5418099999999999</v>
      </c>
      <c r="G2386" s="2">
        <v>2.0982599999999998</v>
      </c>
      <c r="H2386" s="2">
        <v>-2.1850700000000001</v>
      </c>
    </row>
    <row r="2387" spans="1:8" x14ac:dyDescent="0.2">
      <c r="A2387" s="2" t="s">
        <v>249</v>
      </c>
      <c r="B2387" s="2" t="s">
        <v>3097</v>
      </c>
      <c r="C2387" s="2" t="s">
        <v>1961</v>
      </c>
      <c r="D2387" s="2" t="s">
        <v>1836</v>
      </c>
      <c r="E2387" s="2" t="s">
        <v>1837</v>
      </c>
      <c r="F2387" s="2">
        <v>3.6669900000000002</v>
      </c>
      <c r="G2387" s="2">
        <v>0.80324300000000004</v>
      </c>
      <c r="H2387" s="2">
        <v>-2.19069</v>
      </c>
    </row>
    <row r="2388" spans="1:8" x14ac:dyDescent="0.2">
      <c r="A2388" s="2" t="s">
        <v>332</v>
      </c>
      <c r="B2388" s="2" t="s">
        <v>3118</v>
      </c>
      <c r="C2388" s="2" t="s">
        <v>3016</v>
      </c>
      <c r="D2388" s="2" t="s">
        <v>1836</v>
      </c>
      <c r="E2388" s="2" t="s">
        <v>1837</v>
      </c>
      <c r="F2388" s="2">
        <v>9.1706900000000005</v>
      </c>
      <c r="G2388" s="2">
        <v>2.0082300000000002</v>
      </c>
      <c r="H2388" s="2">
        <v>-2.1911</v>
      </c>
    </row>
    <row r="2389" spans="1:8" x14ac:dyDescent="0.2">
      <c r="A2389" s="2" t="s">
        <v>1294</v>
      </c>
      <c r="B2389" s="2" t="s">
        <v>3087</v>
      </c>
      <c r="C2389" s="2" t="s">
        <v>2500</v>
      </c>
      <c r="D2389" s="2" t="s">
        <v>1836</v>
      </c>
      <c r="E2389" s="2" t="s">
        <v>1838</v>
      </c>
      <c r="F2389" s="2">
        <v>1.50597</v>
      </c>
      <c r="G2389" s="2">
        <v>0.32916200000000001</v>
      </c>
      <c r="H2389" s="2">
        <v>-2.1938300000000002</v>
      </c>
    </row>
    <row r="2390" spans="1:8" x14ac:dyDescent="0.2">
      <c r="A2390" s="2" t="s">
        <v>276</v>
      </c>
      <c r="B2390" s="2" t="s">
        <v>3081</v>
      </c>
      <c r="C2390" s="2" t="s">
        <v>1847</v>
      </c>
      <c r="D2390" s="2" t="s">
        <v>1836</v>
      </c>
      <c r="E2390" s="2" t="s">
        <v>1838</v>
      </c>
      <c r="F2390" s="2">
        <v>3.7075300000000002</v>
      </c>
      <c r="G2390" s="2">
        <v>0.80881400000000003</v>
      </c>
      <c r="H2390" s="2">
        <v>-2.19658</v>
      </c>
    </row>
    <row r="2391" spans="1:8" x14ac:dyDescent="0.2">
      <c r="A2391" s="2" t="s">
        <v>1324</v>
      </c>
      <c r="B2391" s="2" t="s">
        <v>3015</v>
      </c>
      <c r="C2391" s="2" t="s">
        <v>2522</v>
      </c>
      <c r="D2391" s="2" t="s">
        <v>1836</v>
      </c>
      <c r="E2391" s="2" t="s">
        <v>1838</v>
      </c>
      <c r="F2391" s="2">
        <v>0.80704299999999995</v>
      </c>
      <c r="G2391" s="2">
        <v>0.17449700000000001</v>
      </c>
      <c r="H2391" s="2">
        <v>-2.2094499999999999</v>
      </c>
    </row>
    <row r="2392" spans="1:8" x14ac:dyDescent="0.2">
      <c r="A2392" s="2" t="s">
        <v>172</v>
      </c>
      <c r="B2392" s="2" t="s">
        <v>3069</v>
      </c>
      <c r="C2392" s="2" t="s">
        <v>1847</v>
      </c>
      <c r="D2392" s="2" t="s">
        <v>1836</v>
      </c>
      <c r="E2392" s="2" t="s">
        <v>1837</v>
      </c>
      <c r="F2392" s="2">
        <v>2.29921</v>
      </c>
      <c r="G2392" s="2">
        <v>0.49436099999999999</v>
      </c>
      <c r="H2392" s="2">
        <v>-2.2174999999999998</v>
      </c>
    </row>
    <row r="2393" spans="1:8" x14ac:dyDescent="0.2">
      <c r="A2393" s="2" t="s">
        <v>127</v>
      </c>
      <c r="B2393" s="2" t="s">
        <v>3015</v>
      </c>
      <c r="C2393" s="2" t="s">
        <v>1902</v>
      </c>
      <c r="D2393" s="2" t="s">
        <v>1836</v>
      </c>
      <c r="E2393" s="2" t="s">
        <v>1838</v>
      </c>
      <c r="F2393" s="2">
        <v>13.694800000000001</v>
      </c>
      <c r="G2393" s="2">
        <v>2.9384999999999999</v>
      </c>
      <c r="H2393" s="2">
        <v>-2.2204799999999998</v>
      </c>
    </row>
    <row r="2394" spans="1:8" x14ac:dyDescent="0.2">
      <c r="A2394" s="2" t="s">
        <v>276</v>
      </c>
      <c r="B2394" s="2" t="s">
        <v>3081</v>
      </c>
      <c r="C2394" s="2" t="s">
        <v>1847</v>
      </c>
      <c r="D2394" s="2" t="s">
        <v>1836</v>
      </c>
      <c r="E2394" s="2" t="s">
        <v>1837</v>
      </c>
      <c r="F2394" s="2">
        <v>3.7075300000000002</v>
      </c>
      <c r="G2394" s="2">
        <v>0.79546700000000004</v>
      </c>
      <c r="H2394" s="2">
        <v>-2.2205900000000001</v>
      </c>
    </row>
    <row r="2395" spans="1:8" x14ac:dyDescent="0.2">
      <c r="A2395" s="2" t="s">
        <v>479</v>
      </c>
      <c r="B2395" s="2" t="s">
        <v>3015</v>
      </c>
      <c r="C2395" s="2" t="s">
        <v>2067</v>
      </c>
      <c r="D2395" s="2" t="s">
        <v>1836</v>
      </c>
      <c r="E2395" s="2" t="s">
        <v>1837</v>
      </c>
      <c r="F2395" s="2">
        <v>8.7289999999999992</v>
      </c>
      <c r="G2395" s="2">
        <v>1.81507</v>
      </c>
      <c r="H2395" s="2">
        <v>-2.26579</v>
      </c>
    </row>
    <row r="2396" spans="1:8" x14ac:dyDescent="0.2">
      <c r="A2396" s="2" t="s">
        <v>1036</v>
      </c>
      <c r="B2396" s="2" t="s">
        <v>3015</v>
      </c>
      <c r="C2396" s="2" t="s">
        <v>2330</v>
      </c>
      <c r="D2396" s="2" t="s">
        <v>1836</v>
      </c>
      <c r="E2396" s="2" t="s">
        <v>1838</v>
      </c>
      <c r="F2396" s="2">
        <v>1.91411</v>
      </c>
      <c r="G2396" s="2">
        <v>0.396144</v>
      </c>
      <c r="H2396" s="2">
        <v>-2.27258</v>
      </c>
    </row>
    <row r="2397" spans="1:8" x14ac:dyDescent="0.2">
      <c r="A2397" s="2" t="s">
        <v>865</v>
      </c>
      <c r="B2397" s="2" t="s">
        <v>3064</v>
      </c>
      <c r="C2397" s="2" t="s">
        <v>2583</v>
      </c>
      <c r="D2397" s="2" t="s">
        <v>1836</v>
      </c>
      <c r="E2397" s="2" t="s">
        <v>1838</v>
      </c>
      <c r="F2397" s="2">
        <v>10.179399999999999</v>
      </c>
      <c r="G2397" s="2">
        <v>2.1063499999999999</v>
      </c>
      <c r="H2397" s="2">
        <v>-2.27284</v>
      </c>
    </row>
    <row r="2398" spans="1:8" x14ac:dyDescent="0.2">
      <c r="A2398" s="2" t="s">
        <v>1148</v>
      </c>
      <c r="B2398" s="2" t="s">
        <v>3015</v>
      </c>
      <c r="C2398" s="2" t="s">
        <v>2380</v>
      </c>
      <c r="D2398" s="2" t="s">
        <v>1836</v>
      </c>
      <c r="E2398" s="2" t="s">
        <v>1838</v>
      </c>
      <c r="F2398" s="2">
        <v>0.92591199999999996</v>
      </c>
      <c r="G2398" s="2">
        <v>0.191135</v>
      </c>
      <c r="H2398" s="2">
        <v>-2.2762799999999999</v>
      </c>
    </row>
    <row r="2399" spans="1:8" x14ac:dyDescent="0.2">
      <c r="A2399" s="2" t="s">
        <v>744</v>
      </c>
      <c r="B2399" s="2" t="s">
        <v>3202</v>
      </c>
      <c r="C2399" s="2" t="s">
        <v>1937</v>
      </c>
      <c r="D2399" s="2" t="s">
        <v>1836</v>
      </c>
      <c r="E2399" s="2" t="s">
        <v>1838</v>
      </c>
      <c r="F2399" s="2">
        <v>2.5004200000000001</v>
      </c>
      <c r="G2399" s="2">
        <v>0.51549100000000003</v>
      </c>
      <c r="H2399" s="2">
        <v>-2.2781500000000001</v>
      </c>
    </row>
    <row r="2400" spans="1:8" x14ac:dyDescent="0.2">
      <c r="A2400" s="2" t="s">
        <v>1293</v>
      </c>
      <c r="B2400" s="2" t="s">
        <v>3087</v>
      </c>
      <c r="C2400" s="2" t="s">
        <v>2501</v>
      </c>
      <c r="D2400" s="2" t="s">
        <v>1836</v>
      </c>
      <c r="E2400" s="2" t="s">
        <v>1838</v>
      </c>
      <c r="F2400" s="2">
        <v>1.03203</v>
      </c>
      <c r="G2400" s="2">
        <v>0.212202</v>
      </c>
      <c r="H2400" s="2">
        <v>-2.2819799999999999</v>
      </c>
    </row>
    <row r="2401" spans="1:8" x14ac:dyDescent="0.2">
      <c r="A2401" s="2" t="s">
        <v>1277</v>
      </c>
      <c r="B2401" s="2" t="s">
        <v>3090</v>
      </c>
      <c r="C2401" s="2" t="s">
        <v>2483</v>
      </c>
      <c r="D2401" s="2" t="s">
        <v>1836</v>
      </c>
      <c r="E2401" s="2" t="s">
        <v>1838</v>
      </c>
      <c r="F2401" s="2">
        <v>4.5946400000000001</v>
      </c>
      <c r="G2401" s="2">
        <v>0.94325400000000004</v>
      </c>
      <c r="H2401" s="2">
        <v>-2.28423</v>
      </c>
    </row>
    <row r="2402" spans="1:8" x14ac:dyDescent="0.2">
      <c r="A2402" s="2" t="s">
        <v>33</v>
      </c>
      <c r="B2402" s="2" t="s">
        <v>3033</v>
      </c>
      <c r="C2402" s="2" t="s">
        <v>1858</v>
      </c>
      <c r="D2402" s="2" t="s">
        <v>1836</v>
      </c>
      <c r="E2402" s="2" t="s">
        <v>1837</v>
      </c>
      <c r="F2402" s="2">
        <v>4.0636299999999999</v>
      </c>
      <c r="G2402" s="2">
        <v>0.82154400000000005</v>
      </c>
      <c r="H2402" s="2">
        <v>-2.3063600000000002</v>
      </c>
    </row>
    <row r="2403" spans="1:8" x14ac:dyDescent="0.2">
      <c r="A2403" s="2" t="s">
        <v>157</v>
      </c>
      <c r="B2403" s="2" t="s">
        <v>3064</v>
      </c>
      <c r="C2403" s="2" t="s">
        <v>1918</v>
      </c>
      <c r="D2403" s="2" t="s">
        <v>1836</v>
      </c>
      <c r="E2403" s="2" t="s">
        <v>1838</v>
      </c>
      <c r="F2403" s="2">
        <v>0.81844799999999995</v>
      </c>
      <c r="G2403" s="2">
        <v>0.16528300000000001</v>
      </c>
      <c r="H2403" s="2">
        <v>-2.3079499999999999</v>
      </c>
    </row>
    <row r="2404" spans="1:8" x14ac:dyDescent="0.2">
      <c r="A2404" s="2" t="s">
        <v>98</v>
      </c>
      <c r="B2404" s="2" t="s">
        <v>3045</v>
      </c>
      <c r="C2404" s="2" t="s">
        <v>1875</v>
      </c>
      <c r="D2404" s="2" t="s">
        <v>1836</v>
      </c>
      <c r="E2404" s="2" t="s">
        <v>1838</v>
      </c>
      <c r="F2404" s="2">
        <v>0.88974699999999995</v>
      </c>
      <c r="G2404" s="2">
        <v>0.17877000000000001</v>
      </c>
      <c r="H2404" s="2">
        <v>-2.3152900000000001</v>
      </c>
    </row>
    <row r="2405" spans="1:8" x14ac:dyDescent="0.2">
      <c r="A2405" s="2" t="s">
        <v>32</v>
      </c>
      <c r="B2405" s="2" t="s">
        <v>3033</v>
      </c>
      <c r="C2405" s="2" t="s">
        <v>1858</v>
      </c>
      <c r="D2405" s="2" t="s">
        <v>1836</v>
      </c>
      <c r="E2405" s="2" t="s">
        <v>1837</v>
      </c>
      <c r="F2405" s="2">
        <v>6.3867399999999996</v>
      </c>
      <c r="G2405" s="2">
        <v>1.2709900000000001</v>
      </c>
      <c r="H2405" s="2">
        <v>-2.3291300000000001</v>
      </c>
    </row>
    <row r="2406" spans="1:8" x14ac:dyDescent="0.2">
      <c r="A2406" s="2" t="s">
        <v>937</v>
      </c>
      <c r="B2406" s="2" t="s">
        <v>3137</v>
      </c>
      <c r="C2406" s="2" t="s">
        <v>2280</v>
      </c>
      <c r="D2406" s="2" t="s">
        <v>1836</v>
      </c>
      <c r="E2406" s="2" t="s">
        <v>1838</v>
      </c>
      <c r="F2406" s="2">
        <v>52.618499999999997</v>
      </c>
      <c r="G2406" s="2">
        <v>10.454000000000001</v>
      </c>
      <c r="H2406" s="2">
        <v>-2.3315100000000002</v>
      </c>
    </row>
    <row r="2407" spans="1:8" x14ac:dyDescent="0.2">
      <c r="A2407" s="2" t="s">
        <v>34</v>
      </c>
      <c r="B2407" s="2" t="s">
        <v>3281</v>
      </c>
      <c r="C2407" s="2" t="s">
        <v>2367</v>
      </c>
      <c r="D2407" s="2" t="s">
        <v>1836</v>
      </c>
      <c r="E2407" s="2" t="s">
        <v>1838</v>
      </c>
      <c r="F2407" s="2">
        <v>9.2355999999999998</v>
      </c>
      <c r="G2407" s="2">
        <v>1.83338</v>
      </c>
      <c r="H2407" s="2">
        <v>-2.3327</v>
      </c>
    </row>
    <row r="2408" spans="1:8" x14ac:dyDescent="0.2">
      <c r="A2408" s="2" t="s">
        <v>1083</v>
      </c>
      <c r="B2408" s="2" t="s">
        <v>3080</v>
      </c>
      <c r="C2408" s="2" t="s">
        <v>2350</v>
      </c>
      <c r="D2408" s="2" t="s">
        <v>1836</v>
      </c>
      <c r="E2408" s="2" t="s">
        <v>1838</v>
      </c>
      <c r="F2408" s="2">
        <v>8.1259999999999994</v>
      </c>
      <c r="G2408" s="2">
        <v>1.6121099999999999</v>
      </c>
      <c r="H2408" s="2">
        <v>-2.3336000000000001</v>
      </c>
    </row>
    <row r="2409" spans="1:8" x14ac:dyDescent="0.2">
      <c r="A2409" s="2" t="s">
        <v>157</v>
      </c>
      <c r="B2409" s="2" t="s">
        <v>3064</v>
      </c>
      <c r="C2409" s="2" t="s">
        <v>1918</v>
      </c>
      <c r="D2409" s="2" t="s">
        <v>1836</v>
      </c>
      <c r="E2409" s="2" t="s">
        <v>1837</v>
      </c>
      <c r="F2409" s="2">
        <v>0.81844799999999995</v>
      </c>
      <c r="G2409" s="2">
        <v>0.16173000000000001</v>
      </c>
      <c r="H2409" s="2">
        <v>-2.3393000000000002</v>
      </c>
    </row>
    <row r="2410" spans="1:8" x14ac:dyDescent="0.2">
      <c r="A2410" s="2" t="s">
        <v>763</v>
      </c>
      <c r="B2410" s="2" t="s">
        <v>3045</v>
      </c>
      <c r="C2410" s="2" t="s">
        <v>2193</v>
      </c>
      <c r="D2410" s="2" t="s">
        <v>1836</v>
      </c>
      <c r="E2410" s="2" t="s">
        <v>1837</v>
      </c>
      <c r="F2410" s="2">
        <v>4.4005799999999997</v>
      </c>
      <c r="G2410" s="2">
        <v>0.86180000000000001</v>
      </c>
      <c r="H2410" s="2">
        <v>-2.3522699999999999</v>
      </c>
    </row>
    <row r="2411" spans="1:8" x14ac:dyDescent="0.2">
      <c r="A2411" s="2" t="s">
        <v>413</v>
      </c>
      <c r="B2411" s="2" t="s">
        <v>3050</v>
      </c>
      <c r="C2411" s="2" t="s">
        <v>2033</v>
      </c>
      <c r="D2411" s="2" t="s">
        <v>1836</v>
      </c>
      <c r="E2411" s="2" t="s">
        <v>1838</v>
      </c>
      <c r="F2411" s="2">
        <v>6.9451999999999998</v>
      </c>
      <c r="G2411" s="2">
        <v>1.3449599999999999</v>
      </c>
      <c r="H2411" s="2">
        <v>-2.3684500000000002</v>
      </c>
    </row>
    <row r="2412" spans="1:8" x14ac:dyDescent="0.2">
      <c r="A2412" s="2" t="s">
        <v>405</v>
      </c>
      <c r="B2412" s="2" t="s">
        <v>3063</v>
      </c>
      <c r="C2412" s="2" t="s">
        <v>2030</v>
      </c>
      <c r="D2412" s="2" t="s">
        <v>1836</v>
      </c>
      <c r="E2412" s="2" t="s">
        <v>1838</v>
      </c>
      <c r="F2412" s="2">
        <v>5.6101799999999997</v>
      </c>
      <c r="G2412" s="2">
        <v>1.07995</v>
      </c>
      <c r="H2412" s="2">
        <v>-2.3770799999999999</v>
      </c>
    </row>
    <row r="2413" spans="1:8" x14ac:dyDescent="0.2">
      <c r="A2413" s="2" t="s">
        <v>250</v>
      </c>
      <c r="B2413" s="2" t="s">
        <v>3098</v>
      </c>
      <c r="C2413" s="2" t="s">
        <v>1962</v>
      </c>
      <c r="D2413" s="2" t="s">
        <v>1836</v>
      </c>
      <c r="E2413" s="2" t="s">
        <v>1838</v>
      </c>
      <c r="F2413" s="2">
        <v>1.2837000000000001</v>
      </c>
      <c r="G2413" s="2">
        <v>0.247082</v>
      </c>
      <c r="H2413" s="2">
        <v>-2.3772500000000001</v>
      </c>
    </row>
    <row r="2414" spans="1:8" x14ac:dyDescent="0.2">
      <c r="A2414" s="2" t="s">
        <v>1292</v>
      </c>
      <c r="B2414" s="2" t="s">
        <v>3087</v>
      </c>
      <c r="C2414" s="2" t="s">
        <v>2500</v>
      </c>
      <c r="D2414" s="2" t="s">
        <v>1836</v>
      </c>
      <c r="E2414" s="2" t="s">
        <v>1838</v>
      </c>
      <c r="F2414" s="2">
        <v>0.82005799999999995</v>
      </c>
      <c r="G2414" s="2">
        <v>0.15739300000000001</v>
      </c>
      <c r="H2414" s="2">
        <v>-2.3813599999999999</v>
      </c>
    </row>
    <row r="2415" spans="1:8" x14ac:dyDescent="0.2">
      <c r="A2415" s="2" t="s">
        <v>824</v>
      </c>
      <c r="B2415" s="2" t="s">
        <v>3015</v>
      </c>
      <c r="C2415" s="2" t="s">
        <v>1862</v>
      </c>
      <c r="D2415" s="2" t="s">
        <v>1836</v>
      </c>
      <c r="E2415" s="2" t="s">
        <v>1837</v>
      </c>
      <c r="F2415" s="2">
        <v>1.93964</v>
      </c>
      <c r="G2415" s="2">
        <v>0.37186000000000002</v>
      </c>
      <c r="H2415" s="2">
        <v>-2.3829600000000002</v>
      </c>
    </row>
    <row r="2416" spans="1:8" x14ac:dyDescent="0.2">
      <c r="A2416" s="2" t="s">
        <v>656</v>
      </c>
      <c r="B2416" s="2" t="s">
        <v>3015</v>
      </c>
      <c r="C2416" s="2" t="s">
        <v>3016</v>
      </c>
      <c r="D2416" s="2" t="s">
        <v>1836</v>
      </c>
      <c r="E2416" s="2" t="s">
        <v>1838</v>
      </c>
      <c r="F2416" s="2">
        <v>10.4472</v>
      </c>
      <c r="G2416" s="2">
        <v>1.9987699999999999</v>
      </c>
      <c r="H2416" s="2">
        <v>-2.3859300000000001</v>
      </c>
    </row>
    <row r="2417" spans="1:8" x14ac:dyDescent="0.2">
      <c r="A2417" s="2" t="s">
        <v>1131</v>
      </c>
      <c r="B2417" s="2" t="s">
        <v>3015</v>
      </c>
      <c r="C2417" s="2" t="s">
        <v>2054</v>
      </c>
      <c r="D2417" s="2" t="s">
        <v>1836</v>
      </c>
      <c r="E2417" s="2" t="s">
        <v>1838</v>
      </c>
      <c r="F2417" s="2">
        <v>1.3627100000000001</v>
      </c>
      <c r="G2417" s="2">
        <v>0.26019799999999998</v>
      </c>
      <c r="H2417" s="2">
        <v>-2.3887999999999998</v>
      </c>
    </row>
    <row r="2418" spans="1:8" x14ac:dyDescent="0.2">
      <c r="A2418" s="2" t="s">
        <v>1428</v>
      </c>
      <c r="B2418" s="2" t="s">
        <v>3024</v>
      </c>
      <c r="C2418" s="2" t="s">
        <v>2053</v>
      </c>
      <c r="D2418" s="2" t="s">
        <v>1836</v>
      </c>
      <c r="E2418" s="2" t="s">
        <v>1838</v>
      </c>
      <c r="F2418" s="2">
        <v>1.36663</v>
      </c>
      <c r="G2418" s="2">
        <v>0.26003999999999999</v>
      </c>
      <c r="H2418" s="2">
        <v>-2.3938199999999998</v>
      </c>
    </row>
    <row r="2419" spans="1:8" x14ac:dyDescent="0.2">
      <c r="A2419" s="2" t="s">
        <v>379</v>
      </c>
      <c r="B2419" s="2" t="s">
        <v>3129</v>
      </c>
      <c r="C2419" s="2" t="s">
        <v>2019</v>
      </c>
      <c r="D2419" s="2" t="s">
        <v>1836</v>
      </c>
      <c r="E2419" s="2" t="s">
        <v>1838</v>
      </c>
      <c r="F2419" s="2">
        <v>2.3631000000000002</v>
      </c>
      <c r="G2419" s="2">
        <v>0.449129</v>
      </c>
      <c r="H2419" s="2">
        <v>-2.3954800000000001</v>
      </c>
    </row>
    <row r="2420" spans="1:8" x14ac:dyDescent="0.2">
      <c r="A2420" s="2" t="s">
        <v>619</v>
      </c>
      <c r="B2420" s="2" t="s">
        <v>3015</v>
      </c>
      <c r="C2420" s="2" t="s">
        <v>2132</v>
      </c>
      <c r="D2420" s="2" t="s">
        <v>1836</v>
      </c>
      <c r="E2420" s="2" t="s">
        <v>1838</v>
      </c>
      <c r="F2420" s="2">
        <v>3.9423400000000002</v>
      </c>
      <c r="G2420" s="2">
        <v>0.74741000000000002</v>
      </c>
      <c r="H2420" s="2">
        <v>-2.3990800000000001</v>
      </c>
    </row>
    <row r="2421" spans="1:8" x14ac:dyDescent="0.2">
      <c r="A2421" s="2" t="s">
        <v>760</v>
      </c>
      <c r="B2421" s="2" t="s">
        <v>3015</v>
      </c>
      <c r="C2421" s="2" t="s">
        <v>3016</v>
      </c>
      <c r="D2421" s="2" t="s">
        <v>1836</v>
      </c>
      <c r="E2421" s="2" t="s">
        <v>1837</v>
      </c>
      <c r="F2421" s="2">
        <v>3.50373</v>
      </c>
      <c r="G2421" s="2">
        <v>0.66025800000000001</v>
      </c>
      <c r="H2421" s="2">
        <v>-2.4077899999999999</v>
      </c>
    </row>
    <row r="2422" spans="1:8" x14ac:dyDescent="0.2">
      <c r="A2422" s="2" t="s">
        <v>69</v>
      </c>
      <c r="B2422" s="2" t="s">
        <v>3047</v>
      </c>
      <c r="C2422" s="2" t="s">
        <v>1879</v>
      </c>
      <c r="D2422" s="2" t="s">
        <v>1836</v>
      </c>
      <c r="E2422" s="2" t="s">
        <v>1838</v>
      </c>
      <c r="F2422" s="2">
        <v>4.0621799999999997</v>
      </c>
      <c r="G2422" s="2">
        <v>0.765428</v>
      </c>
      <c r="H2422" s="2">
        <v>-2.4079100000000002</v>
      </c>
    </row>
    <row r="2423" spans="1:8" x14ac:dyDescent="0.2">
      <c r="A2423" s="2" t="s">
        <v>802</v>
      </c>
      <c r="B2423" s="2" t="s">
        <v>3015</v>
      </c>
      <c r="C2423" s="2" t="s">
        <v>3015</v>
      </c>
      <c r="D2423" s="2" t="s">
        <v>1836</v>
      </c>
      <c r="E2423" s="2" t="s">
        <v>1838</v>
      </c>
      <c r="F2423" s="2">
        <v>120.504</v>
      </c>
      <c r="G2423" s="2">
        <v>22.567299999999999</v>
      </c>
      <c r="H2423" s="2">
        <v>-2.4167700000000001</v>
      </c>
    </row>
    <row r="2424" spans="1:8" x14ac:dyDescent="0.2">
      <c r="A2424" s="2" t="s">
        <v>196</v>
      </c>
      <c r="B2424" s="2" t="s">
        <v>3077</v>
      </c>
      <c r="C2424" s="2" t="s">
        <v>1934</v>
      </c>
      <c r="D2424" s="2" t="s">
        <v>1836</v>
      </c>
      <c r="E2424" s="2" t="s">
        <v>1837</v>
      </c>
      <c r="F2424" s="2">
        <v>2.6640000000000001</v>
      </c>
      <c r="G2424" s="2">
        <v>0.49523099999999998</v>
      </c>
      <c r="H2424" s="2">
        <v>-2.4274200000000001</v>
      </c>
    </row>
    <row r="2425" spans="1:8" x14ac:dyDescent="0.2">
      <c r="A2425" s="2" t="s">
        <v>687</v>
      </c>
      <c r="B2425" s="2" t="s">
        <v>3015</v>
      </c>
      <c r="C2425" s="2" t="s">
        <v>1847</v>
      </c>
      <c r="D2425" s="2" t="s">
        <v>1836</v>
      </c>
      <c r="E2425" s="2" t="s">
        <v>1838</v>
      </c>
      <c r="F2425" s="2">
        <v>3.3123100000000001</v>
      </c>
      <c r="G2425" s="2">
        <v>0.61398799999999998</v>
      </c>
      <c r="H2425" s="2">
        <v>-2.4315600000000002</v>
      </c>
    </row>
    <row r="2426" spans="1:8" x14ac:dyDescent="0.2">
      <c r="A2426" s="2" t="s">
        <v>597</v>
      </c>
      <c r="B2426" s="2" t="s">
        <v>3172</v>
      </c>
      <c r="C2426" s="2" t="s">
        <v>3016</v>
      </c>
      <c r="D2426" s="2" t="s">
        <v>1836</v>
      </c>
      <c r="E2426" s="2" t="s">
        <v>1837</v>
      </c>
      <c r="F2426" s="2">
        <v>8.3787299999999991</v>
      </c>
      <c r="G2426" s="2">
        <v>1.5503100000000001</v>
      </c>
      <c r="H2426" s="2">
        <v>-2.4341699999999999</v>
      </c>
    </row>
    <row r="2427" spans="1:8" x14ac:dyDescent="0.2">
      <c r="A2427" s="2" t="s">
        <v>834</v>
      </c>
      <c r="B2427" s="2" t="s">
        <v>3034</v>
      </c>
      <c r="C2427" s="2" t="s">
        <v>2224</v>
      </c>
      <c r="D2427" s="2" t="s">
        <v>1836</v>
      </c>
      <c r="E2427" s="2" t="s">
        <v>1837</v>
      </c>
      <c r="F2427" s="2">
        <v>1.16185</v>
      </c>
      <c r="G2427" s="2">
        <v>0.21334</v>
      </c>
      <c r="H2427" s="2">
        <v>-2.4451999999999998</v>
      </c>
    </row>
    <row r="2428" spans="1:8" x14ac:dyDescent="0.2">
      <c r="A2428" s="2" t="s">
        <v>641</v>
      </c>
      <c r="B2428" s="2" t="s">
        <v>3015</v>
      </c>
      <c r="C2428" s="2" t="s">
        <v>3015</v>
      </c>
      <c r="D2428" s="2" t="s">
        <v>1836</v>
      </c>
      <c r="E2428" s="2" t="s">
        <v>1838</v>
      </c>
      <c r="F2428" s="2">
        <v>7.6719099999999996</v>
      </c>
      <c r="G2428" s="2">
        <v>1.4042399999999999</v>
      </c>
      <c r="H2428" s="2">
        <v>-2.4498000000000002</v>
      </c>
    </row>
    <row r="2429" spans="1:8" x14ac:dyDescent="0.2">
      <c r="A2429" s="2" t="s">
        <v>1693</v>
      </c>
      <c r="B2429" s="2" t="s">
        <v>3030</v>
      </c>
      <c r="C2429" s="2" t="s">
        <v>3016</v>
      </c>
      <c r="D2429" s="2" t="s">
        <v>1839</v>
      </c>
      <c r="E2429" s="2" t="s">
        <v>1841</v>
      </c>
      <c r="F2429" s="2">
        <v>1.78399</v>
      </c>
      <c r="G2429" s="2">
        <v>0.32253900000000002</v>
      </c>
      <c r="H2429" s="2">
        <v>-2.4675600000000002</v>
      </c>
    </row>
    <row r="2430" spans="1:8" x14ac:dyDescent="0.2">
      <c r="A2430" s="2" t="s">
        <v>1322</v>
      </c>
      <c r="B2430" s="2" t="s">
        <v>3015</v>
      </c>
      <c r="C2430" s="2" t="s">
        <v>2521</v>
      </c>
      <c r="D2430" s="2" t="s">
        <v>1836</v>
      </c>
      <c r="E2430" s="2" t="s">
        <v>1838</v>
      </c>
      <c r="F2430" s="2">
        <v>0.77681800000000001</v>
      </c>
      <c r="G2430" s="2">
        <v>0.138992</v>
      </c>
      <c r="H2430" s="2">
        <v>-2.48258</v>
      </c>
    </row>
    <row r="2431" spans="1:8" x14ac:dyDescent="0.2">
      <c r="A2431" s="2" t="s">
        <v>423</v>
      </c>
      <c r="B2431" s="2" t="s">
        <v>3035</v>
      </c>
      <c r="C2431" s="2" t="s">
        <v>2040</v>
      </c>
      <c r="D2431" s="2" t="s">
        <v>1836</v>
      </c>
      <c r="E2431" s="2" t="s">
        <v>1838</v>
      </c>
      <c r="F2431" s="2">
        <v>2.6913900000000002</v>
      </c>
      <c r="G2431" s="2">
        <v>0.48146499999999998</v>
      </c>
      <c r="H2431" s="2">
        <v>-2.48285</v>
      </c>
    </row>
    <row r="2432" spans="1:8" x14ac:dyDescent="0.2">
      <c r="A2432" s="2" t="s">
        <v>68</v>
      </c>
      <c r="B2432" s="2" t="s">
        <v>3015</v>
      </c>
      <c r="C2432" s="2" t="s">
        <v>2383</v>
      </c>
      <c r="D2432" s="2" t="s">
        <v>1836</v>
      </c>
      <c r="E2432" s="2" t="s">
        <v>1838</v>
      </c>
      <c r="F2432" s="2">
        <v>197.17</v>
      </c>
      <c r="G2432" s="2">
        <v>35.01</v>
      </c>
      <c r="H2432" s="2">
        <v>-2.4935999999999998</v>
      </c>
    </row>
    <row r="2433" spans="1:8" x14ac:dyDescent="0.2">
      <c r="A2433" s="2" t="s">
        <v>1107</v>
      </c>
      <c r="B2433" s="2" t="s">
        <v>3015</v>
      </c>
      <c r="C2433" s="2" t="s">
        <v>3016</v>
      </c>
      <c r="D2433" s="2" t="s">
        <v>1836</v>
      </c>
      <c r="E2433" s="2" t="s">
        <v>1837</v>
      </c>
      <c r="F2433" s="2">
        <v>1.4206799999999999</v>
      </c>
      <c r="G2433" s="2">
        <v>0.25152000000000002</v>
      </c>
      <c r="H2433" s="2">
        <v>-2.49783</v>
      </c>
    </row>
    <row r="2434" spans="1:8" x14ac:dyDescent="0.2">
      <c r="A2434" s="2" t="s">
        <v>1098</v>
      </c>
      <c r="B2434" s="2" t="s">
        <v>3015</v>
      </c>
      <c r="C2434" s="2" t="s">
        <v>2356</v>
      </c>
      <c r="D2434" s="2" t="s">
        <v>1836</v>
      </c>
      <c r="E2434" s="2" t="s">
        <v>1837</v>
      </c>
      <c r="F2434" s="2">
        <v>4.3807</v>
      </c>
      <c r="G2434" s="2">
        <v>0.77404399999999995</v>
      </c>
      <c r="H2434" s="2">
        <v>-2.50068</v>
      </c>
    </row>
    <row r="2435" spans="1:8" x14ac:dyDescent="0.2">
      <c r="A2435" s="2" t="s">
        <v>1085</v>
      </c>
      <c r="B2435" s="2" t="s">
        <v>3189</v>
      </c>
      <c r="C2435" s="2" t="s">
        <v>2157</v>
      </c>
      <c r="D2435" s="2" t="s">
        <v>1836</v>
      </c>
      <c r="E2435" s="2" t="s">
        <v>1837</v>
      </c>
      <c r="F2435" s="2">
        <v>0.81906699999999999</v>
      </c>
      <c r="G2435" s="2">
        <v>0.14380899999999999</v>
      </c>
      <c r="H2435" s="2">
        <v>-2.50983</v>
      </c>
    </row>
    <row r="2436" spans="1:8" x14ac:dyDescent="0.2">
      <c r="A2436" s="2" t="s">
        <v>625</v>
      </c>
      <c r="B2436" s="2" t="s">
        <v>3015</v>
      </c>
      <c r="C2436" s="2" t="s">
        <v>2134</v>
      </c>
      <c r="D2436" s="2" t="s">
        <v>1836</v>
      </c>
      <c r="E2436" s="2" t="s">
        <v>1838</v>
      </c>
      <c r="F2436" s="2">
        <v>2.1829100000000001</v>
      </c>
      <c r="G2436" s="2">
        <v>0.38224900000000001</v>
      </c>
      <c r="H2436" s="2">
        <v>-2.5136699999999998</v>
      </c>
    </row>
    <row r="2437" spans="1:8" x14ac:dyDescent="0.2">
      <c r="A2437" s="2" t="s">
        <v>1344</v>
      </c>
      <c r="B2437" s="2" t="s">
        <v>3351</v>
      </c>
      <c r="C2437" s="2" t="s">
        <v>2538</v>
      </c>
      <c r="D2437" s="2" t="s">
        <v>1836</v>
      </c>
      <c r="E2437" s="2" t="s">
        <v>1838</v>
      </c>
      <c r="F2437" s="2">
        <v>1.1620699999999999</v>
      </c>
      <c r="G2437" s="2">
        <v>0.20282900000000001</v>
      </c>
      <c r="H2437" s="2">
        <v>-2.5183599999999999</v>
      </c>
    </row>
    <row r="2438" spans="1:8" x14ac:dyDescent="0.2">
      <c r="A2438" s="2" t="s">
        <v>623</v>
      </c>
      <c r="B2438" s="2" t="s">
        <v>3015</v>
      </c>
      <c r="C2438" s="2" t="s">
        <v>1862</v>
      </c>
      <c r="D2438" s="2" t="s">
        <v>1839</v>
      </c>
      <c r="E2438" s="2" t="s">
        <v>1841</v>
      </c>
      <c r="F2438" s="2">
        <v>1.1394500000000001</v>
      </c>
      <c r="G2438" s="2">
        <v>0.197989</v>
      </c>
      <c r="H2438" s="2">
        <v>-2.5248400000000002</v>
      </c>
    </row>
    <row r="2439" spans="1:8" x14ac:dyDescent="0.2">
      <c r="A2439" s="2" t="s">
        <v>809</v>
      </c>
      <c r="B2439" s="2" t="s">
        <v>3365</v>
      </c>
      <c r="C2439" s="2" t="s">
        <v>2573</v>
      </c>
      <c r="D2439" s="2" t="s">
        <v>1836</v>
      </c>
      <c r="E2439" s="2" t="s">
        <v>1838</v>
      </c>
      <c r="F2439" s="2">
        <v>0.90907499999999997</v>
      </c>
      <c r="G2439" s="2">
        <v>0.15714800000000001</v>
      </c>
      <c r="H2439" s="2">
        <v>-2.5322800000000001</v>
      </c>
    </row>
    <row r="2440" spans="1:8" x14ac:dyDescent="0.2">
      <c r="A2440" s="2" t="s">
        <v>1089</v>
      </c>
      <c r="B2440" s="2" t="s">
        <v>3015</v>
      </c>
      <c r="C2440" s="2" t="s">
        <v>1917</v>
      </c>
      <c r="D2440" s="2" t="s">
        <v>1836</v>
      </c>
      <c r="E2440" s="2" t="s">
        <v>1838</v>
      </c>
      <c r="F2440" s="2">
        <v>6.87052</v>
      </c>
      <c r="G2440" s="2">
        <v>1.1855500000000001</v>
      </c>
      <c r="H2440" s="2">
        <v>-2.5348700000000002</v>
      </c>
    </row>
    <row r="2441" spans="1:8" x14ac:dyDescent="0.2">
      <c r="A2441" s="2" t="s">
        <v>156</v>
      </c>
      <c r="B2441" s="2" t="s">
        <v>3030</v>
      </c>
      <c r="C2441" s="2" t="s">
        <v>1917</v>
      </c>
      <c r="D2441" s="2" t="s">
        <v>1836</v>
      </c>
      <c r="E2441" s="2" t="s">
        <v>1838</v>
      </c>
      <c r="F2441" s="2">
        <v>29.628499999999999</v>
      </c>
      <c r="G2441" s="2">
        <v>5.0898899999999996</v>
      </c>
      <c r="H2441" s="2">
        <v>-2.54128</v>
      </c>
    </row>
    <row r="2442" spans="1:8" x14ac:dyDescent="0.2">
      <c r="A2442" s="2" t="s">
        <v>1051</v>
      </c>
      <c r="B2442" s="2" t="s">
        <v>3026</v>
      </c>
      <c r="C2442" s="2" t="s">
        <v>1847</v>
      </c>
      <c r="D2442" s="2" t="s">
        <v>1836</v>
      </c>
      <c r="E2442" s="2" t="s">
        <v>1837</v>
      </c>
      <c r="F2442" s="2">
        <v>1.2784500000000001</v>
      </c>
      <c r="G2442" s="2">
        <v>0.21523800000000001</v>
      </c>
      <c r="H2442" s="2">
        <v>-2.5703900000000002</v>
      </c>
    </row>
    <row r="2443" spans="1:8" x14ac:dyDescent="0.2">
      <c r="A2443" s="2" t="s">
        <v>760</v>
      </c>
      <c r="B2443" s="2" t="s">
        <v>3015</v>
      </c>
      <c r="C2443" s="2" t="s">
        <v>3016</v>
      </c>
      <c r="D2443" s="2" t="s">
        <v>1836</v>
      </c>
      <c r="E2443" s="2" t="s">
        <v>1838</v>
      </c>
      <c r="F2443" s="2">
        <v>3.50373</v>
      </c>
      <c r="G2443" s="2">
        <v>0.58664099999999997</v>
      </c>
      <c r="H2443" s="2">
        <v>-2.5783399999999999</v>
      </c>
    </row>
    <row r="2444" spans="1:8" x14ac:dyDescent="0.2">
      <c r="A2444" s="2" t="s">
        <v>613</v>
      </c>
      <c r="B2444" s="2" t="s">
        <v>3015</v>
      </c>
      <c r="C2444" s="2" t="s">
        <v>2054</v>
      </c>
      <c r="D2444" s="2" t="s">
        <v>1836</v>
      </c>
      <c r="E2444" s="2" t="s">
        <v>1838</v>
      </c>
      <c r="F2444" s="2">
        <v>2.8349899999999999</v>
      </c>
      <c r="G2444" s="2">
        <v>0.47303800000000001</v>
      </c>
      <c r="H2444" s="2">
        <v>-2.5833200000000001</v>
      </c>
    </row>
    <row r="2445" spans="1:8" x14ac:dyDescent="0.2">
      <c r="A2445" s="2" t="s">
        <v>802</v>
      </c>
      <c r="B2445" s="2" t="s">
        <v>3015</v>
      </c>
      <c r="C2445" s="2" t="s">
        <v>3015</v>
      </c>
      <c r="D2445" s="2" t="s">
        <v>1836</v>
      </c>
      <c r="E2445" s="2" t="s">
        <v>1837</v>
      </c>
      <c r="F2445" s="2">
        <v>120.504</v>
      </c>
      <c r="G2445" s="2">
        <v>19.938199999999998</v>
      </c>
      <c r="H2445" s="2">
        <v>-2.5954700000000002</v>
      </c>
    </row>
    <row r="2446" spans="1:8" x14ac:dyDescent="0.2">
      <c r="A2446" s="2" t="s">
        <v>423</v>
      </c>
      <c r="B2446" s="2" t="s">
        <v>3035</v>
      </c>
      <c r="C2446" s="2" t="s">
        <v>2040</v>
      </c>
      <c r="D2446" s="2" t="s">
        <v>1836</v>
      </c>
      <c r="E2446" s="2" t="s">
        <v>1837</v>
      </c>
      <c r="F2446" s="2">
        <v>2.6913900000000002</v>
      </c>
      <c r="G2446" s="2">
        <v>0.44365100000000002</v>
      </c>
      <c r="H2446" s="2">
        <v>-2.6008499999999999</v>
      </c>
    </row>
    <row r="2447" spans="1:8" x14ac:dyDescent="0.2">
      <c r="A2447" s="2" t="s">
        <v>1403</v>
      </c>
      <c r="B2447" s="2" t="s">
        <v>3201</v>
      </c>
      <c r="C2447" s="2" t="s">
        <v>3015</v>
      </c>
      <c r="D2447" s="2" t="s">
        <v>1836</v>
      </c>
      <c r="E2447" s="2" t="s">
        <v>1838</v>
      </c>
      <c r="F2447" s="2">
        <v>0.79898400000000003</v>
      </c>
      <c r="G2447" s="2">
        <v>0.13158400000000001</v>
      </c>
      <c r="H2447" s="2">
        <v>-2.6021899999999998</v>
      </c>
    </row>
    <row r="2448" spans="1:8" x14ac:dyDescent="0.2">
      <c r="A2448" s="2" t="s">
        <v>930</v>
      </c>
      <c r="B2448" s="2" t="s">
        <v>3100</v>
      </c>
      <c r="C2448" s="2" t="s">
        <v>2278</v>
      </c>
      <c r="D2448" s="2" t="s">
        <v>1836</v>
      </c>
      <c r="E2448" s="2" t="s">
        <v>1837</v>
      </c>
      <c r="F2448" s="2">
        <v>7.7362399999999996</v>
      </c>
      <c r="G2448" s="2">
        <v>1.27054</v>
      </c>
      <c r="H2448" s="2">
        <v>-2.6061899999999998</v>
      </c>
    </row>
    <row r="2449" spans="1:8" x14ac:dyDescent="0.2">
      <c r="A2449" s="2" t="s">
        <v>294</v>
      </c>
      <c r="B2449" s="2" t="s">
        <v>3015</v>
      </c>
      <c r="C2449" s="2" t="s">
        <v>1979</v>
      </c>
      <c r="D2449" s="2" t="s">
        <v>1839</v>
      </c>
      <c r="E2449" s="2" t="s">
        <v>1841</v>
      </c>
      <c r="F2449" s="2">
        <v>2.4047800000000001</v>
      </c>
      <c r="G2449" s="2">
        <v>0.39086599999999999</v>
      </c>
      <c r="H2449" s="2">
        <v>-2.6211600000000002</v>
      </c>
    </row>
    <row r="2450" spans="1:8" x14ac:dyDescent="0.2">
      <c r="A2450" s="2" t="s">
        <v>156</v>
      </c>
      <c r="B2450" s="2" t="s">
        <v>3030</v>
      </c>
      <c r="C2450" s="2" t="s">
        <v>1917</v>
      </c>
      <c r="D2450" s="2" t="s">
        <v>1836</v>
      </c>
      <c r="E2450" s="2" t="s">
        <v>1837</v>
      </c>
      <c r="F2450" s="2">
        <v>29.628499999999999</v>
      </c>
      <c r="G2450" s="2">
        <v>4.8104699999999996</v>
      </c>
      <c r="H2450" s="2">
        <v>-2.6227399999999998</v>
      </c>
    </row>
    <row r="2451" spans="1:8" x14ac:dyDescent="0.2">
      <c r="A2451" s="2" t="s">
        <v>696</v>
      </c>
      <c r="B2451" s="2" t="s">
        <v>3193</v>
      </c>
      <c r="C2451" s="2" t="s">
        <v>2166</v>
      </c>
      <c r="D2451" s="2" t="s">
        <v>1839</v>
      </c>
      <c r="E2451" s="2" t="s">
        <v>1841</v>
      </c>
      <c r="F2451" s="2">
        <v>14.323700000000001</v>
      </c>
      <c r="G2451" s="2">
        <v>2.3126000000000002</v>
      </c>
      <c r="H2451" s="2">
        <v>-2.6308199999999999</v>
      </c>
    </row>
    <row r="2452" spans="1:8" x14ac:dyDescent="0.2">
      <c r="A2452" s="2" t="s">
        <v>225</v>
      </c>
      <c r="B2452" s="2" t="s">
        <v>3015</v>
      </c>
      <c r="C2452" s="2" t="s">
        <v>3015</v>
      </c>
      <c r="D2452" s="2" t="s">
        <v>1836</v>
      </c>
      <c r="E2452" s="2" t="s">
        <v>1837</v>
      </c>
      <c r="F2452" s="2">
        <v>3.1799300000000001</v>
      </c>
      <c r="G2452" s="2">
        <v>0.50944800000000001</v>
      </c>
      <c r="H2452" s="2">
        <v>-2.6419899999999998</v>
      </c>
    </row>
    <row r="2453" spans="1:8" x14ac:dyDescent="0.2">
      <c r="A2453" s="2" t="s">
        <v>279</v>
      </c>
      <c r="B2453" s="2" t="s">
        <v>3015</v>
      </c>
      <c r="C2453" s="2" t="s">
        <v>1972</v>
      </c>
      <c r="D2453" s="2" t="s">
        <v>1836</v>
      </c>
      <c r="E2453" s="2" t="s">
        <v>1837</v>
      </c>
      <c r="F2453" s="2">
        <v>0.92411299999999996</v>
      </c>
      <c r="G2453" s="2">
        <v>0.14496700000000001</v>
      </c>
      <c r="H2453" s="2">
        <v>-2.6723400000000002</v>
      </c>
    </row>
    <row r="2454" spans="1:8" x14ac:dyDescent="0.2">
      <c r="A2454" s="2" t="s">
        <v>236</v>
      </c>
      <c r="B2454" s="2" t="s">
        <v>3094</v>
      </c>
      <c r="C2454" s="2" t="s">
        <v>1955</v>
      </c>
      <c r="D2454" s="2" t="s">
        <v>1839</v>
      </c>
      <c r="E2454" s="2" t="s">
        <v>1841</v>
      </c>
      <c r="F2454" s="2">
        <v>3.9122499999999998</v>
      </c>
      <c r="G2454" s="2">
        <v>0.60139699999999996</v>
      </c>
      <c r="H2454" s="2">
        <v>-2.7016100000000001</v>
      </c>
    </row>
    <row r="2455" spans="1:8" x14ac:dyDescent="0.2">
      <c r="A2455" s="2" t="s">
        <v>371</v>
      </c>
      <c r="B2455" s="2" t="s">
        <v>3030</v>
      </c>
      <c r="C2455" s="2" t="s">
        <v>2016</v>
      </c>
      <c r="D2455" s="2" t="s">
        <v>1836</v>
      </c>
      <c r="E2455" s="2" t="s">
        <v>1837</v>
      </c>
      <c r="F2455" s="2">
        <v>1.79139</v>
      </c>
      <c r="G2455" s="2">
        <v>0.27483299999999999</v>
      </c>
      <c r="H2455" s="2">
        <v>-2.70445</v>
      </c>
    </row>
    <row r="2456" spans="1:8" x14ac:dyDescent="0.2">
      <c r="A2456" s="2" t="s">
        <v>637</v>
      </c>
      <c r="B2456" s="2" t="s">
        <v>3045</v>
      </c>
      <c r="C2456" s="2" t="s">
        <v>2141</v>
      </c>
      <c r="D2456" s="2" t="s">
        <v>1836</v>
      </c>
      <c r="E2456" s="2" t="s">
        <v>1837</v>
      </c>
      <c r="F2456" s="2">
        <v>7.9981600000000004</v>
      </c>
      <c r="G2456" s="2">
        <v>1.15232</v>
      </c>
      <c r="H2456" s="2">
        <v>-2.7951299999999999</v>
      </c>
    </row>
    <row r="2457" spans="1:8" x14ac:dyDescent="0.2">
      <c r="A2457" s="2" t="s">
        <v>1458</v>
      </c>
      <c r="B2457" s="2" t="s">
        <v>3015</v>
      </c>
      <c r="C2457" s="2" t="s">
        <v>2604</v>
      </c>
      <c r="D2457" s="2" t="s">
        <v>1836</v>
      </c>
      <c r="E2457" s="2" t="s">
        <v>1838</v>
      </c>
      <c r="F2457" s="2">
        <v>3.2642799999999998</v>
      </c>
      <c r="G2457" s="2">
        <v>0.46982800000000002</v>
      </c>
      <c r="H2457" s="2">
        <v>-2.7965599999999999</v>
      </c>
    </row>
    <row r="2458" spans="1:8" x14ac:dyDescent="0.2">
      <c r="A2458" s="2" t="s">
        <v>181</v>
      </c>
      <c r="B2458" s="2" t="s">
        <v>3037</v>
      </c>
      <c r="C2458" s="2" t="s">
        <v>1866</v>
      </c>
      <c r="D2458" s="2" t="s">
        <v>1836</v>
      </c>
      <c r="E2458" s="2" t="s">
        <v>1837</v>
      </c>
      <c r="F2458" s="2">
        <v>2.34788</v>
      </c>
      <c r="G2458" s="2">
        <v>0.333399</v>
      </c>
      <c r="H2458" s="2">
        <v>-2.81603</v>
      </c>
    </row>
    <row r="2459" spans="1:8" x14ac:dyDescent="0.2">
      <c r="A2459" s="2" t="s">
        <v>905</v>
      </c>
      <c r="B2459" s="2" t="s">
        <v>3058</v>
      </c>
      <c r="C2459" s="2" t="s">
        <v>2237</v>
      </c>
      <c r="D2459" s="2" t="s">
        <v>1836</v>
      </c>
      <c r="E2459" s="2" t="s">
        <v>1838</v>
      </c>
      <c r="F2459" s="2">
        <v>3.2955199999999998</v>
      </c>
      <c r="G2459" s="2">
        <v>0.46624399999999999</v>
      </c>
      <c r="H2459" s="2">
        <v>-2.8213499999999998</v>
      </c>
    </row>
    <row r="2460" spans="1:8" x14ac:dyDescent="0.2">
      <c r="A2460" s="2" t="s">
        <v>314</v>
      </c>
      <c r="B2460" s="2" t="s">
        <v>3094</v>
      </c>
      <c r="C2460" s="2" t="s">
        <v>1955</v>
      </c>
      <c r="D2460" s="2" t="s">
        <v>1839</v>
      </c>
      <c r="E2460" s="2" t="s">
        <v>1841</v>
      </c>
      <c r="F2460" s="2">
        <v>1.32748</v>
      </c>
      <c r="G2460" s="2">
        <v>0.18490300000000001</v>
      </c>
      <c r="H2460" s="2">
        <v>-2.8438500000000002</v>
      </c>
    </row>
    <row r="2461" spans="1:8" x14ac:dyDescent="0.2">
      <c r="A2461" s="2" t="s">
        <v>819</v>
      </c>
      <c r="B2461" s="2" t="s">
        <v>3015</v>
      </c>
      <c r="C2461" s="2" t="s">
        <v>2214</v>
      </c>
      <c r="D2461" s="2" t="s">
        <v>1839</v>
      </c>
      <c r="E2461" s="2" t="s">
        <v>1841</v>
      </c>
      <c r="F2461" s="2">
        <v>5.6794099999999998</v>
      </c>
      <c r="G2461" s="2">
        <v>0.78088999999999997</v>
      </c>
      <c r="H2461" s="2">
        <v>-2.8625500000000001</v>
      </c>
    </row>
    <row r="2462" spans="1:8" x14ac:dyDescent="0.2">
      <c r="A2462" s="2" t="s">
        <v>1384</v>
      </c>
      <c r="B2462" s="2" t="s">
        <v>3095</v>
      </c>
      <c r="C2462" s="2" t="s">
        <v>2560</v>
      </c>
      <c r="D2462" s="2" t="s">
        <v>1836</v>
      </c>
      <c r="E2462" s="2" t="s">
        <v>1838</v>
      </c>
      <c r="F2462" s="2">
        <v>4.6001000000000003</v>
      </c>
      <c r="G2462" s="2">
        <v>0.63108399999999998</v>
      </c>
      <c r="H2462" s="2">
        <v>-2.8657599999999999</v>
      </c>
    </row>
    <row r="2463" spans="1:8" x14ac:dyDescent="0.2">
      <c r="A2463" s="2" t="s">
        <v>498</v>
      </c>
      <c r="B2463" s="2" t="s">
        <v>3015</v>
      </c>
      <c r="C2463" s="2" t="s">
        <v>2078</v>
      </c>
      <c r="D2463" s="2" t="s">
        <v>1836</v>
      </c>
      <c r="E2463" s="2" t="s">
        <v>1838</v>
      </c>
      <c r="F2463" s="2">
        <v>35.1813</v>
      </c>
      <c r="G2463" s="2">
        <v>4.7723899999999997</v>
      </c>
      <c r="H2463" s="2">
        <v>-2.8820299999999999</v>
      </c>
    </row>
    <row r="2464" spans="1:8" x14ac:dyDescent="0.2">
      <c r="A2464" s="2" t="s">
        <v>295</v>
      </c>
      <c r="B2464" s="2" t="s">
        <v>3108</v>
      </c>
      <c r="C2464" s="2" t="s">
        <v>1980</v>
      </c>
      <c r="D2464" s="2" t="s">
        <v>1836</v>
      </c>
      <c r="E2464" s="2" t="s">
        <v>1838</v>
      </c>
      <c r="F2464" s="2">
        <v>1.4880599999999999</v>
      </c>
      <c r="G2464" s="2">
        <v>0.20089399999999999</v>
      </c>
      <c r="H2464" s="2">
        <v>-2.8889200000000002</v>
      </c>
    </row>
    <row r="2465" spans="1:8" x14ac:dyDescent="0.2">
      <c r="A2465" s="2" t="s">
        <v>1682</v>
      </c>
      <c r="B2465" s="2" t="s">
        <v>3015</v>
      </c>
      <c r="C2465" s="2" t="s">
        <v>2848</v>
      </c>
      <c r="D2465" s="2" t="s">
        <v>1839</v>
      </c>
      <c r="E2465" s="2" t="s">
        <v>1841</v>
      </c>
      <c r="F2465" s="2">
        <v>1.9821200000000001</v>
      </c>
      <c r="G2465" s="2">
        <v>0.26241999999999999</v>
      </c>
      <c r="H2465" s="2">
        <v>-2.9171</v>
      </c>
    </row>
    <row r="2466" spans="1:8" x14ac:dyDescent="0.2">
      <c r="A2466" s="2" t="s">
        <v>1817</v>
      </c>
      <c r="B2466" s="2" t="s">
        <v>3015</v>
      </c>
      <c r="C2466" s="2" t="s">
        <v>3016</v>
      </c>
      <c r="D2466" s="2" t="s">
        <v>1839</v>
      </c>
      <c r="E2466" s="2" t="s">
        <v>1840</v>
      </c>
      <c r="F2466" s="2">
        <v>1.1266700000000001</v>
      </c>
      <c r="G2466" s="2">
        <v>0.14790700000000001</v>
      </c>
      <c r="H2466" s="2">
        <v>-2.9293100000000001</v>
      </c>
    </row>
    <row r="2467" spans="1:8" x14ac:dyDescent="0.2">
      <c r="A2467" s="2" t="s">
        <v>248</v>
      </c>
      <c r="B2467" s="2" t="s">
        <v>3015</v>
      </c>
      <c r="C2467" s="2" t="s">
        <v>1862</v>
      </c>
      <c r="D2467" s="2" t="s">
        <v>1836</v>
      </c>
      <c r="E2467" s="2" t="s">
        <v>1837</v>
      </c>
      <c r="F2467" s="2">
        <v>1.48085</v>
      </c>
      <c r="G2467" s="2">
        <v>0.190247</v>
      </c>
      <c r="H2467" s="2">
        <v>-2.9604699999999999</v>
      </c>
    </row>
    <row r="2468" spans="1:8" x14ac:dyDescent="0.2">
      <c r="A2468" s="2" t="s">
        <v>803</v>
      </c>
      <c r="B2468" s="2" t="s">
        <v>3093</v>
      </c>
      <c r="C2468" s="2" t="s">
        <v>2209</v>
      </c>
      <c r="D2468" s="2" t="s">
        <v>1839</v>
      </c>
      <c r="E2468" s="2" t="s">
        <v>1841</v>
      </c>
      <c r="F2468" s="2">
        <v>147.08500000000001</v>
      </c>
      <c r="G2468" s="2">
        <v>18.71</v>
      </c>
      <c r="H2468" s="2">
        <v>-2.9747699999999999</v>
      </c>
    </row>
    <row r="2469" spans="1:8" x14ac:dyDescent="0.2">
      <c r="A2469" s="2" t="s">
        <v>579</v>
      </c>
      <c r="B2469" s="2" t="s">
        <v>3341</v>
      </c>
      <c r="C2469" s="2" t="s">
        <v>2509</v>
      </c>
      <c r="D2469" s="2" t="s">
        <v>1836</v>
      </c>
      <c r="E2469" s="2" t="s">
        <v>1838</v>
      </c>
      <c r="F2469" s="2">
        <v>94.842500000000001</v>
      </c>
      <c r="G2469" s="2">
        <v>11.754899999999999</v>
      </c>
      <c r="H2469" s="2">
        <v>-3.01227</v>
      </c>
    </row>
    <row r="2470" spans="1:8" x14ac:dyDescent="0.2">
      <c r="A2470" s="2" t="s">
        <v>1424</v>
      </c>
      <c r="B2470" s="2" t="s">
        <v>3015</v>
      </c>
      <c r="C2470" s="2" t="s">
        <v>1847</v>
      </c>
      <c r="D2470" s="2" t="s">
        <v>1836</v>
      </c>
      <c r="E2470" s="2" t="s">
        <v>1838</v>
      </c>
      <c r="F2470" s="2">
        <v>1.1825000000000001</v>
      </c>
      <c r="G2470" s="2">
        <v>0.14648700000000001</v>
      </c>
      <c r="H2470" s="2">
        <v>-3.0129899999999998</v>
      </c>
    </row>
    <row r="2471" spans="1:8" x14ac:dyDescent="0.2">
      <c r="A2471" s="2" t="s">
        <v>1325</v>
      </c>
      <c r="B2471" s="2" t="s">
        <v>3129</v>
      </c>
      <c r="C2471" s="2" t="s">
        <v>1847</v>
      </c>
      <c r="D2471" s="2" t="s">
        <v>1836</v>
      </c>
      <c r="E2471" s="2" t="s">
        <v>1838</v>
      </c>
      <c r="F2471" s="2">
        <v>1.19441</v>
      </c>
      <c r="G2471" s="2">
        <v>0.147284</v>
      </c>
      <c r="H2471" s="2">
        <v>-3.0196200000000002</v>
      </c>
    </row>
    <row r="2472" spans="1:8" x14ac:dyDescent="0.2">
      <c r="A2472" s="2" t="s">
        <v>1136</v>
      </c>
      <c r="B2472" s="2" t="s">
        <v>3015</v>
      </c>
      <c r="C2472" s="2" t="s">
        <v>2371</v>
      </c>
      <c r="D2472" s="2" t="s">
        <v>1836</v>
      </c>
      <c r="E2472" s="2" t="s">
        <v>1838</v>
      </c>
      <c r="F2472" s="2">
        <v>0.80851499999999998</v>
      </c>
      <c r="G2472" s="2">
        <v>9.8710699999999998E-2</v>
      </c>
      <c r="H2472" s="2">
        <v>-3.0339999999999998</v>
      </c>
    </row>
    <row r="2473" spans="1:8" x14ac:dyDescent="0.2">
      <c r="A2473" s="2" t="s">
        <v>819</v>
      </c>
      <c r="B2473" s="2" t="s">
        <v>3015</v>
      </c>
      <c r="C2473" s="2" t="s">
        <v>2214</v>
      </c>
      <c r="D2473" s="2" t="s">
        <v>1836</v>
      </c>
      <c r="E2473" s="2" t="s">
        <v>1837</v>
      </c>
      <c r="F2473" s="2">
        <v>117.569</v>
      </c>
      <c r="G2473" s="2">
        <v>14.2035</v>
      </c>
      <c r="H2473" s="2">
        <v>-3.0491899999999998</v>
      </c>
    </row>
    <row r="2474" spans="1:8" x14ac:dyDescent="0.2">
      <c r="A2474" s="2" t="s">
        <v>619</v>
      </c>
      <c r="B2474" s="2" t="s">
        <v>3015</v>
      </c>
      <c r="C2474" s="2" t="s">
        <v>2132</v>
      </c>
      <c r="D2474" s="2" t="s">
        <v>1839</v>
      </c>
      <c r="E2474" s="2" t="s">
        <v>1841</v>
      </c>
      <c r="F2474" s="2">
        <v>3.4230200000000002</v>
      </c>
      <c r="G2474" s="2">
        <v>0.39998899999999998</v>
      </c>
      <c r="H2474" s="2">
        <v>-3.0972400000000002</v>
      </c>
    </row>
    <row r="2475" spans="1:8" x14ac:dyDescent="0.2">
      <c r="A2475" s="2" t="s">
        <v>332</v>
      </c>
      <c r="B2475" s="2" t="s">
        <v>3118</v>
      </c>
      <c r="C2475" s="2" t="s">
        <v>3016</v>
      </c>
      <c r="D2475" s="2" t="s">
        <v>1839</v>
      </c>
      <c r="E2475" s="2" t="s">
        <v>1841</v>
      </c>
      <c r="F2475" s="2">
        <v>8.9441500000000005</v>
      </c>
      <c r="G2475" s="2">
        <v>1.00299</v>
      </c>
      <c r="H2475" s="2">
        <v>-3.1566299999999998</v>
      </c>
    </row>
    <row r="2476" spans="1:8" x14ac:dyDescent="0.2">
      <c r="A2476" s="2" t="s">
        <v>280</v>
      </c>
      <c r="B2476" s="2" t="s">
        <v>3015</v>
      </c>
      <c r="C2476" s="2" t="s">
        <v>1973</v>
      </c>
      <c r="D2476" s="2" t="s">
        <v>1836</v>
      </c>
      <c r="E2476" s="2" t="s">
        <v>1838</v>
      </c>
      <c r="F2476" s="2">
        <v>1.0440799999999999</v>
      </c>
      <c r="G2476" s="2">
        <v>0.11433</v>
      </c>
      <c r="H2476" s="2">
        <v>-3.19096</v>
      </c>
    </row>
    <row r="2477" spans="1:8" x14ac:dyDescent="0.2">
      <c r="A2477" s="2" t="s">
        <v>406</v>
      </c>
      <c r="B2477" s="2" t="s">
        <v>3326</v>
      </c>
      <c r="C2477" s="2" t="s">
        <v>2473</v>
      </c>
      <c r="D2477" s="2" t="s">
        <v>1836</v>
      </c>
      <c r="E2477" s="2" t="s">
        <v>1838</v>
      </c>
      <c r="F2477" s="2">
        <v>384.31599999999997</v>
      </c>
      <c r="G2477" s="2">
        <v>40.289400000000001</v>
      </c>
      <c r="H2477" s="2">
        <v>-3.2538200000000002</v>
      </c>
    </row>
    <row r="2478" spans="1:8" x14ac:dyDescent="0.2">
      <c r="A2478" s="2" t="s">
        <v>1098</v>
      </c>
      <c r="B2478" s="2" t="s">
        <v>3015</v>
      </c>
      <c r="C2478" s="2" t="s">
        <v>2356</v>
      </c>
      <c r="D2478" s="2" t="s">
        <v>1836</v>
      </c>
      <c r="E2478" s="2" t="s">
        <v>1838</v>
      </c>
      <c r="F2478" s="2">
        <v>4.3807</v>
      </c>
      <c r="G2478" s="2">
        <v>0.45774900000000002</v>
      </c>
      <c r="H2478" s="2">
        <v>-3.2585299999999999</v>
      </c>
    </row>
    <row r="2479" spans="1:8" x14ac:dyDescent="0.2">
      <c r="A2479" s="2" t="s">
        <v>1301</v>
      </c>
      <c r="B2479" s="2" t="s">
        <v>3193</v>
      </c>
      <c r="C2479" s="2" t="s">
        <v>2803</v>
      </c>
      <c r="D2479" s="2" t="s">
        <v>1839</v>
      </c>
      <c r="E2479" s="2" t="s">
        <v>1841</v>
      </c>
      <c r="F2479" s="2">
        <v>6.21685</v>
      </c>
      <c r="G2479" s="2">
        <v>0.59907100000000002</v>
      </c>
      <c r="H2479" s="2">
        <v>-3.3753899999999999</v>
      </c>
    </row>
    <row r="2480" spans="1:8" x14ac:dyDescent="0.2">
      <c r="A2480" s="2" t="s">
        <v>825</v>
      </c>
      <c r="B2480" s="2" t="s">
        <v>3015</v>
      </c>
      <c r="C2480" s="2" t="s">
        <v>2579</v>
      </c>
      <c r="D2480" s="2" t="s">
        <v>1836</v>
      </c>
      <c r="E2480" s="2" t="s">
        <v>1838</v>
      </c>
      <c r="F2480" s="2">
        <v>35.725099999999998</v>
      </c>
      <c r="G2480" s="2">
        <v>3.4402499999999998</v>
      </c>
      <c r="H2480" s="2">
        <v>-3.37635</v>
      </c>
    </row>
    <row r="2481" spans="1:8" x14ac:dyDescent="0.2">
      <c r="A2481" s="2" t="s">
        <v>930</v>
      </c>
      <c r="B2481" s="2" t="s">
        <v>3100</v>
      </c>
      <c r="C2481" s="2" t="s">
        <v>2278</v>
      </c>
      <c r="D2481" s="2" t="s">
        <v>1836</v>
      </c>
      <c r="E2481" s="2" t="s">
        <v>1838</v>
      </c>
      <c r="F2481" s="2">
        <v>7.7362399999999996</v>
      </c>
      <c r="G2481" s="2">
        <v>0.72689899999999996</v>
      </c>
      <c r="H2481" s="2">
        <v>-3.41181</v>
      </c>
    </row>
    <row r="2482" spans="1:8" x14ac:dyDescent="0.2">
      <c r="A2482" s="2" t="s">
        <v>907</v>
      </c>
      <c r="B2482" s="2" t="s">
        <v>3234</v>
      </c>
      <c r="C2482" s="2" t="s">
        <v>2264</v>
      </c>
      <c r="D2482" s="2" t="s">
        <v>1836</v>
      </c>
      <c r="E2482" s="2" t="s">
        <v>1838</v>
      </c>
      <c r="F2482" s="2">
        <v>1.0944799999999999</v>
      </c>
      <c r="G2482" s="2">
        <v>0.100797</v>
      </c>
      <c r="H2482" s="2">
        <v>-3.4407199999999998</v>
      </c>
    </row>
    <row r="2483" spans="1:8" x14ac:dyDescent="0.2">
      <c r="A2483" s="2" t="s">
        <v>233</v>
      </c>
      <c r="B2483" s="2" t="s">
        <v>3092</v>
      </c>
      <c r="C2483" s="2" t="s">
        <v>1953</v>
      </c>
      <c r="D2483" s="2" t="s">
        <v>1836</v>
      </c>
      <c r="E2483" s="2" t="s">
        <v>1837</v>
      </c>
      <c r="F2483" s="2">
        <v>2.37799</v>
      </c>
      <c r="G2483" s="2">
        <v>0.21177199999999999</v>
      </c>
      <c r="H2483" s="2">
        <v>-3.48916</v>
      </c>
    </row>
    <row r="2484" spans="1:8" x14ac:dyDescent="0.2">
      <c r="A2484" s="2" t="s">
        <v>257</v>
      </c>
      <c r="B2484" s="2" t="s">
        <v>3100</v>
      </c>
      <c r="C2484" s="2" t="s">
        <v>1966</v>
      </c>
      <c r="D2484" s="2" t="s">
        <v>1836</v>
      </c>
      <c r="E2484" s="2" t="s">
        <v>1838</v>
      </c>
      <c r="F2484" s="2">
        <v>4.3836199999999996</v>
      </c>
      <c r="G2484" s="2">
        <v>0.364589</v>
      </c>
      <c r="H2484" s="2">
        <v>-3.58778</v>
      </c>
    </row>
    <row r="2485" spans="1:8" x14ac:dyDescent="0.2">
      <c r="A2485" s="2" t="s">
        <v>338</v>
      </c>
      <c r="B2485" s="2" t="s">
        <v>3100</v>
      </c>
      <c r="C2485" s="2" t="s">
        <v>2278</v>
      </c>
      <c r="D2485" s="2" t="s">
        <v>1836</v>
      </c>
      <c r="E2485" s="2" t="s">
        <v>1838</v>
      </c>
      <c r="F2485" s="2">
        <v>2.0933999999999999</v>
      </c>
      <c r="G2485" s="2">
        <v>0.17274900000000001</v>
      </c>
      <c r="H2485" s="2">
        <v>-3.5991</v>
      </c>
    </row>
    <row r="2486" spans="1:8" x14ac:dyDescent="0.2">
      <c r="A2486" s="2" t="s">
        <v>1056</v>
      </c>
      <c r="B2486" s="2" t="s">
        <v>3047</v>
      </c>
      <c r="C2486" s="2" t="s">
        <v>2277</v>
      </c>
      <c r="D2486" s="2" t="s">
        <v>1836</v>
      </c>
      <c r="E2486" s="2" t="s">
        <v>1838</v>
      </c>
      <c r="F2486" s="2">
        <v>1.00936</v>
      </c>
      <c r="G2486" s="2">
        <v>6.8843100000000004E-2</v>
      </c>
      <c r="H2486" s="2">
        <v>-3.87399</v>
      </c>
    </row>
    <row r="2487" spans="1:8" x14ac:dyDescent="0.2">
      <c r="A2487" s="2" t="s">
        <v>1046</v>
      </c>
      <c r="B2487" s="2" t="s">
        <v>3073</v>
      </c>
      <c r="C2487" s="2" t="s">
        <v>2334</v>
      </c>
      <c r="D2487" s="2" t="s">
        <v>1836</v>
      </c>
      <c r="E2487" s="2" t="s">
        <v>1838</v>
      </c>
      <c r="F2487" s="2">
        <v>5.6726799999999997</v>
      </c>
      <c r="G2487" s="2">
        <v>0.36879800000000001</v>
      </c>
      <c r="H2487" s="2">
        <v>-3.94313</v>
      </c>
    </row>
    <row r="2488" spans="1:8" x14ac:dyDescent="0.2">
      <c r="A2488" s="2" t="s">
        <v>637</v>
      </c>
      <c r="B2488" s="2" t="s">
        <v>3045</v>
      </c>
      <c r="C2488" s="2" t="s">
        <v>2141</v>
      </c>
      <c r="D2488" s="2" t="s">
        <v>1836</v>
      </c>
      <c r="E2488" s="2" t="s">
        <v>1838</v>
      </c>
      <c r="F2488" s="2">
        <v>7.9981600000000004</v>
      </c>
      <c r="G2488" s="2">
        <v>0.51134800000000002</v>
      </c>
      <c r="H2488" s="2">
        <v>-3.9672900000000002</v>
      </c>
    </row>
    <row r="2489" spans="1:8" x14ac:dyDescent="0.2">
      <c r="A2489" s="2" t="s">
        <v>1066</v>
      </c>
      <c r="B2489" s="2" t="s">
        <v>3093</v>
      </c>
      <c r="C2489" s="2" t="s">
        <v>2029</v>
      </c>
      <c r="D2489" s="2" t="s">
        <v>1836</v>
      </c>
      <c r="E2489" s="2" t="s">
        <v>1838</v>
      </c>
      <c r="F2489" s="2">
        <v>7.9269299999999996</v>
      </c>
      <c r="G2489" s="2">
        <v>0.50451100000000004</v>
      </c>
      <c r="H2489" s="2">
        <v>-3.9738099999999998</v>
      </c>
    </row>
    <row r="2490" spans="1:8" x14ac:dyDescent="0.2">
      <c r="A2490" s="2" t="s">
        <v>878</v>
      </c>
      <c r="B2490" s="2" t="s">
        <v>3166</v>
      </c>
      <c r="C2490" s="2" t="s">
        <v>2249</v>
      </c>
      <c r="D2490" s="2" t="s">
        <v>1836</v>
      </c>
      <c r="E2490" s="2" t="s">
        <v>1838</v>
      </c>
      <c r="F2490" s="2">
        <v>3.5211000000000001</v>
      </c>
      <c r="G2490" s="2">
        <v>0.220612</v>
      </c>
      <c r="H2490" s="2">
        <v>-3.9964400000000002</v>
      </c>
    </row>
    <row r="2491" spans="1:8" x14ac:dyDescent="0.2">
      <c r="A2491" s="2" t="s">
        <v>666</v>
      </c>
      <c r="B2491" s="2" t="s">
        <v>3344</v>
      </c>
      <c r="C2491" s="2" t="s">
        <v>2536</v>
      </c>
      <c r="D2491" s="2" t="s">
        <v>1836</v>
      </c>
      <c r="E2491" s="2" t="s">
        <v>1838</v>
      </c>
      <c r="F2491" s="2">
        <v>10.878399999999999</v>
      </c>
      <c r="G2491" s="2">
        <v>0.66377600000000003</v>
      </c>
      <c r="H2491" s="2">
        <v>-4.0346299999999999</v>
      </c>
    </row>
    <row r="2492" spans="1:8" x14ac:dyDescent="0.2">
      <c r="A2492" s="2" t="s">
        <v>102</v>
      </c>
      <c r="B2492" s="2" t="s">
        <v>3050</v>
      </c>
      <c r="C2492" s="2" t="s">
        <v>1886</v>
      </c>
      <c r="D2492" s="2" t="s">
        <v>1836</v>
      </c>
      <c r="E2492" s="2" t="s">
        <v>1837</v>
      </c>
      <c r="F2492" s="2">
        <v>2.8573599999999999</v>
      </c>
      <c r="G2492" s="2">
        <v>0.17336199999999999</v>
      </c>
      <c r="H2492" s="2">
        <v>-4.0428199999999999</v>
      </c>
    </row>
    <row r="2493" spans="1:8" x14ac:dyDescent="0.2">
      <c r="A2493" s="2" t="s">
        <v>1457</v>
      </c>
      <c r="B2493" s="2" t="s">
        <v>3015</v>
      </c>
      <c r="C2493" s="2" t="s">
        <v>3016</v>
      </c>
      <c r="D2493" s="2" t="s">
        <v>1836</v>
      </c>
      <c r="E2493" s="2" t="s">
        <v>1838</v>
      </c>
      <c r="F2493" s="2">
        <v>7.7644000000000002</v>
      </c>
      <c r="G2493" s="2">
        <v>0.43282599999999999</v>
      </c>
      <c r="H2493" s="2">
        <v>-4.1650200000000002</v>
      </c>
    </row>
    <row r="2494" spans="1:8" x14ac:dyDescent="0.2">
      <c r="A2494" s="2" t="s">
        <v>124</v>
      </c>
      <c r="B2494" s="2" t="s">
        <v>3015</v>
      </c>
      <c r="C2494" s="2" t="s">
        <v>1900</v>
      </c>
      <c r="D2494" s="2" t="s">
        <v>1836</v>
      </c>
      <c r="E2494" s="2" t="s">
        <v>1838</v>
      </c>
      <c r="F2494" s="2">
        <v>17.7075</v>
      </c>
      <c r="G2494" s="2">
        <v>0.84825600000000001</v>
      </c>
      <c r="H2494" s="2">
        <v>-4.3837200000000003</v>
      </c>
    </row>
    <row r="2495" spans="1:8" x14ac:dyDescent="0.2">
      <c r="A2495" s="2" t="s">
        <v>249</v>
      </c>
      <c r="B2495" s="2" t="s">
        <v>3097</v>
      </c>
      <c r="C2495" s="2" t="s">
        <v>1961</v>
      </c>
      <c r="D2495" s="2" t="s">
        <v>1836</v>
      </c>
      <c r="E2495" s="2" t="s">
        <v>1838</v>
      </c>
      <c r="F2495" s="2">
        <v>3.6669900000000002</v>
      </c>
      <c r="G2495" s="2">
        <v>0.14610200000000001</v>
      </c>
      <c r="H2495" s="2">
        <v>-4.6495499999999996</v>
      </c>
    </row>
    <row r="2496" spans="1:8" x14ac:dyDescent="0.2">
      <c r="A2496" s="2" t="s">
        <v>1792</v>
      </c>
      <c r="B2496" s="2" t="s">
        <v>3484</v>
      </c>
      <c r="C2496" s="2" t="s">
        <v>2969</v>
      </c>
      <c r="D2496" s="2" t="s">
        <v>1839</v>
      </c>
      <c r="E2496" s="2" t="s">
        <v>1841</v>
      </c>
      <c r="F2496" s="2">
        <v>1.3093699999999999</v>
      </c>
      <c r="G2496" s="2">
        <v>4.5998400000000002E-2</v>
      </c>
      <c r="H2496" s="2">
        <v>-4.8311500000000001</v>
      </c>
    </row>
    <row r="2497" spans="1:8" x14ac:dyDescent="0.2">
      <c r="A2497" s="2" t="s">
        <v>219</v>
      </c>
      <c r="B2497" s="2" t="s">
        <v>3015</v>
      </c>
      <c r="C2497" s="2" t="s">
        <v>3016</v>
      </c>
      <c r="D2497" s="2" t="s">
        <v>1836</v>
      </c>
      <c r="E2497" s="2" t="s">
        <v>1837</v>
      </c>
      <c r="F2497" s="2">
        <v>0.88197700000000001</v>
      </c>
      <c r="G2497" s="2">
        <v>0</v>
      </c>
      <c r="H2497" s="2" t="s">
        <v>3018</v>
      </c>
    </row>
    <row r="2498" spans="1:8" x14ac:dyDescent="0.2">
      <c r="A2498" s="2" t="s">
        <v>228</v>
      </c>
      <c r="B2498" s="2" t="s">
        <v>3089</v>
      </c>
      <c r="C2498" s="2" t="s">
        <v>1950</v>
      </c>
      <c r="D2498" s="2" t="s">
        <v>1836</v>
      </c>
      <c r="E2498" s="2" t="s">
        <v>1837</v>
      </c>
      <c r="F2498" s="2">
        <v>0.91518100000000002</v>
      </c>
      <c r="G2498" s="2">
        <v>0</v>
      </c>
      <c r="H2498" s="2" t="s">
        <v>3018</v>
      </c>
    </row>
    <row r="2499" spans="1:8" x14ac:dyDescent="0.2">
      <c r="A2499" s="2" t="s">
        <v>619</v>
      </c>
      <c r="B2499" s="2" t="s">
        <v>3015</v>
      </c>
      <c r="C2499" s="2" t="s">
        <v>2132</v>
      </c>
      <c r="D2499" s="2" t="s">
        <v>1836</v>
      </c>
      <c r="E2499" s="2" t="s">
        <v>1837</v>
      </c>
      <c r="F2499" s="2">
        <v>3.9423400000000002</v>
      </c>
      <c r="G2499" s="2">
        <v>0</v>
      </c>
      <c r="H2499" s="2" t="s">
        <v>3018</v>
      </c>
    </row>
    <row r="2500" spans="1:8" x14ac:dyDescent="0.2">
      <c r="A2500" s="2" t="s">
        <v>360</v>
      </c>
      <c r="B2500" s="2" t="s">
        <v>3124</v>
      </c>
      <c r="C2500" s="2" t="s">
        <v>3015</v>
      </c>
      <c r="D2500" s="2" t="s">
        <v>1836</v>
      </c>
      <c r="E2500" s="2" t="s">
        <v>1838</v>
      </c>
      <c r="F2500" s="2">
        <v>0.77188000000000001</v>
      </c>
      <c r="G2500" s="2">
        <v>0</v>
      </c>
      <c r="H2500" s="2" t="s">
        <v>3018</v>
      </c>
    </row>
    <row r="2501" spans="1:8" x14ac:dyDescent="0.2">
      <c r="A2501" s="2" t="s">
        <v>1451</v>
      </c>
      <c r="B2501" s="2" t="s">
        <v>3094</v>
      </c>
      <c r="C2501" s="2" t="s">
        <v>2602</v>
      </c>
      <c r="D2501" s="2" t="s">
        <v>1836</v>
      </c>
      <c r="E2501" s="2" t="s">
        <v>1838</v>
      </c>
      <c r="F2501" s="2">
        <v>0.89119300000000001</v>
      </c>
      <c r="G2501" s="2">
        <v>0</v>
      </c>
      <c r="H2501" s="2" t="s">
        <v>3018</v>
      </c>
    </row>
    <row r="2502" spans="1:8" x14ac:dyDescent="0.2">
      <c r="A2502" s="2" t="s">
        <v>1473</v>
      </c>
      <c r="B2502" s="2" t="s">
        <v>3015</v>
      </c>
      <c r="C2502" s="2" t="s">
        <v>3015</v>
      </c>
      <c r="D2502" s="2" t="s">
        <v>1836</v>
      </c>
      <c r="E2502" s="2" t="s">
        <v>1838</v>
      </c>
      <c r="F2502" s="2">
        <v>0.83474400000000004</v>
      </c>
      <c r="G2502" s="2">
        <v>0</v>
      </c>
      <c r="H2502" s="2" t="s">
        <v>3018</v>
      </c>
    </row>
    <row r="2503" spans="1:8" x14ac:dyDescent="0.2">
      <c r="A2503" s="2" t="s">
        <v>8</v>
      </c>
      <c r="B2503" s="2" t="s">
        <v>3015</v>
      </c>
      <c r="C2503" s="2" t="s">
        <v>3015</v>
      </c>
      <c r="D2503" s="2" t="s">
        <v>1839</v>
      </c>
      <c r="E2503" s="2" t="s">
        <v>1841</v>
      </c>
      <c r="F2503" s="2">
        <v>1.7303500000000001</v>
      </c>
      <c r="G2503" s="2">
        <v>0</v>
      </c>
      <c r="H2503" s="2" t="s">
        <v>3018</v>
      </c>
    </row>
    <row r="2504" spans="1:8" x14ac:dyDescent="0.2">
      <c r="A2504" s="2" t="s">
        <v>1746</v>
      </c>
      <c r="B2504" s="2" t="s">
        <v>3015</v>
      </c>
      <c r="C2504" s="2" t="s">
        <v>2913</v>
      </c>
      <c r="D2504" s="2" t="s">
        <v>1839</v>
      </c>
      <c r="E2504" s="2" t="s">
        <v>1841</v>
      </c>
      <c r="F2504" s="2">
        <v>0.84472000000000003</v>
      </c>
      <c r="G2504" s="2">
        <v>0</v>
      </c>
      <c r="H2504" s="2" t="s">
        <v>3018</v>
      </c>
    </row>
    <row r="2505" spans="1:8" x14ac:dyDescent="0.2">
      <c r="A2505" s="2" t="s">
        <v>1798</v>
      </c>
      <c r="B2505" s="2" t="s">
        <v>3474</v>
      </c>
      <c r="C2505" s="2" t="s">
        <v>3015</v>
      </c>
      <c r="D2505" s="2" t="s">
        <v>1839</v>
      </c>
      <c r="E2505" s="2" t="s">
        <v>1840</v>
      </c>
      <c r="F2505" s="2">
        <v>1.8737999999999999</v>
      </c>
      <c r="G2505" s="2">
        <v>0</v>
      </c>
      <c r="H2505" s="2" t="s">
        <v>3018</v>
      </c>
    </row>
    <row r="2506" spans="1:8" x14ac:dyDescent="0.2">
      <c r="A2506" s="2" t="s">
        <v>1810</v>
      </c>
      <c r="B2506" s="2" t="s">
        <v>3015</v>
      </c>
      <c r="C2506" s="2" t="s">
        <v>1862</v>
      </c>
      <c r="D2506" s="2" t="s">
        <v>1839</v>
      </c>
      <c r="E2506" s="2" t="s">
        <v>1840</v>
      </c>
      <c r="F2506" s="2">
        <v>5.2130200000000002</v>
      </c>
      <c r="G2506" s="2">
        <v>0</v>
      </c>
      <c r="H2506" s="2" t="s">
        <v>3018</v>
      </c>
    </row>
    <row r="2507" spans="1:8" x14ac:dyDescent="0.2">
      <c r="A2507" s="2" t="s">
        <v>42</v>
      </c>
      <c r="B2507" s="2" t="s">
        <v>3015</v>
      </c>
      <c r="C2507" s="2" t="s">
        <v>1862</v>
      </c>
      <c r="D2507" s="2" t="s">
        <v>1836</v>
      </c>
      <c r="E2507" s="2" t="s">
        <v>1837</v>
      </c>
      <c r="F2507" s="2">
        <v>0</v>
      </c>
      <c r="G2507" s="2">
        <v>1.36839</v>
      </c>
      <c r="H2507" s="2" t="s">
        <v>3018</v>
      </c>
    </row>
    <row r="2508" spans="1:8" x14ac:dyDescent="0.2">
      <c r="A2508" s="2" t="s">
        <v>72</v>
      </c>
      <c r="B2508" s="2" t="s">
        <v>3015</v>
      </c>
      <c r="C2508" s="2" t="s">
        <v>3016</v>
      </c>
      <c r="D2508" s="2" t="s">
        <v>1836</v>
      </c>
      <c r="E2508" s="2" t="s">
        <v>1837</v>
      </c>
      <c r="F2508" s="2">
        <v>0</v>
      </c>
      <c r="G2508" s="2">
        <v>1.47512</v>
      </c>
      <c r="H2508" s="2" t="s">
        <v>3018</v>
      </c>
    </row>
    <row r="2509" spans="1:8" x14ac:dyDescent="0.2">
      <c r="A2509" s="2" t="s">
        <v>107</v>
      </c>
      <c r="B2509" s="2" t="s">
        <v>3015</v>
      </c>
      <c r="C2509" s="2" t="s">
        <v>3016</v>
      </c>
      <c r="D2509" s="2" t="s">
        <v>1836</v>
      </c>
      <c r="E2509" s="2" t="s">
        <v>1837</v>
      </c>
      <c r="F2509" s="2">
        <v>0</v>
      </c>
      <c r="G2509" s="2">
        <v>4.8413399999999998</v>
      </c>
      <c r="H2509" s="2" t="s">
        <v>3018</v>
      </c>
    </row>
    <row r="2510" spans="1:8" x14ac:dyDescent="0.2">
      <c r="A2510" s="2" t="s">
        <v>119</v>
      </c>
      <c r="B2510" s="2" t="s">
        <v>3055</v>
      </c>
      <c r="C2510" s="2" t="s">
        <v>1895</v>
      </c>
      <c r="D2510" s="2" t="s">
        <v>1836</v>
      </c>
      <c r="E2510" s="2" t="s">
        <v>1837</v>
      </c>
      <c r="F2510" s="2">
        <v>0</v>
      </c>
      <c r="G2510" s="2">
        <v>1.0642400000000001</v>
      </c>
      <c r="H2510" s="2" t="s">
        <v>3018</v>
      </c>
    </row>
    <row r="2511" spans="1:8" x14ac:dyDescent="0.2">
      <c r="A2511" s="2" t="s">
        <v>147</v>
      </c>
      <c r="B2511" s="2" t="s">
        <v>3061</v>
      </c>
      <c r="C2511" s="2" t="s">
        <v>1912</v>
      </c>
      <c r="D2511" s="2" t="s">
        <v>1836</v>
      </c>
      <c r="E2511" s="2" t="s">
        <v>1837</v>
      </c>
      <c r="F2511" s="2">
        <v>0</v>
      </c>
      <c r="G2511" s="2">
        <v>0.99543999999999999</v>
      </c>
      <c r="H2511" s="2" t="s">
        <v>3018</v>
      </c>
    </row>
    <row r="2512" spans="1:8" x14ac:dyDescent="0.2">
      <c r="A2512" s="2" t="s">
        <v>224</v>
      </c>
      <c r="B2512" s="2" t="s">
        <v>3015</v>
      </c>
      <c r="C2512" s="2" t="s">
        <v>1948</v>
      </c>
      <c r="D2512" s="2" t="s">
        <v>1836</v>
      </c>
      <c r="E2512" s="2" t="s">
        <v>1837</v>
      </c>
      <c r="F2512" s="2">
        <v>0</v>
      </c>
      <c r="G2512" s="2">
        <v>1.20052</v>
      </c>
      <c r="H2512" s="2" t="s">
        <v>3018</v>
      </c>
    </row>
    <row r="2513" spans="1:8" x14ac:dyDescent="0.2">
      <c r="A2513" s="2" t="s">
        <v>330</v>
      </c>
      <c r="B2513" s="2" t="s">
        <v>3045</v>
      </c>
      <c r="C2513" s="2" t="s">
        <v>1847</v>
      </c>
      <c r="D2513" s="2" t="s">
        <v>1836</v>
      </c>
      <c r="E2513" s="2" t="s">
        <v>1837</v>
      </c>
      <c r="F2513" s="2">
        <v>0</v>
      </c>
      <c r="G2513" s="2">
        <v>1.5365899999999999</v>
      </c>
      <c r="H2513" s="2" t="s">
        <v>3018</v>
      </c>
    </row>
    <row r="2514" spans="1:8" x14ac:dyDescent="0.2">
      <c r="A2514" s="2" t="s">
        <v>344</v>
      </c>
      <c r="B2514" s="2" t="s">
        <v>3015</v>
      </c>
      <c r="C2514" s="2" t="s">
        <v>3016</v>
      </c>
      <c r="D2514" s="2" t="s">
        <v>1836</v>
      </c>
      <c r="E2514" s="2" t="s">
        <v>1837</v>
      </c>
      <c r="F2514" s="2">
        <v>0</v>
      </c>
      <c r="G2514" s="2">
        <v>3.7902</v>
      </c>
      <c r="H2514" s="2" t="s">
        <v>3018</v>
      </c>
    </row>
    <row r="2515" spans="1:8" x14ac:dyDescent="0.2">
      <c r="A2515" s="2" t="s">
        <v>397</v>
      </c>
      <c r="B2515" s="2" t="s">
        <v>3132</v>
      </c>
      <c r="C2515" s="2" t="s">
        <v>1871</v>
      </c>
      <c r="D2515" s="2" t="s">
        <v>1836</v>
      </c>
      <c r="E2515" s="2" t="s">
        <v>1837</v>
      </c>
      <c r="F2515" s="2">
        <v>0</v>
      </c>
      <c r="G2515" s="2">
        <v>1.88209</v>
      </c>
      <c r="H2515" s="2" t="s">
        <v>3018</v>
      </c>
    </row>
    <row r="2516" spans="1:8" x14ac:dyDescent="0.2">
      <c r="A2516" s="2" t="s">
        <v>402</v>
      </c>
      <c r="B2516" s="2" t="s">
        <v>3015</v>
      </c>
      <c r="C2516" s="2" t="s">
        <v>3016</v>
      </c>
      <c r="D2516" s="2" t="s">
        <v>1836</v>
      </c>
      <c r="E2516" s="2" t="s">
        <v>1837</v>
      </c>
      <c r="F2516" s="2">
        <v>0</v>
      </c>
      <c r="G2516" s="2">
        <v>1.5880399999999999</v>
      </c>
      <c r="H2516" s="2" t="s">
        <v>3018</v>
      </c>
    </row>
    <row r="2517" spans="1:8" x14ac:dyDescent="0.2">
      <c r="A2517" s="2" t="s">
        <v>444</v>
      </c>
      <c r="B2517" s="2" t="s">
        <v>3140</v>
      </c>
      <c r="C2517" s="2" t="s">
        <v>3015</v>
      </c>
      <c r="D2517" s="2" t="s">
        <v>1836</v>
      </c>
      <c r="E2517" s="2" t="s">
        <v>1837</v>
      </c>
      <c r="F2517" s="2">
        <v>0</v>
      </c>
      <c r="G2517" s="2">
        <v>0.82311900000000005</v>
      </c>
      <c r="H2517" s="2" t="s">
        <v>3018</v>
      </c>
    </row>
    <row r="2518" spans="1:8" x14ac:dyDescent="0.2">
      <c r="A2518" s="2" t="s">
        <v>633</v>
      </c>
      <c r="B2518" s="2" t="s">
        <v>3015</v>
      </c>
      <c r="C2518" s="2" t="s">
        <v>2139</v>
      </c>
      <c r="D2518" s="2" t="s">
        <v>1836</v>
      </c>
      <c r="E2518" s="2" t="s">
        <v>1837</v>
      </c>
      <c r="F2518" s="2">
        <v>0</v>
      </c>
      <c r="G2518" s="2">
        <v>1.69197</v>
      </c>
      <c r="H2518" s="2" t="s">
        <v>3018</v>
      </c>
    </row>
    <row r="2519" spans="1:8" x14ac:dyDescent="0.2">
      <c r="A2519" s="2" t="s">
        <v>922</v>
      </c>
      <c r="B2519" s="2" t="s">
        <v>3015</v>
      </c>
      <c r="C2519" s="2" t="s">
        <v>3015</v>
      </c>
      <c r="D2519" s="2" t="s">
        <v>1836</v>
      </c>
      <c r="E2519" s="2" t="s">
        <v>1837</v>
      </c>
      <c r="F2519" s="2">
        <v>0</v>
      </c>
      <c r="G2519" s="2">
        <v>28.310500000000001</v>
      </c>
      <c r="H2519" s="2" t="s">
        <v>3018</v>
      </c>
    </row>
    <row r="2520" spans="1:8" x14ac:dyDescent="0.2">
      <c r="A2520" s="2" t="s">
        <v>933</v>
      </c>
      <c r="B2520" s="2" t="s">
        <v>3015</v>
      </c>
      <c r="C2520" s="2" t="s">
        <v>3015</v>
      </c>
      <c r="D2520" s="2" t="s">
        <v>1836</v>
      </c>
      <c r="E2520" s="2" t="s">
        <v>1837</v>
      </c>
      <c r="F2520" s="2">
        <v>0</v>
      </c>
      <c r="G2520" s="2">
        <v>21.439699999999998</v>
      </c>
      <c r="H2520" s="2" t="s">
        <v>3018</v>
      </c>
    </row>
    <row r="2521" spans="1:8" x14ac:dyDescent="0.2">
      <c r="A2521" s="2" t="s">
        <v>954</v>
      </c>
      <c r="B2521" s="2" t="s">
        <v>3015</v>
      </c>
      <c r="C2521" s="2" t="s">
        <v>3015</v>
      </c>
      <c r="D2521" s="2" t="s">
        <v>1836</v>
      </c>
      <c r="E2521" s="2" t="s">
        <v>1837</v>
      </c>
      <c r="F2521" s="2">
        <v>0</v>
      </c>
      <c r="G2521" s="2">
        <v>8.3925999999999998</v>
      </c>
      <c r="H2521" s="2" t="s">
        <v>3018</v>
      </c>
    </row>
    <row r="2522" spans="1:8" x14ac:dyDescent="0.2">
      <c r="A2522" s="2" t="s">
        <v>955</v>
      </c>
      <c r="B2522" s="2" t="s">
        <v>3015</v>
      </c>
      <c r="C2522" s="2" t="s">
        <v>2289</v>
      </c>
      <c r="D2522" s="2" t="s">
        <v>1836</v>
      </c>
      <c r="E2522" s="2" t="s">
        <v>1837</v>
      </c>
      <c r="F2522" s="2">
        <v>0</v>
      </c>
      <c r="G2522" s="2">
        <v>6.3032000000000004</v>
      </c>
      <c r="H2522" s="2" t="s">
        <v>3018</v>
      </c>
    </row>
    <row r="2523" spans="1:8" x14ac:dyDescent="0.2">
      <c r="A2523" s="2" t="s">
        <v>966</v>
      </c>
      <c r="B2523" s="2" t="s">
        <v>3249</v>
      </c>
      <c r="C2523" s="2" t="s">
        <v>2298</v>
      </c>
      <c r="D2523" s="2" t="s">
        <v>1836</v>
      </c>
      <c r="E2523" s="2" t="s">
        <v>1837</v>
      </c>
      <c r="F2523" s="2">
        <v>0</v>
      </c>
      <c r="G2523" s="2">
        <v>7.9010400000000001</v>
      </c>
      <c r="H2523" s="2" t="s">
        <v>3018</v>
      </c>
    </row>
    <row r="2524" spans="1:8" x14ac:dyDescent="0.2">
      <c r="A2524" s="2" t="s">
        <v>985</v>
      </c>
      <c r="B2524" s="2" t="s">
        <v>3015</v>
      </c>
      <c r="C2524" s="2" t="s">
        <v>2308</v>
      </c>
      <c r="D2524" s="2" t="s">
        <v>1836</v>
      </c>
      <c r="E2524" s="2" t="s">
        <v>1837</v>
      </c>
      <c r="F2524" s="2">
        <v>0</v>
      </c>
      <c r="G2524" s="2">
        <v>3.1293799999999998</v>
      </c>
      <c r="H2524" s="2" t="s">
        <v>3018</v>
      </c>
    </row>
    <row r="2525" spans="1:8" x14ac:dyDescent="0.2">
      <c r="A2525" s="2" t="s">
        <v>992</v>
      </c>
      <c r="B2525" s="2" t="s">
        <v>3015</v>
      </c>
      <c r="C2525" s="2" t="s">
        <v>2311</v>
      </c>
      <c r="D2525" s="2" t="s">
        <v>1836</v>
      </c>
      <c r="E2525" s="2" t="s">
        <v>1837</v>
      </c>
      <c r="F2525" s="2">
        <v>0</v>
      </c>
      <c r="G2525" s="2">
        <v>10.190300000000001</v>
      </c>
      <c r="H2525" s="2" t="s">
        <v>3018</v>
      </c>
    </row>
    <row r="2526" spans="1:8" x14ac:dyDescent="0.2">
      <c r="A2526" s="2" t="s">
        <v>1007</v>
      </c>
      <c r="B2526" s="2" t="s">
        <v>3015</v>
      </c>
      <c r="C2526" s="2" t="s">
        <v>2314</v>
      </c>
      <c r="D2526" s="2" t="s">
        <v>1836</v>
      </c>
      <c r="E2526" s="2" t="s">
        <v>1837</v>
      </c>
      <c r="F2526" s="2">
        <v>0</v>
      </c>
      <c r="G2526" s="2">
        <v>2.7535500000000002</v>
      </c>
      <c r="H2526" s="2" t="s">
        <v>3018</v>
      </c>
    </row>
    <row r="2527" spans="1:8" x14ac:dyDescent="0.2">
      <c r="A2527" s="2" t="s">
        <v>1068</v>
      </c>
      <c r="B2527" s="2" t="s">
        <v>3263</v>
      </c>
      <c r="C2527" s="2" t="s">
        <v>2341</v>
      </c>
      <c r="D2527" s="2" t="s">
        <v>1836</v>
      </c>
      <c r="E2527" s="2" t="s">
        <v>1837</v>
      </c>
      <c r="F2527" s="2">
        <v>0</v>
      </c>
      <c r="G2527" s="2">
        <v>1.20411</v>
      </c>
      <c r="H2527" s="2" t="s">
        <v>3018</v>
      </c>
    </row>
    <row r="2528" spans="1:8" x14ac:dyDescent="0.2">
      <c r="A2528" s="2" t="s">
        <v>1086</v>
      </c>
      <c r="B2528" s="2" t="s">
        <v>3015</v>
      </c>
      <c r="C2528" s="2" t="s">
        <v>2351</v>
      </c>
      <c r="D2528" s="2" t="s">
        <v>1836</v>
      </c>
      <c r="E2528" s="2" t="s">
        <v>1837</v>
      </c>
      <c r="F2528" s="2">
        <v>0</v>
      </c>
      <c r="G2528" s="2">
        <v>6.4357499999999996</v>
      </c>
      <c r="H2528" s="2" t="s">
        <v>3018</v>
      </c>
    </row>
    <row r="2529" spans="1:8" x14ac:dyDescent="0.2">
      <c r="A2529" s="2" t="s">
        <v>1096</v>
      </c>
      <c r="B2529" s="2" t="s">
        <v>3015</v>
      </c>
      <c r="C2529" s="2" t="s">
        <v>1880</v>
      </c>
      <c r="D2529" s="2" t="s">
        <v>1836</v>
      </c>
      <c r="E2529" s="2" t="s">
        <v>1837</v>
      </c>
      <c r="F2529" s="2">
        <v>0</v>
      </c>
      <c r="G2529" s="2">
        <v>1.3425800000000001</v>
      </c>
      <c r="H2529" s="2" t="s">
        <v>3018</v>
      </c>
    </row>
    <row r="2530" spans="1:8" x14ac:dyDescent="0.2">
      <c r="A2530" s="2" t="s">
        <v>1097</v>
      </c>
      <c r="B2530" s="2" t="s">
        <v>3015</v>
      </c>
      <c r="C2530" s="2" t="s">
        <v>3015</v>
      </c>
      <c r="D2530" s="2" t="s">
        <v>1836</v>
      </c>
      <c r="E2530" s="2" t="s">
        <v>1837</v>
      </c>
      <c r="F2530" s="2">
        <v>0</v>
      </c>
      <c r="G2530" s="2">
        <v>4.3985399999999997</v>
      </c>
      <c r="H2530" s="2" t="s">
        <v>3018</v>
      </c>
    </row>
    <row r="2531" spans="1:8" x14ac:dyDescent="0.2">
      <c r="A2531" s="2" t="s">
        <v>1101</v>
      </c>
      <c r="B2531" s="2" t="s">
        <v>3015</v>
      </c>
      <c r="C2531" s="2" t="s">
        <v>2357</v>
      </c>
      <c r="D2531" s="2" t="s">
        <v>1836</v>
      </c>
      <c r="E2531" s="2" t="s">
        <v>1837</v>
      </c>
      <c r="F2531" s="2">
        <v>0</v>
      </c>
      <c r="G2531" s="2">
        <v>1.4597899999999999</v>
      </c>
      <c r="H2531" s="2" t="s">
        <v>3018</v>
      </c>
    </row>
    <row r="2532" spans="1:8" x14ac:dyDescent="0.2">
      <c r="A2532" s="2" t="s">
        <v>1137</v>
      </c>
      <c r="B2532" s="2" t="s">
        <v>3015</v>
      </c>
      <c r="C2532" s="2" t="s">
        <v>3015</v>
      </c>
      <c r="D2532" s="2" t="s">
        <v>1836</v>
      </c>
      <c r="E2532" s="2" t="s">
        <v>1838</v>
      </c>
      <c r="F2532" s="2">
        <v>0</v>
      </c>
      <c r="G2532" s="2">
        <v>1.2870999999999999</v>
      </c>
      <c r="H2532" s="2" t="s">
        <v>3018</v>
      </c>
    </row>
    <row r="2533" spans="1:8" x14ac:dyDescent="0.2">
      <c r="A2533" s="2" t="s">
        <v>1165</v>
      </c>
      <c r="B2533" s="2" t="s">
        <v>3047</v>
      </c>
      <c r="C2533" s="2" t="s">
        <v>1928</v>
      </c>
      <c r="D2533" s="2" t="s">
        <v>1836</v>
      </c>
      <c r="E2533" s="2" t="s">
        <v>1838</v>
      </c>
      <c r="F2533" s="2">
        <v>0</v>
      </c>
      <c r="G2533" s="2">
        <v>0.86233199999999999</v>
      </c>
      <c r="H2533" s="2" t="s">
        <v>3018</v>
      </c>
    </row>
    <row r="2534" spans="1:8" x14ac:dyDescent="0.2">
      <c r="A2534" s="2" t="s">
        <v>1188</v>
      </c>
      <c r="B2534" s="2" t="s">
        <v>3297</v>
      </c>
      <c r="C2534" s="2" t="s">
        <v>2416</v>
      </c>
      <c r="D2534" s="2" t="s">
        <v>1836</v>
      </c>
      <c r="E2534" s="2" t="s">
        <v>1838</v>
      </c>
      <c r="F2534" s="2">
        <v>0</v>
      </c>
      <c r="G2534" s="2">
        <v>0.99651500000000004</v>
      </c>
      <c r="H2534" s="2" t="s">
        <v>3018</v>
      </c>
    </row>
    <row r="2535" spans="1:8" x14ac:dyDescent="0.2">
      <c r="A2535" s="2" t="s">
        <v>1217</v>
      </c>
      <c r="B2535" s="2" t="s">
        <v>3015</v>
      </c>
      <c r="C2535" s="2" t="s">
        <v>3016</v>
      </c>
      <c r="D2535" s="2" t="s">
        <v>1836</v>
      </c>
      <c r="E2535" s="2" t="s">
        <v>1838</v>
      </c>
      <c r="F2535" s="2">
        <v>0</v>
      </c>
      <c r="G2535" s="2">
        <v>2.1271399999999998</v>
      </c>
      <c r="H2535" s="2" t="s">
        <v>3018</v>
      </c>
    </row>
    <row r="2536" spans="1:8" x14ac:dyDescent="0.2">
      <c r="A2536" s="2" t="s">
        <v>1218</v>
      </c>
      <c r="B2536" s="2" t="s">
        <v>3015</v>
      </c>
      <c r="C2536" s="2" t="s">
        <v>2434</v>
      </c>
      <c r="D2536" s="2" t="s">
        <v>1836</v>
      </c>
      <c r="E2536" s="2" t="s">
        <v>1838</v>
      </c>
      <c r="F2536" s="2">
        <v>0</v>
      </c>
      <c r="G2536" s="2">
        <v>1.44764</v>
      </c>
      <c r="H2536" s="2" t="s">
        <v>3018</v>
      </c>
    </row>
    <row r="2537" spans="1:8" x14ac:dyDescent="0.2">
      <c r="A2537" s="2" t="s">
        <v>1243</v>
      </c>
      <c r="B2537" s="2" t="s">
        <v>3015</v>
      </c>
      <c r="C2537" s="2" t="s">
        <v>2451</v>
      </c>
      <c r="D2537" s="2" t="s">
        <v>1836</v>
      </c>
      <c r="E2537" s="2" t="s">
        <v>1838</v>
      </c>
      <c r="F2537" s="2">
        <v>0</v>
      </c>
      <c r="G2537" s="2">
        <v>1.1641600000000001</v>
      </c>
      <c r="H2537" s="2" t="s">
        <v>3018</v>
      </c>
    </row>
    <row r="2538" spans="1:8" x14ac:dyDescent="0.2">
      <c r="A2538" s="2" t="s">
        <v>1273</v>
      </c>
      <c r="B2538" s="2" t="s">
        <v>3015</v>
      </c>
      <c r="C2538" s="2" t="s">
        <v>3016</v>
      </c>
      <c r="D2538" s="2" t="s">
        <v>1836</v>
      </c>
      <c r="E2538" s="2" t="s">
        <v>1838</v>
      </c>
      <c r="F2538" s="2">
        <v>0</v>
      </c>
      <c r="G2538" s="2">
        <v>4.2510199999999996</v>
      </c>
      <c r="H2538" s="2" t="s">
        <v>3018</v>
      </c>
    </row>
    <row r="2539" spans="1:8" x14ac:dyDescent="0.2">
      <c r="A2539" s="2" t="s">
        <v>1302</v>
      </c>
      <c r="B2539" s="2" t="s">
        <v>3015</v>
      </c>
      <c r="C2539" s="2" t="s">
        <v>2506</v>
      </c>
      <c r="D2539" s="2" t="s">
        <v>1836</v>
      </c>
      <c r="E2539" s="2" t="s">
        <v>1838</v>
      </c>
      <c r="F2539" s="2">
        <v>0</v>
      </c>
      <c r="G2539" s="2">
        <v>2.0526200000000001</v>
      </c>
      <c r="H2539" s="2" t="s">
        <v>3018</v>
      </c>
    </row>
    <row r="2540" spans="1:8" x14ac:dyDescent="0.2">
      <c r="A2540" s="2" t="s">
        <v>1332</v>
      </c>
      <c r="B2540" s="2" t="s">
        <v>3348</v>
      </c>
      <c r="C2540" s="2" t="s">
        <v>2527</v>
      </c>
      <c r="D2540" s="2" t="s">
        <v>1836</v>
      </c>
      <c r="E2540" s="2" t="s">
        <v>1838</v>
      </c>
      <c r="F2540" s="2">
        <v>0</v>
      </c>
      <c r="G2540" s="2">
        <v>1.7381500000000001</v>
      </c>
      <c r="H2540" s="2" t="s">
        <v>3018</v>
      </c>
    </row>
    <row r="2541" spans="1:8" x14ac:dyDescent="0.2">
      <c r="A2541" s="2" t="s">
        <v>1385</v>
      </c>
      <c r="B2541" s="2" t="s">
        <v>3015</v>
      </c>
      <c r="C2541" s="2" t="s">
        <v>3015</v>
      </c>
      <c r="D2541" s="2" t="s">
        <v>1836</v>
      </c>
      <c r="E2541" s="2" t="s">
        <v>1838</v>
      </c>
      <c r="F2541" s="2">
        <v>0</v>
      </c>
      <c r="G2541" s="2">
        <v>0.95873600000000003</v>
      </c>
      <c r="H2541" s="2" t="s">
        <v>3018</v>
      </c>
    </row>
    <row r="2542" spans="1:8" x14ac:dyDescent="0.2">
      <c r="A2542" s="2" t="s">
        <v>955</v>
      </c>
      <c r="B2542" s="2" t="s">
        <v>3015</v>
      </c>
      <c r="C2542" s="2" t="s">
        <v>2289</v>
      </c>
      <c r="D2542" s="2" t="s">
        <v>1836</v>
      </c>
      <c r="E2542" s="2" t="s">
        <v>1838</v>
      </c>
      <c r="F2542" s="2">
        <v>0</v>
      </c>
      <c r="G2542" s="2">
        <v>5.8176600000000001</v>
      </c>
      <c r="H2542" s="2" t="s">
        <v>3018</v>
      </c>
    </row>
    <row r="2543" spans="1:8" x14ac:dyDescent="0.2">
      <c r="A2543" s="2" t="s">
        <v>1452</v>
      </c>
      <c r="B2543" s="2" t="s">
        <v>3015</v>
      </c>
      <c r="C2543" s="2" t="s">
        <v>3016</v>
      </c>
      <c r="D2543" s="2" t="s">
        <v>1836</v>
      </c>
      <c r="E2543" s="2" t="s">
        <v>1838</v>
      </c>
      <c r="F2543" s="2">
        <v>0</v>
      </c>
      <c r="G2543" s="2">
        <v>0.99831700000000001</v>
      </c>
      <c r="H2543" s="2" t="s">
        <v>3018</v>
      </c>
    </row>
    <row r="2544" spans="1:8" x14ac:dyDescent="0.2">
      <c r="A2544" s="2" t="s">
        <v>1086</v>
      </c>
      <c r="B2544" s="2" t="s">
        <v>3015</v>
      </c>
      <c r="C2544" s="2" t="s">
        <v>2351</v>
      </c>
      <c r="D2544" s="2" t="s">
        <v>1836</v>
      </c>
      <c r="E2544" s="2" t="s">
        <v>1838</v>
      </c>
      <c r="F2544" s="2">
        <v>0</v>
      </c>
      <c r="G2544" s="2">
        <v>13.0952</v>
      </c>
      <c r="H2544" s="2" t="s">
        <v>3018</v>
      </c>
    </row>
    <row r="2545" spans="1:8" x14ac:dyDescent="0.2">
      <c r="A2545" s="2" t="s">
        <v>92</v>
      </c>
      <c r="B2545" s="2" t="s">
        <v>3024</v>
      </c>
      <c r="C2545" s="2" t="s">
        <v>1883</v>
      </c>
      <c r="D2545" s="2" t="s">
        <v>1839</v>
      </c>
      <c r="E2545" s="2" t="s">
        <v>1841</v>
      </c>
      <c r="F2545" s="2">
        <v>0</v>
      </c>
      <c r="G2545" s="2">
        <v>0.77295599999999998</v>
      </c>
      <c r="H2545" s="2" t="s">
        <v>3018</v>
      </c>
    </row>
    <row r="2546" spans="1:8" x14ac:dyDescent="0.2">
      <c r="A2546" s="2" t="s">
        <v>1517</v>
      </c>
      <c r="B2546" s="2" t="s">
        <v>3209</v>
      </c>
      <c r="C2546" s="2" t="s">
        <v>2670</v>
      </c>
      <c r="D2546" s="2" t="s">
        <v>1839</v>
      </c>
      <c r="E2546" s="2" t="s">
        <v>1841</v>
      </c>
      <c r="F2546" s="2">
        <v>0</v>
      </c>
      <c r="G2546" s="2">
        <v>2.86138</v>
      </c>
      <c r="H2546" s="2" t="s">
        <v>3018</v>
      </c>
    </row>
    <row r="2547" spans="1:8" x14ac:dyDescent="0.2">
      <c r="A2547" s="2" t="s">
        <v>1587</v>
      </c>
      <c r="B2547" s="2" t="s">
        <v>3015</v>
      </c>
      <c r="C2547" s="2" t="s">
        <v>3015</v>
      </c>
      <c r="D2547" s="2" t="s">
        <v>1839</v>
      </c>
      <c r="E2547" s="2" t="s">
        <v>1841</v>
      </c>
      <c r="F2547" s="2">
        <v>0</v>
      </c>
      <c r="G2547" s="2">
        <v>1.4136899999999999</v>
      </c>
      <c r="H2547" s="2" t="s">
        <v>3018</v>
      </c>
    </row>
    <row r="2548" spans="1:8" x14ac:dyDescent="0.2">
      <c r="A2548" s="2" t="s">
        <v>386</v>
      </c>
      <c r="B2548" s="2" t="s">
        <v>3130</v>
      </c>
      <c r="C2548" s="2" t="s">
        <v>2021</v>
      </c>
      <c r="D2548" s="2" t="s">
        <v>1839</v>
      </c>
      <c r="E2548" s="2" t="s">
        <v>1841</v>
      </c>
      <c r="F2548" s="2">
        <v>0</v>
      </c>
      <c r="G2548" s="2">
        <v>2.3992900000000001</v>
      </c>
      <c r="H2548" s="2" t="s">
        <v>3018</v>
      </c>
    </row>
    <row r="2549" spans="1:8" x14ac:dyDescent="0.2">
      <c r="A2549" s="2" t="s">
        <v>1647</v>
      </c>
      <c r="B2549" s="2" t="s">
        <v>3015</v>
      </c>
      <c r="C2549" s="2" t="s">
        <v>3015</v>
      </c>
      <c r="D2549" s="2" t="s">
        <v>1839</v>
      </c>
      <c r="E2549" s="2" t="s">
        <v>1841</v>
      </c>
      <c r="F2549" s="2">
        <v>0</v>
      </c>
      <c r="G2549" s="2">
        <v>3.4809399999999999</v>
      </c>
      <c r="H2549" s="2" t="s">
        <v>3018</v>
      </c>
    </row>
    <row r="2550" spans="1:8" x14ac:dyDescent="0.2">
      <c r="A2550" s="2" t="s">
        <v>1385</v>
      </c>
      <c r="B2550" s="2" t="s">
        <v>3015</v>
      </c>
      <c r="C2550" s="2" t="s">
        <v>3015</v>
      </c>
      <c r="D2550" s="2" t="s">
        <v>1839</v>
      </c>
      <c r="E2550" s="2" t="s">
        <v>1841</v>
      </c>
      <c r="F2550" s="2">
        <v>0</v>
      </c>
      <c r="G2550" s="2">
        <v>1.87524</v>
      </c>
      <c r="H2550" s="2" t="s">
        <v>3018</v>
      </c>
    </row>
    <row r="2551" spans="1:8" x14ac:dyDescent="0.2">
      <c r="A2551" s="2" t="s">
        <v>1715</v>
      </c>
      <c r="B2551" s="2" t="s">
        <v>3030</v>
      </c>
      <c r="C2551" s="2" t="s">
        <v>2879</v>
      </c>
      <c r="D2551" s="2" t="s">
        <v>1839</v>
      </c>
      <c r="E2551" s="2" t="s">
        <v>1841</v>
      </c>
      <c r="F2551" s="2">
        <v>0</v>
      </c>
      <c r="G2551" s="2">
        <v>0.89891799999999999</v>
      </c>
      <c r="H2551" s="2" t="s">
        <v>3018</v>
      </c>
    </row>
    <row r="2552" spans="1:8" x14ac:dyDescent="0.2">
      <c r="A2552" s="2" t="s">
        <v>1735</v>
      </c>
      <c r="B2552" s="2" t="s">
        <v>3015</v>
      </c>
      <c r="C2552" s="2" t="s">
        <v>3015</v>
      </c>
      <c r="D2552" s="2" t="s">
        <v>1839</v>
      </c>
      <c r="E2552" s="2" t="s">
        <v>1841</v>
      </c>
      <c r="F2552" s="2">
        <v>0</v>
      </c>
      <c r="G2552" s="2">
        <v>1.50499</v>
      </c>
      <c r="H2552" s="2" t="s">
        <v>3018</v>
      </c>
    </row>
    <row r="2553" spans="1:8" x14ac:dyDescent="0.2">
      <c r="A2553" s="2" t="s">
        <v>386</v>
      </c>
      <c r="B2553" s="2" t="s">
        <v>3130</v>
      </c>
      <c r="C2553" s="2" t="s">
        <v>2021</v>
      </c>
      <c r="D2553" s="2" t="s">
        <v>1839</v>
      </c>
      <c r="E2553" s="2" t="s">
        <v>1840</v>
      </c>
      <c r="F2553" s="2">
        <v>0</v>
      </c>
      <c r="G2553" s="2">
        <v>2.09213</v>
      </c>
      <c r="H2553" s="2" t="s">
        <v>3018</v>
      </c>
    </row>
    <row r="2554" spans="1:8" x14ac:dyDescent="0.2">
      <c r="A2554" s="2" t="s">
        <v>1647</v>
      </c>
      <c r="B2554" s="2" t="s">
        <v>3015</v>
      </c>
      <c r="C2554" s="2" t="s">
        <v>3015</v>
      </c>
      <c r="D2554" s="2" t="s">
        <v>1839</v>
      </c>
      <c r="E2554" s="2" t="s">
        <v>1840</v>
      </c>
      <c r="F2554" s="2">
        <v>0</v>
      </c>
      <c r="G2554" s="2">
        <v>3.45485</v>
      </c>
      <c r="H2554" s="2" t="s">
        <v>3018</v>
      </c>
    </row>
    <row r="2555" spans="1:8" x14ac:dyDescent="0.2">
      <c r="A2555" s="2" t="s">
        <v>1823</v>
      </c>
      <c r="B2555" s="2" t="s">
        <v>3015</v>
      </c>
      <c r="C2555" s="2" t="s">
        <v>3015</v>
      </c>
      <c r="D2555" s="2" t="s">
        <v>1839</v>
      </c>
      <c r="E2555" s="2" t="s">
        <v>1840</v>
      </c>
      <c r="F2555" s="2">
        <v>0</v>
      </c>
      <c r="G2555" s="2">
        <v>1.5044999999999999</v>
      </c>
      <c r="H2555" s="2" t="s">
        <v>3018</v>
      </c>
    </row>
    <row r="2556" spans="1:8" x14ac:dyDescent="0.2">
      <c r="A2556" s="2" t="s">
        <v>1735</v>
      </c>
      <c r="B2556" s="2" t="s">
        <v>3015</v>
      </c>
      <c r="C2556" s="2" t="s">
        <v>3015</v>
      </c>
      <c r="D2556" s="2" t="s">
        <v>1839</v>
      </c>
      <c r="E2556" s="2" t="s">
        <v>1840</v>
      </c>
      <c r="F2556" s="2">
        <v>0</v>
      </c>
      <c r="G2556" s="2">
        <v>1.3039799999999999</v>
      </c>
      <c r="H2556" s="2" t="s">
        <v>3018</v>
      </c>
    </row>
    <row r="2557" spans="1:8" x14ac:dyDescent="0.2">
      <c r="A2557" s="2" t="s">
        <v>1828</v>
      </c>
      <c r="B2557" s="2" t="s">
        <v>3015</v>
      </c>
      <c r="C2557" s="2" t="s">
        <v>3016</v>
      </c>
      <c r="D2557" s="2" t="s">
        <v>1839</v>
      </c>
      <c r="E2557" s="2" t="s">
        <v>1840</v>
      </c>
      <c r="F2557" s="2">
        <v>0</v>
      </c>
      <c r="G2557" s="2">
        <v>1.93781</v>
      </c>
      <c r="H2557" s="2" t="s">
        <v>3018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8"/>
  <sheetViews>
    <sheetView workbookViewId="0"/>
  </sheetViews>
  <sheetFormatPr defaultColWidth="8.875" defaultRowHeight="15" x14ac:dyDescent="0.2"/>
  <cols>
    <col min="1" max="1" width="15.5" style="2" customWidth="1"/>
    <col min="2" max="2" width="14.125" style="2" customWidth="1"/>
    <col min="3" max="3" width="20.875" style="2" customWidth="1"/>
    <col min="4" max="4" width="10" style="2" customWidth="1"/>
    <col min="5" max="16384" width="8.875" style="2"/>
  </cols>
  <sheetData>
    <row r="1" spans="1:13" ht="20.25" x14ac:dyDescent="0.2">
      <c r="A1" s="11" t="s">
        <v>3532</v>
      </c>
      <c r="B1" s="25"/>
      <c r="C1" s="25"/>
      <c r="D1" s="25"/>
      <c r="E1" s="25"/>
      <c r="F1" s="25"/>
      <c r="G1" s="25"/>
      <c r="H1" s="25"/>
      <c r="I1" s="25"/>
      <c r="M1" s="2" t="s">
        <v>4</v>
      </c>
    </row>
    <row r="2" spans="1:13" ht="18.75" x14ac:dyDescent="0.2">
      <c r="A2" s="25" t="s">
        <v>3533</v>
      </c>
      <c r="B2" s="25"/>
      <c r="C2" s="25"/>
      <c r="D2" s="25"/>
      <c r="E2" s="25"/>
      <c r="F2" s="25"/>
      <c r="G2" s="25"/>
      <c r="H2" s="25"/>
      <c r="I2" s="25"/>
      <c r="L2" s="2" t="s">
        <v>6</v>
      </c>
      <c r="M2" s="2">
        <v>-1.3505400000000001</v>
      </c>
    </row>
    <row r="3" spans="1:13" ht="18" x14ac:dyDescent="0.2">
      <c r="A3" s="28" t="s">
        <v>3020</v>
      </c>
      <c r="B3" s="28" t="s">
        <v>3023</v>
      </c>
      <c r="C3" s="28" t="s">
        <v>1843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/>
      <c r="L3" s="2" t="s">
        <v>7</v>
      </c>
      <c r="M3" s="2">
        <v>-1.4379299999999999</v>
      </c>
    </row>
    <row r="4" spans="1:13" x14ac:dyDescent="0.2">
      <c r="A4" s="5" t="s">
        <v>6</v>
      </c>
      <c r="B4" s="5" t="s">
        <v>3277</v>
      </c>
      <c r="C4" s="5" t="s">
        <v>1844</v>
      </c>
      <c r="D4" s="5" t="s">
        <v>1836</v>
      </c>
      <c r="E4" s="5" t="s">
        <v>1837</v>
      </c>
      <c r="F4" s="5">
        <v>12.1189</v>
      </c>
      <c r="G4" s="5">
        <v>4.75237</v>
      </c>
      <c r="H4" s="5">
        <v>-1.3505400000000001</v>
      </c>
      <c r="I4" s="5">
        <v>1</v>
      </c>
      <c r="L4" s="2" t="s">
        <v>9</v>
      </c>
      <c r="M4" s="2">
        <v>1.1439299999999999</v>
      </c>
    </row>
    <row r="5" spans="1:13" x14ac:dyDescent="0.2">
      <c r="A5" s="5" t="s">
        <v>7</v>
      </c>
      <c r="B5" s="5" t="s">
        <v>3015</v>
      </c>
      <c r="C5" s="5" t="s">
        <v>1845</v>
      </c>
      <c r="D5" s="5" t="s">
        <v>1836</v>
      </c>
      <c r="E5" s="5" t="s">
        <v>1837</v>
      </c>
      <c r="F5" s="5">
        <v>3.2798500000000002</v>
      </c>
      <c r="G5" s="5">
        <v>1.21058</v>
      </c>
      <c r="H5" s="5">
        <v>-1.4379299999999999</v>
      </c>
      <c r="I5" s="5">
        <v>1</v>
      </c>
      <c r="L5" s="2" t="s">
        <v>12</v>
      </c>
      <c r="M5" s="2">
        <v>-1.04583</v>
      </c>
    </row>
    <row r="6" spans="1:13" x14ac:dyDescent="0.2">
      <c r="A6" s="5" t="s">
        <v>9</v>
      </c>
      <c r="B6" s="5" t="s">
        <v>3025</v>
      </c>
      <c r="C6" s="5" t="s">
        <v>1846</v>
      </c>
      <c r="D6" s="5" t="s">
        <v>1836</v>
      </c>
      <c r="E6" s="5" t="s">
        <v>1837</v>
      </c>
      <c r="F6" s="5">
        <v>6.5333800000000002</v>
      </c>
      <c r="G6" s="5">
        <v>14.4376</v>
      </c>
      <c r="H6" s="5">
        <v>1.1439299999999999</v>
      </c>
      <c r="I6" s="5">
        <v>1</v>
      </c>
      <c r="L6" s="2" t="s">
        <v>16</v>
      </c>
      <c r="M6" s="2">
        <v>-1.04277</v>
      </c>
    </row>
    <row r="7" spans="1:13" x14ac:dyDescent="0.2">
      <c r="A7" s="5" t="s">
        <v>12</v>
      </c>
      <c r="B7" s="5" t="s">
        <v>3015</v>
      </c>
      <c r="C7" s="5" t="s">
        <v>1847</v>
      </c>
      <c r="D7" s="5" t="s">
        <v>1836</v>
      </c>
      <c r="E7" s="5" t="s">
        <v>1837</v>
      </c>
      <c r="F7" s="5">
        <v>21.8294</v>
      </c>
      <c r="G7" s="5">
        <v>10.573399999999999</v>
      </c>
      <c r="H7" s="5">
        <v>-1.04583</v>
      </c>
      <c r="I7" s="5">
        <v>1</v>
      </c>
      <c r="L7" s="2" t="s">
        <v>17</v>
      </c>
      <c r="M7" s="2">
        <v>-1.0287900000000001</v>
      </c>
    </row>
    <row r="8" spans="1:13" x14ac:dyDescent="0.2">
      <c r="A8" s="5" t="s">
        <v>16</v>
      </c>
      <c r="B8" s="5" t="s">
        <v>3026</v>
      </c>
      <c r="C8" s="5" t="s">
        <v>1848</v>
      </c>
      <c r="D8" s="5" t="s">
        <v>1836</v>
      </c>
      <c r="E8" s="5" t="s">
        <v>1837</v>
      </c>
      <c r="F8" s="5">
        <v>5.4785700000000004</v>
      </c>
      <c r="G8" s="5">
        <v>2.6592600000000002</v>
      </c>
      <c r="H8" s="5">
        <v>-1.04277</v>
      </c>
      <c r="I8" s="5">
        <v>1</v>
      </c>
      <c r="L8" s="2" t="s">
        <v>18</v>
      </c>
      <c r="M8" s="2">
        <v>-1.85375</v>
      </c>
    </row>
    <row r="9" spans="1:13" x14ac:dyDescent="0.2">
      <c r="A9" s="5" t="s">
        <v>17</v>
      </c>
      <c r="B9" s="5" t="s">
        <v>3015</v>
      </c>
      <c r="C9" s="5" t="s">
        <v>1849</v>
      </c>
      <c r="D9" s="5" t="s">
        <v>1836</v>
      </c>
      <c r="E9" s="5" t="s">
        <v>1837</v>
      </c>
      <c r="F9" s="5">
        <v>22.555399999999999</v>
      </c>
      <c r="G9" s="5">
        <v>11.0549</v>
      </c>
      <c r="H9" s="5">
        <v>-1.0287900000000001</v>
      </c>
      <c r="I9" s="5">
        <v>1</v>
      </c>
      <c r="L9" s="2" t="s">
        <v>20</v>
      </c>
      <c r="M9" s="2">
        <v>-1.05159</v>
      </c>
    </row>
    <row r="10" spans="1:13" x14ac:dyDescent="0.2">
      <c r="A10" s="5" t="s">
        <v>18</v>
      </c>
      <c r="B10" s="5" t="s">
        <v>3015</v>
      </c>
      <c r="C10" s="5" t="s">
        <v>1850</v>
      </c>
      <c r="D10" s="5" t="s">
        <v>1836</v>
      </c>
      <c r="E10" s="5" t="s">
        <v>1837</v>
      </c>
      <c r="F10" s="5">
        <v>1.2079200000000001</v>
      </c>
      <c r="G10" s="5">
        <v>0.33419900000000002</v>
      </c>
      <c r="H10" s="5">
        <v>-1.85375</v>
      </c>
      <c r="I10" s="5">
        <v>1</v>
      </c>
      <c r="L10" s="2" t="s">
        <v>23</v>
      </c>
      <c r="M10" s="2">
        <v>-1.0085200000000001</v>
      </c>
    </row>
    <row r="11" spans="1:13" x14ac:dyDescent="0.2">
      <c r="A11" s="5" t="s">
        <v>20</v>
      </c>
      <c r="B11" s="5" t="s">
        <v>3027</v>
      </c>
      <c r="C11" s="5" t="s">
        <v>1851</v>
      </c>
      <c r="D11" s="5" t="s">
        <v>1836</v>
      </c>
      <c r="E11" s="5" t="s">
        <v>1837</v>
      </c>
      <c r="F11" s="5">
        <v>1.2195199999999999</v>
      </c>
      <c r="G11" s="5">
        <v>0.588337</v>
      </c>
      <c r="H11" s="5">
        <v>-1.05159</v>
      </c>
      <c r="I11" s="5">
        <v>1</v>
      </c>
      <c r="L11" s="2" t="s">
        <v>24</v>
      </c>
      <c r="M11" s="2">
        <v>-1.84622</v>
      </c>
    </row>
    <row r="12" spans="1:13" x14ac:dyDescent="0.2">
      <c r="A12" s="5" t="s">
        <v>23</v>
      </c>
      <c r="B12" s="5" t="s">
        <v>3028</v>
      </c>
      <c r="C12" s="5" t="s">
        <v>1852</v>
      </c>
      <c r="D12" s="5" t="s">
        <v>1836</v>
      </c>
      <c r="E12" s="5" t="s">
        <v>1837</v>
      </c>
      <c r="F12" s="5">
        <v>2.3612799999999998</v>
      </c>
      <c r="G12" s="5">
        <v>1.1736800000000001</v>
      </c>
      <c r="H12" s="5">
        <v>-1.0085200000000001</v>
      </c>
      <c r="I12" s="5">
        <v>1</v>
      </c>
      <c r="L12" s="2" t="s">
        <v>25</v>
      </c>
      <c r="M12" s="2">
        <v>1.07263</v>
      </c>
    </row>
    <row r="13" spans="1:13" x14ac:dyDescent="0.2">
      <c r="A13" s="5" t="s">
        <v>24</v>
      </c>
      <c r="B13" s="5" t="s">
        <v>3015</v>
      </c>
      <c r="C13" s="5" t="s">
        <v>3015</v>
      </c>
      <c r="D13" s="5" t="s">
        <v>1836</v>
      </c>
      <c r="E13" s="5" t="s">
        <v>1837</v>
      </c>
      <c r="F13" s="5">
        <v>3.9942299999999999</v>
      </c>
      <c r="G13" s="5">
        <v>1.11087</v>
      </c>
      <c r="H13" s="5">
        <v>-1.84622</v>
      </c>
      <c r="I13" s="5">
        <v>1</v>
      </c>
      <c r="L13" s="2" t="s">
        <v>27</v>
      </c>
      <c r="M13" s="2">
        <v>-1.23946</v>
      </c>
    </row>
    <row r="14" spans="1:13" x14ac:dyDescent="0.2">
      <c r="A14" s="5" t="s">
        <v>25</v>
      </c>
      <c r="B14" s="5" t="s">
        <v>3029</v>
      </c>
      <c r="C14" s="5" t="s">
        <v>1853</v>
      </c>
      <c r="D14" s="5" t="s">
        <v>1836</v>
      </c>
      <c r="E14" s="5" t="s">
        <v>1837</v>
      </c>
      <c r="F14" s="5">
        <v>13.486599999999999</v>
      </c>
      <c r="G14" s="5">
        <v>28.3658</v>
      </c>
      <c r="H14" s="5">
        <v>1.07263</v>
      </c>
      <c r="I14" s="5">
        <v>1</v>
      </c>
      <c r="L14" s="2" t="s">
        <v>28</v>
      </c>
      <c r="M14" s="2">
        <v>-1.0959300000000001</v>
      </c>
    </row>
    <row r="15" spans="1:13" x14ac:dyDescent="0.2">
      <c r="A15" s="5" t="s">
        <v>27</v>
      </c>
      <c r="B15" s="5" t="s">
        <v>3030</v>
      </c>
      <c r="C15" s="5" t="s">
        <v>1854</v>
      </c>
      <c r="D15" s="5" t="s">
        <v>1836</v>
      </c>
      <c r="E15" s="5" t="s">
        <v>1837</v>
      </c>
      <c r="F15" s="5">
        <v>8.2099299999999999</v>
      </c>
      <c r="G15" s="5">
        <v>3.4771700000000001</v>
      </c>
      <c r="H15" s="5">
        <v>-1.23946</v>
      </c>
      <c r="I15" s="5">
        <v>1</v>
      </c>
      <c r="L15" s="2" t="s">
        <v>29</v>
      </c>
      <c r="M15" s="2">
        <v>1.55366</v>
      </c>
    </row>
    <row r="16" spans="1:13" x14ac:dyDescent="0.2">
      <c r="A16" s="5" t="s">
        <v>28</v>
      </c>
      <c r="B16" s="5" t="s">
        <v>3015</v>
      </c>
      <c r="C16" s="5" t="s">
        <v>1855</v>
      </c>
      <c r="D16" s="5" t="s">
        <v>1836</v>
      </c>
      <c r="E16" s="5" t="s">
        <v>1837</v>
      </c>
      <c r="F16" s="5">
        <v>0.94581199999999999</v>
      </c>
      <c r="G16" s="5">
        <v>0.44248300000000002</v>
      </c>
      <c r="H16" s="5">
        <v>-1.0959300000000001</v>
      </c>
      <c r="I16" s="5">
        <v>1</v>
      </c>
      <c r="L16" s="2" t="s">
        <v>30</v>
      </c>
      <c r="M16" s="2">
        <v>-1.01251</v>
      </c>
    </row>
    <row r="17" spans="1:13" x14ac:dyDescent="0.2">
      <c r="A17" s="5" t="s">
        <v>29</v>
      </c>
      <c r="B17" s="5" t="s">
        <v>3031</v>
      </c>
      <c r="C17" s="5" t="s">
        <v>1856</v>
      </c>
      <c r="D17" s="5" t="s">
        <v>1836</v>
      </c>
      <c r="E17" s="5" t="s">
        <v>1837</v>
      </c>
      <c r="F17" s="5">
        <v>1.19275</v>
      </c>
      <c r="G17" s="5">
        <v>3.5014500000000002</v>
      </c>
      <c r="H17" s="5">
        <v>1.55366</v>
      </c>
      <c r="I17" s="5">
        <v>1</v>
      </c>
      <c r="L17" s="2" t="s">
        <v>32</v>
      </c>
      <c r="M17" s="2">
        <v>-2.3291300000000001</v>
      </c>
    </row>
    <row r="18" spans="1:13" x14ac:dyDescent="0.2">
      <c r="A18" s="5" t="s">
        <v>30</v>
      </c>
      <c r="B18" s="5" t="s">
        <v>3032</v>
      </c>
      <c r="C18" s="5" t="s">
        <v>1857</v>
      </c>
      <c r="D18" s="5" t="s">
        <v>1836</v>
      </c>
      <c r="E18" s="5" t="s">
        <v>1837</v>
      </c>
      <c r="F18" s="5">
        <v>5.3591499999999996</v>
      </c>
      <c r="G18" s="5">
        <v>2.6564299999999998</v>
      </c>
      <c r="H18" s="5">
        <v>-1.01251</v>
      </c>
      <c r="I18" s="5">
        <v>1</v>
      </c>
      <c r="L18" s="2" t="s">
        <v>33</v>
      </c>
      <c r="M18" s="2">
        <v>-2.3063600000000002</v>
      </c>
    </row>
    <row r="19" spans="1:13" x14ac:dyDescent="0.2">
      <c r="A19" s="5" t="s">
        <v>32</v>
      </c>
      <c r="B19" s="5" t="s">
        <v>3033</v>
      </c>
      <c r="C19" s="5" t="s">
        <v>1858</v>
      </c>
      <c r="D19" s="5" t="s">
        <v>1836</v>
      </c>
      <c r="E19" s="5" t="s">
        <v>1837</v>
      </c>
      <c r="F19" s="5">
        <v>6.3867399999999996</v>
      </c>
      <c r="G19" s="5">
        <v>1.2709900000000001</v>
      </c>
      <c r="H19" s="5">
        <v>-2.3291300000000001</v>
      </c>
      <c r="I19" s="5">
        <v>1</v>
      </c>
      <c r="L19" s="2" t="s">
        <v>35</v>
      </c>
      <c r="M19" s="2">
        <v>-1.44967</v>
      </c>
    </row>
    <row r="20" spans="1:13" x14ac:dyDescent="0.2">
      <c r="A20" s="5" t="s">
        <v>33</v>
      </c>
      <c r="B20" s="5" t="s">
        <v>3033</v>
      </c>
      <c r="C20" s="5" t="s">
        <v>1858</v>
      </c>
      <c r="D20" s="5" t="s">
        <v>1836</v>
      </c>
      <c r="E20" s="5" t="s">
        <v>1837</v>
      </c>
      <c r="F20" s="5">
        <v>4.0636299999999999</v>
      </c>
      <c r="G20" s="5">
        <v>0.82154400000000005</v>
      </c>
      <c r="H20" s="5">
        <v>-2.3063600000000002</v>
      </c>
      <c r="I20" s="5">
        <v>1</v>
      </c>
      <c r="L20" s="2" t="s">
        <v>37</v>
      </c>
      <c r="M20" s="2">
        <v>1.80271</v>
      </c>
    </row>
    <row r="21" spans="1:13" x14ac:dyDescent="0.2">
      <c r="A21" s="5" t="s">
        <v>35</v>
      </c>
      <c r="B21" s="5" t="s">
        <v>3034</v>
      </c>
      <c r="C21" s="5" t="s">
        <v>1859</v>
      </c>
      <c r="D21" s="5" t="s">
        <v>1836</v>
      </c>
      <c r="E21" s="5" t="s">
        <v>1837</v>
      </c>
      <c r="F21" s="5">
        <v>1.36585</v>
      </c>
      <c r="G21" s="5">
        <v>0.50004499999999996</v>
      </c>
      <c r="H21" s="5">
        <v>-1.44967</v>
      </c>
      <c r="I21" s="5">
        <v>1</v>
      </c>
      <c r="L21" s="2" t="s">
        <v>40</v>
      </c>
      <c r="M21" s="2">
        <v>-1.0772699999999999</v>
      </c>
    </row>
    <row r="22" spans="1:13" x14ac:dyDescent="0.2">
      <c r="A22" s="5" t="s">
        <v>37</v>
      </c>
      <c r="B22" s="5" t="s">
        <v>3035</v>
      </c>
      <c r="C22" s="5" t="s">
        <v>1860</v>
      </c>
      <c r="D22" s="5" t="s">
        <v>1836</v>
      </c>
      <c r="E22" s="5" t="s">
        <v>1837</v>
      </c>
      <c r="F22" s="5">
        <v>5.7308899999999996</v>
      </c>
      <c r="G22" s="5">
        <v>19.993600000000001</v>
      </c>
      <c r="H22" s="5">
        <v>1.80271</v>
      </c>
      <c r="I22" s="5">
        <v>1</v>
      </c>
      <c r="L22" s="2" t="s">
        <v>41</v>
      </c>
      <c r="M22" s="2">
        <v>1.0177400000000001</v>
      </c>
    </row>
    <row r="23" spans="1:13" x14ac:dyDescent="0.2">
      <c r="A23" s="5" t="s">
        <v>40</v>
      </c>
      <c r="B23" s="5" t="s">
        <v>3036</v>
      </c>
      <c r="C23" s="5" t="s">
        <v>1861</v>
      </c>
      <c r="D23" s="5" t="s">
        <v>1836</v>
      </c>
      <c r="E23" s="5" t="s">
        <v>1837</v>
      </c>
      <c r="F23" s="5">
        <v>47.871000000000002</v>
      </c>
      <c r="G23" s="5">
        <v>22.6873</v>
      </c>
      <c r="H23" s="5">
        <v>-1.0772699999999999</v>
      </c>
      <c r="I23" s="5">
        <v>1</v>
      </c>
      <c r="L23" s="2" t="s">
        <v>45</v>
      </c>
      <c r="M23" s="2">
        <v>-1.0025299999999999</v>
      </c>
    </row>
    <row r="24" spans="1:13" x14ac:dyDescent="0.2">
      <c r="A24" s="5" t="s">
        <v>41</v>
      </c>
      <c r="B24" s="5" t="s">
        <v>3015</v>
      </c>
      <c r="C24" s="5" t="s">
        <v>3015</v>
      </c>
      <c r="D24" s="5" t="s">
        <v>1836</v>
      </c>
      <c r="E24" s="5" t="s">
        <v>1837</v>
      </c>
      <c r="F24" s="5">
        <v>14.8834</v>
      </c>
      <c r="G24" s="5">
        <v>30.135200000000001</v>
      </c>
      <c r="H24" s="5">
        <v>1.0177400000000001</v>
      </c>
      <c r="I24" s="5">
        <v>1</v>
      </c>
      <c r="L24" s="2" t="s">
        <v>46</v>
      </c>
      <c r="M24" s="2">
        <v>1.1041399999999999</v>
      </c>
    </row>
    <row r="25" spans="1:13" x14ac:dyDescent="0.2">
      <c r="A25" s="5" t="s">
        <v>42</v>
      </c>
      <c r="B25" s="5" t="s">
        <v>3015</v>
      </c>
      <c r="C25" s="5" t="s">
        <v>1862</v>
      </c>
      <c r="D25" s="5" t="s">
        <v>1836</v>
      </c>
      <c r="E25" s="5" t="s">
        <v>1837</v>
      </c>
      <c r="F25" s="5">
        <v>0</v>
      </c>
      <c r="G25" s="5">
        <v>1.36839</v>
      </c>
      <c r="H25" s="5" t="s">
        <v>3021</v>
      </c>
      <c r="I25" s="5" t="s">
        <v>3021</v>
      </c>
      <c r="L25" s="2" t="s">
        <v>47</v>
      </c>
      <c r="M25" s="2">
        <v>-1.22417</v>
      </c>
    </row>
    <row r="26" spans="1:13" x14ac:dyDescent="0.2">
      <c r="A26" s="5" t="s">
        <v>45</v>
      </c>
      <c r="B26" s="5" t="s">
        <v>3015</v>
      </c>
      <c r="C26" s="5" t="s">
        <v>1863</v>
      </c>
      <c r="D26" s="5" t="s">
        <v>1836</v>
      </c>
      <c r="E26" s="5" t="s">
        <v>1837</v>
      </c>
      <c r="F26" s="5">
        <v>983.79899999999998</v>
      </c>
      <c r="G26" s="5">
        <v>491.03800000000001</v>
      </c>
      <c r="H26" s="5">
        <v>-1.0025299999999999</v>
      </c>
      <c r="I26" s="5">
        <v>1</v>
      </c>
      <c r="L26" s="2" t="s">
        <v>48</v>
      </c>
      <c r="M26" s="2">
        <v>-1.1551800000000001</v>
      </c>
    </row>
    <row r="27" spans="1:13" x14ac:dyDescent="0.2">
      <c r="A27" s="5" t="s">
        <v>46</v>
      </c>
      <c r="B27" s="5" t="s">
        <v>3015</v>
      </c>
      <c r="C27" s="5" t="s">
        <v>1864</v>
      </c>
      <c r="D27" s="5" t="s">
        <v>1836</v>
      </c>
      <c r="E27" s="5" t="s">
        <v>1837</v>
      </c>
      <c r="F27" s="5">
        <v>0.63086699999999996</v>
      </c>
      <c r="G27" s="5">
        <v>1.3561799999999999</v>
      </c>
      <c r="H27" s="5">
        <v>1.1041399999999999</v>
      </c>
      <c r="I27" s="5">
        <v>1</v>
      </c>
      <c r="L27" s="2" t="s">
        <v>51</v>
      </c>
      <c r="M27" s="2">
        <v>-1.1536900000000001</v>
      </c>
    </row>
    <row r="28" spans="1:13" x14ac:dyDescent="0.2">
      <c r="A28" s="5" t="s">
        <v>47</v>
      </c>
      <c r="B28" s="5" t="s">
        <v>3015</v>
      </c>
      <c r="C28" s="5" t="s">
        <v>1865</v>
      </c>
      <c r="D28" s="5" t="s">
        <v>1836</v>
      </c>
      <c r="E28" s="5" t="s">
        <v>1837</v>
      </c>
      <c r="F28" s="5">
        <v>71.504800000000003</v>
      </c>
      <c r="G28" s="5">
        <v>30.607299999999999</v>
      </c>
      <c r="H28" s="5">
        <v>-1.22417</v>
      </c>
      <c r="I28" s="5">
        <v>1</v>
      </c>
      <c r="L28" s="2" t="s">
        <v>53</v>
      </c>
      <c r="M28" s="2">
        <v>-1.4235100000000001</v>
      </c>
    </row>
    <row r="29" spans="1:13" x14ac:dyDescent="0.2">
      <c r="A29" s="5" t="s">
        <v>48</v>
      </c>
      <c r="B29" s="5" t="s">
        <v>3015</v>
      </c>
      <c r="C29" s="5" t="s">
        <v>1865</v>
      </c>
      <c r="D29" s="5" t="s">
        <v>1836</v>
      </c>
      <c r="E29" s="5" t="s">
        <v>1837</v>
      </c>
      <c r="F29" s="5">
        <v>39.959400000000002</v>
      </c>
      <c r="G29" s="5">
        <v>17.9422</v>
      </c>
      <c r="H29" s="5">
        <v>-1.1551800000000001</v>
      </c>
      <c r="I29" s="5">
        <v>1</v>
      </c>
      <c r="L29" s="2" t="s">
        <v>54</v>
      </c>
      <c r="M29" s="2">
        <v>-1.25359</v>
      </c>
    </row>
    <row r="30" spans="1:13" x14ac:dyDescent="0.2">
      <c r="A30" s="5" t="s">
        <v>51</v>
      </c>
      <c r="B30" s="5" t="s">
        <v>3037</v>
      </c>
      <c r="C30" s="5" t="s">
        <v>1866</v>
      </c>
      <c r="D30" s="5" t="s">
        <v>1836</v>
      </c>
      <c r="E30" s="5" t="s">
        <v>1837</v>
      </c>
      <c r="F30" s="5">
        <v>4.7065599999999996</v>
      </c>
      <c r="G30" s="5">
        <v>2.1154799999999998</v>
      </c>
      <c r="H30" s="5">
        <v>-1.1536900000000001</v>
      </c>
      <c r="I30" s="5">
        <v>1</v>
      </c>
      <c r="L30" s="2" t="s">
        <v>56</v>
      </c>
      <c r="M30" s="2">
        <v>-1.59673</v>
      </c>
    </row>
    <row r="31" spans="1:13" x14ac:dyDescent="0.2">
      <c r="A31" s="5" t="s">
        <v>53</v>
      </c>
      <c r="B31" s="5" t="s">
        <v>3038</v>
      </c>
      <c r="C31" s="5" t="s">
        <v>1867</v>
      </c>
      <c r="D31" s="5" t="s">
        <v>1836</v>
      </c>
      <c r="E31" s="5" t="s">
        <v>1837</v>
      </c>
      <c r="F31" s="5">
        <v>6.2652000000000001</v>
      </c>
      <c r="G31" s="5">
        <v>2.33569</v>
      </c>
      <c r="H31" s="5">
        <v>-1.4235100000000001</v>
      </c>
      <c r="I31" s="5">
        <v>1</v>
      </c>
      <c r="L31" s="2" t="s">
        <v>57</v>
      </c>
      <c r="M31" s="2">
        <v>1.0716399999999999</v>
      </c>
    </row>
    <row r="32" spans="1:13" x14ac:dyDescent="0.2">
      <c r="A32" s="5" t="s">
        <v>54</v>
      </c>
      <c r="B32" s="5" t="s">
        <v>3039</v>
      </c>
      <c r="C32" s="5" t="s">
        <v>1868</v>
      </c>
      <c r="D32" s="5" t="s">
        <v>1836</v>
      </c>
      <c r="E32" s="5" t="s">
        <v>1837</v>
      </c>
      <c r="F32" s="5">
        <v>22.2803</v>
      </c>
      <c r="G32" s="5">
        <v>9.3444400000000005</v>
      </c>
      <c r="H32" s="5">
        <v>-1.25359</v>
      </c>
      <c r="I32" s="5">
        <v>1</v>
      </c>
      <c r="L32" s="2" t="s">
        <v>59</v>
      </c>
      <c r="M32" s="2">
        <v>2.1291899999999999</v>
      </c>
    </row>
    <row r="33" spans="1:13" x14ac:dyDescent="0.2">
      <c r="A33" s="5" t="s">
        <v>56</v>
      </c>
      <c r="B33" s="5" t="s">
        <v>3040</v>
      </c>
      <c r="C33" s="5" t="s">
        <v>1869</v>
      </c>
      <c r="D33" s="5" t="s">
        <v>1836</v>
      </c>
      <c r="E33" s="5" t="s">
        <v>1837</v>
      </c>
      <c r="F33" s="5">
        <v>81.445899999999995</v>
      </c>
      <c r="G33" s="5">
        <v>26.928100000000001</v>
      </c>
      <c r="H33" s="5">
        <v>-1.59673</v>
      </c>
      <c r="I33" s="5">
        <v>1</v>
      </c>
      <c r="L33" s="2" t="s">
        <v>60</v>
      </c>
      <c r="M33" s="2">
        <v>3.4204599999999998</v>
      </c>
    </row>
    <row r="34" spans="1:13" x14ac:dyDescent="0.2">
      <c r="A34" s="5" t="s">
        <v>57</v>
      </c>
      <c r="B34" s="5" t="s">
        <v>3041</v>
      </c>
      <c r="C34" s="5" t="s">
        <v>3015</v>
      </c>
      <c r="D34" s="5" t="s">
        <v>1836</v>
      </c>
      <c r="E34" s="5" t="s">
        <v>1837</v>
      </c>
      <c r="F34" s="5">
        <v>222.816</v>
      </c>
      <c r="G34" s="5">
        <v>468.31900000000002</v>
      </c>
      <c r="H34" s="5">
        <v>1.0716399999999999</v>
      </c>
      <c r="I34" s="5">
        <v>1</v>
      </c>
      <c r="L34" s="2" t="s">
        <v>61</v>
      </c>
      <c r="M34" s="2">
        <v>2.1115300000000001</v>
      </c>
    </row>
    <row r="35" spans="1:13" x14ac:dyDescent="0.2">
      <c r="A35" s="5" t="s">
        <v>59</v>
      </c>
      <c r="B35" s="5" t="s">
        <v>3042</v>
      </c>
      <c r="C35" s="5" t="s">
        <v>1870</v>
      </c>
      <c r="D35" s="5" t="s">
        <v>1836</v>
      </c>
      <c r="E35" s="5" t="s">
        <v>1837</v>
      </c>
      <c r="F35" s="5">
        <v>0.23900299999999999</v>
      </c>
      <c r="G35" s="5">
        <v>1.0455700000000001</v>
      </c>
      <c r="H35" s="5">
        <v>2.1291899999999999</v>
      </c>
      <c r="I35" s="5">
        <v>1</v>
      </c>
      <c r="L35" s="2" t="s">
        <v>62</v>
      </c>
      <c r="M35" s="2">
        <v>1.68137</v>
      </c>
    </row>
    <row r="36" spans="1:13" x14ac:dyDescent="0.2">
      <c r="A36" s="5" t="s">
        <v>60</v>
      </c>
      <c r="B36" s="5" t="s">
        <v>3015</v>
      </c>
      <c r="C36" s="5" t="s">
        <v>1871</v>
      </c>
      <c r="D36" s="5" t="s">
        <v>1836</v>
      </c>
      <c r="E36" s="5" t="s">
        <v>1837</v>
      </c>
      <c r="F36" s="5">
        <v>1.17746</v>
      </c>
      <c r="G36" s="5">
        <v>12.6069</v>
      </c>
      <c r="H36" s="5">
        <v>3.4204599999999998</v>
      </c>
      <c r="I36" s="5">
        <v>1</v>
      </c>
      <c r="L36" s="2" t="s">
        <v>63</v>
      </c>
      <c r="M36" s="2">
        <v>-1.0262899999999999</v>
      </c>
    </row>
    <row r="37" spans="1:13" x14ac:dyDescent="0.2">
      <c r="A37" s="5" t="s">
        <v>61</v>
      </c>
      <c r="B37" s="5" t="s">
        <v>3043</v>
      </c>
      <c r="C37" s="5" t="s">
        <v>1872</v>
      </c>
      <c r="D37" s="5" t="s">
        <v>1836</v>
      </c>
      <c r="E37" s="5" t="s">
        <v>1837</v>
      </c>
      <c r="F37" s="5">
        <v>2.0632700000000002</v>
      </c>
      <c r="G37" s="5">
        <v>8.9163999999999994</v>
      </c>
      <c r="H37" s="5">
        <v>2.1115300000000001</v>
      </c>
      <c r="I37" s="5">
        <v>1</v>
      </c>
      <c r="L37" s="2" t="s">
        <v>64</v>
      </c>
      <c r="M37" s="2">
        <v>1.37073</v>
      </c>
    </row>
    <row r="38" spans="1:13" x14ac:dyDescent="0.2">
      <c r="A38" s="5" t="s">
        <v>62</v>
      </c>
      <c r="B38" s="5" t="s">
        <v>3031</v>
      </c>
      <c r="C38" s="5" t="s">
        <v>1873</v>
      </c>
      <c r="D38" s="5" t="s">
        <v>1836</v>
      </c>
      <c r="E38" s="5" t="s">
        <v>1837</v>
      </c>
      <c r="F38" s="5">
        <v>0.364124</v>
      </c>
      <c r="G38" s="5">
        <v>1.16787</v>
      </c>
      <c r="H38" s="5">
        <v>1.68137</v>
      </c>
      <c r="I38" s="5">
        <v>1</v>
      </c>
      <c r="L38" s="2" t="s">
        <v>65</v>
      </c>
      <c r="M38" s="2">
        <v>-1.54192</v>
      </c>
    </row>
    <row r="39" spans="1:13" x14ac:dyDescent="0.2">
      <c r="A39" s="5" t="s">
        <v>63</v>
      </c>
      <c r="B39" s="5" t="s">
        <v>3044</v>
      </c>
      <c r="C39" s="5" t="s">
        <v>1874</v>
      </c>
      <c r="D39" s="5" t="s">
        <v>1836</v>
      </c>
      <c r="E39" s="5" t="s">
        <v>1837</v>
      </c>
      <c r="F39" s="5">
        <v>1.1084400000000001</v>
      </c>
      <c r="G39" s="5">
        <v>0.54420800000000003</v>
      </c>
      <c r="H39" s="5">
        <v>-1.0262899999999999</v>
      </c>
      <c r="I39" s="5">
        <v>1</v>
      </c>
      <c r="L39" s="2" t="s">
        <v>66</v>
      </c>
      <c r="M39" s="2">
        <v>-1.2735099999999999</v>
      </c>
    </row>
    <row r="40" spans="1:13" x14ac:dyDescent="0.2">
      <c r="A40" s="5" t="s">
        <v>64</v>
      </c>
      <c r="B40" s="5" t="s">
        <v>3045</v>
      </c>
      <c r="C40" s="5" t="s">
        <v>1875</v>
      </c>
      <c r="D40" s="5" t="s">
        <v>1836</v>
      </c>
      <c r="E40" s="5" t="s">
        <v>1837</v>
      </c>
      <c r="F40" s="5">
        <v>1.8273999999999999</v>
      </c>
      <c r="G40" s="5">
        <v>4.7256900000000002</v>
      </c>
      <c r="H40" s="5">
        <v>1.37073</v>
      </c>
      <c r="I40" s="5">
        <v>1</v>
      </c>
      <c r="L40" s="2" t="s">
        <v>67</v>
      </c>
      <c r="M40" s="2">
        <v>-1.2748699999999999</v>
      </c>
    </row>
    <row r="41" spans="1:13" x14ac:dyDescent="0.2">
      <c r="A41" s="5" t="s">
        <v>65</v>
      </c>
      <c r="B41" s="5" t="s">
        <v>3015</v>
      </c>
      <c r="C41" s="5" t="s">
        <v>1876</v>
      </c>
      <c r="D41" s="5" t="s">
        <v>1836</v>
      </c>
      <c r="E41" s="5" t="s">
        <v>1837</v>
      </c>
      <c r="F41" s="5">
        <v>17.822399999999998</v>
      </c>
      <c r="G41" s="5">
        <v>6.1206899999999997</v>
      </c>
      <c r="H41" s="5">
        <v>-1.54192</v>
      </c>
      <c r="I41" s="5">
        <v>1</v>
      </c>
      <c r="L41" s="2" t="s">
        <v>69</v>
      </c>
      <c r="M41" s="2">
        <v>-2.0246300000000002</v>
      </c>
    </row>
    <row r="42" spans="1:13" x14ac:dyDescent="0.2">
      <c r="A42" s="5" t="s">
        <v>66</v>
      </c>
      <c r="B42" s="5" t="s">
        <v>3015</v>
      </c>
      <c r="C42" s="5" t="s">
        <v>1877</v>
      </c>
      <c r="D42" s="5" t="s">
        <v>1836</v>
      </c>
      <c r="E42" s="5" t="s">
        <v>1837</v>
      </c>
      <c r="F42" s="5">
        <v>2.3613400000000002</v>
      </c>
      <c r="G42" s="5">
        <v>0.97677000000000003</v>
      </c>
      <c r="H42" s="5">
        <v>-1.2735099999999999</v>
      </c>
      <c r="I42" s="5">
        <v>1</v>
      </c>
      <c r="L42" s="2" t="s">
        <v>73</v>
      </c>
      <c r="M42" s="2">
        <v>2.6388400000000001</v>
      </c>
    </row>
    <row r="43" spans="1:13" x14ac:dyDescent="0.2">
      <c r="A43" s="5" t="s">
        <v>67</v>
      </c>
      <c r="B43" s="5" t="s">
        <v>3046</v>
      </c>
      <c r="C43" s="5" t="s">
        <v>1878</v>
      </c>
      <c r="D43" s="5" t="s">
        <v>1836</v>
      </c>
      <c r="E43" s="5" t="s">
        <v>1837</v>
      </c>
      <c r="F43" s="5">
        <v>1.26651</v>
      </c>
      <c r="G43" s="5">
        <v>0.52339999999999998</v>
      </c>
      <c r="H43" s="5">
        <v>-1.2748699999999999</v>
      </c>
      <c r="I43" s="5">
        <v>1</v>
      </c>
      <c r="L43" s="2" t="s">
        <v>76</v>
      </c>
      <c r="M43" s="2">
        <v>1.0782099999999999</v>
      </c>
    </row>
    <row r="44" spans="1:13" x14ac:dyDescent="0.2">
      <c r="A44" s="5" t="s">
        <v>69</v>
      </c>
      <c r="B44" s="5" t="s">
        <v>3047</v>
      </c>
      <c r="C44" s="5" t="s">
        <v>1879</v>
      </c>
      <c r="D44" s="5" t="s">
        <v>1836</v>
      </c>
      <c r="E44" s="5" t="s">
        <v>1837</v>
      </c>
      <c r="F44" s="5">
        <v>4.0621799999999997</v>
      </c>
      <c r="G44" s="5">
        <v>0.99835700000000005</v>
      </c>
      <c r="H44" s="5">
        <v>-2.0246300000000002</v>
      </c>
      <c r="I44" s="5">
        <v>1</v>
      </c>
      <c r="L44" s="2" t="s">
        <v>82</v>
      </c>
      <c r="M44" s="2">
        <v>3.2928099999999998</v>
      </c>
    </row>
    <row r="45" spans="1:13" x14ac:dyDescent="0.2">
      <c r="A45" s="5" t="s">
        <v>72</v>
      </c>
      <c r="B45" s="5" t="s">
        <v>3015</v>
      </c>
      <c r="C45" s="5" t="s">
        <v>3015</v>
      </c>
      <c r="D45" s="5" t="s">
        <v>1836</v>
      </c>
      <c r="E45" s="5" t="s">
        <v>1837</v>
      </c>
      <c r="F45" s="5">
        <v>0</v>
      </c>
      <c r="G45" s="5">
        <v>1.47512</v>
      </c>
      <c r="H45" s="5" t="s">
        <v>3021</v>
      </c>
      <c r="I45" s="5" t="s">
        <v>3021</v>
      </c>
      <c r="L45" s="2" t="s">
        <v>89</v>
      </c>
      <c r="M45" s="2">
        <v>-1.0892200000000001</v>
      </c>
    </row>
    <row r="46" spans="1:13" x14ac:dyDescent="0.2">
      <c r="A46" s="5" t="s">
        <v>73</v>
      </c>
      <c r="B46" s="5" t="s">
        <v>3015</v>
      </c>
      <c r="C46" s="5" t="s">
        <v>1880</v>
      </c>
      <c r="D46" s="5" t="s">
        <v>1836</v>
      </c>
      <c r="E46" s="5" t="s">
        <v>1837</v>
      </c>
      <c r="F46" s="5">
        <v>1.7916399999999999</v>
      </c>
      <c r="G46" s="5">
        <v>11.158899999999999</v>
      </c>
      <c r="H46" s="5">
        <v>2.6388400000000001</v>
      </c>
      <c r="I46" s="5">
        <v>1</v>
      </c>
      <c r="L46" s="2" t="s">
        <v>92</v>
      </c>
      <c r="M46" s="2">
        <v>3.8513700000000002</v>
      </c>
    </row>
    <row r="47" spans="1:13" x14ac:dyDescent="0.2">
      <c r="A47" s="5" t="s">
        <v>76</v>
      </c>
      <c r="B47" s="5" t="s">
        <v>3015</v>
      </c>
      <c r="C47" s="5" t="s">
        <v>1847</v>
      </c>
      <c r="D47" s="5" t="s">
        <v>1836</v>
      </c>
      <c r="E47" s="5" t="s">
        <v>1837</v>
      </c>
      <c r="F47" s="5">
        <v>104.093</v>
      </c>
      <c r="G47" s="5">
        <v>219.78299999999999</v>
      </c>
      <c r="H47" s="5">
        <v>1.0782099999999999</v>
      </c>
      <c r="I47" s="5">
        <v>1</v>
      </c>
      <c r="L47" s="2" t="s">
        <v>93</v>
      </c>
      <c r="M47" s="2">
        <v>-1.2430399999999999</v>
      </c>
    </row>
    <row r="48" spans="1:13" x14ac:dyDescent="0.2">
      <c r="A48" s="5" t="s">
        <v>82</v>
      </c>
      <c r="B48" s="5" t="s">
        <v>3048</v>
      </c>
      <c r="C48" s="5" t="s">
        <v>1881</v>
      </c>
      <c r="D48" s="5" t="s">
        <v>1836</v>
      </c>
      <c r="E48" s="5" t="s">
        <v>1837</v>
      </c>
      <c r="F48" s="5">
        <v>0.47378100000000001</v>
      </c>
      <c r="G48" s="5">
        <v>4.6431300000000002</v>
      </c>
      <c r="H48" s="5">
        <v>3.2928099999999998</v>
      </c>
      <c r="I48" s="5">
        <v>1</v>
      </c>
      <c r="L48" s="2" t="s">
        <v>95</v>
      </c>
      <c r="M48" s="2">
        <v>1.94465</v>
      </c>
    </row>
    <row r="49" spans="1:13" x14ac:dyDescent="0.2">
      <c r="A49" s="5" t="s">
        <v>89</v>
      </c>
      <c r="B49" s="5" t="s">
        <v>3046</v>
      </c>
      <c r="C49" s="5" t="s">
        <v>1882</v>
      </c>
      <c r="D49" s="5" t="s">
        <v>1836</v>
      </c>
      <c r="E49" s="5" t="s">
        <v>1837</v>
      </c>
      <c r="F49" s="5">
        <v>2.21008</v>
      </c>
      <c r="G49" s="5">
        <v>1.03877</v>
      </c>
      <c r="H49" s="5">
        <v>-1.0892200000000001</v>
      </c>
      <c r="I49" s="5">
        <v>1</v>
      </c>
      <c r="L49" s="2" t="s">
        <v>98</v>
      </c>
      <c r="M49" s="2">
        <v>-1.18947</v>
      </c>
    </row>
    <row r="50" spans="1:13" x14ac:dyDescent="0.2">
      <c r="A50" s="5" t="s">
        <v>92</v>
      </c>
      <c r="B50" s="5" t="s">
        <v>3024</v>
      </c>
      <c r="C50" s="5" t="s">
        <v>1883</v>
      </c>
      <c r="D50" s="5" t="s">
        <v>1836</v>
      </c>
      <c r="E50" s="5" t="s">
        <v>1837</v>
      </c>
      <c r="F50" s="5">
        <v>7.9632499999999995E-2</v>
      </c>
      <c r="G50" s="5">
        <v>1.1493899999999999</v>
      </c>
      <c r="H50" s="5">
        <v>3.8513700000000002</v>
      </c>
      <c r="I50" s="5">
        <v>1</v>
      </c>
      <c r="L50" s="2" t="s">
        <v>99</v>
      </c>
      <c r="M50" s="2">
        <v>-1.0508599999999999</v>
      </c>
    </row>
    <row r="51" spans="1:13" x14ac:dyDescent="0.2">
      <c r="A51" s="5" t="s">
        <v>93</v>
      </c>
      <c r="B51" s="5" t="s">
        <v>3015</v>
      </c>
      <c r="C51" s="5" t="s">
        <v>1844</v>
      </c>
      <c r="D51" s="5" t="s">
        <v>1836</v>
      </c>
      <c r="E51" s="5" t="s">
        <v>1837</v>
      </c>
      <c r="F51" s="5">
        <v>1.9734700000000001</v>
      </c>
      <c r="G51" s="5">
        <v>0.83375200000000005</v>
      </c>
      <c r="H51" s="5">
        <v>-1.2430399999999999</v>
      </c>
      <c r="I51" s="5">
        <v>1</v>
      </c>
      <c r="L51" s="2" t="s">
        <v>102</v>
      </c>
      <c r="M51" s="2">
        <v>-4.0428199999999999</v>
      </c>
    </row>
    <row r="52" spans="1:13" x14ac:dyDescent="0.2">
      <c r="A52" s="5" t="s">
        <v>95</v>
      </c>
      <c r="B52" s="5" t="s">
        <v>3049</v>
      </c>
      <c r="C52" s="5" t="s">
        <v>1884</v>
      </c>
      <c r="D52" s="5" t="s">
        <v>1836</v>
      </c>
      <c r="E52" s="5" t="s">
        <v>1837</v>
      </c>
      <c r="F52" s="5">
        <v>0.54042000000000001</v>
      </c>
      <c r="G52" s="5">
        <v>2.0803199999999999</v>
      </c>
      <c r="H52" s="5">
        <v>1.94465</v>
      </c>
      <c r="I52" s="5">
        <v>1</v>
      </c>
      <c r="L52" s="2" t="s">
        <v>103</v>
      </c>
      <c r="M52" s="2">
        <v>2.8610099999999998</v>
      </c>
    </row>
    <row r="53" spans="1:13" x14ac:dyDescent="0.2">
      <c r="A53" s="5" t="s">
        <v>98</v>
      </c>
      <c r="B53" s="5" t="s">
        <v>3045</v>
      </c>
      <c r="C53" s="5" t="s">
        <v>1875</v>
      </c>
      <c r="D53" s="5" t="s">
        <v>1836</v>
      </c>
      <c r="E53" s="5" t="s">
        <v>1837</v>
      </c>
      <c r="F53" s="5">
        <v>0.88974699999999995</v>
      </c>
      <c r="G53" s="5">
        <v>0.390121</v>
      </c>
      <c r="H53" s="5">
        <v>-1.18947</v>
      </c>
      <c r="I53" s="5">
        <v>1</v>
      </c>
      <c r="L53" s="2" t="s">
        <v>104</v>
      </c>
      <c r="M53" s="2">
        <v>1.9565999999999999</v>
      </c>
    </row>
    <row r="54" spans="1:13" x14ac:dyDescent="0.2">
      <c r="A54" s="5" t="s">
        <v>99</v>
      </c>
      <c r="B54" s="5" t="s">
        <v>3015</v>
      </c>
      <c r="C54" s="5" t="s">
        <v>1885</v>
      </c>
      <c r="D54" s="5" t="s">
        <v>1836</v>
      </c>
      <c r="E54" s="5" t="s">
        <v>1837</v>
      </c>
      <c r="F54" s="5">
        <v>2.5895899999999998</v>
      </c>
      <c r="G54" s="5">
        <v>1.2499400000000001</v>
      </c>
      <c r="H54" s="5">
        <v>-1.0508599999999999</v>
      </c>
      <c r="I54" s="5">
        <v>1</v>
      </c>
      <c r="L54" s="2" t="s">
        <v>105</v>
      </c>
      <c r="M54" s="2">
        <v>1.1297900000000001</v>
      </c>
    </row>
    <row r="55" spans="1:13" x14ac:dyDescent="0.2">
      <c r="A55" s="5" t="s">
        <v>102</v>
      </c>
      <c r="B55" s="5" t="s">
        <v>3050</v>
      </c>
      <c r="C55" s="5" t="s">
        <v>1886</v>
      </c>
      <c r="D55" s="5" t="s">
        <v>1836</v>
      </c>
      <c r="E55" s="5" t="s">
        <v>1837</v>
      </c>
      <c r="F55" s="5">
        <v>2.8573599999999999</v>
      </c>
      <c r="G55" s="5">
        <v>0.17336199999999999</v>
      </c>
      <c r="H55" s="5">
        <v>-4.0428199999999999</v>
      </c>
      <c r="I55" s="5">
        <v>1</v>
      </c>
      <c r="L55" s="2" t="s">
        <v>108</v>
      </c>
      <c r="M55" s="2">
        <v>1.1232800000000001</v>
      </c>
    </row>
    <row r="56" spans="1:13" x14ac:dyDescent="0.2">
      <c r="A56" s="5" t="s">
        <v>103</v>
      </c>
      <c r="B56" s="5" t="s">
        <v>3015</v>
      </c>
      <c r="C56" s="5" t="s">
        <v>1887</v>
      </c>
      <c r="D56" s="5" t="s">
        <v>1836</v>
      </c>
      <c r="E56" s="5" t="s">
        <v>1837</v>
      </c>
      <c r="F56" s="5">
        <v>0.43479699999999999</v>
      </c>
      <c r="G56" s="5">
        <v>3.1589</v>
      </c>
      <c r="H56" s="5">
        <v>2.8610099999999998</v>
      </c>
      <c r="I56" s="5">
        <v>1</v>
      </c>
      <c r="L56" s="2" t="s">
        <v>112</v>
      </c>
      <c r="M56" s="2">
        <v>-1.6045400000000001</v>
      </c>
    </row>
    <row r="57" spans="1:13" x14ac:dyDescent="0.2">
      <c r="A57" s="5" t="s">
        <v>104</v>
      </c>
      <c r="B57" s="5" t="s">
        <v>3015</v>
      </c>
      <c r="C57" s="5" t="s">
        <v>1847</v>
      </c>
      <c r="D57" s="5" t="s">
        <v>1836</v>
      </c>
      <c r="E57" s="5" t="s">
        <v>1837</v>
      </c>
      <c r="F57" s="5">
        <v>0.459146</v>
      </c>
      <c r="G57" s="5">
        <v>1.78216</v>
      </c>
      <c r="H57" s="5">
        <v>1.9565999999999999</v>
      </c>
      <c r="I57" s="5">
        <v>1</v>
      </c>
      <c r="L57" s="2" t="s">
        <v>113</v>
      </c>
      <c r="M57" s="2">
        <v>-1.44035</v>
      </c>
    </row>
    <row r="58" spans="1:13" x14ac:dyDescent="0.2">
      <c r="A58" s="5" t="s">
        <v>105</v>
      </c>
      <c r="B58" s="5" t="s">
        <v>3051</v>
      </c>
      <c r="C58" s="5" t="s">
        <v>1888</v>
      </c>
      <c r="D58" s="5" t="s">
        <v>1836</v>
      </c>
      <c r="E58" s="5" t="s">
        <v>1837</v>
      </c>
      <c r="F58" s="5">
        <v>91.526200000000003</v>
      </c>
      <c r="G58" s="5">
        <v>200.28399999999999</v>
      </c>
      <c r="H58" s="5">
        <v>1.1297900000000001</v>
      </c>
      <c r="I58" s="5">
        <v>1</v>
      </c>
      <c r="L58" s="2" t="s">
        <v>114</v>
      </c>
      <c r="M58" s="2">
        <v>1.02275</v>
      </c>
    </row>
    <row r="59" spans="1:13" x14ac:dyDescent="0.2">
      <c r="A59" s="5" t="s">
        <v>107</v>
      </c>
      <c r="B59" s="5" t="s">
        <v>3015</v>
      </c>
      <c r="C59" s="5" t="s">
        <v>3015</v>
      </c>
      <c r="D59" s="5" t="s">
        <v>1836</v>
      </c>
      <c r="E59" s="5" t="s">
        <v>1837</v>
      </c>
      <c r="F59" s="5">
        <v>0</v>
      </c>
      <c r="G59" s="5">
        <v>4.8413399999999998</v>
      </c>
      <c r="H59" s="5" t="s">
        <v>3021</v>
      </c>
      <c r="I59" s="5" t="s">
        <v>3021</v>
      </c>
      <c r="L59" s="2" t="s">
        <v>115</v>
      </c>
      <c r="M59" s="2">
        <v>1.93652</v>
      </c>
    </row>
    <row r="60" spans="1:13" x14ac:dyDescent="0.2">
      <c r="A60" s="5" t="s">
        <v>108</v>
      </c>
      <c r="B60" s="5" t="s">
        <v>3015</v>
      </c>
      <c r="C60" s="5" t="s">
        <v>1889</v>
      </c>
      <c r="D60" s="5" t="s">
        <v>1836</v>
      </c>
      <c r="E60" s="5" t="s">
        <v>1837</v>
      </c>
      <c r="F60" s="5">
        <v>8.4427800000000008</v>
      </c>
      <c r="G60" s="5">
        <v>18.3919</v>
      </c>
      <c r="H60" s="5">
        <v>1.1232800000000001</v>
      </c>
      <c r="I60" s="5">
        <v>1</v>
      </c>
      <c r="L60" s="2" t="s">
        <v>118</v>
      </c>
      <c r="M60" s="2">
        <v>1.4098999999999999</v>
      </c>
    </row>
    <row r="61" spans="1:13" x14ac:dyDescent="0.2">
      <c r="A61" s="5" t="s">
        <v>112</v>
      </c>
      <c r="B61" s="5" t="s">
        <v>3015</v>
      </c>
      <c r="C61" s="5" t="s">
        <v>1890</v>
      </c>
      <c r="D61" s="5" t="s">
        <v>1836</v>
      </c>
      <c r="E61" s="5" t="s">
        <v>1837</v>
      </c>
      <c r="F61" s="5">
        <v>6.4114699999999996</v>
      </c>
      <c r="G61" s="5">
        <v>2.1083599999999998</v>
      </c>
      <c r="H61" s="5">
        <v>-1.6045400000000001</v>
      </c>
      <c r="I61" s="5">
        <v>1</v>
      </c>
      <c r="L61" s="2" t="s">
        <v>120</v>
      </c>
      <c r="M61" s="2">
        <v>1.26847</v>
      </c>
    </row>
    <row r="62" spans="1:13" x14ac:dyDescent="0.2">
      <c r="A62" s="5" t="s">
        <v>113</v>
      </c>
      <c r="B62" s="5" t="s">
        <v>3052</v>
      </c>
      <c r="C62" s="5" t="s">
        <v>1891</v>
      </c>
      <c r="D62" s="5" t="s">
        <v>1836</v>
      </c>
      <c r="E62" s="5" t="s">
        <v>1837</v>
      </c>
      <c r="F62" s="5">
        <v>2.9787499999999998</v>
      </c>
      <c r="G62" s="5">
        <v>1.0975999999999999</v>
      </c>
      <c r="H62" s="5">
        <v>-1.44035</v>
      </c>
      <c r="I62" s="5">
        <v>1</v>
      </c>
      <c r="L62" s="2" t="s">
        <v>121</v>
      </c>
      <c r="M62" s="2">
        <v>-2.0196700000000001</v>
      </c>
    </row>
    <row r="63" spans="1:13" x14ac:dyDescent="0.2">
      <c r="A63" s="5" t="s">
        <v>114</v>
      </c>
      <c r="B63" s="5" t="s">
        <v>3035</v>
      </c>
      <c r="C63" s="5" t="s">
        <v>1892</v>
      </c>
      <c r="D63" s="5" t="s">
        <v>1836</v>
      </c>
      <c r="E63" s="5" t="s">
        <v>1837</v>
      </c>
      <c r="F63" s="5">
        <v>21.9374</v>
      </c>
      <c r="G63" s="5">
        <v>44.572200000000002</v>
      </c>
      <c r="H63" s="5">
        <v>1.02275</v>
      </c>
      <c r="I63" s="5">
        <v>1</v>
      </c>
      <c r="L63" s="2" t="s">
        <v>122</v>
      </c>
      <c r="M63" s="2">
        <v>-1.1582600000000001</v>
      </c>
    </row>
    <row r="64" spans="1:13" x14ac:dyDescent="0.2">
      <c r="A64" s="5" t="s">
        <v>115</v>
      </c>
      <c r="B64" s="5" t="s">
        <v>3053</v>
      </c>
      <c r="C64" s="5" t="s">
        <v>1893</v>
      </c>
      <c r="D64" s="5" t="s">
        <v>1836</v>
      </c>
      <c r="E64" s="5" t="s">
        <v>1837</v>
      </c>
      <c r="F64" s="5">
        <v>0.38508999999999999</v>
      </c>
      <c r="G64" s="5">
        <v>1.4740500000000001</v>
      </c>
      <c r="H64" s="5">
        <v>1.93652</v>
      </c>
      <c r="I64" s="5">
        <v>1</v>
      </c>
      <c r="L64" s="2" t="s">
        <v>123</v>
      </c>
      <c r="M64" s="2">
        <v>-1.60225</v>
      </c>
    </row>
    <row r="65" spans="1:13" x14ac:dyDescent="0.2">
      <c r="A65" s="5" t="s">
        <v>118</v>
      </c>
      <c r="B65" s="5" t="s">
        <v>3054</v>
      </c>
      <c r="C65" s="5" t="s">
        <v>1894</v>
      </c>
      <c r="D65" s="5" t="s">
        <v>1836</v>
      </c>
      <c r="E65" s="5" t="s">
        <v>1837</v>
      </c>
      <c r="F65" s="5">
        <v>1.6789400000000001</v>
      </c>
      <c r="G65" s="5">
        <v>4.4612600000000002</v>
      </c>
      <c r="H65" s="5">
        <v>1.4098999999999999</v>
      </c>
      <c r="I65" s="5">
        <v>1</v>
      </c>
      <c r="L65" s="2" t="s">
        <v>124</v>
      </c>
      <c r="M65" s="2">
        <v>-1.0377099999999999</v>
      </c>
    </row>
    <row r="66" spans="1:13" x14ac:dyDescent="0.2">
      <c r="A66" s="5" t="s">
        <v>119</v>
      </c>
      <c r="B66" s="5" t="s">
        <v>3055</v>
      </c>
      <c r="C66" s="5" t="s">
        <v>1895</v>
      </c>
      <c r="D66" s="5" t="s">
        <v>1836</v>
      </c>
      <c r="E66" s="5" t="s">
        <v>1837</v>
      </c>
      <c r="F66" s="5">
        <v>0</v>
      </c>
      <c r="G66" s="5">
        <v>1.0642400000000001</v>
      </c>
      <c r="H66" s="5" t="s">
        <v>3021</v>
      </c>
      <c r="I66" s="5" t="s">
        <v>3021</v>
      </c>
      <c r="L66" s="2" t="s">
        <v>126</v>
      </c>
      <c r="M66" s="2">
        <v>-1.21987</v>
      </c>
    </row>
    <row r="67" spans="1:13" x14ac:dyDescent="0.2">
      <c r="A67" s="5" t="s">
        <v>120</v>
      </c>
      <c r="B67" s="5" t="s">
        <v>3053</v>
      </c>
      <c r="C67" s="5" t="s">
        <v>1896</v>
      </c>
      <c r="D67" s="5" t="s">
        <v>1836</v>
      </c>
      <c r="E67" s="5" t="s">
        <v>1837</v>
      </c>
      <c r="F67" s="5">
        <v>3.9356200000000001</v>
      </c>
      <c r="G67" s="5">
        <v>9.4811200000000007</v>
      </c>
      <c r="H67" s="5">
        <v>1.26847</v>
      </c>
      <c r="I67" s="5">
        <v>1</v>
      </c>
      <c r="L67" s="2" t="s">
        <v>127</v>
      </c>
      <c r="M67" s="2">
        <v>-1.45478</v>
      </c>
    </row>
    <row r="68" spans="1:13" x14ac:dyDescent="0.2">
      <c r="A68" s="5" t="s">
        <v>121</v>
      </c>
      <c r="B68" s="5" t="s">
        <v>3015</v>
      </c>
      <c r="C68" s="5" t="s">
        <v>1897</v>
      </c>
      <c r="D68" s="5" t="s">
        <v>1836</v>
      </c>
      <c r="E68" s="5" t="s">
        <v>1837</v>
      </c>
      <c r="F68" s="5">
        <v>17.191099999999999</v>
      </c>
      <c r="G68" s="5">
        <v>4.23956</v>
      </c>
      <c r="H68" s="5">
        <v>-2.0196700000000001</v>
      </c>
      <c r="I68" s="5">
        <v>1</v>
      </c>
      <c r="L68" s="2" t="s">
        <v>132</v>
      </c>
      <c r="M68" s="2">
        <v>1.6611</v>
      </c>
    </row>
    <row r="69" spans="1:13" x14ac:dyDescent="0.2">
      <c r="A69" s="5" t="s">
        <v>122</v>
      </c>
      <c r="B69" s="5" t="s">
        <v>3015</v>
      </c>
      <c r="C69" s="5" t="s">
        <v>1898</v>
      </c>
      <c r="D69" s="5" t="s">
        <v>1836</v>
      </c>
      <c r="E69" s="5" t="s">
        <v>1837</v>
      </c>
      <c r="F69" s="5">
        <v>7.9776300000000004</v>
      </c>
      <c r="G69" s="5">
        <v>3.5743900000000002</v>
      </c>
      <c r="H69" s="5">
        <v>-1.1582600000000001</v>
      </c>
      <c r="I69" s="5">
        <v>1</v>
      </c>
      <c r="L69" s="2" t="s">
        <v>135</v>
      </c>
      <c r="M69" s="2">
        <v>-2.1118299999999999</v>
      </c>
    </row>
    <row r="70" spans="1:13" x14ac:dyDescent="0.2">
      <c r="A70" s="5" t="s">
        <v>123</v>
      </c>
      <c r="B70" s="5" t="s">
        <v>3056</v>
      </c>
      <c r="C70" s="5" t="s">
        <v>1899</v>
      </c>
      <c r="D70" s="5" t="s">
        <v>1836</v>
      </c>
      <c r="E70" s="5" t="s">
        <v>1837</v>
      </c>
      <c r="F70" s="5">
        <v>1.9359599999999999</v>
      </c>
      <c r="G70" s="5">
        <v>0.63763400000000003</v>
      </c>
      <c r="H70" s="5">
        <v>-1.60225</v>
      </c>
      <c r="I70" s="5">
        <v>1</v>
      </c>
      <c r="L70" s="2" t="s">
        <v>137</v>
      </c>
      <c r="M70" s="2">
        <v>-1.2922400000000001</v>
      </c>
    </row>
    <row r="71" spans="1:13" x14ac:dyDescent="0.2">
      <c r="A71" s="5" t="s">
        <v>124</v>
      </c>
      <c r="B71" s="5" t="s">
        <v>3015</v>
      </c>
      <c r="C71" s="5" t="s">
        <v>1900</v>
      </c>
      <c r="D71" s="5" t="s">
        <v>1836</v>
      </c>
      <c r="E71" s="5" t="s">
        <v>1837</v>
      </c>
      <c r="F71" s="5">
        <v>17.7075</v>
      </c>
      <c r="G71" s="5">
        <v>8.6252999999999993</v>
      </c>
      <c r="H71" s="5">
        <v>-1.0377099999999999</v>
      </c>
      <c r="I71" s="5">
        <v>1</v>
      </c>
      <c r="L71" s="2" t="s">
        <v>138</v>
      </c>
      <c r="M71" s="2">
        <v>-1.2733300000000001</v>
      </c>
    </row>
    <row r="72" spans="1:13" x14ac:dyDescent="0.2">
      <c r="A72" s="5" t="s">
        <v>126</v>
      </c>
      <c r="B72" s="5" t="s">
        <v>3057</v>
      </c>
      <c r="C72" s="5" t="s">
        <v>1901</v>
      </c>
      <c r="D72" s="5" t="s">
        <v>1836</v>
      </c>
      <c r="E72" s="5" t="s">
        <v>1837</v>
      </c>
      <c r="F72" s="5">
        <v>11.491300000000001</v>
      </c>
      <c r="G72" s="5">
        <v>4.9334499999999997</v>
      </c>
      <c r="H72" s="5">
        <v>-1.21987</v>
      </c>
      <c r="I72" s="5">
        <v>1</v>
      </c>
      <c r="L72" s="2" t="s">
        <v>139</v>
      </c>
      <c r="M72" s="2">
        <v>1.15673</v>
      </c>
    </row>
    <row r="73" spans="1:13" x14ac:dyDescent="0.2">
      <c r="A73" s="5" t="s">
        <v>127</v>
      </c>
      <c r="B73" s="5" t="s">
        <v>3015</v>
      </c>
      <c r="C73" s="5" t="s">
        <v>1902</v>
      </c>
      <c r="D73" s="5" t="s">
        <v>1836</v>
      </c>
      <c r="E73" s="5" t="s">
        <v>1837</v>
      </c>
      <c r="F73" s="5">
        <v>13.694800000000001</v>
      </c>
      <c r="G73" s="5">
        <v>4.9959899999999999</v>
      </c>
      <c r="H73" s="5">
        <v>-1.45478</v>
      </c>
      <c r="I73" s="5">
        <v>1</v>
      </c>
      <c r="L73" s="2" t="s">
        <v>140</v>
      </c>
      <c r="M73" s="2">
        <v>1.1039699999999999</v>
      </c>
    </row>
    <row r="74" spans="1:13" x14ac:dyDescent="0.2">
      <c r="A74" s="5" t="s">
        <v>132</v>
      </c>
      <c r="B74" s="5" t="s">
        <v>3015</v>
      </c>
      <c r="C74" s="5" t="s">
        <v>1903</v>
      </c>
      <c r="D74" s="5" t="s">
        <v>1836</v>
      </c>
      <c r="E74" s="5" t="s">
        <v>1837</v>
      </c>
      <c r="F74" s="5">
        <v>0.26200299999999999</v>
      </c>
      <c r="G74" s="5">
        <v>0.82860199999999995</v>
      </c>
      <c r="H74" s="5">
        <v>1.6611</v>
      </c>
      <c r="I74" s="5">
        <v>1</v>
      </c>
      <c r="L74" s="2" t="s">
        <v>141</v>
      </c>
      <c r="M74" s="2">
        <v>-1.00386</v>
      </c>
    </row>
    <row r="75" spans="1:13" x14ac:dyDescent="0.2">
      <c r="A75" s="5" t="s">
        <v>135</v>
      </c>
      <c r="B75" s="5" t="s">
        <v>3015</v>
      </c>
      <c r="C75" s="5" t="s">
        <v>1904</v>
      </c>
      <c r="D75" s="5" t="s">
        <v>1836</v>
      </c>
      <c r="E75" s="5" t="s">
        <v>1837</v>
      </c>
      <c r="F75" s="5">
        <v>1.90184</v>
      </c>
      <c r="G75" s="5">
        <v>0.439998</v>
      </c>
      <c r="H75" s="5">
        <v>-2.1118299999999999</v>
      </c>
      <c r="I75" s="5">
        <v>1</v>
      </c>
      <c r="L75" s="2" t="s">
        <v>142</v>
      </c>
      <c r="M75" s="2">
        <v>-1.5388500000000001</v>
      </c>
    </row>
    <row r="76" spans="1:13" x14ac:dyDescent="0.2">
      <c r="A76" s="5" t="s">
        <v>137</v>
      </c>
      <c r="B76" s="5" t="s">
        <v>3015</v>
      </c>
      <c r="C76" s="5" t="s">
        <v>1905</v>
      </c>
      <c r="D76" s="5" t="s">
        <v>1836</v>
      </c>
      <c r="E76" s="5" t="s">
        <v>1837</v>
      </c>
      <c r="F76" s="5">
        <v>3.3832800000000001</v>
      </c>
      <c r="G76" s="5">
        <v>1.3814500000000001</v>
      </c>
      <c r="H76" s="5">
        <v>-1.2922400000000001</v>
      </c>
      <c r="I76" s="5">
        <v>1</v>
      </c>
      <c r="L76" s="2" t="s">
        <v>144</v>
      </c>
      <c r="M76" s="2">
        <v>-1.14341</v>
      </c>
    </row>
    <row r="77" spans="1:13" x14ac:dyDescent="0.2">
      <c r="A77" s="5" t="s">
        <v>138</v>
      </c>
      <c r="B77" s="5" t="s">
        <v>3015</v>
      </c>
      <c r="C77" s="5" t="s">
        <v>1906</v>
      </c>
      <c r="D77" s="5" t="s">
        <v>1836</v>
      </c>
      <c r="E77" s="5" t="s">
        <v>1837</v>
      </c>
      <c r="F77" s="5">
        <v>3.51186</v>
      </c>
      <c r="G77" s="5">
        <v>1.4528700000000001</v>
      </c>
      <c r="H77" s="5">
        <v>-1.2733300000000001</v>
      </c>
      <c r="I77" s="5">
        <v>1</v>
      </c>
      <c r="L77" s="2" t="s">
        <v>145</v>
      </c>
      <c r="M77" s="2">
        <v>4.9255599999999999</v>
      </c>
    </row>
    <row r="78" spans="1:13" x14ac:dyDescent="0.2">
      <c r="A78" s="5" t="s">
        <v>139</v>
      </c>
      <c r="B78" s="5" t="s">
        <v>3015</v>
      </c>
      <c r="C78" s="5" t="s">
        <v>1907</v>
      </c>
      <c r="D78" s="5" t="s">
        <v>1836</v>
      </c>
      <c r="E78" s="5" t="s">
        <v>1837</v>
      </c>
      <c r="F78" s="5">
        <v>0.70366899999999999</v>
      </c>
      <c r="G78" s="5">
        <v>1.56884</v>
      </c>
      <c r="H78" s="5">
        <v>1.15673</v>
      </c>
      <c r="I78" s="5">
        <v>1</v>
      </c>
      <c r="L78" s="2" t="s">
        <v>146</v>
      </c>
      <c r="M78" s="2">
        <v>1.0771200000000001</v>
      </c>
    </row>
    <row r="79" spans="1:13" x14ac:dyDescent="0.2">
      <c r="A79" s="5" t="s">
        <v>140</v>
      </c>
      <c r="B79" s="5" t="s">
        <v>3058</v>
      </c>
      <c r="C79" s="5" t="s">
        <v>1908</v>
      </c>
      <c r="D79" s="5" t="s">
        <v>1836</v>
      </c>
      <c r="E79" s="5" t="s">
        <v>1837</v>
      </c>
      <c r="F79" s="5">
        <v>14.688000000000001</v>
      </c>
      <c r="G79" s="5">
        <v>31.571300000000001</v>
      </c>
      <c r="H79" s="5">
        <v>1.1039699999999999</v>
      </c>
      <c r="I79" s="5">
        <v>1</v>
      </c>
      <c r="L79" s="2" t="s">
        <v>148</v>
      </c>
      <c r="M79" s="2">
        <v>1.4488399999999999</v>
      </c>
    </row>
    <row r="80" spans="1:13" x14ac:dyDescent="0.2">
      <c r="A80" s="5" t="s">
        <v>141</v>
      </c>
      <c r="B80" s="5" t="s">
        <v>3015</v>
      </c>
      <c r="C80" s="5" t="s">
        <v>1909</v>
      </c>
      <c r="D80" s="5" t="s">
        <v>1836</v>
      </c>
      <c r="E80" s="5" t="s">
        <v>1837</v>
      </c>
      <c r="F80" s="5">
        <v>14.674899999999999</v>
      </c>
      <c r="G80" s="5">
        <v>7.31785</v>
      </c>
      <c r="H80" s="5">
        <v>-1.00386</v>
      </c>
      <c r="I80" s="5">
        <v>1</v>
      </c>
      <c r="L80" s="2" t="s">
        <v>149</v>
      </c>
      <c r="M80" s="2">
        <v>-1.26858</v>
      </c>
    </row>
    <row r="81" spans="1:13" x14ac:dyDescent="0.2">
      <c r="A81" s="5" t="s">
        <v>142</v>
      </c>
      <c r="B81" s="5" t="s">
        <v>3015</v>
      </c>
      <c r="C81" s="5" t="s">
        <v>1909</v>
      </c>
      <c r="D81" s="5" t="s">
        <v>1836</v>
      </c>
      <c r="E81" s="5" t="s">
        <v>1837</v>
      </c>
      <c r="F81" s="5">
        <v>10.6622</v>
      </c>
      <c r="G81" s="5">
        <v>3.6695099999999998</v>
      </c>
      <c r="H81" s="5">
        <v>-1.5388500000000001</v>
      </c>
      <c r="I81" s="5">
        <v>1</v>
      </c>
      <c r="L81" s="2" t="s">
        <v>151</v>
      </c>
      <c r="M81" s="2">
        <v>1.2246999999999999</v>
      </c>
    </row>
    <row r="82" spans="1:13" x14ac:dyDescent="0.2">
      <c r="A82" s="5" t="s">
        <v>144</v>
      </c>
      <c r="B82" s="5" t="s">
        <v>3059</v>
      </c>
      <c r="C82" s="5" t="s">
        <v>1847</v>
      </c>
      <c r="D82" s="5" t="s">
        <v>1836</v>
      </c>
      <c r="E82" s="5" t="s">
        <v>1837</v>
      </c>
      <c r="F82" s="5">
        <v>1.72461</v>
      </c>
      <c r="G82" s="5">
        <v>0.78071199999999996</v>
      </c>
      <c r="H82" s="5">
        <v>-1.14341</v>
      </c>
      <c r="I82" s="5">
        <v>1</v>
      </c>
      <c r="L82" s="2" t="s">
        <v>153</v>
      </c>
      <c r="M82" s="2">
        <v>1.6068899999999999</v>
      </c>
    </row>
    <row r="83" spans="1:13" x14ac:dyDescent="0.2">
      <c r="A83" s="5" t="s">
        <v>145</v>
      </c>
      <c r="B83" s="5" t="s">
        <v>3015</v>
      </c>
      <c r="C83" s="5" t="s">
        <v>1910</v>
      </c>
      <c r="D83" s="5" t="s">
        <v>1836</v>
      </c>
      <c r="E83" s="5" t="s">
        <v>1837</v>
      </c>
      <c r="F83" s="5">
        <v>0.19189600000000001</v>
      </c>
      <c r="G83" s="5">
        <v>5.8318300000000001</v>
      </c>
      <c r="H83" s="5">
        <v>4.9255599999999999</v>
      </c>
      <c r="I83" s="5">
        <v>1</v>
      </c>
      <c r="L83" s="2" t="s">
        <v>154</v>
      </c>
      <c r="M83" s="2">
        <v>-1.1757299999999999</v>
      </c>
    </row>
    <row r="84" spans="1:13" x14ac:dyDescent="0.2">
      <c r="A84" s="5" t="s">
        <v>146</v>
      </c>
      <c r="B84" s="5" t="s">
        <v>3060</v>
      </c>
      <c r="C84" s="5" t="s">
        <v>1911</v>
      </c>
      <c r="D84" s="5" t="s">
        <v>1836</v>
      </c>
      <c r="E84" s="5" t="s">
        <v>1837</v>
      </c>
      <c r="F84" s="5">
        <v>6.4335599999999999</v>
      </c>
      <c r="G84" s="5">
        <v>13.573600000000001</v>
      </c>
      <c r="H84" s="5">
        <v>1.0771200000000001</v>
      </c>
      <c r="I84" s="5">
        <v>1</v>
      </c>
      <c r="L84" s="2" t="s">
        <v>156</v>
      </c>
      <c r="M84" s="2">
        <v>-2.6227399999999998</v>
      </c>
    </row>
    <row r="85" spans="1:13" x14ac:dyDescent="0.2">
      <c r="A85" s="5" t="s">
        <v>147</v>
      </c>
      <c r="B85" s="5" t="s">
        <v>3061</v>
      </c>
      <c r="C85" s="5" t="s">
        <v>1912</v>
      </c>
      <c r="D85" s="5" t="s">
        <v>1836</v>
      </c>
      <c r="E85" s="5" t="s">
        <v>1837</v>
      </c>
      <c r="F85" s="5">
        <v>0</v>
      </c>
      <c r="G85" s="5">
        <v>0.99543999999999999</v>
      </c>
      <c r="H85" s="5" t="s">
        <v>3021</v>
      </c>
      <c r="I85" s="5" t="s">
        <v>3021</v>
      </c>
      <c r="L85" s="2" t="s">
        <v>157</v>
      </c>
      <c r="M85" s="2">
        <v>-2.3393000000000002</v>
      </c>
    </row>
    <row r="86" spans="1:13" x14ac:dyDescent="0.2">
      <c r="A86" s="5" t="s">
        <v>148</v>
      </c>
      <c r="B86" s="5" t="s">
        <v>3026</v>
      </c>
      <c r="C86" s="5" t="s">
        <v>1913</v>
      </c>
      <c r="D86" s="5" t="s">
        <v>1836</v>
      </c>
      <c r="E86" s="5" t="s">
        <v>1837</v>
      </c>
      <c r="F86" s="5">
        <v>0.41171799999999997</v>
      </c>
      <c r="G86" s="5">
        <v>1.12395</v>
      </c>
      <c r="H86" s="5">
        <v>1.4488399999999999</v>
      </c>
      <c r="I86" s="5">
        <v>1</v>
      </c>
      <c r="L86" s="2" t="s">
        <v>158</v>
      </c>
      <c r="M86" s="2">
        <v>-1.5997600000000001</v>
      </c>
    </row>
    <row r="87" spans="1:13" x14ac:dyDescent="0.2">
      <c r="A87" s="5" t="s">
        <v>149</v>
      </c>
      <c r="B87" s="5" t="s">
        <v>3015</v>
      </c>
      <c r="C87" s="5" t="s">
        <v>1914</v>
      </c>
      <c r="D87" s="5" t="s">
        <v>1836</v>
      </c>
      <c r="E87" s="5" t="s">
        <v>1837</v>
      </c>
      <c r="F87" s="5">
        <v>3.9297599999999999</v>
      </c>
      <c r="G87" s="5">
        <v>1.6311199999999999</v>
      </c>
      <c r="H87" s="5">
        <v>-1.26858</v>
      </c>
      <c r="I87" s="5">
        <v>1</v>
      </c>
      <c r="L87" s="2" t="s">
        <v>159</v>
      </c>
      <c r="M87" s="2">
        <v>-1.3695299999999999</v>
      </c>
    </row>
    <row r="88" spans="1:13" x14ac:dyDescent="0.2">
      <c r="A88" s="5" t="s">
        <v>151</v>
      </c>
      <c r="B88" s="5" t="s">
        <v>3062</v>
      </c>
      <c r="C88" s="5" t="s">
        <v>1915</v>
      </c>
      <c r="D88" s="5" t="s">
        <v>1836</v>
      </c>
      <c r="E88" s="5" t="s">
        <v>1837</v>
      </c>
      <c r="F88" s="5">
        <v>5.93818</v>
      </c>
      <c r="G88" s="5">
        <v>13.8779</v>
      </c>
      <c r="H88" s="5">
        <v>1.2246999999999999</v>
      </c>
      <c r="I88" s="5">
        <v>1</v>
      </c>
      <c r="L88" s="2" t="s">
        <v>161</v>
      </c>
      <c r="M88" s="2">
        <v>-1.58632</v>
      </c>
    </row>
    <row r="89" spans="1:13" x14ac:dyDescent="0.2">
      <c r="A89" s="5" t="s">
        <v>153</v>
      </c>
      <c r="B89" s="5" t="s">
        <v>3045</v>
      </c>
      <c r="C89" s="5" t="s">
        <v>1875</v>
      </c>
      <c r="D89" s="5" t="s">
        <v>1836</v>
      </c>
      <c r="E89" s="5" t="s">
        <v>1837</v>
      </c>
      <c r="F89" s="5">
        <v>0.39899600000000002</v>
      </c>
      <c r="G89" s="5">
        <v>1.21532</v>
      </c>
      <c r="H89" s="5">
        <v>1.6068899999999999</v>
      </c>
      <c r="I89" s="5">
        <v>1</v>
      </c>
      <c r="L89" s="2" t="s">
        <v>162</v>
      </c>
      <c r="M89" s="2">
        <v>1.2713000000000001</v>
      </c>
    </row>
    <row r="90" spans="1:13" x14ac:dyDescent="0.2">
      <c r="A90" s="5" t="s">
        <v>154</v>
      </c>
      <c r="B90" s="5" t="s">
        <v>3063</v>
      </c>
      <c r="C90" s="5" t="s">
        <v>1916</v>
      </c>
      <c r="D90" s="5" t="s">
        <v>1836</v>
      </c>
      <c r="E90" s="5" t="s">
        <v>1837</v>
      </c>
      <c r="F90" s="5">
        <v>1.4203300000000001</v>
      </c>
      <c r="G90" s="5">
        <v>0.62872399999999995</v>
      </c>
      <c r="H90" s="5">
        <v>-1.1757299999999999</v>
      </c>
      <c r="I90" s="5">
        <v>1</v>
      </c>
      <c r="L90" s="2" t="s">
        <v>163</v>
      </c>
      <c r="M90" s="2">
        <v>1.0223599999999999</v>
      </c>
    </row>
    <row r="91" spans="1:13" x14ac:dyDescent="0.2">
      <c r="A91" s="5" t="s">
        <v>156</v>
      </c>
      <c r="B91" s="5" t="s">
        <v>3030</v>
      </c>
      <c r="C91" s="5" t="s">
        <v>1917</v>
      </c>
      <c r="D91" s="5" t="s">
        <v>1836</v>
      </c>
      <c r="E91" s="5" t="s">
        <v>1837</v>
      </c>
      <c r="F91" s="5">
        <v>29.628499999999999</v>
      </c>
      <c r="G91" s="5">
        <v>4.8104699999999996</v>
      </c>
      <c r="H91" s="5">
        <v>-2.6227399999999998</v>
      </c>
      <c r="I91" s="5">
        <v>1</v>
      </c>
      <c r="L91" s="2" t="s">
        <v>166</v>
      </c>
      <c r="M91" s="2">
        <v>1.18384</v>
      </c>
    </row>
    <row r="92" spans="1:13" x14ac:dyDescent="0.2">
      <c r="A92" s="5" t="s">
        <v>157</v>
      </c>
      <c r="B92" s="5" t="s">
        <v>3064</v>
      </c>
      <c r="C92" s="5" t="s">
        <v>1918</v>
      </c>
      <c r="D92" s="5" t="s">
        <v>1836</v>
      </c>
      <c r="E92" s="5" t="s">
        <v>1837</v>
      </c>
      <c r="F92" s="5">
        <v>0.81844799999999995</v>
      </c>
      <c r="G92" s="5">
        <v>0.16173000000000001</v>
      </c>
      <c r="H92" s="5">
        <v>-2.3393000000000002</v>
      </c>
      <c r="I92" s="5">
        <v>1</v>
      </c>
      <c r="L92" s="2" t="s">
        <v>167</v>
      </c>
      <c r="M92" s="2">
        <v>1.1138600000000001</v>
      </c>
    </row>
    <row r="93" spans="1:13" x14ac:dyDescent="0.2">
      <c r="A93" s="5" t="s">
        <v>158</v>
      </c>
      <c r="B93" s="5" t="s">
        <v>3015</v>
      </c>
      <c r="C93" s="5" t="s">
        <v>1919</v>
      </c>
      <c r="D93" s="5" t="s">
        <v>1836</v>
      </c>
      <c r="E93" s="5" t="s">
        <v>1837</v>
      </c>
      <c r="F93" s="5">
        <v>2.25888</v>
      </c>
      <c r="G93" s="5">
        <v>0.74527399999999999</v>
      </c>
      <c r="H93" s="5">
        <v>-1.5997600000000001</v>
      </c>
      <c r="I93" s="5">
        <v>1</v>
      </c>
      <c r="L93" s="2" t="s">
        <v>168</v>
      </c>
      <c r="M93" s="2">
        <v>-1.1031299999999999</v>
      </c>
    </row>
    <row r="94" spans="1:13" x14ac:dyDescent="0.2">
      <c r="A94" s="5" t="s">
        <v>159</v>
      </c>
      <c r="B94" s="5" t="s">
        <v>3065</v>
      </c>
      <c r="C94" s="5" t="s">
        <v>1920</v>
      </c>
      <c r="D94" s="5" t="s">
        <v>1836</v>
      </c>
      <c r="E94" s="5" t="s">
        <v>1837</v>
      </c>
      <c r="F94" s="5">
        <v>11.1389</v>
      </c>
      <c r="G94" s="5">
        <v>4.3109200000000003</v>
      </c>
      <c r="H94" s="5">
        <v>-1.3695299999999999</v>
      </c>
      <c r="I94" s="5">
        <v>1</v>
      </c>
      <c r="L94" s="2" t="s">
        <v>169</v>
      </c>
      <c r="M94" s="2">
        <v>-1.2103699999999999</v>
      </c>
    </row>
    <row r="95" spans="1:13" x14ac:dyDescent="0.2">
      <c r="A95" s="5" t="s">
        <v>161</v>
      </c>
      <c r="B95" s="5" t="s">
        <v>3015</v>
      </c>
      <c r="C95" s="5" t="s">
        <v>1921</v>
      </c>
      <c r="D95" s="5" t="s">
        <v>1836</v>
      </c>
      <c r="E95" s="5" t="s">
        <v>1837</v>
      </c>
      <c r="F95" s="5">
        <v>2.2109899999999998</v>
      </c>
      <c r="G95" s="5">
        <v>0.73630300000000004</v>
      </c>
      <c r="H95" s="5">
        <v>-1.58632</v>
      </c>
      <c r="I95" s="5">
        <v>1</v>
      </c>
      <c r="L95" s="2" t="s">
        <v>172</v>
      </c>
      <c r="M95" s="2">
        <v>-2.2174999999999998</v>
      </c>
    </row>
    <row r="96" spans="1:13" x14ac:dyDescent="0.2">
      <c r="A96" s="5" t="s">
        <v>162</v>
      </c>
      <c r="B96" s="5" t="s">
        <v>3066</v>
      </c>
      <c r="C96" s="5" t="s">
        <v>3015</v>
      </c>
      <c r="D96" s="5" t="s">
        <v>1836</v>
      </c>
      <c r="E96" s="5" t="s">
        <v>1837</v>
      </c>
      <c r="F96" s="5">
        <v>4.4525699999999997</v>
      </c>
      <c r="G96" s="5">
        <v>10.7476</v>
      </c>
      <c r="H96" s="5">
        <v>1.2713000000000001</v>
      </c>
      <c r="I96" s="5">
        <v>1</v>
      </c>
      <c r="L96" s="2" t="s">
        <v>174</v>
      </c>
      <c r="M96" s="2">
        <v>-1.0662100000000001</v>
      </c>
    </row>
    <row r="97" spans="1:13" x14ac:dyDescent="0.2">
      <c r="A97" s="5" t="s">
        <v>163</v>
      </c>
      <c r="B97" s="5" t="s">
        <v>3015</v>
      </c>
      <c r="C97" s="5" t="s">
        <v>1922</v>
      </c>
      <c r="D97" s="5" t="s">
        <v>1836</v>
      </c>
      <c r="E97" s="5" t="s">
        <v>1837</v>
      </c>
      <c r="F97" s="5">
        <v>13.3531</v>
      </c>
      <c r="G97" s="5">
        <v>27.1234</v>
      </c>
      <c r="H97" s="5">
        <v>1.0223599999999999</v>
      </c>
      <c r="I97" s="5">
        <v>1</v>
      </c>
      <c r="L97" s="2" t="s">
        <v>176</v>
      </c>
      <c r="M97" s="2">
        <v>-1.54555</v>
      </c>
    </row>
    <row r="98" spans="1:13" x14ac:dyDescent="0.2">
      <c r="A98" s="5" t="s">
        <v>166</v>
      </c>
      <c r="B98" s="5" t="s">
        <v>3045</v>
      </c>
      <c r="C98" s="5" t="s">
        <v>1923</v>
      </c>
      <c r="D98" s="5" t="s">
        <v>1836</v>
      </c>
      <c r="E98" s="5" t="s">
        <v>1837</v>
      </c>
      <c r="F98" s="5">
        <v>3.1176300000000001</v>
      </c>
      <c r="G98" s="5">
        <v>7.0826399999999996</v>
      </c>
      <c r="H98" s="5">
        <v>1.18384</v>
      </c>
      <c r="I98" s="5">
        <v>1</v>
      </c>
      <c r="L98" s="2" t="s">
        <v>177</v>
      </c>
      <c r="M98" s="2">
        <v>-1.5861799999999999</v>
      </c>
    </row>
    <row r="99" spans="1:13" x14ac:dyDescent="0.2">
      <c r="A99" s="5" t="s">
        <v>167</v>
      </c>
      <c r="B99" s="5" t="s">
        <v>3067</v>
      </c>
      <c r="C99" s="5" t="s">
        <v>1924</v>
      </c>
      <c r="D99" s="5" t="s">
        <v>1836</v>
      </c>
      <c r="E99" s="5" t="s">
        <v>1837</v>
      </c>
      <c r="F99" s="5">
        <v>1.0370299999999999</v>
      </c>
      <c r="G99" s="5">
        <v>2.24438</v>
      </c>
      <c r="H99" s="5">
        <v>1.1138600000000001</v>
      </c>
      <c r="I99" s="5">
        <v>1</v>
      </c>
      <c r="L99" s="2" t="s">
        <v>178</v>
      </c>
      <c r="M99" s="2">
        <v>-1.2555099999999999</v>
      </c>
    </row>
    <row r="100" spans="1:13" x14ac:dyDescent="0.2">
      <c r="A100" s="5" t="s">
        <v>168</v>
      </c>
      <c r="B100" s="5" t="s">
        <v>3015</v>
      </c>
      <c r="C100" s="5" t="s">
        <v>1862</v>
      </c>
      <c r="D100" s="5" t="s">
        <v>1836</v>
      </c>
      <c r="E100" s="5" t="s">
        <v>1837</v>
      </c>
      <c r="F100" s="5">
        <v>7.5447199999999999</v>
      </c>
      <c r="G100" s="5">
        <v>3.5121000000000002</v>
      </c>
      <c r="H100" s="5">
        <v>-1.1031299999999999</v>
      </c>
      <c r="I100" s="5">
        <v>1</v>
      </c>
      <c r="L100" s="2" t="s">
        <v>179</v>
      </c>
      <c r="M100" s="2">
        <v>2.6911299999999998</v>
      </c>
    </row>
    <row r="101" spans="1:13" x14ac:dyDescent="0.2">
      <c r="A101" s="5" t="s">
        <v>169</v>
      </c>
      <c r="B101" s="5" t="s">
        <v>3068</v>
      </c>
      <c r="C101" s="5" t="s">
        <v>3015</v>
      </c>
      <c r="D101" s="5" t="s">
        <v>1836</v>
      </c>
      <c r="E101" s="5" t="s">
        <v>1837</v>
      </c>
      <c r="F101" s="5">
        <v>9.5347799999999996</v>
      </c>
      <c r="G101" s="5">
        <v>4.1205400000000001</v>
      </c>
      <c r="H101" s="5">
        <v>-1.2103699999999999</v>
      </c>
      <c r="I101" s="5">
        <v>1</v>
      </c>
      <c r="L101" s="2" t="s">
        <v>180</v>
      </c>
      <c r="M101" s="2">
        <v>-1.1176299999999999</v>
      </c>
    </row>
    <row r="102" spans="1:13" x14ac:dyDescent="0.2">
      <c r="A102" s="5" t="s">
        <v>172</v>
      </c>
      <c r="B102" s="5" t="s">
        <v>3069</v>
      </c>
      <c r="C102" s="5" t="s">
        <v>1847</v>
      </c>
      <c r="D102" s="5" t="s">
        <v>1836</v>
      </c>
      <c r="E102" s="5" t="s">
        <v>1837</v>
      </c>
      <c r="F102" s="5">
        <v>2.29921</v>
      </c>
      <c r="G102" s="5">
        <v>0.49436099999999999</v>
      </c>
      <c r="H102" s="5">
        <v>-2.2174999999999998</v>
      </c>
      <c r="I102" s="5">
        <v>1</v>
      </c>
      <c r="L102" s="2" t="s">
        <v>181</v>
      </c>
      <c r="M102" s="2">
        <v>-2.81603</v>
      </c>
    </row>
    <row r="103" spans="1:13" x14ac:dyDescent="0.2">
      <c r="A103" s="5" t="s">
        <v>174</v>
      </c>
      <c r="B103" s="5" t="s">
        <v>3070</v>
      </c>
      <c r="C103" s="5" t="s">
        <v>1925</v>
      </c>
      <c r="D103" s="5" t="s">
        <v>1836</v>
      </c>
      <c r="E103" s="5" t="s">
        <v>1837</v>
      </c>
      <c r="F103" s="5">
        <v>11.5449</v>
      </c>
      <c r="G103" s="5">
        <v>5.5135500000000004</v>
      </c>
      <c r="H103" s="5">
        <v>-1.0662100000000001</v>
      </c>
      <c r="I103" s="5">
        <v>1</v>
      </c>
      <c r="L103" s="2" t="s">
        <v>182</v>
      </c>
      <c r="M103" s="2">
        <v>-2.1131099999999998</v>
      </c>
    </row>
    <row r="104" spans="1:13" x14ac:dyDescent="0.2">
      <c r="A104" s="5" t="s">
        <v>176</v>
      </c>
      <c r="B104" s="5" t="s">
        <v>3071</v>
      </c>
      <c r="C104" s="5" t="s">
        <v>3015</v>
      </c>
      <c r="D104" s="5" t="s">
        <v>1836</v>
      </c>
      <c r="E104" s="5" t="s">
        <v>1837</v>
      </c>
      <c r="F104" s="5">
        <v>54.093699999999998</v>
      </c>
      <c r="G104" s="5">
        <v>18.5306</v>
      </c>
      <c r="H104" s="5">
        <v>-1.54555</v>
      </c>
      <c r="I104" s="5">
        <v>1</v>
      </c>
      <c r="L104" s="2" t="s">
        <v>183</v>
      </c>
      <c r="M104" s="2">
        <v>-1.0106200000000001</v>
      </c>
    </row>
    <row r="105" spans="1:13" x14ac:dyDescent="0.2">
      <c r="A105" s="5" t="s">
        <v>177</v>
      </c>
      <c r="B105" s="5" t="s">
        <v>3072</v>
      </c>
      <c r="C105" s="5" t="s">
        <v>1926</v>
      </c>
      <c r="D105" s="5" t="s">
        <v>1836</v>
      </c>
      <c r="E105" s="5" t="s">
        <v>1837</v>
      </c>
      <c r="F105" s="5">
        <v>10.1632</v>
      </c>
      <c r="G105" s="5">
        <v>3.3848799999999999</v>
      </c>
      <c r="H105" s="5">
        <v>-1.5861799999999999</v>
      </c>
      <c r="I105" s="5">
        <v>1</v>
      </c>
      <c r="L105" s="2" t="s">
        <v>184</v>
      </c>
      <c r="M105" s="2">
        <v>-1.5364</v>
      </c>
    </row>
    <row r="106" spans="1:13" x14ac:dyDescent="0.2">
      <c r="A106" s="5" t="s">
        <v>178</v>
      </c>
      <c r="B106" s="5" t="s">
        <v>3015</v>
      </c>
      <c r="C106" s="5" t="s">
        <v>1927</v>
      </c>
      <c r="D106" s="5" t="s">
        <v>1836</v>
      </c>
      <c r="E106" s="5" t="s">
        <v>1837</v>
      </c>
      <c r="F106" s="5">
        <v>1.3225899999999999</v>
      </c>
      <c r="G106" s="5">
        <v>0.55396199999999995</v>
      </c>
      <c r="H106" s="5">
        <v>-1.2555099999999999</v>
      </c>
      <c r="I106" s="5">
        <v>1</v>
      </c>
      <c r="L106" s="2" t="s">
        <v>185</v>
      </c>
      <c r="M106" s="2">
        <v>2.0984600000000002</v>
      </c>
    </row>
    <row r="107" spans="1:13" x14ac:dyDescent="0.2">
      <c r="A107" s="5" t="s">
        <v>179</v>
      </c>
      <c r="B107" s="5" t="s">
        <v>3073</v>
      </c>
      <c r="C107" s="5" t="s">
        <v>3015</v>
      </c>
      <c r="D107" s="5" t="s">
        <v>1836</v>
      </c>
      <c r="E107" s="5" t="s">
        <v>1837</v>
      </c>
      <c r="F107" s="5">
        <v>0.39915200000000001</v>
      </c>
      <c r="G107" s="5">
        <v>2.5778099999999999</v>
      </c>
      <c r="H107" s="5">
        <v>2.6911299999999998</v>
      </c>
      <c r="I107" s="5">
        <v>1</v>
      </c>
      <c r="L107" s="2" t="s">
        <v>186</v>
      </c>
      <c r="M107" s="2">
        <v>1.44946</v>
      </c>
    </row>
    <row r="108" spans="1:13" x14ac:dyDescent="0.2">
      <c r="A108" s="5" t="s">
        <v>180</v>
      </c>
      <c r="B108" s="5" t="s">
        <v>3015</v>
      </c>
      <c r="C108" s="5" t="s">
        <v>1862</v>
      </c>
      <c r="D108" s="5" t="s">
        <v>1836</v>
      </c>
      <c r="E108" s="5" t="s">
        <v>1837</v>
      </c>
      <c r="F108" s="5">
        <v>35.443800000000003</v>
      </c>
      <c r="G108" s="5">
        <v>16.334299999999999</v>
      </c>
      <c r="H108" s="5">
        <v>-1.1176299999999999</v>
      </c>
      <c r="I108" s="5">
        <v>1</v>
      </c>
      <c r="L108" s="2" t="s">
        <v>187</v>
      </c>
      <c r="M108" s="2">
        <v>-1.1364399999999999</v>
      </c>
    </row>
    <row r="109" spans="1:13" x14ac:dyDescent="0.2">
      <c r="A109" s="5" t="s">
        <v>181</v>
      </c>
      <c r="B109" s="5" t="s">
        <v>3037</v>
      </c>
      <c r="C109" s="5" t="s">
        <v>1866</v>
      </c>
      <c r="D109" s="5" t="s">
        <v>1836</v>
      </c>
      <c r="E109" s="5" t="s">
        <v>1837</v>
      </c>
      <c r="F109" s="5">
        <v>2.34788</v>
      </c>
      <c r="G109" s="5">
        <v>0.333399</v>
      </c>
      <c r="H109" s="5">
        <v>-2.81603</v>
      </c>
      <c r="I109" s="5">
        <v>1</v>
      </c>
      <c r="L109" s="2" t="s">
        <v>190</v>
      </c>
      <c r="M109" s="2">
        <v>-1.0171699999999999</v>
      </c>
    </row>
    <row r="110" spans="1:13" x14ac:dyDescent="0.2">
      <c r="A110" s="5" t="s">
        <v>182</v>
      </c>
      <c r="B110" s="5" t="s">
        <v>3047</v>
      </c>
      <c r="C110" s="5" t="s">
        <v>1928</v>
      </c>
      <c r="D110" s="5" t="s">
        <v>1836</v>
      </c>
      <c r="E110" s="5" t="s">
        <v>1837</v>
      </c>
      <c r="F110" s="5">
        <v>0.87856100000000004</v>
      </c>
      <c r="G110" s="5">
        <v>0.20307700000000001</v>
      </c>
      <c r="H110" s="5">
        <v>-2.1131099999999998</v>
      </c>
      <c r="I110" s="5">
        <v>1</v>
      </c>
      <c r="L110" s="2" t="s">
        <v>191</v>
      </c>
      <c r="M110" s="2">
        <v>-1.6310800000000001</v>
      </c>
    </row>
    <row r="111" spans="1:13" x14ac:dyDescent="0.2">
      <c r="A111" s="5" t="s">
        <v>183</v>
      </c>
      <c r="B111" s="5" t="s">
        <v>3015</v>
      </c>
      <c r="C111" s="5" t="s">
        <v>3015</v>
      </c>
      <c r="D111" s="5" t="s">
        <v>1836</v>
      </c>
      <c r="E111" s="5" t="s">
        <v>1837</v>
      </c>
      <c r="F111" s="5">
        <v>6.3486799999999999</v>
      </c>
      <c r="G111" s="5">
        <v>3.1510500000000001</v>
      </c>
      <c r="H111" s="5">
        <v>-1.0106200000000001</v>
      </c>
      <c r="I111" s="5">
        <v>1</v>
      </c>
      <c r="L111" s="2" t="s">
        <v>192</v>
      </c>
      <c r="M111" s="2">
        <v>-1.0449999999999999</v>
      </c>
    </row>
    <row r="112" spans="1:13" x14ac:dyDescent="0.2">
      <c r="A112" s="5" t="s">
        <v>184</v>
      </c>
      <c r="B112" s="5" t="s">
        <v>3074</v>
      </c>
      <c r="C112" s="5" t="s">
        <v>1929</v>
      </c>
      <c r="D112" s="5" t="s">
        <v>1836</v>
      </c>
      <c r="E112" s="5" t="s">
        <v>1837</v>
      </c>
      <c r="F112" s="5">
        <v>6.7115900000000002</v>
      </c>
      <c r="G112" s="5">
        <v>2.3137799999999999</v>
      </c>
      <c r="H112" s="5">
        <v>-1.5364</v>
      </c>
      <c r="I112" s="5">
        <v>1</v>
      </c>
      <c r="L112" s="2" t="s">
        <v>194</v>
      </c>
      <c r="M112" s="2">
        <v>1.2093700000000001</v>
      </c>
    </row>
    <row r="113" spans="1:13" x14ac:dyDescent="0.2">
      <c r="A113" s="5" t="s">
        <v>185</v>
      </c>
      <c r="B113" s="5" t="s">
        <v>3015</v>
      </c>
      <c r="C113" s="5" t="s">
        <v>1930</v>
      </c>
      <c r="D113" s="5" t="s">
        <v>1836</v>
      </c>
      <c r="E113" s="5" t="s">
        <v>1837</v>
      </c>
      <c r="F113" s="5">
        <v>0.27961999999999998</v>
      </c>
      <c r="G113" s="5">
        <v>1.1974800000000001</v>
      </c>
      <c r="H113" s="5">
        <v>2.0984600000000002</v>
      </c>
      <c r="I113" s="5">
        <v>1</v>
      </c>
      <c r="L113" s="2" t="s">
        <v>195</v>
      </c>
      <c r="M113" s="2">
        <v>2.3004600000000002</v>
      </c>
    </row>
    <row r="114" spans="1:13" x14ac:dyDescent="0.2">
      <c r="A114" s="5" t="s">
        <v>186</v>
      </c>
      <c r="B114" s="5" t="s">
        <v>3075</v>
      </c>
      <c r="C114" s="5" t="s">
        <v>1931</v>
      </c>
      <c r="D114" s="5" t="s">
        <v>1836</v>
      </c>
      <c r="E114" s="5" t="s">
        <v>1837</v>
      </c>
      <c r="F114" s="5">
        <v>0.72375800000000001</v>
      </c>
      <c r="G114" s="5">
        <v>1.9766300000000001</v>
      </c>
      <c r="H114" s="5">
        <v>1.44946</v>
      </c>
      <c r="I114" s="5">
        <v>1</v>
      </c>
      <c r="L114" s="2" t="s">
        <v>196</v>
      </c>
      <c r="M114" s="2">
        <v>-2.4274200000000001</v>
      </c>
    </row>
    <row r="115" spans="1:13" x14ac:dyDescent="0.2">
      <c r="A115" s="5" t="s">
        <v>187</v>
      </c>
      <c r="B115" s="5" t="s">
        <v>3076</v>
      </c>
      <c r="C115" s="5" t="s">
        <v>1844</v>
      </c>
      <c r="D115" s="5" t="s">
        <v>1836</v>
      </c>
      <c r="E115" s="5" t="s">
        <v>1837</v>
      </c>
      <c r="F115" s="5">
        <v>1.8475999999999999</v>
      </c>
      <c r="G115" s="5">
        <v>0.84043400000000001</v>
      </c>
      <c r="H115" s="5">
        <v>-1.1364399999999999</v>
      </c>
      <c r="I115" s="5">
        <v>1</v>
      </c>
      <c r="L115" s="2" t="s">
        <v>197</v>
      </c>
      <c r="M115" s="2">
        <v>1.21566</v>
      </c>
    </row>
    <row r="116" spans="1:13" x14ac:dyDescent="0.2">
      <c r="A116" s="5" t="s">
        <v>190</v>
      </c>
      <c r="B116" s="5" t="s">
        <v>3015</v>
      </c>
      <c r="C116" s="5" t="s">
        <v>3015</v>
      </c>
      <c r="D116" s="5" t="s">
        <v>1836</v>
      </c>
      <c r="E116" s="5" t="s">
        <v>1837</v>
      </c>
      <c r="F116" s="5">
        <v>8.6670700000000007</v>
      </c>
      <c r="G116" s="5">
        <v>4.2822500000000003</v>
      </c>
      <c r="H116" s="5">
        <v>-1.0171699999999999</v>
      </c>
      <c r="I116" s="5">
        <v>1</v>
      </c>
      <c r="L116" s="2" t="s">
        <v>198</v>
      </c>
      <c r="M116" s="2">
        <v>-1.36131</v>
      </c>
    </row>
    <row r="117" spans="1:13" x14ac:dyDescent="0.2">
      <c r="A117" s="5" t="s">
        <v>191</v>
      </c>
      <c r="B117" s="5" t="s">
        <v>3015</v>
      </c>
      <c r="C117" s="5" t="s">
        <v>3015</v>
      </c>
      <c r="D117" s="5" t="s">
        <v>1836</v>
      </c>
      <c r="E117" s="5" t="s">
        <v>1837</v>
      </c>
      <c r="F117" s="5">
        <v>1.44875</v>
      </c>
      <c r="G117" s="5">
        <v>0.46772399999999997</v>
      </c>
      <c r="H117" s="5">
        <v>-1.6310800000000001</v>
      </c>
      <c r="I117" s="5">
        <v>1</v>
      </c>
      <c r="L117" s="2" t="s">
        <v>199</v>
      </c>
      <c r="M117" s="2">
        <v>1.46319</v>
      </c>
    </row>
    <row r="118" spans="1:13" x14ac:dyDescent="0.2">
      <c r="A118" s="5" t="s">
        <v>192</v>
      </c>
      <c r="B118" s="5" t="s">
        <v>3045</v>
      </c>
      <c r="C118" s="5" t="s">
        <v>1932</v>
      </c>
      <c r="D118" s="5" t="s">
        <v>1836</v>
      </c>
      <c r="E118" s="5" t="s">
        <v>1837</v>
      </c>
      <c r="F118" s="5">
        <v>1.56504</v>
      </c>
      <c r="G118" s="5">
        <v>0.75849100000000003</v>
      </c>
      <c r="H118" s="5">
        <v>-1.0449999999999999</v>
      </c>
      <c r="I118" s="5">
        <v>1</v>
      </c>
      <c r="L118" s="2" t="s">
        <v>200</v>
      </c>
      <c r="M118" s="2">
        <v>1.0109999999999999</v>
      </c>
    </row>
    <row r="119" spans="1:13" x14ac:dyDescent="0.2">
      <c r="A119" s="5" t="s">
        <v>194</v>
      </c>
      <c r="B119" s="5" t="s">
        <v>3015</v>
      </c>
      <c r="C119" s="5" t="s">
        <v>1933</v>
      </c>
      <c r="D119" s="5" t="s">
        <v>1836</v>
      </c>
      <c r="E119" s="5" t="s">
        <v>1837</v>
      </c>
      <c r="F119" s="5">
        <v>0.89725999999999995</v>
      </c>
      <c r="G119" s="5">
        <v>2.0748000000000002</v>
      </c>
      <c r="H119" s="5">
        <v>1.2093700000000001</v>
      </c>
      <c r="I119" s="5">
        <v>1</v>
      </c>
      <c r="L119" s="2" t="s">
        <v>201</v>
      </c>
      <c r="M119" s="2">
        <v>-1.3940399999999999</v>
      </c>
    </row>
    <row r="120" spans="1:13" x14ac:dyDescent="0.2">
      <c r="A120" s="5" t="s">
        <v>195</v>
      </c>
      <c r="B120" s="5" t="s">
        <v>3015</v>
      </c>
      <c r="C120" s="5" t="s">
        <v>1847</v>
      </c>
      <c r="D120" s="5" t="s">
        <v>1836</v>
      </c>
      <c r="E120" s="5" t="s">
        <v>1837</v>
      </c>
      <c r="F120" s="5">
        <v>0.57696999999999998</v>
      </c>
      <c r="G120" s="5">
        <v>2.8422399999999999</v>
      </c>
      <c r="H120" s="5">
        <v>2.3004600000000002</v>
      </c>
      <c r="I120" s="5">
        <v>1</v>
      </c>
      <c r="L120" s="2" t="s">
        <v>202</v>
      </c>
      <c r="M120" s="2">
        <v>1.04758</v>
      </c>
    </row>
    <row r="121" spans="1:13" x14ac:dyDescent="0.2">
      <c r="A121" s="5" t="s">
        <v>196</v>
      </c>
      <c r="B121" s="5" t="s">
        <v>3077</v>
      </c>
      <c r="C121" s="5" t="s">
        <v>1934</v>
      </c>
      <c r="D121" s="5" t="s">
        <v>1836</v>
      </c>
      <c r="E121" s="5" t="s">
        <v>1837</v>
      </c>
      <c r="F121" s="5">
        <v>2.6640000000000001</v>
      </c>
      <c r="G121" s="5">
        <v>0.49523099999999998</v>
      </c>
      <c r="H121" s="5">
        <v>-2.4274200000000001</v>
      </c>
      <c r="I121" s="5">
        <v>1</v>
      </c>
      <c r="L121" s="2" t="s">
        <v>203</v>
      </c>
      <c r="M121" s="2">
        <v>-1.0102</v>
      </c>
    </row>
    <row r="122" spans="1:13" x14ac:dyDescent="0.2">
      <c r="A122" s="5" t="s">
        <v>197</v>
      </c>
      <c r="B122" s="5" t="s">
        <v>3078</v>
      </c>
      <c r="C122" s="5" t="s">
        <v>1935</v>
      </c>
      <c r="D122" s="5" t="s">
        <v>1836</v>
      </c>
      <c r="E122" s="5" t="s">
        <v>1837</v>
      </c>
      <c r="F122" s="5">
        <v>4.6795900000000001</v>
      </c>
      <c r="G122" s="5">
        <v>10.8682</v>
      </c>
      <c r="H122" s="5">
        <v>1.21566</v>
      </c>
      <c r="I122" s="5">
        <v>1</v>
      </c>
      <c r="L122" s="2" t="s">
        <v>204</v>
      </c>
      <c r="M122" s="2">
        <v>-1.1007899999999999</v>
      </c>
    </row>
    <row r="123" spans="1:13" x14ac:dyDescent="0.2">
      <c r="A123" s="5" t="s">
        <v>198</v>
      </c>
      <c r="B123" s="5" t="s">
        <v>3079</v>
      </c>
      <c r="C123" s="5" t="s">
        <v>1936</v>
      </c>
      <c r="D123" s="5" t="s">
        <v>1836</v>
      </c>
      <c r="E123" s="5" t="s">
        <v>1837</v>
      </c>
      <c r="F123" s="5">
        <v>8.0376100000000008</v>
      </c>
      <c r="G123" s="5">
        <v>3.1284700000000001</v>
      </c>
      <c r="H123" s="5">
        <v>-1.36131</v>
      </c>
      <c r="I123" s="5">
        <v>1</v>
      </c>
      <c r="L123" s="2" t="s">
        <v>206</v>
      </c>
      <c r="M123" s="2">
        <v>-1.6333299999999999</v>
      </c>
    </row>
    <row r="124" spans="1:13" x14ac:dyDescent="0.2">
      <c r="A124" s="5" t="s">
        <v>199</v>
      </c>
      <c r="B124" s="5" t="s">
        <v>3015</v>
      </c>
      <c r="C124" s="5" t="s">
        <v>3015</v>
      </c>
      <c r="D124" s="5" t="s">
        <v>1836</v>
      </c>
      <c r="E124" s="5" t="s">
        <v>1837</v>
      </c>
      <c r="F124" s="5">
        <v>2.2997200000000002</v>
      </c>
      <c r="G124" s="5">
        <v>6.3407099999999996</v>
      </c>
      <c r="H124" s="5">
        <v>1.46319</v>
      </c>
      <c r="I124" s="5">
        <v>1</v>
      </c>
      <c r="L124" s="2" t="s">
        <v>207</v>
      </c>
      <c r="M124" s="2">
        <v>3.14269</v>
      </c>
    </row>
    <row r="125" spans="1:13" x14ac:dyDescent="0.2">
      <c r="A125" s="5" t="s">
        <v>200</v>
      </c>
      <c r="B125" s="5" t="s">
        <v>3080</v>
      </c>
      <c r="C125" s="5" t="s">
        <v>1937</v>
      </c>
      <c r="D125" s="5" t="s">
        <v>1836</v>
      </c>
      <c r="E125" s="5" t="s">
        <v>1837</v>
      </c>
      <c r="F125" s="5">
        <v>0.47484399999999999</v>
      </c>
      <c r="G125" s="5">
        <v>0.95695600000000003</v>
      </c>
      <c r="H125" s="5">
        <v>1.0109999999999999</v>
      </c>
      <c r="I125" s="5">
        <v>1</v>
      </c>
      <c r="L125" s="2" t="s">
        <v>208</v>
      </c>
      <c r="M125" s="2">
        <v>1.28135</v>
      </c>
    </row>
    <row r="126" spans="1:13" x14ac:dyDescent="0.2">
      <c r="A126" s="5" t="s">
        <v>201</v>
      </c>
      <c r="B126" s="5" t="s">
        <v>3081</v>
      </c>
      <c r="C126" s="5" t="s">
        <v>1938</v>
      </c>
      <c r="D126" s="5" t="s">
        <v>1836</v>
      </c>
      <c r="E126" s="5" t="s">
        <v>1837</v>
      </c>
      <c r="F126" s="5">
        <v>3.15699</v>
      </c>
      <c r="G126" s="5">
        <v>1.20122</v>
      </c>
      <c r="H126" s="5">
        <v>-1.3940399999999999</v>
      </c>
      <c r="I126" s="5">
        <v>1</v>
      </c>
      <c r="L126" s="2" t="s">
        <v>211</v>
      </c>
      <c r="M126" s="2">
        <v>1.6277699999999999</v>
      </c>
    </row>
    <row r="127" spans="1:13" x14ac:dyDescent="0.2">
      <c r="A127" s="5" t="s">
        <v>202</v>
      </c>
      <c r="B127" s="5" t="s">
        <v>3082</v>
      </c>
      <c r="C127" s="5" t="s">
        <v>1939</v>
      </c>
      <c r="D127" s="5" t="s">
        <v>1836</v>
      </c>
      <c r="E127" s="5" t="s">
        <v>1837</v>
      </c>
      <c r="F127" s="5">
        <v>0.92893899999999996</v>
      </c>
      <c r="G127" s="5">
        <v>1.92018</v>
      </c>
      <c r="H127" s="5">
        <v>1.04758</v>
      </c>
      <c r="I127" s="5">
        <v>1</v>
      </c>
      <c r="L127" s="2" t="s">
        <v>212</v>
      </c>
      <c r="M127" s="2">
        <v>1.08256</v>
      </c>
    </row>
    <row r="128" spans="1:13" x14ac:dyDescent="0.2">
      <c r="A128" s="5" t="s">
        <v>203</v>
      </c>
      <c r="B128" s="5" t="s">
        <v>3015</v>
      </c>
      <c r="C128" s="5" t="s">
        <v>1940</v>
      </c>
      <c r="D128" s="5" t="s">
        <v>1836</v>
      </c>
      <c r="E128" s="5" t="s">
        <v>1837</v>
      </c>
      <c r="F128" s="5">
        <v>19.813400000000001</v>
      </c>
      <c r="G128" s="5">
        <v>9.8368800000000007</v>
      </c>
      <c r="H128" s="5">
        <v>-1.0102</v>
      </c>
      <c r="I128" s="5">
        <v>1</v>
      </c>
      <c r="L128" s="2" t="s">
        <v>213</v>
      </c>
      <c r="M128" s="2">
        <v>-1.01359</v>
      </c>
    </row>
    <row r="129" spans="1:13" x14ac:dyDescent="0.2">
      <c r="A129" s="5" t="s">
        <v>204</v>
      </c>
      <c r="B129" s="5" t="s">
        <v>3083</v>
      </c>
      <c r="C129" s="5" t="s">
        <v>1847</v>
      </c>
      <c r="D129" s="5" t="s">
        <v>1836</v>
      </c>
      <c r="E129" s="5" t="s">
        <v>1837</v>
      </c>
      <c r="F129" s="5">
        <v>5.8588399999999998</v>
      </c>
      <c r="G129" s="5">
        <v>2.7317499999999999</v>
      </c>
      <c r="H129" s="5">
        <v>-1.1007899999999999</v>
      </c>
      <c r="I129" s="5">
        <v>1</v>
      </c>
      <c r="L129" s="2" t="s">
        <v>214</v>
      </c>
      <c r="M129" s="2">
        <v>-1.2279500000000001</v>
      </c>
    </row>
    <row r="130" spans="1:13" x14ac:dyDescent="0.2">
      <c r="A130" s="5" t="s">
        <v>206</v>
      </c>
      <c r="B130" s="5" t="s">
        <v>3084</v>
      </c>
      <c r="C130" s="5" t="s">
        <v>1941</v>
      </c>
      <c r="D130" s="5" t="s">
        <v>1836</v>
      </c>
      <c r="E130" s="5" t="s">
        <v>1837</v>
      </c>
      <c r="F130" s="5">
        <v>4.0017699999999996</v>
      </c>
      <c r="G130" s="5">
        <v>1.2899400000000001</v>
      </c>
      <c r="H130" s="5">
        <v>-1.6333299999999999</v>
      </c>
      <c r="I130" s="5">
        <v>1</v>
      </c>
      <c r="L130" s="2" t="s">
        <v>215</v>
      </c>
      <c r="M130" s="2">
        <v>3.3925200000000002</v>
      </c>
    </row>
    <row r="131" spans="1:13" x14ac:dyDescent="0.2">
      <c r="A131" s="5" t="s">
        <v>207</v>
      </c>
      <c r="B131" s="5" t="s">
        <v>3085</v>
      </c>
      <c r="C131" s="5" t="s">
        <v>1942</v>
      </c>
      <c r="D131" s="5" t="s">
        <v>1836</v>
      </c>
      <c r="E131" s="5" t="s">
        <v>1837</v>
      </c>
      <c r="F131" s="5">
        <v>0.185561</v>
      </c>
      <c r="G131" s="5">
        <v>1.6388199999999999</v>
      </c>
      <c r="H131" s="5">
        <v>3.14269</v>
      </c>
      <c r="I131" s="5">
        <v>1</v>
      </c>
      <c r="L131" s="2" t="s">
        <v>222</v>
      </c>
      <c r="M131" s="2">
        <v>1.2303200000000001</v>
      </c>
    </row>
    <row r="132" spans="1:13" x14ac:dyDescent="0.2">
      <c r="A132" s="5" t="s">
        <v>208</v>
      </c>
      <c r="B132" s="5" t="s">
        <v>3015</v>
      </c>
      <c r="C132" s="5" t="s">
        <v>1943</v>
      </c>
      <c r="D132" s="5" t="s">
        <v>1836</v>
      </c>
      <c r="E132" s="5" t="s">
        <v>1837</v>
      </c>
      <c r="F132" s="5">
        <v>0.58876300000000004</v>
      </c>
      <c r="G132" s="5">
        <v>1.4310799999999999</v>
      </c>
      <c r="H132" s="5">
        <v>1.28135</v>
      </c>
      <c r="I132" s="5">
        <v>1</v>
      </c>
      <c r="L132" s="2" t="s">
        <v>223</v>
      </c>
      <c r="M132" s="2">
        <v>1.5891900000000001</v>
      </c>
    </row>
    <row r="133" spans="1:13" x14ac:dyDescent="0.2">
      <c r="A133" s="5" t="s">
        <v>211</v>
      </c>
      <c r="B133" s="5" t="s">
        <v>3086</v>
      </c>
      <c r="C133" s="5" t="s">
        <v>3015</v>
      </c>
      <c r="D133" s="5" t="s">
        <v>1836</v>
      </c>
      <c r="E133" s="5" t="s">
        <v>1837</v>
      </c>
      <c r="F133" s="5">
        <v>0.982734</v>
      </c>
      <c r="G133" s="5">
        <v>3.0369999999999999</v>
      </c>
      <c r="H133" s="5">
        <v>1.6277699999999999</v>
      </c>
      <c r="I133" s="5">
        <v>1</v>
      </c>
      <c r="L133" s="2" t="s">
        <v>225</v>
      </c>
      <c r="M133" s="2">
        <v>-2.6419899999999998</v>
      </c>
    </row>
    <row r="134" spans="1:13" x14ac:dyDescent="0.2">
      <c r="A134" s="5" t="s">
        <v>212</v>
      </c>
      <c r="B134" s="5" t="s">
        <v>3015</v>
      </c>
      <c r="C134" s="5" t="s">
        <v>1944</v>
      </c>
      <c r="D134" s="5" t="s">
        <v>1836</v>
      </c>
      <c r="E134" s="5" t="s">
        <v>1837</v>
      </c>
      <c r="F134" s="5">
        <v>964.51700000000005</v>
      </c>
      <c r="G134" s="5">
        <v>2042.64</v>
      </c>
      <c r="H134" s="5">
        <v>1.08256</v>
      </c>
      <c r="I134" s="5">
        <v>1</v>
      </c>
      <c r="L134" s="2" t="s">
        <v>226</v>
      </c>
      <c r="M134" s="2">
        <v>-1.6435500000000001</v>
      </c>
    </row>
    <row r="135" spans="1:13" x14ac:dyDescent="0.2">
      <c r="A135" s="5" t="s">
        <v>213</v>
      </c>
      <c r="B135" s="5" t="s">
        <v>3015</v>
      </c>
      <c r="C135" s="5" t="s">
        <v>1847</v>
      </c>
      <c r="D135" s="5" t="s">
        <v>1836</v>
      </c>
      <c r="E135" s="5" t="s">
        <v>1837</v>
      </c>
      <c r="F135" s="5">
        <v>4.1532200000000001</v>
      </c>
      <c r="G135" s="5">
        <v>2.05715</v>
      </c>
      <c r="H135" s="5">
        <v>-1.01359</v>
      </c>
      <c r="I135" s="5">
        <v>1</v>
      </c>
      <c r="L135" s="2" t="s">
        <v>230</v>
      </c>
      <c r="M135" s="2">
        <v>-1.6753499999999999</v>
      </c>
    </row>
    <row r="136" spans="1:13" x14ac:dyDescent="0.2">
      <c r="A136" s="5" t="s">
        <v>214</v>
      </c>
      <c r="B136" s="5" t="s">
        <v>3015</v>
      </c>
      <c r="C136" s="5" t="s">
        <v>1945</v>
      </c>
      <c r="D136" s="5" t="s">
        <v>1836</v>
      </c>
      <c r="E136" s="5" t="s">
        <v>1837</v>
      </c>
      <c r="F136" s="5">
        <v>4.7435600000000004</v>
      </c>
      <c r="G136" s="5">
        <v>2.0251399999999999</v>
      </c>
      <c r="H136" s="5">
        <v>-1.2279500000000001</v>
      </c>
      <c r="I136" s="5">
        <v>1</v>
      </c>
      <c r="L136" s="2" t="s">
        <v>231</v>
      </c>
      <c r="M136" s="2">
        <v>-2.1013899999999999</v>
      </c>
    </row>
    <row r="137" spans="1:13" x14ac:dyDescent="0.2">
      <c r="A137" s="5" t="s">
        <v>215</v>
      </c>
      <c r="B137" s="5" t="s">
        <v>3015</v>
      </c>
      <c r="C137" s="5" t="s">
        <v>1946</v>
      </c>
      <c r="D137" s="5" t="s">
        <v>1836</v>
      </c>
      <c r="E137" s="5" t="s">
        <v>1837</v>
      </c>
      <c r="F137" s="5">
        <v>0.103158</v>
      </c>
      <c r="G137" s="5">
        <v>1.08331</v>
      </c>
      <c r="H137" s="5">
        <v>3.3925200000000002</v>
      </c>
      <c r="I137" s="5">
        <v>1</v>
      </c>
      <c r="L137" s="2" t="s">
        <v>232</v>
      </c>
      <c r="M137" s="2">
        <v>-1.1168800000000001</v>
      </c>
    </row>
    <row r="138" spans="1:13" x14ac:dyDescent="0.2">
      <c r="A138" s="5" t="s">
        <v>219</v>
      </c>
      <c r="B138" s="5" t="s">
        <v>3015</v>
      </c>
      <c r="C138" s="5" t="s">
        <v>3015</v>
      </c>
      <c r="D138" s="5" t="s">
        <v>1836</v>
      </c>
      <c r="E138" s="5" t="s">
        <v>1837</v>
      </c>
      <c r="F138" s="5">
        <v>0.88197700000000001</v>
      </c>
      <c r="G138" s="5">
        <v>0</v>
      </c>
      <c r="H138" s="5" t="s">
        <v>3021</v>
      </c>
      <c r="I138" s="5" t="s">
        <v>3021</v>
      </c>
      <c r="L138" s="2" t="s">
        <v>233</v>
      </c>
      <c r="M138" s="2">
        <v>-3.48916</v>
      </c>
    </row>
    <row r="139" spans="1:13" x14ac:dyDescent="0.2">
      <c r="A139" s="5" t="s">
        <v>222</v>
      </c>
      <c r="B139" s="5" t="s">
        <v>3087</v>
      </c>
      <c r="C139" s="5" t="s">
        <v>1947</v>
      </c>
      <c r="D139" s="5" t="s">
        <v>1836</v>
      </c>
      <c r="E139" s="5" t="s">
        <v>1837</v>
      </c>
      <c r="F139" s="5">
        <v>0.48676599999999998</v>
      </c>
      <c r="G139" s="5">
        <v>1.14205</v>
      </c>
      <c r="H139" s="5">
        <v>1.2303200000000001</v>
      </c>
      <c r="I139" s="5">
        <v>1</v>
      </c>
      <c r="L139" s="2" t="s">
        <v>234</v>
      </c>
      <c r="M139" s="2">
        <v>-1.0286900000000001</v>
      </c>
    </row>
    <row r="140" spans="1:13" x14ac:dyDescent="0.2">
      <c r="A140" s="5" t="s">
        <v>223</v>
      </c>
      <c r="B140" s="5" t="s">
        <v>3015</v>
      </c>
      <c r="C140" s="5" t="s">
        <v>1880</v>
      </c>
      <c r="D140" s="5" t="s">
        <v>1836</v>
      </c>
      <c r="E140" s="5" t="s">
        <v>1837</v>
      </c>
      <c r="F140" s="5">
        <v>7.7205899999999996</v>
      </c>
      <c r="G140" s="5">
        <v>23.229800000000001</v>
      </c>
      <c r="H140" s="5">
        <v>1.5891900000000001</v>
      </c>
      <c r="I140" s="5">
        <v>1</v>
      </c>
      <c r="L140" s="2" t="s">
        <v>8</v>
      </c>
      <c r="M140" s="2">
        <v>-1.67567</v>
      </c>
    </row>
    <row r="141" spans="1:13" x14ac:dyDescent="0.2">
      <c r="A141" s="5" t="s">
        <v>224</v>
      </c>
      <c r="B141" s="5" t="s">
        <v>3015</v>
      </c>
      <c r="C141" s="5" t="s">
        <v>1948</v>
      </c>
      <c r="D141" s="5" t="s">
        <v>1836</v>
      </c>
      <c r="E141" s="5" t="s">
        <v>1837</v>
      </c>
      <c r="F141" s="5">
        <v>0</v>
      </c>
      <c r="G141" s="5">
        <v>1.20052</v>
      </c>
      <c r="H141" s="5" t="s">
        <v>3021</v>
      </c>
      <c r="I141" s="5" t="s">
        <v>3021</v>
      </c>
      <c r="L141" s="2" t="s">
        <v>236</v>
      </c>
      <c r="M141" s="2">
        <v>-1.6804600000000001</v>
      </c>
    </row>
    <row r="142" spans="1:13" x14ac:dyDescent="0.2">
      <c r="A142" s="5" t="s">
        <v>225</v>
      </c>
      <c r="B142" s="5" t="s">
        <v>3015</v>
      </c>
      <c r="C142" s="5" t="s">
        <v>3015</v>
      </c>
      <c r="D142" s="5" t="s">
        <v>1836</v>
      </c>
      <c r="E142" s="5" t="s">
        <v>1837</v>
      </c>
      <c r="F142" s="5">
        <v>3.1799300000000001</v>
      </c>
      <c r="G142" s="5">
        <v>0.50944800000000001</v>
      </c>
      <c r="H142" s="5">
        <v>-2.6419899999999998</v>
      </c>
      <c r="I142" s="5">
        <v>1</v>
      </c>
      <c r="L142" s="2" t="s">
        <v>238</v>
      </c>
      <c r="M142" s="2">
        <v>1.4814700000000001</v>
      </c>
    </row>
    <row r="143" spans="1:13" x14ac:dyDescent="0.2">
      <c r="A143" s="5" t="s">
        <v>226</v>
      </c>
      <c r="B143" s="5" t="s">
        <v>3088</v>
      </c>
      <c r="C143" s="5" t="s">
        <v>1949</v>
      </c>
      <c r="D143" s="5" t="s">
        <v>1836</v>
      </c>
      <c r="E143" s="5" t="s">
        <v>1837</v>
      </c>
      <c r="F143" s="5">
        <v>2.8717700000000002</v>
      </c>
      <c r="G143" s="5">
        <v>0.919157</v>
      </c>
      <c r="H143" s="5">
        <v>-1.6435500000000001</v>
      </c>
      <c r="I143" s="5">
        <v>1</v>
      </c>
      <c r="L143" s="2" t="s">
        <v>241</v>
      </c>
      <c r="M143" s="2">
        <v>-1.14255</v>
      </c>
    </row>
    <row r="144" spans="1:13" x14ac:dyDescent="0.2">
      <c r="A144" s="5" t="s">
        <v>228</v>
      </c>
      <c r="B144" s="5" t="s">
        <v>3089</v>
      </c>
      <c r="C144" s="5" t="s">
        <v>1950</v>
      </c>
      <c r="D144" s="5" t="s">
        <v>1836</v>
      </c>
      <c r="E144" s="5" t="s">
        <v>1837</v>
      </c>
      <c r="F144" s="5">
        <v>0.91518100000000002</v>
      </c>
      <c r="G144" s="5">
        <v>0</v>
      </c>
      <c r="H144" s="5" t="s">
        <v>3021</v>
      </c>
      <c r="I144" s="5" t="s">
        <v>3021</v>
      </c>
      <c r="L144" s="2" t="s">
        <v>243</v>
      </c>
      <c r="M144" s="2">
        <v>5.0884499999999999</v>
      </c>
    </row>
    <row r="145" spans="1:13" x14ac:dyDescent="0.2">
      <c r="A145" s="5" t="s">
        <v>230</v>
      </c>
      <c r="B145" s="5" t="s">
        <v>3090</v>
      </c>
      <c r="C145" s="5" t="s">
        <v>1951</v>
      </c>
      <c r="D145" s="5" t="s">
        <v>1836</v>
      </c>
      <c r="E145" s="5" t="s">
        <v>1837</v>
      </c>
      <c r="F145" s="5">
        <v>52.3384</v>
      </c>
      <c r="G145" s="5">
        <v>16.386700000000001</v>
      </c>
      <c r="H145" s="5">
        <v>-1.6753499999999999</v>
      </c>
      <c r="I145" s="5">
        <v>1</v>
      </c>
      <c r="L145" s="2" t="s">
        <v>245</v>
      </c>
      <c r="M145" s="2">
        <v>-1.03437</v>
      </c>
    </row>
    <row r="146" spans="1:13" x14ac:dyDescent="0.2">
      <c r="A146" s="5" t="s">
        <v>231</v>
      </c>
      <c r="B146" s="5" t="s">
        <v>3091</v>
      </c>
      <c r="C146" s="5" t="s">
        <v>3015</v>
      </c>
      <c r="D146" s="5" t="s">
        <v>1836</v>
      </c>
      <c r="E146" s="5" t="s">
        <v>1837</v>
      </c>
      <c r="F146" s="5">
        <v>2.6390799999999999</v>
      </c>
      <c r="G146" s="5">
        <v>0.61499300000000001</v>
      </c>
      <c r="H146" s="5">
        <v>-2.1013899999999999</v>
      </c>
      <c r="I146" s="5">
        <v>1</v>
      </c>
      <c r="L146" s="2" t="s">
        <v>246</v>
      </c>
      <c r="M146" s="2">
        <v>-1.2839400000000001</v>
      </c>
    </row>
    <row r="147" spans="1:13" x14ac:dyDescent="0.2">
      <c r="A147" s="5" t="s">
        <v>232</v>
      </c>
      <c r="B147" s="5" t="s">
        <v>3027</v>
      </c>
      <c r="C147" s="5" t="s">
        <v>1952</v>
      </c>
      <c r="D147" s="5" t="s">
        <v>1836</v>
      </c>
      <c r="E147" s="5" t="s">
        <v>1837</v>
      </c>
      <c r="F147" s="5">
        <v>18.391300000000001</v>
      </c>
      <c r="G147" s="5">
        <v>8.4800599999999999</v>
      </c>
      <c r="H147" s="5">
        <v>-1.1168800000000001</v>
      </c>
      <c r="I147" s="5">
        <v>1</v>
      </c>
      <c r="L147" s="2" t="s">
        <v>247</v>
      </c>
      <c r="M147" s="2">
        <v>-1.2333000000000001</v>
      </c>
    </row>
    <row r="148" spans="1:13" x14ac:dyDescent="0.2">
      <c r="A148" s="5" t="s">
        <v>233</v>
      </c>
      <c r="B148" s="5" t="s">
        <v>3092</v>
      </c>
      <c r="C148" s="5" t="s">
        <v>1953</v>
      </c>
      <c r="D148" s="5" t="s">
        <v>1836</v>
      </c>
      <c r="E148" s="5" t="s">
        <v>1837</v>
      </c>
      <c r="F148" s="5">
        <v>2.37799</v>
      </c>
      <c r="G148" s="5">
        <v>0.21177199999999999</v>
      </c>
      <c r="H148" s="5">
        <v>-3.48916</v>
      </c>
      <c r="I148" s="5">
        <v>1</v>
      </c>
      <c r="L148" s="2" t="s">
        <v>248</v>
      </c>
      <c r="M148" s="2">
        <v>-2.9604699999999999</v>
      </c>
    </row>
    <row r="149" spans="1:13" x14ac:dyDescent="0.2">
      <c r="A149" s="5" t="s">
        <v>234</v>
      </c>
      <c r="B149" s="5" t="s">
        <v>3093</v>
      </c>
      <c r="C149" s="5" t="s">
        <v>1954</v>
      </c>
      <c r="D149" s="5" t="s">
        <v>1836</v>
      </c>
      <c r="E149" s="5" t="s">
        <v>1837</v>
      </c>
      <c r="F149" s="5">
        <v>17.8552</v>
      </c>
      <c r="G149" s="5">
        <v>8.7517899999999997</v>
      </c>
      <c r="H149" s="5">
        <v>-1.0286900000000001</v>
      </c>
      <c r="I149" s="5">
        <v>1</v>
      </c>
      <c r="L149" s="2" t="s">
        <v>249</v>
      </c>
      <c r="M149" s="2">
        <v>-2.19069</v>
      </c>
    </row>
    <row r="150" spans="1:13" x14ac:dyDescent="0.2">
      <c r="A150" s="5" t="s">
        <v>8</v>
      </c>
      <c r="B150" s="5" t="s">
        <v>3015</v>
      </c>
      <c r="C150" s="5" t="s">
        <v>3015</v>
      </c>
      <c r="D150" s="5" t="s">
        <v>1836</v>
      </c>
      <c r="E150" s="5" t="s">
        <v>1837</v>
      </c>
      <c r="F150" s="5">
        <v>3.0423200000000001</v>
      </c>
      <c r="G150" s="5">
        <v>0.95230999999999999</v>
      </c>
      <c r="H150" s="5">
        <v>-1.67567</v>
      </c>
      <c r="I150" s="5">
        <v>1</v>
      </c>
      <c r="L150" s="2" t="s">
        <v>250</v>
      </c>
      <c r="M150" s="2">
        <v>-1.6254900000000001</v>
      </c>
    </row>
    <row r="151" spans="1:13" x14ac:dyDescent="0.2">
      <c r="A151" s="5" t="s">
        <v>236</v>
      </c>
      <c r="B151" s="5" t="s">
        <v>3094</v>
      </c>
      <c r="C151" s="5" t="s">
        <v>1955</v>
      </c>
      <c r="D151" s="5" t="s">
        <v>1836</v>
      </c>
      <c r="E151" s="5" t="s">
        <v>1837</v>
      </c>
      <c r="F151" s="5">
        <v>2.7602500000000001</v>
      </c>
      <c r="G151" s="5">
        <v>0.86114900000000005</v>
      </c>
      <c r="H151" s="5">
        <v>-1.6804600000000001</v>
      </c>
      <c r="I151" s="5">
        <v>1</v>
      </c>
      <c r="L151" s="2" t="s">
        <v>251</v>
      </c>
      <c r="M151" s="2">
        <v>-1.1444000000000001</v>
      </c>
    </row>
    <row r="152" spans="1:13" x14ac:dyDescent="0.2">
      <c r="A152" s="5" t="s">
        <v>238</v>
      </c>
      <c r="B152" s="5" t="s">
        <v>3095</v>
      </c>
      <c r="C152" s="5" t="s">
        <v>1956</v>
      </c>
      <c r="D152" s="5" t="s">
        <v>1836</v>
      </c>
      <c r="E152" s="5" t="s">
        <v>1837</v>
      </c>
      <c r="F152" s="5">
        <v>0.37081500000000001</v>
      </c>
      <c r="G152" s="5">
        <v>1.0354399999999999</v>
      </c>
      <c r="H152" s="5">
        <v>1.4814700000000001</v>
      </c>
      <c r="I152" s="5">
        <v>1</v>
      </c>
      <c r="L152" s="2" t="s">
        <v>252</v>
      </c>
      <c r="M152" s="2">
        <v>1.3304199999999999</v>
      </c>
    </row>
    <row r="153" spans="1:13" x14ac:dyDescent="0.2">
      <c r="A153" s="5" t="s">
        <v>241</v>
      </c>
      <c r="B153" s="5" t="s">
        <v>3015</v>
      </c>
      <c r="C153" s="5" t="s">
        <v>3015</v>
      </c>
      <c r="D153" s="5" t="s">
        <v>1836</v>
      </c>
      <c r="E153" s="5" t="s">
        <v>1837</v>
      </c>
      <c r="F153" s="5">
        <v>0.80547599999999997</v>
      </c>
      <c r="G153" s="5">
        <v>0.36484699999999998</v>
      </c>
      <c r="H153" s="5">
        <v>-1.14255</v>
      </c>
      <c r="I153" s="5">
        <v>1</v>
      </c>
      <c r="L153" s="2" t="s">
        <v>254</v>
      </c>
      <c r="M153" s="2">
        <v>1.2379100000000001</v>
      </c>
    </row>
    <row r="154" spans="1:13" x14ac:dyDescent="0.2">
      <c r="A154" s="5" t="s">
        <v>243</v>
      </c>
      <c r="B154" s="5" t="s">
        <v>3015</v>
      </c>
      <c r="C154" s="5" t="s">
        <v>1957</v>
      </c>
      <c r="D154" s="5" t="s">
        <v>1836</v>
      </c>
      <c r="E154" s="5" t="s">
        <v>1837</v>
      </c>
      <c r="F154" s="5">
        <v>0.45131300000000002</v>
      </c>
      <c r="G154" s="5">
        <v>15.3552</v>
      </c>
      <c r="H154" s="5">
        <v>5.0884499999999999</v>
      </c>
      <c r="I154" s="5">
        <v>1</v>
      </c>
      <c r="L154" s="2" t="s">
        <v>255</v>
      </c>
      <c r="M154" s="2">
        <v>-1.6061700000000001</v>
      </c>
    </row>
    <row r="155" spans="1:13" x14ac:dyDescent="0.2">
      <c r="A155" s="5" t="s">
        <v>245</v>
      </c>
      <c r="B155" s="5" t="s">
        <v>3015</v>
      </c>
      <c r="C155" s="5" t="s">
        <v>1958</v>
      </c>
      <c r="D155" s="5" t="s">
        <v>1836</v>
      </c>
      <c r="E155" s="5" t="s">
        <v>1837</v>
      </c>
      <c r="F155" s="5">
        <v>1.8548100000000001</v>
      </c>
      <c r="G155" s="5">
        <v>0.90556899999999996</v>
      </c>
      <c r="H155" s="5">
        <v>-1.03437</v>
      </c>
      <c r="I155" s="5">
        <v>1</v>
      </c>
      <c r="L155" s="2" t="s">
        <v>257</v>
      </c>
      <c r="M155" s="2">
        <v>1.9510799999999999</v>
      </c>
    </row>
    <row r="156" spans="1:13" x14ac:dyDescent="0.2">
      <c r="A156" s="5" t="s">
        <v>246</v>
      </c>
      <c r="B156" s="5" t="s">
        <v>3096</v>
      </c>
      <c r="C156" s="5" t="s">
        <v>1959</v>
      </c>
      <c r="D156" s="5" t="s">
        <v>1836</v>
      </c>
      <c r="E156" s="5" t="s">
        <v>1837</v>
      </c>
      <c r="F156" s="5">
        <v>1.0102100000000001</v>
      </c>
      <c r="G156" s="5">
        <v>0.41486699999999999</v>
      </c>
      <c r="H156" s="5">
        <v>-1.2839400000000001</v>
      </c>
      <c r="I156" s="5">
        <v>1</v>
      </c>
      <c r="L156" s="2" t="s">
        <v>261</v>
      </c>
      <c r="M156" s="2">
        <v>1.3411500000000001</v>
      </c>
    </row>
    <row r="157" spans="1:13" x14ac:dyDescent="0.2">
      <c r="A157" s="5" t="s">
        <v>247</v>
      </c>
      <c r="B157" s="5" t="s">
        <v>3031</v>
      </c>
      <c r="C157" s="5" t="s">
        <v>1960</v>
      </c>
      <c r="D157" s="5" t="s">
        <v>1836</v>
      </c>
      <c r="E157" s="5" t="s">
        <v>1837</v>
      </c>
      <c r="F157" s="5">
        <v>23.2804</v>
      </c>
      <c r="G157" s="5">
        <v>9.9021500000000007</v>
      </c>
      <c r="H157" s="5">
        <v>-1.2333000000000001</v>
      </c>
      <c r="I157" s="5">
        <v>1</v>
      </c>
      <c r="L157" s="2" t="s">
        <v>263</v>
      </c>
      <c r="M157" s="2">
        <v>-1.08342</v>
      </c>
    </row>
    <row r="158" spans="1:13" x14ac:dyDescent="0.2">
      <c r="A158" s="5" t="s">
        <v>248</v>
      </c>
      <c r="B158" s="5" t="s">
        <v>3015</v>
      </c>
      <c r="C158" s="5" t="s">
        <v>1862</v>
      </c>
      <c r="D158" s="5" t="s">
        <v>1836</v>
      </c>
      <c r="E158" s="5" t="s">
        <v>1837</v>
      </c>
      <c r="F158" s="5">
        <v>1.48085</v>
      </c>
      <c r="G158" s="5">
        <v>0.190247</v>
      </c>
      <c r="H158" s="5">
        <v>-2.9604699999999999</v>
      </c>
      <c r="I158" s="5">
        <v>1</v>
      </c>
      <c r="L158" s="2" t="s">
        <v>264</v>
      </c>
      <c r="M158" s="2">
        <v>-1.87426</v>
      </c>
    </row>
    <row r="159" spans="1:13" x14ac:dyDescent="0.2">
      <c r="A159" s="5" t="s">
        <v>249</v>
      </c>
      <c r="B159" s="5" t="s">
        <v>3097</v>
      </c>
      <c r="C159" s="5" t="s">
        <v>1961</v>
      </c>
      <c r="D159" s="5" t="s">
        <v>1836</v>
      </c>
      <c r="E159" s="5" t="s">
        <v>1837</v>
      </c>
      <c r="F159" s="5">
        <v>3.6669900000000002</v>
      </c>
      <c r="G159" s="5">
        <v>0.80324300000000004</v>
      </c>
      <c r="H159" s="5">
        <v>-2.19069</v>
      </c>
      <c r="I159" s="5">
        <v>1</v>
      </c>
      <c r="L159" s="2" t="s">
        <v>265</v>
      </c>
      <c r="M159" s="2">
        <v>-2.1200899999999998</v>
      </c>
    </row>
    <row r="160" spans="1:13" x14ac:dyDescent="0.2">
      <c r="A160" s="5" t="s">
        <v>250</v>
      </c>
      <c r="B160" s="5" t="s">
        <v>3098</v>
      </c>
      <c r="C160" s="5" t="s">
        <v>1962</v>
      </c>
      <c r="D160" s="5" t="s">
        <v>1836</v>
      </c>
      <c r="E160" s="5" t="s">
        <v>1837</v>
      </c>
      <c r="F160" s="5">
        <v>1.2837000000000001</v>
      </c>
      <c r="G160" s="5">
        <v>0.41604600000000003</v>
      </c>
      <c r="H160" s="5">
        <v>-1.6254900000000001</v>
      </c>
      <c r="I160" s="5">
        <v>1</v>
      </c>
      <c r="L160" s="2" t="s">
        <v>266</v>
      </c>
      <c r="M160" s="2">
        <v>4.3138699999999996</v>
      </c>
    </row>
    <row r="161" spans="1:13" x14ac:dyDescent="0.2">
      <c r="A161" s="5" t="s">
        <v>251</v>
      </c>
      <c r="B161" s="5" t="s">
        <v>3015</v>
      </c>
      <c r="C161" s="5" t="s">
        <v>1963</v>
      </c>
      <c r="D161" s="5" t="s">
        <v>1836</v>
      </c>
      <c r="E161" s="5" t="s">
        <v>1837</v>
      </c>
      <c r="F161" s="5">
        <v>10.2959</v>
      </c>
      <c r="G161" s="5">
        <v>4.6576399999999998</v>
      </c>
      <c r="H161" s="5">
        <v>-1.1444000000000001</v>
      </c>
      <c r="I161" s="5">
        <v>1</v>
      </c>
      <c r="L161" s="2" t="s">
        <v>268</v>
      </c>
      <c r="M161" s="2">
        <v>1.5127600000000001</v>
      </c>
    </row>
    <row r="162" spans="1:13" x14ac:dyDescent="0.2">
      <c r="A162" s="5" t="s">
        <v>252</v>
      </c>
      <c r="B162" s="5" t="s">
        <v>3099</v>
      </c>
      <c r="C162" s="5" t="s">
        <v>1964</v>
      </c>
      <c r="D162" s="5" t="s">
        <v>1836</v>
      </c>
      <c r="E162" s="5" t="s">
        <v>1837</v>
      </c>
      <c r="F162" s="5">
        <v>2.1866500000000002</v>
      </c>
      <c r="G162" s="5">
        <v>5.49892</v>
      </c>
      <c r="H162" s="5">
        <v>1.3304199999999999</v>
      </c>
      <c r="I162" s="5">
        <v>1</v>
      </c>
      <c r="L162" s="2" t="s">
        <v>269</v>
      </c>
      <c r="M162" s="2">
        <v>4.3479999999999999</v>
      </c>
    </row>
    <row r="163" spans="1:13" x14ac:dyDescent="0.2">
      <c r="A163" s="5" t="s">
        <v>254</v>
      </c>
      <c r="B163" s="5" t="s">
        <v>3089</v>
      </c>
      <c r="C163" s="5" t="s">
        <v>1847</v>
      </c>
      <c r="D163" s="5" t="s">
        <v>1836</v>
      </c>
      <c r="E163" s="5" t="s">
        <v>1837</v>
      </c>
      <c r="F163" s="5">
        <v>1.2150399999999999</v>
      </c>
      <c r="G163" s="5">
        <v>2.8657499999999998</v>
      </c>
      <c r="H163" s="5">
        <v>1.2379100000000001</v>
      </c>
      <c r="I163" s="5">
        <v>1</v>
      </c>
      <c r="L163" s="2" t="s">
        <v>270</v>
      </c>
      <c r="M163" s="2">
        <v>1.0427500000000001</v>
      </c>
    </row>
    <row r="164" spans="1:13" x14ac:dyDescent="0.2">
      <c r="A164" s="5" t="s">
        <v>255</v>
      </c>
      <c r="B164" s="5" t="s">
        <v>3081</v>
      </c>
      <c r="C164" s="5" t="s">
        <v>1965</v>
      </c>
      <c r="D164" s="5" t="s">
        <v>1836</v>
      </c>
      <c r="E164" s="5" t="s">
        <v>1837</v>
      </c>
      <c r="F164" s="5">
        <v>1.2719400000000001</v>
      </c>
      <c r="G164" s="5">
        <v>0.41779300000000003</v>
      </c>
      <c r="H164" s="5">
        <v>-1.6061700000000001</v>
      </c>
      <c r="I164" s="5">
        <v>1</v>
      </c>
      <c r="L164" s="2" t="s">
        <v>276</v>
      </c>
      <c r="M164" s="2">
        <v>-2.2205900000000001</v>
      </c>
    </row>
    <row r="165" spans="1:13" x14ac:dyDescent="0.2">
      <c r="A165" s="5" t="s">
        <v>257</v>
      </c>
      <c r="B165" s="5" t="s">
        <v>3100</v>
      </c>
      <c r="C165" s="5" t="s">
        <v>1966</v>
      </c>
      <c r="D165" s="5" t="s">
        <v>1836</v>
      </c>
      <c r="E165" s="5" t="s">
        <v>1837</v>
      </c>
      <c r="F165" s="5">
        <v>4.3836199999999996</v>
      </c>
      <c r="G165" s="5">
        <v>16.9499</v>
      </c>
      <c r="H165" s="5">
        <v>1.9510799999999999</v>
      </c>
      <c r="I165" s="5">
        <v>1</v>
      </c>
      <c r="L165" s="2" t="s">
        <v>277</v>
      </c>
      <c r="M165" s="2">
        <v>1.4287000000000001</v>
      </c>
    </row>
    <row r="166" spans="1:13" x14ac:dyDescent="0.2">
      <c r="A166" s="5" t="s">
        <v>261</v>
      </c>
      <c r="B166" s="5" t="s">
        <v>3015</v>
      </c>
      <c r="C166" s="5" t="s">
        <v>1967</v>
      </c>
      <c r="D166" s="5" t="s">
        <v>1836</v>
      </c>
      <c r="E166" s="5" t="s">
        <v>1837</v>
      </c>
      <c r="F166" s="5">
        <v>0.45937499999999998</v>
      </c>
      <c r="G166" s="5">
        <v>1.16384</v>
      </c>
      <c r="H166" s="5">
        <v>1.3411500000000001</v>
      </c>
      <c r="I166" s="5">
        <v>1</v>
      </c>
      <c r="L166" s="2" t="s">
        <v>278</v>
      </c>
      <c r="M166" s="2">
        <v>-1.3661300000000001</v>
      </c>
    </row>
    <row r="167" spans="1:13" x14ac:dyDescent="0.2">
      <c r="A167" s="5" t="s">
        <v>263</v>
      </c>
      <c r="B167" s="5" t="s">
        <v>3101</v>
      </c>
      <c r="C167" s="5" t="s">
        <v>1953</v>
      </c>
      <c r="D167" s="5" t="s">
        <v>1836</v>
      </c>
      <c r="E167" s="5" t="s">
        <v>1837</v>
      </c>
      <c r="F167" s="5">
        <v>9.9013500000000008</v>
      </c>
      <c r="G167" s="5">
        <v>4.6725399999999997</v>
      </c>
      <c r="H167" s="5">
        <v>-1.08342</v>
      </c>
      <c r="I167" s="5">
        <v>1</v>
      </c>
      <c r="L167" s="2" t="s">
        <v>279</v>
      </c>
      <c r="M167" s="2">
        <v>-2.6723400000000002</v>
      </c>
    </row>
    <row r="168" spans="1:13" x14ac:dyDescent="0.2">
      <c r="A168" s="5" t="s">
        <v>264</v>
      </c>
      <c r="B168" s="5" t="s">
        <v>3102</v>
      </c>
      <c r="C168" s="5" t="s">
        <v>1968</v>
      </c>
      <c r="D168" s="5" t="s">
        <v>1836</v>
      </c>
      <c r="E168" s="5" t="s">
        <v>1837</v>
      </c>
      <c r="F168" s="5">
        <v>1.15181</v>
      </c>
      <c r="G168" s="5">
        <v>0.31417600000000001</v>
      </c>
      <c r="H168" s="5">
        <v>-1.87426</v>
      </c>
      <c r="I168" s="5">
        <v>1</v>
      </c>
      <c r="L168" s="2" t="s">
        <v>280</v>
      </c>
      <c r="M168" s="2">
        <v>-1.89429</v>
      </c>
    </row>
    <row r="169" spans="1:13" x14ac:dyDescent="0.2">
      <c r="A169" s="5" t="s">
        <v>265</v>
      </c>
      <c r="B169" s="5" t="s">
        <v>3045</v>
      </c>
      <c r="C169" s="5" t="s">
        <v>1923</v>
      </c>
      <c r="D169" s="5" t="s">
        <v>1836</v>
      </c>
      <c r="E169" s="5" t="s">
        <v>1837</v>
      </c>
      <c r="F169" s="5">
        <v>1.00288</v>
      </c>
      <c r="G169" s="5">
        <v>0.23069400000000001</v>
      </c>
      <c r="H169" s="5">
        <v>-2.1200899999999998</v>
      </c>
      <c r="I169" s="5">
        <v>1</v>
      </c>
      <c r="L169" s="2" t="s">
        <v>282</v>
      </c>
      <c r="M169" s="2">
        <v>-1.89672</v>
      </c>
    </row>
    <row r="170" spans="1:13" x14ac:dyDescent="0.2">
      <c r="A170" s="5" t="s">
        <v>266</v>
      </c>
      <c r="B170" s="5" t="s">
        <v>3103</v>
      </c>
      <c r="C170" s="5" t="s">
        <v>3015</v>
      </c>
      <c r="D170" s="5" t="s">
        <v>1836</v>
      </c>
      <c r="E170" s="5" t="s">
        <v>1837</v>
      </c>
      <c r="F170" s="5">
        <v>1.0129300000000001</v>
      </c>
      <c r="G170" s="5">
        <v>20.145700000000001</v>
      </c>
      <c r="H170" s="5">
        <v>4.3138699999999996</v>
      </c>
      <c r="I170" s="5">
        <v>1</v>
      </c>
      <c r="L170" s="2" t="s">
        <v>283</v>
      </c>
      <c r="M170" s="2">
        <v>1.0143500000000001</v>
      </c>
    </row>
    <row r="171" spans="1:13" x14ac:dyDescent="0.2">
      <c r="A171" s="5" t="s">
        <v>268</v>
      </c>
      <c r="B171" s="5" t="s">
        <v>3104</v>
      </c>
      <c r="C171" s="5" t="s">
        <v>1969</v>
      </c>
      <c r="D171" s="5" t="s">
        <v>1836</v>
      </c>
      <c r="E171" s="5" t="s">
        <v>1837</v>
      </c>
      <c r="F171" s="5">
        <v>11.0479</v>
      </c>
      <c r="G171" s="5">
        <v>31.525700000000001</v>
      </c>
      <c r="H171" s="5">
        <v>1.5127600000000001</v>
      </c>
      <c r="I171" s="5">
        <v>1</v>
      </c>
      <c r="L171" s="2" t="s">
        <v>285</v>
      </c>
      <c r="M171" s="2">
        <v>-1.24722</v>
      </c>
    </row>
    <row r="172" spans="1:13" x14ac:dyDescent="0.2">
      <c r="A172" s="5" t="s">
        <v>269</v>
      </c>
      <c r="B172" s="5" t="s">
        <v>3015</v>
      </c>
      <c r="C172" s="5" t="s">
        <v>1970</v>
      </c>
      <c r="D172" s="5" t="s">
        <v>1836</v>
      </c>
      <c r="E172" s="5" t="s">
        <v>1837</v>
      </c>
      <c r="F172" s="5">
        <v>0.62646100000000005</v>
      </c>
      <c r="G172" s="5">
        <v>12.7577</v>
      </c>
      <c r="H172" s="5">
        <v>4.3479999999999999</v>
      </c>
      <c r="I172" s="5">
        <v>1</v>
      </c>
      <c r="L172" s="2" t="s">
        <v>286</v>
      </c>
      <c r="M172" s="2">
        <v>-1.3352200000000001</v>
      </c>
    </row>
    <row r="173" spans="1:13" x14ac:dyDescent="0.2">
      <c r="A173" s="5" t="s">
        <v>270</v>
      </c>
      <c r="B173" s="5" t="s">
        <v>3030</v>
      </c>
      <c r="C173" s="5" t="s">
        <v>1847</v>
      </c>
      <c r="D173" s="5" t="s">
        <v>1836</v>
      </c>
      <c r="E173" s="5" t="s">
        <v>1837</v>
      </c>
      <c r="F173" s="5">
        <v>1.2693399999999999</v>
      </c>
      <c r="G173" s="5">
        <v>2.61503</v>
      </c>
      <c r="H173" s="5">
        <v>1.0427500000000001</v>
      </c>
      <c r="I173" s="5">
        <v>1</v>
      </c>
      <c r="L173" s="2" t="s">
        <v>291</v>
      </c>
      <c r="M173" s="2">
        <v>-1.0777600000000001</v>
      </c>
    </row>
    <row r="174" spans="1:13" x14ac:dyDescent="0.2">
      <c r="A174" s="5" t="s">
        <v>276</v>
      </c>
      <c r="B174" s="5" t="s">
        <v>3081</v>
      </c>
      <c r="C174" s="5" t="s">
        <v>1847</v>
      </c>
      <c r="D174" s="5" t="s">
        <v>1836</v>
      </c>
      <c r="E174" s="5" t="s">
        <v>1837</v>
      </c>
      <c r="F174" s="5">
        <v>3.7075300000000002</v>
      </c>
      <c r="G174" s="5">
        <v>0.79546700000000004</v>
      </c>
      <c r="H174" s="5">
        <v>-2.2205900000000001</v>
      </c>
      <c r="I174" s="5">
        <v>1</v>
      </c>
      <c r="L174" s="2" t="s">
        <v>292</v>
      </c>
      <c r="M174" s="2">
        <v>-1.63748</v>
      </c>
    </row>
    <row r="175" spans="1:13" x14ac:dyDescent="0.2">
      <c r="A175" s="5" t="s">
        <v>277</v>
      </c>
      <c r="B175" s="5" t="s">
        <v>3015</v>
      </c>
      <c r="C175" s="5" t="s">
        <v>1847</v>
      </c>
      <c r="D175" s="5" t="s">
        <v>1836</v>
      </c>
      <c r="E175" s="5" t="s">
        <v>1837</v>
      </c>
      <c r="F175" s="5">
        <v>10.777100000000001</v>
      </c>
      <c r="G175" s="5">
        <v>29.012599999999999</v>
      </c>
      <c r="H175" s="5">
        <v>1.4287000000000001</v>
      </c>
      <c r="I175" s="5">
        <v>1</v>
      </c>
      <c r="L175" s="2" t="s">
        <v>294</v>
      </c>
      <c r="M175" s="2">
        <v>-1.4893400000000001</v>
      </c>
    </row>
    <row r="176" spans="1:13" x14ac:dyDescent="0.2">
      <c r="A176" s="5" t="s">
        <v>278</v>
      </c>
      <c r="B176" s="5" t="s">
        <v>3033</v>
      </c>
      <c r="C176" s="5" t="s">
        <v>1971</v>
      </c>
      <c r="D176" s="5" t="s">
        <v>1836</v>
      </c>
      <c r="E176" s="5" t="s">
        <v>1837</v>
      </c>
      <c r="F176" s="5">
        <v>16.901199999999999</v>
      </c>
      <c r="G176" s="5">
        <v>6.5565100000000003</v>
      </c>
      <c r="H176" s="5">
        <v>-1.3661300000000001</v>
      </c>
      <c r="I176" s="5">
        <v>1</v>
      </c>
      <c r="L176" s="2" t="s">
        <v>295</v>
      </c>
      <c r="M176" s="2">
        <v>-1.2614099999999999</v>
      </c>
    </row>
    <row r="177" spans="1:13" x14ac:dyDescent="0.2">
      <c r="A177" s="5" t="s">
        <v>279</v>
      </c>
      <c r="B177" s="5" t="s">
        <v>3015</v>
      </c>
      <c r="C177" s="5" t="s">
        <v>1972</v>
      </c>
      <c r="D177" s="5" t="s">
        <v>1836</v>
      </c>
      <c r="E177" s="5" t="s">
        <v>1837</v>
      </c>
      <c r="F177" s="5">
        <v>0.92411299999999996</v>
      </c>
      <c r="G177" s="5">
        <v>0.14496700000000001</v>
      </c>
      <c r="H177" s="5">
        <v>-2.6723400000000002</v>
      </c>
      <c r="I177" s="5">
        <v>1</v>
      </c>
      <c r="L177" s="2" t="s">
        <v>298</v>
      </c>
      <c r="M177" s="2">
        <v>1.7241</v>
      </c>
    </row>
    <row r="178" spans="1:13" x14ac:dyDescent="0.2">
      <c r="A178" s="5" t="s">
        <v>280</v>
      </c>
      <c r="B178" s="5" t="s">
        <v>3015</v>
      </c>
      <c r="C178" s="5" t="s">
        <v>1973</v>
      </c>
      <c r="D178" s="5" t="s">
        <v>1836</v>
      </c>
      <c r="E178" s="5" t="s">
        <v>1837</v>
      </c>
      <c r="F178" s="5">
        <v>1.0440799999999999</v>
      </c>
      <c r="G178" s="5">
        <v>0.28086299999999997</v>
      </c>
      <c r="H178" s="5">
        <v>-1.89429</v>
      </c>
      <c r="I178" s="5">
        <v>1</v>
      </c>
      <c r="L178" s="2" t="s">
        <v>300</v>
      </c>
      <c r="M178" s="2">
        <v>1.0965</v>
      </c>
    </row>
    <row r="179" spans="1:13" x14ac:dyDescent="0.2">
      <c r="A179" s="5" t="s">
        <v>282</v>
      </c>
      <c r="B179" s="5" t="s">
        <v>3105</v>
      </c>
      <c r="C179" s="5" t="s">
        <v>1974</v>
      </c>
      <c r="D179" s="5" t="s">
        <v>1836</v>
      </c>
      <c r="E179" s="5" t="s">
        <v>1837</v>
      </c>
      <c r="F179" s="5">
        <v>5.4650999999999996</v>
      </c>
      <c r="G179" s="5">
        <v>1.46767</v>
      </c>
      <c r="H179" s="5">
        <v>-1.89672</v>
      </c>
      <c r="I179" s="5">
        <v>1</v>
      </c>
      <c r="L179" s="2" t="s">
        <v>302</v>
      </c>
      <c r="M179" s="2">
        <v>3.2250200000000002</v>
      </c>
    </row>
    <row r="180" spans="1:13" x14ac:dyDescent="0.2">
      <c r="A180" s="5" t="s">
        <v>283</v>
      </c>
      <c r="B180" s="5" t="s">
        <v>3106</v>
      </c>
      <c r="C180" s="5" t="s">
        <v>1975</v>
      </c>
      <c r="D180" s="5" t="s">
        <v>1836</v>
      </c>
      <c r="E180" s="5" t="s">
        <v>1837</v>
      </c>
      <c r="F180" s="5">
        <v>938.846</v>
      </c>
      <c r="G180" s="5">
        <v>1896.46</v>
      </c>
      <c r="H180" s="5">
        <v>1.0143500000000001</v>
      </c>
      <c r="I180" s="5">
        <v>1</v>
      </c>
      <c r="L180" s="2" t="s">
        <v>303</v>
      </c>
      <c r="M180" s="2">
        <v>1.4575100000000001</v>
      </c>
    </row>
    <row r="181" spans="1:13" x14ac:dyDescent="0.2">
      <c r="A181" s="5" t="s">
        <v>285</v>
      </c>
      <c r="B181" s="5" t="s">
        <v>3015</v>
      </c>
      <c r="C181" s="5" t="s">
        <v>1976</v>
      </c>
      <c r="D181" s="5" t="s">
        <v>1836</v>
      </c>
      <c r="E181" s="5" t="s">
        <v>1837</v>
      </c>
      <c r="F181" s="5">
        <v>2.4778600000000002</v>
      </c>
      <c r="G181" s="5">
        <v>1.04382</v>
      </c>
      <c r="H181" s="5">
        <v>-1.24722</v>
      </c>
      <c r="I181" s="5">
        <v>1</v>
      </c>
      <c r="L181" s="2" t="s">
        <v>304</v>
      </c>
      <c r="M181" s="2">
        <v>1.70231</v>
      </c>
    </row>
    <row r="182" spans="1:13" x14ac:dyDescent="0.2">
      <c r="A182" s="5" t="s">
        <v>286</v>
      </c>
      <c r="B182" s="5" t="s">
        <v>3015</v>
      </c>
      <c r="C182" s="5" t="s">
        <v>3015</v>
      </c>
      <c r="D182" s="5" t="s">
        <v>1836</v>
      </c>
      <c r="E182" s="5" t="s">
        <v>1837</v>
      </c>
      <c r="F182" s="5">
        <v>23.9984</v>
      </c>
      <c r="G182" s="5">
        <v>9.5113299999999992</v>
      </c>
      <c r="H182" s="5">
        <v>-1.3352200000000001</v>
      </c>
      <c r="I182" s="5">
        <v>1</v>
      </c>
      <c r="L182" s="2" t="s">
        <v>306</v>
      </c>
      <c r="M182" s="2">
        <v>2.07843</v>
      </c>
    </row>
    <row r="183" spans="1:13" x14ac:dyDescent="0.2">
      <c r="A183" s="5" t="s">
        <v>291</v>
      </c>
      <c r="B183" s="5" t="s">
        <v>3026</v>
      </c>
      <c r="C183" s="5" t="s">
        <v>1977</v>
      </c>
      <c r="D183" s="5" t="s">
        <v>1836</v>
      </c>
      <c r="E183" s="5" t="s">
        <v>1837</v>
      </c>
      <c r="F183" s="5">
        <v>2.7786</v>
      </c>
      <c r="G183" s="5">
        <v>1.3164</v>
      </c>
      <c r="H183" s="5">
        <v>-1.0777600000000001</v>
      </c>
      <c r="I183" s="5">
        <v>1</v>
      </c>
      <c r="L183" s="2" t="s">
        <v>308</v>
      </c>
      <c r="M183" s="2">
        <v>-1.0684499999999999</v>
      </c>
    </row>
    <row r="184" spans="1:13" x14ac:dyDescent="0.2">
      <c r="A184" s="5" t="s">
        <v>292</v>
      </c>
      <c r="B184" s="5" t="s">
        <v>3107</v>
      </c>
      <c r="C184" s="5" t="s">
        <v>1978</v>
      </c>
      <c r="D184" s="5" t="s">
        <v>1836</v>
      </c>
      <c r="E184" s="5" t="s">
        <v>1837</v>
      </c>
      <c r="F184" s="5">
        <v>1.8429</v>
      </c>
      <c r="G184" s="5">
        <v>0.59233899999999995</v>
      </c>
      <c r="H184" s="5">
        <v>-1.63748</v>
      </c>
      <c r="I184" s="5">
        <v>1</v>
      </c>
      <c r="L184" s="2" t="s">
        <v>311</v>
      </c>
      <c r="M184" s="2">
        <v>1.60819</v>
      </c>
    </row>
    <row r="185" spans="1:13" x14ac:dyDescent="0.2">
      <c r="A185" s="5" t="s">
        <v>294</v>
      </c>
      <c r="B185" s="5" t="s">
        <v>3015</v>
      </c>
      <c r="C185" s="5" t="s">
        <v>1979</v>
      </c>
      <c r="D185" s="5" t="s">
        <v>1836</v>
      </c>
      <c r="E185" s="5" t="s">
        <v>1837</v>
      </c>
      <c r="F185" s="5">
        <v>2.8870399999999998</v>
      </c>
      <c r="G185" s="5">
        <v>1.0282899999999999</v>
      </c>
      <c r="H185" s="5">
        <v>-1.4893400000000001</v>
      </c>
      <c r="I185" s="5">
        <v>1</v>
      </c>
      <c r="L185" s="2" t="s">
        <v>313</v>
      </c>
      <c r="M185" s="2">
        <v>-1.4123399999999999</v>
      </c>
    </row>
    <row r="186" spans="1:13" x14ac:dyDescent="0.2">
      <c r="A186" s="5" t="s">
        <v>295</v>
      </c>
      <c r="B186" s="5" t="s">
        <v>3108</v>
      </c>
      <c r="C186" s="5" t="s">
        <v>1980</v>
      </c>
      <c r="D186" s="5" t="s">
        <v>1836</v>
      </c>
      <c r="E186" s="5" t="s">
        <v>1837</v>
      </c>
      <c r="F186" s="5">
        <v>1.4880599999999999</v>
      </c>
      <c r="G186" s="5">
        <v>0.62072400000000005</v>
      </c>
      <c r="H186" s="5">
        <v>-1.2614099999999999</v>
      </c>
      <c r="I186" s="5">
        <v>1</v>
      </c>
      <c r="L186" s="2" t="s">
        <v>314</v>
      </c>
      <c r="M186" s="2">
        <v>-2.1527400000000001</v>
      </c>
    </row>
    <row r="187" spans="1:13" x14ac:dyDescent="0.2">
      <c r="A187" s="5" t="s">
        <v>298</v>
      </c>
      <c r="B187" s="5" t="s">
        <v>3015</v>
      </c>
      <c r="C187" s="5" t="s">
        <v>1981</v>
      </c>
      <c r="D187" s="5" t="s">
        <v>1836</v>
      </c>
      <c r="E187" s="5" t="s">
        <v>1837</v>
      </c>
      <c r="F187" s="5">
        <v>0.56625999999999999</v>
      </c>
      <c r="G187" s="5">
        <v>1.87077</v>
      </c>
      <c r="H187" s="5">
        <v>1.7241</v>
      </c>
      <c r="I187" s="5">
        <v>1</v>
      </c>
      <c r="L187" s="2" t="s">
        <v>315</v>
      </c>
      <c r="M187" s="2">
        <v>1.6876899999999999</v>
      </c>
    </row>
    <row r="188" spans="1:13" x14ac:dyDescent="0.2">
      <c r="A188" s="5" t="s">
        <v>300</v>
      </c>
      <c r="B188" s="5" t="s">
        <v>3015</v>
      </c>
      <c r="C188" s="5" t="s">
        <v>1982</v>
      </c>
      <c r="D188" s="5" t="s">
        <v>1836</v>
      </c>
      <c r="E188" s="5" t="s">
        <v>1837</v>
      </c>
      <c r="F188" s="5">
        <v>2.54827</v>
      </c>
      <c r="G188" s="5">
        <v>5.4491100000000001</v>
      </c>
      <c r="H188" s="5">
        <v>1.0965</v>
      </c>
      <c r="I188" s="5">
        <v>1</v>
      </c>
      <c r="L188" s="2" t="s">
        <v>316</v>
      </c>
      <c r="M188" s="2">
        <v>-1.1930499999999999</v>
      </c>
    </row>
    <row r="189" spans="1:13" x14ac:dyDescent="0.2">
      <c r="A189" s="5" t="s">
        <v>302</v>
      </c>
      <c r="B189" s="5" t="s">
        <v>3109</v>
      </c>
      <c r="C189" s="5" t="s">
        <v>1983</v>
      </c>
      <c r="D189" s="5" t="s">
        <v>1836</v>
      </c>
      <c r="E189" s="5" t="s">
        <v>1837</v>
      </c>
      <c r="F189" s="5">
        <v>0.58928599999999998</v>
      </c>
      <c r="G189" s="5">
        <v>5.5100100000000003</v>
      </c>
      <c r="H189" s="5">
        <v>3.2250200000000002</v>
      </c>
      <c r="I189" s="5">
        <v>1</v>
      </c>
      <c r="L189" s="2" t="s">
        <v>317</v>
      </c>
      <c r="M189" s="2">
        <v>-1.14236</v>
      </c>
    </row>
    <row r="190" spans="1:13" x14ac:dyDescent="0.2">
      <c r="A190" s="5" t="s">
        <v>303</v>
      </c>
      <c r="B190" s="5" t="s">
        <v>3015</v>
      </c>
      <c r="C190" s="5" t="s">
        <v>1984</v>
      </c>
      <c r="D190" s="5" t="s">
        <v>1836</v>
      </c>
      <c r="E190" s="5" t="s">
        <v>1837</v>
      </c>
      <c r="F190" s="5">
        <v>2.23847</v>
      </c>
      <c r="G190" s="5">
        <v>6.1475999999999997</v>
      </c>
      <c r="H190" s="5">
        <v>1.4575100000000001</v>
      </c>
      <c r="I190" s="5">
        <v>1</v>
      </c>
      <c r="L190" s="2" t="s">
        <v>318</v>
      </c>
      <c r="M190" s="2">
        <v>1.03108</v>
      </c>
    </row>
    <row r="191" spans="1:13" x14ac:dyDescent="0.2">
      <c r="A191" s="5" t="s">
        <v>304</v>
      </c>
      <c r="B191" s="5" t="s">
        <v>3015</v>
      </c>
      <c r="C191" s="5" t="s">
        <v>1985</v>
      </c>
      <c r="D191" s="5" t="s">
        <v>1836</v>
      </c>
      <c r="E191" s="5" t="s">
        <v>1837</v>
      </c>
      <c r="F191" s="5">
        <v>35.8322</v>
      </c>
      <c r="G191" s="5">
        <v>116.60599999999999</v>
      </c>
      <c r="H191" s="5">
        <v>1.70231</v>
      </c>
      <c r="I191" s="5">
        <v>1</v>
      </c>
      <c r="L191" s="2" t="s">
        <v>320</v>
      </c>
      <c r="M191" s="2">
        <v>-1.3762099999999999</v>
      </c>
    </row>
    <row r="192" spans="1:13" x14ac:dyDescent="0.2">
      <c r="A192" s="5" t="s">
        <v>306</v>
      </c>
      <c r="B192" s="5" t="s">
        <v>3045</v>
      </c>
      <c r="C192" s="5" t="s">
        <v>1986</v>
      </c>
      <c r="D192" s="5" t="s">
        <v>1836</v>
      </c>
      <c r="E192" s="5" t="s">
        <v>1837</v>
      </c>
      <c r="F192" s="5">
        <v>13.856999999999999</v>
      </c>
      <c r="G192" s="5">
        <v>58.524700000000003</v>
      </c>
      <c r="H192" s="5">
        <v>2.07843</v>
      </c>
      <c r="I192" s="5">
        <v>1</v>
      </c>
      <c r="L192" s="2" t="s">
        <v>321</v>
      </c>
      <c r="M192" s="2">
        <v>1.7784</v>
      </c>
    </row>
    <row r="193" spans="1:13" x14ac:dyDescent="0.2">
      <c r="A193" s="5" t="s">
        <v>308</v>
      </c>
      <c r="B193" s="5" t="s">
        <v>3110</v>
      </c>
      <c r="C193" s="5" t="s">
        <v>1987</v>
      </c>
      <c r="D193" s="5" t="s">
        <v>1836</v>
      </c>
      <c r="E193" s="5" t="s">
        <v>1837</v>
      </c>
      <c r="F193" s="5">
        <v>4.1264099999999999</v>
      </c>
      <c r="G193" s="5">
        <v>1.9676</v>
      </c>
      <c r="H193" s="5">
        <v>-1.0684499999999999</v>
      </c>
      <c r="I193" s="5">
        <v>1</v>
      </c>
      <c r="L193" s="2" t="s">
        <v>322</v>
      </c>
      <c r="M193" s="2">
        <v>1.4032100000000001</v>
      </c>
    </row>
    <row r="194" spans="1:13" x14ac:dyDescent="0.2">
      <c r="A194" s="5" t="s">
        <v>311</v>
      </c>
      <c r="B194" s="5" t="s">
        <v>3111</v>
      </c>
      <c r="C194" s="5" t="s">
        <v>1988</v>
      </c>
      <c r="D194" s="5" t="s">
        <v>1836</v>
      </c>
      <c r="E194" s="5" t="s">
        <v>1837</v>
      </c>
      <c r="F194" s="5">
        <v>0.32039299999999998</v>
      </c>
      <c r="G194" s="5">
        <v>0.97678200000000004</v>
      </c>
      <c r="H194" s="5">
        <v>1.60819</v>
      </c>
      <c r="I194" s="5">
        <v>1</v>
      </c>
      <c r="L194" s="2" t="s">
        <v>323</v>
      </c>
      <c r="M194" s="2">
        <v>3.08101</v>
      </c>
    </row>
    <row r="195" spans="1:13" x14ac:dyDescent="0.2">
      <c r="A195" s="5" t="s">
        <v>313</v>
      </c>
      <c r="B195" s="5" t="s">
        <v>3030</v>
      </c>
      <c r="C195" s="5" t="s">
        <v>1989</v>
      </c>
      <c r="D195" s="5" t="s">
        <v>1836</v>
      </c>
      <c r="E195" s="5" t="s">
        <v>1837</v>
      </c>
      <c r="F195" s="5">
        <v>1.7499400000000001</v>
      </c>
      <c r="G195" s="5">
        <v>0.65745600000000004</v>
      </c>
      <c r="H195" s="5">
        <v>-1.4123399999999999</v>
      </c>
      <c r="I195" s="5">
        <v>1</v>
      </c>
      <c r="L195" s="2" t="s">
        <v>324</v>
      </c>
      <c r="M195" s="2">
        <v>2.3681000000000001</v>
      </c>
    </row>
    <row r="196" spans="1:13" x14ac:dyDescent="0.2">
      <c r="A196" s="5" t="s">
        <v>314</v>
      </c>
      <c r="B196" s="5" t="s">
        <v>3094</v>
      </c>
      <c r="C196" s="5" t="s">
        <v>1955</v>
      </c>
      <c r="D196" s="5" t="s">
        <v>1836</v>
      </c>
      <c r="E196" s="5" t="s">
        <v>1837</v>
      </c>
      <c r="F196" s="5">
        <v>1.49472</v>
      </c>
      <c r="G196" s="5">
        <v>0.33613900000000002</v>
      </c>
      <c r="H196" s="5">
        <v>-2.1527400000000001</v>
      </c>
      <c r="I196" s="5">
        <v>1</v>
      </c>
      <c r="L196" s="2" t="s">
        <v>326</v>
      </c>
      <c r="M196" s="2">
        <v>1.05525</v>
      </c>
    </row>
    <row r="197" spans="1:13" x14ac:dyDescent="0.2">
      <c r="A197" s="5" t="s">
        <v>315</v>
      </c>
      <c r="B197" s="5" t="s">
        <v>3015</v>
      </c>
      <c r="C197" s="5" t="s">
        <v>1990</v>
      </c>
      <c r="D197" s="5" t="s">
        <v>1836</v>
      </c>
      <c r="E197" s="5" t="s">
        <v>1837</v>
      </c>
      <c r="F197" s="5">
        <v>6.3260800000000001</v>
      </c>
      <c r="G197" s="5">
        <v>20.378900000000002</v>
      </c>
      <c r="H197" s="5">
        <v>1.6876899999999999</v>
      </c>
      <c r="I197" s="5">
        <v>1</v>
      </c>
      <c r="L197" s="2" t="s">
        <v>328</v>
      </c>
      <c r="M197" s="2">
        <v>1.3975</v>
      </c>
    </row>
    <row r="198" spans="1:13" x14ac:dyDescent="0.2">
      <c r="A198" s="5" t="s">
        <v>316</v>
      </c>
      <c r="B198" s="5" t="s">
        <v>3015</v>
      </c>
      <c r="C198" s="5" t="s">
        <v>1991</v>
      </c>
      <c r="D198" s="5" t="s">
        <v>1836</v>
      </c>
      <c r="E198" s="5" t="s">
        <v>1837</v>
      </c>
      <c r="F198" s="5">
        <v>1.40516</v>
      </c>
      <c r="G198" s="5">
        <v>0.61458599999999997</v>
      </c>
      <c r="H198" s="5">
        <v>-1.1930499999999999</v>
      </c>
      <c r="I198" s="5">
        <v>1</v>
      </c>
      <c r="L198" s="2" t="s">
        <v>329</v>
      </c>
      <c r="M198" s="2">
        <v>1.5764400000000001</v>
      </c>
    </row>
    <row r="199" spans="1:13" x14ac:dyDescent="0.2">
      <c r="A199" s="5" t="s">
        <v>317</v>
      </c>
      <c r="B199" s="5" t="s">
        <v>3112</v>
      </c>
      <c r="C199" s="5" t="s">
        <v>1992</v>
      </c>
      <c r="D199" s="5" t="s">
        <v>1836</v>
      </c>
      <c r="E199" s="5" t="s">
        <v>1837</v>
      </c>
      <c r="F199" s="5">
        <v>259.18</v>
      </c>
      <c r="G199" s="5">
        <v>117.413</v>
      </c>
      <c r="H199" s="5">
        <v>-1.14236</v>
      </c>
      <c r="I199" s="5">
        <v>1</v>
      </c>
      <c r="L199" s="2" t="s">
        <v>331</v>
      </c>
      <c r="M199" s="2">
        <v>1.6670199999999999</v>
      </c>
    </row>
    <row r="200" spans="1:13" x14ac:dyDescent="0.2">
      <c r="A200" s="5" t="s">
        <v>318</v>
      </c>
      <c r="B200" s="5" t="s">
        <v>3037</v>
      </c>
      <c r="C200" s="5" t="s">
        <v>1993</v>
      </c>
      <c r="D200" s="5" t="s">
        <v>1836</v>
      </c>
      <c r="E200" s="5" t="s">
        <v>1837</v>
      </c>
      <c r="F200" s="5">
        <v>1.56128</v>
      </c>
      <c r="G200" s="5">
        <v>3.19055</v>
      </c>
      <c r="H200" s="5">
        <v>1.03108</v>
      </c>
      <c r="I200" s="5">
        <v>1</v>
      </c>
      <c r="L200" s="2" t="s">
        <v>332</v>
      </c>
      <c r="M200" s="2">
        <v>-2.1911</v>
      </c>
    </row>
    <row r="201" spans="1:13" x14ac:dyDescent="0.2">
      <c r="A201" s="5" t="s">
        <v>320</v>
      </c>
      <c r="B201" s="5" t="s">
        <v>3113</v>
      </c>
      <c r="C201" s="5" t="s">
        <v>1994</v>
      </c>
      <c r="D201" s="5" t="s">
        <v>1836</v>
      </c>
      <c r="E201" s="5" t="s">
        <v>1837</v>
      </c>
      <c r="F201" s="5">
        <v>1.3244800000000001</v>
      </c>
      <c r="G201" s="5">
        <v>0.51022699999999999</v>
      </c>
      <c r="H201" s="5">
        <v>-1.3762099999999999</v>
      </c>
      <c r="I201" s="5">
        <v>1</v>
      </c>
      <c r="L201" s="2" t="s">
        <v>333</v>
      </c>
      <c r="M201" s="2">
        <v>-1.04091</v>
      </c>
    </row>
    <row r="202" spans="1:13" x14ac:dyDescent="0.2">
      <c r="A202" s="5" t="s">
        <v>321</v>
      </c>
      <c r="B202" s="5" t="s">
        <v>3114</v>
      </c>
      <c r="C202" s="5" t="s">
        <v>3015</v>
      </c>
      <c r="D202" s="5" t="s">
        <v>1836</v>
      </c>
      <c r="E202" s="5" t="s">
        <v>1837</v>
      </c>
      <c r="F202" s="5">
        <v>0.32389600000000002</v>
      </c>
      <c r="G202" s="5">
        <v>1.11111</v>
      </c>
      <c r="H202" s="5">
        <v>1.7784</v>
      </c>
      <c r="I202" s="5">
        <v>1</v>
      </c>
      <c r="L202" s="2" t="s">
        <v>334</v>
      </c>
      <c r="M202" s="2">
        <v>1.02766</v>
      </c>
    </row>
    <row r="203" spans="1:13" x14ac:dyDescent="0.2">
      <c r="A203" s="5" t="s">
        <v>322</v>
      </c>
      <c r="B203" s="5" t="s">
        <v>3015</v>
      </c>
      <c r="C203" s="5" t="s">
        <v>1995</v>
      </c>
      <c r="D203" s="5" t="s">
        <v>1836</v>
      </c>
      <c r="E203" s="5" t="s">
        <v>1837</v>
      </c>
      <c r="F203" s="5">
        <v>1.6164499999999999</v>
      </c>
      <c r="G203" s="5">
        <v>4.2753300000000003</v>
      </c>
      <c r="H203" s="5">
        <v>1.4032100000000001</v>
      </c>
      <c r="I203" s="5">
        <v>1</v>
      </c>
      <c r="L203" s="2" t="s">
        <v>335</v>
      </c>
      <c r="M203" s="2">
        <v>1.2378100000000001</v>
      </c>
    </row>
    <row r="204" spans="1:13" x14ac:dyDescent="0.2">
      <c r="A204" s="5" t="s">
        <v>323</v>
      </c>
      <c r="B204" s="5" t="s">
        <v>3049</v>
      </c>
      <c r="C204" s="5" t="s">
        <v>1847</v>
      </c>
      <c r="D204" s="5" t="s">
        <v>1836</v>
      </c>
      <c r="E204" s="5" t="s">
        <v>1837</v>
      </c>
      <c r="F204" s="5">
        <v>0.26123499999999999</v>
      </c>
      <c r="G204" s="5">
        <v>2.2105800000000002</v>
      </c>
      <c r="H204" s="5">
        <v>3.08101</v>
      </c>
      <c r="I204" s="5">
        <v>1</v>
      </c>
      <c r="L204" s="2" t="s">
        <v>337</v>
      </c>
      <c r="M204" s="2">
        <v>1.0898099999999999</v>
      </c>
    </row>
    <row r="205" spans="1:13" x14ac:dyDescent="0.2">
      <c r="A205" s="5" t="s">
        <v>324</v>
      </c>
      <c r="B205" s="5" t="s">
        <v>3049</v>
      </c>
      <c r="C205" s="5" t="s">
        <v>1847</v>
      </c>
      <c r="D205" s="5" t="s">
        <v>1836</v>
      </c>
      <c r="E205" s="5" t="s">
        <v>1837</v>
      </c>
      <c r="F205" s="5">
        <v>0.22845099999999999</v>
      </c>
      <c r="G205" s="5">
        <v>1.1794</v>
      </c>
      <c r="H205" s="5">
        <v>2.3681000000000001</v>
      </c>
      <c r="I205" s="5">
        <v>1</v>
      </c>
      <c r="L205" s="2" t="s">
        <v>342</v>
      </c>
      <c r="M205" s="2">
        <v>-1.64659</v>
      </c>
    </row>
    <row r="206" spans="1:13" x14ac:dyDescent="0.2">
      <c r="A206" s="5" t="s">
        <v>326</v>
      </c>
      <c r="B206" s="5" t="s">
        <v>3015</v>
      </c>
      <c r="C206" s="5" t="s">
        <v>1996</v>
      </c>
      <c r="D206" s="5" t="s">
        <v>1836</v>
      </c>
      <c r="E206" s="5" t="s">
        <v>1837</v>
      </c>
      <c r="F206" s="5">
        <v>5.6394900000000003</v>
      </c>
      <c r="G206" s="5">
        <v>11.7193</v>
      </c>
      <c r="H206" s="5">
        <v>1.05525</v>
      </c>
      <c r="I206" s="5">
        <v>1</v>
      </c>
      <c r="L206" s="2" t="s">
        <v>345</v>
      </c>
      <c r="M206" s="2">
        <v>2.4168099999999999</v>
      </c>
    </row>
    <row r="207" spans="1:13" x14ac:dyDescent="0.2">
      <c r="A207" s="5" t="s">
        <v>328</v>
      </c>
      <c r="B207" s="5" t="s">
        <v>3115</v>
      </c>
      <c r="C207" s="5" t="s">
        <v>1997</v>
      </c>
      <c r="D207" s="5" t="s">
        <v>1836</v>
      </c>
      <c r="E207" s="5" t="s">
        <v>1837</v>
      </c>
      <c r="F207" s="5">
        <v>0.91765699999999994</v>
      </c>
      <c r="G207" s="5">
        <v>2.4175300000000002</v>
      </c>
      <c r="H207" s="5">
        <v>1.3975</v>
      </c>
      <c r="I207" s="5">
        <v>1</v>
      </c>
      <c r="L207" s="2" t="s">
        <v>346</v>
      </c>
      <c r="M207" s="2">
        <v>-1.05714</v>
      </c>
    </row>
    <row r="208" spans="1:13" x14ac:dyDescent="0.2">
      <c r="A208" s="5" t="s">
        <v>329</v>
      </c>
      <c r="B208" s="5" t="s">
        <v>3116</v>
      </c>
      <c r="C208" s="5" t="s">
        <v>1998</v>
      </c>
      <c r="D208" s="5" t="s">
        <v>1836</v>
      </c>
      <c r="E208" s="5" t="s">
        <v>1837</v>
      </c>
      <c r="F208" s="5">
        <v>1.83968</v>
      </c>
      <c r="G208" s="5">
        <v>5.48651</v>
      </c>
      <c r="H208" s="5">
        <v>1.5764400000000001</v>
      </c>
      <c r="I208" s="5">
        <v>1</v>
      </c>
      <c r="L208" s="2" t="s">
        <v>347</v>
      </c>
      <c r="M208" s="2">
        <v>1.21496</v>
      </c>
    </row>
    <row r="209" spans="1:13" x14ac:dyDescent="0.2">
      <c r="A209" s="5" t="s">
        <v>330</v>
      </c>
      <c r="B209" s="5" t="s">
        <v>3045</v>
      </c>
      <c r="C209" s="5" t="s">
        <v>1847</v>
      </c>
      <c r="D209" s="5" t="s">
        <v>1836</v>
      </c>
      <c r="E209" s="5" t="s">
        <v>1837</v>
      </c>
      <c r="F209" s="5">
        <v>0</v>
      </c>
      <c r="G209" s="5">
        <v>1.5365899999999999</v>
      </c>
      <c r="H209" s="5" t="s">
        <v>3021</v>
      </c>
      <c r="I209" s="5" t="s">
        <v>3021</v>
      </c>
      <c r="L209" s="2" t="s">
        <v>348</v>
      </c>
      <c r="M209" s="2">
        <v>-1.08284</v>
      </c>
    </row>
    <row r="210" spans="1:13" x14ac:dyDescent="0.2">
      <c r="A210" s="5" t="s">
        <v>331</v>
      </c>
      <c r="B210" s="5" t="s">
        <v>3117</v>
      </c>
      <c r="C210" s="5" t="s">
        <v>1999</v>
      </c>
      <c r="D210" s="5" t="s">
        <v>1836</v>
      </c>
      <c r="E210" s="5" t="s">
        <v>1837</v>
      </c>
      <c r="F210" s="5">
        <v>15.4533</v>
      </c>
      <c r="G210" s="5">
        <v>49.073399999999999</v>
      </c>
      <c r="H210" s="5">
        <v>1.6670199999999999</v>
      </c>
      <c r="I210" s="5">
        <v>1</v>
      </c>
      <c r="L210" s="2" t="s">
        <v>349</v>
      </c>
      <c r="M210" s="2">
        <v>1.1645399999999999</v>
      </c>
    </row>
    <row r="211" spans="1:13" x14ac:dyDescent="0.2">
      <c r="A211" s="5" t="s">
        <v>332</v>
      </c>
      <c r="B211" s="5" t="s">
        <v>3118</v>
      </c>
      <c r="C211" s="5" t="s">
        <v>3015</v>
      </c>
      <c r="D211" s="5" t="s">
        <v>1836</v>
      </c>
      <c r="E211" s="5" t="s">
        <v>1837</v>
      </c>
      <c r="F211" s="5">
        <v>9.1706900000000005</v>
      </c>
      <c r="G211" s="5">
        <v>2.0082300000000002</v>
      </c>
      <c r="H211" s="5">
        <v>-2.1911</v>
      </c>
      <c r="I211" s="5">
        <v>1</v>
      </c>
      <c r="L211" s="2" t="s">
        <v>353</v>
      </c>
      <c r="M211" s="2">
        <v>1.3982600000000001</v>
      </c>
    </row>
    <row r="212" spans="1:13" x14ac:dyDescent="0.2">
      <c r="A212" s="5" t="s">
        <v>333</v>
      </c>
      <c r="B212" s="5" t="s">
        <v>3119</v>
      </c>
      <c r="C212" s="5" t="s">
        <v>2000</v>
      </c>
      <c r="D212" s="5" t="s">
        <v>1836</v>
      </c>
      <c r="E212" s="5" t="s">
        <v>1837</v>
      </c>
      <c r="F212" s="5">
        <v>12.7761</v>
      </c>
      <c r="G212" s="5">
        <v>6.2094500000000004</v>
      </c>
      <c r="H212" s="5">
        <v>-1.04091</v>
      </c>
      <c r="I212" s="5">
        <v>1</v>
      </c>
      <c r="L212" s="2" t="s">
        <v>354</v>
      </c>
      <c r="M212" s="2">
        <v>-1.1618599999999999</v>
      </c>
    </row>
    <row r="213" spans="1:13" x14ac:dyDescent="0.2">
      <c r="A213" s="5" t="s">
        <v>334</v>
      </c>
      <c r="B213" s="5" t="s">
        <v>3015</v>
      </c>
      <c r="C213" s="5" t="s">
        <v>2001</v>
      </c>
      <c r="D213" s="5" t="s">
        <v>1836</v>
      </c>
      <c r="E213" s="5" t="s">
        <v>1837</v>
      </c>
      <c r="F213" s="5">
        <v>1.6221699999999999</v>
      </c>
      <c r="G213" s="5">
        <v>3.3071299999999999</v>
      </c>
      <c r="H213" s="5">
        <v>1.02766</v>
      </c>
      <c r="I213" s="5">
        <v>1</v>
      </c>
      <c r="L213" s="2" t="s">
        <v>358</v>
      </c>
      <c r="M213" s="2">
        <v>1.1762900000000001</v>
      </c>
    </row>
    <row r="214" spans="1:13" x14ac:dyDescent="0.2">
      <c r="A214" s="5" t="s">
        <v>335</v>
      </c>
      <c r="B214" s="5" t="s">
        <v>3015</v>
      </c>
      <c r="C214" s="5" t="s">
        <v>2002</v>
      </c>
      <c r="D214" s="5" t="s">
        <v>1836</v>
      </c>
      <c r="E214" s="5" t="s">
        <v>1837</v>
      </c>
      <c r="F214" s="5">
        <v>0.92621600000000004</v>
      </c>
      <c r="G214" s="5">
        <v>2.1843900000000001</v>
      </c>
      <c r="H214" s="5">
        <v>1.2378100000000001</v>
      </c>
      <c r="I214" s="5">
        <v>1</v>
      </c>
      <c r="L214" s="2" t="s">
        <v>360</v>
      </c>
      <c r="M214" s="2">
        <v>3.9649399999999999</v>
      </c>
    </row>
    <row r="215" spans="1:13" x14ac:dyDescent="0.2">
      <c r="A215" s="5" t="s">
        <v>337</v>
      </c>
      <c r="B215" s="5" t="s">
        <v>3120</v>
      </c>
      <c r="C215" s="5" t="s">
        <v>2003</v>
      </c>
      <c r="D215" s="5" t="s">
        <v>1836</v>
      </c>
      <c r="E215" s="5" t="s">
        <v>1837</v>
      </c>
      <c r="F215" s="5">
        <v>0.83150299999999999</v>
      </c>
      <c r="G215" s="5">
        <v>1.7698199999999999</v>
      </c>
      <c r="H215" s="5">
        <v>1.0898099999999999</v>
      </c>
      <c r="I215" s="5">
        <v>1</v>
      </c>
      <c r="L215" s="2" t="s">
        <v>361</v>
      </c>
      <c r="M215" s="2">
        <v>-1.1128</v>
      </c>
    </row>
    <row r="216" spans="1:13" x14ac:dyDescent="0.2">
      <c r="A216" s="5" t="s">
        <v>342</v>
      </c>
      <c r="B216" s="5" t="s">
        <v>3121</v>
      </c>
      <c r="C216" s="5" t="s">
        <v>3015</v>
      </c>
      <c r="D216" s="5" t="s">
        <v>1836</v>
      </c>
      <c r="E216" s="5" t="s">
        <v>1837</v>
      </c>
      <c r="F216" s="5">
        <v>8.3036999999999992</v>
      </c>
      <c r="G216" s="5">
        <v>2.6521400000000002</v>
      </c>
      <c r="H216" s="5">
        <v>-1.64659</v>
      </c>
      <c r="I216" s="5">
        <v>1</v>
      </c>
      <c r="L216" s="2" t="s">
        <v>362</v>
      </c>
      <c r="M216" s="2">
        <v>-1.2919</v>
      </c>
    </row>
    <row r="217" spans="1:13" x14ac:dyDescent="0.2">
      <c r="A217" s="5" t="s">
        <v>344</v>
      </c>
      <c r="B217" s="5" t="s">
        <v>3015</v>
      </c>
      <c r="C217" s="5" t="s">
        <v>3015</v>
      </c>
      <c r="D217" s="5" t="s">
        <v>1836</v>
      </c>
      <c r="E217" s="5" t="s">
        <v>1837</v>
      </c>
      <c r="F217" s="5">
        <v>0</v>
      </c>
      <c r="G217" s="5">
        <v>3.7902</v>
      </c>
      <c r="H217" s="5" t="s">
        <v>3021</v>
      </c>
      <c r="I217" s="5" t="s">
        <v>3021</v>
      </c>
      <c r="L217" s="2" t="s">
        <v>363</v>
      </c>
      <c r="M217" s="2">
        <v>-1.6177299999999999</v>
      </c>
    </row>
    <row r="218" spans="1:13" x14ac:dyDescent="0.2">
      <c r="A218" s="5" t="s">
        <v>345</v>
      </c>
      <c r="B218" s="5" t="s">
        <v>3122</v>
      </c>
      <c r="C218" s="5" t="s">
        <v>1847</v>
      </c>
      <c r="D218" s="5" t="s">
        <v>1836</v>
      </c>
      <c r="E218" s="5" t="s">
        <v>1837</v>
      </c>
      <c r="F218" s="5">
        <v>0.44957799999999998</v>
      </c>
      <c r="G218" s="5">
        <v>2.4007100000000001</v>
      </c>
      <c r="H218" s="5">
        <v>2.4168099999999999</v>
      </c>
      <c r="I218" s="5">
        <v>1</v>
      </c>
      <c r="L218" s="2" t="s">
        <v>364</v>
      </c>
      <c r="M218" s="2">
        <v>-1.25959</v>
      </c>
    </row>
    <row r="219" spans="1:13" x14ac:dyDescent="0.2">
      <c r="A219" s="5" t="s">
        <v>346</v>
      </c>
      <c r="B219" s="5" t="s">
        <v>3015</v>
      </c>
      <c r="C219" s="5" t="s">
        <v>1880</v>
      </c>
      <c r="D219" s="5" t="s">
        <v>1836</v>
      </c>
      <c r="E219" s="5" t="s">
        <v>1837</v>
      </c>
      <c r="F219" s="5">
        <v>68.805400000000006</v>
      </c>
      <c r="G219" s="5">
        <v>33.066699999999997</v>
      </c>
      <c r="H219" s="5">
        <v>-1.05714</v>
      </c>
      <c r="I219" s="5">
        <v>1</v>
      </c>
      <c r="L219" s="2" t="s">
        <v>365</v>
      </c>
      <c r="M219" s="2">
        <v>-1.6012</v>
      </c>
    </row>
    <row r="220" spans="1:13" x14ac:dyDescent="0.2">
      <c r="A220" s="5" t="s">
        <v>347</v>
      </c>
      <c r="B220" s="5" t="s">
        <v>3030</v>
      </c>
      <c r="C220" s="5" t="s">
        <v>2004</v>
      </c>
      <c r="D220" s="5" t="s">
        <v>1836</v>
      </c>
      <c r="E220" s="5" t="s">
        <v>1837</v>
      </c>
      <c r="F220" s="5">
        <v>14.196099999999999</v>
      </c>
      <c r="G220" s="5">
        <v>32.954099999999997</v>
      </c>
      <c r="H220" s="5">
        <v>1.21496</v>
      </c>
      <c r="I220" s="5">
        <v>1</v>
      </c>
      <c r="L220" s="2" t="s">
        <v>366</v>
      </c>
      <c r="M220" s="2">
        <v>-1.2654700000000001</v>
      </c>
    </row>
    <row r="221" spans="1:13" x14ac:dyDescent="0.2">
      <c r="A221" s="5" t="s">
        <v>348</v>
      </c>
      <c r="B221" s="5" t="s">
        <v>3015</v>
      </c>
      <c r="C221" s="5" t="s">
        <v>2005</v>
      </c>
      <c r="D221" s="5" t="s">
        <v>1836</v>
      </c>
      <c r="E221" s="5" t="s">
        <v>1837</v>
      </c>
      <c r="F221" s="5">
        <v>10.125400000000001</v>
      </c>
      <c r="G221" s="5">
        <v>4.7801799999999997</v>
      </c>
      <c r="H221" s="5">
        <v>-1.08284</v>
      </c>
      <c r="I221" s="5">
        <v>1</v>
      </c>
      <c r="L221" s="2" t="s">
        <v>367</v>
      </c>
      <c r="M221" s="2">
        <v>1.58904</v>
      </c>
    </row>
    <row r="222" spans="1:13" x14ac:dyDescent="0.2">
      <c r="A222" s="5" t="s">
        <v>349</v>
      </c>
      <c r="B222" s="5" t="s">
        <v>3049</v>
      </c>
      <c r="C222" s="5" t="s">
        <v>2006</v>
      </c>
      <c r="D222" s="5" t="s">
        <v>1836</v>
      </c>
      <c r="E222" s="5" t="s">
        <v>1837</v>
      </c>
      <c r="F222" s="5">
        <v>0.49642900000000001</v>
      </c>
      <c r="G222" s="5">
        <v>1.1128</v>
      </c>
      <c r="H222" s="5">
        <v>1.1645399999999999</v>
      </c>
      <c r="I222" s="5">
        <v>1</v>
      </c>
      <c r="L222" s="2" t="s">
        <v>368</v>
      </c>
      <c r="M222" s="2">
        <v>-1.1051899999999999</v>
      </c>
    </row>
    <row r="223" spans="1:13" x14ac:dyDescent="0.2">
      <c r="A223" s="5" t="s">
        <v>353</v>
      </c>
      <c r="B223" s="5" t="s">
        <v>3123</v>
      </c>
      <c r="C223" s="5" t="s">
        <v>2007</v>
      </c>
      <c r="D223" s="5" t="s">
        <v>1836</v>
      </c>
      <c r="E223" s="5" t="s">
        <v>1837</v>
      </c>
      <c r="F223" s="5">
        <v>0.59132899999999999</v>
      </c>
      <c r="G223" s="5">
        <v>1.55864</v>
      </c>
      <c r="H223" s="5">
        <v>1.3982600000000001</v>
      </c>
      <c r="I223" s="5">
        <v>1</v>
      </c>
      <c r="L223" s="2" t="s">
        <v>369</v>
      </c>
      <c r="M223" s="2">
        <v>-1.5871299999999999</v>
      </c>
    </row>
    <row r="224" spans="1:13" x14ac:dyDescent="0.2">
      <c r="A224" s="5" t="s">
        <v>354</v>
      </c>
      <c r="B224" s="5" t="s">
        <v>3038</v>
      </c>
      <c r="C224" s="5" t="s">
        <v>2008</v>
      </c>
      <c r="D224" s="5" t="s">
        <v>1836</v>
      </c>
      <c r="E224" s="5" t="s">
        <v>1837</v>
      </c>
      <c r="F224" s="5">
        <v>1.9012500000000001</v>
      </c>
      <c r="G224" s="5">
        <v>0.84974000000000005</v>
      </c>
      <c r="H224" s="5">
        <v>-1.1618599999999999</v>
      </c>
      <c r="I224" s="5">
        <v>1</v>
      </c>
      <c r="L224" s="2" t="s">
        <v>370</v>
      </c>
      <c r="M224" s="2">
        <v>-1.21608</v>
      </c>
    </row>
    <row r="225" spans="1:13" x14ac:dyDescent="0.2">
      <c r="A225" s="5" t="s">
        <v>358</v>
      </c>
      <c r="B225" s="5" t="s">
        <v>3015</v>
      </c>
      <c r="C225" s="5" t="s">
        <v>3015</v>
      </c>
      <c r="D225" s="5" t="s">
        <v>1836</v>
      </c>
      <c r="E225" s="5" t="s">
        <v>1837</v>
      </c>
      <c r="F225" s="5">
        <v>0.71620300000000003</v>
      </c>
      <c r="G225" s="5">
        <v>1.6185799999999999</v>
      </c>
      <c r="H225" s="5">
        <v>1.1762900000000001</v>
      </c>
      <c r="I225" s="5">
        <v>1</v>
      </c>
      <c r="L225" s="2" t="s">
        <v>371</v>
      </c>
      <c r="M225" s="2">
        <v>-2.70445</v>
      </c>
    </row>
    <row r="226" spans="1:13" x14ac:dyDescent="0.2">
      <c r="A226" s="5" t="s">
        <v>360</v>
      </c>
      <c r="B226" s="5" t="s">
        <v>3124</v>
      </c>
      <c r="C226" s="5" t="s">
        <v>3015</v>
      </c>
      <c r="D226" s="5" t="s">
        <v>1836</v>
      </c>
      <c r="E226" s="5" t="s">
        <v>1837</v>
      </c>
      <c r="F226" s="5">
        <v>0.77188000000000001</v>
      </c>
      <c r="G226" s="5">
        <v>12.0535</v>
      </c>
      <c r="H226" s="5">
        <v>3.9649399999999999</v>
      </c>
      <c r="I226" s="5">
        <v>1</v>
      </c>
      <c r="L226" s="2" t="s">
        <v>373</v>
      </c>
      <c r="M226" s="2">
        <v>-1.35707</v>
      </c>
    </row>
    <row r="227" spans="1:13" x14ac:dyDescent="0.2">
      <c r="A227" s="5" t="s">
        <v>361</v>
      </c>
      <c r="B227" s="5" t="s">
        <v>3015</v>
      </c>
      <c r="C227" s="5" t="s">
        <v>1948</v>
      </c>
      <c r="D227" s="5" t="s">
        <v>1836</v>
      </c>
      <c r="E227" s="5" t="s">
        <v>1837</v>
      </c>
      <c r="F227" s="5">
        <v>21.107800000000001</v>
      </c>
      <c r="G227" s="5">
        <v>9.7601600000000008</v>
      </c>
      <c r="H227" s="5">
        <v>-1.1128</v>
      </c>
      <c r="I227" s="5">
        <v>1</v>
      </c>
      <c r="L227" s="2" t="s">
        <v>376</v>
      </c>
      <c r="M227" s="2">
        <v>-1.58019</v>
      </c>
    </row>
    <row r="228" spans="1:13" x14ac:dyDescent="0.2">
      <c r="A228" s="5" t="s">
        <v>362</v>
      </c>
      <c r="B228" s="5" t="s">
        <v>3100</v>
      </c>
      <c r="C228" s="5" t="s">
        <v>2009</v>
      </c>
      <c r="D228" s="5" t="s">
        <v>1836</v>
      </c>
      <c r="E228" s="5" t="s">
        <v>1837</v>
      </c>
      <c r="F228" s="5">
        <v>2.4043800000000002</v>
      </c>
      <c r="G228" s="5">
        <v>0.98197900000000005</v>
      </c>
      <c r="H228" s="5">
        <v>-1.2919</v>
      </c>
      <c r="I228" s="5">
        <v>1</v>
      </c>
      <c r="L228" s="2" t="s">
        <v>377</v>
      </c>
      <c r="M228" s="2">
        <v>-1.5764100000000001</v>
      </c>
    </row>
    <row r="229" spans="1:13" x14ac:dyDescent="0.2">
      <c r="A229" s="5" t="s">
        <v>363</v>
      </c>
      <c r="B229" s="5" t="s">
        <v>3125</v>
      </c>
      <c r="C229" s="5" t="s">
        <v>3015</v>
      </c>
      <c r="D229" s="5" t="s">
        <v>1836</v>
      </c>
      <c r="E229" s="5" t="s">
        <v>1837</v>
      </c>
      <c r="F229" s="5">
        <v>5.3722799999999999</v>
      </c>
      <c r="G229" s="5">
        <v>1.75054</v>
      </c>
      <c r="H229" s="5">
        <v>-1.6177299999999999</v>
      </c>
      <c r="I229" s="5">
        <v>1</v>
      </c>
      <c r="L229" s="2" t="s">
        <v>379</v>
      </c>
      <c r="M229" s="2">
        <v>-1.1449199999999999</v>
      </c>
    </row>
    <row r="230" spans="1:13" x14ac:dyDescent="0.2">
      <c r="A230" s="5" t="s">
        <v>364</v>
      </c>
      <c r="B230" s="5" t="s">
        <v>3015</v>
      </c>
      <c r="C230" s="5" t="s">
        <v>2010</v>
      </c>
      <c r="D230" s="5" t="s">
        <v>1836</v>
      </c>
      <c r="E230" s="5" t="s">
        <v>1837</v>
      </c>
      <c r="F230" s="5">
        <v>4.1937199999999999</v>
      </c>
      <c r="G230" s="5">
        <v>1.7515700000000001</v>
      </c>
      <c r="H230" s="5">
        <v>-1.25959</v>
      </c>
      <c r="I230" s="5">
        <v>1</v>
      </c>
      <c r="L230" s="2" t="s">
        <v>385</v>
      </c>
      <c r="M230" s="2">
        <v>-1.43496</v>
      </c>
    </row>
    <row r="231" spans="1:13" x14ac:dyDescent="0.2">
      <c r="A231" s="5" t="s">
        <v>365</v>
      </c>
      <c r="B231" s="5" t="s">
        <v>3126</v>
      </c>
      <c r="C231" s="5" t="s">
        <v>2011</v>
      </c>
      <c r="D231" s="5" t="s">
        <v>1836</v>
      </c>
      <c r="E231" s="5" t="s">
        <v>1837</v>
      </c>
      <c r="F231" s="5">
        <v>42.749299999999998</v>
      </c>
      <c r="G231" s="5">
        <v>14.090299999999999</v>
      </c>
      <c r="H231" s="5">
        <v>-1.6012</v>
      </c>
      <c r="I231" s="5">
        <v>1</v>
      </c>
      <c r="L231" s="2" t="s">
        <v>386</v>
      </c>
      <c r="M231" s="2">
        <v>1.4113800000000001</v>
      </c>
    </row>
    <row r="232" spans="1:13" x14ac:dyDescent="0.2">
      <c r="A232" s="5" t="s">
        <v>366</v>
      </c>
      <c r="B232" s="5" t="s">
        <v>3127</v>
      </c>
      <c r="C232" s="5" t="s">
        <v>2012</v>
      </c>
      <c r="D232" s="5" t="s">
        <v>1836</v>
      </c>
      <c r="E232" s="5" t="s">
        <v>1837</v>
      </c>
      <c r="F232" s="5">
        <v>13.690300000000001</v>
      </c>
      <c r="G232" s="5">
        <v>5.69468</v>
      </c>
      <c r="H232" s="5">
        <v>-1.2654700000000001</v>
      </c>
      <c r="I232" s="5">
        <v>1</v>
      </c>
      <c r="L232" s="2" t="s">
        <v>387</v>
      </c>
      <c r="M232" s="2">
        <v>2.03606</v>
      </c>
    </row>
    <row r="233" spans="1:13" x14ac:dyDescent="0.2">
      <c r="A233" s="5" t="s">
        <v>367</v>
      </c>
      <c r="B233" s="5" t="s">
        <v>3128</v>
      </c>
      <c r="C233" s="5" t="s">
        <v>2013</v>
      </c>
      <c r="D233" s="5" t="s">
        <v>1836</v>
      </c>
      <c r="E233" s="5" t="s">
        <v>1837</v>
      </c>
      <c r="F233" s="5">
        <v>0.51770099999999997</v>
      </c>
      <c r="G233" s="5">
        <v>1.5575000000000001</v>
      </c>
      <c r="H233" s="5">
        <v>1.58904</v>
      </c>
      <c r="I233" s="5">
        <v>1</v>
      </c>
      <c r="L233" s="2" t="s">
        <v>388</v>
      </c>
      <c r="M233" s="2">
        <v>2.0020799999999999</v>
      </c>
    </row>
    <row r="234" spans="1:13" x14ac:dyDescent="0.2">
      <c r="A234" s="5" t="s">
        <v>368</v>
      </c>
      <c r="B234" s="5" t="s">
        <v>3015</v>
      </c>
      <c r="C234" s="5" t="s">
        <v>2014</v>
      </c>
      <c r="D234" s="5" t="s">
        <v>1836</v>
      </c>
      <c r="E234" s="5" t="s">
        <v>1837</v>
      </c>
      <c r="F234" s="5">
        <v>65.758600000000001</v>
      </c>
      <c r="G234" s="5">
        <v>30.567299999999999</v>
      </c>
      <c r="H234" s="5">
        <v>-1.1051899999999999</v>
      </c>
      <c r="I234" s="5">
        <v>1</v>
      </c>
      <c r="L234" s="2" t="s">
        <v>389</v>
      </c>
      <c r="M234" s="2">
        <v>1.3362700000000001</v>
      </c>
    </row>
    <row r="235" spans="1:13" x14ac:dyDescent="0.2">
      <c r="A235" s="5" t="s">
        <v>369</v>
      </c>
      <c r="B235" s="5" t="s">
        <v>3015</v>
      </c>
      <c r="C235" s="5" t="s">
        <v>1847</v>
      </c>
      <c r="D235" s="5" t="s">
        <v>1836</v>
      </c>
      <c r="E235" s="5" t="s">
        <v>1837</v>
      </c>
      <c r="F235" s="5">
        <v>0.86500299999999997</v>
      </c>
      <c r="G235" s="5">
        <v>0.28790199999999999</v>
      </c>
      <c r="H235" s="5">
        <v>-1.5871299999999999</v>
      </c>
      <c r="I235" s="5">
        <v>1</v>
      </c>
      <c r="L235" s="2" t="s">
        <v>391</v>
      </c>
      <c r="M235" s="2">
        <v>1.32908</v>
      </c>
    </row>
    <row r="236" spans="1:13" x14ac:dyDescent="0.2">
      <c r="A236" s="5" t="s">
        <v>370</v>
      </c>
      <c r="B236" s="5" t="s">
        <v>3100</v>
      </c>
      <c r="C236" s="5" t="s">
        <v>2015</v>
      </c>
      <c r="D236" s="5" t="s">
        <v>1836</v>
      </c>
      <c r="E236" s="5" t="s">
        <v>1837</v>
      </c>
      <c r="F236" s="5">
        <v>6.5645899999999999</v>
      </c>
      <c r="G236" s="5">
        <v>2.8257300000000001</v>
      </c>
      <c r="H236" s="5">
        <v>-1.21608</v>
      </c>
      <c r="I236" s="5">
        <v>1</v>
      </c>
      <c r="L236" s="2" t="s">
        <v>395</v>
      </c>
      <c r="M236" s="2">
        <v>1.34734</v>
      </c>
    </row>
    <row r="237" spans="1:13" x14ac:dyDescent="0.2">
      <c r="A237" s="5" t="s">
        <v>371</v>
      </c>
      <c r="B237" s="5" t="s">
        <v>3030</v>
      </c>
      <c r="C237" s="5" t="s">
        <v>2016</v>
      </c>
      <c r="D237" s="5" t="s">
        <v>1836</v>
      </c>
      <c r="E237" s="5" t="s">
        <v>1837</v>
      </c>
      <c r="F237" s="5">
        <v>1.79139</v>
      </c>
      <c r="G237" s="5">
        <v>0.27483299999999999</v>
      </c>
      <c r="H237" s="5">
        <v>-2.70445</v>
      </c>
      <c r="I237" s="5">
        <v>1</v>
      </c>
      <c r="L237" s="2" t="s">
        <v>396</v>
      </c>
      <c r="M237" s="2">
        <v>-1.9508700000000001</v>
      </c>
    </row>
    <row r="238" spans="1:13" x14ac:dyDescent="0.2">
      <c r="A238" s="5" t="s">
        <v>373</v>
      </c>
      <c r="B238" s="5" t="s">
        <v>3030</v>
      </c>
      <c r="C238" s="5" t="s">
        <v>2017</v>
      </c>
      <c r="D238" s="5" t="s">
        <v>1836</v>
      </c>
      <c r="E238" s="5" t="s">
        <v>1837</v>
      </c>
      <c r="F238" s="5">
        <v>1.50359</v>
      </c>
      <c r="G238" s="5">
        <v>0.58696599999999999</v>
      </c>
      <c r="H238" s="5">
        <v>-1.35707</v>
      </c>
      <c r="I238" s="5">
        <v>1</v>
      </c>
      <c r="L238" s="2" t="s">
        <v>398</v>
      </c>
      <c r="M238" s="2">
        <v>1.5499000000000001</v>
      </c>
    </row>
    <row r="239" spans="1:13" x14ac:dyDescent="0.2">
      <c r="A239" s="5" t="s">
        <v>376</v>
      </c>
      <c r="B239" s="5" t="s">
        <v>3058</v>
      </c>
      <c r="C239" s="5" t="s">
        <v>2018</v>
      </c>
      <c r="D239" s="5" t="s">
        <v>1836</v>
      </c>
      <c r="E239" s="5" t="s">
        <v>1837</v>
      </c>
      <c r="F239" s="5">
        <v>2.2351700000000001</v>
      </c>
      <c r="G239" s="5">
        <v>0.74752200000000002</v>
      </c>
      <c r="H239" s="5">
        <v>-1.58019</v>
      </c>
      <c r="I239" s="5">
        <v>1</v>
      </c>
      <c r="L239" s="2" t="s">
        <v>399</v>
      </c>
      <c r="M239" s="2">
        <v>-1.0232399999999999</v>
      </c>
    </row>
    <row r="240" spans="1:13" x14ac:dyDescent="0.2">
      <c r="A240" s="5" t="s">
        <v>377</v>
      </c>
      <c r="B240" s="5" t="s">
        <v>3015</v>
      </c>
      <c r="C240" s="5" t="s">
        <v>1880</v>
      </c>
      <c r="D240" s="5" t="s">
        <v>1836</v>
      </c>
      <c r="E240" s="5" t="s">
        <v>1837</v>
      </c>
      <c r="F240" s="5">
        <v>3.22315</v>
      </c>
      <c r="G240" s="5">
        <v>1.08077</v>
      </c>
      <c r="H240" s="5">
        <v>-1.5764100000000001</v>
      </c>
      <c r="I240" s="5">
        <v>1</v>
      </c>
      <c r="L240" s="2" t="s">
        <v>400</v>
      </c>
      <c r="M240" s="2">
        <v>2.2561599999999999</v>
      </c>
    </row>
    <row r="241" spans="1:13" x14ac:dyDescent="0.2">
      <c r="A241" s="5" t="s">
        <v>379</v>
      </c>
      <c r="B241" s="5" t="s">
        <v>3129</v>
      </c>
      <c r="C241" s="5" t="s">
        <v>2019</v>
      </c>
      <c r="D241" s="5" t="s">
        <v>1836</v>
      </c>
      <c r="E241" s="5" t="s">
        <v>1837</v>
      </c>
      <c r="F241" s="5">
        <v>2.3631000000000002</v>
      </c>
      <c r="G241" s="5">
        <v>1.06863</v>
      </c>
      <c r="H241" s="5">
        <v>-1.1449199999999999</v>
      </c>
      <c r="I241" s="5">
        <v>1</v>
      </c>
      <c r="L241" s="2" t="s">
        <v>401</v>
      </c>
      <c r="M241" s="2">
        <v>-1.6287700000000001</v>
      </c>
    </row>
    <row r="242" spans="1:13" x14ac:dyDescent="0.2">
      <c r="A242" s="5" t="s">
        <v>385</v>
      </c>
      <c r="B242" s="5" t="s">
        <v>3015</v>
      </c>
      <c r="C242" s="5" t="s">
        <v>2020</v>
      </c>
      <c r="D242" s="5" t="s">
        <v>1836</v>
      </c>
      <c r="E242" s="5" t="s">
        <v>1837</v>
      </c>
      <c r="F242" s="5">
        <v>6.4118199999999996</v>
      </c>
      <c r="G242" s="5">
        <v>2.3714499999999998</v>
      </c>
      <c r="H242" s="5">
        <v>-1.43496</v>
      </c>
      <c r="I242" s="5">
        <v>1</v>
      </c>
      <c r="L242" s="2" t="s">
        <v>402</v>
      </c>
      <c r="M242" s="2" t="s">
        <v>3021</v>
      </c>
    </row>
    <row r="243" spans="1:13" x14ac:dyDescent="0.2">
      <c r="A243" s="5" t="s">
        <v>386</v>
      </c>
      <c r="B243" s="5" t="s">
        <v>3130</v>
      </c>
      <c r="C243" s="5" t="s">
        <v>2021</v>
      </c>
      <c r="D243" s="5" t="s">
        <v>1836</v>
      </c>
      <c r="E243" s="5" t="s">
        <v>1837</v>
      </c>
      <c r="F243" s="5">
        <v>3.75535</v>
      </c>
      <c r="G243" s="5">
        <v>9.9888999999999992</v>
      </c>
      <c r="H243" s="5">
        <v>1.4113800000000001</v>
      </c>
      <c r="I243" s="5">
        <v>1</v>
      </c>
      <c r="L243" s="2" t="s">
        <v>404</v>
      </c>
      <c r="M243" s="2">
        <v>-1.0952599999999999</v>
      </c>
    </row>
    <row r="244" spans="1:13" x14ac:dyDescent="0.2">
      <c r="A244" s="5" t="s">
        <v>387</v>
      </c>
      <c r="B244" s="5" t="s">
        <v>3131</v>
      </c>
      <c r="C244" s="5" t="s">
        <v>2022</v>
      </c>
      <c r="D244" s="5" t="s">
        <v>1836</v>
      </c>
      <c r="E244" s="5" t="s">
        <v>1837</v>
      </c>
      <c r="F244" s="5">
        <v>0.39381100000000002</v>
      </c>
      <c r="G244" s="5">
        <v>1.61511</v>
      </c>
      <c r="H244" s="5">
        <v>2.03606</v>
      </c>
      <c r="I244" s="5">
        <v>1</v>
      </c>
      <c r="L244" s="2" t="s">
        <v>405</v>
      </c>
      <c r="M244" s="2">
        <v>-1.5308200000000001</v>
      </c>
    </row>
    <row r="245" spans="1:13" x14ac:dyDescent="0.2">
      <c r="A245" s="5" t="s">
        <v>388</v>
      </c>
      <c r="B245" s="5" t="s">
        <v>3015</v>
      </c>
      <c r="C245" s="5" t="s">
        <v>2023</v>
      </c>
      <c r="D245" s="5" t="s">
        <v>1836</v>
      </c>
      <c r="E245" s="5" t="s">
        <v>1837</v>
      </c>
      <c r="F245" s="5">
        <v>3.0101499999999999</v>
      </c>
      <c r="G245" s="5">
        <v>12.058</v>
      </c>
      <c r="H245" s="5">
        <v>2.0020799999999999</v>
      </c>
      <c r="I245" s="5">
        <v>1</v>
      </c>
      <c r="L245" s="2" t="s">
        <v>407</v>
      </c>
      <c r="M245" s="2">
        <v>-1.2345699999999999</v>
      </c>
    </row>
    <row r="246" spans="1:13" x14ac:dyDescent="0.2">
      <c r="A246" s="5" t="s">
        <v>389</v>
      </c>
      <c r="B246" s="5" t="s">
        <v>3015</v>
      </c>
      <c r="C246" s="5" t="s">
        <v>2024</v>
      </c>
      <c r="D246" s="5" t="s">
        <v>1836</v>
      </c>
      <c r="E246" s="5" t="s">
        <v>1837</v>
      </c>
      <c r="F246" s="5">
        <v>2.2618100000000001</v>
      </c>
      <c r="G246" s="5">
        <v>5.7110200000000004</v>
      </c>
      <c r="H246" s="5">
        <v>1.3362700000000001</v>
      </c>
      <c r="I246" s="5">
        <v>1</v>
      </c>
      <c r="L246" s="2" t="s">
        <v>411</v>
      </c>
      <c r="M246" s="2">
        <v>1.1517200000000001</v>
      </c>
    </row>
    <row r="247" spans="1:13" x14ac:dyDescent="0.2">
      <c r="A247" s="5" t="s">
        <v>391</v>
      </c>
      <c r="B247" s="5" t="s">
        <v>3062</v>
      </c>
      <c r="C247" s="5" t="s">
        <v>2025</v>
      </c>
      <c r="D247" s="5" t="s">
        <v>1836</v>
      </c>
      <c r="E247" s="5" t="s">
        <v>1837</v>
      </c>
      <c r="F247" s="5">
        <v>0.91369800000000001</v>
      </c>
      <c r="G247" s="5">
        <v>2.2955999999999999</v>
      </c>
      <c r="H247" s="5">
        <v>1.32908</v>
      </c>
      <c r="I247" s="5">
        <v>1</v>
      </c>
      <c r="L247" s="2" t="s">
        <v>413</v>
      </c>
      <c r="M247" s="2">
        <v>-1.9597899999999999</v>
      </c>
    </row>
    <row r="248" spans="1:13" x14ac:dyDescent="0.2">
      <c r="A248" s="5" t="s">
        <v>395</v>
      </c>
      <c r="B248" s="5" t="s">
        <v>3015</v>
      </c>
      <c r="C248" s="5" t="s">
        <v>3015</v>
      </c>
      <c r="D248" s="5" t="s">
        <v>1836</v>
      </c>
      <c r="E248" s="5" t="s">
        <v>1837</v>
      </c>
      <c r="F248" s="5">
        <v>0.39205699999999999</v>
      </c>
      <c r="G248" s="5">
        <v>0.99755799999999994</v>
      </c>
      <c r="H248" s="5">
        <v>1.34734</v>
      </c>
      <c r="I248" s="5">
        <v>1</v>
      </c>
      <c r="L248" s="2" t="s">
        <v>414</v>
      </c>
      <c r="M248" s="2">
        <v>-1.1799599999999999</v>
      </c>
    </row>
    <row r="249" spans="1:13" x14ac:dyDescent="0.2">
      <c r="A249" s="5" t="s">
        <v>396</v>
      </c>
      <c r="B249" s="5" t="s">
        <v>3015</v>
      </c>
      <c r="C249" s="5" t="s">
        <v>3015</v>
      </c>
      <c r="D249" s="5" t="s">
        <v>1836</v>
      </c>
      <c r="E249" s="5" t="s">
        <v>1837</v>
      </c>
      <c r="F249" s="5">
        <v>8.1166800000000006</v>
      </c>
      <c r="G249" s="5">
        <v>2.0994600000000001</v>
      </c>
      <c r="H249" s="5">
        <v>-1.9508700000000001</v>
      </c>
      <c r="I249" s="5">
        <v>1</v>
      </c>
      <c r="L249" s="2" t="s">
        <v>415</v>
      </c>
      <c r="M249" s="2">
        <v>1.63836</v>
      </c>
    </row>
    <row r="250" spans="1:13" x14ac:dyDescent="0.2">
      <c r="A250" s="5" t="s">
        <v>397</v>
      </c>
      <c r="B250" s="5" t="s">
        <v>3132</v>
      </c>
      <c r="C250" s="5" t="s">
        <v>1871</v>
      </c>
      <c r="D250" s="5" t="s">
        <v>1836</v>
      </c>
      <c r="E250" s="5" t="s">
        <v>1837</v>
      </c>
      <c r="F250" s="5">
        <v>0</v>
      </c>
      <c r="G250" s="5">
        <v>1.88209</v>
      </c>
      <c r="H250" s="5" t="s">
        <v>3021</v>
      </c>
      <c r="I250" s="5" t="s">
        <v>3021</v>
      </c>
      <c r="L250" s="2" t="s">
        <v>416</v>
      </c>
      <c r="M250" s="2">
        <v>-1.1730499999999999</v>
      </c>
    </row>
    <row r="251" spans="1:13" x14ac:dyDescent="0.2">
      <c r="A251" s="5" t="s">
        <v>398</v>
      </c>
      <c r="B251" s="5" t="s">
        <v>3015</v>
      </c>
      <c r="C251" s="5" t="s">
        <v>2026</v>
      </c>
      <c r="D251" s="5" t="s">
        <v>1836</v>
      </c>
      <c r="E251" s="5" t="s">
        <v>1837</v>
      </c>
      <c r="F251" s="5">
        <v>1.46</v>
      </c>
      <c r="G251" s="5">
        <v>4.2748299999999997</v>
      </c>
      <c r="H251" s="5">
        <v>1.5499000000000001</v>
      </c>
      <c r="I251" s="5">
        <v>1</v>
      </c>
      <c r="L251" s="2" t="s">
        <v>418</v>
      </c>
      <c r="M251" s="2">
        <v>1.01146</v>
      </c>
    </row>
    <row r="252" spans="1:13" x14ac:dyDescent="0.2">
      <c r="A252" s="5" t="s">
        <v>399</v>
      </c>
      <c r="B252" s="5" t="s">
        <v>3038</v>
      </c>
      <c r="C252" s="5" t="s">
        <v>2027</v>
      </c>
      <c r="D252" s="5" t="s">
        <v>1836</v>
      </c>
      <c r="E252" s="5" t="s">
        <v>1837</v>
      </c>
      <c r="F252" s="5">
        <v>1.50061</v>
      </c>
      <c r="G252" s="5">
        <v>0.73831400000000003</v>
      </c>
      <c r="H252" s="5">
        <v>-1.0232399999999999</v>
      </c>
      <c r="I252" s="5">
        <v>1</v>
      </c>
      <c r="L252" s="2" t="s">
        <v>419</v>
      </c>
      <c r="M252" s="2">
        <v>2.3160799999999999</v>
      </c>
    </row>
    <row r="253" spans="1:13" x14ac:dyDescent="0.2">
      <c r="A253" s="5" t="s">
        <v>400</v>
      </c>
      <c r="B253" s="5" t="s">
        <v>3015</v>
      </c>
      <c r="C253" s="5" t="s">
        <v>2028</v>
      </c>
      <c r="D253" s="5" t="s">
        <v>1836</v>
      </c>
      <c r="E253" s="5" t="s">
        <v>1837</v>
      </c>
      <c r="F253" s="5">
        <v>0.295597</v>
      </c>
      <c r="G253" s="5">
        <v>1.41212</v>
      </c>
      <c r="H253" s="5">
        <v>2.2561599999999999</v>
      </c>
      <c r="I253" s="5">
        <v>1</v>
      </c>
      <c r="L253" s="2" t="s">
        <v>420</v>
      </c>
      <c r="M253" s="2">
        <v>-1.08785</v>
      </c>
    </row>
    <row r="254" spans="1:13" x14ac:dyDescent="0.2">
      <c r="A254" s="5" t="s">
        <v>401</v>
      </c>
      <c r="B254" s="5" t="s">
        <v>3015</v>
      </c>
      <c r="C254" s="5" t="s">
        <v>3015</v>
      </c>
      <c r="D254" s="5" t="s">
        <v>1836</v>
      </c>
      <c r="E254" s="5" t="s">
        <v>1837</v>
      </c>
      <c r="F254" s="5">
        <v>0.95647199999999999</v>
      </c>
      <c r="G254" s="5">
        <v>0.30928800000000001</v>
      </c>
      <c r="H254" s="5">
        <v>-1.6287700000000001</v>
      </c>
      <c r="I254" s="5">
        <v>1</v>
      </c>
      <c r="L254" s="2" t="s">
        <v>422</v>
      </c>
      <c r="M254" s="2">
        <v>-1.51047</v>
      </c>
    </row>
    <row r="255" spans="1:13" x14ac:dyDescent="0.2">
      <c r="A255" s="5" t="s">
        <v>402</v>
      </c>
      <c r="B255" s="5" t="s">
        <v>3015</v>
      </c>
      <c r="C255" s="5" t="s">
        <v>3015</v>
      </c>
      <c r="D255" s="5" t="s">
        <v>1836</v>
      </c>
      <c r="E255" s="5" t="s">
        <v>1837</v>
      </c>
      <c r="F255" s="5">
        <v>0</v>
      </c>
      <c r="G255" s="5">
        <v>1.5880399999999999</v>
      </c>
      <c r="H255" s="5" t="s">
        <v>3021</v>
      </c>
      <c r="I255" s="5" t="s">
        <v>3021</v>
      </c>
      <c r="L255" s="2" t="s">
        <v>423</v>
      </c>
      <c r="M255" s="2">
        <v>-2.6008499999999999</v>
      </c>
    </row>
    <row r="256" spans="1:13" x14ac:dyDescent="0.2">
      <c r="A256" s="5" t="s">
        <v>404</v>
      </c>
      <c r="B256" s="5" t="s">
        <v>3093</v>
      </c>
      <c r="C256" s="5" t="s">
        <v>2029</v>
      </c>
      <c r="D256" s="5" t="s">
        <v>1836</v>
      </c>
      <c r="E256" s="5" t="s">
        <v>1837</v>
      </c>
      <c r="F256" s="5">
        <v>4.9986300000000004</v>
      </c>
      <c r="G256" s="5">
        <v>2.33962</v>
      </c>
      <c r="H256" s="5">
        <v>-1.0952599999999999</v>
      </c>
      <c r="I256" s="5">
        <v>1</v>
      </c>
      <c r="L256" s="2" t="s">
        <v>424</v>
      </c>
      <c r="M256" s="2">
        <v>-1.27762</v>
      </c>
    </row>
    <row r="257" spans="1:13" x14ac:dyDescent="0.2">
      <c r="A257" s="5" t="s">
        <v>405</v>
      </c>
      <c r="B257" s="5" t="s">
        <v>3063</v>
      </c>
      <c r="C257" s="5" t="s">
        <v>2030</v>
      </c>
      <c r="D257" s="5" t="s">
        <v>1836</v>
      </c>
      <c r="E257" s="5" t="s">
        <v>1837</v>
      </c>
      <c r="F257" s="5">
        <v>5.6101799999999997</v>
      </c>
      <c r="G257" s="5">
        <v>1.94157</v>
      </c>
      <c r="H257" s="5">
        <v>-1.5308200000000001</v>
      </c>
      <c r="I257" s="5">
        <v>1</v>
      </c>
      <c r="L257" s="2" t="s">
        <v>425</v>
      </c>
      <c r="M257" s="2">
        <v>1.42876</v>
      </c>
    </row>
    <row r="258" spans="1:13" x14ac:dyDescent="0.2">
      <c r="A258" s="5" t="s">
        <v>407</v>
      </c>
      <c r="B258" s="5" t="s">
        <v>3133</v>
      </c>
      <c r="C258" s="5" t="s">
        <v>2031</v>
      </c>
      <c r="D258" s="5" t="s">
        <v>1836</v>
      </c>
      <c r="E258" s="5" t="s">
        <v>1837</v>
      </c>
      <c r="F258" s="5">
        <v>16.747900000000001</v>
      </c>
      <c r="G258" s="5">
        <v>7.1173500000000001</v>
      </c>
      <c r="H258" s="5">
        <v>-1.2345699999999999</v>
      </c>
      <c r="I258" s="5">
        <v>1</v>
      </c>
      <c r="L258" s="2" t="s">
        <v>426</v>
      </c>
      <c r="M258" s="2">
        <v>-1.3258700000000001</v>
      </c>
    </row>
    <row r="259" spans="1:13" x14ac:dyDescent="0.2">
      <c r="A259" s="5" t="s">
        <v>411</v>
      </c>
      <c r="B259" s="5" t="s">
        <v>3103</v>
      </c>
      <c r="C259" s="5" t="s">
        <v>2032</v>
      </c>
      <c r="D259" s="5" t="s">
        <v>1836</v>
      </c>
      <c r="E259" s="5" t="s">
        <v>1837</v>
      </c>
      <c r="F259" s="5">
        <v>92.739599999999996</v>
      </c>
      <c r="G259" s="5">
        <v>206.048</v>
      </c>
      <c r="H259" s="5">
        <v>1.1517200000000001</v>
      </c>
      <c r="I259" s="5">
        <v>1</v>
      </c>
      <c r="L259" s="2" t="s">
        <v>428</v>
      </c>
      <c r="M259" s="2">
        <v>-1.7610600000000001</v>
      </c>
    </row>
    <row r="260" spans="1:13" x14ac:dyDescent="0.2">
      <c r="A260" s="5" t="s">
        <v>413</v>
      </c>
      <c r="B260" s="5" t="s">
        <v>3050</v>
      </c>
      <c r="C260" s="5" t="s">
        <v>2033</v>
      </c>
      <c r="D260" s="5" t="s">
        <v>1836</v>
      </c>
      <c r="E260" s="5" t="s">
        <v>1837</v>
      </c>
      <c r="F260" s="5">
        <v>6.9451999999999998</v>
      </c>
      <c r="G260" s="5">
        <v>1.7853699999999999</v>
      </c>
      <c r="H260" s="5">
        <v>-1.9597899999999999</v>
      </c>
      <c r="I260" s="5">
        <v>1</v>
      </c>
      <c r="L260" s="2" t="s">
        <v>429</v>
      </c>
      <c r="M260" s="2">
        <v>-2.08114</v>
      </c>
    </row>
    <row r="261" spans="1:13" x14ac:dyDescent="0.2">
      <c r="A261" s="5" t="s">
        <v>414</v>
      </c>
      <c r="B261" s="5" t="s">
        <v>3015</v>
      </c>
      <c r="C261" s="5" t="s">
        <v>2034</v>
      </c>
      <c r="D261" s="5" t="s">
        <v>1836</v>
      </c>
      <c r="E261" s="5" t="s">
        <v>1837</v>
      </c>
      <c r="F261" s="5">
        <v>0.91733600000000004</v>
      </c>
      <c r="G261" s="5">
        <v>0.40487800000000002</v>
      </c>
      <c r="H261" s="5">
        <v>-1.1799599999999999</v>
      </c>
      <c r="I261" s="5">
        <v>1</v>
      </c>
      <c r="L261" s="2" t="s">
        <v>430</v>
      </c>
      <c r="M261" s="2">
        <v>-1.23722</v>
      </c>
    </row>
    <row r="262" spans="1:13" x14ac:dyDescent="0.2">
      <c r="A262" s="5" t="s">
        <v>415</v>
      </c>
      <c r="B262" s="5" t="s">
        <v>3134</v>
      </c>
      <c r="C262" s="5" t="s">
        <v>2035</v>
      </c>
      <c r="D262" s="5" t="s">
        <v>1836</v>
      </c>
      <c r="E262" s="5" t="s">
        <v>1837</v>
      </c>
      <c r="F262" s="5">
        <v>5.1953800000000001</v>
      </c>
      <c r="G262" s="5">
        <v>16.1738</v>
      </c>
      <c r="H262" s="5">
        <v>1.63836</v>
      </c>
      <c r="I262" s="5">
        <v>1</v>
      </c>
      <c r="L262" s="2" t="s">
        <v>432</v>
      </c>
      <c r="M262" s="2">
        <v>-1.26634</v>
      </c>
    </row>
    <row r="263" spans="1:13" x14ac:dyDescent="0.2">
      <c r="A263" s="5" t="s">
        <v>416</v>
      </c>
      <c r="B263" s="5" t="s">
        <v>3080</v>
      </c>
      <c r="C263" s="5" t="s">
        <v>2036</v>
      </c>
      <c r="D263" s="5" t="s">
        <v>1836</v>
      </c>
      <c r="E263" s="5" t="s">
        <v>1837</v>
      </c>
      <c r="F263" s="5">
        <v>8.0118899999999993</v>
      </c>
      <c r="G263" s="5">
        <v>3.5531299999999999</v>
      </c>
      <c r="H263" s="5">
        <v>-1.1730499999999999</v>
      </c>
      <c r="I263" s="5">
        <v>1</v>
      </c>
      <c r="L263" s="2" t="s">
        <v>433</v>
      </c>
      <c r="M263" s="2">
        <v>1.2007399999999999</v>
      </c>
    </row>
    <row r="264" spans="1:13" x14ac:dyDescent="0.2">
      <c r="A264" s="5" t="s">
        <v>418</v>
      </c>
      <c r="B264" s="5" t="s">
        <v>3015</v>
      </c>
      <c r="C264" s="5" t="s">
        <v>3015</v>
      </c>
      <c r="D264" s="5" t="s">
        <v>1836</v>
      </c>
      <c r="E264" s="5" t="s">
        <v>1837</v>
      </c>
      <c r="F264" s="5">
        <v>2.8628999999999998</v>
      </c>
      <c r="G264" s="5">
        <v>5.7714800000000004</v>
      </c>
      <c r="H264" s="5">
        <v>1.01146</v>
      </c>
      <c r="I264" s="5">
        <v>1</v>
      </c>
      <c r="L264" s="2" t="s">
        <v>435</v>
      </c>
      <c r="M264" s="2">
        <v>1.7718700000000001</v>
      </c>
    </row>
    <row r="265" spans="1:13" x14ac:dyDescent="0.2">
      <c r="A265" s="5" t="s">
        <v>419</v>
      </c>
      <c r="B265" s="5" t="s">
        <v>3015</v>
      </c>
      <c r="C265" s="5" t="s">
        <v>2037</v>
      </c>
      <c r="D265" s="5" t="s">
        <v>1836</v>
      </c>
      <c r="E265" s="5" t="s">
        <v>1837</v>
      </c>
      <c r="F265" s="5">
        <v>0.55498800000000004</v>
      </c>
      <c r="G265" s="5">
        <v>2.7637100000000001</v>
      </c>
      <c r="H265" s="5">
        <v>2.3160799999999999</v>
      </c>
      <c r="I265" s="5">
        <v>1</v>
      </c>
      <c r="L265" s="2" t="s">
        <v>437</v>
      </c>
      <c r="M265" s="2">
        <v>1.1305400000000001</v>
      </c>
    </row>
    <row r="266" spans="1:13" x14ac:dyDescent="0.2">
      <c r="A266" s="5" t="s">
        <v>420</v>
      </c>
      <c r="B266" s="5" t="s">
        <v>3135</v>
      </c>
      <c r="C266" s="5" t="s">
        <v>2038</v>
      </c>
      <c r="D266" s="5" t="s">
        <v>1836</v>
      </c>
      <c r="E266" s="5" t="s">
        <v>1837</v>
      </c>
      <c r="F266" s="5">
        <v>0.84477599999999997</v>
      </c>
      <c r="G266" s="5">
        <v>0.39743400000000001</v>
      </c>
      <c r="H266" s="5">
        <v>-1.08785</v>
      </c>
      <c r="I266" s="5">
        <v>1</v>
      </c>
      <c r="L266" s="2" t="s">
        <v>438</v>
      </c>
      <c r="M266" s="2">
        <v>2.39574</v>
      </c>
    </row>
    <row r="267" spans="1:13" x14ac:dyDescent="0.2">
      <c r="A267" s="5" t="s">
        <v>422</v>
      </c>
      <c r="B267" s="5" t="s">
        <v>3136</v>
      </c>
      <c r="C267" s="5" t="s">
        <v>2039</v>
      </c>
      <c r="D267" s="5" t="s">
        <v>1836</v>
      </c>
      <c r="E267" s="5" t="s">
        <v>1837</v>
      </c>
      <c r="F267" s="5">
        <v>1.1167400000000001</v>
      </c>
      <c r="G267" s="5">
        <v>0.39197300000000002</v>
      </c>
      <c r="H267" s="5">
        <v>-1.51047</v>
      </c>
      <c r="I267" s="5">
        <v>1</v>
      </c>
      <c r="L267" s="2" t="s">
        <v>439</v>
      </c>
      <c r="M267" s="2">
        <v>1.7516400000000001</v>
      </c>
    </row>
    <row r="268" spans="1:13" x14ac:dyDescent="0.2">
      <c r="A268" s="5" t="s">
        <v>423</v>
      </c>
      <c r="B268" s="5" t="s">
        <v>3035</v>
      </c>
      <c r="C268" s="5" t="s">
        <v>2040</v>
      </c>
      <c r="D268" s="5" t="s">
        <v>1836</v>
      </c>
      <c r="E268" s="5" t="s">
        <v>1837</v>
      </c>
      <c r="F268" s="5">
        <v>2.6913900000000002</v>
      </c>
      <c r="G268" s="5">
        <v>0.44365100000000002</v>
      </c>
      <c r="H268" s="5">
        <v>-2.6008499999999999</v>
      </c>
      <c r="I268" s="5">
        <v>1</v>
      </c>
      <c r="L268" s="2" t="s">
        <v>440</v>
      </c>
      <c r="M268" s="2">
        <v>1.73874</v>
      </c>
    </row>
    <row r="269" spans="1:13" x14ac:dyDescent="0.2">
      <c r="A269" s="5" t="s">
        <v>424</v>
      </c>
      <c r="B269" s="5" t="s">
        <v>3015</v>
      </c>
      <c r="C269" s="5" t="s">
        <v>2040</v>
      </c>
      <c r="D269" s="5" t="s">
        <v>1836</v>
      </c>
      <c r="E269" s="5" t="s">
        <v>1837</v>
      </c>
      <c r="F269" s="5">
        <v>11.267099999999999</v>
      </c>
      <c r="G269" s="5">
        <v>4.6474000000000002</v>
      </c>
      <c r="H269" s="5">
        <v>-1.27762</v>
      </c>
      <c r="I269" s="5">
        <v>1</v>
      </c>
      <c r="L269" s="2" t="s">
        <v>443</v>
      </c>
      <c r="M269" s="2">
        <v>-1.7435700000000001</v>
      </c>
    </row>
    <row r="270" spans="1:13" x14ac:dyDescent="0.2">
      <c r="A270" s="5" t="s">
        <v>425</v>
      </c>
      <c r="B270" s="5" t="s">
        <v>3015</v>
      </c>
      <c r="C270" s="5" t="s">
        <v>2040</v>
      </c>
      <c r="D270" s="5" t="s">
        <v>1836</v>
      </c>
      <c r="E270" s="5" t="s">
        <v>1837</v>
      </c>
      <c r="F270" s="5">
        <v>1.00464</v>
      </c>
      <c r="G270" s="5">
        <v>2.7046299999999999</v>
      </c>
      <c r="H270" s="5">
        <v>1.42876</v>
      </c>
      <c r="I270" s="5">
        <v>1</v>
      </c>
      <c r="L270" s="2" t="s">
        <v>445</v>
      </c>
      <c r="M270" s="2">
        <v>1.4379299999999999</v>
      </c>
    </row>
    <row r="271" spans="1:13" x14ac:dyDescent="0.2">
      <c r="A271" s="5" t="s">
        <v>426</v>
      </c>
      <c r="B271" s="5" t="s">
        <v>3015</v>
      </c>
      <c r="C271" s="5" t="s">
        <v>2040</v>
      </c>
      <c r="D271" s="5" t="s">
        <v>1836</v>
      </c>
      <c r="E271" s="5" t="s">
        <v>1837</v>
      </c>
      <c r="F271" s="5">
        <v>9.9960799999999992</v>
      </c>
      <c r="G271" s="5">
        <v>3.98752</v>
      </c>
      <c r="H271" s="5">
        <v>-1.3258700000000001</v>
      </c>
      <c r="I271" s="5">
        <v>1</v>
      </c>
      <c r="L271" s="2" t="s">
        <v>446</v>
      </c>
      <c r="M271" s="2">
        <v>4.1008100000000001</v>
      </c>
    </row>
    <row r="272" spans="1:13" x14ac:dyDescent="0.2">
      <c r="A272" s="5" t="s">
        <v>428</v>
      </c>
      <c r="B272" s="5" t="s">
        <v>3080</v>
      </c>
      <c r="C272" s="5" t="s">
        <v>2041</v>
      </c>
      <c r="D272" s="5" t="s">
        <v>1836</v>
      </c>
      <c r="E272" s="5" t="s">
        <v>1837</v>
      </c>
      <c r="F272" s="5">
        <v>1.51708</v>
      </c>
      <c r="G272" s="5">
        <v>0.44758599999999998</v>
      </c>
      <c r="H272" s="5">
        <v>-1.7610600000000001</v>
      </c>
      <c r="I272" s="5">
        <v>1</v>
      </c>
      <c r="L272" s="2" t="s">
        <v>447</v>
      </c>
      <c r="M272" s="2">
        <v>-1.06718</v>
      </c>
    </row>
    <row r="273" spans="1:13" x14ac:dyDescent="0.2">
      <c r="A273" s="5" t="s">
        <v>429</v>
      </c>
      <c r="B273" s="5" t="s">
        <v>3094</v>
      </c>
      <c r="C273" s="5" t="s">
        <v>2042</v>
      </c>
      <c r="D273" s="5" t="s">
        <v>1836</v>
      </c>
      <c r="E273" s="5" t="s">
        <v>1837</v>
      </c>
      <c r="F273" s="5">
        <v>9.0958199999999998</v>
      </c>
      <c r="G273" s="5">
        <v>2.1496</v>
      </c>
      <c r="H273" s="5">
        <v>-2.08114</v>
      </c>
      <c r="I273" s="5">
        <v>1</v>
      </c>
      <c r="L273" s="2" t="s">
        <v>448</v>
      </c>
      <c r="M273" s="2">
        <v>1.0705899999999999</v>
      </c>
    </row>
    <row r="274" spans="1:13" x14ac:dyDescent="0.2">
      <c r="A274" s="5" t="s">
        <v>430</v>
      </c>
      <c r="B274" s="5" t="s">
        <v>3015</v>
      </c>
      <c r="C274" s="5" t="s">
        <v>2043</v>
      </c>
      <c r="D274" s="5" t="s">
        <v>1836</v>
      </c>
      <c r="E274" s="5" t="s">
        <v>1837</v>
      </c>
      <c r="F274" s="5">
        <v>2.1421100000000002</v>
      </c>
      <c r="G274" s="5">
        <v>0.90865899999999999</v>
      </c>
      <c r="H274" s="5">
        <v>-1.23722</v>
      </c>
      <c r="I274" s="5">
        <v>1</v>
      </c>
      <c r="L274" s="2" t="s">
        <v>449</v>
      </c>
      <c r="M274" s="2">
        <v>1.3679399999999999</v>
      </c>
    </row>
    <row r="275" spans="1:13" x14ac:dyDescent="0.2">
      <c r="A275" s="5" t="s">
        <v>432</v>
      </c>
      <c r="B275" s="5" t="s">
        <v>3015</v>
      </c>
      <c r="C275" s="5" t="s">
        <v>2044</v>
      </c>
      <c r="D275" s="5" t="s">
        <v>1836</v>
      </c>
      <c r="E275" s="5" t="s">
        <v>1837</v>
      </c>
      <c r="F275" s="5">
        <v>16.1647</v>
      </c>
      <c r="G275" s="5">
        <v>6.7198599999999997</v>
      </c>
      <c r="H275" s="5">
        <v>-1.26634</v>
      </c>
      <c r="I275" s="5">
        <v>1</v>
      </c>
      <c r="L275" s="2" t="s">
        <v>450</v>
      </c>
      <c r="M275" s="2">
        <v>-1.1029800000000001</v>
      </c>
    </row>
    <row r="276" spans="1:13" x14ac:dyDescent="0.2">
      <c r="A276" s="5" t="s">
        <v>433</v>
      </c>
      <c r="B276" s="5" t="s">
        <v>3015</v>
      </c>
      <c r="C276" s="5" t="s">
        <v>2045</v>
      </c>
      <c r="D276" s="5" t="s">
        <v>1836</v>
      </c>
      <c r="E276" s="5" t="s">
        <v>1837</v>
      </c>
      <c r="F276" s="5">
        <v>2.8269799999999998</v>
      </c>
      <c r="G276" s="5">
        <v>6.4980200000000004</v>
      </c>
      <c r="H276" s="5">
        <v>1.2007399999999999</v>
      </c>
      <c r="I276" s="5">
        <v>1</v>
      </c>
      <c r="L276" s="2" t="s">
        <v>451</v>
      </c>
      <c r="M276" s="2">
        <v>-1.01722</v>
      </c>
    </row>
    <row r="277" spans="1:13" x14ac:dyDescent="0.2">
      <c r="A277" s="5" t="s">
        <v>435</v>
      </c>
      <c r="B277" s="5" t="s">
        <v>3137</v>
      </c>
      <c r="C277" s="5" t="s">
        <v>2046</v>
      </c>
      <c r="D277" s="5" t="s">
        <v>1836</v>
      </c>
      <c r="E277" s="5" t="s">
        <v>1837</v>
      </c>
      <c r="F277" s="5">
        <v>1.03884</v>
      </c>
      <c r="G277" s="5">
        <v>3.54759</v>
      </c>
      <c r="H277" s="5">
        <v>1.7718700000000001</v>
      </c>
      <c r="I277" s="5">
        <v>1</v>
      </c>
      <c r="L277" s="2" t="s">
        <v>453</v>
      </c>
      <c r="M277" s="2">
        <v>1.4100600000000001</v>
      </c>
    </row>
    <row r="278" spans="1:13" x14ac:dyDescent="0.2">
      <c r="A278" s="5" t="s">
        <v>437</v>
      </c>
      <c r="B278" s="5" t="s">
        <v>3015</v>
      </c>
      <c r="C278" s="5" t="s">
        <v>3015</v>
      </c>
      <c r="D278" s="5" t="s">
        <v>1836</v>
      </c>
      <c r="E278" s="5" t="s">
        <v>1837</v>
      </c>
      <c r="F278" s="5">
        <v>969.59900000000005</v>
      </c>
      <c r="G278" s="5">
        <v>2122.85</v>
      </c>
      <c r="H278" s="5">
        <v>1.1305400000000001</v>
      </c>
      <c r="I278" s="5">
        <v>1</v>
      </c>
      <c r="L278" s="2" t="s">
        <v>454</v>
      </c>
      <c r="M278" s="2">
        <v>-1.2194</v>
      </c>
    </row>
    <row r="279" spans="1:13" x14ac:dyDescent="0.2">
      <c r="A279" s="5" t="s">
        <v>438</v>
      </c>
      <c r="B279" s="5" t="s">
        <v>3138</v>
      </c>
      <c r="C279" s="5" t="s">
        <v>2047</v>
      </c>
      <c r="D279" s="5" t="s">
        <v>1836</v>
      </c>
      <c r="E279" s="5" t="s">
        <v>1837</v>
      </c>
      <c r="F279" s="5">
        <v>86.625299999999996</v>
      </c>
      <c r="G279" s="5">
        <v>455.86399999999998</v>
      </c>
      <c r="H279" s="5">
        <v>2.39574</v>
      </c>
      <c r="I279" s="5">
        <v>1</v>
      </c>
      <c r="L279" s="2" t="s">
        <v>456</v>
      </c>
      <c r="M279" s="2">
        <v>-2.0447600000000001</v>
      </c>
    </row>
    <row r="280" spans="1:13" x14ac:dyDescent="0.2">
      <c r="A280" s="5" t="s">
        <v>439</v>
      </c>
      <c r="B280" s="5" t="s">
        <v>3138</v>
      </c>
      <c r="C280" s="5" t="s">
        <v>3015</v>
      </c>
      <c r="D280" s="5" t="s">
        <v>1836</v>
      </c>
      <c r="E280" s="5" t="s">
        <v>1837</v>
      </c>
      <c r="F280" s="5">
        <v>360.56200000000001</v>
      </c>
      <c r="G280" s="5">
        <v>1214.1600000000001</v>
      </c>
      <c r="H280" s="5">
        <v>1.7516400000000001</v>
      </c>
      <c r="I280" s="5">
        <v>1</v>
      </c>
      <c r="L280" s="2" t="s">
        <v>457</v>
      </c>
      <c r="M280" s="2">
        <v>1.3036399999999999</v>
      </c>
    </row>
    <row r="281" spans="1:13" x14ac:dyDescent="0.2">
      <c r="A281" s="5" t="s">
        <v>440</v>
      </c>
      <c r="B281" s="5" t="s">
        <v>3138</v>
      </c>
      <c r="C281" s="5" t="s">
        <v>1847</v>
      </c>
      <c r="D281" s="5" t="s">
        <v>1836</v>
      </c>
      <c r="E281" s="5" t="s">
        <v>1837</v>
      </c>
      <c r="F281" s="5">
        <v>326.73700000000002</v>
      </c>
      <c r="G281" s="5">
        <v>1090.46</v>
      </c>
      <c r="H281" s="5">
        <v>1.73874</v>
      </c>
      <c r="I281" s="5">
        <v>1</v>
      </c>
      <c r="L281" s="2" t="s">
        <v>458</v>
      </c>
      <c r="M281" s="2">
        <v>-1.0983400000000001</v>
      </c>
    </row>
    <row r="282" spans="1:13" x14ac:dyDescent="0.2">
      <c r="A282" s="5" t="s">
        <v>443</v>
      </c>
      <c r="B282" s="5" t="s">
        <v>3139</v>
      </c>
      <c r="C282" s="5" t="s">
        <v>2048</v>
      </c>
      <c r="D282" s="5" t="s">
        <v>1836</v>
      </c>
      <c r="E282" s="5" t="s">
        <v>1837</v>
      </c>
      <c r="F282" s="5">
        <v>26.4116</v>
      </c>
      <c r="G282" s="5">
        <v>7.88727</v>
      </c>
      <c r="H282" s="5">
        <v>-1.7435700000000001</v>
      </c>
      <c r="I282" s="5">
        <v>1</v>
      </c>
      <c r="L282" s="2" t="s">
        <v>461</v>
      </c>
      <c r="M282" s="2">
        <v>-1.2772600000000001</v>
      </c>
    </row>
    <row r="283" spans="1:13" x14ac:dyDescent="0.2">
      <c r="A283" s="5" t="s">
        <v>444</v>
      </c>
      <c r="B283" s="5" t="s">
        <v>3140</v>
      </c>
      <c r="C283" s="5" t="s">
        <v>3015</v>
      </c>
      <c r="D283" s="5" t="s">
        <v>1836</v>
      </c>
      <c r="E283" s="5" t="s">
        <v>1837</v>
      </c>
      <c r="F283" s="5">
        <v>0</v>
      </c>
      <c r="G283" s="5">
        <v>0.82311900000000005</v>
      </c>
      <c r="H283" s="5" t="s">
        <v>3021</v>
      </c>
      <c r="I283" s="5" t="s">
        <v>3021</v>
      </c>
      <c r="L283" s="2" t="s">
        <v>462</v>
      </c>
      <c r="M283" s="2">
        <v>1.6682399999999999</v>
      </c>
    </row>
    <row r="284" spans="1:13" x14ac:dyDescent="0.2">
      <c r="A284" s="5" t="s">
        <v>445</v>
      </c>
      <c r="B284" s="5" t="s">
        <v>3141</v>
      </c>
      <c r="C284" s="5" t="s">
        <v>2049</v>
      </c>
      <c r="D284" s="5" t="s">
        <v>1836</v>
      </c>
      <c r="E284" s="5" t="s">
        <v>1837</v>
      </c>
      <c r="F284" s="5">
        <v>4.5028600000000001</v>
      </c>
      <c r="G284" s="5">
        <v>12.1997</v>
      </c>
      <c r="H284" s="5">
        <v>1.4379299999999999</v>
      </c>
      <c r="I284" s="5">
        <v>1</v>
      </c>
      <c r="L284" s="2" t="s">
        <v>464</v>
      </c>
      <c r="M284" s="2">
        <v>-1.0004900000000001</v>
      </c>
    </row>
    <row r="285" spans="1:13" x14ac:dyDescent="0.2">
      <c r="A285" s="5" t="s">
        <v>446</v>
      </c>
      <c r="B285" s="5" t="s">
        <v>3038</v>
      </c>
      <c r="C285" s="5" t="s">
        <v>2050</v>
      </c>
      <c r="D285" s="5" t="s">
        <v>1836</v>
      </c>
      <c r="E285" s="5" t="s">
        <v>1837</v>
      </c>
      <c r="F285" s="5">
        <v>6.15478E-2</v>
      </c>
      <c r="G285" s="5">
        <v>1.0560400000000001</v>
      </c>
      <c r="H285" s="5">
        <v>4.1008100000000001</v>
      </c>
      <c r="I285" s="5">
        <v>1</v>
      </c>
      <c r="L285" s="2" t="s">
        <v>466</v>
      </c>
      <c r="M285" s="2">
        <v>1.0778000000000001</v>
      </c>
    </row>
    <row r="286" spans="1:13" x14ac:dyDescent="0.2">
      <c r="A286" s="5" t="s">
        <v>447</v>
      </c>
      <c r="B286" s="5" t="s">
        <v>3142</v>
      </c>
      <c r="C286" s="5" t="s">
        <v>2051</v>
      </c>
      <c r="D286" s="5" t="s">
        <v>1836</v>
      </c>
      <c r="E286" s="5" t="s">
        <v>1837</v>
      </c>
      <c r="F286" s="5">
        <v>16.833100000000002</v>
      </c>
      <c r="G286" s="5">
        <v>8.0335999999999999</v>
      </c>
      <c r="H286" s="5">
        <v>-1.06718</v>
      </c>
      <c r="I286" s="5">
        <v>1</v>
      </c>
      <c r="L286" s="2" t="s">
        <v>467</v>
      </c>
      <c r="M286" s="2">
        <v>1.23614</v>
      </c>
    </row>
    <row r="287" spans="1:13" x14ac:dyDescent="0.2">
      <c r="A287" s="5" t="s">
        <v>448</v>
      </c>
      <c r="B287" s="5" t="s">
        <v>3045</v>
      </c>
      <c r="C287" s="5" t="s">
        <v>2052</v>
      </c>
      <c r="D287" s="5" t="s">
        <v>1836</v>
      </c>
      <c r="E287" s="5" t="s">
        <v>1837</v>
      </c>
      <c r="F287" s="5">
        <v>8.6323699999999999</v>
      </c>
      <c r="G287" s="5">
        <v>18.130500000000001</v>
      </c>
      <c r="H287" s="5">
        <v>1.0705899999999999</v>
      </c>
      <c r="I287" s="5">
        <v>1</v>
      </c>
      <c r="L287" s="2" t="s">
        <v>468</v>
      </c>
      <c r="M287" s="2">
        <v>-1.17628</v>
      </c>
    </row>
    <row r="288" spans="1:13" x14ac:dyDescent="0.2">
      <c r="A288" s="5" t="s">
        <v>449</v>
      </c>
      <c r="B288" s="5" t="s">
        <v>3024</v>
      </c>
      <c r="C288" s="5" t="s">
        <v>2053</v>
      </c>
      <c r="D288" s="5" t="s">
        <v>1836</v>
      </c>
      <c r="E288" s="5" t="s">
        <v>1837</v>
      </c>
      <c r="F288" s="5">
        <v>0.374946</v>
      </c>
      <c r="G288" s="5">
        <v>0.96774199999999999</v>
      </c>
      <c r="H288" s="5">
        <v>1.3679399999999999</v>
      </c>
      <c r="I288" s="5">
        <v>1</v>
      </c>
      <c r="L288" s="2" t="s">
        <v>472</v>
      </c>
      <c r="M288" s="2">
        <v>-1.08605</v>
      </c>
    </row>
    <row r="289" spans="1:13" x14ac:dyDescent="0.2">
      <c r="A289" s="5" t="s">
        <v>450</v>
      </c>
      <c r="B289" s="5" t="s">
        <v>3113</v>
      </c>
      <c r="C289" s="5" t="s">
        <v>2054</v>
      </c>
      <c r="D289" s="5" t="s">
        <v>1836</v>
      </c>
      <c r="E289" s="5" t="s">
        <v>1837</v>
      </c>
      <c r="F289" s="5">
        <v>1.51247</v>
      </c>
      <c r="G289" s="5">
        <v>0.70413599999999998</v>
      </c>
      <c r="H289" s="5">
        <v>-1.1029800000000001</v>
      </c>
      <c r="I289" s="5">
        <v>1</v>
      </c>
      <c r="L289" s="2" t="s">
        <v>476</v>
      </c>
      <c r="M289" s="2">
        <v>1.90171</v>
      </c>
    </row>
    <row r="290" spans="1:13" x14ac:dyDescent="0.2">
      <c r="A290" s="5" t="s">
        <v>451</v>
      </c>
      <c r="B290" s="5" t="s">
        <v>3015</v>
      </c>
      <c r="C290" s="5" t="s">
        <v>2055</v>
      </c>
      <c r="D290" s="5" t="s">
        <v>1836</v>
      </c>
      <c r="E290" s="5" t="s">
        <v>1837</v>
      </c>
      <c r="F290" s="5">
        <v>4.1602499999999996</v>
      </c>
      <c r="G290" s="5">
        <v>2.05545</v>
      </c>
      <c r="H290" s="5">
        <v>-1.01722</v>
      </c>
      <c r="I290" s="5">
        <v>1</v>
      </c>
      <c r="L290" s="2" t="s">
        <v>479</v>
      </c>
      <c r="M290" s="2">
        <v>-2.26579</v>
      </c>
    </row>
    <row r="291" spans="1:13" x14ac:dyDescent="0.2">
      <c r="A291" s="5" t="s">
        <v>453</v>
      </c>
      <c r="B291" s="5" t="s">
        <v>3015</v>
      </c>
      <c r="C291" s="5" t="s">
        <v>2056</v>
      </c>
      <c r="D291" s="5" t="s">
        <v>1836</v>
      </c>
      <c r="E291" s="5" t="s">
        <v>1837</v>
      </c>
      <c r="F291" s="5">
        <v>1.68692</v>
      </c>
      <c r="G291" s="5">
        <v>4.4829600000000003</v>
      </c>
      <c r="H291" s="5">
        <v>1.4100600000000001</v>
      </c>
      <c r="I291" s="5">
        <v>1</v>
      </c>
      <c r="L291" s="2" t="s">
        <v>480</v>
      </c>
      <c r="M291" s="2">
        <v>-1.9907999999999999</v>
      </c>
    </row>
    <row r="292" spans="1:13" x14ac:dyDescent="0.2">
      <c r="A292" s="5" t="s">
        <v>454</v>
      </c>
      <c r="B292" s="5" t="s">
        <v>3058</v>
      </c>
      <c r="C292" s="5" t="s">
        <v>2057</v>
      </c>
      <c r="D292" s="5" t="s">
        <v>1836</v>
      </c>
      <c r="E292" s="5" t="s">
        <v>1837</v>
      </c>
      <c r="F292" s="5">
        <v>9.4695099999999996</v>
      </c>
      <c r="G292" s="5">
        <v>4.0667799999999996</v>
      </c>
      <c r="H292" s="5">
        <v>-1.2194</v>
      </c>
      <c r="I292" s="5">
        <v>1</v>
      </c>
      <c r="L292" s="2" t="s">
        <v>482</v>
      </c>
      <c r="M292" s="2">
        <v>2.60256</v>
      </c>
    </row>
    <row r="293" spans="1:13" x14ac:dyDescent="0.2">
      <c r="A293" s="5" t="s">
        <v>456</v>
      </c>
      <c r="B293" s="5" t="s">
        <v>3143</v>
      </c>
      <c r="C293" s="5" t="s">
        <v>2058</v>
      </c>
      <c r="D293" s="5" t="s">
        <v>1836</v>
      </c>
      <c r="E293" s="5" t="s">
        <v>1837</v>
      </c>
      <c r="F293" s="5">
        <v>389.113</v>
      </c>
      <c r="G293" s="5">
        <v>94.306399999999996</v>
      </c>
      <c r="H293" s="5">
        <v>-2.0447600000000001</v>
      </c>
      <c r="I293" s="5">
        <v>1</v>
      </c>
      <c r="L293" s="2" t="s">
        <v>484</v>
      </c>
      <c r="M293" s="2">
        <v>-1.7902499999999999</v>
      </c>
    </row>
    <row r="294" spans="1:13" x14ac:dyDescent="0.2">
      <c r="A294" s="5" t="s">
        <v>457</v>
      </c>
      <c r="B294" s="5" t="s">
        <v>3015</v>
      </c>
      <c r="C294" s="5" t="s">
        <v>3015</v>
      </c>
      <c r="D294" s="5" t="s">
        <v>1836</v>
      </c>
      <c r="E294" s="5" t="s">
        <v>1837</v>
      </c>
      <c r="F294" s="5">
        <v>1.3376999999999999</v>
      </c>
      <c r="G294" s="5">
        <v>3.3021400000000001</v>
      </c>
      <c r="H294" s="5">
        <v>1.3036399999999999</v>
      </c>
      <c r="I294" s="5">
        <v>1</v>
      </c>
      <c r="L294" s="2" t="s">
        <v>487</v>
      </c>
      <c r="M294" s="2">
        <v>1.21957</v>
      </c>
    </row>
    <row r="295" spans="1:13" x14ac:dyDescent="0.2">
      <c r="A295" s="5" t="s">
        <v>458</v>
      </c>
      <c r="B295" s="5" t="s">
        <v>3103</v>
      </c>
      <c r="C295" s="5" t="s">
        <v>2059</v>
      </c>
      <c r="D295" s="5" t="s">
        <v>1836</v>
      </c>
      <c r="E295" s="5" t="s">
        <v>1837</v>
      </c>
      <c r="F295" s="5">
        <v>79.824399999999997</v>
      </c>
      <c r="G295" s="5">
        <v>37.282200000000003</v>
      </c>
      <c r="H295" s="5">
        <v>-1.0983400000000001</v>
      </c>
      <c r="I295" s="5">
        <v>1</v>
      </c>
      <c r="L295" s="2" t="s">
        <v>488</v>
      </c>
      <c r="M295" s="2">
        <v>-1.1886300000000001</v>
      </c>
    </row>
    <row r="296" spans="1:13" x14ac:dyDescent="0.2">
      <c r="A296" s="5" t="s">
        <v>461</v>
      </c>
      <c r="B296" s="5" t="s">
        <v>3015</v>
      </c>
      <c r="C296" s="5" t="s">
        <v>2060</v>
      </c>
      <c r="D296" s="5" t="s">
        <v>1836</v>
      </c>
      <c r="E296" s="5" t="s">
        <v>1837</v>
      </c>
      <c r="F296" s="5">
        <v>9.4544499999999996</v>
      </c>
      <c r="G296" s="5">
        <v>3.9007000000000001</v>
      </c>
      <c r="H296" s="5">
        <v>-1.2772600000000001</v>
      </c>
      <c r="I296" s="5">
        <v>1</v>
      </c>
      <c r="L296" s="2" t="s">
        <v>490</v>
      </c>
      <c r="M296" s="2">
        <v>1.1321000000000001</v>
      </c>
    </row>
    <row r="297" spans="1:13" x14ac:dyDescent="0.2">
      <c r="A297" s="5" t="s">
        <v>462</v>
      </c>
      <c r="B297" s="5" t="s">
        <v>3015</v>
      </c>
      <c r="C297" s="5" t="s">
        <v>2061</v>
      </c>
      <c r="D297" s="5" t="s">
        <v>1836</v>
      </c>
      <c r="E297" s="5" t="s">
        <v>1837</v>
      </c>
      <c r="F297" s="5">
        <v>0.94986999999999999</v>
      </c>
      <c r="G297" s="5">
        <v>3.0189400000000002</v>
      </c>
      <c r="H297" s="5">
        <v>1.6682399999999999</v>
      </c>
      <c r="I297" s="5">
        <v>1</v>
      </c>
      <c r="L297" s="2" t="s">
        <v>491</v>
      </c>
      <c r="M297" s="2">
        <v>1.0990899999999999</v>
      </c>
    </row>
    <row r="298" spans="1:13" x14ac:dyDescent="0.2">
      <c r="A298" s="5" t="s">
        <v>464</v>
      </c>
      <c r="B298" s="5" t="s">
        <v>3144</v>
      </c>
      <c r="C298" s="5" t="s">
        <v>2062</v>
      </c>
      <c r="D298" s="5" t="s">
        <v>1836</v>
      </c>
      <c r="E298" s="5" t="s">
        <v>1837</v>
      </c>
      <c r="F298" s="5">
        <v>22.780999999999999</v>
      </c>
      <c r="G298" s="5">
        <v>11.3866</v>
      </c>
      <c r="H298" s="5">
        <v>-1.0004900000000001</v>
      </c>
      <c r="I298" s="5">
        <v>1</v>
      </c>
      <c r="L298" s="2" t="s">
        <v>492</v>
      </c>
      <c r="M298" s="2">
        <v>1.39184</v>
      </c>
    </row>
    <row r="299" spans="1:13" x14ac:dyDescent="0.2">
      <c r="A299" s="5" t="s">
        <v>466</v>
      </c>
      <c r="B299" s="5" t="s">
        <v>3015</v>
      </c>
      <c r="C299" s="5" t="s">
        <v>2063</v>
      </c>
      <c r="D299" s="5" t="s">
        <v>1836</v>
      </c>
      <c r="E299" s="5" t="s">
        <v>1837</v>
      </c>
      <c r="F299" s="5">
        <v>7.7536300000000002</v>
      </c>
      <c r="G299" s="5">
        <v>16.366399999999999</v>
      </c>
      <c r="H299" s="5">
        <v>1.0778000000000001</v>
      </c>
      <c r="I299" s="5">
        <v>1</v>
      </c>
      <c r="L299" s="2" t="s">
        <v>493</v>
      </c>
      <c r="M299" s="2">
        <v>-1.0339100000000001</v>
      </c>
    </row>
    <row r="300" spans="1:13" x14ac:dyDescent="0.2">
      <c r="A300" s="5" t="s">
        <v>467</v>
      </c>
      <c r="B300" s="5" t="s">
        <v>3145</v>
      </c>
      <c r="C300" s="5" t="s">
        <v>2064</v>
      </c>
      <c r="D300" s="5" t="s">
        <v>1836</v>
      </c>
      <c r="E300" s="5" t="s">
        <v>1837</v>
      </c>
      <c r="F300" s="5">
        <v>0.37391600000000003</v>
      </c>
      <c r="G300" s="5">
        <v>0.880826</v>
      </c>
      <c r="H300" s="5">
        <v>1.23614</v>
      </c>
      <c r="I300" s="5">
        <v>1</v>
      </c>
      <c r="L300" s="2" t="s">
        <v>494</v>
      </c>
      <c r="M300" s="2">
        <v>1.2077899999999999</v>
      </c>
    </row>
    <row r="301" spans="1:13" x14ac:dyDescent="0.2">
      <c r="A301" s="5" t="s">
        <v>468</v>
      </c>
      <c r="B301" s="5" t="s">
        <v>3015</v>
      </c>
      <c r="C301" s="5" t="s">
        <v>1923</v>
      </c>
      <c r="D301" s="5" t="s">
        <v>1836</v>
      </c>
      <c r="E301" s="5" t="s">
        <v>1837</v>
      </c>
      <c r="F301" s="5">
        <v>1.01553</v>
      </c>
      <c r="G301" s="5">
        <v>0.44936399999999999</v>
      </c>
      <c r="H301" s="5">
        <v>-1.17628</v>
      </c>
      <c r="I301" s="5">
        <v>1</v>
      </c>
      <c r="L301" s="2" t="s">
        <v>496</v>
      </c>
      <c r="M301" s="2">
        <v>-1.8801699999999999</v>
      </c>
    </row>
    <row r="302" spans="1:13" x14ac:dyDescent="0.2">
      <c r="A302" s="5" t="s">
        <v>472</v>
      </c>
      <c r="B302" s="5" t="s">
        <v>3146</v>
      </c>
      <c r="C302" s="5" t="s">
        <v>2065</v>
      </c>
      <c r="D302" s="5" t="s">
        <v>1836</v>
      </c>
      <c r="E302" s="5" t="s">
        <v>1837</v>
      </c>
      <c r="F302" s="5">
        <v>3.1817299999999999</v>
      </c>
      <c r="G302" s="5">
        <v>1.49875</v>
      </c>
      <c r="H302" s="5">
        <v>-1.08605</v>
      </c>
      <c r="I302" s="5">
        <v>1</v>
      </c>
      <c r="L302" s="2" t="s">
        <v>497</v>
      </c>
      <c r="M302" s="2">
        <v>1.5279</v>
      </c>
    </row>
    <row r="303" spans="1:13" x14ac:dyDescent="0.2">
      <c r="A303" s="5" t="s">
        <v>476</v>
      </c>
      <c r="B303" s="5" t="s">
        <v>3147</v>
      </c>
      <c r="C303" s="5" t="s">
        <v>2066</v>
      </c>
      <c r="D303" s="5" t="s">
        <v>1836</v>
      </c>
      <c r="E303" s="5" t="s">
        <v>1837</v>
      </c>
      <c r="F303" s="5">
        <v>0.87570499999999996</v>
      </c>
      <c r="G303" s="5">
        <v>3.2721200000000001</v>
      </c>
      <c r="H303" s="5">
        <v>1.90171</v>
      </c>
      <c r="I303" s="5">
        <v>1</v>
      </c>
      <c r="L303" s="2" t="s">
        <v>498</v>
      </c>
      <c r="M303" s="2">
        <v>1.61111</v>
      </c>
    </row>
    <row r="304" spans="1:13" x14ac:dyDescent="0.2">
      <c r="A304" s="5" t="s">
        <v>479</v>
      </c>
      <c r="B304" s="5" t="s">
        <v>3015</v>
      </c>
      <c r="C304" s="5" t="s">
        <v>2067</v>
      </c>
      <c r="D304" s="5" t="s">
        <v>1836</v>
      </c>
      <c r="E304" s="5" t="s">
        <v>1837</v>
      </c>
      <c r="F304" s="5">
        <v>8.7289999999999992</v>
      </c>
      <c r="G304" s="5">
        <v>1.81507</v>
      </c>
      <c r="H304" s="5">
        <v>-2.26579</v>
      </c>
      <c r="I304" s="5">
        <v>1</v>
      </c>
      <c r="L304" s="2" t="s">
        <v>499</v>
      </c>
      <c r="M304" s="2">
        <v>-1.19594</v>
      </c>
    </row>
    <row r="305" spans="1:13" x14ac:dyDescent="0.2">
      <c r="A305" s="5" t="s">
        <v>480</v>
      </c>
      <c r="B305" s="5" t="s">
        <v>3039</v>
      </c>
      <c r="C305" s="5" t="s">
        <v>2068</v>
      </c>
      <c r="D305" s="5" t="s">
        <v>1836</v>
      </c>
      <c r="E305" s="5" t="s">
        <v>1837</v>
      </c>
      <c r="F305" s="5">
        <v>9.6453000000000007</v>
      </c>
      <c r="G305" s="5">
        <v>2.4267500000000002</v>
      </c>
      <c r="H305" s="5">
        <v>-1.9907999999999999</v>
      </c>
      <c r="I305" s="5">
        <v>1</v>
      </c>
      <c r="L305" s="2" t="s">
        <v>502</v>
      </c>
      <c r="M305" s="2">
        <v>-1.07378</v>
      </c>
    </row>
    <row r="306" spans="1:13" x14ac:dyDescent="0.2">
      <c r="A306" s="5" t="s">
        <v>482</v>
      </c>
      <c r="B306" s="5" t="s">
        <v>3015</v>
      </c>
      <c r="C306" s="5" t="s">
        <v>2069</v>
      </c>
      <c r="D306" s="5" t="s">
        <v>1836</v>
      </c>
      <c r="E306" s="5" t="s">
        <v>1837</v>
      </c>
      <c r="F306" s="5">
        <v>1.3284100000000001</v>
      </c>
      <c r="G306" s="5">
        <v>8.0682899999999993</v>
      </c>
      <c r="H306" s="5">
        <v>2.60256</v>
      </c>
      <c r="I306" s="5">
        <v>1</v>
      </c>
      <c r="L306" s="2" t="s">
        <v>505</v>
      </c>
      <c r="M306" s="2">
        <v>-1.1269899999999999</v>
      </c>
    </row>
    <row r="307" spans="1:13" x14ac:dyDescent="0.2">
      <c r="A307" s="5" t="s">
        <v>484</v>
      </c>
      <c r="B307" s="5" t="s">
        <v>3015</v>
      </c>
      <c r="C307" s="5" t="s">
        <v>2070</v>
      </c>
      <c r="D307" s="5" t="s">
        <v>1836</v>
      </c>
      <c r="E307" s="5" t="s">
        <v>1837</v>
      </c>
      <c r="F307" s="5">
        <v>15.450100000000001</v>
      </c>
      <c r="G307" s="5">
        <v>4.4669699999999999</v>
      </c>
      <c r="H307" s="5">
        <v>-1.7902499999999999</v>
      </c>
      <c r="I307" s="5">
        <v>1</v>
      </c>
      <c r="L307" s="2" t="s">
        <v>507</v>
      </c>
      <c r="M307" s="2">
        <v>1.2401199999999999</v>
      </c>
    </row>
    <row r="308" spans="1:13" x14ac:dyDescent="0.2">
      <c r="A308" s="5" t="s">
        <v>487</v>
      </c>
      <c r="B308" s="5" t="s">
        <v>3015</v>
      </c>
      <c r="C308" s="5" t="s">
        <v>2071</v>
      </c>
      <c r="D308" s="5" t="s">
        <v>1836</v>
      </c>
      <c r="E308" s="5" t="s">
        <v>1837</v>
      </c>
      <c r="F308" s="5">
        <v>0.79222899999999996</v>
      </c>
      <c r="G308" s="5">
        <v>1.8449199999999999</v>
      </c>
      <c r="H308" s="5">
        <v>1.21957</v>
      </c>
      <c r="I308" s="5">
        <v>1</v>
      </c>
      <c r="L308" s="2" t="s">
        <v>508</v>
      </c>
      <c r="M308" s="2">
        <v>1.5728599999999999</v>
      </c>
    </row>
    <row r="309" spans="1:13" x14ac:dyDescent="0.2">
      <c r="A309" s="5" t="s">
        <v>488</v>
      </c>
      <c r="B309" s="5" t="s">
        <v>3015</v>
      </c>
      <c r="C309" s="5" t="s">
        <v>2072</v>
      </c>
      <c r="D309" s="5" t="s">
        <v>1836</v>
      </c>
      <c r="E309" s="5" t="s">
        <v>1837</v>
      </c>
      <c r="F309" s="5">
        <v>1.6633800000000001</v>
      </c>
      <c r="G309" s="5">
        <v>0.72975900000000005</v>
      </c>
      <c r="H309" s="5">
        <v>-1.1886300000000001</v>
      </c>
      <c r="I309" s="5">
        <v>1</v>
      </c>
      <c r="L309" s="2" t="s">
        <v>511</v>
      </c>
      <c r="M309" s="2">
        <v>1.1041099999999999</v>
      </c>
    </row>
    <row r="310" spans="1:13" x14ac:dyDescent="0.2">
      <c r="A310" s="5" t="s">
        <v>490</v>
      </c>
      <c r="B310" s="5" t="s">
        <v>3148</v>
      </c>
      <c r="C310" s="5" t="s">
        <v>2073</v>
      </c>
      <c r="D310" s="5" t="s">
        <v>1836</v>
      </c>
      <c r="E310" s="5" t="s">
        <v>1837</v>
      </c>
      <c r="F310" s="5">
        <v>1.3246</v>
      </c>
      <c r="G310" s="5">
        <v>2.9032300000000002</v>
      </c>
      <c r="H310" s="5">
        <v>1.1321000000000001</v>
      </c>
      <c r="I310" s="5">
        <v>1</v>
      </c>
      <c r="L310" s="2" t="s">
        <v>512</v>
      </c>
      <c r="M310" s="2">
        <v>-1.53332</v>
      </c>
    </row>
    <row r="311" spans="1:13" x14ac:dyDescent="0.2">
      <c r="A311" s="5" t="s">
        <v>491</v>
      </c>
      <c r="B311" s="5" t="s">
        <v>3015</v>
      </c>
      <c r="C311" s="5" t="s">
        <v>2074</v>
      </c>
      <c r="D311" s="5" t="s">
        <v>1836</v>
      </c>
      <c r="E311" s="5" t="s">
        <v>1837</v>
      </c>
      <c r="F311" s="5">
        <v>0.51229999999999998</v>
      </c>
      <c r="G311" s="5">
        <v>1.09744</v>
      </c>
      <c r="H311" s="5">
        <v>1.0990899999999999</v>
      </c>
      <c r="I311" s="5">
        <v>1</v>
      </c>
      <c r="L311" s="2" t="s">
        <v>516</v>
      </c>
      <c r="M311" s="2">
        <v>1.1415</v>
      </c>
    </row>
    <row r="312" spans="1:13" x14ac:dyDescent="0.2">
      <c r="A312" s="5" t="s">
        <v>492</v>
      </c>
      <c r="B312" s="5" t="s">
        <v>3015</v>
      </c>
      <c r="C312" s="5" t="s">
        <v>2075</v>
      </c>
      <c r="D312" s="5" t="s">
        <v>1836</v>
      </c>
      <c r="E312" s="5" t="s">
        <v>1837</v>
      </c>
      <c r="F312" s="5">
        <v>3.4392999999999998</v>
      </c>
      <c r="G312" s="5">
        <v>9.0251599999999996</v>
      </c>
      <c r="H312" s="5">
        <v>1.39184</v>
      </c>
      <c r="I312" s="5">
        <v>1</v>
      </c>
      <c r="L312" s="2" t="s">
        <v>517</v>
      </c>
      <c r="M312" s="2">
        <v>-1.2004900000000001</v>
      </c>
    </row>
    <row r="313" spans="1:13" x14ac:dyDescent="0.2">
      <c r="A313" s="5" t="s">
        <v>493</v>
      </c>
      <c r="B313" s="5" t="s">
        <v>3015</v>
      </c>
      <c r="C313" s="5" t="s">
        <v>2076</v>
      </c>
      <c r="D313" s="5" t="s">
        <v>1836</v>
      </c>
      <c r="E313" s="5" t="s">
        <v>1837</v>
      </c>
      <c r="F313" s="5">
        <v>2.2652600000000001</v>
      </c>
      <c r="G313" s="5">
        <v>1.10632</v>
      </c>
      <c r="H313" s="5">
        <v>-1.0339100000000001</v>
      </c>
      <c r="I313" s="5">
        <v>1</v>
      </c>
      <c r="L313" s="2" t="s">
        <v>518</v>
      </c>
      <c r="M313" s="2">
        <v>-2.1844199999999998</v>
      </c>
    </row>
    <row r="314" spans="1:13" x14ac:dyDescent="0.2">
      <c r="A314" s="5" t="s">
        <v>494</v>
      </c>
      <c r="B314" s="5" t="s">
        <v>3089</v>
      </c>
      <c r="C314" s="5" t="s">
        <v>2077</v>
      </c>
      <c r="D314" s="5" t="s">
        <v>1836</v>
      </c>
      <c r="E314" s="5" t="s">
        <v>1837</v>
      </c>
      <c r="F314" s="5">
        <v>3.22445</v>
      </c>
      <c r="G314" s="5">
        <v>7.44794</v>
      </c>
      <c r="H314" s="5">
        <v>1.2077899999999999</v>
      </c>
      <c r="I314" s="5">
        <v>1</v>
      </c>
      <c r="L314" s="2" t="s">
        <v>520</v>
      </c>
      <c r="M314" s="2">
        <v>-1.18136</v>
      </c>
    </row>
    <row r="315" spans="1:13" x14ac:dyDescent="0.2">
      <c r="A315" s="5" t="s">
        <v>496</v>
      </c>
      <c r="B315" s="5" t="s">
        <v>3015</v>
      </c>
      <c r="C315" s="5" t="s">
        <v>1847</v>
      </c>
      <c r="D315" s="5" t="s">
        <v>1836</v>
      </c>
      <c r="E315" s="5" t="s">
        <v>1837</v>
      </c>
      <c r="F315" s="5">
        <v>2.05965</v>
      </c>
      <c r="G315" s="5">
        <v>0.55950800000000001</v>
      </c>
      <c r="H315" s="5">
        <v>-1.8801699999999999</v>
      </c>
      <c r="I315" s="5">
        <v>1</v>
      </c>
      <c r="L315" s="2" t="s">
        <v>521</v>
      </c>
      <c r="M315" s="2">
        <v>-1.64205</v>
      </c>
    </row>
    <row r="316" spans="1:13" x14ac:dyDescent="0.2">
      <c r="A316" s="5" t="s">
        <v>497</v>
      </c>
      <c r="B316" s="5" t="s">
        <v>3030</v>
      </c>
      <c r="C316" s="5" t="s">
        <v>2017</v>
      </c>
      <c r="D316" s="5" t="s">
        <v>1836</v>
      </c>
      <c r="E316" s="5" t="s">
        <v>1837</v>
      </c>
      <c r="F316" s="5">
        <v>0.79614300000000005</v>
      </c>
      <c r="G316" s="5">
        <v>2.2957999999999998</v>
      </c>
      <c r="H316" s="5">
        <v>1.5279</v>
      </c>
      <c r="I316" s="5">
        <v>1</v>
      </c>
      <c r="L316" s="2" t="s">
        <v>522</v>
      </c>
      <c r="M316" s="2">
        <v>1.1881999999999999</v>
      </c>
    </row>
    <row r="317" spans="1:13" x14ac:dyDescent="0.2">
      <c r="A317" s="5" t="s">
        <v>498</v>
      </c>
      <c r="B317" s="5" t="s">
        <v>3015</v>
      </c>
      <c r="C317" s="5" t="s">
        <v>2078</v>
      </c>
      <c r="D317" s="5" t="s">
        <v>1836</v>
      </c>
      <c r="E317" s="5" t="s">
        <v>1837</v>
      </c>
      <c r="F317" s="5">
        <v>35.1813</v>
      </c>
      <c r="G317" s="5">
        <v>107.474</v>
      </c>
      <c r="H317" s="5">
        <v>1.61111</v>
      </c>
      <c r="I317" s="5">
        <v>1</v>
      </c>
      <c r="L317" s="2" t="s">
        <v>523</v>
      </c>
      <c r="M317" s="2">
        <v>-1.5713200000000001</v>
      </c>
    </row>
    <row r="318" spans="1:13" x14ac:dyDescent="0.2">
      <c r="A318" s="5" t="s">
        <v>499</v>
      </c>
      <c r="B318" s="5" t="s">
        <v>3015</v>
      </c>
      <c r="C318" s="5" t="s">
        <v>2079</v>
      </c>
      <c r="D318" s="5" t="s">
        <v>1836</v>
      </c>
      <c r="E318" s="5" t="s">
        <v>1837</v>
      </c>
      <c r="F318" s="5">
        <v>18.740300000000001</v>
      </c>
      <c r="G318" s="5">
        <v>8.1801600000000008</v>
      </c>
      <c r="H318" s="5">
        <v>-1.19594</v>
      </c>
      <c r="I318" s="5">
        <v>1</v>
      </c>
      <c r="L318" s="2" t="s">
        <v>524</v>
      </c>
      <c r="M318" s="2">
        <v>-1.95137</v>
      </c>
    </row>
    <row r="319" spans="1:13" x14ac:dyDescent="0.2">
      <c r="A319" s="5" t="s">
        <v>502</v>
      </c>
      <c r="B319" s="5" t="s">
        <v>3100</v>
      </c>
      <c r="C319" s="5" t="s">
        <v>2080</v>
      </c>
      <c r="D319" s="5" t="s">
        <v>1836</v>
      </c>
      <c r="E319" s="5" t="s">
        <v>1837</v>
      </c>
      <c r="F319" s="5">
        <v>7.7516100000000003</v>
      </c>
      <c r="G319" s="5">
        <v>3.6825800000000002</v>
      </c>
      <c r="H319" s="5">
        <v>-1.07378</v>
      </c>
      <c r="I319" s="5">
        <v>1</v>
      </c>
      <c r="L319" s="2" t="s">
        <v>525</v>
      </c>
      <c r="M319" s="2">
        <v>-2.1175000000000002</v>
      </c>
    </row>
    <row r="320" spans="1:13" x14ac:dyDescent="0.2">
      <c r="A320" s="5" t="s">
        <v>505</v>
      </c>
      <c r="B320" s="5" t="s">
        <v>3149</v>
      </c>
      <c r="C320" s="5" t="s">
        <v>2081</v>
      </c>
      <c r="D320" s="5" t="s">
        <v>1836</v>
      </c>
      <c r="E320" s="5" t="s">
        <v>1837</v>
      </c>
      <c r="F320" s="5">
        <v>0.95196199999999997</v>
      </c>
      <c r="G320" s="5">
        <v>0.43587500000000001</v>
      </c>
      <c r="H320" s="5">
        <v>-1.1269899999999999</v>
      </c>
      <c r="I320" s="5">
        <v>1</v>
      </c>
      <c r="L320" s="2" t="s">
        <v>527</v>
      </c>
      <c r="M320" s="2">
        <v>-1.0692999999999999</v>
      </c>
    </row>
    <row r="321" spans="1:13" x14ac:dyDescent="0.2">
      <c r="A321" s="5" t="s">
        <v>507</v>
      </c>
      <c r="B321" s="5" t="s">
        <v>3015</v>
      </c>
      <c r="C321" s="5" t="s">
        <v>2082</v>
      </c>
      <c r="D321" s="5" t="s">
        <v>1836</v>
      </c>
      <c r="E321" s="5" t="s">
        <v>1837</v>
      </c>
      <c r="F321" s="5">
        <v>2.4866899999999998</v>
      </c>
      <c r="G321" s="5">
        <v>5.8740399999999999</v>
      </c>
      <c r="H321" s="5">
        <v>1.2401199999999999</v>
      </c>
      <c r="I321" s="5">
        <v>1</v>
      </c>
      <c r="L321" s="2" t="s">
        <v>528</v>
      </c>
      <c r="M321" s="2">
        <v>1.02121</v>
      </c>
    </row>
    <row r="322" spans="1:13" x14ac:dyDescent="0.2">
      <c r="A322" s="5" t="s">
        <v>508</v>
      </c>
      <c r="B322" s="5" t="s">
        <v>3150</v>
      </c>
      <c r="C322" s="5" t="s">
        <v>2083</v>
      </c>
      <c r="D322" s="5" t="s">
        <v>1836</v>
      </c>
      <c r="E322" s="5" t="s">
        <v>1837</v>
      </c>
      <c r="F322" s="5">
        <v>0.39847100000000002</v>
      </c>
      <c r="G322" s="5">
        <v>1.18543</v>
      </c>
      <c r="H322" s="5">
        <v>1.5728599999999999</v>
      </c>
      <c r="I322" s="5">
        <v>1</v>
      </c>
      <c r="L322" s="2" t="s">
        <v>529</v>
      </c>
      <c r="M322" s="2">
        <v>-1.0508500000000001</v>
      </c>
    </row>
    <row r="323" spans="1:13" x14ac:dyDescent="0.2">
      <c r="A323" s="5" t="s">
        <v>511</v>
      </c>
      <c r="B323" s="5" t="s">
        <v>3151</v>
      </c>
      <c r="C323" s="5" t="s">
        <v>2084</v>
      </c>
      <c r="D323" s="5" t="s">
        <v>1836</v>
      </c>
      <c r="E323" s="5" t="s">
        <v>1837</v>
      </c>
      <c r="F323" s="5">
        <v>714.84199999999998</v>
      </c>
      <c r="G323" s="5">
        <v>1536.66</v>
      </c>
      <c r="H323" s="5">
        <v>1.1041099999999999</v>
      </c>
      <c r="I323" s="5">
        <v>1</v>
      </c>
      <c r="L323" s="2" t="s">
        <v>531</v>
      </c>
      <c r="M323" s="2">
        <v>-1.85209</v>
      </c>
    </row>
    <row r="324" spans="1:13" x14ac:dyDescent="0.2">
      <c r="A324" s="5" t="s">
        <v>512</v>
      </c>
      <c r="B324" s="5" t="s">
        <v>3045</v>
      </c>
      <c r="C324" s="5" t="s">
        <v>2085</v>
      </c>
      <c r="D324" s="5" t="s">
        <v>1836</v>
      </c>
      <c r="E324" s="5" t="s">
        <v>1837</v>
      </c>
      <c r="F324" s="5">
        <v>0.82557199999999997</v>
      </c>
      <c r="G324" s="5">
        <v>0.28521999999999997</v>
      </c>
      <c r="H324" s="5">
        <v>-1.53332</v>
      </c>
      <c r="I324" s="5">
        <v>1</v>
      </c>
      <c r="L324" s="2" t="s">
        <v>532</v>
      </c>
      <c r="M324" s="2">
        <v>-1.53016</v>
      </c>
    </row>
    <row r="325" spans="1:13" x14ac:dyDescent="0.2">
      <c r="A325" s="5" t="s">
        <v>516</v>
      </c>
      <c r="B325" s="5" t="s">
        <v>3026</v>
      </c>
      <c r="C325" s="5" t="s">
        <v>1847</v>
      </c>
      <c r="D325" s="5" t="s">
        <v>1836</v>
      </c>
      <c r="E325" s="5" t="s">
        <v>1837</v>
      </c>
      <c r="F325" s="5">
        <v>0.55276400000000003</v>
      </c>
      <c r="G325" s="5">
        <v>1.21946</v>
      </c>
      <c r="H325" s="5">
        <v>1.1415</v>
      </c>
      <c r="I325" s="5">
        <v>1</v>
      </c>
      <c r="L325" s="2" t="s">
        <v>533</v>
      </c>
      <c r="M325" s="2">
        <v>-1.1106400000000001</v>
      </c>
    </row>
    <row r="326" spans="1:13" x14ac:dyDescent="0.2">
      <c r="A326" s="5" t="s">
        <v>517</v>
      </c>
      <c r="B326" s="5" t="s">
        <v>3015</v>
      </c>
      <c r="C326" s="5" t="s">
        <v>2086</v>
      </c>
      <c r="D326" s="5" t="s">
        <v>1836</v>
      </c>
      <c r="E326" s="5" t="s">
        <v>1837</v>
      </c>
      <c r="F326" s="5">
        <v>1.87077</v>
      </c>
      <c r="G326" s="5">
        <v>0.81402200000000002</v>
      </c>
      <c r="H326" s="5">
        <v>-1.2004900000000001</v>
      </c>
      <c r="I326" s="5">
        <v>1</v>
      </c>
      <c r="L326" s="2" t="s">
        <v>534</v>
      </c>
      <c r="M326" s="2">
        <v>1.30765</v>
      </c>
    </row>
    <row r="327" spans="1:13" x14ac:dyDescent="0.2">
      <c r="A327" s="5" t="s">
        <v>518</v>
      </c>
      <c r="B327" s="5" t="s">
        <v>3015</v>
      </c>
      <c r="C327" s="5" t="s">
        <v>2087</v>
      </c>
      <c r="D327" s="5" t="s">
        <v>1836</v>
      </c>
      <c r="E327" s="5" t="s">
        <v>1837</v>
      </c>
      <c r="F327" s="5">
        <v>6.4826899999999998</v>
      </c>
      <c r="G327" s="5">
        <v>1.4261999999999999</v>
      </c>
      <c r="H327" s="5">
        <v>-2.1844199999999998</v>
      </c>
      <c r="I327" s="5">
        <v>1</v>
      </c>
      <c r="L327" s="2" t="s">
        <v>535</v>
      </c>
      <c r="M327" s="2">
        <v>1.0938099999999999</v>
      </c>
    </row>
    <row r="328" spans="1:13" x14ac:dyDescent="0.2">
      <c r="A328" s="5" t="s">
        <v>520</v>
      </c>
      <c r="B328" s="5" t="s">
        <v>3146</v>
      </c>
      <c r="C328" s="5" t="s">
        <v>2088</v>
      </c>
      <c r="D328" s="5" t="s">
        <v>1836</v>
      </c>
      <c r="E328" s="5" t="s">
        <v>1837</v>
      </c>
      <c r="F328" s="5">
        <v>2.17096</v>
      </c>
      <c r="G328" s="5">
        <v>0.95725199999999999</v>
      </c>
      <c r="H328" s="5">
        <v>-1.18136</v>
      </c>
      <c r="I328" s="5">
        <v>1</v>
      </c>
      <c r="L328" s="2" t="s">
        <v>538</v>
      </c>
      <c r="M328" s="2">
        <v>-1.1210199999999999</v>
      </c>
    </row>
    <row r="329" spans="1:13" x14ac:dyDescent="0.2">
      <c r="A329" s="5" t="s">
        <v>521</v>
      </c>
      <c r="B329" s="5" t="s">
        <v>3152</v>
      </c>
      <c r="C329" s="5" t="s">
        <v>2089</v>
      </c>
      <c r="D329" s="5" t="s">
        <v>1836</v>
      </c>
      <c r="E329" s="5" t="s">
        <v>1837</v>
      </c>
      <c r="F329" s="5">
        <v>1.17815</v>
      </c>
      <c r="G329" s="5">
        <v>0.37748100000000001</v>
      </c>
      <c r="H329" s="5">
        <v>-1.64205</v>
      </c>
      <c r="I329" s="5">
        <v>1</v>
      </c>
      <c r="L329" s="2" t="s">
        <v>539</v>
      </c>
      <c r="M329" s="2">
        <v>1.7503899999999999</v>
      </c>
    </row>
    <row r="330" spans="1:13" x14ac:dyDescent="0.2">
      <c r="A330" s="5" t="s">
        <v>522</v>
      </c>
      <c r="B330" s="5" t="s">
        <v>3153</v>
      </c>
      <c r="C330" s="5" t="s">
        <v>2090</v>
      </c>
      <c r="D330" s="5" t="s">
        <v>1836</v>
      </c>
      <c r="E330" s="5" t="s">
        <v>1837</v>
      </c>
      <c r="F330" s="5">
        <v>186.999</v>
      </c>
      <c r="G330" s="5">
        <v>426.11099999999999</v>
      </c>
      <c r="H330" s="5">
        <v>1.1881999999999999</v>
      </c>
      <c r="I330" s="5">
        <v>1</v>
      </c>
      <c r="L330" s="2" t="s">
        <v>540</v>
      </c>
      <c r="M330" s="2">
        <v>-1.03207</v>
      </c>
    </row>
    <row r="331" spans="1:13" x14ac:dyDescent="0.2">
      <c r="A331" s="5" t="s">
        <v>523</v>
      </c>
      <c r="B331" s="5" t="s">
        <v>3154</v>
      </c>
      <c r="C331" s="5" t="s">
        <v>2091</v>
      </c>
      <c r="D331" s="5" t="s">
        <v>1836</v>
      </c>
      <c r="E331" s="5" t="s">
        <v>1837</v>
      </c>
      <c r="F331" s="5">
        <v>14.6564</v>
      </c>
      <c r="G331" s="5">
        <v>4.9318799999999996</v>
      </c>
      <c r="H331" s="5">
        <v>-1.5713200000000001</v>
      </c>
      <c r="I331" s="5">
        <v>1</v>
      </c>
      <c r="L331" s="2" t="s">
        <v>541</v>
      </c>
      <c r="M331" s="2">
        <v>-1.0695300000000001</v>
      </c>
    </row>
    <row r="332" spans="1:13" x14ac:dyDescent="0.2">
      <c r="A332" s="5" t="s">
        <v>524</v>
      </c>
      <c r="B332" s="5" t="s">
        <v>3015</v>
      </c>
      <c r="C332" s="5" t="s">
        <v>3015</v>
      </c>
      <c r="D332" s="5" t="s">
        <v>1836</v>
      </c>
      <c r="E332" s="5" t="s">
        <v>1837</v>
      </c>
      <c r="F332" s="5">
        <v>114.264</v>
      </c>
      <c r="G332" s="5">
        <v>29.545200000000001</v>
      </c>
      <c r="H332" s="5">
        <v>-1.95137</v>
      </c>
      <c r="I332" s="5">
        <v>1</v>
      </c>
      <c r="L332" s="2" t="s">
        <v>542</v>
      </c>
      <c r="M332" s="2">
        <v>-1.10189</v>
      </c>
    </row>
    <row r="333" spans="1:13" x14ac:dyDescent="0.2">
      <c r="A333" s="5" t="s">
        <v>525</v>
      </c>
      <c r="B333" s="5" t="s">
        <v>3015</v>
      </c>
      <c r="C333" s="5" t="s">
        <v>3015</v>
      </c>
      <c r="D333" s="5" t="s">
        <v>1836</v>
      </c>
      <c r="E333" s="5" t="s">
        <v>1837</v>
      </c>
      <c r="F333" s="5">
        <v>18.343399999999999</v>
      </c>
      <c r="G333" s="5">
        <v>4.2271700000000001</v>
      </c>
      <c r="H333" s="5">
        <v>-2.1175000000000002</v>
      </c>
      <c r="I333" s="5">
        <v>1</v>
      </c>
      <c r="L333" s="2" t="s">
        <v>545</v>
      </c>
      <c r="M333" s="2">
        <v>-1.07609</v>
      </c>
    </row>
    <row r="334" spans="1:13" x14ac:dyDescent="0.2">
      <c r="A334" s="5" t="s">
        <v>527</v>
      </c>
      <c r="B334" s="5" t="s">
        <v>3068</v>
      </c>
      <c r="C334" s="5" t="s">
        <v>2092</v>
      </c>
      <c r="D334" s="5" t="s">
        <v>1836</v>
      </c>
      <c r="E334" s="5" t="s">
        <v>1837</v>
      </c>
      <c r="F334" s="5">
        <v>0.81568799999999997</v>
      </c>
      <c r="G334" s="5">
        <v>0.38871699999999998</v>
      </c>
      <c r="H334" s="5">
        <v>-1.0692999999999999</v>
      </c>
      <c r="I334" s="5">
        <v>1</v>
      </c>
      <c r="L334" s="2" t="s">
        <v>471</v>
      </c>
      <c r="M334" s="2">
        <v>-1.0692200000000001</v>
      </c>
    </row>
    <row r="335" spans="1:13" x14ac:dyDescent="0.2">
      <c r="A335" s="5" t="s">
        <v>528</v>
      </c>
      <c r="B335" s="5" t="s">
        <v>3015</v>
      </c>
      <c r="C335" s="5" t="s">
        <v>1844</v>
      </c>
      <c r="D335" s="5" t="s">
        <v>1836</v>
      </c>
      <c r="E335" s="5" t="s">
        <v>1837</v>
      </c>
      <c r="F335" s="5">
        <v>14.677199999999999</v>
      </c>
      <c r="G335" s="5">
        <v>29.789000000000001</v>
      </c>
      <c r="H335" s="5">
        <v>1.02121</v>
      </c>
      <c r="I335" s="5">
        <v>1</v>
      </c>
      <c r="L335" s="2" t="s">
        <v>548</v>
      </c>
      <c r="M335" s="2">
        <v>-1.3232699999999999</v>
      </c>
    </row>
    <row r="336" spans="1:13" x14ac:dyDescent="0.2">
      <c r="A336" s="5" t="s">
        <v>529</v>
      </c>
      <c r="B336" s="5" t="s">
        <v>3015</v>
      </c>
      <c r="C336" s="5" t="s">
        <v>2093</v>
      </c>
      <c r="D336" s="5" t="s">
        <v>1836</v>
      </c>
      <c r="E336" s="5" t="s">
        <v>1837</v>
      </c>
      <c r="F336" s="5">
        <v>1.74343</v>
      </c>
      <c r="G336" s="5">
        <v>0.84152499999999997</v>
      </c>
      <c r="H336" s="5">
        <v>-1.0508500000000001</v>
      </c>
      <c r="I336" s="5">
        <v>1</v>
      </c>
      <c r="L336" s="2" t="s">
        <v>549</v>
      </c>
      <c r="M336" s="2">
        <v>1.68492</v>
      </c>
    </row>
    <row r="337" spans="1:13" x14ac:dyDescent="0.2">
      <c r="A337" s="5" t="s">
        <v>531</v>
      </c>
      <c r="B337" s="5" t="s">
        <v>3093</v>
      </c>
      <c r="C337" s="5" t="s">
        <v>2094</v>
      </c>
      <c r="D337" s="5" t="s">
        <v>1836</v>
      </c>
      <c r="E337" s="5" t="s">
        <v>1837</v>
      </c>
      <c r="F337" s="5">
        <v>0.881525</v>
      </c>
      <c r="G337" s="5">
        <v>0.244174</v>
      </c>
      <c r="H337" s="5">
        <v>-1.85209</v>
      </c>
      <c r="I337" s="5">
        <v>1</v>
      </c>
      <c r="L337" s="2" t="s">
        <v>550</v>
      </c>
      <c r="M337" s="2">
        <v>-1.07561</v>
      </c>
    </row>
    <row r="338" spans="1:13" x14ac:dyDescent="0.2">
      <c r="A338" s="5" t="s">
        <v>532</v>
      </c>
      <c r="B338" s="5" t="s">
        <v>3043</v>
      </c>
      <c r="C338" s="5" t="s">
        <v>2095</v>
      </c>
      <c r="D338" s="5" t="s">
        <v>1836</v>
      </c>
      <c r="E338" s="5" t="s">
        <v>1837</v>
      </c>
      <c r="F338" s="5">
        <v>21.0182</v>
      </c>
      <c r="G338" s="5">
        <v>7.2773099999999999</v>
      </c>
      <c r="H338" s="5">
        <v>-1.53016</v>
      </c>
      <c r="I338" s="5">
        <v>1</v>
      </c>
      <c r="L338" s="2" t="s">
        <v>553</v>
      </c>
      <c r="M338" s="2">
        <v>-1.2622199999999999</v>
      </c>
    </row>
    <row r="339" spans="1:13" x14ac:dyDescent="0.2">
      <c r="A339" s="5" t="s">
        <v>533</v>
      </c>
      <c r="B339" s="5" t="s">
        <v>3015</v>
      </c>
      <c r="C339" s="5" t="s">
        <v>2096</v>
      </c>
      <c r="D339" s="5" t="s">
        <v>1836</v>
      </c>
      <c r="E339" s="5" t="s">
        <v>1837</v>
      </c>
      <c r="F339" s="5">
        <v>2.82239</v>
      </c>
      <c r="G339" s="5">
        <v>1.3070200000000001</v>
      </c>
      <c r="H339" s="5">
        <v>-1.1106400000000001</v>
      </c>
      <c r="I339" s="5">
        <v>1</v>
      </c>
      <c r="L339" s="2" t="s">
        <v>554</v>
      </c>
      <c r="M339" s="2">
        <v>-1.18049</v>
      </c>
    </row>
    <row r="340" spans="1:13" x14ac:dyDescent="0.2">
      <c r="A340" s="5" t="s">
        <v>534</v>
      </c>
      <c r="B340" s="5" t="s">
        <v>3155</v>
      </c>
      <c r="C340" s="5" t="s">
        <v>2097</v>
      </c>
      <c r="D340" s="5" t="s">
        <v>1836</v>
      </c>
      <c r="E340" s="5" t="s">
        <v>1837</v>
      </c>
      <c r="F340" s="5">
        <v>53.986800000000002</v>
      </c>
      <c r="G340" s="5">
        <v>133.63800000000001</v>
      </c>
      <c r="H340" s="5">
        <v>1.30765</v>
      </c>
      <c r="I340" s="5">
        <v>1</v>
      </c>
      <c r="L340" s="2" t="s">
        <v>555</v>
      </c>
      <c r="M340" s="2">
        <v>-1.07019</v>
      </c>
    </row>
    <row r="341" spans="1:13" x14ac:dyDescent="0.2">
      <c r="A341" s="5" t="s">
        <v>535</v>
      </c>
      <c r="B341" s="5" t="s">
        <v>3100</v>
      </c>
      <c r="C341" s="5" t="s">
        <v>1847</v>
      </c>
      <c r="D341" s="5" t="s">
        <v>1836</v>
      </c>
      <c r="E341" s="5" t="s">
        <v>1837</v>
      </c>
      <c r="F341" s="5">
        <v>0.89832699999999999</v>
      </c>
      <c r="G341" s="5">
        <v>1.91737</v>
      </c>
      <c r="H341" s="5">
        <v>1.0938099999999999</v>
      </c>
      <c r="I341" s="5">
        <v>1</v>
      </c>
      <c r="L341" s="2" t="s">
        <v>556</v>
      </c>
      <c r="M341" s="2">
        <v>1.9556199999999999</v>
      </c>
    </row>
    <row r="342" spans="1:13" x14ac:dyDescent="0.2">
      <c r="A342" s="5" t="s">
        <v>538</v>
      </c>
      <c r="B342" s="5" t="s">
        <v>3015</v>
      </c>
      <c r="C342" s="5" t="s">
        <v>1862</v>
      </c>
      <c r="D342" s="5" t="s">
        <v>1836</v>
      </c>
      <c r="E342" s="5" t="s">
        <v>1837</v>
      </c>
      <c r="F342" s="5">
        <v>13.6821</v>
      </c>
      <c r="G342" s="5">
        <v>6.2905899999999999</v>
      </c>
      <c r="H342" s="5">
        <v>-1.1210199999999999</v>
      </c>
      <c r="I342" s="5">
        <v>1</v>
      </c>
      <c r="L342" s="2" t="s">
        <v>560</v>
      </c>
      <c r="M342" s="2">
        <v>-1.0441800000000001</v>
      </c>
    </row>
    <row r="343" spans="1:13" x14ac:dyDescent="0.2">
      <c r="A343" s="5" t="s">
        <v>539</v>
      </c>
      <c r="B343" s="5" t="s">
        <v>3015</v>
      </c>
      <c r="C343" s="5" t="s">
        <v>2098</v>
      </c>
      <c r="D343" s="5" t="s">
        <v>1836</v>
      </c>
      <c r="E343" s="5" t="s">
        <v>1837</v>
      </c>
      <c r="F343" s="5">
        <v>24.446300000000001</v>
      </c>
      <c r="G343" s="5">
        <v>82.249200000000002</v>
      </c>
      <c r="H343" s="5">
        <v>1.7503899999999999</v>
      </c>
      <c r="I343" s="5">
        <v>1</v>
      </c>
      <c r="L343" s="2" t="s">
        <v>561</v>
      </c>
      <c r="M343" s="2">
        <v>-1.3688899999999999</v>
      </c>
    </row>
    <row r="344" spans="1:13" x14ac:dyDescent="0.2">
      <c r="A344" s="5" t="s">
        <v>540</v>
      </c>
      <c r="B344" s="5" t="s">
        <v>3156</v>
      </c>
      <c r="C344" s="5" t="s">
        <v>2099</v>
      </c>
      <c r="D344" s="5" t="s">
        <v>1836</v>
      </c>
      <c r="E344" s="5" t="s">
        <v>1837</v>
      </c>
      <c r="F344" s="5">
        <v>1.4227799999999999</v>
      </c>
      <c r="G344" s="5">
        <v>0.69574899999999995</v>
      </c>
      <c r="H344" s="5">
        <v>-1.03207</v>
      </c>
      <c r="I344" s="5">
        <v>1</v>
      </c>
      <c r="L344" s="2" t="s">
        <v>562</v>
      </c>
      <c r="M344" s="2">
        <v>1.9737199999999999</v>
      </c>
    </row>
    <row r="345" spans="1:13" x14ac:dyDescent="0.2">
      <c r="A345" s="5" t="s">
        <v>541</v>
      </c>
      <c r="B345" s="5" t="s">
        <v>3015</v>
      </c>
      <c r="C345" s="5" t="s">
        <v>3015</v>
      </c>
      <c r="D345" s="5" t="s">
        <v>1836</v>
      </c>
      <c r="E345" s="5" t="s">
        <v>1837</v>
      </c>
      <c r="F345" s="5">
        <v>1.2395700000000001</v>
      </c>
      <c r="G345" s="5">
        <v>0.59062499999999996</v>
      </c>
      <c r="H345" s="5">
        <v>-1.0695300000000001</v>
      </c>
      <c r="I345" s="5">
        <v>1</v>
      </c>
      <c r="L345" s="2" t="s">
        <v>563</v>
      </c>
      <c r="M345" s="2">
        <v>1.0584800000000001</v>
      </c>
    </row>
    <row r="346" spans="1:13" x14ac:dyDescent="0.2">
      <c r="A346" s="5" t="s">
        <v>542</v>
      </c>
      <c r="B346" s="5" t="s">
        <v>3063</v>
      </c>
      <c r="C346" s="5" t="s">
        <v>2100</v>
      </c>
      <c r="D346" s="5" t="s">
        <v>1836</v>
      </c>
      <c r="E346" s="5" t="s">
        <v>1837</v>
      </c>
      <c r="F346" s="5">
        <v>2.2279200000000001</v>
      </c>
      <c r="G346" s="5">
        <v>1.038</v>
      </c>
      <c r="H346" s="5">
        <v>-1.10189</v>
      </c>
      <c r="I346" s="5">
        <v>1</v>
      </c>
      <c r="L346" s="2" t="s">
        <v>564</v>
      </c>
      <c r="M346" s="2">
        <v>-1.2418899999999999</v>
      </c>
    </row>
    <row r="347" spans="1:13" x14ac:dyDescent="0.2">
      <c r="A347" s="5" t="s">
        <v>545</v>
      </c>
      <c r="B347" s="5" t="s">
        <v>3157</v>
      </c>
      <c r="C347" s="5" t="s">
        <v>2101</v>
      </c>
      <c r="D347" s="5" t="s">
        <v>1836</v>
      </c>
      <c r="E347" s="5" t="s">
        <v>1837</v>
      </c>
      <c r="F347" s="5">
        <v>30.485199999999999</v>
      </c>
      <c r="G347" s="5">
        <v>14.4595</v>
      </c>
      <c r="H347" s="5">
        <v>-1.07609</v>
      </c>
      <c r="I347" s="5">
        <v>1</v>
      </c>
      <c r="L347" s="2" t="s">
        <v>565</v>
      </c>
      <c r="M347" s="2">
        <v>-1.4477500000000001</v>
      </c>
    </row>
    <row r="348" spans="1:13" x14ac:dyDescent="0.2">
      <c r="A348" s="5" t="s">
        <v>471</v>
      </c>
      <c r="B348" s="5" t="s">
        <v>3015</v>
      </c>
      <c r="C348" s="5" t="s">
        <v>3015</v>
      </c>
      <c r="D348" s="5" t="s">
        <v>1836</v>
      </c>
      <c r="E348" s="5" t="s">
        <v>1837</v>
      </c>
      <c r="F348" s="5">
        <v>12.098599999999999</v>
      </c>
      <c r="G348" s="5">
        <v>5.7658899999999997</v>
      </c>
      <c r="H348" s="5">
        <v>-1.0692200000000001</v>
      </c>
      <c r="I348" s="5">
        <v>1</v>
      </c>
      <c r="L348" s="2" t="s">
        <v>566</v>
      </c>
      <c r="M348" s="2">
        <v>1.1249</v>
      </c>
    </row>
    <row r="349" spans="1:13" x14ac:dyDescent="0.2">
      <c r="A349" s="5" t="s">
        <v>548</v>
      </c>
      <c r="B349" s="5" t="s">
        <v>3015</v>
      </c>
      <c r="C349" s="5" t="s">
        <v>2102</v>
      </c>
      <c r="D349" s="5" t="s">
        <v>1836</v>
      </c>
      <c r="E349" s="5" t="s">
        <v>1837</v>
      </c>
      <c r="F349" s="5">
        <v>302.04500000000002</v>
      </c>
      <c r="G349" s="5">
        <v>120.706</v>
      </c>
      <c r="H349" s="5">
        <v>-1.3232699999999999</v>
      </c>
      <c r="I349" s="5">
        <v>1</v>
      </c>
      <c r="L349" s="2" t="s">
        <v>567</v>
      </c>
      <c r="M349" s="2">
        <v>1.1437900000000001</v>
      </c>
    </row>
    <row r="350" spans="1:13" x14ac:dyDescent="0.2">
      <c r="A350" s="5" t="s">
        <v>549</v>
      </c>
      <c r="B350" s="5" t="s">
        <v>3053</v>
      </c>
      <c r="C350" s="5" t="s">
        <v>2103</v>
      </c>
      <c r="D350" s="5" t="s">
        <v>1836</v>
      </c>
      <c r="E350" s="5" t="s">
        <v>1837</v>
      </c>
      <c r="F350" s="5">
        <v>1.39297</v>
      </c>
      <c r="G350" s="5">
        <v>4.47872</v>
      </c>
      <c r="H350" s="5">
        <v>1.68492</v>
      </c>
      <c r="I350" s="5">
        <v>1</v>
      </c>
      <c r="L350" s="2" t="s">
        <v>568</v>
      </c>
      <c r="M350" s="2">
        <v>1.60324</v>
      </c>
    </row>
    <row r="351" spans="1:13" x14ac:dyDescent="0.2">
      <c r="A351" s="5" t="s">
        <v>550</v>
      </c>
      <c r="B351" s="5" t="s">
        <v>3015</v>
      </c>
      <c r="C351" s="5" t="s">
        <v>2104</v>
      </c>
      <c r="D351" s="5" t="s">
        <v>1836</v>
      </c>
      <c r="E351" s="5" t="s">
        <v>1837</v>
      </c>
      <c r="F351" s="5">
        <v>2.0029499999999998</v>
      </c>
      <c r="G351" s="5">
        <v>0.95034300000000005</v>
      </c>
      <c r="H351" s="5">
        <v>-1.07561</v>
      </c>
      <c r="I351" s="5">
        <v>1</v>
      </c>
      <c r="L351" s="2" t="s">
        <v>569</v>
      </c>
      <c r="M351" s="2">
        <v>1.11178</v>
      </c>
    </row>
    <row r="352" spans="1:13" x14ac:dyDescent="0.2">
      <c r="A352" s="5" t="s">
        <v>553</v>
      </c>
      <c r="B352" s="5" t="s">
        <v>3039</v>
      </c>
      <c r="C352" s="5" t="s">
        <v>2105</v>
      </c>
      <c r="D352" s="5" t="s">
        <v>1836</v>
      </c>
      <c r="E352" s="5" t="s">
        <v>1837</v>
      </c>
      <c r="F352" s="5">
        <v>1.3607400000000001</v>
      </c>
      <c r="G352" s="5">
        <v>0.56729300000000005</v>
      </c>
      <c r="H352" s="5">
        <v>-1.2622199999999999</v>
      </c>
      <c r="I352" s="5">
        <v>1</v>
      </c>
      <c r="L352" s="2" t="s">
        <v>570</v>
      </c>
      <c r="M352" s="2">
        <v>1.0739099999999999</v>
      </c>
    </row>
    <row r="353" spans="1:13" x14ac:dyDescent="0.2">
      <c r="A353" s="5" t="s">
        <v>554</v>
      </c>
      <c r="B353" s="5" t="s">
        <v>3015</v>
      </c>
      <c r="C353" s="5" t="s">
        <v>1847</v>
      </c>
      <c r="D353" s="5" t="s">
        <v>1836</v>
      </c>
      <c r="E353" s="5" t="s">
        <v>1837</v>
      </c>
      <c r="F353" s="5">
        <v>3.1794099999999998</v>
      </c>
      <c r="G353" s="5">
        <v>1.40276</v>
      </c>
      <c r="H353" s="5">
        <v>-1.18049</v>
      </c>
      <c r="I353" s="5">
        <v>1</v>
      </c>
      <c r="L353" s="2" t="s">
        <v>573</v>
      </c>
      <c r="M353" s="2">
        <v>1.8851</v>
      </c>
    </row>
    <row r="354" spans="1:13" x14ac:dyDescent="0.2">
      <c r="A354" s="5" t="s">
        <v>555</v>
      </c>
      <c r="B354" s="5" t="s">
        <v>3093</v>
      </c>
      <c r="C354" s="5" t="s">
        <v>2106</v>
      </c>
      <c r="D354" s="5" t="s">
        <v>1836</v>
      </c>
      <c r="E354" s="5" t="s">
        <v>1837</v>
      </c>
      <c r="F354" s="5">
        <v>1.2364299999999999</v>
      </c>
      <c r="G354" s="5">
        <v>0.58885799999999999</v>
      </c>
      <c r="H354" s="5">
        <v>-1.07019</v>
      </c>
      <c r="I354" s="5">
        <v>1</v>
      </c>
      <c r="L354" s="2" t="s">
        <v>575</v>
      </c>
      <c r="M354" s="2">
        <v>-1.01101</v>
      </c>
    </row>
    <row r="355" spans="1:13" x14ac:dyDescent="0.2">
      <c r="A355" s="5" t="s">
        <v>556</v>
      </c>
      <c r="B355" s="5" t="s">
        <v>3158</v>
      </c>
      <c r="C355" s="5" t="s">
        <v>1858</v>
      </c>
      <c r="D355" s="5" t="s">
        <v>1836</v>
      </c>
      <c r="E355" s="5" t="s">
        <v>1837</v>
      </c>
      <c r="F355" s="5">
        <v>0.26356299999999999</v>
      </c>
      <c r="G355" s="5">
        <v>1.0223100000000001</v>
      </c>
      <c r="H355" s="5">
        <v>1.9556199999999999</v>
      </c>
      <c r="I355" s="5">
        <v>1</v>
      </c>
      <c r="L355" s="2" t="s">
        <v>576</v>
      </c>
      <c r="M355" s="2">
        <v>1.31691</v>
      </c>
    </row>
    <row r="356" spans="1:13" x14ac:dyDescent="0.2">
      <c r="A356" s="5" t="s">
        <v>560</v>
      </c>
      <c r="B356" s="5" t="s">
        <v>3015</v>
      </c>
      <c r="C356" s="5" t="s">
        <v>1847</v>
      </c>
      <c r="D356" s="5" t="s">
        <v>1836</v>
      </c>
      <c r="E356" s="5" t="s">
        <v>1837</v>
      </c>
      <c r="F356" s="5">
        <v>42.276699999999998</v>
      </c>
      <c r="G356" s="5">
        <v>20.500800000000002</v>
      </c>
      <c r="H356" s="5">
        <v>-1.0441800000000001</v>
      </c>
      <c r="I356" s="5">
        <v>1</v>
      </c>
      <c r="L356" s="2" t="s">
        <v>577</v>
      </c>
      <c r="M356" s="2">
        <v>-1.0520799999999999</v>
      </c>
    </row>
    <row r="357" spans="1:13" x14ac:dyDescent="0.2">
      <c r="A357" s="5" t="s">
        <v>561</v>
      </c>
      <c r="B357" s="5" t="s">
        <v>3159</v>
      </c>
      <c r="C357" s="5" t="s">
        <v>2107</v>
      </c>
      <c r="D357" s="5" t="s">
        <v>1836</v>
      </c>
      <c r="E357" s="5" t="s">
        <v>1837</v>
      </c>
      <c r="F357" s="5">
        <v>2.8664800000000001</v>
      </c>
      <c r="G357" s="5">
        <v>1.1098699999999999</v>
      </c>
      <c r="H357" s="5">
        <v>-1.3688899999999999</v>
      </c>
      <c r="I357" s="5">
        <v>1</v>
      </c>
      <c r="L357" s="2" t="s">
        <v>580</v>
      </c>
      <c r="M357" s="2">
        <v>-1.2383500000000001</v>
      </c>
    </row>
    <row r="358" spans="1:13" x14ac:dyDescent="0.2">
      <c r="A358" s="5" t="s">
        <v>562</v>
      </c>
      <c r="B358" s="5" t="s">
        <v>3160</v>
      </c>
      <c r="C358" s="5" t="s">
        <v>2098</v>
      </c>
      <c r="D358" s="5" t="s">
        <v>1836</v>
      </c>
      <c r="E358" s="5" t="s">
        <v>1837</v>
      </c>
      <c r="F358" s="5">
        <v>1.0845199999999999</v>
      </c>
      <c r="G358" s="5">
        <v>4.25976</v>
      </c>
      <c r="H358" s="5">
        <v>1.9737199999999999</v>
      </c>
      <c r="I358" s="5">
        <v>1</v>
      </c>
      <c r="L358" s="2" t="s">
        <v>581</v>
      </c>
      <c r="M358" s="2">
        <v>2.4523000000000001</v>
      </c>
    </row>
    <row r="359" spans="1:13" x14ac:dyDescent="0.2">
      <c r="A359" s="5" t="s">
        <v>563</v>
      </c>
      <c r="B359" s="5" t="s">
        <v>3015</v>
      </c>
      <c r="C359" s="5" t="s">
        <v>2108</v>
      </c>
      <c r="D359" s="5" t="s">
        <v>1836</v>
      </c>
      <c r="E359" s="5" t="s">
        <v>1837</v>
      </c>
      <c r="F359" s="5">
        <v>2.34761</v>
      </c>
      <c r="G359" s="5">
        <v>4.8894399999999996</v>
      </c>
      <c r="H359" s="5">
        <v>1.0584800000000001</v>
      </c>
      <c r="I359" s="5">
        <v>1</v>
      </c>
      <c r="L359" s="2" t="s">
        <v>583</v>
      </c>
      <c r="M359" s="2">
        <v>-1.3709499999999999</v>
      </c>
    </row>
    <row r="360" spans="1:13" x14ac:dyDescent="0.2">
      <c r="A360" s="5" t="s">
        <v>564</v>
      </c>
      <c r="B360" s="5" t="s">
        <v>3015</v>
      </c>
      <c r="C360" s="5" t="s">
        <v>1880</v>
      </c>
      <c r="D360" s="5" t="s">
        <v>1836</v>
      </c>
      <c r="E360" s="5" t="s">
        <v>1837</v>
      </c>
      <c r="F360" s="5">
        <v>1.20248</v>
      </c>
      <c r="G360" s="5">
        <v>0.50843099999999997</v>
      </c>
      <c r="H360" s="5">
        <v>-1.2418899999999999</v>
      </c>
      <c r="I360" s="5">
        <v>1</v>
      </c>
      <c r="L360" s="2" t="s">
        <v>584</v>
      </c>
      <c r="M360" s="2">
        <v>1.27003</v>
      </c>
    </row>
    <row r="361" spans="1:13" x14ac:dyDescent="0.2">
      <c r="A361" s="5" t="s">
        <v>565</v>
      </c>
      <c r="B361" s="5" t="s">
        <v>3161</v>
      </c>
      <c r="C361" s="5" t="s">
        <v>2109</v>
      </c>
      <c r="D361" s="5" t="s">
        <v>1836</v>
      </c>
      <c r="E361" s="5" t="s">
        <v>1837</v>
      </c>
      <c r="F361" s="5">
        <v>1.6105</v>
      </c>
      <c r="G361" s="5">
        <v>0.59039799999999998</v>
      </c>
      <c r="H361" s="5">
        <v>-1.4477500000000001</v>
      </c>
      <c r="I361" s="5">
        <v>1</v>
      </c>
      <c r="L361" s="2" t="s">
        <v>586</v>
      </c>
      <c r="M361" s="2">
        <v>1.1552</v>
      </c>
    </row>
    <row r="362" spans="1:13" x14ac:dyDescent="0.2">
      <c r="A362" s="5" t="s">
        <v>566</v>
      </c>
      <c r="B362" s="5" t="s">
        <v>3015</v>
      </c>
      <c r="C362" s="5" t="s">
        <v>3015</v>
      </c>
      <c r="D362" s="5" t="s">
        <v>1836</v>
      </c>
      <c r="E362" s="5" t="s">
        <v>1837</v>
      </c>
      <c r="F362" s="5">
        <v>2.3543799999999999</v>
      </c>
      <c r="G362" s="5">
        <v>5.1345700000000001</v>
      </c>
      <c r="H362" s="5">
        <v>1.1249</v>
      </c>
      <c r="I362" s="5">
        <v>1</v>
      </c>
      <c r="L362" s="2" t="s">
        <v>588</v>
      </c>
      <c r="M362" s="2">
        <v>2.1563300000000001</v>
      </c>
    </row>
    <row r="363" spans="1:13" x14ac:dyDescent="0.2">
      <c r="A363" s="5" t="s">
        <v>567</v>
      </c>
      <c r="B363" s="5" t="s">
        <v>3162</v>
      </c>
      <c r="C363" s="5" t="s">
        <v>2110</v>
      </c>
      <c r="D363" s="5" t="s">
        <v>1836</v>
      </c>
      <c r="E363" s="5" t="s">
        <v>1837</v>
      </c>
      <c r="F363" s="5">
        <v>12.7011</v>
      </c>
      <c r="G363" s="5">
        <v>28.064499999999999</v>
      </c>
      <c r="H363" s="5">
        <v>1.1437900000000001</v>
      </c>
      <c r="I363" s="5">
        <v>1</v>
      </c>
      <c r="L363" s="2" t="s">
        <v>589</v>
      </c>
      <c r="M363" s="2">
        <v>1.7378499999999999</v>
      </c>
    </row>
    <row r="364" spans="1:13" x14ac:dyDescent="0.2">
      <c r="A364" s="5" t="s">
        <v>568</v>
      </c>
      <c r="B364" s="5" t="s">
        <v>3163</v>
      </c>
      <c r="C364" s="5" t="s">
        <v>2111</v>
      </c>
      <c r="D364" s="5" t="s">
        <v>1836</v>
      </c>
      <c r="E364" s="5" t="s">
        <v>1837</v>
      </c>
      <c r="F364" s="5">
        <v>10.074400000000001</v>
      </c>
      <c r="G364" s="5">
        <v>30.608599999999999</v>
      </c>
      <c r="H364" s="5">
        <v>1.60324</v>
      </c>
      <c r="I364" s="5">
        <v>1</v>
      </c>
      <c r="L364" s="2" t="s">
        <v>590</v>
      </c>
      <c r="M364" s="2">
        <v>1.52267</v>
      </c>
    </row>
    <row r="365" spans="1:13" x14ac:dyDescent="0.2">
      <c r="A365" s="5" t="s">
        <v>569</v>
      </c>
      <c r="B365" s="5" t="s">
        <v>3033</v>
      </c>
      <c r="C365" s="5" t="s">
        <v>1858</v>
      </c>
      <c r="D365" s="5" t="s">
        <v>1836</v>
      </c>
      <c r="E365" s="5" t="s">
        <v>1837</v>
      </c>
      <c r="F365" s="5">
        <v>0.45652500000000001</v>
      </c>
      <c r="G365" s="5">
        <v>0.98660599999999998</v>
      </c>
      <c r="H365" s="5">
        <v>1.11178</v>
      </c>
      <c r="I365" s="5">
        <v>1</v>
      </c>
      <c r="L365" s="2" t="s">
        <v>592</v>
      </c>
      <c r="M365" s="2">
        <v>1.02504</v>
      </c>
    </row>
    <row r="366" spans="1:13" x14ac:dyDescent="0.2">
      <c r="A366" s="5" t="s">
        <v>570</v>
      </c>
      <c r="B366" s="5" t="s">
        <v>3033</v>
      </c>
      <c r="C366" s="5" t="s">
        <v>1858</v>
      </c>
      <c r="D366" s="5" t="s">
        <v>1836</v>
      </c>
      <c r="E366" s="5" t="s">
        <v>1837</v>
      </c>
      <c r="F366" s="5">
        <v>0.94239200000000001</v>
      </c>
      <c r="G366" s="5">
        <v>1.98386</v>
      </c>
      <c r="H366" s="5">
        <v>1.0739099999999999</v>
      </c>
      <c r="I366" s="5">
        <v>1</v>
      </c>
      <c r="L366" s="2" t="s">
        <v>595</v>
      </c>
      <c r="M366" s="2">
        <v>-1.83582</v>
      </c>
    </row>
    <row r="367" spans="1:13" x14ac:dyDescent="0.2">
      <c r="A367" s="5" t="s">
        <v>573</v>
      </c>
      <c r="B367" s="5" t="s">
        <v>3164</v>
      </c>
      <c r="C367" s="5" t="s">
        <v>2112</v>
      </c>
      <c r="D367" s="5" t="s">
        <v>1836</v>
      </c>
      <c r="E367" s="5" t="s">
        <v>1837</v>
      </c>
      <c r="F367" s="5">
        <v>25.067900000000002</v>
      </c>
      <c r="G367" s="5">
        <v>92.595399999999998</v>
      </c>
      <c r="H367" s="5">
        <v>1.8851</v>
      </c>
      <c r="I367" s="5">
        <v>1</v>
      </c>
      <c r="L367" s="2" t="s">
        <v>596</v>
      </c>
      <c r="M367" s="2">
        <v>1.19086</v>
      </c>
    </row>
    <row r="368" spans="1:13" x14ac:dyDescent="0.2">
      <c r="A368" s="5" t="s">
        <v>575</v>
      </c>
      <c r="B368" s="5" t="s">
        <v>3165</v>
      </c>
      <c r="C368" s="5" t="s">
        <v>2113</v>
      </c>
      <c r="D368" s="5" t="s">
        <v>1836</v>
      </c>
      <c r="E368" s="5" t="s">
        <v>1837</v>
      </c>
      <c r="F368" s="5">
        <v>2.7837900000000002</v>
      </c>
      <c r="G368" s="5">
        <v>1.38131</v>
      </c>
      <c r="H368" s="5">
        <v>-1.01101</v>
      </c>
      <c r="I368" s="5">
        <v>1</v>
      </c>
      <c r="L368" s="2" t="s">
        <v>597</v>
      </c>
      <c r="M368" s="2">
        <v>-2.4341699999999999</v>
      </c>
    </row>
    <row r="369" spans="1:13" x14ac:dyDescent="0.2">
      <c r="A369" s="5" t="s">
        <v>576</v>
      </c>
      <c r="B369" s="5" t="s">
        <v>3166</v>
      </c>
      <c r="C369" s="5" t="s">
        <v>2114</v>
      </c>
      <c r="D369" s="5" t="s">
        <v>1836</v>
      </c>
      <c r="E369" s="5" t="s">
        <v>1837</v>
      </c>
      <c r="F369" s="5">
        <v>1.2992600000000001</v>
      </c>
      <c r="G369" s="5">
        <v>3.2368700000000001</v>
      </c>
      <c r="H369" s="5">
        <v>1.31691</v>
      </c>
      <c r="I369" s="5">
        <v>1</v>
      </c>
      <c r="L369" s="2" t="s">
        <v>599</v>
      </c>
      <c r="M369" s="2">
        <v>-1.52142</v>
      </c>
    </row>
    <row r="370" spans="1:13" x14ac:dyDescent="0.2">
      <c r="A370" s="5" t="s">
        <v>577</v>
      </c>
      <c r="B370" s="5" t="s">
        <v>3015</v>
      </c>
      <c r="C370" s="5" t="s">
        <v>2115</v>
      </c>
      <c r="D370" s="5" t="s">
        <v>1836</v>
      </c>
      <c r="E370" s="5" t="s">
        <v>1837</v>
      </c>
      <c r="F370" s="5">
        <v>1.7931999999999999</v>
      </c>
      <c r="G370" s="5">
        <v>0.864815</v>
      </c>
      <c r="H370" s="5">
        <v>-1.0520799999999999</v>
      </c>
      <c r="I370" s="5">
        <v>1</v>
      </c>
      <c r="L370" s="2" t="s">
        <v>600</v>
      </c>
      <c r="M370" s="2">
        <v>1.3947499999999999</v>
      </c>
    </row>
    <row r="371" spans="1:13" x14ac:dyDescent="0.2">
      <c r="A371" s="5" t="s">
        <v>580</v>
      </c>
      <c r="B371" s="5" t="s">
        <v>3015</v>
      </c>
      <c r="C371" s="5" t="s">
        <v>2116</v>
      </c>
      <c r="D371" s="5" t="s">
        <v>1836</v>
      </c>
      <c r="E371" s="5" t="s">
        <v>1837</v>
      </c>
      <c r="F371" s="5">
        <v>6.8998400000000002</v>
      </c>
      <c r="G371" s="5">
        <v>2.92455</v>
      </c>
      <c r="H371" s="5">
        <v>-1.2383500000000001</v>
      </c>
      <c r="I371" s="5">
        <v>1</v>
      </c>
      <c r="L371" s="2" t="s">
        <v>601</v>
      </c>
      <c r="M371" s="2">
        <v>-1.02254</v>
      </c>
    </row>
    <row r="372" spans="1:13" x14ac:dyDescent="0.2">
      <c r="A372" s="5" t="s">
        <v>581</v>
      </c>
      <c r="B372" s="5" t="s">
        <v>3167</v>
      </c>
      <c r="C372" s="5" t="s">
        <v>2117</v>
      </c>
      <c r="D372" s="5" t="s">
        <v>1836</v>
      </c>
      <c r="E372" s="5" t="s">
        <v>1837</v>
      </c>
      <c r="F372" s="5">
        <v>70.599400000000003</v>
      </c>
      <c r="G372" s="5">
        <v>386.38200000000001</v>
      </c>
      <c r="H372" s="5">
        <v>2.4523000000000001</v>
      </c>
      <c r="I372" s="5">
        <v>1</v>
      </c>
      <c r="L372" s="2" t="s">
        <v>603</v>
      </c>
      <c r="M372" s="2">
        <v>-1.05776</v>
      </c>
    </row>
    <row r="373" spans="1:13" x14ac:dyDescent="0.2">
      <c r="A373" s="5" t="s">
        <v>583</v>
      </c>
      <c r="B373" s="5" t="s">
        <v>3015</v>
      </c>
      <c r="C373" s="5" t="s">
        <v>3015</v>
      </c>
      <c r="D373" s="5" t="s">
        <v>1836</v>
      </c>
      <c r="E373" s="5" t="s">
        <v>1837</v>
      </c>
      <c r="F373" s="5">
        <v>273.91300000000001</v>
      </c>
      <c r="G373" s="5">
        <v>105.904</v>
      </c>
      <c r="H373" s="5">
        <v>-1.3709499999999999</v>
      </c>
      <c r="I373" s="5">
        <v>1</v>
      </c>
      <c r="L373" s="2" t="s">
        <v>604</v>
      </c>
      <c r="M373" s="2">
        <v>-1.16231</v>
      </c>
    </row>
    <row r="374" spans="1:13" x14ac:dyDescent="0.2">
      <c r="A374" s="5" t="s">
        <v>584</v>
      </c>
      <c r="B374" s="5" t="s">
        <v>3168</v>
      </c>
      <c r="C374" s="5" t="s">
        <v>2118</v>
      </c>
      <c r="D374" s="5" t="s">
        <v>1836</v>
      </c>
      <c r="E374" s="5" t="s">
        <v>1837</v>
      </c>
      <c r="F374" s="5">
        <v>10.6051</v>
      </c>
      <c r="G374" s="5">
        <v>25.576000000000001</v>
      </c>
      <c r="H374" s="5">
        <v>1.27003</v>
      </c>
      <c r="I374" s="5">
        <v>1</v>
      </c>
      <c r="L374" s="2" t="s">
        <v>605</v>
      </c>
      <c r="M374" s="2">
        <v>-1.0612699999999999</v>
      </c>
    </row>
    <row r="375" spans="1:13" x14ac:dyDescent="0.2">
      <c r="A375" s="5" t="s">
        <v>586</v>
      </c>
      <c r="B375" s="5" t="s">
        <v>3045</v>
      </c>
      <c r="C375" s="5" t="s">
        <v>2119</v>
      </c>
      <c r="D375" s="5" t="s">
        <v>1836</v>
      </c>
      <c r="E375" s="5" t="s">
        <v>1837</v>
      </c>
      <c r="F375" s="5">
        <v>0.57677999999999996</v>
      </c>
      <c r="G375" s="5">
        <v>1.2845800000000001</v>
      </c>
      <c r="H375" s="5">
        <v>1.1552</v>
      </c>
      <c r="I375" s="5">
        <v>1</v>
      </c>
      <c r="L375" s="2" t="s">
        <v>607</v>
      </c>
      <c r="M375" s="2">
        <v>1.1394200000000001</v>
      </c>
    </row>
    <row r="376" spans="1:13" x14ac:dyDescent="0.2">
      <c r="A376" s="5" t="s">
        <v>588</v>
      </c>
      <c r="B376" s="5" t="s">
        <v>3015</v>
      </c>
      <c r="C376" s="5" t="s">
        <v>2120</v>
      </c>
      <c r="D376" s="5" t="s">
        <v>1836</v>
      </c>
      <c r="E376" s="5" t="s">
        <v>1837</v>
      </c>
      <c r="F376" s="5">
        <v>4.5272600000000001</v>
      </c>
      <c r="G376" s="5">
        <v>20.1816</v>
      </c>
      <c r="H376" s="5">
        <v>2.1563300000000001</v>
      </c>
      <c r="I376" s="5">
        <v>1</v>
      </c>
      <c r="L376" s="2" t="s">
        <v>608</v>
      </c>
      <c r="M376" s="2">
        <v>-1.00518</v>
      </c>
    </row>
    <row r="377" spans="1:13" x14ac:dyDescent="0.2">
      <c r="A377" s="5" t="s">
        <v>589</v>
      </c>
      <c r="B377" s="5" t="s">
        <v>3169</v>
      </c>
      <c r="C377" s="5" t="s">
        <v>2121</v>
      </c>
      <c r="D377" s="5" t="s">
        <v>1836</v>
      </c>
      <c r="E377" s="5" t="s">
        <v>1837</v>
      </c>
      <c r="F377" s="5">
        <v>2.2469299999999999</v>
      </c>
      <c r="G377" s="5">
        <v>7.4943900000000001</v>
      </c>
      <c r="H377" s="5">
        <v>1.7378499999999999</v>
      </c>
      <c r="I377" s="5">
        <v>1</v>
      </c>
      <c r="L377" s="2" t="s">
        <v>609</v>
      </c>
      <c r="M377" s="2">
        <v>-1.0344</v>
      </c>
    </row>
    <row r="378" spans="1:13" x14ac:dyDescent="0.2">
      <c r="A378" s="5" t="s">
        <v>590</v>
      </c>
      <c r="B378" s="5" t="s">
        <v>3015</v>
      </c>
      <c r="C378" s="5" t="s">
        <v>3015</v>
      </c>
      <c r="D378" s="5" t="s">
        <v>1836</v>
      </c>
      <c r="E378" s="5" t="s">
        <v>1837</v>
      </c>
      <c r="F378" s="5">
        <v>0.33421000000000001</v>
      </c>
      <c r="G378" s="5">
        <v>0.96025700000000003</v>
      </c>
      <c r="H378" s="5">
        <v>1.52267</v>
      </c>
      <c r="I378" s="5">
        <v>1</v>
      </c>
      <c r="L378" s="2" t="s">
        <v>610</v>
      </c>
      <c r="M378" s="2">
        <v>1.0487500000000001</v>
      </c>
    </row>
    <row r="379" spans="1:13" x14ac:dyDescent="0.2">
      <c r="A379" s="5" t="s">
        <v>592</v>
      </c>
      <c r="B379" s="5" t="s">
        <v>3170</v>
      </c>
      <c r="C379" s="5" t="s">
        <v>2122</v>
      </c>
      <c r="D379" s="5" t="s">
        <v>1836</v>
      </c>
      <c r="E379" s="5" t="s">
        <v>1837</v>
      </c>
      <c r="F379" s="5">
        <v>0.52139899999999995</v>
      </c>
      <c r="G379" s="5">
        <v>1.06105</v>
      </c>
      <c r="H379" s="5">
        <v>1.02504</v>
      </c>
      <c r="I379" s="5">
        <v>1</v>
      </c>
      <c r="L379" s="2" t="s">
        <v>612</v>
      </c>
      <c r="M379" s="2">
        <v>-1.3834900000000001</v>
      </c>
    </row>
    <row r="380" spans="1:13" x14ac:dyDescent="0.2">
      <c r="A380" s="5" t="s">
        <v>595</v>
      </c>
      <c r="B380" s="5" t="s">
        <v>3171</v>
      </c>
      <c r="C380" s="5" t="s">
        <v>2123</v>
      </c>
      <c r="D380" s="5" t="s">
        <v>1836</v>
      </c>
      <c r="E380" s="5" t="s">
        <v>1837</v>
      </c>
      <c r="F380" s="5">
        <v>2.1012900000000001</v>
      </c>
      <c r="G380" s="5">
        <v>0.58864000000000005</v>
      </c>
      <c r="H380" s="5">
        <v>-1.83582</v>
      </c>
      <c r="I380" s="5">
        <v>1</v>
      </c>
      <c r="L380" s="2" t="s">
        <v>613</v>
      </c>
      <c r="M380" s="2">
        <v>-1.2288300000000001</v>
      </c>
    </row>
    <row r="381" spans="1:13" x14ac:dyDescent="0.2">
      <c r="A381" s="5" t="s">
        <v>596</v>
      </c>
      <c r="B381" s="5" t="s">
        <v>3015</v>
      </c>
      <c r="C381" s="5" t="s">
        <v>2124</v>
      </c>
      <c r="D381" s="5" t="s">
        <v>1836</v>
      </c>
      <c r="E381" s="5" t="s">
        <v>1837</v>
      </c>
      <c r="F381" s="5">
        <v>15.3147</v>
      </c>
      <c r="G381" s="5">
        <v>34.961599999999997</v>
      </c>
      <c r="H381" s="5">
        <v>1.19086</v>
      </c>
      <c r="I381" s="5">
        <v>1</v>
      </c>
      <c r="L381" s="2" t="s">
        <v>616</v>
      </c>
      <c r="M381" s="2">
        <v>-1.9247799999999999</v>
      </c>
    </row>
    <row r="382" spans="1:13" x14ac:dyDescent="0.2">
      <c r="A382" s="5" t="s">
        <v>597</v>
      </c>
      <c r="B382" s="5" t="s">
        <v>3172</v>
      </c>
      <c r="C382" s="5" t="s">
        <v>3015</v>
      </c>
      <c r="D382" s="5" t="s">
        <v>1836</v>
      </c>
      <c r="E382" s="5" t="s">
        <v>1837</v>
      </c>
      <c r="F382" s="5">
        <v>8.3787299999999991</v>
      </c>
      <c r="G382" s="5">
        <v>1.5503100000000001</v>
      </c>
      <c r="H382" s="5">
        <v>-2.4341699999999999</v>
      </c>
      <c r="I382" s="5">
        <v>1</v>
      </c>
      <c r="L382" s="2" t="s">
        <v>617</v>
      </c>
      <c r="M382" s="2">
        <v>-1.1540900000000001</v>
      </c>
    </row>
    <row r="383" spans="1:13" x14ac:dyDescent="0.2">
      <c r="A383" s="5" t="s">
        <v>599</v>
      </c>
      <c r="B383" s="5" t="s">
        <v>3063</v>
      </c>
      <c r="C383" s="5" t="s">
        <v>2100</v>
      </c>
      <c r="D383" s="5" t="s">
        <v>1836</v>
      </c>
      <c r="E383" s="5" t="s">
        <v>1837</v>
      </c>
      <c r="F383" s="5">
        <v>3.4403600000000001</v>
      </c>
      <c r="G383" s="5">
        <v>1.19842</v>
      </c>
      <c r="H383" s="5">
        <v>-1.52142</v>
      </c>
      <c r="I383" s="5">
        <v>1</v>
      </c>
      <c r="L383" s="2" t="s">
        <v>620</v>
      </c>
      <c r="M383" s="2">
        <v>-1.1719200000000001</v>
      </c>
    </row>
    <row r="384" spans="1:13" x14ac:dyDescent="0.2">
      <c r="A384" s="5" t="s">
        <v>600</v>
      </c>
      <c r="B384" s="5" t="s">
        <v>3173</v>
      </c>
      <c r="C384" s="5" t="s">
        <v>3015</v>
      </c>
      <c r="D384" s="5" t="s">
        <v>1836</v>
      </c>
      <c r="E384" s="5" t="s">
        <v>1837</v>
      </c>
      <c r="F384" s="5">
        <v>0.86006499999999997</v>
      </c>
      <c r="G384" s="5">
        <v>2.2614800000000002</v>
      </c>
      <c r="H384" s="5">
        <v>1.3947499999999999</v>
      </c>
      <c r="I384" s="5">
        <v>1</v>
      </c>
      <c r="L384" s="2" t="s">
        <v>621</v>
      </c>
      <c r="M384" s="2">
        <v>-1.0814999999999999</v>
      </c>
    </row>
    <row r="385" spans="1:13" x14ac:dyDescent="0.2">
      <c r="A385" s="5" t="s">
        <v>601</v>
      </c>
      <c r="B385" s="5" t="s">
        <v>3058</v>
      </c>
      <c r="C385" s="5" t="s">
        <v>2057</v>
      </c>
      <c r="D385" s="5" t="s">
        <v>1836</v>
      </c>
      <c r="E385" s="5" t="s">
        <v>1837</v>
      </c>
      <c r="F385" s="5">
        <v>4.4676499999999999</v>
      </c>
      <c r="G385" s="5">
        <v>2.1991999999999998</v>
      </c>
      <c r="H385" s="5">
        <v>-1.02254</v>
      </c>
      <c r="I385" s="5">
        <v>1</v>
      </c>
      <c r="L385" s="2" t="s">
        <v>623</v>
      </c>
      <c r="M385" s="2">
        <v>-1.0099100000000001</v>
      </c>
    </row>
    <row r="386" spans="1:13" x14ac:dyDescent="0.2">
      <c r="A386" s="5" t="s">
        <v>603</v>
      </c>
      <c r="B386" s="5" t="s">
        <v>3081</v>
      </c>
      <c r="C386" s="5" t="s">
        <v>1882</v>
      </c>
      <c r="D386" s="5" t="s">
        <v>1836</v>
      </c>
      <c r="E386" s="5" t="s">
        <v>1837</v>
      </c>
      <c r="F386" s="5">
        <v>1.0299199999999999</v>
      </c>
      <c r="G386" s="5">
        <v>0.494751</v>
      </c>
      <c r="H386" s="5">
        <v>-1.05776</v>
      </c>
      <c r="I386" s="5">
        <v>1</v>
      </c>
      <c r="L386" s="2" t="s">
        <v>625</v>
      </c>
      <c r="M386" s="2">
        <v>-1.83894</v>
      </c>
    </row>
    <row r="387" spans="1:13" x14ac:dyDescent="0.2">
      <c r="A387" s="5" t="s">
        <v>604</v>
      </c>
      <c r="B387" s="5" t="s">
        <v>3174</v>
      </c>
      <c r="C387" s="5" t="s">
        <v>2125</v>
      </c>
      <c r="D387" s="5" t="s">
        <v>1836</v>
      </c>
      <c r="E387" s="5" t="s">
        <v>1837</v>
      </c>
      <c r="F387" s="5">
        <v>1.4215899999999999</v>
      </c>
      <c r="G387" s="5">
        <v>0.635162</v>
      </c>
      <c r="H387" s="5">
        <v>-1.16231</v>
      </c>
      <c r="I387" s="5">
        <v>1</v>
      </c>
      <c r="L387" s="2" t="s">
        <v>626</v>
      </c>
      <c r="M387" s="2">
        <v>1.113</v>
      </c>
    </row>
    <row r="388" spans="1:13" x14ac:dyDescent="0.2">
      <c r="A388" s="5" t="s">
        <v>605</v>
      </c>
      <c r="B388" s="5" t="s">
        <v>3094</v>
      </c>
      <c r="C388" s="5" t="s">
        <v>2126</v>
      </c>
      <c r="D388" s="5" t="s">
        <v>1836</v>
      </c>
      <c r="E388" s="5" t="s">
        <v>1837</v>
      </c>
      <c r="F388" s="5">
        <v>4.9769500000000004</v>
      </c>
      <c r="G388" s="5">
        <v>2.3850099999999999</v>
      </c>
      <c r="H388" s="5">
        <v>-1.0612699999999999</v>
      </c>
      <c r="I388" s="5">
        <v>1</v>
      </c>
      <c r="L388" s="2" t="s">
        <v>628</v>
      </c>
      <c r="M388" s="2">
        <v>1.7682800000000001</v>
      </c>
    </row>
    <row r="389" spans="1:13" x14ac:dyDescent="0.2">
      <c r="A389" s="5" t="s">
        <v>607</v>
      </c>
      <c r="B389" s="5" t="s">
        <v>3175</v>
      </c>
      <c r="C389" s="5" t="s">
        <v>2127</v>
      </c>
      <c r="D389" s="5" t="s">
        <v>1836</v>
      </c>
      <c r="E389" s="5" t="s">
        <v>1837</v>
      </c>
      <c r="F389" s="5">
        <v>2.9726400000000002</v>
      </c>
      <c r="G389" s="5">
        <v>6.5485100000000003</v>
      </c>
      <c r="H389" s="5">
        <v>1.1394200000000001</v>
      </c>
      <c r="I389" s="5">
        <v>1</v>
      </c>
      <c r="L389" s="2" t="s">
        <v>629</v>
      </c>
      <c r="M389" s="2">
        <v>1.0732299999999999</v>
      </c>
    </row>
    <row r="390" spans="1:13" x14ac:dyDescent="0.2">
      <c r="A390" s="5" t="s">
        <v>608</v>
      </c>
      <c r="B390" s="5" t="s">
        <v>3030</v>
      </c>
      <c r="C390" s="5" t="s">
        <v>2128</v>
      </c>
      <c r="D390" s="5" t="s">
        <v>1836</v>
      </c>
      <c r="E390" s="5" t="s">
        <v>1837</v>
      </c>
      <c r="F390" s="5">
        <v>4.9004899999999996</v>
      </c>
      <c r="G390" s="5">
        <v>2.4414600000000002</v>
      </c>
      <c r="H390" s="5">
        <v>-1.00518</v>
      </c>
      <c r="I390" s="5">
        <v>1</v>
      </c>
      <c r="L390" s="2" t="s">
        <v>630</v>
      </c>
      <c r="M390" s="2">
        <v>2.4624799999999998</v>
      </c>
    </row>
    <row r="391" spans="1:13" x14ac:dyDescent="0.2">
      <c r="A391" s="5" t="s">
        <v>609</v>
      </c>
      <c r="B391" s="5" t="s">
        <v>3081</v>
      </c>
      <c r="C391" s="5" t="s">
        <v>1965</v>
      </c>
      <c r="D391" s="5" t="s">
        <v>1836</v>
      </c>
      <c r="E391" s="5" t="s">
        <v>1837</v>
      </c>
      <c r="F391" s="5">
        <v>5.0696899999999996</v>
      </c>
      <c r="G391" s="5">
        <v>2.4751099999999999</v>
      </c>
      <c r="H391" s="5">
        <v>-1.0344</v>
      </c>
      <c r="I391" s="5">
        <v>1</v>
      </c>
      <c r="L391" s="2" t="s">
        <v>631</v>
      </c>
      <c r="M391" s="2">
        <v>-1.00444</v>
      </c>
    </row>
    <row r="392" spans="1:13" x14ac:dyDescent="0.2">
      <c r="A392" s="5" t="s">
        <v>610</v>
      </c>
      <c r="B392" s="5" t="s">
        <v>3015</v>
      </c>
      <c r="C392" s="5" t="s">
        <v>2129</v>
      </c>
      <c r="D392" s="5" t="s">
        <v>1836</v>
      </c>
      <c r="E392" s="5" t="s">
        <v>1837</v>
      </c>
      <c r="F392" s="5">
        <v>6.4315300000000004</v>
      </c>
      <c r="G392" s="5">
        <v>13.305099999999999</v>
      </c>
      <c r="H392" s="5">
        <v>1.0487500000000001</v>
      </c>
      <c r="I392" s="5">
        <v>1</v>
      </c>
      <c r="L392" s="2" t="s">
        <v>636</v>
      </c>
      <c r="M392" s="2">
        <v>1.1300600000000001</v>
      </c>
    </row>
    <row r="393" spans="1:13" x14ac:dyDescent="0.2">
      <c r="A393" s="5" t="s">
        <v>612</v>
      </c>
      <c r="B393" s="5" t="s">
        <v>3015</v>
      </c>
      <c r="C393" s="5" t="s">
        <v>3015</v>
      </c>
      <c r="D393" s="5" t="s">
        <v>1836</v>
      </c>
      <c r="E393" s="5" t="s">
        <v>1837</v>
      </c>
      <c r="F393" s="5">
        <v>4.11571</v>
      </c>
      <c r="G393" s="5">
        <v>1.57751</v>
      </c>
      <c r="H393" s="5">
        <v>-1.3834900000000001</v>
      </c>
      <c r="I393" s="5">
        <v>1</v>
      </c>
      <c r="L393" s="2" t="s">
        <v>637</v>
      </c>
      <c r="M393" s="2">
        <v>-2.7951299999999999</v>
      </c>
    </row>
    <row r="394" spans="1:13" x14ac:dyDescent="0.2">
      <c r="A394" s="5" t="s">
        <v>613</v>
      </c>
      <c r="B394" s="5" t="s">
        <v>3015</v>
      </c>
      <c r="C394" s="5" t="s">
        <v>2054</v>
      </c>
      <c r="D394" s="5" t="s">
        <v>1836</v>
      </c>
      <c r="E394" s="5" t="s">
        <v>1837</v>
      </c>
      <c r="F394" s="5">
        <v>2.8349899999999999</v>
      </c>
      <c r="G394" s="5">
        <v>1.2095899999999999</v>
      </c>
      <c r="H394" s="5">
        <v>-1.2288300000000001</v>
      </c>
      <c r="I394" s="5">
        <v>1</v>
      </c>
      <c r="L394" s="2" t="s">
        <v>639</v>
      </c>
      <c r="M394" s="2">
        <v>1.2618</v>
      </c>
    </row>
    <row r="395" spans="1:13" x14ac:dyDescent="0.2">
      <c r="A395" s="5" t="s">
        <v>616</v>
      </c>
      <c r="B395" s="5" t="s">
        <v>3176</v>
      </c>
      <c r="C395" s="5" t="s">
        <v>2130</v>
      </c>
      <c r="D395" s="5" t="s">
        <v>1836</v>
      </c>
      <c r="E395" s="5" t="s">
        <v>1837</v>
      </c>
      <c r="F395" s="5">
        <v>9.3573799999999991</v>
      </c>
      <c r="G395" s="5">
        <v>2.46454</v>
      </c>
      <c r="H395" s="5">
        <v>-1.9247799999999999</v>
      </c>
      <c r="I395" s="5">
        <v>1</v>
      </c>
      <c r="L395" s="2" t="s">
        <v>641</v>
      </c>
      <c r="M395" s="2">
        <v>-1.7551000000000001</v>
      </c>
    </row>
    <row r="396" spans="1:13" x14ac:dyDescent="0.2">
      <c r="A396" s="5" t="s">
        <v>617</v>
      </c>
      <c r="B396" s="5" t="s">
        <v>3015</v>
      </c>
      <c r="C396" s="5" t="s">
        <v>2131</v>
      </c>
      <c r="D396" s="5" t="s">
        <v>1836</v>
      </c>
      <c r="E396" s="5" t="s">
        <v>1837</v>
      </c>
      <c r="F396" s="5">
        <v>2.7395299999999998</v>
      </c>
      <c r="G396" s="5">
        <v>1.2310099999999999</v>
      </c>
      <c r="H396" s="5">
        <v>-1.1540900000000001</v>
      </c>
      <c r="I396" s="5">
        <v>1</v>
      </c>
      <c r="L396" s="2" t="s">
        <v>643</v>
      </c>
      <c r="M396" s="2">
        <v>1.01305</v>
      </c>
    </row>
    <row r="397" spans="1:13" x14ac:dyDescent="0.2">
      <c r="A397" s="5" t="s">
        <v>619</v>
      </c>
      <c r="B397" s="5" t="s">
        <v>3015</v>
      </c>
      <c r="C397" s="5" t="s">
        <v>2132</v>
      </c>
      <c r="D397" s="5" t="s">
        <v>1836</v>
      </c>
      <c r="E397" s="5" t="s">
        <v>1837</v>
      </c>
      <c r="F397" s="5">
        <v>3.9423400000000002</v>
      </c>
      <c r="G397" s="5">
        <v>0</v>
      </c>
      <c r="H397" s="5" t="s">
        <v>3021</v>
      </c>
      <c r="I397" s="5" t="s">
        <v>3021</v>
      </c>
      <c r="L397" s="2" t="s">
        <v>645</v>
      </c>
      <c r="M397" s="2">
        <v>-1.4891099999999999</v>
      </c>
    </row>
    <row r="398" spans="1:13" x14ac:dyDescent="0.2">
      <c r="A398" s="5" t="s">
        <v>620</v>
      </c>
      <c r="B398" s="5" t="s">
        <v>3177</v>
      </c>
      <c r="C398" s="5" t="s">
        <v>1882</v>
      </c>
      <c r="D398" s="5" t="s">
        <v>1836</v>
      </c>
      <c r="E398" s="5" t="s">
        <v>1837</v>
      </c>
      <c r="F398" s="5">
        <v>4.0190200000000003</v>
      </c>
      <c r="G398" s="5">
        <v>1.78376</v>
      </c>
      <c r="H398" s="5">
        <v>-1.1719200000000001</v>
      </c>
      <c r="I398" s="5">
        <v>1</v>
      </c>
      <c r="L398" s="2" t="s">
        <v>646</v>
      </c>
      <c r="M398" s="2">
        <v>-1.3744799999999999</v>
      </c>
    </row>
    <row r="399" spans="1:13" x14ac:dyDescent="0.2">
      <c r="A399" s="5" t="s">
        <v>621</v>
      </c>
      <c r="B399" s="5" t="s">
        <v>3026</v>
      </c>
      <c r="C399" s="5" t="s">
        <v>2133</v>
      </c>
      <c r="D399" s="5" t="s">
        <v>1836</v>
      </c>
      <c r="E399" s="5" t="s">
        <v>1837</v>
      </c>
      <c r="F399" s="5">
        <v>8.2590800000000009</v>
      </c>
      <c r="G399" s="5">
        <v>3.90273</v>
      </c>
      <c r="H399" s="5">
        <v>-1.0814999999999999</v>
      </c>
      <c r="I399" s="5">
        <v>1</v>
      </c>
      <c r="L399" s="2" t="s">
        <v>648</v>
      </c>
      <c r="M399" s="2">
        <v>-1.0894699999999999</v>
      </c>
    </row>
    <row r="400" spans="1:13" x14ac:dyDescent="0.2">
      <c r="A400" s="5" t="s">
        <v>623</v>
      </c>
      <c r="B400" s="5" t="s">
        <v>3015</v>
      </c>
      <c r="C400" s="5" t="s">
        <v>1862</v>
      </c>
      <c r="D400" s="5" t="s">
        <v>1836</v>
      </c>
      <c r="E400" s="5" t="s">
        <v>1837</v>
      </c>
      <c r="F400" s="5">
        <v>2.3878300000000001</v>
      </c>
      <c r="G400" s="5">
        <v>1.18574</v>
      </c>
      <c r="H400" s="5">
        <v>-1.0099100000000001</v>
      </c>
      <c r="I400" s="5">
        <v>1</v>
      </c>
      <c r="L400" s="2" t="s">
        <v>649</v>
      </c>
      <c r="M400" s="2">
        <v>-1.2468300000000001</v>
      </c>
    </row>
    <row r="401" spans="1:13" x14ac:dyDescent="0.2">
      <c r="A401" s="5" t="s">
        <v>625</v>
      </c>
      <c r="B401" s="5" t="s">
        <v>3015</v>
      </c>
      <c r="C401" s="5" t="s">
        <v>2134</v>
      </c>
      <c r="D401" s="5" t="s">
        <v>1836</v>
      </c>
      <c r="E401" s="5" t="s">
        <v>1837</v>
      </c>
      <c r="F401" s="5">
        <v>2.1829100000000001</v>
      </c>
      <c r="G401" s="5">
        <v>0.61018300000000003</v>
      </c>
      <c r="H401" s="5">
        <v>-1.83894</v>
      </c>
      <c r="I401" s="5">
        <v>1</v>
      </c>
      <c r="L401" s="2" t="s">
        <v>650</v>
      </c>
      <c r="M401" s="2">
        <v>1.34277</v>
      </c>
    </row>
    <row r="402" spans="1:13" x14ac:dyDescent="0.2">
      <c r="A402" s="5" t="s">
        <v>626</v>
      </c>
      <c r="B402" s="5" t="s">
        <v>3030</v>
      </c>
      <c r="C402" s="5" t="s">
        <v>2135</v>
      </c>
      <c r="D402" s="5" t="s">
        <v>1836</v>
      </c>
      <c r="E402" s="5" t="s">
        <v>1837</v>
      </c>
      <c r="F402" s="5">
        <v>1.58311</v>
      </c>
      <c r="G402" s="5">
        <v>3.4241999999999999</v>
      </c>
      <c r="H402" s="5">
        <v>1.113</v>
      </c>
      <c r="I402" s="5">
        <v>1</v>
      </c>
      <c r="L402" s="2" t="s">
        <v>651</v>
      </c>
      <c r="M402" s="2">
        <v>2.1019199999999998</v>
      </c>
    </row>
    <row r="403" spans="1:13" x14ac:dyDescent="0.2">
      <c r="A403" s="5" t="s">
        <v>628</v>
      </c>
      <c r="B403" s="5" t="s">
        <v>3178</v>
      </c>
      <c r="C403" s="5" t="s">
        <v>2087</v>
      </c>
      <c r="D403" s="5" t="s">
        <v>1836</v>
      </c>
      <c r="E403" s="5" t="s">
        <v>1837</v>
      </c>
      <c r="F403" s="5">
        <v>0.94500600000000001</v>
      </c>
      <c r="G403" s="5">
        <v>3.2191399999999999</v>
      </c>
      <c r="H403" s="5">
        <v>1.7682800000000001</v>
      </c>
      <c r="I403" s="5">
        <v>1</v>
      </c>
      <c r="L403" s="2" t="s">
        <v>652</v>
      </c>
      <c r="M403" s="2">
        <v>1.05759</v>
      </c>
    </row>
    <row r="404" spans="1:13" x14ac:dyDescent="0.2">
      <c r="A404" s="5" t="s">
        <v>629</v>
      </c>
      <c r="B404" s="5" t="s">
        <v>3015</v>
      </c>
      <c r="C404" s="5" t="s">
        <v>2136</v>
      </c>
      <c r="D404" s="5" t="s">
        <v>1836</v>
      </c>
      <c r="E404" s="5" t="s">
        <v>1837</v>
      </c>
      <c r="F404" s="5">
        <v>0.43507899999999999</v>
      </c>
      <c r="G404" s="5">
        <v>0.91546899999999998</v>
      </c>
      <c r="H404" s="5">
        <v>1.0732299999999999</v>
      </c>
      <c r="I404" s="5">
        <v>1</v>
      </c>
      <c r="L404" s="2" t="s">
        <v>654</v>
      </c>
      <c r="M404" s="2">
        <v>-1.0090600000000001</v>
      </c>
    </row>
    <row r="405" spans="1:13" x14ac:dyDescent="0.2">
      <c r="A405" s="5" t="s">
        <v>630</v>
      </c>
      <c r="B405" s="5" t="s">
        <v>3179</v>
      </c>
      <c r="C405" s="5" t="s">
        <v>2137</v>
      </c>
      <c r="D405" s="5" t="s">
        <v>1836</v>
      </c>
      <c r="E405" s="5" t="s">
        <v>1837</v>
      </c>
      <c r="F405" s="5">
        <v>9.6281999999999996</v>
      </c>
      <c r="G405" s="5">
        <v>53.067</v>
      </c>
      <c r="H405" s="5">
        <v>2.4624799999999998</v>
      </c>
      <c r="I405" s="5">
        <v>1</v>
      </c>
      <c r="L405" s="2" t="s">
        <v>655</v>
      </c>
      <c r="M405" s="2">
        <v>-1.43703</v>
      </c>
    </row>
    <row r="406" spans="1:13" x14ac:dyDescent="0.2">
      <c r="A406" s="5" t="s">
        <v>631</v>
      </c>
      <c r="B406" s="5" t="s">
        <v>3030</v>
      </c>
      <c r="C406" s="5" t="s">
        <v>2138</v>
      </c>
      <c r="D406" s="5" t="s">
        <v>1836</v>
      </c>
      <c r="E406" s="5" t="s">
        <v>1837</v>
      </c>
      <c r="F406" s="5">
        <v>1.72109</v>
      </c>
      <c r="G406" s="5">
        <v>0.85789899999999997</v>
      </c>
      <c r="H406" s="5">
        <v>-1.00444</v>
      </c>
      <c r="I406" s="5">
        <v>1</v>
      </c>
      <c r="L406" s="2" t="s">
        <v>656</v>
      </c>
      <c r="M406" s="2">
        <v>-2.14134</v>
      </c>
    </row>
    <row r="407" spans="1:13" x14ac:dyDescent="0.2">
      <c r="A407" s="5" t="s">
        <v>633</v>
      </c>
      <c r="B407" s="5" t="s">
        <v>3015</v>
      </c>
      <c r="C407" s="5" t="s">
        <v>2139</v>
      </c>
      <c r="D407" s="5" t="s">
        <v>1836</v>
      </c>
      <c r="E407" s="5" t="s">
        <v>1837</v>
      </c>
      <c r="F407" s="5">
        <v>0</v>
      </c>
      <c r="G407" s="5">
        <v>1.69197</v>
      </c>
      <c r="H407" s="5" t="s">
        <v>3021</v>
      </c>
      <c r="I407" s="5" t="s">
        <v>3021</v>
      </c>
      <c r="L407" s="2" t="s">
        <v>657</v>
      </c>
      <c r="M407" s="2">
        <v>-1.20835</v>
      </c>
    </row>
    <row r="408" spans="1:13" x14ac:dyDescent="0.2">
      <c r="A408" s="5" t="s">
        <v>636</v>
      </c>
      <c r="B408" s="5" t="s">
        <v>3081</v>
      </c>
      <c r="C408" s="5" t="s">
        <v>2140</v>
      </c>
      <c r="D408" s="5" t="s">
        <v>1836</v>
      </c>
      <c r="E408" s="5" t="s">
        <v>1837</v>
      </c>
      <c r="F408" s="5">
        <v>1.3846499999999999</v>
      </c>
      <c r="G408" s="5">
        <v>3.0305499999999999</v>
      </c>
      <c r="H408" s="5">
        <v>1.1300600000000001</v>
      </c>
      <c r="I408" s="5">
        <v>1</v>
      </c>
      <c r="L408" s="2" t="s">
        <v>658</v>
      </c>
      <c r="M408" s="2">
        <v>1.9179900000000001</v>
      </c>
    </row>
    <row r="409" spans="1:13" x14ac:dyDescent="0.2">
      <c r="A409" s="5" t="s">
        <v>637</v>
      </c>
      <c r="B409" s="5" t="s">
        <v>3045</v>
      </c>
      <c r="C409" s="5" t="s">
        <v>2141</v>
      </c>
      <c r="D409" s="5" t="s">
        <v>1836</v>
      </c>
      <c r="E409" s="5" t="s">
        <v>1837</v>
      </c>
      <c r="F409" s="5">
        <v>7.9981600000000004</v>
      </c>
      <c r="G409" s="5">
        <v>1.15232</v>
      </c>
      <c r="H409" s="5">
        <v>-2.7951299999999999</v>
      </c>
      <c r="I409" s="5">
        <v>1</v>
      </c>
      <c r="L409" s="2" t="s">
        <v>660</v>
      </c>
      <c r="M409" s="2">
        <v>1.0059400000000001</v>
      </c>
    </row>
    <row r="410" spans="1:13" x14ac:dyDescent="0.2">
      <c r="A410" s="5" t="s">
        <v>639</v>
      </c>
      <c r="B410" s="5" t="s">
        <v>3024</v>
      </c>
      <c r="C410" s="5" t="s">
        <v>2142</v>
      </c>
      <c r="D410" s="5" t="s">
        <v>1836</v>
      </c>
      <c r="E410" s="5" t="s">
        <v>1837</v>
      </c>
      <c r="F410" s="5">
        <v>40.3874</v>
      </c>
      <c r="G410" s="5">
        <v>96.847099999999998</v>
      </c>
      <c r="H410" s="5">
        <v>1.2618</v>
      </c>
      <c r="I410" s="5">
        <v>1</v>
      </c>
      <c r="L410" s="2" t="s">
        <v>663</v>
      </c>
      <c r="M410" s="2">
        <v>1.30888</v>
      </c>
    </row>
    <row r="411" spans="1:13" x14ac:dyDescent="0.2">
      <c r="A411" s="5" t="s">
        <v>641</v>
      </c>
      <c r="B411" s="5" t="s">
        <v>3015</v>
      </c>
      <c r="C411" s="5" t="s">
        <v>3015</v>
      </c>
      <c r="D411" s="5" t="s">
        <v>1836</v>
      </c>
      <c r="E411" s="5" t="s">
        <v>1837</v>
      </c>
      <c r="F411" s="5">
        <v>7.6719099999999996</v>
      </c>
      <c r="G411" s="5">
        <v>2.2728299999999999</v>
      </c>
      <c r="H411" s="5">
        <v>-1.7551000000000001</v>
      </c>
      <c r="I411" s="5">
        <v>1</v>
      </c>
      <c r="L411" s="2" t="s">
        <v>669</v>
      </c>
      <c r="M411" s="2">
        <v>2.0457299999999998</v>
      </c>
    </row>
    <row r="412" spans="1:13" x14ac:dyDescent="0.2">
      <c r="A412" s="5" t="s">
        <v>643</v>
      </c>
      <c r="B412" s="5" t="s">
        <v>3180</v>
      </c>
      <c r="C412" s="5" t="s">
        <v>1847</v>
      </c>
      <c r="D412" s="5" t="s">
        <v>1836</v>
      </c>
      <c r="E412" s="5" t="s">
        <v>1837</v>
      </c>
      <c r="F412" s="5">
        <v>0.49564200000000003</v>
      </c>
      <c r="G412" s="5">
        <v>1.0002899999999999</v>
      </c>
      <c r="H412" s="5">
        <v>1.01305</v>
      </c>
      <c r="I412" s="5">
        <v>1</v>
      </c>
      <c r="L412" s="2" t="s">
        <v>671</v>
      </c>
      <c r="M412" s="2">
        <v>-1.36917</v>
      </c>
    </row>
    <row r="413" spans="1:13" x14ac:dyDescent="0.2">
      <c r="A413" s="5" t="s">
        <v>645</v>
      </c>
      <c r="B413" s="5" t="s">
        <v>3181</v>
      </c>
      <c r="C413" s="5" t="s">
        <v>2143</v>
      </c>
      <c r="D413" s="5" t="s">
        <v>1836</v>
      </c>
      <c r="E413" s="5" t="s">
        <v>1837</v>
      </c>
      <c r="F413" s="5">
        <v>39.311999999999998</v>
      </c>
      <c r="G413" s="5">
        <v>14.004200000000001</v>
      </c>
      <c r="H413" s="5">
        <v>-1.4891099999999999</v>
      </c>
      <c r="I413" s="5">
        <v>1</v>
      </c>
      <c r="L413" s="2" t="s">
        <v>673</v>
      </c>
      <c r="M413" s="2">
        <v>1.9930600000000001</v>
      </c>
    </row>
    <row r="414" spans="1:13" x14ac:dyDescent="0.2">
      <c r="A414" s="5" t="s">
        <v>646</v>
      </c>
      <c r="B414" s="5" t="s">
        <v>3182</v>
      </c>
      <c r="C414" s="5" t="s">
        <v>2144</v>
      </c>
      <c r="D414" s="5" t="s">
        <v>1836</v>
      </c>
      <c r="E414" s="5" t="s">
        <v>1837</v>
      </c>
      <c r="F414" s="5">
        <v>7.4388699999999996</v>
      </c>
      <c r="G414" s="5">
        <v>2.8691</v>
      </c>
      <c r="H414" s="5">
        <v>-1.3744799999999999</v>
      </c>
      <c r="I414" s="5">
        <v>1</v>
      </c>
      <c r="L414" s="2" t="s">
        <v>674</v>
      </c>
      <c r="M414" s="2">
        <v>-1.0123599999999999</v>
      </c>
    </row>
    <row r="415" spans="1:13" x14ac:dyDescent="0.2">
      <c r="A415" s="5" t="s">
        <v>648</v>
      </c>
      <c r="B415" s="5" t="s">
        <v>3015</v>
      </c>
      <c r="C415" s="5" t="s">
        <v>2145</v>
      </c>
      <c r="D415" s="5" t="s">
        <v>1836</v>
      </c>
      <c r="E415" s="5" t="s">
        <v>1837</v>
      </c>
      <c r="F415" s="5">
        <v>27.835999999999999</v>
      </c>
      <c r="G415" s="5">
        <v>13.081099999999999</v>
      </c>
      <c r="H415" s="5">
        <v>-1.0894699999999999</v>
      </c>
      <c r="I415" s="5">
        <v>1</v>
      </c>
      <c r="L415" s="2" t="s">
        <v>675</v>
      </c>
      <c r="M415" s="2">
        <v>-1.0252399999999999</v>
      </c>
    </row>
    <row r="416" spans="1:13" x14ac:dyDescent="0.2">
      <c r="A416" s="5" t="s">
        <v>649</v>
      </c>
      <c r="B416" s="5" t="s">
        <v>3015</v>
      </c>
      <c r="C416" s="5" t="s">
        <v>2146</v>
      </c>
      <c r="D416" s="5" t="s">
        <v>1836</v>
      </c>
      <c r="E416" s="5" t="s">
        <v>1837</v>
      </c>
      <c r="F416" s="5">
        <v>1.3088900000000001</v>
      </c>
      <c r="G416" s="5">
        <v>0.55152999999999996</v>
      </c>
      <c r="H416" s="5">
        <v>-1.2468300000000001</v>
      </c>
      <c r="I416" s="5">
        <v>1</v>
      </c>
      <c r="L416" s="2" t="s">
        <v>676</v>
      </c>
      <c r="M416" s="2">
        <v>-1.5500799999999999</v>
      </c>
    </row>
    <row r="417" spans="1:13" x14ac:dyDescent="0.2">
      <c r="A417" s="5" t="s">
        <v>650</v>
      </c>
      <c r="B417" s="5" t="s">
        <v>3015</v>
      </c>
      <c r="C417" s="5" t="s">
        <v>1847</v>
      </c>
      <c r="D417" s="5" t="s">
        <v>1836</v>
      </c>
      <c r="E417" s="5" t="s">
        <v>1837</v>
      </c>
      <c r="F417" s="5">
        <v>4.8729699999999996</v>
      </c>
      <c r="G417" s="5">
        <v>12.3597</v>
      </c>
      <c r="H417" s="5">
        <v>1.34277</v>
      </c>
      <c r="I417" s="5">
        <v>1</v>
      </c>
      <c r="L417" s="2" t="s">
        <v>677</v>
      </c>
      <c r="M417" s="2">
        <v>1.5627200000000001</v>
      </c>
    </row>
    <row r="418" spans="1:13" x14ac:dyDescent="0.2">
      <c r="A418" s="5" t="s">
        <v>651</v>
      </c>
      <c r="B418" s="5" t="s">
        <v>3015</v>
      </c>
      <c r="C418" s="5" t="s">
        <v>2147</v>
      </c>
      <c r="D418" s="5" t="s">
        <v>1836</v>
      </c>
      <c r="E418" s="5" t="s">
        <v>1837</v>
      </c>
      <c r="F418" s="5">
        <v>2.0388500000000001</v>
      </c>
      <c r="G418" s="5">
        <v>8.7523499999999999</v>
      </c>
      <c r="H418" s="5">
        <v>2.1019199999999998</v>
      </c>
      <c r="I418" s="5">
        <v>1</v>
      </c>
      <c r="L418" s="2" t="s">
        <v>680</v>
      </c>
      <c r="M418" s="2">
        <v>-1.10514</v>
      </c>
    </row>
    <row r="419" spans="1:13" x14ac:dyDescent="0.2">
      <c r="A419" s="5" t="s">
        <v>652</v>
      </c>
      <c r="B419" s="5" t="s">
        <v>3183</v>
      </c>
      <c r="C419" s="5" t="s">
        <v>2148</v>
      </c>
      <c r="D419" s="5" t="s">
        <v>1836</v>
      </c>
      <c r="E419" s="5" t="s">
        <v>1837</v>
      </c>
      <c r="F419" s="5">
        <v>30.337499999999999</v>
      </c>
      <c r="G419" s="5">
        <v>63.146000000000001</v>
      </c>
      <c r="H419" s="5">
        <v>1.05759</v>
      </c>
      <c r="I419" s="5">
        <v>1</v>
      </c>
      <c r="L419" s="2" t="s">
        <v>682</v>
      </c>
      <c r="M419" s="2">
        <v>-1.2855799999999999</v>
      </c>
    </row>
    <row r="420" spans="1:13" x14ac:dyDescent="0.2">
      <c r="A420" s="5" t="s">
        <v>654</v>
      </c>
      <c r="B420" s="5" t="s">
        <v>3184</v>
      </c>
      <c r="C420" s="5" t="s">
        <v>2149</v>
      </c>
      <c r="D420" s="5" t="s">
        <v>1836</v>
      </c>
      <c r="E420" s="5" t="s">
        <v>1837</v>
      </c>
      <c r="F420" s="5">
        <v>230.04300000000001</v>
      </c>
      <c r="G420" s="5">
        <v>114.30200000000001</v>
      </c>
      <c r="H420" s="5">
        <v>-1.0090600000000001</v>
      </c>
      <c r="I420" s="5">
        <v>1</v>
      </c>
      <c r="L420" s="2" t="s">
        <v>683</v>
      </c>
      <c r="M420" s="2">
        <v>-1.25475</v>
      </c>
    </row>
    <row r="421" spans="1:13" x14ac:dyDescent="0.2">
      <c r="A421" s="5" t="s">
        <v>655</v>
      </c>
      <c r="B421" s="5" t="s">
        <v>3015</v>
      </c>
      <c r="C421" s="5" t="s">
        <v>3015</v>
      </c>
      <c r="D421" s="5" t="s">
        <v>1836</v>
      </c>
      <c r="E421" s="5" t="s">
        <v>1837</v>
      </c>
      <c r="F421" s="5">
        <v>1.47828</v>
      </c>
      <c r="G421" s="5">
        <v>0.54596500000000003</v>
      </c>
      <c r="H421" s="5">
        <v>-1.43703</v>
      </c>
      <c r="I421" s="5">
        <v>1</v>
      </c>
      <c r="L421" s="2" t="s">
        <v>685</v>
      </c>
      <c r="M421" s="2">
        <v>1.95984</v>
      </c>
    </row>
    <row r="422" spans="1:13" x14ac:dyDescent="0.2">
      <c r="A422" s="5" t="s">
        <v>656</v>
      </c>
      <c r="B422" s="5" t="s">
        <v>3015</v>
      </c>
      <c r="C422" s="5" t="s">
        <v>3015</v>
      </c>
      <c r="D422" s="5" t="s">
        <v>1836</v>
      </c>
      <c r="E422" s="5" t="s">
        <v>1837</v>
      </c>
      <c r="F422" s="5">
        <v>10.4472</v>
      </c>
      <c r="G422" s="5">
        <v>2.3680500000000002</v>
      </c>
      <c r="H422" s="5">
        <v>-2.14134</v>
      </c>
      <c r="I422" s="5">
        <v>1</v>
      </c>
      <c r="L422" s="2" t="s">
        <v>686</v>
      </c>
      <c r="M422" s="2">
        <v>1.0028600000000001</v>
      </c>
    </row>
    <row r="423" spans="1:13" x14ac:dyDescent="0.2">
      <c r="A423" s="5" t="s">
        <v>657</v>
      </c>
      <c r="B423" s="5" t="s">
        <v>3185</v>
      </c>
      <c r="C423" s="5" t="s">
        <v>2150</v>
      </c>
      <c r="D423" s="5" t="s">
        <v>1836</v>
      </c>
      <c r="E423" s="5" t="s">
        <v>1837</v>
      </c>
      <c r="F423" s="5">
        <v>28.745100000000001</v>
      </c>
      <c r="G423" s="5">
        <v>12.4398</v>
      </c>
      <c r="H423" s="5">
        <v>-1.20835</v>
      </c>
      <c r="I423" s="5">
        <v>1</v>
      </c>
      <c r="L423" s="2" t="s">
        <v>687</v>
      </c>
      <c r="M423" s="2">
        <v>-1.4870000000000001</v>
      </c>
    </row>
    <row r="424" spans="1:13" x14ac:dyDescent="0.2">
      <c r="A424" s="5" t="s">
        <v>658</v>
      </c>
      <c r="B424" s="5" t="s">
        <v>3015</v>
      </c>
      <c r="C424" s="5" t="s">
        <v>2151</v>
      </c>
      <c r="D424" s="5" t="s">
        <v>1836</v>
      </c>
      <c r="E424" s="5" t="s">
        <v>1837</v>
      </c>
      <c r="F424" s="5">
        <v>1.1596200000000001</v>
      </c>
      <c r="G424" s="5">
        <v>4.3821399999999997</v>
      </c>
      <c r="H424" s="5">
        <v>1.9179900000000001</v>
      </c>
      <c r="I424" s="5">
        <v>1</v>
      </c>
      <c r="L424" s="2" t="s">
        <v>688</v>
      </c>
      <c r="M424" s="2">
        <v>-1.0370200000000001</v>
      </c>
    </row>
    <row r="425" spans="1:13" x14ac:dyDescent="0.2">
      <c r="A425" s="5" t="s">
        <v>660</v>
      </c>
      <c r="B425" s="5" t="s">
        <v>3015</v>
      </c>
      <c r="C425" s="5" t="s">
        <v>2152</v>
      </c>
      <c r="D425" s="5" t="s">
        <v>1836</v>
      </c>
      <c r="E425" s="5" t="s">
        <v>1837</v>
      </c>
      <c r="F425" s="5">
        <v>0.73051600000000005</v>
      </c>
      <c r="G425" s="5">
        <v>1.46706</v>
      </c>
      <c r="H425" s="5">
        <v>1.0059400000000001</v>
      </c>
      <c r="I425" s="5">
        <v>1</v>
      </c>
      <c r="L425" s="2" t="s">
        <v>689</v>
      </c>
      <c r="M425" s="2">
        <v>-1.16493</v>
      </c>
    </row>
    <row r="426" spans="1:13" x14ac:dyDescent="0.2">
      <c r="A426" s="5" t="s">
        <v>663</v>
      </c>
      <c r="B426" s="5" t="s">
        <v>3186</v>
      </c>
      <c r="C426" s="5" t="s">
        <v>2153</v>
      </c>
      <c r="D426" s="5" t="s">
        <v>1836</v>
      </c>
      <c r="E426" s="5" t="s">
        <v>1837</v>
      </c>
      <c r="F426" s="5">
        <v>2.2288199999999998</v>
      </c>
      <c r="G426" s="5">
        <v>5.5218600000000002</v>
      </c>
      <c r="H426" s="5">
        <v>1.30888</v>
      </c>
      <c r="I426" s="5">
        <v>1</v>
      </c>
      <c r="L426" s="2" t="s">
        <v>690</v>
      </c>
      <c r="M426" s="2">
        <v>-1.17303</v>
      </c>
    </row>
    <row r="427" spans="1:13" x14ac:dyDescent="0.2">
      <c r="A427" s="5" t="s">
        <v>669</v>
      </c>
      <c r="B427" s="5" t="s">
        <v>3015</v>
      </c>
      <c r="C427" s="5" t="s">
        <v>2154</v>
      </c>
      <c r="D427" s="5" t="s">
        <v>1836</v>
      </c>
      <c r="E427" s="5" t="s">
        <v>1837</v>
      </c>
      <c r="F427" s="5">
        <v>145.02500000000001</v>
      </c>
      <c r="G427" s="5">
        <v>598.78399999999999</v>
      </c>
      <c r="H427" s="5">
        <v>2.0457299999999998</v>
      </c>
      <c r="I427" s="5">
        <v>1</v>
      </c>
      <c r="L427" s="2" t="s">
        <v>691</v>
      </c>
      <c r="M427" s="2">
        <v>-1.5864199999999999</v>
      </c>
    </row>
    <row r="428" spans="1:13" x14ac:dyDescent="0.2">
      <c r="A428" s="5" t="s">
        <v>671</v>
      </c>
      <c r="B428" s="5" t="s">
        <v>3187</v>
      </c>
      <c r="C428" s="5" t="s">
        <v>2155</v>
      </c>
      <c r="D428" s="5" t="s">
        <v>1836</v>
      </c>
      <c r="E428" s="5" t="s">
        <v>1837</v>
      </c>
      <c r="F428" s="5">
        <v>0.82825099999999996</v>
      </c>
      <c r="G428" s="5">
        <v>0.320627</v>
      </c>
      <c r="H428" s="5">
        <v>-1.36917</v>
      </c>
      <c r="I428" s="5">
        <v>1</v>
      </c>
      <c r="L428" s="2" t="s">
        <v>695</v>
      </c>
      <c r="M428" s="2">
        <v>-1.4192800000000001</v>
      </c>
    </row>
    <row r="429" spans="1:13" x14ac:dyDescent="0.2">
      <c r="A429" s="5" t="s">
        <v>673</v>
      </c>
      <c r="B429" s="5" t="s">
        <v>3188</v>
      </c>
      <c r="C429" s="5" t="s">
        <v>2156</v>
      </c>
      <c r="D429" s="5" t="s">
        <v>1836</v>
      </c>
      <c r="E429" s="5" t="s">
        <v>1837</v>
      </c>
      <c r="F429" s="5">
        <v>2.33358</v>
      </c>
      <c r="G429" s="5">
        <v>9.2895699999999994</v>
      </c>
      <c r="H429" s="5">
        <v>1.9930600000000001</v>
      </c>
      <c r="I429" s="5">
        <v>1</v>
      </c>
      <c r="L429" s="2" t="s">
        <v>696</v>
      </c>
      <c r="M429" s="2">
        <v>-2.0010300000000001</v>
      </c>
    </row>
    <row r="430" spans="1:13" x14ac:dyDescent="0.2">
      <c r="A430" s="5" t="s">
        <v>674</v>
      </c>
      <c r="B430" s="5" t="s">
        <v>3015</v>
      </c>
      <c r="C430" s="5" t="s">
        <v>1847</v>
      </c>
      <c r="D430" s="5" t="s">
        <v>1836</v>
      </c>
      <c r="E430" s="5" t="s">
        <v>1837</v>
      </c>
      <c r="F430" s="5">
        <v>16.711200000000002</v>
      </c>
      <c r="G430" s="5">
        <v>8.2843300000000006</v>
      </c>
      <c r="H430" s="5">
        <v>-1.0123599999999999</v>
      </c>
      <c r="I430" s="5">
        <v>1</v>
      </c>
      <c r="L430" s="2" t="s">
        <v>697</v>
      </c>
      <c r="M430" s="2">
        <v>1.49092</v>
      </c>
    </row>
    <row r="431" spans="1:13" x14ac:dyDescent="0.2">
      <c r="A431" s="5" t="s">
        <v>675</v>
      </c>
      <c r="B431" s="5" t="s">
        <v>3189</v>
      </c>
      <c r="C431" s="5" t="s">
        <v>2157</v>
      </c>
      <c r="D431" s="5" t="s">
        <v>1836</v>
      </c>
      <c r="E431" s="5" t="s">
        <v>1837</v>
      </c>
      <c r="F431" s="5">
        <v>36.3626</v>
      </c>
      <c r="G431" s="5">
        <v>17.866</v>
      </c>
      <c r="H431" s="5">
        <v>-1.0252399999999999</v>
      </c>
      <c r="I431" s="5">
        <v>1</v>
      </c>
      <c r="L431" s="2" t="s">
        <v>700</v>
      </c>
      <c r="M431" s="2">
        <v>1.35225</v>
      </c>
    </row>
    <row r="432" spans="1:13" x14ac:dyDescent="0.2">
      <c r="A432" s="5" t="s">
        <v>676</v>
      </c>
      <c r="B432" s="5" t="s">
        <v>3038</v>
      </c>
      <c r="C432" s="5" t="s">
        <v>2158</v>
      </c>
      <c r="D432" s="5" t="s">
        <v>1836</v>
      </c>
      <c r="E432" s="5" t="s">
        <v>1837</v>
      </c>
      <c r="F432" s="5">
        <v>1.08673</v>
      </c>
      <c r="G432" s="5">
        <v>0.37110799999999999</v>
      </c>
      <c r="H432" s="5">
        <v>-1.5500799999999999</v>
      </c>
      <c r="I432" s="5">
        <v>1</v>
      </c>
      <c r="L432" s="2" t="s">
        <v>701</v>
      </c>
      <c r="M432" s="2">
        <v>-1.66048</v>
      </c>
    </row>
    <row r="433" spans="1:13" x14ac:dyDescent="0.2">
      <c r="A433" s="5" t="s">
        <v>677</v>
      </c>
      <c r="B433" s="5" t="s">
        <v>3190</v>
      </c>
      <c r="C433" s="5" t="s">
        <v>2159</v>
      </c>
      <c r="D433" s="5" t="s">
        <v>1836</v>
      </c>
      <c r="E433" s="5" t="s">
        <v>1837</v>
      </c>
      <c r="F433" s="5">
        <v>0.83784499999999995</v>
      </c>
      <c r="G433" s="5">
        <v>2.4750800000000002</v>
      </c>
      <c r="H433" s="5">
        <v>1.5627200000000001</v>
      </c>
      <c r="I433" s="5">
        <v>1</v>
      </c>
      <c r="L433" s="2" t="s">
        <v>703</v>
      </c>
      <c r="M433" s="2">
        <v>1.22763</v>
      </c>
    </row>
    <row r="434" spans="1:13" x14ac:dyDescent="0.2">
      <c r="A434" s="5" t="s">
        <v>680</v>
      </c>
      <c r="B434" s="5" t="s">
        <v>3015</v>
      </c>
      <c r="C434" s="5" t="s">
        <v>3015</v>
      </c>
      <c r="D434" s="5" t="s">
        <v>1836</v>
      </c>
      <c r="E434" s="5" t="s">
        <v>1837</v>
      </c>
      <c r="F434" s="5">
        <v>6.05091</v>
      </c>
      <c r="G434" s="5">
        <v>2.8128099999999998</v>
      </c>
      <c r="H434" s="5">
        <v>-1.10514</v>
      </c>
      <c r="I434" s="5">
        <v>1</v>
      </c>
      <c r="L434" s="2" t="s">
        <v>705</v>
      </c>
      <c r="M434" s="2">
        <v>-1.57298</v>
      </c>
    </row>
    <row r="435" spans="1:13" x14ac:dyDescent="0.2">
      <c r="A435" s="5" t="s">
        <v>682</v>
      </c>
      <c r="B435" s="5" t="s">
        <v>3191</v>
      </c>
      <c r="C435" s="5" t="s">
        <v>3015</v>
      </c>
      <c r="D435" s="5" t="s">
        <v>1836</v>
      </c>
      <c r="E435" s="5" t="s">
        <v>1837</v>
      </c>
      <c r="F435" s="5">
        <v>1.7057899999999999</v>
      </c>
      <c r="G435" s="5">
        <v>0.69972699999999999</v>
      </c>
      <c r="H435" s="5">
        <v>-1.2855799999999999</v>
      </c>
      <c r="I435" s="5">
        <v>1</v>
      </c>
      <c r="L435" s="2" t="s">
        <v>706</v>
      </c>
      <c r="M435" s="2">
        <v>-1.1402600000000001</v>
      </c>
    </row>
    <row r="436" spans="1:13" x14ac:dyDescent="0.2">
      <c r="A436" s="5" t="s">
        <v>683</v>
      </c>
      <c r="B436" s="5" t="s">
        <v>3080</v>
      </c>
      <c r="C436" s="5" t="s">
        <v>2160</v>
      </c>
      <c r="D436" s="5" t="s">
        <v>1836</v>
      </c>
      <c r="E436" s="5" t="s">
        <v>1837</v>
      </c>
      <c r="F436" s="5">
        <v>3.46069</v>
      </c>
      <c r="G436" s="5">
        <v>1.4502600000000001</v>
      </c>
      <c r="H436" s="5">
        <v>-1.25475</v>
      </c>
      <c r="I436" s="5">
        <v>1</v>
      </c>
      <c r="L436" s="2" t="s">
        <v>707</v>
      </c>
      <c r="M436" s="2">
        <v>-1.6118699999999999</v>
      </c>
    </row>
    <row r="437" spans="1:13" x14ac:dyDescent="0.2">
      <c r="A437" s="5" t="s">
        <v>685</v>
      </c>
      <c r="B437" s="5" t="s">
        <v>3015</v>
      </c>
      <c r="C437" s="5" t="s">
        <v>2161</v>
      </c>
      <c r="D437" s="5" t="s">
        <v>1836</v>
      </c>
      <c r="E437" s="5" t="s">
        <v>1837</v>
      </c>
      <c r="F437" s="5">
        <v>9.6047999999999991</v>
      </c>
      <c r="G437" s="5">
        <v>37.364400000000003</v>
      </c>
      <c r="H437" s="5">
        <v>1.95984</v>
      </c>
      <c r="I437" s="5">
        <v>1</v>
      </c>
      <c r="L437" s="2" t="s">
        <v>709</v>
      </c>
      <c r="M437" s="2">
        <v>-1.4321699999999999</v>
      </c>
    </row>
    <row r="438" spans="1:13" x14ac:dyDescent="0.2">
      <c r="A438" s="5" t="s">
        <v>686</v>
      </c>
      <c r="B438" s="5" t="s">
        <v>3045</v>
      </c>
      <c r="C438" s="5" t="s">
        <v>1923</v>
      </c>
      <c r="D438" s="5" t="s">
        <v>1836</v>
      </c>
      <c r="E438" s="5" t="s">
        <v>1837</v>
      </c>
      <c r="F438" s="5">
        <v>1.31301</v>
      </c>
      <c r="G438" s="5">
        <v>2.63123</v>
      </c>
      <c r="H438" s="5">
        <v>1.0028600000000001</v>
      </c>
      <c r="I438" s="5">
        <v>1</v>
      </c>
      <c r="L438" s="2" t="s">
        <v>710</v>
      </c>
      <c r="M438" s="2">
        <v>1.1009100000000001</v>
      </c>
    </row>
    <row r="439" spans="1:13" x14ac:dyDescent="0.2">
      <c r="A439" s="5" t="s">
        <v>687</v>
      </c>
      <c r="B439" s="5" t="s">
        <v>3015</v>
      </c>
      <c r="C439" s="5" t="s">
        <v>1847</v>
      </c>
      <c r="D439" s="5" t="s">
        <v>1836</v>
      </c>
      <c r="E439" s="5" t="s">
        <v>1837</v>
      </c>
      <c r="F439" s="5">
        <v>3.3123100000000001</v>
      </c>
      <c r="G439" s="5">
        <v>1.1816800000000001</v>
      </c>
      <c r="H439" s="5">
        <v>-1.4870000000000001</v>
      </c>
      <c r="I439" s="5">
        <v>1</v>
      </c>
      <c r="L439" s="2" t="s">
        <v>711</v>
      </c>
      <c r="M439" s="2">
        <v>1.67113</v>
      </c>
    </row>
    <row r="440" spans="1:13" x14ac:dyDescent="0.2">
      <c r="A440" s="5" t="s">
        <v>688</v>
      </c>
      <c r="B440" s="5" t="s">
        <v>3192</v>
      </c>
      <c r="C440" s="5" t="s">
        <v>2162</v>
      </c>
      <c r="D440" s="5" t="s">
        <v>1836</v>
      </c>
      <c r="E440" s="5" t="s">
        <v>1837</v>
      </c>
      <c r="F440" s="5">
        <v>1.37477</v>
      </c>
      <c r="G440" s="5">
        <v>0.66997099999999998</v>
      </c>
      <c r="H440" s="5">
        <v>-1.0370200000000001</v>
      </c>
      <c r="I440" s="5">
        <v>1</v>
      </c>
      <c r="L440" s="2" t="s">
        <v>712</v>
      </c>
      <c r="M440" s="2">
        <v>-1.1930099999999999</v>
      </c>
    </row>
    <row r="441" spans="1:13" x14ac:dyDescent="0.2">
      <c r="A441" s="5" t="s">
        <v>689</v>
      </c>
      <c r="B441" s="5" t="s">
        <v>3133</v>
      </c>
      <c r="C441" s="5" t="s">
        <v>2031</v>
      </c>
      <c r="D441" s="5" t="s">
        <v>1836</v>
      </c>
      <c r="E441" s="5" t="s">
        <v>1837</v>
      </c>
      <c r="F441" s="5">
        <v>25.295500000000001</v>
      </c>
      <c r="G441" s="5">
        <v>11.281499999999999</v>
      </c>
      <c r="H441" s="5">
        <v>-1.16493</v>
      </c>
      <c r="I441" s="5">
        <v>1</v>
      </c>
      <c r="L441" s="2" t="s">
        <v>713</v>
      </c>
      <c r="M441" s="2">
        <v>-1.69764</v>
      </c>
    </row>
    <row r="442" spans="1:13" x14ac:dyDescent="0.2">
      <c r="A442" s="5" t="s">
        <v>690</v>
      </c>
      <c r="B442" s="5" t="s">
        <v>3116</v>
      </c>
      <c r="C442" s="5" t="s">
        <v>2163</v>
      </c>
      <c r="D442" s="5" t="s">
        <v>1836</v>
      </c>
      <c r="E442" s="5" t="s">
        <v>1837</v>
      </c>
      <c r="F442" s="5">
        <v>2.5925099999999999</v>
      </c>
      <c r="G442" s="5">
        <v>1.14975</v>
      </c>
      <c r="H442" s="5">
        <v>-1.17303</v>
      </c>
      <c r="I442" s="5">
        <v>1</v>
      </c>
      <c r="L442" s="2" t="s">
        <v>715</v>
      </c>
      <c r="M442" s="2">
        <v>-1.16883</v>
      </c>
    </row>
    <row r="443" spans="1:13" x14ac:dyDescent="0.2">
      <c r="A443" s="5" t="s">
        <v>691</v>
      </c>
      <c r="B443" s="5" t="s">
        <v>3015</v>
      </c>
      <c r="C443" s="5" t="s">
        <v>2164</v>
      </c>
      <c r="D443" s="5" t="s">
        <v>1836</v>
      </c>
      <c r="E443" s="5" t="s">
        <v>1837</v>
      </c>
      <c r="F443" s="5">
        <v>1.3046599999999999</v>
      </c>
      <c r="G443" s="5">
        <v>0.43444700000000003</v>
      </c>
      <c r="H443" s="5">
        <v>-1.5864199999999999</v>
      </c>
      <c r="I443" s="5">
        <v>1</v>
      </c>
      <c r="L443" s="2" t="s">
        <v>717</v>
      </c>
      <c r="M443" s="2">
        <v>-1.47078</v>
      </c>
    </row>
    <row r="444" spans="1:13" x14ac:dyDescent="0.2">
      <c r="A444" s="5" t="s">
        <v>695</v>
      </c>
      <c r="B444" s="5" t="s">
        <v>3049</v>
      </c>
      <c r="C444" s="5" t="s">
        <v>2165</v>
      </c>
      <c r="D444" s="5" t="s">
        <v>1836</v>
      </c>
      <c r="E444" s="5" t="s">
        <v>1837</v>
      </c>
      <c r="F444" s="5">
        <v>2.7762600000000002</v>
      </c>
      <c r="G444" s="5">
        <v>1.0380400000000001</v>
      </c>
      <c r="H444" s="5">
        <v>-1.4192800000000001</v>
      </c>
      <c r="I444" s="5">
        <v>1</v>
      </c>
      <c r="L444" s="2" t="s">
        <v>718</v>
      </c>
      <c r="M444" s="2">
        <v>-1.79155</v>
      </c>
    </row>
    <row r="445" spans="1:13" x14ac:dyDescent="0.2">
      <c r="A445" s="5" t="s">
        <v>696</v>
      </c>
      <c r="B445" s="5" t="s">
        <v>3193</v>
      </c>
      <c r="C445" s="5" t="s">
        <v>2166</v>
      </c>
      <c r="D445" s="5" t="s">
        <v>1836</v>
      </c>
      <c r="E445" s="5" t="s">
        <v>1837</v>
      </c>
      <c r="F445" s="5">
        <v>15.4168</v>
      </c>
      <c r="G445" s="5">
        <v>3.8514400000000002</v>
      </c>
      <c r="H445" s="5">
        <v>-2.0010300000000001</v>
      </c>
      <c r="I445" s="5">
        <v>1</v>
      </c>
      <c r="L445" s="2" t="s">
        <v>719</v>
      </c>
      <c r="M445" s="2">
        <v>-1.01444</v>
      </c>
    </row>
    <row r="446" spans="1:13" x14ac:dyDescent="0.2">
      <c r="A446" s="5" t="s">
        <v>697</v>
      </c>
      <c r="B446" s="5" t="s">
        <v>3058</v>
      </c>
      <c r="C446" s="5" t="s">
        <v>2167</v>
      </c>
      <c r="D446" s="5" t="s">
        <v>1836</v>
      </c>
      <c r="E446" s="5" t="s">
        <v>1837</v>
      </c>
      <c r="F446" s="5">
        <v>1.3626799999999999</v>
      </c>
      <c r="G446" s="5">
        <v>3.8300700000000001</v>
      </c>
      <c r="H446" s="5">
        <v>1.49092</v>
      </c>
      <c r="I446" s="5">
        <v>1</v>
      </c>
      <c r="L446" s="2" t="s">
        <v>724</v>
      </c>
      <c r="M446" s="2">
        <v>1.3089500000000001</v>
      </c>
    </row>
    <row r="447" spans="1:13" x14ac:dyDescent="0.2">
      <c r="A447" s="5" t="s">
        <v>700</v>
      </c>
      <c r="B447" s="5" t="s">
        <v>3015</v>
      </c>
      <c r="C447" s="5" t="s">
        <v>2168</v>
      </c>
      <c r="D447" s="5" t="s">
        <v>1836</v>
      </c>
      <c r="E447" s="5" t="s">
        <v>1837</v>
      </c>
      <c r="F447" s="5">
        <v>1.5114399999999999</v>
      </c>
      <c r="G447" s="5">
        <v>3.85886</v>
      </c>
      <c r="H447" s="5">
        <v>1.35225</v>
      </c>
      <c r="I447" s="5">
        <v>1</v>
      </c>
      <c r="L447" s="2" t="s">
        <v>725</v>
      </c>
      <c r="M447" s="2">
        <v>1.0094700000000001</v>
      </c>
    </row>
    <row r="448" spans="1:13" x14ac:dyDescent="0.2">
      <c r="A448" s="5" t="s">
        <v>701</v>
      </c>
      <c r="B448" s="5" t="s">
        <v>3015</v>
      </c>
      <c r="C448" s="5" t="s">
        <v>2169</v>
      </c>
      <c r="D448" s="5" t="s">
        <v>1836</v>
      </c>
      <c r="E448" s="5" t="s">
        <v>1837</v>
      </c>
      <c r="F448" s="5">
        <v>2.2369500000000002</v>
      </c>
      <c r="G448" s="5">
        <v>0.70762199999999997</v>
      </c>
      <c r="H448" s="5">
        <v>-1.66048</v>
      </c>
      <c r="I448" s="5">
        <v>1</v>
      </c>
      <c r="L448" s="2" t="s">
        <v>728</v>
      </c>
      <c r="M448" s="2">
        <v>1.3909899999999999</v>
      </c>
    </row>
    <row r="449" spans="1:13" x14ac:dyDescent="0.2">
      <c r="A449" s="5" t="s">
        <v>703</v>
      </c>
      <c r="B449" s="5" t="s">
        <v>3045</v>
      </c>
      <c r="C449" s="5" t="s">
        <v>1923</v>
      </c>
      <c r="D449" s="5" t="s">
        <v>1836</v>
      </c>
      <c r="E449" s="5" t="s">
        <v>1837</v>
      </c>
      <c r="F449" s="5">
        <v>1.5314300000000001</v>
      </c>
      <c r="G449" s="5">
        <v>3.5863299999999998</v>
      </c>
      <c r="H449" s="5">
        <v>1.22763</v>
      </c>
      <c r="I449" s="5">
        <v>1</v>
      </c>
      <c r="L449" s="2" t="s">
        <v>729</v>
      </c>
      <c r="M449" s="2">
        <v>1.33558</v>
      </c>
    </row>
    <row r="450" spans="1:13" x14ac:dyDescent="0.2">
      <c r="A450" s="5" t="s">
        <v>705</v>
      </c>
      <c r="B450" s="5" t="s">
        <v>3015</v>
      </c>
      <c r="C450" s="5" t="s">
        <v>2170</v>
      </c>
      <c r="D450" s="5" t="s">
        <v>1836</v>
      </c>
      <c r="E450" s="5" t="s">
        <v>1837</v>
      </c>
      <c r="F450" s="5">
        <v>2.0831900000000001</v>
      </c>
      <c r="G450" s="5">
        <v>0.70018999999999998</v>
      </c>
      <c r="H450" s="5">
        <v>-1.57298</v>
      </c>
      <c r="I450" s="5">
        <v>1</v>
      </c>
      <c r="L450" s="2" t="s">
        <v>730</v>
      </c>
      <c r="M450" s="2">
        <v>-1.1420600000000001</v>
      </c>
    </row>
    <row r="451" spans="1:13" x14ac:dyDescent="0.2">
      <c r="A451" s="5" t="s">
        <v>706</v>
      </c>
      <c r="B451" s="5" t="s">
        <v>3194</v>
      </c>
      <c r="C451" s="5" t="s">
        <v>1847</v>
      </c>
      <c r="D451" s="5" t="s">
        <v>1836</v>
      </c>
      <c r="E451" s="5" t="s">
        <v>1837</v>
      </c>
      <c r="F451" s="5">
        <v>397.41</v>
      </c>
      <c r="G451" s="5">
        <v>180.297</v>
      </c>
      <c r="H451" s="5">
        <v>-1.1402600000000001</v>
      </c>
      <c r="I451" s="5">
        <v>1</v>
      </c>
      <c r="L451" s="2" t="s">
        <v>731</v>
      </c>
      <c r="M451" s="2">
        <v>-1.92075</v>
      </c>
    </row>
    <row r="452" spans="1:13" x14ac:dyDescent="0.2">
      <c r="A452" s="5" t="s">
        <v>707</v>
      </c>
      <c r="B452" s="5" t="s">
        <v>3015</v>
      </c>
      <c r="C452" s="5" t="s">
        <v>2171</v>
      </c>
      <c r="D452" s="5" t="s">
        <v>1836</v>
      </c>
      <c r="E452" s="5" t="s">
        <v>1837</v>
      </c>
      <c r="F452" s="5">
        <v>22.814599999999999</v>
      </c>
      <c r="G452" s="5">
        <v>7.4643600000000001</v>
      </c>
      <c r="H452" s="5">
        <v>-1.6118699999999999</v>
      </c>
      <c r="I452" s="5">
        <v>1</v>
      </c>
      <c r="L452" s="2" t="s">
        <v>733</v>
      </c>
      <c r="M452" s="2">
        <v>2.17517</v>
      </c>
    </row>
    <row r="453" spans="1:13" x14ac:dyDescent="0.2">
      <c r="A453" s="5" t="s">
        <v>709</v>
      </c>
      <c r="B453" s="5" t="s">
        <v>3195</v>
      </c>
      <c r="C453" s="5" t="s">
        <v>2172</v>
      </c>
      <c r="D453" s="5" t="s">
        <v>1836</v>
      </c>
      <c r="E453" s="5" t="s">
        <v>1837</v>
      </c>
      <c r="F453" s="5">
        <v>62.06</v>
      </c>
      <c r="G453" s="5">
        <v>22.997699999999998</v>
      </c>
      <c r="H453" s="5">
        <v>-1.4321699999999999</v>
      </c>
      <c r="I453" s="5">
        <v>1</v>
      </c>
      <c r="L453" s="2" t="s">
        <v>735</v>
      </c>
      <c r="M453" s="2">
        <v>-1.02363</v>
      </c>
    </row>
    <row r="454" spans="1:13" x14ac:dyDescent="0.2">
      <c r="A454" s="5" t="s">
        <v>710</v>
      </c>
      <c r="B454" s="5" t="s">
        <v>3015</v>
      </c>
      <c r="C454" s="5" t="s">
        <v>1847</v>
      </c>
      <c r="D454" s="5" t="s">
        <v>1836</v>
      </c>
      <c r="E454" s="5" t="s">
        <v>1837</v>
      </c>
      <c r="F454" s="5">
        <v>2.2034600000000002</v>
      </c>
      <c r="G454" s="5">
        <v>4.7262000000000004</v>
      </c>
      <c r="H454" s="5">
        <v>1.1009100000000001</v>
      </c>
      <c r="I454" s="5">
        <v>1</v>
      </c>
      <c r="L454" s="2" t="s">
        <v>736</v>
      </c>
      <c r="M454" s="2">
        <v>1.4056299999999999</v>
      </c>
    </row>
    <row r="455" spans="1:13" x14ac:dyDescent="0.2">
      <c r="A455" s="5" t="s">
        <v>711</v>
      </c>
      <c r="B455" s="5" t="s">
        <v>3015</v>
      </c>
      <c r="C455" s="5" t="s">
        <v>2173</v>
      </c>
      <c r="D455" s="5" t="s">
        <v>1836</v>
      </c>
      <c r="E455" s="5" t="s">
        <v>1837</v>
      </c>
      <c r="F455" s="5">
        <v>59.829799999999999</v>
      </c>
      <c r="G455" s="5">
        <v>190.53700000000001</v>
      </c>
      <c r="H455" s="5">
        <v>1.67113</v>
      </c>
      <c r="I455" s="5">
        <v>1</v>
      </c>
      <c r="L455" s="2" t="s">
        <v>737</v>
      </c>
      <c r="M455" s="2">
        <v>1.31846</v>
      </c>
    </row>
    <row r="456" spans="1:13" x14ac:dyDescent="0.2">
      <c r="A456" s="5" t="s">
        <v>712</v>
      </c>
      <c r="B456" s="5" t="s">
        <v>3015</v>
      </c>
      <c r="C456" s="5" t="s">
        <v>2174</v>
      </c>
      <c r="D456" s="5" t="s">
        <v>1836</v>
      </c>
      <c r="E456" s="5" t="s">
        <v>1837</v>
      </c>
      <c r="F456" s="5">
        <v>1.65584</v>
      </c>
      <c r="G456" s="5">
        <v>0.72424699999999997</v>
      </c>
      <c r="H456" s="5">
        <v>-1.1930099999999999</v>
      </c>
      <c r="I456" s="5">
        <v>1</v>
      </c>
      <c r="L456" s="2" t="s">
        <v>738</v>
      </c>
      <c r="M456" s="2">
        <v>1.9571799999999999</v>
      </c>
    </row>
    <row r="457" spans="1:13" x14ac:dyDescent="0.2">
      <c r="A457" s="5" t="s">
        <v>713</v>
      </c>
      <c r="B457" s="5" t="s">
        <v>3015</v>
      </c>
      <c r="C457" s="5" t="s">
        <v>2175</v>
      </c>
      <c r="D457" s="5" t="s">
        <v>1836</v>
      </c>
      <c r="E457" s="5" t="s">
        <v>1837</v>
      </c>
      <c r="F457" s="5">
        <v>6.0875300000000001</v>
      </c>
      <c r="G457" s="5">
        <v>1.87673</v>
      </c>
      <c r="H457" s="5">
        <v>-1.69764</v>
      </c>
      <c r="I457" s="5">
        <v>1</v>
      </c>
      <c r="L457" s="2" t="s">
        <v>739</v>
      </c>
      <c r="M457" s="2">
        <v>1.41012</v>
      </c>
    </row>
    <row r="458" spans="1:13" x14ac:dyDescent="0.2">
      <c r="A458" s="5" t="s">
        <v>715</v>
      </c>
      <c r="B458" s="5" t="s">
        <v>3196</v>
      </c>
      <c r="C458" s="5" t="s">
        <v>2176</v>
      </c>
      <c r="D458" s="5" t="s">
        <v>1836</v>
      </c>
      <c r="E458" s="5" t="s">
        <v>1837</v>
      </c>
      <c r="F458" s="5">
        <v>8.7713300000000007</v>
      </c>
      <c r="G458" s="5">
        <v>3.9013399999999998</v>
      </c>
      <c r="H458" s="5">
        <v>-1.16883</v>
      </c>
      <c r="I458" s="5">
        <v>1</v>
      </c>
      <c r="L458" s="2" t="s">
        <v>740</v>
      </c>
      <c r="M458" s="2">
        <v>1.0705899999999999</v>
      </c>
    </row>
    <row r="459" spans="1:13" x14ac:dyDescent="0.2">
      <c r="A459" s="5" t="s">
        <v>717</v>
      </c>
      <c r="B459" s="5" t="s">
        <v>3104</v>
      </c>
      <c r="C459" s="5" t="s">
        <v>2177</v>
      </c>
      <c r="D459" s="5" t="s">
        <v>1836</v>
      </c>
      <c r="E459" s="5" t="s">
        <v>1837</v>
      </c>
      <c r="F459" s="5">
        <v>6.6232800000000003</v>
      </c>
      <c r="G459" s="5">
        <v>2.3896000000000002</v>
      </c>
      <c r="H459" s="5">
        <v>-1.47078</v>
      </c>
      <c r="I459" s="5">
        <v>1</v>
      </c>
      <c r="L459" s="2" t="s">
        <v>742</v>
      </c>
      <c r="M459" s="2">
        <v>-1.2393799999999999</v>
      </c>
    </row>
    <row r="460" spans="1:13" x14ac:dyDescent="0.2">
      <c r="A460" s="5" t="s">
        <v>718</v>
      </c>
      <c r="B460" s="5" t="s">
        <v>3094</v>
      </c>
      <c r="C460" s="5" t="s">
        <v>2178</v>
      </c>
      <c r="D460" s="5" t="s">
        <v>1836</v>
      </c>
      <c r="E460" s="5" t="s">
        <v>1837</v>
      </c>
      <c r="F460" s="5">
        <v>1.67675</v>
      </c>
      <c r="G460" s="5">
        <v>0.484346</v>
      </c>
      <c r="H460" s="5">
        <v>-1.79155</v>
      </c>
      <c r="I460" s="5">
        <v>1</v>
      </c>
      <c r="L460" s="2" t="s">
        <v>743</v>
      </c>
      <c r="M460" s="2">
        <v>-1.03288</v>
      </c>
    </row>
    <row r="461" spans="1:13" x14ac:dyDescent="0.2">
      <c r="A461" s="5" t="s">
        <v>719</v>
      </c>
      <c r="B461" s="5" t="s">
        <v>3197</v>
      </c>
      <c r="C461" s="5" t="s">
        <v>2179</v>
      </c>
      <c r="D461" s="5" t="s">
        <v>1836</v>
      </c>
      <c r="E461" s="5" t="s">
        <v>1837</v>
      </c>
      <c r="F461" s="5">
        <v>123.59699999999999</v>
      </c>
      <c r="G461" s="5">
        <v>61.182899999999997</v>
      </c>
      <c r="H461" s="5">
        <v>-1.01444</v>
      </c>
      <c r="I461" s="5">
        <v>1</v>
      </c>
      <c r="L461" s="2" t="s">
        <v>744</v>
      </c>
      <c r="M461" s="2">
        <v>-1.9426099999999999</v>
      </c>
    </row>
    <row r="462" spans="1:13" x14ac:dyDescent="0.2">
      <c r="A462" s="5" t="s">
        <v>724</v>
      </c>
      <c r="B462" s="5" t="s">
        <v>3037</v>
      </c>
      <c r="C462" s="5" t="s">
        <v>2180</v>
      </c>
      <c r="D462" s="5" t="s">
        <v>1836</v>
      </c>
      <c r="E462" s="5" t="s">
        <v>1837</v>
      </c>
      <c r="F462" s="5">
        <v>1.02461</v>
      </c>
      <c r="G462" s="5">
        <v>2.5386000000000002</v>
      </c>
      <c r="H462" s="5">
        <v>1.3089500000000001</v>
      </c>
      <c r="I462" s="5">
        <v>1</v>
      </c>
      <c r="L462" s="2" t="s">
        <v>747</v>
      </c>
      <c r="M462" s="2">
        <v>1.2681800000000001</v>
      </c>
    </row>
    <row r="463" spans="1:13" x14ac:dyDescent="0.2">
      <c r="A463" s="5" t="s">
        <v>725</v>
      </c>
      <c r="B463" s="5" t="s">
        <v>3198</v>
      </c>
      <c r="C463" s="5" t="s">
        <v>2181</v>
      </c>
      <c r="D463" s="5" t="s">
        <v>1836</v>
      </c>
      <c r="E463" s="5" t="s">
        <v>1837</v>
      </c>
      <c r="F463" s="5">
        <v>21.617899999999999</v>
      </c>
      <c r="G463" s="5">
        <v>43.520499999999998</v>
      </c>
      <c r="H463" s="5">
        <v>1.0094700000000001</v>
      </c>
      <c r="I463" s="5">
        <v>1</v>
      </c>
      <c r="L463" s="2" t="s">
        <v>748</v>
      </c>
      <c r="M463" s="2">
        <v>-1.6330100000000001</v>
      </c>
    </row>
    <row r="464" spans="1:13" x14ac:dyDescent="0.2">
      <c r="A464" s="5" t="s">
        <v>728</v>
      </c>
      <c r="B464" s="5" t="s">
        <v>3015</v>
      </c>
      <c r="C464" s="5" t="s">
        <v>2129</v>
      </c>
      <c r="D464" s="5" t="s">
        <v>1836</v>
      </c>
      <c r="E464" s="5" t="s">
        <v>1837</v>
      </c>
      <c r="F464" s="5">
        <v>1.6618299999999999</v>
      </c>
      <c r="G464" s="5">
        <v>4.3582700000000001</v>
      </c>
      <c r="H464" s="5">
        <v>1.3909899999999999</v>
      </c>
      <c r="I464" s="5">
        <v>1</v>
      </c>
      <c r="L464" s="2" t="s">
        <v>749</v>
      </c>
      <c r="M464" s="2">
        <v>-1.1037699999999999</v>
      </c>
    </row>
    <row r="465" spans="1:13" x14ac:dyDescent="0.2">
      <c r="A465" s="5" t="s">
        <v>729</v>
      </c>
      <c r="B465" s="5" t="s">
        <v>3199</v>
      </c>
      <c r="C465" s="5" t="s">
        <v>2182</v>
      </c>
      <c r="D465" s="5" t="s">
        <v>1836</v>
      </c>
      <c r="E465" s="5" t="s">
        <v>1837</v>
      </c>
      <c r="F465" s="5">
        <v>35.938899999999997</v>
      </c>
      <c r="G465" s="5">
        <v>90.701599999999999</v>
      </c>
      <c r="H465" s="5">
        <v>1.33558</v>
      </c>
      <c r="I465" s="5">
        <v>1</v>
      </c>
      <c r="L465" s="2" t="s">
        <v>750</v>
      </c>
      <c r="M465" s="2">
        <v>-1.86372</v>
      </c>
    </row>
    <row r="466" spans="1:13" x14ac:dyDescent="0.2">
      <c r="A466" s="5" t="s">
        <v>730</v>
      </c>
      <c r="B466" s="5" t="s">
        <v>3030</v>
      </c>
      <c r="C466" s="5" t="s">
        <v>1862</v>
      </c>
      <c r="D466" s="5" t="s">
        <v>1836</v>
      </c>
      <c r="E466" s="5" t="s">
        <v>1837</v>
      </c>
      <c r="F466" s="5">
        <v>1.82142</v>
      </c>
      <c r="G466" s="5">
        <v>0.82530700000000001</v>
      </c>
      <c r="H466" s="5">
        <v>-1.1420600000000001</v>
      </c>
      <c r="I466" s="5">
        <v>1</v>
      </c>
      <c r="L466" s="2" t="s">
        <v>751</v>
      </c>
      <c r="M466" s="2">
        <v>1.0447599999999999</v>
      </c>
    </row>
    <row r="467" spans="1:13" x14ac:dyDescent="0.2">
      <c r="A467" s="5" t="s">
        <v>731</v>
      </c>
      <c r="B467" s="5" t="s">
        <v>3015</v>
      </c>
      <c r="C467" s="5" t="s">
        <v>2183</v>
      </c>
      <c r="D467" s="5" t="s">
        <v>1836</v>
      </c>
      <c r="E467" s="5" t="s">
        <v>1837</v>
      </c>
      <c r="F467" s="5">
        <v>5.3973699999999996</v>
      </c>
      <c r="G467" s="5">
        <v>1.42554</v>
      </c>
      <c r="H467" s="5">
        <v>-1.92075</v>
      </c>
      <c r="I467" s="5">
        <v>1</v>
      </c>
      <c r="L467" s="2" t="s">
        <v>752</v>
      </c>
      <c r="M467" s="2">
        <v>1.4965200000000001</v>
      </c>
    </row>
    <row r="468" spans="1:13" x14ac:dyDescent="0.2">
      <c r="A468" s="5" t="s">
        <v>733</v>
      </c>
      <c r="B468" s="5" t="s">
        <v>3015</v>
      </c>
      <c r="C468" s="5" t="s">
        <v>2098</v>
      </c>
      <c r="D468" s="5" t="s">
        <v>1836</v>
      </c>
      <c r="E468" s="5" t="s">
        <v>1837</v>
      </c>
      <c r="F468" s="5">
        <v>1.0208299999999999</v>
      </c>
      <c r="G468" s="5">
        <v>4.6105</v>
      </c>
      <c r="H468" s="5">
        <v>2.17517</v>
      </c>
      <c r="I468" s="5">
        <v>1</v>
      </c>
      <c r="L468" s="2" t="s">
        <v>754</v>
      </c>
      <c r="M468" s="2">
        <v>-1.2029000000000001</v>
      </c>
    </row>
    <row r="469" spans="1:13" x14ac:dyDescent="0.2">
      <c r="A469" s="5" t="s">
        <v>735</v>
      </c>
      <c r="B469" s="5" t="s">
        <v>3171</v>
      </c>
      <c r="C469" s="5" t="s">
        <v>2123</v>
      </c>
      <c r="D469" s="5" t="s">
        <v>1836</v>
      </c>
      <c r="E469" s="5" t="s">
        <v>1837</v>
      </c>
      <c r="F469" s="5">
        <v>1.76406</v>
      </c>
      <c r="G469" s="5">
        <v>0.86770099999999994</v>
      </c>
      <c r="H469" s="5">
        <v>-1.02363</v>
      </c>
      <c r="I469" s="5">
        <v>1</v>
      </c>
      <c r="L469" s="2" t="s">
        <v>755</v>
      </c>
      <c r="M469" s="2">
        <v>-1.0208999999999999</v>
      </c>
    </row>
    <row r="470" spans="1:13" x14ac:dyDescent="0.2">
      <c r="A470" s="5" t="s">
        <v>736</v>
      </c>
      <c r="B470" s="5" t="s">
        <v>3015</v>
      </c>
      <c r="C470" s="5" t="s">
        <v>3015</v>
      </c>
      <c r="D470" s="5" t="s">
        <v>1836</v>
      </c>
      <c r="E470" s="5" t="s">
        <v>1837</v>
      </c>
      <c r="F470" s="5">
        <v>9.5863499999999995</v>
      </c>
      <c r="G470" s="5">
        <v>25.397500000000001</v>
      </c>
      <c r="H470" s="5">
        <v>1.4056299999999999</v>
      </c>
      <c r="I470" s="5">
        <v>1</v>
      </c>
      <c r="L470" s="2" t="s">
        <v>758</v>
      </c>
      <c r="M470" s="2">
        <v>1.80359</v>
      </c>
    </row>
    <row r="471" spans="1:13" x14ac:dyDescent="0.2">
      <c r="A471" s="5" t="s">
        <v>737</v>
      </c>
      <c r="B471" s="5" t="s">
        <v>3178</v>
      </c>
      <c r="C471" s="5" t="s">
        <v>2184</v>
      </c>
      <c r="D471" s="5" t="s">
        <v>1836</v>
      </c>
      <c r="E471" s="5" t="s">
        <v>1837</v>
      </c>
      <c r="F471" s="5">
        <v>0.57511199999999996</v>
      </c>
      <c r="G471" s="5">
        <v>1.4343300000000001</v>
      </c>
      <c r="H471" s="5">
        <v>1.31846</v>
      </c>
      <c r="I471" s="5">
        <v>1</v>
      </c>
      <c r="L471" s="2" t="s">
        <v>759</v>
      </c>
      <c r="M471" s="2">
        <v>-1.0950599999999999</v>
      </c>
    </row>
    <row r="472" spans="1:13" x14ac:dyDescent="0.2">
      <c r="A472" s="5" t="s">
        <v>738</v>
      </c>
      <c r="B472" s="5" t="s">
        <v>3015</v>
      </c>
      <c r="C472" s="5" t="s">
        <v>1847</v>
      </c>
      <c r="D472" s="5" t="s">
        <v>1836</v>
      </c>
      <c r="E472" s="5" t="s">
        <v>1837</v>
      </c>
      <c r="F472" s="5">
        <v>6.2729999999999997</v>
      </c>
      <c r="G472" s="5">
        <v>24.3582</v>
      </c>
      <c r="H472" s="5">
        <v>1.9571799999999999</v>
      </c>
      <c r="I472" s="5">
        <v>1</v>
      </c>
      <c r="L472" s="2" t="s">
        <v>760</v>
      </c>
      <c r="M472" s="2">
        <v>-2.4077899999999999</v>
      </c>
    </row>
    <row r="473" spans="1:13" x14ac:dyDescent="0.2">
      <c r="A473" s="5" t="s">
        <v>739</v>
      </c>
      <c r="B473" s="5" t="s">
        <v>3200</v>
      </c>
      <c r="C473" s="5" t="s">
        <v>2001</v>
      </c>
      <c r="D473" s="5" t="s">
        <v>1836</v>
      </c>
      <c r="E473" s="5" t="s">
        <v>1837</v>
      </c>
      <c r="F473" s="5">
        <v>0.65553600000000001</v>
      </c>
      <c r="G473" s="5">
        <v>1.7421500000000001</v>
      </c>
      <c r="H473" s="5">
        <v>1.41012</v>
      </c>
      <c r="I473" s="5">
        <v>1</v>
      </c>
      <c r="L473" s="2" t="s">
        <v>761</v>
      </c>
      <c r="M473" s="2">
        <v>-1.3711199999999999</v>
      </c>
    </row>
    <row r="474" spans="1:13" x14ac:dyDescent="0.2">
      <c r="A474" s="5" t="s">
        <v>740</v>
      </c>
      <c r="B474" s="5" t="s">
        <v>3200</v>
      </c>
      <c r="C474" s="5" t="s">
        <v>2001</v>
      </c>
      <c r="D474" s="5" t="s">
        <v>1836</v>
      </c>
      <c r="E474" s="5" t="s">
        <v>1837</v>
      </c>
      <c r="F474" s="5">
        <v>21.859400000000001</v>
      </c>
      <c r="G474" s="5">
        <v>45.911200000000001</v>
      </c>
      <c r="H474" s="5">
        <v>1.0705899999999999</v>
      </c>
      <c r="I474" s="5">
        <v>1</v>
      </c>
      <c r="L474" s="2" t="s">
        <v>762</v>
      </c>
      <c r="M474" s="2">
        <v>1.19459</v>
      </c>
    </row>
    <row r="475" spans="1:13" x14ac:dyDescent="0.2">
      <c r="A475" s="5" t="s">
        <v>742</v>
      </c>
      <c r="B475" s="5" t="s">
        <v>3058</v>
      </c>
      <c r="C475" s="5" t="s">
        <v>2185</v>
      </c>
      <c r="D475" s="5" t="s">
        <v>1836</v>
      </c>
      <c r="E475" s="5" t="s">
        <v>1837</v>
      </c>
      <c r="F475" s="5">
        <v>2.4286599999999998</v>
      </c>
      <c r="G475" s="5">
        <v>1.02867</v>
      </c>
      <c r="H475" s="5">
        <v>-1.2393799999999999</v>
      </c>
      <c r="I475" s="5">
        <v>1</v>
      </c>
      <c r="L475" s="2" t="s">
        <v>763</v>
      </c>
      <c r="M475" s="2">
        <v>-2.3522699999999999</v>
      </c>
    </row>
    <row r="476" spans="1:13" x14ac:dyDescent="0.2">
      <c r="A476" s="5" t="s">
        <v>743</v>
      </c>
      <c r="B476" s="5" t="s">
        <v>3201</v>
      </c>
      <c r="C476" s="5" t="s">
        <v>2186</v>
      </c>
      <c r="D476" s="5" t="s">
        <v>1836</v>
      </c>
      <c r="E476" s="5" t="s">
        <v>1837</v>
      </c>
      <c r="F476" s="5">
        <v>1.78914</v>
      </c>
      <c r="G476" s="5">
        <v>0.87441500000000005</v>
      </c>
      <c r="H476" s="5">
        <v>-1.03288</v>
      </c>
      <c r="I476" s="5">
        <v>1</v>
      </c>
      <c r="L476" s="2" t="s">
        <v>764</v>
      </c>
      <c r="M476" s="2">
        <v>-1.08961</v>
      </c>
    </row>
    <row r="477" spans="1:13" x14ac:dyDescent="0.2">
      <c r="A477" s="5" t="s">
        <v>744</v>
      </c>
      <c r="B477" s="5" t="s">
        <v>3202</v>
      </c>
      <c r="C477" s="5" t="s">
        <v>1937</v>
      </c>
      <c r="D477" s="5" t="s">
        <v>1836</v>
      </c>
      <c r="E477" s="5" t="s">
        <v>1837</v>
      </c>
      <c r="F477" s="5">
        <v>2.5004200000000001</v>
      </c>
      <c r="G477" s="5">
        <v>0.650474</v>
      </c>
      <c r="H477" s="5">
        <v>-1.9426099999999999</v>
      </c>
      <c r="I477" s="5">
        <v>1</v>
      </c>
      <c r="L477" s="2" t="s">
        <v>766</v>
      </c>
      <c r="M477" s="2">
        <v>-1.14663</v>
      </c>
    </row>
    <row r="478" spans="1:13" x14ac:dyDescent="0.2">
      <c r="A478" s="5" t="s">
        <v>747</v>
      </c>
      <c r="B478" s="5" t="s">
        <v>3015</v>
      </c>
      <c r="C478" s="5" t="s">
        <v>2129</v>
      </c>
      <c r="D478" s="5" t="s">
        <v>1836</v>
      </c>
      <c r="E478" s="5" t="s">
        <v>1837</v>
      </c>
      <c r="F478" s="5">
        <v>1.7181900000000001</v>
      </c>
      <c r="G478" s="5">
        <v>4.1383900000000002</v>
      </c>
      <c r="H478" s="5">
        <v>1.2681800000000001</v>
      </c>
      <c r="I478" s="5">
        <v>1</v>
      </c>
      <c r="L478" s="2" t="s">
        <v>769</v>
      </c>
      <c r="M478" s="2">
        <v>-1.3978600000000001</v>
      </c>
    </row>
    <row r="479" spans="1:13" x14ac:dyDescent="0.2">
      <c r="A479" s="5" t="s">
        <v>748</v>
      </c>
      <c r="B479" s="5" t="s">
        <v>3015</v>
      </c>
      <c r="C479" s="5" t="s">
        <v>3015</v>
      </c>
      <c r="D479" s="5" t="s">
        <v>1836</v>
      </c>
      <c r="E479" s="5" t="s">
        <v>1837</v>
      </c>
      <c r="F479" s="5">
        <v>4.5364699999999996</v>
      </c>
      <c r="G479" s="5">
        <v>1.4626300000000001</v>
      </c>
      <c r="H479" s="5">
        <v>-1.6330100000000001</v>
      </c>
      <c r="I479" s="5">
        <v>1</v>
      </c>
      <c r="L479" s="2" t="s">
        <v>771</v>
      </c>
      <c r="M479" s="2">
        <v>1.14194</v>
      </c>
    </row>
    <row r="480" spans="1:13" x14ac:dyDescent="0.2">
      <c r="A480" s="5" t="s">
        <v>749</v>
      </c>
      <c r="B480" s="5" t="s">
        <v>3015</v>
      </c>
      <c r="C480" s="5" t="s">
        <v>3015</v>
      </c>
      <c r="D480" s="5" t="s">
        <v>1836</v>
      </c>
      <c r="E480" s="5" t="s">
        <v>1837</v>
      </c>
      <c r="F480" s="5">
        <v>36.808199999999999</v>
      </c>
      <c r="G480" s="5">
        <v>17.126899999999999</v>
      </c>
      <c r="H480" s="5">
        <v>-1.1037699999999999</v>
      </c>
      <c r="I480" s="5">
        <v>1</v>
      </c>
      <c r="L480" s="2" t="s">
        <v>775</v>
      </c>
      <c r="M480" s="2">
        <v>1.24624</v>
      </c>
    </row>
    <row r="481" spans="1:13" x14ac:dyDescent="0.2">
      <c r="A481" s="5" t="s">
        <v>750</v>
      </c>
      <c r="B481" s="5" t="s">
        <v>3047</v>
      </c>
      <c r="C481" s="5" t="s">
        <v>3015</v>
      </c>
      <c r="D481" s="5" t="s">
        <v>1836</v>
      </c>
      <c r="E481" s="5" t="s">
        <v>1837</v>
      </c>
      <c r="F481" s="5">
        <v>5.2603799999999996</v>
      </c>
      <c r="G481" s="5">
        <v>1.4453800000000001</v>
      </c>
      <c r="H481" s="5">
        <v>-1.86372</v>
      </c>
      <c r="I481" s="5">
        <v>1</v>
      </c>
      <c r="L481" s="2" t="s">
        <v>779</v>
      </c>
      <c r="M481" s="2">
        <v>-1.01332</v>
      </c>
    </row>
    <row r="482" spans="1:13" x14ac:dyDescent="0.2">
      <c r="A482" s="5" t="s">
        <v>751</v>
      </c>
      <c r="B482" s="5" t="s">
        <v>3015</v>
      </c>
      <c r="C482" s="5" t="s">
        <v>3015</v>
      </c>
      <c r="D482" s="5" t="s">
        <v>1836</v>
      </c>
      <c r="E482" s="5" t="s">
        <v>1837</v>
      </c>
      <c r="F482" s="5">
        <v>3.2742</v>
      </c>
      <c r="G482" s="5">
        <v>6.75474</v>
      </c>
      <c r="H482" s="5">
        <v>1.0447599999999999</v>
      </c>
      <c r="I482" s="5">
        <v>1</v>
      </c>
      <c r="L482" s="2" t="s">
        <v>781</v>
      </c>
      <c r="M482" s="2">
        <v>-1.1522300000000001</v>
      </c>
    </row>
    <row r="483" spans="1:13" x14ac:dyDescent="0.2">
      <c r="A483" s="5" t="s">
        <v>752</v>
      </c>
      <c r="B483" s="5" t="s">
        <v>3203</v>
      </c>
      <c r="C483" s="5" t="s">
        <v>2187</v>
      </c>
      <c r="D483" s="5" t="s">
        <v>1836</v>
      </c>
      <c r="E483" s="5" t="s">
        <v>1837</v>
      </c>
      <c r="F483" s="5">
        <v>0.380523</v>
      </c>
      <c r="G483" s="5">
        <v>1.07369</v>
      </c>
      <c r="H483" s="5">
        <v>1.4965200000000001</v>
      </c>
      <c r="I483" s="5">
        <v>1</v>
      </c>
      <c r="L483" s="2" t="s">
        <v>782</v>
      </c>
      <c r="M483" s="2">
        <v>1.5203</v>
      </c>
    </row>
    <row r="484" spans="1:13" x14ac:dyDescent="0.2">
      <c r="A484" s="5" t="s">
        <v>754</v>
      </c>
      <c r="B484" s="5" t="s">
        <v>3062</v>
      </c>
      <c r="C484" s="5" t="s">
        <v>2188</v>
      </c>
      <c r="D484" s="5" t="s">
        <v>1836</v>
      </c>
      <c r="E484" s="5" t="s">
        <v>1837</v>
      </c>
      <c r="F484" s="5">
        <v>6.9001400000000004</v>
      </c>
      <c r="G484" s="5">
        <v>2.99742</v>
      </c>
      <c r="H484" s="5">
        <v>-1.2029000000000001</v>
      </c>
      <c r="I484" s="5">
        <v>1</v>
      </c>
      <c r="L484" s="2" t="s">
        <v>784</v>
      </c>
      <c r="M484" s="2">
        <v>-1.06762</v>
      </c>
    </row>
    <row r="485" spans="1:13" x14ac:dyDescent="0.2">
      <c r="A485" s="5" t="s">
        <v>755</v>
      </c>
      <c r="B485" s="5" t="s">
        <v>3058</v>
      </c>
      <c r="C485" s="5" t="s">
        <v>2018</v>
      </c>
      <c r="D485" s="5" t="s">
        <v>1836</v>
      </c>
      <c r="E485" s="5" t="s">
        <v>1837</v>
      </c>
      <c r="F485" s="5">
        <v>9.6928800000000006</v>
      </c>
      <c r="G485" s="5">
        <v>4.7767499999999998</v>
      </c>
      <c r="H485" s="5">
        <v>-1.0208999999999999</v>
      </c>
      <c r="I485" s="5">
        <v>1</v>
      </c>
      <c r="L485" s="2" t="s">
        <v>785</v>
      </c>
      <c r="M485" s="2">
        <v>1.30765</v>
      </c>
    </row>
    <row r="486" spans="1:13" x14ac:dyDescent="0.2">
      <c r="A486" s="5" t="s">
        <v>758</v>
      </c>
      <c r="B486" s="5" t="s">
        <v>3093</v>
      </c>
      <c r="C486" s="5" t="s">
        <v>2189</v>
      </c>
      <c r="D486" s="5" t="s">
        <v>1836</v>
      </c>
      <c r="E486" s="5" t="s">
        <v>1837</v>
      </c>
      <c r="F486" s="5">
        <v>1.6951700000000001</v>
      </c>
      <c r="G486" s="5">
        <v>5.9176200000000003</v>
      </c>
      <c r="H486" s="5">
        <v>1.80359</v>
      </c>
      <c r="I486" s="5">
        <v>1</v>
      </c>
      <c r="L486" s="2" t="s">
        <v>787</v>
      </c>
      <c r="M486" s="2">
        <v>1.1752199999999999</v>
      </c>
    </row>
    <row r="487" spans="1:13" x14ac:dyDescent="0.2">
      <c r="A487" s="5" t="s">
        <v>759</v>
      </c>
      <c r="B487" s="5" t="s">
        <v>3204</v>
      </c>
      <c r="C487" s="5" t="s">
        <v>2190</v>
      </c>
      <c r="D487" s="5" t="s">
        <v>1836</v>
      </c>
      <c r="E487" s="5" t="s">
        <v>1837</v>
      </c>
      <c r="F487" s="5">
        <v>10.7218</v>
      </c>
      <c r="G487" s="5">
        <v>5.0190700000000001</v>
      </c>
      <c r="H487" s="5">
        <v>-1.0950599999999999</v>
      </c>
      <c r="I487" s="5">
        <v>1</v>
      </c>
      <c r="L487" s="2" t="s">
        <v>789</v>
      </c>
      <c r="M487" s="2">
        <v>-1.798</v>
      </c>
    </row>
    <row r="488" spans="1:13" x14ac:dyDescent="0.2">
      <c r="A488" s="5" t="s">
        <v>760</v>
      </c>
      <c r="B488" s="5" t="s">
        <v>3015</v>
      </c>
      <c r="C488" s="5" t="s">
        <v>3015</v>
      </c>
      <c r="D488" s="5" t="s">
        <v>1836</v>
      </c>
      <c r="E488" s="5" t="s">
        <v>1837</v>
      </c>
      <c r="F488" s="5">
        <v>3.50373</v>
      </c>
      <c r="G488" s="5">
        <v>0.66025800000000001</v>
      </c>
      <c r="H488" s="5">
        <v>-2.4077899999999999</v>
      </c>
      <c r="I488" s="5">
        <v>1</v>
      </c>
      <c r="L488" s="2" t="s">
        <v>790</v>
      </c>
      <c r="M488" s="2">
        <v>-1.24217</v>
      </c>
    </row>
    <row r="489" spans="1:13" x14ac:dyDescent="0.2">
      <c r="A489" s="5" t="s">
        <v>761</v>
      </c>
      <c r="B489" s="5" t="s">
        <v>3015</v>
      </c>
      <c r="C489" s="5" t="s">
        <v>2191</v>
      </c>
      <c r="D489" s="5" t="s">
        <v>1836</v>
      </c>
      <c r="E489" s="5" t="s">
        <v>1837</v>
      </c>
      <c r="F489" s="5">
        <v>1.67391</v>
      </c>
      <c r="G489" s="5">
        <v>0.647119</v>
      </c>
      <c r="H489" s="5">
        <v>-1.3711199999999999</v>
      </c>
      <c r="I489" s="5">
        <v>1</v>
      </c>
      <c r="L489" s="2" t="s">
        <v>791</v>
      </c>
      <c r="M489" s="2">
        <v>1.1421399999999999</v>
      </c>
    </row>
    <row r="490" spans="1:13" x14ac:dyDescent="0.2">
      <c r="A490" s="5" t="s">
        <v>762</v>
      </c>
      <c r="B490" s="5" t="s">
        <v>3205</v>
      </c>
      <c r="C490" s="5" t="s">
        <v>2192</v>
      </c>
      <c r="D490" s="5" t="s">
        <v>1836</v>
      </c>
      <c r="E490" s="5" t="s">
        <v>1837</v>
      </c>
      <c r="F490" s="5">
        <v>0.81979900000000006</v>
      </c>
      <c r="G490" s="5">
        <v>1.87635</v>
      </c>
      <c r="H490" s="5">
        <v>1.19459</v>
      </c>
      <c r="I490" s="5">
        <v>1</v>
      </c>
      <c r="L490" s="2" t="s">
        <v>795</v>
      </c>
      <c r="M490" s="2">
        <v>-1.0054700000000001</v>
      </c>
    </row>
    <row r="491" spans="1:13" x14ac:dyDescent="0.2">
      <c r="A491" s="5" t="s">
        <v>763</v>
      </c>
      <c r="B491" s="5" t="s">
        <v>3045</v>
      </c>
      <c r="C491" s="5" t="s">
        <v>2193</v>
      </c>
      <c r="D491" s="5" t="s">
        <v>1836</v>
      </c>
      <c r="E491" s="5" t="s">
        <v>1837</v>
      </c>
      <c r="F491" s="5">
        <v>4.4005799999999997</v>
      </c>
      <c r="G491" s="5">
        <v>0.86180000000000001</v>
      </c>
      <c r="H491" s="5">
        <v>-2.3522699999999999</v>
      </c>
      <c r="I491" s="5">
        <v>1</v>
      </c>
      <c r="L491" s="2" t="s">
        <v>796</v>
      </c>
      <c r="M491" s="2">
        <v>-1.149</v>
      </c>
    </row>
    <row r="492" spans="1:13" x14ac:dyDescent="0.2">
      <c r="A492" s="5" t="s">
        <v>764</v>
      </c>
      <c r="B492" s="5" t="s">
        <v>3206</v>
      </c>
      <c r="C492" s="5" t="s">
        <v>2194</v>
      </c>
      <c r="D492" s="5" t="s">
        <v>1836</v>
      </c>
      <c r="E492" s="5" t="s">
        <v>1837</v>
      </c>
      <c r="F492" s="5">
        <v>39.874600000000001</v>
      </c>
      <c r="G492" s="5">
        <v>18.736599999999999</v>
      </c>
      <c r="H492" s="5">
        <v>-1.08961</v>
      </c>
      <c r="I492" s="5">
        <v>1</v>
      </c>
      <c r="L492" s="2" t="s">
        <v>797</v>
      </c>
      <c r="M492" s="2">
        <v>-1.03827</v>
      </c>
    </row>
    <row r="493" spans="1:13" x14ac:dyDescent="0.2">
      <c r="A493" s="5" t="s">
        <v>766</v>
      </c>
      <c r="B493" s="5" t="s">
        <v>3015</v>
      </c>
      <c r="C493" s="5" t="s">
        <v>2195</v>
      </c>
      <c r="D493" s="5" t="s">
        <v>1836</v>
      </c>
      <c r="E493" s="5" t="s">
        <v>1837</v>
      </c>
      <c r="F493" s="5">
        <v>2.3186300000000002</v>
      </c>
      <c r="G493" s="5">
        <v>1.04728</v>
      </c>
      <c r="H493" s="5">
        <v>-1.14663</v>
      </c>
      <c r="I493" s="5">
        <v>1</v>
      </c>
      <c r="L493" s="2" t="s">
        <v>798</v>
      </c>
      <c r="M493" s="2">
        <v>-1.50963</v>
      </c>
    </row>
    <row r="494" spans="1:13" x14ac:dyDescent="0.2">
      <c r="A494" s="5" t="s">
        <v>769</v>
      </c>
      <c r="B494" s="5" t="s">
        <v>3207</v>
      </c>
      <c r="C494" s="5" t="s">
        <v>2196</v>
      </c>
      <c r="D494" s="5" t="s">
        <v>1836</v>
      </c>
      <c r="E494" s="5" t="s">
        <v>1837</v>
      </c>
      <c r="F494" s="5">
        <v>3.7873999999999999</v>
      </c>
      <c r="G494" s="5">
        <v>1.43729</v>
      </c>
      <c r="H494" s="5">
        <v>-1.3978600000000001</v>
      </c>
      <c r="I494" s="5">
        <v>1</v>
      </c>
      <c r="L494" s="2" t="s">
        <v>799</v>
      </c>
      <c r="M494" s="2">
        <v>2.0307200000000001</v>
      </c>
    </row>
    <row r="495" spans="1:13" x14ac:dyDescent="0.2">
      <c r="A495" s="5" t="s">
        <v>771</v>
      </c>
      <c r="B495" s="5" t="s">
        <v>3045</v>
      </c>
      <c r="C495" s="5" t="s">
        <v>1923</v>
      </c>
      <c r="D495" s="5" t="s">
        <v>1836</v>
      </c>
      <c r="E495" s="5" t="s">
        <v>1837</v>
      </c>
      <c r="F495" s="5">
        <v>0.85572099999999995</v>
      </c>
      <c r="G495" s="5">
        <v>1.8883799999999999</v>
      </c>
      <c r="H495" s="5">
        <v>1.14194</v>
      </c>
      <c r="I495" s="5">
        <v>1</v>
      </c>
      <c r="L495" s="2" t="s">
        <v>800</v>
      </c>
      <c r="M495" s="2">
        <v>-1.03084</v>
      </c>
    </row>
    <row r="496" spans="1:13" x14ac:dyDescent="0.2">
      <c r="A496" s="5" t="s">
        <v>775</v>
      </c>
      <c r="B496" s="5" t="s">
        <v>3015</v>
      </c>
      <c r="C496" s="5" t="s">
        <v>2128</v>
      </c>
      <c r="D496" s="5" t="s">
        <v>1836</v>
      </c>
      <c r="E496" s="5" t="s">
        <v>1837</v>
      </c>
      <c r="F496" s="5">
        <v>0.50096399999999996</v>
      </c>
      <c r="G496" s="5">
        <v>1.1883999999999999</v>
      </c>
      <c r="H496" s="5">
        <v>1.24624</v>
      </c>
      <c r="I496" s="5">
        <v>1</v>
      </c>
      <c r="L496" s="2" t="s">
        <v>801</v>
      </c>
      <c r="M496" s="2">
        <v>-1.6502600000000001</v>
      </c>
    </row>
    <row r="497" spans="1:13" x14ac:dyDescent="0.2">
      <c r="A497" s="5" t="s">
        <v>779</v>
      </c>
      <c r="B497" s="5" t="s">
        <v>3030</v>
      </c>
      <c r="C497" s="5" t="s">
        <v>2197</v>
      </c>
      <c r="D497" s="5" t="s">
        <v>1836</v>
      </c>
      <c r="E497" s="5" t="s">
        <v>1837</v>
      </c>
      <c r="F497" s="5">
        <v>12.791600000000001</v>
      </c>
      <c r="G497" s="5">
        <v>6.3370300000000004</v>
      </c>
      <c r="H497" s="5">
        <v>-1.01332</v>
      </c>
      <c r="I497" s="5">
        <v>1</v>
      </c>
      <c r="L497" s="2" t="s">
        <v>802</v>
      </c>
      <c r="M497" s="2">
        <v>-2.5954700000000002</v>
      </c>
    </row>
    <row r="498" spans="1:13" x14ac:dyDescent="0.2">
      <c r="A498" s="5" t="s">
        <v>781</v>
      </c>
      <c r="B498" s="5" t="s">
        <v>3168</v>
      </c>
      <c r="C498" s="5" t="s">
        <v>2198</v>
      </c>
      <c r="D498" s="5" t="s">
        <v>1836</v>
      </c>
      <c r="E498" s="5" t="s">
        <v>1837</v>
      </c>
      <c r="F498" s="5">
        <v>7.5402300000000002</v>
      </c>
      <c r="G498" s="5">
        <v>3.3925800000000002</v>
      </c>
      <c r="H498" s="5">
        <v>-1.1522300000000001</v>
      </c>
      <c r="I498" s="5">
        <v>1</v>
      </c>
      <c r="L498" s="2" t="s">
        <v>803</v>
      </c>
      <c r="M498" s="2">
        <v>-1.2625500000000001</v>
      </c>
    </row>
    <row r="499" spans="1:13" x14ac:dyDescent="0.2">
      <c r="A499" s="5" t="s">
        <v>782</v>
      </c>
      <c r="B499" s="5" t="s">
        <v>3208</v>
      </c>
      <c r="C499" s="5" t="s">
        <v>2199</v>
      </c>
      <c r="D499" s="5" t="s">
        <v>1836</v>
      </c>
      <c r="E499" s="5" t="s">
        <v>1837</v>
      </c>
      <c r="F499" s="5">
        <v>0.92591900000000005</v>
      </c>
      <c r="G499" s="5">
        <v>2.6560000000000001</v>
      </c>
      <c r="H499" s="5">
        <v>1.5203</v>
      </c>
      <c r="I499" s="5">
        <v>1</v>
      </c>
      <c r="L499" s="2" t="s">
        <v>804</v>
      </c>
      <c r="M499" s="2">
        <v>-1.1981299999999999</v>
      </c>
    </row>
    <row r="500" spans="1:13" x14ac:dyDescent="0.2">
      <c r="A500" s="5" t="s">
        <v>784</v>
      </c>
      <c r="B500" s="5" t="s">
        <v>3015</v>
      </c>
      <c r="C500" s="5" t="s">
        <v>2200</v>
      </c>
      <c r="D500" s="5" t="s">
        <v>1836</v>
      </c>
      <c r="E500" s="5" t="s">
        <v>1837</v>
      </c>
      <c r="F500" s="5">
        <v>18.849499999999999</v>
      </c>
      <c r="G500" s="5">
        <v>8.9931900000000002</v>
      </c>
      <c r="H500" s="5">
        <v>-1.06762</v>
      </c>
      <c r="I500" s="5">
        <v>1</v>
      </c>
      <c r="L500" s="2" t="s">
        <v>805</v>
      </c>
      <c r="M500" s="2">
        <v>1.1329800000000001</v>
      </c>
    </row>
    <row r="501" spans="1:13" x14ac:dyDescent="0.2">
      <c r="A501" s="5" t="s">
        <v>785</v>
      </c>
      <c r="B501" s="5" t="s">
        <v>3049</v>
      </c>
      <c r="C501" s="5" t="s">
        <v>2201</v>
      </c>
      <c r="D501" s="5" t="s">
        <v>1836</v>
      </c>
      <c r="E501" s="5" t="s">
        <v>1837</v>
      </c>
      <c r="F501" s="5">
        <v>2.1947100000000002</v>
      </c>
      <c r="G501" s="5">
        <v>5.4327399999999999</v>
      </c>
      <c r="H501" s="5">
        <v>1.30765</v>
      </c>
      <c r="I501" s="5">
        <v>1</v>
      </c>
      <c r="L501" s="2" t="s">
        <v>807</v>
      </c>
      <c r="M501" s="2">
        <v>2.7424499999999998</v>
      </c>
    </row>
    <row r="502" spans="1:13" x14ac:dyDescent="0.2">
      <c r="A502" s="5" t="s">
        <v>787</v>
      </c>
      <c r="B502" s="5" t="s">
        <v>3058</v>
      </c>
      <c r="C502" s="5" t="s">
        <v>2018</v>
      </c>
      <c r="D502" s="5" t="s">
        <v>1836</v>
      </c>
      <c r="E502" s="5" t="s">
        <v>1837</v>
      </c>
      <c r="F502" s="5">
        <v>4.77834</v>
      </c>
      <c r="G502" s="5">
        <v>10.790800000000001</v>
      </c>
      <c r="H502" s="5">
        <v>1.1752199999999999</v>
      </c>
      <c r="I502" s="5">
        <v>1</v>
      </c>
      <c r="L502" s="2" t="s">
        <v>808</v>
      </c>
      <c r="M502" s="2">
        <v>-1.0087600000000001</v>
      </c>
    </row>
    <row r="503" spans="1:13" x14ac:dyDescent="0.2">
      <c r="A503" s="5" t="s">
        <v>789</v>
      </c>
      <c r="B503" s="5" t="s">
        <v>3015</v>
      </c>
      <c r="C503" s="5" t="s">
        <v>2202</v>
      </c>
      <c r="D503" s="5" t="s">
        <v>1836</v>
      </c>
      <c r="E503" s="5" t="s">
        <v>1837</v>
      </c>
      <c r="F503" s="5">
        <v>2.0173899999999998</v>
      </c>
      <c r="G503" s="5">
        <v>0.58014500000000002</v>
      </c>
      <c r="H503" s="5">
        <v>-1.798</v>
      </c>
      <c r="I503" s="5">
        <v>1</v>
      </c>
      <c r="L503" s="2" t="s">
        <v>810</v>
      </c>
      <c r="M503" s="2">
        <v>-1.1053999999999999</v>
      </c>
    </row>
    <row r="504" spans="1:13" x14ac:dyDescent="0.2">
      <c r="A504" s="5" t="s">
        <v>790</v>
      </c>
      <c r="B504" s="5" t="s">
        <v>3015</v>
      </c>
      <c r="C504" s="5" t="s">
        <v>2202</v>
      </c>
      <c r="D504" s="5" t="s">
        <v>1836</v>
      </c>
      <c r="E504" s="5" t="s">
        <v>1837</v>
      </c>
      <c r="F504" s="5">
        <v>17.147099999999998</v>
      </c>
      <c r="G504" s="5">
        <v>7.2487199999999996</v>
      </c>
      <c r="H504" s="5">
        <v>-1.24217</v>
      </c>
      <c r="I504" s="5">
        <v>1</v>
      </c>
      <c r="L504" s="2" t="s">
        <v>812</v>
      </c>
      <c r="M504" s="2">
        <v>-1.04399</v>
      </c>
    </row>
    <row r="505" spans="1:13" x14ac:dyDescent="0.2">
      <c r="A505" s="5" t="s">
        <v>791</v>
      </c>
      <c r="B505" s="5" t="s">
        <v>3015</v>
      </c>
      <c r="C505" s="5" t="s">
        <v>3015</v>
      </c>
      <c r="D505" s="5" t="s">
        <v>1836</v>
      </c>
      <c r="E505" s="5" t="s">
        <v>1837</v>
      </c>
      <c r="F505" s="5">
        <v>1.13422</v>
      </c>
      <c r="G505" s="5">
        <v>2.50332</v>
      </c>
      <c r="H505" s="5">
        <v>1.1421399999999999</v>
      </c>
      <c r="I505" s="5">
        <v>1</v>
      </c>
      <c r="L505" s="2" t="s">
        <v>813</v>
      </c>
      <c r="M505" s="2">
        <v>1.2250399999999999</v>
      </c>
    </row>
    <row r="506" spans="1:13" x14ac:dyDescent="0.2">
      <c r="A506" s="5" t="s">
        <v>795</v>
      </c>
      <c r="B506" s="5" t="s">
        <v>3015</v>
      </c>
      <c r="C506" s="5" t="s">
        <v>2203</v>
      </c>
      <c r="D506" s="5" t="s">
        <v>1836</v>
      </c>
      <c r="E506" s="5" t="s">
        <v>1837</v>
      </c>
      <c r="F506" s="5">
        <v>14.075699999999999</v>
      </c>
      <c r="G506" s="5">
        <v>7.0112199999999998</v>
      </c>
      <c r="H506" s="5">
        <v>-1.0054700000000001</v>
      </c>
      <c r="I506" s="5">
        <v>1</v>
      </c>
      <c r="L506" s="2" t="s">
        <v>814</v>
      </c>
      <c r="M506" s="2">
        <v>1.0249200000000001</v>
      </c>
    </row>
    <row r="507" spans="1:13" x14ac:dyDescent="0.2">
      <c r="A507" s="5" t="s">
        <v>796</v>
      </c>
      <c r="B507" s="5" t="s">
        <v>3015</v>
      </c>
      <c r="C507" s="5" t="s">
        <v>2204</v>
      </c>
      <c r="D507" s="5" t="s">
        <v>1836</v>
      </c>
      <c r="E507" s="5" t="s">
        <v>1837</v>
      </c>
      <c r="F507" s="5">
        <v>1.7680400000000001</v>
      </c>
      <c r="G507" s="5">
        <v>0.79727700000000001</v>
      </c>
      <c r="H507" s="5">
        <v>-1.149</v>
      </c>
      <c r="I507" s="5">
        <v>1</v>
      </c>
      <c r="L507" s="2" t="s">
        <v>815</v>
      </c>
      <c r="M507" s="2">
        <v>2.1119400000000002</v>
      </c>
    </row>
    <row r="508" spans="1:13" x14ac:dyDescent="0.2">
      <c r="A508" s="5" t="s">
        <v>797</v>
      </c>
      <c r="B508" s="5" t="s">
        <v>3209</v>
      </c>
      <c r="C508" s="5" t="s">
        <v>2205</v>
      </c>
      <c r="D508" s="5" t="s">
        <v>1836</v>
      </c>
      <c r="E508" s="5" t="s">
        <v>1837</v>
      </c>
      <c r="F508" s="5">
        <v>22.359100000000002</v>
      </c>
      <c r="G508" s="5">
        <v>10.886900000000001</v>
      </c>
      <c r="H508" s="5">
        <v>-1.03827</v>
      </c>
      <c r="I508" s="5">
        <v>1</v>
      </c>
      <c r="L508" s="2" t="s">
        <v>816</v>
      </c>
      <c r="M508" s="2">
        <v>1.1385700000000001</v>
      </c>
    </row>
    <row r="509" spans="1:13" x14ac:dyDescent="0.2">
      <c r="A509" s="5" t="s">
        <v>798</v>
      </c>
      <c r="B509" s="5" t="s">
        <v>3015</v>
      </c>
      <c r="C509" s="5" t="s">
        <v>2206</v>
      </c>
      <c r="D509" s="5" t="s">
        <v>1836</v>
      </c>
      <c r="E509" s="5" t="s">
        <v>1837</v>
      </c>
      <c r="F509" s="5">
        <v>27.613</v>
      </c>
      <c r="G509" s="5">
        <v>9.6977100000000007</v>
      </c>
      <c r="H509" s="5">
        <v>-1.50963</v>
      </c>
      <c r="I509" s="5">
        <v>1</v>
      </c>
      <c r="L509" s="2" t="s">
        <v>818</v>
      </c>
      <c r="M509" s="2">
        <v>1.0186599999999999</v>
      </c>
    </row>
    <row r="510" spans="1:13" x14ac:dyDescent="0.2">
      <c r="A510" s="5" t="s">
        <v>799</v>
      </c>
      <c r="B510" s="5" t="s">
        <v>3085</v>
      </c>
      <c r="C510" s="5" t="s">
        <v>2207</v>
      </c>
      <c r="D510" s="5" t="s">
        <v>1836</v>
      </c>
      <c r="E510" s="5" t="s">
        <v>1837</v>
      </c>
      <c r="F510" s="5">
        <v>1.37991</v>
      </c>
      <c r="G510" s="5">
        <v>5.6384499999999997</v>
      </c>
      <c r="H510" s="5">
        <v>2.0307200000000001</v>
      </c>
      <c r="I510" s="5">
        <v>1</v>
      </c>
      <c r="L510" s="2" t="s">
        <v>819</v>
      </c>
      <c r="M510" s="2">
        <v>-3.0491899999999998</v>
      </c>
    </row>
    <row r="511" spans="1:13" x14ac:dyDescent="0.2">
      <c r="A511" s="5" t="s">
        <v>800</v>
      </c>
      <c r="B511" s="5" t="s">
        <v>3210</v>
      </c>
      <c r="C511" s="5" t="s">
        <v>2208</v>
      </c>
      <c r="D511" s="5" t="s">
        <v>1836</v>
      </c>
      <c r="E511" s="5" t="s">
        <v>1837</v>
      </c>
      <c r="F511" s="5">
        <v>33.7821</v>
      </c>
      <c r="G511" s="5">
        <v>16.533799999999999</v>
      </c>
      <c r="H511" s="5">
        <v>-1.03084</v>
      </c>
      <c r="I511" s="5">
        <v>1</v>
      </c>
      <c r="L511" s="2" t="s">
        <v>820</v>
      </c>
      <c r="M511" s="2">
        <v>-1.02891</v>
      </c>
    </row>
    <row r="512" spans="1:13" x14ac:dyDescent="0.2">
      <c r="A512" s="5" t="s">
        <v>801</v>
      </c>
      <c r="B512" s="5" t="s">
        <v>3024</v>
      </c>
      <c r="C512" s="5" t="s">
        <v>2053</v>
      </c>
      <c r="D512" s="5" t="s">
        <v>1836</v>
      </c>
      <c r="E512" s="5" t="s">
        <v>1837</v>
      </c>
      <c r="F512" s="5">
        <v>1.1000700000000001</v>
      </c>
      <c r="G512" s="5">
        <v>0.350462</v>
      </c>
      <c r="H512" s="5">
        <v>-1.6502600000000001</v>
      </c>
      <c r="I512" s="5">
        <v>1</v>
      </c>
      <c r="L512" s="2" t="s">
        <v>821</v>
      </c>
      <c r="M512" s="2">
        <v>1.3632500000000001</v>
      </c>
    </row>
    <row r="513" spans="1:13" x14ac:dyDescent="0.2">
      <c r="A513" s="5" t="s">
        <v>802</v>
      </c>
      <c r="B513" s="5" t="s">
        <v>3015</v>
      </c>
      <c r="C513" s="5" t="s">
        <v>3015</v>
      </c>
      <c r="D513" s="5" t="s">
        <v>1836</v>
      </c>
      <c r="E513" s="5" t="s">
        <v>1837</v>
      </c>
      <c r="F513" s="5">
        <v>120.504</v>
      </c>
      <c r="G513" s="5">
        <v>19.938199999999998</v>
      </c>
      <c r="H513" s="5">
        <v>-2.5954700000000002</v>
      </c>
      <c r="I513" s="5">
        <v>1</v>
      </c>
      <c r="L513" s="2" t="s">
        <v>822</v>
      </c>
      <c r="M513" s="2">
        <v>1.4651000000000001</v>
      </c>
    </row>
    <row r="514" spans="1:13" x14ac:dyDescent="0.2">
      <c r="A514" s="5" t="s">
        <v>803</v>
      </c>
      <c r="B514" s="5" t="s">
        <v>3093</v>
      </c>
      <c r="C514" s="5" t="s">
        <v>2209</v>
      </c>
      <c r="D514" s="5" t="s">
        <v>1836</v>
      </c>
      <c r="E514" s="5" t="s">
        <v>1837</v>
      </c>
      <c r="F514" s="5">
        <v>197.452</v>
      </c>
      <c r="G514" s="5">
        <v>82.299599999999998</v>
      </c>
      <c r="H514" s="5">
        <v>-1.2625500000000001</v>
      </c>
      <c r="I514" s="5">
        <v>1</v>
      </c>
      <c r="L514" s="2" t="s">
        <v>823</v>
      </c>
      <c r="M514" s="2">
        <v>4.0658300000000001</v>
      </c>
    </row>
    <row r="515" spans="1:13" x14ac:dyDescent="0.2">
      <c r="A515" s="5" t="s">
        <v>804</v>
      </c>
      <c r="B515" s="5" t="s">
        <v>3211</v>
      </c>
      <c r="C515" s="5" t="s">
        <v>2210</v>
      </c>
      <c r="D515" s="5" t="s">
        <v>1836</v>
      </c>
      <c r="E515" s="5" t="s">
        <v>1837</v>
      </c>
      <c r="F515" s="5">
        <v>2.6139999999999999</v>
      </c>
      <c r="G515" s="5">
        <v>1.1392800000000001</v>
      </c>
      <c r="H515" s="5">
        <v>-1.1981299999999999</v>
      </c>
      <c r="I515" s="5">
        <v>1</v>
      </c>
      <c r="L515" s="2" t="s">
        <v>824</v>
      </c>
      <c r="M515" s="2">
        <v>-2.3829600000000002</v>
      </c>
    </row>
    <row r="516" spans="1:13" x14ac:dyDescent="0.2">
      <c r="A516" s="5" t="s">
        <v>805</v>
      </c>
      <c r="B516" s="5" t="s">
        <v>3104</v>
      </c>
      <c r="C516" s="5" t="s">
        <v>2177</v>
      </c>
      <c r="D516" s="5" t="s">
        <v>1836</v>
      </c>
      <c r="E516" s="5" t="s">
        <v>1837</v>
      </c>
      <c r="F516" s="5">
        <v>1.37148</v>
      </c>
      <c r="G516" s="5">
        <v>3.0078100000000001</v>
      </c>
      <c r="H516" s="5">
        <v>1.1329800000000001</v>
      </c>
      <c r="I516" s="5">
        <v>1</v>
      </c>
      <c r="L516" s="2" t="s">
        <v>826</v>
      </c>
      <c r="M516" s="2">
        <v>-1.48254</v>
      </c>
    </row>
    <row r="517" spans="1:13" x14ac:dyDescent="0.2">
      <c r="A517" s="5" t="s">
        <v>807</v>
      </c>
      <c r="B517" s="5" t="s">
        <v>3212</v>
      </c>
      <c r="C517" s="5" t="s">
        <v>2211</v>
      </c>
      <c r="D517" s="5" t="s">
        <v>1836</v>
      </c>
      <c r="E517" s="5" t="s">
        <v>1837</v>
      </c>
      <c r="F517" s="5">
        <v>2.8700299999999999</v>
      </c>
      <c r="G517" s="5">
        <v>19.206499999999998</v>
      </c>
      <c r="H517" s="5">
        <v>2.7424499999999998</v>
      </c>
      <c r="I517" s="5">
        <v>1</v>
      </c>
      <c r="L517" s="2" t="s">
        <v>827</v>
      </c>
      <c r="M517" s="2">
        <v>-1.4261699999999999</v>
      </c>
    </row>
    <row r="518" spans="1:13" x14ac:dyDescent="0.2">
      <c r="A518" s="5" t="s">
        <v>808</v>
      </c>
      <c r="B518" s="5" t="s">
        <v>3015</v>
      </c>
      <c r="C518" s="5" t="s">
        <v>1862</v>
      </c>
      <c r="D518" s="5" t="s">
        <v>1836</v>
      </c>
      <c r="E518" s="5" t="s">
        <v>1837</v>
      </c>
      <c r="F518" s="5">
        <v>2.2401900000000001</v>
      </c>
      <c r="G518" s="5">
        <v>1.11331</v>
      </c>
      <c r="H518" s="5">
        <v>-1.0087600000000001</v>
      </c>
      <c r="I518" s="5">
        <v>1</v>
      </c>
      <c r="L518" s="2" t="s">
        <v>828</v>
      </c>
      <c r="M518" s="2">
        <v>-1.4073100000000001</v>
      </c>
    </row>
    <row r="519" spans="1:13" x14ac:dyDescent="0.2">
      <c r="A519" s="5" t="s">
        <v>810</v>
      </c>
      <c r="B519" s="5" t="s">
        <v>3015</v>
      </c>
      <c r="C519" s="5" t="s">
        <v>1862</v>
      </c>
      <c r="D519" s="5" t="s">
        <v>1836</v>
      </c>
      <c r="E519" s="5" t="s">
        <v>1837</v>
      </c>
      <c r="F519" s="5">
        <v>19.196400000000001</v>
      </c>
      <c r="G519" s="5">
        <v>8.9219600000000003</v>
      </c>
      <c r="H519" s="5">
        <v>-1.1053999999999999</v>
      </c>
      <c r="I519" s="5">
        <v>1</v>
      </c>
      <c r="L519" s="2" t="s">
        <v>829</v>
      </c>
      <c r="M519" s="2">
        <v>-1.4913000000000001</v>
      </c>
    </row>
    <row r="520" spans="1:13" x14ac:dyDescent="0.2">
      <c r="A520" s="5" t="s">
        <v>812</v>
      </c>
      <c r="B520" s="5" t="s">
        <v>3213</v>
      </c>
      <c r="C520" s="5" t="s">
        <v>3015</v>
      </c>
      <c r="D520" s="5" t="s">
        <v>1836</v>
      </c>
      <c r="E520" s="5" t="s">
        <v>1837</v>
      </c>
      <c r="F520" s="5">
        <v>4.4848999999999997</v>
      </c>
      <c r="G520" s="5">
        <v>2.1751</v>
      </c>
      <c r="H520" s="5">
        <v>-1.04399</v>
      </c>
      <c r="I520" s="5">
        <v>1</v>
      </c>
      <c r="L520" s="2" t="s">
        <v>830</v>
      </c>
      <c r="M520" s="2">
        <v>-1.8692899999999999</v>
      </c>
    </row>
    <row r="521" spans="1:13" x14ac:dyDescent="0.2">
      <c r="A521" s="5" t="s">
        <v>813</v>
      </c>
      <c r="B521" s="5" t="s">
        <v>3089</v>
      </c>
      <c r="C521" s="5" t="s">
        <v>2077</v>
      </c>
      <c r="D521" s="5" t="s">
        <v>1836</v>
      </c>
      <c r="E521" s="5" t="s">
        <v>1837</v>
      </c>
      <c r="F521" s="5">
        <v>1.65882</v>
      </c>
      <c r="G521" s="5">
        <v>3.8776999999999999</v>
      </c>
      <c r="H521" s="5">
        <v>1.2250399999999999</v>
      </c>
      <c r="I521" s="5">
        <v>1</v>
      </c>
      <c r="L521" s="2" t="s">
        <v>833</v>
      </c>
      <c r="M521" s="2">
        <v>1.02094</v>
      </c>
    </row>
    <row r="522" spans="1:13" x14ac:dyDescent="0.2">
      <c r="A522" s="5" t="s">
        <v>814</v>
      </c>
      <c r="B522" s="5" t="s">
        <v>3033</v>
      </c>
      <c r="C522" s="5" t="s">
        <v>1858</v>
      </c>
      <c r="D522" s="5" t="s">
        <v>1836</v>
      </c>
      <c r="E522" s="5" t="s">
        <v>1837</v>
      </c>
      <c r="F522" s="5">
        <v>0.741981</v>
      </c>
      <c r="G522" s="5">
        <v>1.5098199999999999</v>
      </c>
      <c r="H522" s="5">
        <v>1.0249200000000001</v>
      </c>
      <c r="I522" s="5">
        <v>1</v>
      </c>
      <c r="L522" s="2" t="s">
        <v>834</v>
      </c>
      <c r="M522" s="2">
        <v>-2.4451999999999998</v>
      </c>
    </row>
    <row r="523" spans="1:13" x14ac:dyDescent="0.2">
      <c r="A523" s="5" t="s">
        <v>815</v>
      </c>
      <c r="B523" s="5" t="s">
        <v>3033</v>
      </c>
      <c r="C523" s="5" t="s">
        <v>1858</v>
      </c>
      <c r="D523" s="5" t="s">
        <v>1836</v>
      </c>
      <c r="E523" s="5" t="s">
        <v>1837</v>
      </c>
      <c r="F523" s="5">
        <v>0.47121400000000002</v>
      </c>
      <c r="G523" s="5">
        <v>2.0369199999999998</v>
      </c>
      <c r="H523" s="5">
        <v>2.1119400000000002</v>
      </c>
      <c r="I523" s="5">
        <v>1</v>
      </c>
      <c r="L523" s="2" t="s">
        <v>835</v>
      </c>
      <c r="M523" s="2">
        <v>-1.1708799999999999</v>
      </c>
    </row>
    <row r="524" spans="1:13" x14ac:dyDescent="0.2">
      <c r="A524" s="5" t="s">
        <v>816</v>
      </c>
      <c r="B524" s="5" t="s">
        <v>3214</v>
      </c>
      <c r="C524" s="5" t="s">
        <v>2212</v>
      </c>
      <c r="D524" s="5" t="s">
        <v>1836</v>
      </c>
      <c r="E524" s="5" t="s">
        <v>1837</v>
      </c>
      <c r="F524" s="5">
        <v>24.6008</v>
      </c>
      <c r="G524" s="5">
        <v>54.161799999999999</v>
      </c>
      <c r="H524" s="5">
        <v>1.1385700000000001</v>
      </c>
      <c r="I524" s="5">
        <v>1</v>
      </c>
      <c r="L524" s="2" t="s">
        <v>836</v>
      </c>
      <c r="M524" s="2">
        <v>-1.51556</v>
      </c>
    </row>
    <row r="525" spans="1:13" x14ac:dyDescent="0.2">
      <c r="A525" s="5" t="s">
        <v>818</v>
      </c>
      <c r="B525" s="5" t="s">
        <v>3215</v>
      </c>
      <c r="C525" s="5" t="s">
        <v>2213</v>
      </c>
      <c r="D525" s="5" t="s">
        <v>1836</v>
      </c>
      <c r="E525" s="5" t="s">
        <v>1837</v>
      </c>
      <c r="F525" s="5">
        <v>0.71716599999999997</v>
      </c>
      <c r="G525" s="5">
        <v>1.4530099999999999</v>
      </c>
      <c r="H525" s="5">
        <v>1.0186599999999999</v>
      </c>
      <c r="I525" s="5">
        <v>1</v>
      </c>
      <c r="L525" s="2" t="s">
        <v>837</v>
      </c>
      <c r="M525" s="2">
        <v>-1.25403</v>
      </c>
    </row>
    <row r="526" spans="1:13" x14ac:dyDescent="0.2">
      <c r="A526" s="5" t="s">
        <v>819</v>
      </c>
      <c r="B526" s="5" t="s">
        <v>3015</v>
      </c>
      <c r="C526" s="5" t="s">
        <v>2214</v>
      </c>
      <c r="D526" s="5" t="s">
        <v>1836</v>
      </c>
      <c r="E526" s="5" t="s">
        <v>1837</v>
      </c>
      <c r="F526" s="5">
        <v>117.569</v>
      </c>
      <c r="G526" s="5">
        <v>14.2035</v>
      </c>
      <c r="H526" s="5">
        <v>-3.0491899999999998</v>
      </c>
      <c r="I526" s="5">
        <v>1</v>
      </c>
      <c r="L526" s="2" t="s">
        <v>839</v>
      </c>
      <c r="M526" s="2">
        <v>-1.03634</v>
      </c>
    </row>
    <row r="527" spans="1:13" x14ac:dyDescent="0.2">
      <c r="A527" s="5" t="s">
        <v>820</v>
      </c>
      <c r="B527" s="5" t="s">
        <v>3216</v>
      </c>
      <c r="C527" s="5" t="s">
        <v>2215</v>
      </c>
      <c r="D527" s="5" t="s">
        <v>1836</v>
      </c>
      <c r="E527" s="5" t="s">
        <v>1837</v>
      </c>
      <c r="F527" s="5">
        <v>19.317799999999998</v>
      </c>
      <c r="G527" s="5">
        <v>9.4672900000000002</v>
      </c>
      <c r="H527" s="5">
        <v>-1.02891</v>
      </c>
      <c r="I527" s="5">
        <v>1</v>
      </c>
      <c r="L527" s="2" t="s">
        <v>840</v>
      </c>
      <c r="M527" s="2">
        <v>1.16736</v>
      </c>
    </row>
    <row r="528" spans="1:13" x14ac:dyDescent="0.2">
      <c r="A528" s="5" t="s">
        <v>821</v>
      </c>
      <c r="B528" s="5" t="s">
        <v>3015</v>
      </c>
      <c r="C528" s="5" t="s">
        <v>2216</v>
      </c>
      <c r="D528" s="5" t="s">
        <v>1836</v>
      </c>
      <c r="E528" s="5" t="s">
        <v>1837</v>
      </c>
      <c r="F528" s="5">
        <v>1.2639</v>
      </c>
      <c r="G528" s="5">
        <v>3.2515499999999999</v>
      </c>
      <c r="H528" s="5">
        <v>1.3632500000000001</v>
      </c>
      <c r="I528" s="5">
        <v>1</v>
      </c>
      <c r="L528" s="2" t="s">
        <v>841</v>
      </c>
      <c r="M528" s="2">
        <v>-1.3635299999999999</v>
      </c>
    </row>
    <row r="529" spans="1:13" x14ac:dyDescent="0.2">
      <c r="A529" s="5" t="s">
        <v>822</v>
      </c>
      <c r="B529" s="5" t="s">
        <v>3217</v>
      </c>
      <c r="C529" s="5" t="s">
        <v>2217</v>
      </c>
      <c r="D529" s="5" t="s">
        <v>1836</v>
      </c>
      <c r="E529" s="5" t="s">
        <v>1837</v>
      </c>
      <c r="F529" s="5">
        <v>3.6550099999999999</v>
      </c>
      <c r="G529" s="5">
        <v>10.0908</v>
      </c>
      <c r="H529" s="5">
        <v>1.4651000000000001</v>
      </c>
      <c r="I529" s="5">
        <v>1</v>
      </c>
      <c r="L529" s="2" t="s">
        <v>843</v>
      </c>
      <c r="M529" s="2">
        <v>-1.76824</v>
      </c>
    </row>
    <row r="530" spans="1:13" x14ac:dyDescent="0.2">
      <c r="A530" s="5" t="s">
        <v>823</v>
      </c>
      <c r="B530" s="5" t="s">
        <v>3015</v>
      </c>
      <c r="C530" s="5" t="s">
        <v>2218</v>
      </c>
      <c r="D530" s="5" t="s">
        <v>1836</v>
      </c>
      <c r="E530" s="5" t="s">
        <v>1837</v>
      </c>
      <c r="F530" s="5">
        <v>0.49745699999999998</v>
      </c>
      <c r="G530" s="5">
        <v>8.3309200000000008</v>
      </c>
      <c r="H530" s="5">
        <v>4.0658300000000001</v>
      </c>
      <c r="I530" s="5">
        <v>1</v>
      </c>
      <c r="L530" s="2" t="s">
        <v>844</v>
      </c>
      <c r="M530" s="2">
        <v>-1.3407899999999999</v>
      </c>
    </row>
    <row r="531" spans="1:13" x14ac:dyDescent="0.2">
      <c r="A531" s="5" t="s">
        <v>824</v>
      </c>
      <c r="B531" s="5" t="s">
        <v>3015</v>
      </c>
      <c r="C531" s="5" t="s">
        <v>1862</v>
      </c>
      <c r="D531" s="5" t="s">
        <v>1836</v>
      </c>
      <c r="E531" s="5" t="s">
        <v>1837</v>
      </c>
      <c r="F531" s="5">
        <v>1.93964</v>
      </c>
      <c r="G531" s="5">
        <v>0.37186000000000002</v>
      </c>
      <c r="H531" s="5">
        <v>-2.3829600000000002</v>
      </c>
      <c r="I531" s="5">
        <v>1</v>
      </c>
      <c r="L531" s="2" t="s">
        <v>845</v>
      </c>
      <c r="M531" s="2">
        <v>1.0152699999999999</v>
      </c>
    </row>
    <row r="532" spans="1:13" x14ac:dyDescent="0.2">
      <c r="A532" s="5" t="s">
        <v>826</v>
      </c>
      <c r="B532" s="5" t="s">
        <v>3015</v>
      </c>
      <c r="C532" s="5" t="s">
        <v>2219</v>
      </c>
      <c r="D532" s="5" t="s">
        <v>1836</v>
      </c>
      <c r="E532" s="5" t="s">
        <v>1837</v>
      </c>
      <c r="F532" s="5">
        <v>1.2563800000000001</v>
      </c>
      <c r="G532" s="5">
        <v>0.44960699999999998</v>
      </c>
      <c r="H532" s="5">
        <v>-1.48254</v>
      </c>
      <c r="I532" s="5">
        <v>1</v>
      </c>
      <c r="L532" s="2" t="s">
        <v>846</v>
      </c>
      <c r="M532" s="2">
        <v>-1.27156</v>
      </c>
    </row>
    <row r="533" spans="1:13" x14ac:dyDescent="0.2">
      <c r="A533" s="5" t="s">
        <v>827</v>
      </c>
      <c r="B533" s="5" t="s">
        <v>3015</v>
      </c>
      <c r="C533" s="5" t="s">
        <v>2220</v>
      </c>
      <c r="D533" s="5" t="s">
        <v>1836</v>
      </c>
      <c r="E533" s="5" t="s">
        <v>1837</v>
      </c>
      <c r="F533" s="5">
        <v>1.21454</v>
      </c>
      <c r="G533" s="5">
        <v>0.45195099999999999</v>
      </c>
      <c r="H533" s="5">
        <v>-1.4261699999999999</v>
      </c>
      <c r="I533" s="5">
        <v>1</v>
      </c>
      <c r="L533" s="2" t="s">
        <v>848</v>
      </c>
      <c r="M533" s="2">
        <v>1.3863300000000001</v>
      </c>
    </row>
    <row r="534" spans="1:13" x14ac:dyDescent="0.2">
      <c r="A534" s="5" t="s">
        <v>828</v>
      </c>
      <c r="B534" s="5" t="s">
        <v>3093</v>
      </c>
      <c r="C534" s="5" t="s">
        <v>2221</v>
      </c>
      <c r="D534" s="5" t="s">
        <v>1836</v>
      </c>
      <c r="E534" s="5" t="s">
        <v>1837</v>
      </c>
      <c r="F534" s="5">
        <v>42.320900000000002</v>
      </c>
      <c r="G534" s="5">
        <v>15.9556</v>
      </c>
      <c r="H534" s="5">
        <v>-1.4073100000000001</v>
      </c>
      <c r="I534" s="5">
        <v>1</v>
      </c>
      <c r="L534" s="2" t="s">
        <v>849</v>
      </c>
      <c r="M534" s="2">
        <v>-1.49102</v>
      </c>
    </row>
    <row r="535" spans="1:13" x14ac:dyDescent="0.2">
      <c r="A535" s="5" t="s">
        <v>829</v>
      </c>
      <c r="B535" s="5" t="s">
        <v>3015</v>
      </c>
      <c r="C535" s="5" t="s">
        <v>2222</v>
      </c>
      <c r="D535" s="5" t="s">
        <v>1836</v>
      </c>
      <c r="E535" s="5" t="s">
        <v>1837</v>
      </c>
      <c r="F535" s="5">
        <v>995.572</v>
      </c>
      <c r="G535" s="5">
        <v>354.11700000000002</v>
      </c>
      <c r="H535" s="5">
        <v>-1.4913000000000001</v>
      </c>
      <c r="I535" s="5">
        <v>1</v>
      </c>
      <c r="L535" s="2" t="s">
        <v>852</v>
      </c>
      <c r="M535" s="2">
        <v>1.16638</v>
      </c>
    </row>
    <row r="536" spans="1:13" x14ac:dyDescent="0.2">
      <c r="A536" s="5" t="s">
        <v>830</v>
      </c>
      <c r="B536" s="5" t="s">
        <v>3015</v>
      </c>
      <c r="C536" s="5" t="s">
        <v>2005</v>
      </c>
      <c r="D536" s="5" t="s">
        <v>1836</v>
      </c>
      <c r="E536" s="5" t="s">
        <v>1837</v>
      </c>
      <c r="F536" s="5">
        <v>2.8201299999999998</v>
      </c>
      <c r="G536" s="5">
        <v>0.77189200000000002</v>
      </c>
      <c r="H536" s="5">
        <v>-1.8692899999999999</v>
      </c>
      <c r="I536" s="5">
        <v>1</v>
      </c>
      <c r="L536" s="2" t="s">
        <v>854</v>
      </c>
      <c r="M536" s="2">
        <v>-1.95313</v>
      </c>
    </row>
    <row r="537" spans="1:13" x14ac:dyDescent="0.2">
      <c r="A537" s="5" t="s">
        <v>833</v>
      </c>
      <c r="B537" s="5" t="s">
        <v>3015</v>
      </c>
      <c r="C537" s="5" t="s">
        <v>2223</v>
      </c>
      <c r="D537" s="5" t="s">
        <v>1836</v>
      </c>
      <c r="E537" s="5" t="s">
        <v>1837</v>
      </c>
      <c r="F537" s="5">
        <v>0.69544600000000001</v>
      </c>
      <c r="G537" s="5">
        <v>1.41123</v>
      </c>
      <c r="H537" s="5">
        <v>1.02094</v>
      </c>
      <c r="I537" s="5">
        <v>1</v>
      </c>
      <c r="L537" s="2" t="s">
        <v>855</v>
      </c>
      <c r="M537" s="2">
        <v>1.17012</v>
      </c>
    </row>
    <row r="538" spans="1:13" x14ac:dyDescent="0.2">
      <c r="A538" s="5" t="s">
        <v>834</v>
      </c>
      <c r="B538" s="5" t="s">
        <v>3034</v>
      </c>
      <c r="C538" s="5" t="s">
        <v>2224</v>
      </c>
      <c r="D538" s="5" t="s">
        <v>1836</v>
      </c>
      <c r="E538" s="5" t="s">
        <v>1837</v>
      </c>
      <c r="F538" s="5">
        <v>1.16185</v>
      </c>
      <c r="G538" s="5">
        <v>0.21334</v>
      </c>
      <c r="H538" s="5">
        <v>-2.4451999999999998</v>
      </c>
      <c r="I538" s="5">
        <v>1</v>
      </c>
      <c r="L538" s="2" t="s">
        <v>857</v>
      </c>
      <c r="M538" s="2">
        <v>3.03715</v>
      </c>
    </row>
    <row r="539" spans="1:13" x14ac:dyDescent="0.2">
      <c r="A539" s="5" t="s">
        <v>835</v>
      </c>
      <c r="B539" s="5" t="s">
        <v>3218</v>
      </c>
      <c r="C539" s="5" t="s">
        <v>2225</v>
      </c>
      <c r="D539" s="5" t="s">
        <v>1836</v>
      </c>
      <c r="E539" s="5" t="s">
        <v>1837</v>
      </c>
      <c r="F539" s="5">
        <v>203.636</v>
      </c>
      <c r="G539" s="5">
        <v>90.444699999999997</v>
      </c>
      <c r="H539" s="5">
        <v>-1.1708799999999999</v>
      </c>
      <c r="I539" s="5">
        <v>1</v>
      </c>
      <c r="L539" s="2" t="s">
        <v>858</v>
      </c>
      <c r="M539" s="2">
        <v>1.8264100000000001</v>
      </c>
    </row>
    <row r="540" spans="1:13" x14ac:dyDescent="0.2">
      <c r="A540" s="5" t="s">
        <v>836</v>
      </c>
      <c r="B540" s="5" t="s">
        <v>3219</v>
      </c>
      <c r="C540" s="5" t="s">
        <v>2226</v>
      </c>
      <c r="D540" s="5" t="s">
        <v>1836</v>
      </c>
      <c r="E540" s="5" t="s">
        <v>1837</v>
      </c>
      <c r="F540" s="5">
        <v>1.8883099999999999</v>
      </c>
      <c r="G540" s="5">
        <v>0.66045500000000001</v>
      </c>
      <c r="H540" s="5">
        <v>-1.51556</v>
      </c>
      <c r="I540" s="5">
        <v>1</v>
      </c>
      <c r="L540" s="2" t="s">
        <v>859</v>
      </c>
      <c r="M540" s="2">
        <v>-1.0176099999999999</v>
      </c>
    </row>
    <row r="541" spans="1:13" x14ac:dyDescent="0.2">
      <c r="A541" s="5" t="s">
        <v>837</v>
      </c>
      <c r="B541" s="5" t="s">
        <v>3094</v>
      </c>
      <c r="C541" s="5" t="s">
        <v>2227</v>
      </c>
      <c r="D541" s="5" t="s">
        <v>1836</v>
      </c>
      <c r="E541" s="5" t="s">
        <v>1837</v>
      </c>
      <c r="F541" s="5">
        <v>3.4685199999999998</v>
      </c>
      <c r="G541" s="5">
        <v>1.45427</v>
      </c>
      <c r="H541" s="5">
        <v>-1.25403</v>
      </c>
      <c r="I541" s="5">
        <v>1</v>
      </c>
      <c r="L541" s="2" t="s">
        <v>860</v>
      </c>
      <c r="M541" s="2">
        <v>1.22478</v>
      </c>
    </row>
    <row r="542" spans="1:13" x14ac:dyDescent="0.2">
      <c r="A542" s="5" t="s">
        <v>839</v>
      </c>
      <c r="B542" s="5" t="s">
        <v>3015</v>
      </c>
      <c r="C542" s="5" t="s">
        <v>1847</v>
      </c>
      <c r="D542" s="5" t="s">
        <v>1836</v>
      </c>
      <c r="E542" s="5" t="s">
        <v>1837</v>
      </c>
      <c r="F542" s="5">
        <v>36.934699999999999</v>
      </c>
      <c r="G542" s="5">
        <v>18.007999999999999</v>
      </c>
      <c r="H542" s="5">
        <v>-1.03634</v>
      </c>
      <c r="I542" s="5">
        <v>1</v>
      </c>
      <c r="L542" s="2" t="s">
        <v>861</v>
      </c>
      <c r="M542" s="2">
        <v>-1.39331</v>
      </c>
    </row>
    <row r="543" spans="1:13" x14ac:dyDescent="0.2">
      <c r="A543" s="5" t="s">
        <v>840</v>
      </c>
      <c r="B543" s="5" t="s">
        <v>3015</v>
      </c>
      <c r="C543" s="5" t="s">
        <v>2228</v>
      </c>
      <c r="D543" s="5" t="s">
        <v>1836</v>
      </c>
      <c r="E543" s="5" t="s">
        <v>1837</v>
      </c>
      <c r="F543" s="5">
        <v>1.5313099999999999</v>
      </c>
      <c r="G543" s="5">
        <v>3.4393199999999999</v>
      </c>
      <c r="H543" s="5">
        <v>1.16736</v>
      </c>
      <c r="I543" s="5">
        <v>1</v>
      </c>
      <c r="L543" s="2" t="s">
        <v>863</v>
      </c>
      <c r="M543" s="2">
        <v>-1.2174100000000001</v>
      </c>
    </row>
    <row r="544" spans="1:13" x14ac:dyDescent="0.2">
      <c r="A544" s="5" t="s">
        <v>841</v>
      </c>
      <c r="B544" s="5" t="s">
        <v>3083</v>
      </c>
      <c r="C544" s="5" t="s">
        <v>2229</v>
      </c>
      <c r="D544" s="5" t="s">
        <v>1836</v>
      </c>
      <c r="E544" s="5" t="s">
        <v>1837</v>
      </c>
      <c r="F544" s="5">
        <v>1.11364</v>
      </c>
      <c r="G544" s="5">
        <v>0.43279200000000001</v>
      </c>
      <c r="H544" s="5">
        <v>-1.3635299999999999</v>
      </c>
      <c r="I544" s="5">
        <v>1</v>
      </c>
      <c r="L544" s="2" t="s">
        <v>864</v>
      </c>
      <c r="M544" s="2">
        <v>1.0407</v>
      </c>
    </row>
    <row r="545" spans="1:13" x14ac:dyDescent="0.2">
      <c r="A545" s="5" t="s">
        <v>843</v>
      </c>
      <c r="B545" s="5" t="s">
        <v>3032</v>
      </c>
      <c r="C545" s="5" t="s">
        <v>2230</v>
      </c>
      <c r="D545" s="5" t="s">
        <v>1836</v>
      </c>
      <c r="E545" s="5" t="s">
        <v>1837</v>
      </c>
      <c r="F545" s="5">
        <v>0.96376499999999998</v>
      </c>
      <c r="G545" s="5">
        <v>0.28293000000000001</v>
      </c>
      <c r="H545" s="5">
        <v>-1.76824</v>
      </c>
      <c r="I545" s="5">
        <v>1</v>
      </c>
      <c r="L545" s="2" t="s">
        <v>866</v>
      </c>
      <c r="M545" s="2">
        <v>-1.5992</v>
      </c>
    </row>
    <row r="546" spans="1:13" x14ac:dyDescent="0.2">
      <c r="A546" s="5" t="s">
        <v>844</v>
      </c>
      <c r="B546" s="5" t="s">
        <v>3220</v>
      </c>
      <c r="C546" s="5" t="s">
        <v>2231</v>
      </c>
      <c r="D546" s="5" t="s">
        <v>1836</v>
      </c>
      <c r="E546" s="5" t="s">
        <v>1837</v>
      </c>
      <c r="F546" s="5">
        <v>4.7689500000000002</v>
      </c>
      <c r="G546" s="5">
        <v>1.8828</v>
      </c>
      <c r="H546" s="5">
        <v>-1.3407899999999999</v>
      </c>
      <c r="I546" s="5">
        <v>1</v>
      </c>
      <c r="L546" s="2" t="s">
        <v>868</v>
      </c>
      <c r="M546" s="2">
        <v>1.2127699999999999</v>
      </c>
    </row>
    <row r="547" spans="1:13" x14ac:dyDescent="0.2">
      <c r="A547" s="5" t="s">
        <v>845</v>
      </c>
      <c r="B547" s="5" t="s">
        <v>3037</v>
      </c>
      <c r="C547" s="5" t="s">
        <v>2232</v>
      </c>
      <c r="D547" s="5" t="s">
        <v>1836</v>
      </c>
      <c r="E547" s="5" t="s">
        <v>1837</v>
      </c>
      <c r="F547" s="5">
        <v>0.38727299999999998</v>
      </c>
      <c r="G547" s="5">
        <v>0.78278700000000001</v>
      </c>
      <c r="H547" s="5">
        <v>1.0152699999999999</v>
      </c>
      <c r="I547" s="5">
        <v>1</v>
      </c>
      <c r="L547" s="2" t="s">
        <v>869</v>
      </c>
      <c r="M547" s="2">
        <v>1.0618799999999999</v>
      </c>
    </row>
    <row r="548" spans="1:13" x14ac:dyDescent="0.2">
      <c r="A548" s="5" t="s">
        <v>846</v>
      </c>
      <c r="B548" s="5" t="s">
        <v>3221</v>
      </c>
      <c r="C548" s="5" t="s">
        <v>2233</v>
      </c>
      <c r="D548" s="5" t="s">
        <v>1836</v>
      </c>
      <c r="E548" s="5" t="s">
        <v>1837</v>
      </c>
      <c r="F548" s="5">
        <v>3.9114900000000001</v>
      </c>
      <c r="G548" s="5">
        <v>1.62019</v>
      </c>
      <c r="H548" s="5">
        <v>-1.27156</v>
      </c>
      <c r="I548" s="5">
        <v>1</v>
      </c>
      <c r="L548" s="2" t="s">
        <v>870</v>
      </c>
      <c r="M548" s="2">
        <v>2.6382699999999999</v>
      </c>
    </row>
    <row r="549" spans="1:13" x14ac:dyDescent="0.2">
      <c r="A549" s="5" t="s">
        <v>848</v>
      </c>
      <c r="B549" s="5" t="s">
        <v>3015</v>
      </c>
      <c r="C549" s="5" t="s">
        <v>2234</v>
      </c>
      <c r="D549" s="5" t="s">
        <v>1836</v>
      </c>
      <c r="E549" s="5" t="s">
        <v>1837</v>
      </c>
      <c r="F549" s="5">
        <v>0.98852300000000004</v>
      </c>
      <c r="G549" s="5">
        <v>2.58412</v>
      </c>
      <c r="H549" s="5">
        <v>1.3863300000000001</v>
      </c>
      <c r="I549" s="5">
        <v>1</v>
      </c>
      <c r="L549" s="2" t="s">
        <v>871</v>
      </c>
      <c r="M549" s="2">
        <v>-1.6632</v>
      </c>
    </row>
    <row r="550" spans="1:13" x14ac:dyDescent="0.2">
      <c r="A550" s="5" t="s">
        <v>849</v>
      </c>
      <c r="B550" s="5" t="s">
        <v>3222</v>
      </c>
      <c r="C550" s="5" t="s">
        <v>2235</v>
      </c>
      <c r="D550" s="5" t="s">
        <v>1836</v>
      </c>
      <c r="E550" s="5" t="s">
        <v>1837</v>
      </c>
      <c r="F550" s="5">
        <v>9.0080600000000004</v>
      </c>
      <c r="G550" s="5">
        <v>3.2047099999999999</v>
      </c>
      <c r="H550" s="5">
        <v>-1.49102</v>
      </c>
      <c r="I550" s="5">
        <v>1</v>
      </c>
      <c r="L550" s="2" t="s">
        <v>872</v>
      </c>
      <c r="M550" s="2">
        <v>-1.1453800000000001</v>
      </c>
    </row>
    <row r="551" spans="1:13" x14ac:dyDescent="0.2">
      <c r="A551" s="5" t="s">
        <v>852</v>
      </c>
      <c r="B551" s="5" t="s">
        <v>3223</v>
      </c>
      <c r="C551" s="5" t="s">
        <v>2236</v>
      </c>
      <c r="D551" s="5" t="s">
        <v>1836</v>
      </c>
      <c r="E551" s="5" t="s">
        <v>1837</v>
      </c>
      <c r="F551" s="5">
        <v>4.0568999999999997</v>
      </c>
      <c r="G551" s="5">
        <v>9.1056600000000003</v>
      </c>
      <c r="H551" s="5">
        <v>1.16638</v>
      </c>
      <c r="I551" s="5">
        <v>1</v>
      </c>
      <c r="L551" s="2" t="s">
        <v>873</v>
      </c>
      <c r="M551" s="2">
        <v>-1.2730699999999999</v>
      </c>
    </row>
    <row r="552" spans="1:13" x14ac:dyDescent="0.2">
      <c r="A552" s="5" t="s">
        <v>854</v>
      </c>
      <c r="B552" s="5" t="s">
        <v>3058</v>
      </c>
      <c r="C552" s="5" t="s">
        <v>2237</v>
      </c>
      <c r="D552" s="5" t="s">
        <v>1836</v>
      </c>
      <c r="E552" s="5" t="s">
        <v>1837</v>
      </c>
      <c r="F552" s="5">
        <v>2.8422999999999998</v>
      </c>
      <c r="G552" s="5">
        <v>0.734043</v>
      </c>
      <c r="H552" s="5">
        <v>-1.95313</v>
      </c>
      <c r="I552" s="5">
        <v>1</v>
      </c>
      <c r="L552" s="2" t="s">
        <v>875</v>
      </c>
      <c r="M552" s="2">
        <v>1.04514</v>
      </c>
    </row>
    <row r="553" spans="1:13" x14ac:dyDescent="0.2">
      <c r="A553" s="5" t="s">
        <v>855</v>
      </c>
      <c r="B553" s="5" t="s">
        <v>3015</v>
      </c>
      <c r="C553" s="5" t="s">
        <v>2238</v>
      </c>
      <c r="D553" s="5" t="s">
        <v>1836</v>
      </c>
      <c r="E553" s="5" t="s">
        <v>1837</v>
      </c>
      <c r="F553" s="5">
        <v>1.68255</v>
      </c>
      <c r="G553" s="5">
        <v>3.7862399999999998</v>
      </c>
      <c r="H553" s="5">
        <v>1.17012</v>
      </c>
      <c r="I553" s="5">
        <v>1</v>
      </c>
      <c r="L553" s="2" t="s">
        <v>876</v>
      </c>
      <c r="M553" s="2">
        <v>1.52843</v>
      </c>
    </row>
    <row r="554" spans="1:13" x14ac:dyDescent="0.2">
      <c r="A554" s="5" t="s">
        <v>857</v>
      </c>
      <c r="B554" s="5" t="s">
        <v>3124</v>
      </c>
      <c r="C554" s="5" t="s">
        <v>2239</v>
      </c>
      <c r="D554" s="5" t="s">
        <v>1836</v>
      </c>
      <c r="E554" s="5" t="s">
        <v>1837</v>
      </c>
      <c r="F554" s="5">
        <v>0.35525699999999999</v>
      </c>
      <c r="G554" s="5">
        <v>2.9161899999999998</v>
      </c>
      <c r="H554" s="5">
        <v>3.03715</v>
      </c>
      <c r="I554" s="5">
        <v>1</v>
      </c>
      <c r="L554" s="2" t="s">
        <v>877</v>
      </c>
      <c r="M554" s="2">
        <v>2.7115100000000001</v>
      </c>
    </row>
    <row r="555" spans="1:13" x14ac:dyDescent="0.2">
      <c r="A555" s="5" t="s">
        <v>858</v>
      </c>
      <c r="B555" s="5" t="s">
        <v>3224</v>
      </c>
      <c r="C555" s="5" t="s">
        <v>2240</v>
      </c>
      <c r="D555" s="5" t="s">
        <v>1836</v>
      </c>
      <c r="E555" s="5" t="s">
        <v>1837</v>
      </c>
      <c r="F555" s="5">
        <v>2.8285800000000001</v>
      </c>
      <c r="G555" s="5">
        <v>10.031599999999999</v>
      </c>
      <c r="H555" s="5">
        <v>1.8264100000000001</v>
      </c>
      <c r="I555" s="5">
        <v>1</v>
      </c>
      <c r="L555" s="2" t="s">
        <v>878</v>
      </c>
      <c r="M555" s="2">
        <v>-1.5878399999999999</v>
      </c>
    </row>
    <row r="556" spans="1:13" x14ac:dyDescent="0.2">
      <c r="A556" s="5" t="s">
        <v>859</v>
      </c>
      <c r="B556" s="5" t="s">
        <v>3015</v>
      </c>
      <c r="C556" s="5" t="s">
        <v>2241</v>
      </c>
      <c r="D556" s="5" t="s">
        <v>1836</v>
      </c>
      <c r="E556" s="5" t="s">
        <v>1837</v>
      </c>
      <c r="F556" s="5">
        <v>2.6664599999999998</v>
      </c>
      <c r="G556" s="5">
        <v>1.3170599999999999</v>
      </c>
      <c r="H556" s="5">
        <v>-1.0176099999999999</v>
      </c>
      <c r="I556" s="5">
        <v>1</v>
      </c>
      <c r="L556" s="2" t="s">
        <v>879</v>
      </c>
      <c r="M556" s="2">
        <v>1.1231899999999999</v>
      </c>
    </row>
    <row r="557" spans="1:13" x14ac:dyDescent="0.2">
      <c r="A557" s="5" t="s">
        <v>860</v>
      </c>
      <c r="B557" s="5" t="s">
        <v>3093</v>
      </c>
      <c r="C557" s="5" t="s">
        <v>2029</v>
      </c>
      <c r="D557" s="5" t="s">
        <v>1836</v>
      </c>
      <c r="E557" s="5" t="s">
        <v>1837</v>
      </c>
      <c r="F557" s="5">
        <v>7.8865999999999996</v>
      </c>
      <c r="G557" s="5">
        <v>18.432500000000001</v>
      </c>
      <c r="H557" s="5">
        <v>1.22478</v>
      </c>
      <c r="I557" s="5">
        <v>1</v>
      </c>
      <c r="L557" s="2" t="s">
        <v>880</v>
      </c>
      <c r="M557" s="2">
        <v>-1.09083</v>
      </c>
    </row>
    <row r="558" spans="1:13" x14ac:dyDescent="0.2">
      <c r="A558" s="5" t="s">
        <v>861</v>
      </c>
      <c r="B558" s="5" t="s">
        <v>3225</v>
      </c>
      <c r="C558" s="5" t="s">
        <v>2242</v>
      </c>
      <c r="D558" s="5" t="s">
        <v>1836</v>
      </c>
      <c r="E558" s="5" t="s">
        <v>1837</v>
      </c>
      <c r="F558" s="5">
        <v>4.1473199999999997</v>
      </c>
      <c r="G558" s="5">
        <v>1.57884</v>
      </c>
      <c r="H558" s="5">
        <v>-1.39331</v>
      </c>
      <c r="I558" s="5">
        <v>1</v>
      </c>
      <c r="L558" s="2" t="s">
        <v>882</v>
      </c>
      <c r="M558" s="2">
        <v>-1.0572900000000001</v>
      </c>
    </row>
    <row r="559" spans="1:13" x14ac:dyDescent="0.2">
      <c r="A559" s="5" t="s">
        <v>863</v>
      </c>
      <c r="B559" s="5" t="s">
        <v>3226</v>
      </c>
      <c r="C559" s="5" t="s">
        <v>1847</v>
      </c>
      <c r="D559" s="5" t="s">
        <v>1836</v>
      </c>
      <c r="E559" s="5" t="s">
        <v>1837</v>
      </c>
      <c r="F559" s="5">
        <v>1.11965</v>
      </c>
      <c r="G559" s="5">
        <v>0.48151100000000002</v>
      </c>
      <c r="H559" s="5">
        <v>-1.2174100000000001</v>
      </c>
      <c r="I559" s="5">
        <v>1</v>
      </c>
      <c r="L559" s="2" t="s">
        <v>883</v>
      </c>
      <c r="M559" s="2">
        <v>-1.2794300000000001</v>
      </c>
    </row>
    <row r="560" spans="1:13" x14ac:dyDescent="0.2">
      <c r="A560" s="5" t="s">
        <v>864</v>
      </c>
      <c r="B560" s="5" t="s">
        <v>3015</v>
      </c>
      <c r="C560" s="5" t="s">
        <v>2243</v>
      </c>
      <c r="D560" s="5" t="s">
        <v>1836</v>
      </c>
      <c r="E560" s="5" t="s">
        <v>1837</v>
      </c>
      <c r="F560" s="5">
        <v>0.85137499999999999</v>
      </c>
      <c r="G560" s="5">
        <v>1.7514700000000001</v>
      </c>
      <c r="H560" s="5">
        <v>1.0407</v>
      </c>
      <c r="I560" s="5">
        <v>1</v>
      </c>
      <c r="L560" s="2" t="s">
        <v>884</v>
      </c>
      <c r="M560" s="2">
        <v>1.7276499999999999</v>
      </c>
    </row>
    <row r="561" spans="1:13" x14ac:dyDescent="0.2">
      <c r="A561" s="5" t="s">
        <v>866</v>
      </c>
      <c r="B561" s="5" t="s">
        <v>3015</v>
      </c>
      <c r="C561" s="5" t="s">
        <v>2244</v>
      </c>
      <c r="D561" s="5" t="s">
        <v>1836</v>
      </c>
      <c r="E561" s="5" t="s">
        <v>1837</v>
      </c>
      <c r="F561" s="5">
        <v>1.76268</v>
      </c>
      <c r="G561" s="5">
        <v>0.58179199999999998</v>
      </c>
      <c r="H561" s="5">
        <v>-1.5992</v>
      </c>
      <c r="I561" s="5">
        <v>1</v>
      </c>
      <c r="L561" s="2" t="s">
        <v>889</v>
      </c>
      <c r="M561" s="2">
        <v>-1.7897799999999999</v>
      </c>
    </row>
    <row r="562" spans="1:13" x14ac:dyDescent="0.2">
      <c r="A562" s="5" t="s">
        <v>868</v>
      </c>
      <c r="B562" s="5" t="s">
        <v>3227</v>
      </c>
      <c r="C562" s="5" t="s">
        <v>3015</v>
      </c>
      <c r="D562" s="5" t="s">
        <v>1836</v>
      </c>
      <c r="E562" s="5" t="s">
        <v>1837</v>
      </c>
      <c r="F562" s="5">
        <v>1.0250999999999999</v>
      </c>
      <c r="G562" s="5">
        <v>2.3759999999999999</v>
      </c>
      <c r="H562" s="5">
        <v>1.2127699999999999</v>
      </c>
      <c r="I562" s="5">
        <v>1</v>
      </c>
      <c r="L562" s="2" t="s">
        <v>892</v>
      </c>
      <c r="M562" s="2">
        <v>-1.0212600000000001</v>
      </c>
    </row>
    <row r="563" spans="1:13" x14ac:dyDescent="0.2">
      <c r="A563" s="5" t="s">
        <v>869</v>
      </c>
      <c r="B563" s="5" t="s">
        <v>3228</v>
      </c>
      <c r="C563" s="5" t="s">
        <v>2245</v>
      </c>
      <c r="D563" s="5" t="s">
        <v>1836</v>
      </c>
      <c r="E563" s="5" t="s">
        <v>1837</v>
      </c>
      <c r="F563" s="5">
        <v>9.0985600000000009</v>
      </c>
      <c r="G563" s="5">
        <v>18.994599999999998</v>
      </c>
      <c r="H563" s="5">
        <v>1.0618799999999999</v>
      </c>
      <c r="I563" s="5">
        <v>1</v>
      </c>
      <c r="L563" s="2" t="s">
        <v>893</v>
      </c>
      <c r="M563" s="2">
        <v>1.0413699999999999</v>
      </c>
    </row>
    <row r="564" spans="1:13" x14ac:dyDescent="0.2">
      <c r="A564" s="5" t="s">
        <v>870</v>
      </c>
      <c r="B564" s="5" t="s">
        <v>3015</v>
      </c>
      <c r="C564" s="5" t="s">
        <v>1847</v>
      </c>
      <c r="D564" s="5" t="s">
        <v>1836</v>
      </c>
      <c r="E564" s="5" t="s">
        <v>1837</v>
      </c>
      <c r="F564" s="5">
        <v>6.6129699999999998</v>
      </c>
      <c r="G564" s="5">
        <v>41.171399999999998</v>
      </c>
      <c r="H564" s="5">
        <v>2.6382699999999999</v>
      </c>
      <c r="I564" s="5">
        <v>1</v>
      </c>
      <c r="L564" s="2" t="s">
        <v>895</v>
      </c>
      <c r="M564" s="2">
        <v>-1.05626</v>
      </c>
    </row>
    <row r="565" spans="1:13" x14ac:dyDescent="0.2">
      <c r="A565" s="5" t="s">
        <v>871</v>
      </c>
      <c r="B565" s="5" t="s">
        <v>3049</v>
      </c>
      <c r="C565" s="5" t="s">
        <v>2246</v>
      </c>
      <c r="D565" s="5" t="s">
        <v>1836</v>
      </c>
      <c r="E565" s="5" t="s">
        <v>1837</v>
      </c>
      <c r="F565" s="5">
        <v>35.804499999999997</v>
      </c>
      <c r="G565" s="5">
        <v>11.3049</v>
      </c>
      <c r="H565" s="5">
        <v>-1.6632</v>
      </c>
      <c r="I565" s="5">
        <v>1</v>
      </c>
      <c r="L565" s="2" t="s">
        <v>896</v>
      </c>
      <c r="M565" s="2">
        <v>1.2059299999999999</v>
      </c>
    </row>
    <row r="566" spans="1:13" x14ac:dyDescent="0.2">
      <c r="A566" s="5" t="s">
        <v>872</v>
      </c>
      <c r="B566" s="5" t="s">
        <v>3015</v>
      </c>
      <c r="C566" s="5" t="s">
        <v>3015</v>
      </c>
      <c r="D566" s="5" t="s">
        <v>1836</v>
      </c>
      <c r="E566" s="5" t="s">
        <v>1837</v>
      </c>
      <c r="F566" s="5">
        <v>380.42500000000001</v>
      </c>
      <c r="G566" s="5">
        <v>171.97900000000001</v>
      </c>
      <c r="H566" s="5">
        <v>-1.1453800000000001</v>
      </c>
      <c r="I566" s="5">
        <v>1</v>
      </c>
      <c r="L566" s="2" t="s">
        <v>897</v>
      </c>
      <c r="M566" s="2">
        <v>-1.0634600000000001</v>
      </c>
    </row>
    <row r="567" spans="1:13" x14ac:dyDescent="0.2">
      <c r="A567" s="5" t="s">
        <v>873</v>
      </c>
      <c r="B567" s="5" t="s">
        <v>3080</v>
      </c>
      <c r="C567" s="5" t="s">
        <v>2247</v>
      </c>
      <c r="D567" s="5" t="s">
        <v>1836</v>
      </c>
      <c r="E567" s="5" t="s">
        <v>1837</v>
      </c>
      <c r="F567" s="5">
        <v>3.7013699999999998</v>
      </c>
      <c r="G567" s="5">
        <v>1.53155</v>
      </c>
      <c r="H567" s="5">
        <v>-1.2730699999999999</v>
      </c>
      <c r="I567" s="5">
        <v>1</v>
      </c>
      <c r="L567" s="2" t="s">
        <v>899</v>
      </c>
      <c r="M567" s="2">
        <v>-1.1889400000000001</v>
      </c>
    </row>
    <row r="568" spans="1:13" x14ac:dyDescent="0.2">
      <c r="A568" s="5" t="s">
        <v>875</v>
      </c>
      <c r="B568" s="5" t="s">
        <v>3229</v>
      </c>
      <c r="C568" s="5" t="s">
        <v>3015</v>
      </c>
      <c r="D568" s="5" t="s">
        <v>1836</v>
      </c>
      <c r="E568" s="5" t="s">
        <v>1837</v>
      </c>
      <c r="F568" s="5">
        <v>0.46273399999999998</v>
      </c>
      <c r="G568" s="5">
        <v>0.95488300000000004</v>
      </c>
      <c r="H568" s="5">
        <v>1.04514</v>
      </c>
      <c r="I568" s="5">
        <v>1</v>
      </c>
      <c r="L568" s="2" t="s">
        <v>900</v>
      </c>
      <c r="M568" s="2">
        <v>-1.32822</v>
      </c>
    </row>
    <row r="569" spans="1:13" x14ac:dyDescent="0.2">
      <c r="A569" s="5" t="s">
        <v>876</v>
      </c>
      <c r="B569" s="5" t="s">
        <v>3191</v>
      </c>
      <c r="C569" s="5" t="s">
        <v>2248</v>
      </c>
      <c r="D569" s="5" t="s">
        <v>1836</v>
      </c>
      <c r="E569" s="5" t="s">
        <v>1837</v>
      </c>
      <c r="F569" s="5">
        <v>3.1970399999999999</v>
      </c>
      <c r="G569" s="5">
        <v>9.2225699999999993</v>
      </c>
      <c r="H569" s="5">
        <v>1.52843</v>
      </c>
      <c r="I569" s="5">
        <v>1</v>
      </c>
      <c r="L569" s="2" t="s">
        <v>902</v>
      </c>
      <c r="M569" s="2">
        <v>1.72916</v>
      </c>
    </row>
    <row r="570" spans="1:13" x14ac:dyDescent="0.2">
      <c r="A570" s="5" t="s">
        <v>877</v>
      </c>
      <c r="B570" s="5" t="s">
        <v>3015</v>
      </c>
      <c r="C570" s="5" t="s">
        <v>2218</v>
      </c>
      <c r="D570" s="5" t="s">
        <v>1836</v>
      </c>
      <c r="E570" s="5" t="s">
        <v>1837</v>
      </c>
      <c r="F570" s="5">
        <v>1.0554699999999999</v>
      </c>
      <c r="G570" s="5">
        <v>6.9134200000000003</v>
      </c>
      <c r="H570" s="5">
        <v>2.7115100000000001</v>
      </c>
      <c r="I570" s="5">
        <v>1</v>
      </c>
      <c r="L570" s="2" t="s">
        <v>903</v>
      </c>
      <c r="M570" s="2">
        <v>-1.19947</v>
      </c>
    </row>
    <row r="571" spans="1:13" x14ac:dyDescent="0.2">
      <c r="A571" s="5" t="s">
        <v>878</v>
      </c>
      <c r="B571" s="5" t="s">
        <v>3166</v>
      </c>
      <c r="C571" s="5" t="s">
        <v>2249</v>
      </c>
      <c r="D571" s="5" t="s">
        <v>1836</v>
      </c>
      <c r="E571" s="5" t="s">
        <v>1837</v>
      </c>
      <c r="F571" s="5">
        <v>3.5211000000000001</v>
      </c>
      <c r="G571" s="5">
        <v>1.17137</v>
      </c>
      <c r="H571" s="5">
        <v>-1.5878399999999999</v>
      </c>
      <c r="I571" s="5">
        <v>1</v>
      </c>
      <c r="L571" s="2" t="s">
        <v>904</v>
      </c>
      <c r="M571" s="2">
        <v>-1.1209199999999999</v>
      </c>
    </row>
    <row r="572" spans="1:13" x14ac:dyDescent="0.2">
      <c r="A572" s="5" t="s">
        <v>879</v>
      </c>
      <c r="B572" s="5" t="s">
        <v>3230</v>
      </c>
      <c r="C572" s="5" t="s">
        <v>2250</v>
      </c>
      <c r="D572" s="5" t="s">
        <v>1836</v>
      </c>
      <c r="E572" s="5" t="s">
        <v>1837</v>
      </c>
      <c r="F572" s="5">
        <v>1.95082</v>
      </c>
      <c r="G572" s="5">
        <v>4.2494300000000003</v>
      </c>
      <c r="H572" s="5">
        <v>1.1231899999999999</v>
      </c>
      <c r="I572" s="5">
        <v>1</v>
      </c>
      <c r="L572" s="2" t="s">
        <v>906</v>
      </c>
      <c r="M572" s="2">
        <v>1.31538</v>
      </c>
    </row>
    <row r="573" spans="1:13" x14ac:dyDescent="0.2">
      <c r="A573" s="5" t="s">
        <v>880</v>
      </c>
      <c r="B573" s="5" t="s">
        <v>3015</v>
      </c>
      <c r="C573" s="5" t="s">
        <v>2251</v>
      </c>
      <c r="D573" s="5" t="s">
        <v>1836</v>
      </c>
      <c r="E573" s="5" t="s">
        <v>1837</v>
      </c>
      <c r="F573" s="5">
        <v>1.06219</v>
      </c>
      <c r="G573" s="5">
        <v>0.498691</v>
      </c>
      <c r="H573" s="5">
        <v>-1.09083</v>
      </c>
      <c r="I573" s="5">
        <v>1</v>
      </c>
      <c r="L573" s="2" t="s">
        <v>907</v>
      </c>
      <c r="M573" s="2">
        <v>-1.93144</v>
      </c>
    </row>
    <row r="574" spans="1:13" x14ac:dyDescent="0.2">
      <c r="A574" s="5" t="s">
        <v>882</v>
      </c>
      <c r="B574" s="5" t="s">
        <v>3039</v>
      </c>
      <c r="C574" s="5" t="s">
        <v>2252</v>
      </c>
      <c r="D574" s="5" t="s">
        <v>1836</v>
      </c>
      <c r="E574" s="5" t="s">
        <v>1837</v>
      </c>
      <c r="F574" s="5">
        <v>37.823999999999998</v>
      </c>
      <c r="G574" s="5">
        <v>18.175699999999999</v>
      </c>
      <c r="H574" s="5">
        <v>-1.0572900000000001</v>
      </c>
      <c r="I574" s="5">
        <v>1</v>
      </c>
      <c r="L574" s="2" t="s">
        <v>909</v>
      </c>
      <c r="M574" s="2">
        <v>-1.7262</v>
      </c>
    </row>
    <row r="575" spans="1:13" x14ac:dyDescent="0.2">
      <c r="A575" s="5" t="s">
        <v>883</v>
      </c>
      <c r="B575" s="5" t="s">
        <v>3231</v>
      </c>
      <c r="C575" s="5" t="s">
        <v>2253</v>
      </c>
      <c r="D575" s="5" t="s">
        <v>1836</v>
      </c>
      <c r="E575" s="5" t="s">
        <v>1837</v>
      </c>
      <c r="F575" s="5">
        <v>11.429600000000001</v>
      </c>
      <c r="G575" s="5">
        <v>4.7084999999999999</v>
      </c>
      <c r="H575" s="5">
        <v>-1.2794300000000001</v>
      </c>
      <c r="I575" s="5">
        <v>1</v>
      </c>
      <c r="L575" s="2" t="s">
        <v>910</v>
      </c>
      <c r="M575" s="2">
        <v>-1.59981</v>
      </c>
    </row>
    <row r="576" spans="1:13" x14ac:dyDescent="0.2">
      <c r="A576" s="5" t="s">
        <v>884</v>
      </c>
      <c r="B576" s="5" t="s">
        <v>3067</v>
      </c>
      <c r="C576" s="5" t="s">
        <v>2254</v>
      </c>
      <c r="D576" s="5" t="s">
        <v>1836</v>
      </c>
      <c r="E576" s="5" t="s">
        <v>1837</v>
      </c>
      <c r="F576" s="5">
        <v>1.82369</v>
      </c>
      <c r="G576" s="5">
        <v>6.0398500000000004</v>
      </c>
      <c r="H576" s="5">
        <v>1.7276499999999999</v>
      </c>
      <c r="I576" s="5">
        <v>1</v>
      </c>
      <c r="L576" s="2" t="s">
        <v>913</v>
      </c>
      <c r="M576" s="2">
        <v>-1.52599</v>
      </c>
    </row>
    <row r="577" spans="1:13" x14ac:dyDescent="0.2">
      <c r="A577" s="5" t="s">
        <v>889</v>
      </c>
      <c r="B577" s="5" t="s">
        <v>3037</v>
      </c>
      <c r="C577" s="5" t="s">
        <v>2255</v>
      </c>
      <c r="D577" s="5" t="s">
        <v>1836</v>
      </c>
      <c r="E577" s="5" t="s">
        <v>1837</v>
      </c>
      <c r="F577" s="5">
        <v>10.1067</v>
      </c>
      <c r="G577" s="5">
        <v>2.9230200000000002</v>
      </c>
      <c r="H577" s="5">
        <v>-1.7897799999999999</v>
      </c>
      <c r="I577" s="5">
        <v>1</v>
      </c>
      <c r="L577" s="2" t="s">
        <v>914</v>
      </c>
      <c r="M577" s="2">
        <v>-1.7602</v>
      </c>
    </row>
    <row r="578" spans="1:13" x14ac:dyDescent="0.2">
      <c r="A578" s="5" t="s">
        <v>892</v>
      </c>
      <c r="B578" s="5" t="s">
        <v>3144</v>
      </c>
      <c r="C578" s="5" t="s">
        <v>2256</v>
      </c>
      <c r="D578" s="5" t="s">
        <v>1836</v>
      </c>
      <c r="E578" s="5" t="s">
        <v>1837</v>
      </c>
      <c r="F578" s="5">
        <v>1.4432</v>
      </c>
      <c r="G578" s="5">
        <v>0.71104599999999996</v>
      </c>
      <c r="H578" s="5">
        <v>-1.0212600000000001</v>
      </c>
      <c r="I578" s="5">
        <v>1</v>
      </c>
      <c r="L578" s="2" t="s">
        <v>916</v>
      </c>
      <c r="M578" s="2">
        <v>1.0251300000000001</v>
      </c>
    </row>
    <row r="579" spans="1:13" x14ac:dyDescent="0.2">
      <c r="A579" s="5" t="s">
        <v>893</v>
      </c>
      <c r="B579" s="5" t="s">
        <v>3232</v>
      </c>
      <c r="C579" s="5" t="s">
        <v>2257</v>
      </c>
      <c r="D579" s="5" t="s">
        <v>1836</v>
      </c>
      <c r="E579" s="5" t="s">
        <v>1837</v>
      </c>
      <c r="F579" s="5">
        <v>0.53645200000000004</v>
      </c>
      <c r="G579" s="5">
        <v>1.1041099999999999</v>
      </c>
      <c r="H579" s="5">
        <v>1.0413699999999999</v>
      </c>
      <c r="I579" s="5">
        <v>1</v>
      </c>
      <c r="L579" s="2" t="s">
        <v>917</v>
      </c>
      <c r="M579" s="2">
        <v>1.6711</v>
      </c>
    </row>
    <row r="580" spans="1:13" x14ac:dyDescent="0.2">
      <c r="A580" s="5" t="s">
        <v>895</v>
      </c>
      <c r="B580" s="5" t="s">
        <v>3047</v>
      </c>
      <c r="C580" s="5" t="s">
        <v>2258</v>
      </c>
      <c r="D580" s="5" t="s">
        <v>1836</v>
      </c>
      <c r="E580" s="5" t="s">
        <v>1837</v>
      </c>
      <c r="F580" s="5">
        <v>2.7345100000000002</v>
      </c>
      <c r="G580" s="5">
        <v>1.31497</v>
      </c>
      <c r="H580" s="5">
        <v>-1.05626</v>
      </c>
      <c r="I580" s="5">
        <v>1</v>
      </c>
      <c r="L580" s="2" t="s">
        <v>918</v>
      </c>
      <c r="M580" s="2">
        <v>-1.46645</v>
      </c>
    </row>
    <row r="581" spans="1:13" x14ac:dyDescent="0.2">
      <c r="A581" s="5" t="s">
        <v>896</v>
      </c>
      <c r="B581" s="5" t="s">
        <v>3233</v>
      </c>
      <c r="C581" s="5">
        <v>0</v>
      </c>
      <c r="D581" s="5" t="s">
        <v>1836</v>
      </c>
      <c r="E581" s="5" t="s">
        <v>1837</v>
      </c>
      <c r="F581" s="5">
        <v>0.97496400000000005</v>
      </c>
      <c r="G581" s="5">
        <v>2.2490999999999999</v>
      </c>
      <c r="H581" s="5">
        <v>1.2059299999999999</v>
      </c>
      <c r="I581" s="5">
        <v>1</v>
      </c>
      <c r="L581" s="2" t="s">
        <v>919</v>
      </c>
      <c r="M581" s="2">
        <v>1.2624</v>
      </c>
    </row>
    <row r="582" spans="1:13" x14ac:dyDescent="0.2">
      <c r="A582" s="5" t="s">
        <v>897</v>
      </c>
      <c r="B582" s="5" t="s">
        <v>3015</v>
      </c>
      <c r="C582" s="5" t="s">
        <v>2259</v>
      </c>
      <c r="D582" s="5" t="s">
        <v>1836</v>
      </c>
      <c r="E582" s="5" t="s">
        <v>1837</v>
      </c>
      <c r="F582" s="5">
        <v>20.779299999999999</v>
      </c>
      <c r="G582" s="5">
        <v>9.9425100000000004</v>
      </c>
      <c r="H582" s="5">
        <v>-1.0634600000000001</v>
      </c>
      <c r="I582" s="5">
        <v>1</v>
      </c>
      <c r="L582" s="2" t="s">
        <v>920</v>
      </c>
      <c r="M582" s="2">
        <v>1.0486800000000001</v>
      </c>
    </row>
    <row r="583" spans="1:13" x14ac:dyDescent="0.2">
      <c r="A583" s="5" t="s">
        <v>899</v>
      </c>
      <c r="B583" s="5" t="s">
        <v>3116</v>
      </c>
      <c r="C583" s="5" t="s">
        <v>2260</v>
      </c>
      <c r="D583" s="5" t="s">
        <v>1836</v>
      </c>
      <c r="E583" s="5" t="s">
        <v>1837</v>
      </c>
      <c r="F583" s="5">
        <v>12.7454</v>
      </c>
      <c r="G583" s="5">
        <v>5.5904400000000001</v>
      </c>
      <c r="H583" s="5">
        <v>-1.1889400000000001</v>
      </c>
      <c r="I583" s="5">
        <v>1</v>
      </c>
      <c r="L583" s="2" t="s">
        <v>921</v>
      </c>
      <c r="M583" s="2">
        <v>-1.32643</v>
      </c>
    </row>
    <row r="584" spans="1:13" x14ac:dyDescent="0.2">
      <c r="A584" s="5" t="s">
        <v>900</v>
      </c>
      <c r="B584" s="5" t="s">
        <v>3080</v>
      </c>
      <c r="C584" s="5" t="s">
        <v>2261</v>
      </c>
      <c r="D584" s="5" t="s">
        <v>1836</v>
      </c>
      <c r="E584" s="5" t="s">
        <v>1837</v>
      </c>
      <c r="F584" s="5">
        <v>8.3671699999999998</v>
      </c>
      <c r="G584" s="5">
        <v>3.3323</v>
      </c>
      <c r="H584" s="5">
        <v>-1.32822</v>
      </c>
      <c r="I584" s="5">
        <v>1</v>
      </c>
      <c r="L584" s="2" t="s">
        <v>924</v>
      </c>
      <c r="M584" s="2">
        <v>3.47628</v>
      </c>
    </row>
    <row r="585" spans="1:13" x14ac:dyDescent="0.2">
      <c r="A585" s="5" t="s">
        <v>902</v>
      </c>
      <c r="B585" s="5" t="s">
        <v>3015</v>
      </c>
      <c r="C585" s="5" t="s">
        <v>2262</v>
      </c>
      <c r="D585" s="5" t="s">
        <v>1836</v>
      </c>
      <c r="E585" s="5" t="s">
        <v>1837</v>
      </c>
      <c r="F585" s="5">
        <v>0.93955900000000003</v>
      </c>
      <c r="G585" s="5">
        <v>3.11496</v>
      </c>
      <c r="H585" s="5">
        <v>1.72916</v>
      </c>
      <c r="I585" s="5">
        <v>1</v>
      </c>
      <c r="L585" s="2" t="s">
        <v>925</v>
      </c>
      <c r="M585" s="2">
        <v>1.2233400000000001</v>
      </c>
    </row>
    <row r="586" spans="1:13" x14ac:dyDescent="0.2">
      <c r="A586" s="5" t="s">
        <v>903</v>
      </c>
      <c r="B586" s="5" t="s">
        <v>3015</v>
      </c>
      <c r="C586" s="5" t="s">
        <v>2262</v>
      </c>
      <c r="D586" s="5" t="s">
        <v>1836</v>
      </c>
      <c r="E586" s="5" t="s">
        <v>1837</v>
      </c>
      <c r="F586" s="5">
        <v>0.990541</v>
      </c>
      <c r="G586" s="5">
        <v>0.43131799999999998</v>
      </c>
      <c r="H586" s="5">
        <v>-1.19947</v>
      </c>
      <c r="I586" s="5">
        <v>1</v>
      </c>
      <c r="L586" s="2" t="s">
        <v>926</v>
      </c>
      <c r="M586" s="2">
        <v>1.64533</v>
      </c>
    </row>
    <row r="587" spans="1:13" x14ac:dyDescent="0.2">
      <c r="A587" s="5" t="s">
        <v>904</v>
      </c>
      <c r="B587" s="5" t="s">
        <v>3039</v>
      </c>
      <c r="C587" s="5" t="s">
        <v>2252</v>
      </c>
      <c r="D587" s="5" t="s">
        <v>1836</v>
      </c>
      <c r="E587" s="5" t="s">
        <v>1837</v>
      </c>
      <c r="F587" s="5">
        <v>5.7412299999999998</v>
      </c>
      <c r="G587" s="5">
        <v>2.6398299999999999</v>
      </c>
      <c r="H587" s="5">
        <v>-1.1209199999999999</v>
      </c>
      <c r="I587" s="5">
        <v>1</v>
      </c>
      <c r="L587" s="2" t="s">
        <v>927</v>
      </c>
      <c r="M587" s="2">
        <v>1.0265299999999999</v>
      </c>
    </row>
    <row r="588" spans="1:13" x14ac:dyDescent="0.2">
      <c r="A588" s="5" t="s">
        <v>906</v>
      </c>
      <c r="B588" s="5" t="s">
        <v>3027</v>
      </c>
      <c r="C588" s="5" t="s">
        <v>2263</v>
      </c>
      <c r="D588" s="5" t="s">
        <v>1836</v>
      </c>
      <c r="E588" s="5" t="s">
        <v>1837</v>
      </c>
      <c r="F588" s="5">
        <v>0.38800499999999999</v>
      </c>
      <c r="G588" s="5">
        <v>0.96561699999999995</v>
      </c>
      <c r="H588" s="5">
        <v>1.31538</v>
      </c>
      <c r="I588" s="5">
        <v>1</v>
      </c>
      <c r="L588" s="2" t="s">
        <v>928</v>
      </c>
      <c r="M588" s="2">
        <v>-1.0562499999999999</v>
      </c>
    </row>
    <row r="589" spans="1:13" x14ac:dyDescent="0.2">
      <c r="A589" s="5" t="s">
        <v>907</v>
      </c>
      <c r="B589" s="5" t="s">
        <v>3234</v>
      </c>
      <c r="C589" s="5" t="s">
        <v>2264</v>
      </c>
      <c r="D589" s="5" t="s">
        <v>1836</v>
      </c>
      <c r="E589" s="5" t="s">
        <v>1837</v>
      </c>
      <c r="F589" s="5">
        <v>1.0944799999999999</v>
      </c>
      <c r="G589" s="5">
        <v>0.28693600000000002</v>
      </c>
      <c r="H589" s="5">
        <v>-1.93144</v>
      </c>
      <c r="I589" s="5">
        <v>1</v>
      </c>
      <c r="L589" s="2" t="s">
        <v>929</v>
      </c>
      <c r="M589" s="2">
        <v>-2.1177000000000001</v>
      </c>
    </row>
    <row r="590" spans="1:13" x14ac:dyDescent="0.2">
      <c r="A590" s="5" t="s">
        <v>909</v>
      </c>
      <c r="B590" s="5" t="s">
        <v>3015</v>
      </c>
      <c r="C590" s="5" t="s">
        <v>2265</v>
      </c>
      <c r="D590" s="5" t="s">
        <v>1836</v>
      </c>
      <c r="E590" s="5" t="s">
        <v>1837</v>
      </c>
      <c r="F590" s="5">
        <v>1.6230100000000001</v>
      </c>
      <c r="G590" s="5">
        <v>0.49054999999999999</v>
      </c>
      <c r="H590" s="5">
        <v>-1.7262</v>
      </c>
      <c r="I590" s="5">
        <v>1</v>
      </c>
      <c r="L590" s="2" t="s">
        <v>930</v>
      </c>
      <c r="M590" s="2">
        <v>-2.6061899999999998</v>
      </c>
    </row>
    <row r="591" spans="1:13" x14ac:dyDescent="0.2">
      <c r="A591" s="5" t="s">
        <v>910</v>
      </c>
      <c r="B591" s="5" t="s">
        <v>3015</v>
      </c>
      <c r="C591" s="5" t="s">
        <v>2266</v>
      </c>
      <c r="D591" s="5" t="s">
        <v>1836</v>
      </c>
      <c r="E591" s="5" t="s">
        <v>1837</v>
      </c>
      <c r="F591" s="5">
        <v>6.3342799999999997</v>
      </c>
      <c r="G591" s="5">
        <v>2.0898099999999999</v>
      </c>
      <c r="H591" s="5">
        <v>-1.59981</v>
      </c>
      <c r="I591" s="5">
        <v>1</v>
      </c>
      <c r="L591" s="2" t="s">
        <v>931</v>
      </c>
      <c r="M591" s="2">
        <v>-1.6931799999999999</v>
      </c>
    </row>
    <row r="592" spans="1:13" x14ac:dyDescent="0.2">
      <c r="A592" s="5" t="s">
        <v>913</v>
      </c>
      <c r="B592" s="5" t="s">
        <v>3235</v>
      </c>
      <c r="C592" s="5" t="s">
        <v>2267</v>
      </c>
      <c r="D592" s="5" t="s">
        <v>1836</v>
      </c>
      <c r="E592" s="5" t="s">
        <v>1837</v>
      </c>
      <c r="F592" s="5">
        <v>5.3484499999999997</v>
      </c>
      <c r="G592" s="5">
        <v>1.8572</v>
      </c>
      <c r="H592" s="5">
        <v>-1.52599</v>
      </c>
      <c r="I592" s="5">
        <v>1</v>
      </c>
      <c r="L592" s="2" t="s">
        <v>935</v>
      </c>
      <c r="M592" s="2">
        <v>-1.01085</v>
      </c>
    </row>
    <row r="593" spans="1:13" x14ac:dyDescent="0.2">
      <c r="A593" s="5" t="s">
        <v>914</v>
      </c>
      <c r="B593" s="5" t="s">
        <v>3015</v>
      </c>
      <c r="C593" s="5" t="s">
        <v>2268</v>
      </c>
      <c r="D593" s="5" t="s">
        <v>1836</v>
      </c>
      <c r="E593" s="5" t="s">
        <v>1837</v>
      </c>
      <c r="F593" s="5">
        <v>1.7861400000000001</v>
      </c>
      <c r="G593" s="5">
        <v>0.52727900000000005</v>
      </c>
      <c r="H593" s="5">
        <v>-1.7602</v>
      </c>
      <c r="I593" s="5">
        <v>1</v>
      </c>
      <c r="L593" s="2" t="s">
        <v>937</v>
      </c>
      <c r="M593" s="2">
        <v>-1.03088</v>
      </c>
    </row>
    <row r="594" spans="1:13" x14ac:dyDescent="0.2">
      <c r="A594" s="5" t="s">
        <v>916</v>
      </c>
      <c r="B594" s="5" t="s">
        <v>3025</v>
      </c>
      <c r="C594" s="5" t="s">
        <v>2269</v>
      </c>
      <c r="D594" s="5" t="s">
        <v>1836</v>
      </c>
      <c r="E594" s="5" t="s">
        <v>1837</v>
      </c>
      <c r="F594" s="5">
        <v>11.9543</v>
      </c>
      <c r="G594" s="5">
        <v>24.328700000000001</v>
      </c>
      <c r="H594" s="5">
        <v>1.0251300000000001</v>
      </c>
      <c r="I594" s="5">
        <v>1</v>
      </c>
      <c r="L594" s="2" t="s">
        <v>938</v>
      </c>
      <c r="M594" s="2">
        <v>1.04728</v>
      </c>
    </row>
    <row r="595" spans="1:13" x14ac:dyDescent="0.2">
      <c r="A595" s="5" t="s">
        <v>917</v>
      </c>
      <c r="B595" s="5" t="s">
        <v>3236</v>
      </c>
      <c r="C595" s="5" t="s">
        <v>2270</v>
      </c>
      <c r="D595" s="5" t="s">
        <v>1836</v>
      </c>
      <c r="E595" s="5" t="s">
        <v>1837</v>
      </c>
      <c r="F595" s="5">
        <v>17.425899999999999</v>
      </c>
      <c r="G595" s="5">
        <v>55.494100000000003</v>
      </c>
      <c r="H595" s="5">
        <v>1.6711</v>
      </c>
      <c r="I595" s="5">
        <v>1</v>
      </c>
      <c r="L595" s="2" t="s">
        <v>940</v>
      </c>
      <c r="M595" s="2">
        <v>1.6513100000000001</v>
      </c>
    </row>
    <row r="596" spans="1:13" x14ac:dyDescent="0.2">
      <c r="A596" s="5" t="s">
        <v>918</v>
      </c>
      <c r="B596" s="5" t="s">
        <v>3049</v>
      </c>
      <c r="C596" s="5" t="s">
        <v>2246</v>
      </c>
      <c r="D596" s="5" t="s">
        <v>1836</v>
      </c>
      <c r="E596" s="5" t="s">
        <v>1837</v>
      </c>
      <c r="F596" s="5">
        <v>1.1626300000000001</v>
      </c>
      <c r="G596" s="5">
        <v>0.42072399999999999</v>
      </c>
      <c r="H596" s="5">
        <v>-1.46645</v>
      </c>
      <c r="I596" s="5">
        <v>1</v>
      </c>
      <c r="L596" s="2" t="s">
        <v>941</v>
      </c>
      <c r="M596" s="2">
        <v>1.5398400000000001</v>
      </c>
    </row>
    <row r="597" spans="1:13" x14ac:dyDescent="0.2">
      <c r="A597" s="5" t="s">
        <v>919</v>
      </c>
      <c r="B597" s="5" t="s">
        <v>3015</v>
      </c>
      <c r="C597" s="5" t="s">
        <v>1862</v>
      </c>
      <c r="D597" s="5" t="s">
        <v>1836</v>
      </c>
      <c r="E597" s="5" t="s">
        <v>1837</v>
      </c>
      <c r="F597" s="5">
        <v>0.431475</v>
      </c>
      <c r="G597" s="5">
        <v>1.0350900000000001</v>
      </c>
      <c r="H597" s="5">
        <v>1.2624</v>
      </c>
      <c r="I597" s="5">
        <v>1</v>
      </c>
      <c r="L597" s="2" t="s">
        <v>942</v>
      </c>
      <c r="M597" s="2">
        <v>-1.1202799999999999</v>
      </c>
    </row>
    <row r="598" spans="1:13" x14ac:dyDescent="0.2">
      <c r="A598" s="5" t="s">
        <v>920</v>
      </c>
      <c r="B598" s="5" t="s">
        <v>3237</v>
      </c>
      <c r="C598" s="5" t="s">
        <v>2271</v>
      </c>
      <c r="D598" s="5" t="s">
        <v>1836</v>
      </c>
      <c r="E598" s="5" t="s">
        <v>1837</v>
      </c>
      <c r="F598" s="5">
        <v>11.293200000000001</v>
      </c>
      <c r="G598" s="5">
        <v>23.361499999999999</v>
      </c>
      <c r="H598" s="5">
        <v>1.0486800000000001</v>
      </c>
      <c r="I598" s="5">
        <v>1</v>
      </c>
      <c r="L598" s="2" t="s">
        <v>943</v>
      </c>
      <c r="M598" s="2">
        <v>-1.64307</v>
      </c>
    </row>
    <row r="599" spans="1:13" x14ac:dyDescent="0.2">
      <c r="A599" s="5" t="s">
        <v>921</v>
      </c>
      <c r="B599" s="5" t="s">
        <v>3238</v>
      </c>
      <c r="C599" s="5" t="s">
        <v>2272</v>
      </c>
      <c r="D599" s="5" t="s">
        <v>1836</v>
      </c>
      <c r="E599" s="5" t="s">
        <v>1837</v>
      </c>
      <c r="F599" s="5">
        <v>3.66967</v>
      </c>
      <c r="G599" s="5">
        <v>1.4633</v>
      </c>
      <c r="H599" s="5">
        <v>-1.32643</v>
      </c>
      <c r="I599" s="5">
        <v>1</v>
      </c>
      <c r="L599" s="2" t="s">
        <v>945</v>
      </c>
      <c r="M599" s="2">
        <v>-1.0658700000000001</v>
      </c>
    </row>
    <row r="600" spans="1:13" x14ac:dyDescent="0.2">
      <c r="A600" s="5" t="s">
        <v>922</v>
      </c>
      <c r="B600" s="5" t="s">
        <v>3015</v>
      </c>
      <c r="C600" s="5" t="s">
        <v>3015</v>
      </c>
      <c r="D600" s="5" t="s">
        <v>1836</v>
      </c>
      <c r="E600" s="5" t="s">
        <v>1837</v>
      </c>
      <c r="F600" s="5">
        <v>0</v>
      </c>
      <c r="G600" s="5">
        <v>28.310500000000001</v>
      </c>
      <c r="H600" s="5" t="s">
        <v>3021</v>
      </c>
      <c r="I600" s="5" t="s">
        <v>3021</v>
      </c>
      <c r="L600" s="2" t="s">
        <v>946</v>
      </c>
      <c r="M600" s="2">
        <v>-1.0769599999999999</v>
      </c>
    </row>
    <row r="601" spans="1:13" x14ac:dyDescent="0.2">
      <c r="A601" s="5" t="s">
        <v>924</v>
      </c>
      <c r="B601" s="5" t="s">
        <v>3239</v>
      </c>
      <c r="C601" s="5" t="s">
        <v>1847</v>
      </c>
      <c r="D601" s="5" t="s">
        <v>1836</v>
      </c>
      <c r="E601" s="5" t="s">
        <v>1837</v>
      </c>
      <c r="F601" s="5">
        <v>0.68254000000000004</v>
      </c>
      <c r="G601" s="5">
        <v>7.5961400000000001</v>
      </c>
      <c r="H601" s="5">
        <v>3.47628</v>
      </c>
      <c r="I601" s="5">
        <v>1</v>
      </c>
      <c r="L601" s="2" t="s">
        <v>947</v>
      </c>
      <c r="M601" s="2">
        <v>1.10663</v>
      </c>
    </row>
    <row r="602" spans="1:13" x14ac:dyDescent="0.2">
      <c r="A602" s="5" t="s">
        <v>925</v>
      </c>
      <c r="B602" s="5" t="s">
        <v>3240</v>
      </c>
      <c r="C602" s="5" t="s">
        <v>2273</v>
      </c>
      <c r="D602" s="5" t="s">
        <v>1836</v>
      </c>
      <c r="E602" s="5" t="s">
        <v>1837</v>
      </c>
      <c r="F602" s="5">
        <v>1.1334599999999999</v>
      </c>
      <c r="G602" s="5">
        <v>2.64649</v>
      </c>
      <c r="H602" s="5">
        <v>1.2233400000000001</v>
      </c>
      <c r="I602" s="5">
        <v>1</v>
      </c>
      <c r="L602" s="2" t="s">
        <v>948</v>
      </c>
      <c r="M602" s="2">
        <v>-1.2628699999999999</v>
      </c>
    </row>
    <row r="603" spans="1:13" x14ac:dyDescent="0.2">
      <c r="A603" s="5" t="s">
        <v>926</v>
      </c>
      <c r="B603" s="5" t="s">
        <v>3015</v>
      </c>
      <c r="C603" s="5" t="s">
        <v>2274</v>
      </c>
      <c r="D603" s="5" t="s">
        <v>1836</v>
      </c>
      <c r="E603" s="5" t="s">
        <v>1837</v>
      </c>
      <c r="F603" s="5">
        <v>0.62778699999999998</v>
      </c>
      <c r="G603" s="5">
        <v>1.96384</v>
      </c>
      <c r="H603" s="5">
        <v>1.64533</v>
      </c>
      <c r="I603" s="5">
        <v>1</v>
      </c>
      <c r="L603" s="2" t="s">
        <v>950</v>
      </c>
      <c r="M603" s="2">
        <v>1.34127</v>
      </c>
    </row>
    <row r="604" spans="1:13" x14ac:dyDescent="0.2">
      <c r="A604" s="5" t="s">
        <v>927</v>
      </c>
      <c r="B604" s="5" t="s">
        <v>3015</v>
      </c>
      <c r="C604" s="5" t="s">
        <v>2275</v>
      </c>
      <c r="D604" s="5" t="s">
        <v>1836</v>
      </c>
      <c r="E604" s="5" t="s">
        <v>1837</v>
      </c>
      <c r="F604" s="5">
        <v>1.7856099999999999</v>
      </c>
      <c r="G604" s="5">
        <v>3.6374900000000001</v>
      </c>
      <c r="H604" s="5">
        <v>1.0265299999999999</v>
      </c>
      <c r="I604" s="5">
        <v>1</v>
      </c>
      <c r="L604" s="2" t="s">
        <v>951</v>
      </c>
      <c r="M604" s="2">
        <v>1.1122300000000001</v>
      </c>
    </row>
    <row r="605" spans="1:13" x14ac:dyDescent="0.2">
      <c r="A605" s="5" t="s">
        <v>928</v>
      </c>
      <c r="B605" s="5" t="s">
        <v>3015</v>
      </c>
      <c r="C605" s="5" t="s">
        <v>2276</v>
      </c>
      <c r="D605" s="5" t="s">
        <v>1836</v>
      </c>
      <c r="E605" s="5" t="s">
        <v>1837</v>
      </c>
      <c r="F605" s="5">
        <v>4.6582400000000002</v>
      </c>
      <c r="G605" s="5">
        <v>2.2400500000000001</v>
      </c>
      <c r="H605" s="5">
        <v>-1.0562499999999999</v>
      </c>
      <c r="I605" s="5">
        <v>1</v>
      </c>
      <c r="L605" s="2" t="s">
        <v>953</v>
      </c>
      <c r="M605" s="2">
        <v>-1.6488100000000001</v>
      </c>
    </row>
    <row r="606" spans="1:13" x14ac:dyDescent="0.2">
      <c r="A606" s="5" t="s">
        <v>929</v>
      </c>
      <c r="B606" s="5" t="s">
        <v>3047</v>
      </c>
      <c r="C606" s="5" t="s">
        <v>2277</v>
      </c>
      <c r="D606" s="5" t="s">
        <v>1836</v>
      </c>
      <c r="E606" s="5" t="s">
        <v>1837</v>
      </c>
      <c r="F606" s="5">
        <v>8.9835600000000007</v>
      </c>
      <c r="G606" s="5">
        <v>2.0699399999999999</v>
      </c>
      <c r="H606" s="5">
        <v>-2.1177000000000001</v>
      </c>
      <c r="I606" s="5">
        <v>1</v>
      </c>
      <c r="L606" s="2" t="s">
        <v>956</v>
      </c>
      <c r="M606" s="2">
        <v>-1.1484799999999999</v>
      </c>
    </row>
    <row r="607" spans="1:13" x14ac:dyDescent="0.2">
      <c r="A607" s="5" t="s">
        <v>930</v>
      </c>
      <c r="B607" s="5" t="s">
        <v>3100</v>
      </c>
      <c r="C607" s="5" t="s">
        <v>2278</v>
      </c>
      <c r="D607" s="5" t="s">
        <v>1836</v>
      </c>
      <c r="E607" s="5" t="s">
        <v>1837</v>
      </c>
      <c r="F607" s="5">
        <v>7.7362399999999996</v>
      </c>
      <c r="G607" s="5">
        <v>1.27054</v>
      </c>
      <c r="H607" s="5">
        <v>-2.6061899999999998</v>
      </c>
      <c r="I607" s="5">
        <v>1</v>
      </c>
      <c r="L607" s="2" t="s">
        <v>957</v>
      </c>
      <c r="M607" s="2">
        <v>-1.09294</v>
      </c>
    </row>
    <row r="608" spans="1:13" x14ac:dyDescent="0.2">
      <c r="A608" s="5" t="s">
        <v>931</v>
      </c>
      <c r="B608" s="5" t="s">
        <v>3241</v>
      </c>
      <c r="C608" s="5" t="s">
        <v>2279</v>
      </c>
      <c r="D608" s="5" t="s">
        <v>1836</v>
      </c>
      <c r="E608" s="5" t="s">
        <v>1837</v>
      </c>
      <c r="F608" s="5">
        <v>10.908799999999999</v>
      </c>
      <c r="G608" s="5">
        <v>3.3734899999999999</v>
      </c>
      <c r="H608" s="5">
        <v>-1.6931799999999999</v>
      </c>
      <c r="I608" s="5">
        <v>1</v>
      </c>
      <c r="L608" s="2" t="s">
        <v>959</v>
      </c>
      <c r="M608" s="2">
        <v>-1.36802</v>
      </c>
    </row>
    <row r="609" spans="1:13" x14ac:dyDescent="0.2">
      <c r="A609" s="5" t="s">
        <v>933</v>
      </c>
      <c r="B609" s="5" t="s">
        <v>3015</v>
      </c>
      <c r="C609" s="5" t="s">
        <v>3015</v>
      </c>
      <c r="D609" s="5" t="s">
        <v>1836</v>
      </c>
      <c r="E609" s="5" t="s">
        <v>1837</v>
      </c>
      <c r="F609" s="5">
        <v>0</v>
      </c>
      <c r="G609" s="5">
        <v>21.439699999999998</v>
      </c>
      <c r="H609" s="5" t="s">
        <v>3021</v>
      </c>
      <c r="I609" s="5" t="s">
        <v>3021</v>
      </c>
      <c r="L609" s="2" t="s">
        <v>960</v>
      </c>
      <c r="M609" s="2">
        <v>-1.72617</v>
      </c>
    </row>
    <row r="610" spans="1:13" x14ac:dyDescent="0.2">
      <c r="A610" s="5" t="s">
        <v>935</v>
      </c>
      <c r="B610" s="5" t="s">
        <v>3015</v>
      </c>
      <c r="C610" s="5" t="s">
        <v>1862</v>
      </c>
      <c r="D610" s="5" t="s">
        <v>1836</v>
      </c>
      <c r="E610" s="5" t="s">
        <v>1837</v>
      </c>
      <c r="F610" s="5">
        <v>21.536100000000001</v>
      </c>
      <c r="G610" s="5">
        <v>10.6874</v>
      </c>
      <c r="H610" s="5">
        <v>-1.01085</v>
      </c>
      <c r="I610" s="5">
        <v>1</v>
      </c>
      <c r="L610" s="2" t="s">
        <v>961</v>
      </c>
      <c r="M610" s="2">
        <v>-1.9486699999999999</v>
      </c>
    </row>
    <row r="611" spans="1:13" x14ac:dyDescent="0.2">
      <c r="A611" s="5" t="s">
        <v>937</v>
      </c>
      <c r="B611" s="5" t="s">
        <v>3137</v>
      </c>
      <c r="C611" s="5" t="s">
        <v>2280</v>
      </c>
      <c r="D611" s="5" t="s">
        <v>1836</v>
      </c>
      <c r="E611" s="5" t="s">
        <v>1837</v>
      </c>
      <c r="F611" s="5">
        <v>52.618499999999997</v>
      </c>
      <c r="G611" s="5">
        <v>25.751999999999999</v>
      </c>
      <c r="H611" s="5">
        <v>-1.03088</v>
      </c>
      <c r="I611" s="5">
        <v>1</v>
      </c>
      <c r="L611" s="2" t="s">
        <v>963</v>
      </c>
      <c r="M611" s="2">
        <v>1.2501500000000001</v>
      </c>
    </row>
    <row r="612" spans="1:13" x14ac:dyDescent="0.2">
      <c r="A612" s="5" t="s">
        <v>938</v>
      </c>
      <c r="B612" s="5" t="s">
        <v>3015</v>
      </c>
      <c r="C612" s="5" t="s">
        <v>2281</v>
      </c>
      <c r="D612" s="5" t="s">
        <v>1836</v>
      </c>
      <c r="E612" s="5" t="s">
        <v>1837</v>
      </c>
      <c r="F612" s="5">
        <v>5.0083200000000003</v>
      </c>
      <c r="G612" s="5">
        <v>10.350300000000001</v>
      </c>
      <c r="H612" s="5">
        <v>1.04728</v>
      </c>
      <c r="I612" s="5">
        <v>1</v>
      </c>
      <c r="L612" s="2" t="s">
        <v>964</v>
      </c>
      <c r="M612" s="2">
        <v>-1.0449900000000001</v>
      </c>
    </row>
    <row r="613" spans="1:13" x14ac:dyDescent="0.2">
      <c r="A613" s="5" t="s">
        <v>940</v>
      </c>
      <c r="B613" s="5" t="s">
        <v>3242</v>
      </c>
      <c r="C613" s="5" t="s">
        <v>2282</v>
      </c>
      <c r="D613" s="5" t="s">
        <v>1836</v>
      </c>
      <c r="E613" s="5" t="s">
        <v>1837</v>
      </c>
      <c r="F613" s="5">
        <v>2.2209599999999998</v>
      </c>
      <c r="G613" s="5">
        <v>6.9764499999999998</v>
      </c>
      <c r="H613" s="5">
        <v>1.6513100000000001</v>
      </c>
      <c r="I613" s="5">
        <v>1</v>
      </c>
      <c r="L613" s="2" t="s">
        <v>965</v>
      </c>
      <c r="M613" s="2">
        <v>-1.07843</v>
      </c>
    </row>
    <row r="614" spans="1:13" x14ac:dyDescent="0.2">
      <c r="A614" s="5" t="s">
        <v>941</v>
      </c>
      <c r="B614" s="5" t="s">
        <v>3015</v>
      </c>
      <c r="C614" s="5" t="s">
        <v>2283</v>
      </c>
      <c r="D614" s="5" t="s">
        <v>1836</v>
      </c>
      <c r="E614" s="5" t="s">
        <v>1837</v>
      </c>
      <c r="F614" s="5">
        <v>2.1166999999999998</v>
      </c>
      <c r="G614" s="5">
        <v>6.1545500000000004</v>
      </c>
      <c r="H614" s="5">
        <v>1.5398400000000001</v>
      </c>
      <c r="I614" s="5">
        <v>1</v>
      </c>
      <c r="L614" s="2" t="s">
        <v>968</v>
      </c>
      <c r="M614" s="2">
        <v>-1.2615000000000001</v>
      </c>
    </row>
    <row r="615" spans="1:13" x14ac:dyDescent="0.2">
      <c r="A615" s="5" t="s">
        <v>942</v>
      </c>
      <c r="B615" s="5" t="s">
        <v>3243</v>
      </c>
      <c r="C615" s="5" t="s">
        <v>1847</v>
      </c>
      <c r="D615" s="5" t="s">
        <v>1836</v>
      </c>
      <c r="E615" s="5" t="s">
        <v>1837</v>
      </c>
      <c r="F615" s="5">
        <v>8.2205399999999997</v>
      </c>
      <c r="G615" s="5">
        <v>3.7814700000000001</v>
      </c>
      <c r="H615" s="5">
        <v>-1.1202799999999999</v>
      </c>
      <c r="I615" s="5">
        <v>1</v>
      </c>
      <c r="L615" s="2" t="s">
        <v>969</v>
      </c>
      <c r="M615" s="2">
        <v>1.01657</v>
      </c>
    </row>
    <row r="616" spans="1:13" x14ac:dyDescent="0.2">
      <c r="A616" s="5" t="s">
        <v>943</v>
      </c>
      <c r="B616" s="5" t="s">
        <v>3058</v>
      </c>
      <c r="C616" s="5" t="s">
        <v>2018</v>
      </c>
      <c r="D616" s="5" t="s">
        <v>1836</v>
      </c>
      <c r="E616" s="5" t="s">
        <v>1837</v>
      </c>
      <c r="F616" s="5">
        <v>7.7013999999999996</v>
      </c>
      <c r="G616" s="5">
        <v>2.4658000000000002</v>
      </c>
      <c r="H616" s="5">
        <v>-1.64307</v>
      </c>
      <c r="I616" s="5">
        <v>1</v>
      </c>
      <c r="L616" s="2" t="s">
        <v>970</v>
      </c>
      <c r="M616" s="2">
        <v>1.15473</v>
      </c>
    </row>
    <row r="617" spans="1:13" x14ac:dyDescent="0.2">
      <c r="A617" s="5" t="s">
        <v>945</v>
      </c>
      <c r="B617" s="5" t="s">
        <v>3244</v>
      </c>
      <c r="C617" s="5" t="s">
        <v>2284</v>
      </c>
      <c r="D617" s="5" t="s">
        <v>1836</v>
      </c>
      <c r="E617" s="5" t="s">
        <v>1837</v>
      </c>
      <c r="F617" s="5">
        <v>119.562</v>
      </c>
      <c r="G617" s="5">
        <v>57.1126</v>
      </c>
      <c r="H617" s="5">
        <v>-1.0658700000000001</v>
      </c>
      <c r="I617" s="5">
        <v>1</v>
      </c>
      <c r="L617" s="2" t="s">
        <v>971</v>
      </c>
      <c r="M617" s="2">
        <v>-1.0427200000000001</v>
      </c>
    </row>
    <row r="618" spans="1:13" x14ac:dyDescent="0.2">
      <c r="A618" s="5" t="s">
        <v>946</v>
      </c>
      <c r="B618" s="5" t="s">
        <v>3066</v>
      </c>
      <c r="C618" s="5" t="s">
        <v>2285</v>
      </c>
      <c r="D618" s="5" t="s">
        <v>1836</v>
      </c>
      <c r="E618" s="5" t="s">
        <v>1837</v>
      </c>
      <c r="F618" s="5">
        <v>10.387</v>
      </c>
      <c r="G618" s="5">
        <v>4.9237399999999996</v>
      </c>
      <c r="H618" s="5">
        <v>-1.0769599999999999</v>
      </c>
      <c r="I618" s="5">
        <v>1</v>
      </c>
      <c r="L618" s="2" t="s">
        <v>972</v>
      </c>
      <c r="M618" s="2">
        <v>1.43648</v>
      </c>
    </row>
    <row r="619" spans="1:13" x14ac:dyDescent="0.2">
      <c r="A619" s="5" t="s">
        <v>947</v>
      </c>
      <c r="B619" s="5" t="s">
        <v>3015</v>
      </c>
      <c r="C619" s="5" t="s">
        <v>3015</v>
      </c>
      <c r="D619" s="5" t="s">
        <v>1836</v>
      </c>
      <c r="E619" s="5" t="s">
        <v>1837</v>
      </c>
      <c r="F619" s="5">
        <v>3.89195</v>
      </c>
      <c r="G619" s="5">
        <v>8.3810099999999998</v>
      </c>
      <c r="H619" s="5">
        <v>1.10663</v>
      </c>
      <c r="I619" s="5">
        <v>1</v>
      </c>
      <c r="L619" s="2" t="s">
        <v>973</v>
      </c>
      <c r="M619" s="2">
        <v>-1.11496</v>
      </c>
    </row>
    <row r="620" spans="1:13" x14ac:dyDescent="0.2">
      <c r="A620" s="5" t="s">
        <v>948</v>
      </c>
      <c r="B620" s="5" t="s">
        <v>3155</v>
      </c>
      <c r="C620" s="5" t="s">
        <v>2286</v>
      </c>
      <c r="D620" s="5" t="s">
        <v>1836</v>
      </c>
      <c r="E620" s="5" t="s">
        <v>1837</v>
      </c>
      <c r="F620" s="5">
        <v>1.17944</v>
      </c>
      <c r="G620" s="5">
        <v>0.49148999999999998</v>
      </c>
      <c r="H620" s="5">
        <v>-1.2628699999999999</v>
      </c>
      <c r="I620" s="5">
        <v>1</v>
      </c>
      <c r="L620" s="2" t="s">
        <v>974</v>
      </c>
      <c r="M620" s="2">
        <v>-1.0977699999999999</v>
      </c>
    </row>
    <row r="621" spans="1:13" x14ac:dyDescent="0.2">
      <c r="A621" s="5" t="s">
        <v>950</v>
      </c>
      <c r="B621" s="5" t="s">
        <v>3015</v>
      </c>
      <c r="C621" s="5" t="s">
        <v>2287</v>
      </c>
      <c r="D621" s="5" t="s">
        <v>1836</v>
      </c>
      <c r="E621" s="5" t="s">
        <v>1837</v>
      </c>
      <c r="F621" s="5">
        <v>1.04511</v>
      </c>
      <c r="G621" s="5">
        <v>2.6480399999999999</v>
      </c>
      <c r="H621" s="5">
        <v>1.34127</v>
      </c>
      <c r="I621" s="5">
        <v>1</v>
      </c>
      <c r="L621" s="2" t="s">
        <v>975</v>
      </c>
      <c r="M621" s="2">
        <v>-1.1052999999999999</v>
      </c>
    </row>
    <row r="622" spans="1:13" x14ac:dyDescent="0.2">
      <c r="A622" s="5" t="s">
        <v>951</v>
      </c>
      <c r="B622" s="5" t="s">
        <v>3245</v>
      </c>
      <c r="C622" s="5" t="s">
        <v>1847</v>
      </c>
      <c r="D622" s="5" t="s">
        <v>1836</v>
      </c>
      <c r="E622" s="5" t="s">
        <v>1837</v>
      </c>
      <c r="F622" s="5">
        <v>27.053000000000001</v>
      </c>
      <c r="G622" s="5">
        <v>58.483199999999997</v>
      </c>
      <c r="H622" s="5">
        <v>1.1122300000000001</v>
      </c>
      <c r="I622" s="5">
        <v>1</v>
      </c>
      <c r="L622" s="2" t="s">
        <v>977</v>
      </c>
      <c r="M622" s="2">
        <v>-1.4030100000000001</v>
      </c>
    </row>
    <row r="623" spans="1:13" x14ac:dyDescent="0.2">
      <c r="A623" s="5" t="s">
        <v>953</v>
      </c>
      <c r="B623" s="5" t="s">
        <v>3015</v>
      </c>
      <c r="C623" s="5" t="s">
        <v>2288</v>
      </c>
      <c r="D623" s="5" t="s">
        <v>1836</v>
      </c>
      <c r="E623" s="5" t="s">
        <v>1837</v>
      </c>
      <c r="F623" s="5">
        <v>3.8626299999999998</v>
      </c>
      <c r="G623" s="5">
        <v>1.2318</v>
      </c>
      <c r="H623" s="5">
        <v>-1.6488100000000001</v>
      </c>
      <c r="I623" s="5">
        <v>1</v>
      </c>
      <c r="L623" s="2" t="s">
        <v>979</v>
      </c>
      <c r="M623" s="2">
        <v>1.5501499999999999</v>
      </c>
    </row>
    <row r="624" spans="1:13" x14ac:dyDescent="0.2">
      <c r="A624" s="5" t="s">
        <v>954</v>
      </c>
      <c r="B624" s="5" t="s">
        <v>3015</v>
      </c>
      <c r="C624" s="5" t="s">
        <v>3015</v>
      </c>
      <c r="D624" s="5" t="s">
        <v>1836</v>
      </c>
      <c r="E624" s="5" t="s">
        <v>1837</v>
      </c>
      <c r="F624" s="5">
        <v>0</v>
      </c>
      <c r="G624" s="5">
        <v>8.3925999999999998</v>
      </c>
      <c r="H624" s="5" t="s">
        <v>3021</v>
      </c>
      <c r="I624" s="5" t="s">
        <v>3021</v>
      </c>
      <c r="L624" s="2" t="s">
        <v>980</v>
      </c>
      <c r="M624" s="2">
        <v>1.43161</v>
      </c>
    </row>
    <row r="625" spans="1:13" x14ac:dyDescent="0.2">
      <c r="A625" s="5" t="s">
        <v>955</v>
      </c>
      <c r="B625" s="5" t="s">
        <v>3015</v>
      </c>
      <c r="C625" s="5" t="s">
        <v>2289</v>
      </c>
      <c r="D625" s="5" t="s">
        <v>1836</v>
      </c>
      <c r="E625" s="5" t="s">
        <v>1837</v>
      </c>
      <c r="F625" s="5">
        <v>0</v>
      </c>
      <c r="G625" s="5">
        <v>6.3032000000000004</v>
      </c>
      <c r="H625" s="5" t="s">
        <v>3021</v>
      </c>
      <c r="I625" s="5" t="s">
        <v>3021</v>
      </c>
      <c r="L625" s="2" t="s">
        <v>983</v>
      </c>
      <c r="M625" s="2">
        <v>1.1873</v>
      </c>
    </row>
    <row r="626" spans="1:13" x14ac:dyDescent="0.2">
      <c r="A626" s="5" t="s">
        <v>956</v>
      </c>
      <c r="B626" s="5" t="s">
        <v>3062</v>
      </c>
      <c r="C626" s="5" t="s">
        <v>2290</v>
      </c>
      <c r="D626" s="5" t="s">
        <v>1836</v>
      </c>
      <c r="E626" s="5" t="s">
        <v>1837</v>
      </c>
      <c r="F626" s="5">
        <v>4.8975200000000001</v>
      </c>
      <c r="G626" s="5">
        <v>2.2092700000000001</v>
      </c>
      <c r="H626" s="5">
        <v>-1.1484799999999999</v>
      </c>
      <c r="I626" s="5">
        <v>1</v>
      </c>
      <c r="L626" s="2" t="s">
        <v>984</v>
      </c>
      <c r="M626" s="2">
        <v>1.40554</v>
      </c>
    </row>
    <row r="627" spans="1:13" x14ac:dyDescent="0.2">
      <c r="A627" s="5" t="s">
        <v>957</v>
      </c>
      <c r="B627" s="5" t="s">
        <v>3246</v>
      </c>
      <c r="C627" s="5" t="s">
        <v>2291</v>
      </c>
      <c r="D627" s="5" t="s">
        <v>1836</v>
      </c>
      <c r="E627" s="5" t="s">
        <v>1837</v>
      </c>
      <c r="F627" s="5">
        <v>6.0737199999999998</v>
      </c>
      <c r="G627" s="5">
        <v>2.8473999999999999</v>
      </c>
      <c r="H627" s="5">
        <v>-1.09294</v>
      </c>
      <c r="I627" s="5">
        <v>1</v>
      </c>
      <c r="L627" s="2" t="s">
        <v>986</v>
      </c>
      <c r="M627" s="2">
        <v>1.3119700000000001</v>
      </c>
    </row>
    <row r="628" spans="1:13" x14ac:dyDescent="0.2">
      <c r="A628" s="5" t="s">
        <v>959</v>
      </c>
      <c r="B628" s="5" t="s">
        <v>3047</v>
      </c>
      <c r="C628" s="5" t="s">
        <v>2292</v>
      </c>
      <c r="D628" s="5" t="s">
        <v>1836</v>
      </c>
      <c r="E628" s="5" t="s">
        <v>1837</v>
      </c>
      <c r="F628" s="5">
        <v>0.86680699999999999</v>
      </c>
      <c r="G628" s="5">
        <v>0.33582099999999998</v>
      </c>
      <c r="H628" s="5">
        <v>-1.36802</v>
      </c>
      <c r="I628" s="5">
        <v>1</v>
      </c>
      <c r="L628" s="2" t="s">
        <v>988</v>
      </c>
      <c r="M628" s="2">
        <v>-1.7516499999999999</v>
      </c>
    </row>
    <row r="629" spans="1:13" x14ac:dyDescent="0.2">
      <c r="A629" s="5" t="s">
        <v>960</v>
      </c>
      <c r="B629" s="5" t="s">
        <v>3038</v>
      </c>
      <c r="C629" s="5" t="s">
        <v>2293</v>
      </c>
      <c r="D629" s="5" t="s">
        <v>1836</v>
      </c>
      <c r="E629" s="5" t="s">
        <v>1837</v>
      </c>
      <c r="F629" s="5">
        <v>12.0421</v>
      </c>
      <c r="G629" s="5">
        <v>3.6397599999999999</v>
      </c>
      <c r="H629" s="5">
        <v>-1.72617</v>
      </c>
      <c r="I629" s="5">
        <v>1</v>
      </c>
      <c r="L629" s="2" t="s">
        <v>989</v>
      </c>
      <c r="M629" s="2">
        <v>-1.3727400000000001</v>
      </c>
    </row>
    <row r="630" spans="1:13" x14ac:dyDescent="0.2">
      <c r="A630" s="5" t="s">
        <v>961</v>
      </c>
      <c r="B630" s="5" t="s">
        <v>3247</v>
      </c>
      <c r="C630" s="5" t="s">
        <v>2294</v>
      </c>
      <c r="D630" s="5" t="s">
        <v>1836</v>
      </c>
      <c r="E630" s="5" t="s">
        <v>1837</v>
      </c>
      <c r="F630" s="5">
        <v>39.926600000000001</v>
      </c>
      <c r="G630" s="5">
        <v>10.3432</v>
      </c>
      <c r="H630" s="5">
        <v>-1.9486699999999999</v>
      </c>
      <c r="I630" s="5">
        <v>1</v>
      </c>
      <c r="L630" s="2" t="s">
        <v>990</v>
      </c>
      <c r="M630" s="2">
        <v>-1.30314</v>
      </c>
    </row>
    <row r="631" spans="1:13" x14ac:dyDescent="0.2">
      <c r="A631" s="5" t="s">
        <v>963</v>
      </c>
      <c r="B631" s="5" t="s">
        <v>3248</v>
      </c>
      <c r="C631" s="5" t="s">
        <v>2295</v>
      </c>
      <c r="D631" s="5" t="s">
        <v>1836</v>
      </c>
      <c r="E631" s="5" t="s">
        <v>1837</v>
      </c>
      <c r="F631" s="5">
        <v>1.6263799999999999</v>
      </c>
      <c r="G631" s="5">
        <v>3.8686199999999999</v>
      </c>
      <c r="H631" s="5">
        <v>1.2501500000000001</v>
      </c>
      <c r="I631" s="5">
        <v>1</v>
      </c>
      <c r="L631" s="2" t="s">
        <v>991</v>
      </c>
      <c r="M631" s="2">
        <v>1.8239099999999999</v>
      </c>
    </row>
    <row r="632" spans="1:13" x14ac:dyDescent="0.2">
      <c r="A632" s="5" t="s">
        <v>964</v>
      </c>
      <c r="B632" s="5" t="s">
        <v>3015</v>
      </c>
      <c r="C632" s="5" t="s">
        <v>2296</v>
      </c>
      <c r="D632" s="5" t="s">
        <v>1836</v>
      </c>
      <c r="E632" s="5" t="s">
        <v>1837</v>
      </c>
      <c r="F632" s="5">
        <v>14.9857</v>
      </c>
      <c r="G632" s="5">
        <v>7.26281</v>
      </c>
      <c r="H632" s="5">
        <v>-1.0449900000000001</v>
      </c>
      <c r="I632" s="5">
        <v>1</v>
      </c>
      <c r="L632" s="2" t="s">
        <v>994</v>
      </c>
      <c r="M632" s="2">
        <v>2.0247000000000002</v>
      </c>
    </row>
    <row r="633" spans="1:13" x14ac:dyDescent="0.2">
      <c r="A633" s="5" t="s">
        <v>965</v>
      </c>
      <c r="B633" s="5" t="s">
        <v>3200</v>
      </c>
      <c r="C633" s="5" t="s">
        <v>2297</v>
      </c>
      <c r="D633" s="5" t="s">
        <v>1836</v>
      </c>
      <c r="E633" s="5" t="s">
        <v>1837</v>
      </c>
      <c r="F633" s="5">
        <v>2.6083400000000001</v>
      </c>
      <c r="G633" s="5">
        <v>1.2351700000000001</v>
      </c>
      <c r="H633" s="5">
        <v>-1.07843</v>
      </c>
      <c r="I633" s="5">
        <v>1</v>
      </c>
      <c r="L633" s="2" t="s">
        <v>995</v>
      </c>
      <c r="M633" s="2">
        <v>-1.14984</v>
      </c>
    </row>
    <row r="634" spans="1:13" x14ac:dyDescent="0.2">
      <c r="A634" s="5" t="s">
        <v>966</v>
      </c>
      <c r="B634" s="5" t="s">
        <v>3249</v>
      </c>
      <c r="C634" s="5" t="s">
        <v>2298</v>
      </c>
      <c r="D634" s="5" t="s">
        <v>1836</v>
      </c>
      <c r="E634" s="5" t="s">
        <v>1837</v>
      </c>
      <c r="F634" s="5">
        <v>0</v>
      </c>
      <c r="G634" s="5">
        <v>7.9010400000000001</v>
      </c>
      <c r="H634" s="5" t="s">
        <v>3021</v>
      </c>
      <c r="I634" s="5" t="s">
        <v>3021</v>
      </c>
      <c r="L634" s="2" t="s">
        <v>997</v>
      </c>
      <c r="M634" s="2">
        <v>-1.88209</v>
      </c>
    </row>
    <row r="635" spans="1:13" x14ac:dyDescent="0.2">
      <c r="A635" s="5" t="s">
        <v>968</v>
      </c>
      <c r="B635" s="5" t="s">
        <v>3015</v>
      </c>
      <c r="C635" s="5" t="s">
        <v>2299</v>
      </c>
      <c r="D635" s="5" t="s">
        <v>1836</v>
      </c>
      <c r="E635" s="5" t="s">
        <v>1837</v>
      </c>
      <c r="F635" s="5">
        <v>0.93010700000000002</v>
      </c>
      <c r="G635" s="5">
        <v>0.387957</v>
      </c>
      <c r="H635" s="5">
        <v>-1.2615000000000001</v>
      </c>
      <c r="I635" s="5">
        <v>1</v>
      </c>
      <c r="L635" s="2" t="s">
        <v>1000</v>
      </c>
      <c r="M635" s="2">
        <v>-1.2271000000000001</v>
      </c>
    </row>
    <row r="636" spans="1:13" x14ac:dyDescent="0.2">
      <c r="A636" s="5" t="s">
        <v>969</v>
      </c>
      <c r="B636" s="5" t="s">
        <v>3250</v>
      </c>
      <c r="C636" s="5" t="s">
        <v>2300</v>
      </c>
      <c r="D636" s="5" t="s">
        <v>1836</v>
      </c>
      <c r="E636" s="5" t="s">
        <v>1837</v>
      </c>
      <c r="F636" s="5">
        <v>1.84158</v>
      </c>
      <c r="G636" s="5">
        <v>3.7256999999999998</v>
      </c>
      <c r="H636" s="5">
        <v>1.01657</v>
      </c>
      <c r="I636" s="5">
        <v>1</v>
      </c>
      <c r="L636" s="2" t="s">
        <v>1001</v>
      </c>
      <c r="M636" s="2">
        <v>-1.3434200000000001</v>
      </c>
    </row>
    <row r="637" spans="1:13" x14ac:dyDescent="0.2">
      <c r="A637" s="5" t="s">
        <v>970</v>
      </c>
      <c r="B637" s="5" t="s">
        <v>3180</v>
      </c>
      <c r="C637" s="5" t="s">
        <v>2301</v>
      </c>
      <c r="D637" s="5" t="s">
        <v>1836</v>
      </c>
      <c r="E637" s="5" t="s">
        <v>1837</v>
      </c>
      <c r="F637" s="5">
        <v>0.46845700000000001</v>
      </c>
      <c r="G637" s="5">
        <v>1.0429900000000001</v>
      </c>
      <c r="H637" s="5">
        <v>1.15473</v>
      </c>
      <c r="I637" s="5">
        <v>1</v>
      </c>
      <c r="L637" s="2" t="s">
        <v>1002</v>
      </c>
      <c r="M637" s="2">
        <v>-1.4377200000000001</v>
      </c>
    </row>
    <row r="638" spans="1:13" x14ac:dyDescent="0.2">
      <c r="A638" s="5" t="s">
        <v>971</v>
      </c>
      <c r="B638" s="5" t="s">
        <v>3251</v>
      </c>
      <c r="C638" s="5" t="s">
        <v>2302</v>
      </c>
      <c r="D638" s="5" t="s">
        <v>1836</v>
      </c>
      <c r="E638" s="5" t="s">
        <v>1837</v>
      </c>
      <c r="F638" s="5">
        <v>2.74838</v>
      </c>
      <c r="G638" s="5">
        <v>1.3341000000000001</v>
      </c>
      <c r="H638" s="5">
        <v>-1.0427200000000001</v>
      </c>
      <c r="I638" s="5">
        <v>1</v>
      </c>
      <c r="L638" s="2" t="s">
        <v>1003</v>
      </c>
      <c r="M638" s="2">
        <v>1.22668</v>
      </c>
    </row>
    <row r="639" spans="1:13" x14ac:dyDescent="0.2">
      <c r="A639" s="5" t="s">
        <v>972</v>
      </c>
      <c r="B639" s="5" t="s">
        <v>3030</v>
      </c>
      <c r="C639" s="5" t="s">
        <v>3015</v>
      </c>
      <c r="D639" s="5" t="s">
        <v>1836</v>
      </c>
      <c r="E639" s="5" t="s">
        <v>1837</v>
      </c>
      <c r="F639" s="5">
        <v>38.310400000000001</v>
      </c>
      <c r="G639" s="5">
        <v>103.691</v>
      </c>
      <c r="H639" s="5">
        <v>1.43648</v>
      </c>
      <c r="I639" s="5">
        <v>1</v>
      </c>
      <c r="L639" s="2" t="s">
        <v>1004</v>
      </c>
      <c r="M639" s="2">
        <v>2.0083000000000002</v>
      </c>
    </row>
    <row r="640" spans="1:13" x14ac:dyDescent="0.2">
      <c r="A640" s="5" t="s">
        <v>973</v>
      </c>
      <c r="B640" s="5" t="s">
        <v>3103</v>
      </c>
      <c r="C640" s="5" t="s">
        <v>2303</v>
      </c>
      <c r="D640" s="5" t="s">
        <v>1836</v>
      </c>
      <c r="E640" s="5" t="s">
        <v>1837</v>
      </c>
      <c r="F640" s="5">
        <v>13.4747</v>
      </c>
      <c r="G640" s="5">
        <v>6.2213000000000003</v>
      </c>
      <c r="H640" s="5">
        <v>-1.11496</v>
      </c>
      <c r="I640" s="5">
        <v>1</v>
      </c>
      <c r="L640" s="2" t="s">
        <v>1005</v>
      </c>
      <c r="M640" s="2">
        <v>1.06684</v>
      </c>
    </row>
    <row r="641" spans="1:13" x14ac:dyDescent="0.2">
      <c r="A641" s="5" t="s">
        <v>974</v>
      </c>
      <c r="B641" s="5" t="s">
        <v>3094</v>
      </c>
      <c r="C641" s="5" t="s">
        <v>2304</v>
      </c>
      <c r="D641" s="5" t="s">
        <v>1836</v>
      </c>
      <c r="E641" s="5" t="s">
        <v>1837</v>
      </c>
      <c r="F641" s="5">
        <v>2.1364700000000001</v>
      </c>
      <c r="G641" s="5">
        <v>0.99824199999999996</v>
      </c>
      <c r="H641" s="5">
        <v>-1.0977699999999999</v>
      </c>
      <c r="I641" s="5">
        <v>1</v>
      </c>
      <c r="L641" s="2" t="s">
        <v>1008</v>
      </c>
      <c r="M641" s="2">
        <v>-1.3427899999999999</v>
      </c>
    </row>
    <row r="642" spans="1:13" x14ac:dyDescent="0.2">
      <c r="A642" s="5" t="s">
        <v>975</v>
      </c>
      <c r="B642" s="5" t="s">
        <v>3015</v>
      </c>
      <c r="C642" s="5" t="s">
        <v>2305</v>
      </c>
      <c r="D642" s="5" t="s">
        <v>1836</v>
      </c>
      <c r="E642" s="5" t="s">
        <v>1837</v>
      </c>
      <c r="F642" s="5">
        <v>1.0489200000000001</v>
      </c>
      <c r="G642" s="5">
        <v>0.48754799999999998</v>
      </c>
      <c r="H642" s="5">
        <v>-1.1052999999999999</v>
      </c>
      <c r="I642" s="5">
        <v>1</v>
      </c>
      <c r="L642" s="2" t="s">
        <v>1009</v>
      </c>
      <c r="M642" s="2">
        <v>1.14079</v>
      </c>
    </row>
    <row r="643" spans="1:13" x14ac:dyDescent="0.2">
      <c r="A643" s="5" t="s">
        <v>977</v>
      </c>
      <c r="B643" s="5" t="s">
        <v>3058</v>
      </c>
      <c r="C643" s="5" t="s">
        <v>2018</v>
      </c>
      <c r="D643" s="5" t="s">
        <v>1836</v>
      </c>
      <c r="E643" s="5" t="s">
        <v>1837</v>
      </c>
      <c r="F643" s="5">
        <v>16.8019</v>
      </c>
      <c r="G643" s="5">
        <v>6.35344</v>
      </c>
      <c r="H643" s="5">
        <v>-1.4030100000000001</v>
      </c>
      <c r="I643" s="5">
        <v>1</v>
      </c>
      <c r="L643" s="2" t="s">
        <v>1010</v>
      </c>
      <c r="M643" s="2">
        <v>-1.58439</v>
      </c>
    </row>
    <row r="644" spans="1:13" x14ac:dyDescent="0.2">
      <c r="A644" s="5" t="s">
        <v>979</v>
      </c>
      <c r="B644" s="5" t="s">
        <v>3015</v>
      </c>
      <c r="C644" s="5" t="s">
        <v>2306</v>
      </c>
      <c r="D644" s="5" t="s">
        <v>1836</v>
      </c>
      <c r="E644" s="5" t="s">
        <v>1837</v>
      </c>
      <c r="F644" s="5">
        <v>1.58857</v>
      </c>
      <c r="G644" s="5">
        <v>4.6520900000000003</v>
      </c>
      <c r="H644" s="5">
        <v>1.5501499999999999</v>
      </c>
      <c r="I644" s="5">
        <v>1</v>
      </c>
      <c r="L644" s="2" t="s">
        <v>1011</v>
      </c>
      <c r="M644" s="2">
        <v>1.0883</v>
      </c>
    </row>
    <row r="645" spans="1:13" x14ac:dyDescent="0.2">
      <c r="A645" s="5" t="s">
        <v>980</v>
      </c>
      <c r="B645" s="5" t="s">
        <v>3252</v>
      </c>
      <c r="C645" s="5" t="s">
        <v>1881</v>
      </c>
      <c r="D645" s="5" t="s">
        <v>1836</v>
      </c>
      <c r="E645" s="5" t="s">
        <v>1837</v>
      </c>
      <c r="F645" s="5">
        <v>76.205699999999993</v>
      </c>
      <c r="G645" s="5">
        <v>205.56299999999999</v>
      </c>
      <c r="H645" s="5">
        <v>1.43161</v>
      </c>
      <c r="I645" s="5">
        <v>1</v>
      </c>
      <c r="L645" s="2" t="s">
        <v>1012</v>
      </c>
      <c r="M645" s="2">
        <v>-1.04809</v>
      </c>
    </row>
    <row r="646" spans="1:13" x14ac:dyDescent="0.2">
      <c r="A646" s="5" t="s">
        <v>983</v>
      </c>
      <c r="B646" s="5" t="s">
        <v>3090</v>
      </c>
      <c r="C646" s="5" t="s">
        <v>1951</v>
      </c>
      <c r="D646" s="5" t="s">
        <v>1836</v>
      </c>
      <c r="E646" s="5" t="s">
        <v>1837</v>
      </c>
      <c r="F646" s="5">
        <v>3.6309100000000001</v>
      </c>
      <c r="G646" s="5">
        <v>8.2684999999999995</v>
      </c>
      <c r="H646" s="5">
        <v>1.1873</v>
      </c>
      <c r="I646" s="5">
        <v>1</v>
      </c>
      <c r="L646" s="2" t="s">
        <v>1013</v>
      </c>
      <c r="M646" s="2">
        <v>1.6073</v>
      </c>
    </row>
    <row r="647" spans="1:13" x14ac:dyDescent="0.2">
      <c r="A647" s="5" t="s">
        <v>984</v>
      </c>
      <c r="B647" s="5" t="s">
        <v>3253</v>
      </c>
      <c r="C647" s="5" t="s">
        <v>2307</v>
      </c>
      <c r="D647" s="5" t="s">
        <v>1836</v>
      </c>
      <c r="E647" s="5" t="s">
        <v>1837</v>
      </c>
      <c r="F647" s="5">
        <v>13.5283</v>
      </c>
      <c r="G647" s="5">
        <v>35.8386</v>
      </c>
      <c r="H647" s="5">
        <v>1.40554</v>
      </c>
      <c r="I647" s="5">
        <v>1</v>
      </c>
      <c r="L647" s="2" t="s">
        <v>1014</v>
      </c>
      <c r="M647" s="2">
        <v>1.0504800000000001</v>
      </c>
    </row>
    <row r="648" spans="1:13" x14ac:dyDescent="0.2">
      <c r="A648" s="5" t="s">
        <v>985</v>
      </c>
      <c r="B648" s="5" t="s">
        <v>3015</v>
      </c>
      <c r="C648" s="5" t="s">
        <v>2308</v>
      </c>
      <c r="D648" s="5" t="s">
        <v>1836</v>
      </c>
      <c r="E648" s="5" t="s">
        <v>1837</v>
      </c>
      <c r="F648" s="5">
        <v>0</v>
      </c>
      <c r="G648" s="5">
        <v>3.1293799999999998</v>
      </c>
      <c r="H648" s="5" t="s">
        <v>3021</v>
      </c>
      <c r="I648" s="5" t="s">
        <v>3021</v>
      </c>
      <c r="L648" s="2" t="s">
        <v>1015</v>
      </c>
      <c r="M648" s="2">
        <v>1.19689</v>
      </c>
    </row>
    <row r="649" spans="1:13" x14ac:dyDescent="0.2">
      <c r="A649" s="5" t="s">
        <v>986</v>
      </c>
      <c r="B649" s="5" t="s">
        <v>3015</v>
      </c>
      <c r="C649" s="5" t="s">
        <v>1880</v>
      </c>
      <c r="D649" s="5" t="s">
        <v>1836</v>
      </c>
      <c r="E649" s="5" t="s">
        <v>1837</v>
      </c>
      <c r="F649" s="5">
        <v>13.730700000000001</v>
      </c>
      <c r="G649" s="5">
        <v>34.090699999999998</v>
      </c>
      <c r="H649" s="5">
        <v>1.3119700000000001</v>
      </c>
      <c r="I649" s="5">
        <v>1</v>
      </c>
      <c r="L649" s="2" t="s">
        <v>1016</v>
      </c>
      <c r="M649" s="2">
        <v>-1.76129</v>
      </c>
    </row>
    <row r="650" spans="1:13" x14ac:dyDescent="0.2">
      <c r="A650" s="5" t="s">
        <v>988</v>
      </c>
      <c r="B650" s="5" t="s">
        <v>3047</v>
      </c>
      <c r="C650" s="5" t="s">
        <v>2277</v>
      </c>
      <c r="D650" s="5" t="s">
        <v>1836</v>
      </c>
      <c r="E650" s="5" t="s">
        <v>1837</v>
      </c>
      <c r="F650" s="5">
        <v>9.5418099999999999</v>
      </c>
      <c r="G650" s="5">
        <v>2.8335499999999998</v>
      </c>
      <c r="H650" s="5">
        <v>-1.7516499999999999</v>
      </c>
      <c r="I650" s="5">
        <v>1</v>
      </c>
      <c r="L650" s="2" t="s">
        <v>1017</v>
      </c>
      <c r="M650" s="2">
        <v>-1.9333800000000001</v>
      </c>
    </row>
    <row r="651" spans="1:13" x14ac:dyDescent="0.2">
      <c r="A651" s="5" t="s">
        <v>989</v>
      </c>
      <c r="B651" s="5" t="s">
        <v>3015</v>
      </c>
      <c r="C651" s="5" t="s">
        <v>1862</v>
      </c>
      <c r="D651" s="5" t="s">
        <v>1836</v>
      </c>
      <c r="E651" s="5" t="s">
        <v>1837</v>
      </c>
      <c r="F651" s="5">
        <v>22.984300000000001</v>
      </c>
      <c r="G651" s="5">
        <v>8.8755299999999995</v>
      </c>
      <c r="H651" s="5">
        <v>-1.3727400000000001</v>
      </c>
      <c r="I651" s="5">
        <v>1</v>
      </c>
      <c r="L651" s="2" t="s">
        <v>1018</v>
      </c>
      <c r="M651" s="2">
        <v>-1.02206</v>
      </c>
    </row>
    <row r="652" spans="1:13" x14ac:dyDescent="0.2">
      <c r="A652" s="5" t="s">
        <v>990</v>
      </c>
      <c r="B652" s="5" t="s">
        <v>3015</v>
      </c>
      <c r="C652" s="5" t="s">
        <v>2309</v>
      </c>
      <c r="D652" s="5" t="s">
        <v>1836</v>
      </c>
      <c r="E652" s="5" t="s">
        <v>1837</v>
      </c>
      <c r="F652" s="5">
        <v>1.1097600000000001</v>
      </c>
      <c r="G652" s="5">
        <v>0.44972400000000001</v>
      </c>
      <c r="H652" s="5">
        <v>-1.30314</v>
      </c>
      <c r="I652" s="5">
        <v>1</v>
      </c>
      <c r="L652" s="2" t="s">
        <v>1019</v>
      </c>
      <c r="M652" s="2">
        <v>-1.54054</v>
      </c>
    </row>
    <row r="653" spans="1:13" x14ac:dyDescent="0.2">
      <c r="A653" s="5" t="s">
        <v>991</v>
      </c>
      <c r="B653" s="5" t="s">
        <v>3073</v>
      </c>
      <c r="C653" s="5" t="s">
        <v>2310</v>
      </c>
      <c r="D653" s="5" t="s">
        <v>1836</v>
      </c>
      <c r="E653" s="5" t="s">
        <v>1837</v>
      </c>
      <c r="F653" s="5">
        <v>0.46106200000000003</v>
      </c>
      <c r="G653" s="5">
        <v>1.6323399999999999</v>
      </c>
      <c r="H653" s="5">
        <v>1.8239099999999999</v>
      </c>
      <c r="I653" s="5">
        <v>1</v>
      </c>
      <c r="L653" s="2" t="s">
        <v>1020</v>
      </c>
      <c r="M653" s="2">
        <v>-1.02302</v>
      </c>
    </row>
    <row r="654" spans="1:13" x14ac:dyDescent="0.2">
      <c r="A654" s="5" t="s">
        <v>992</v>
      </c>
      <c r="B654" s="5" t="s">
        <v>3015</v>
      </c>
      <c r="C654" s="5" t="s">
        <v>2311</v>
      </c>
      <c r="D654" s="5" t="s">
        <v>1836</v>
      </c>
      <c r="E654" s="5" t="s">
        <v>1837</v>
      </c>
      <c r="F654" s="5">
        <v>0</v>
      </c>
      <c r="G654" s="5">
        <v>10.190300000000001</v>
      </c>
      <c r="H654" s="5" t="s">
        <v>3021</v>
      </c>
      <c r="I654" s="5" t="s">
        <v>3021</v>
      </c>
      <c r="L654" s="2" t="s">
        <v>1021</v>
      </c>
      <c r="M654" s="2">
        <v>-1.4317800000000001</v>
      </c>
    </row>
    <row r="655" spans="1:13" x14ac:dyDescent="0.2">
      <c r="A655" s="5" t="s">
        <v>994</v>
      </c>
      <c r="B655" s="5" t="s">
        <v>3120</v>
      </c>
      <c r="C655" s="5" t="s">
        <v>1862</v>
      </c>
      <c r="D655" s="5" t="s">
        <v>1836</v>
      </c>
      <c r="E655" s="5" t="s">
        <v>1837</v>
      </c>
      <c r="F655" s="5">
        <v>0.535806</v>
      </c>
      <c r="G655" s="5">
        <v>2.1802299999999999</v>
      </c>
      <c r="H655" s="5">
        <v>2.0247000000000002</v>
      </c>
      <c r="I655" s="5">
        <v>1</v>
      </c>
      <c r="L655" s="2" t="s">
        <v>1022</v>
      </c>
      <c r="M655" s="2">
        <v>-2.1299000000000001</v>
      </c>
    </row>
    <row r="656" spans="1:13" x14ac:dyDescent="0.2">
      <c r="A656" s="5" t="s">
        <v>995</v>
      </c>
      <c r="B656" s="5" t="s">
        <v>3206</v>
      </c>
      <c r="C656" s="5" t="s">
        <v>2194</v>
      </c>
      <c r="D656" s="5" t="s">
        <v>1836</v>
      </c>
      <c r="E656" s="5" t="s">
        <v>1837</v>
      </c>
      <c r="F656" s="5">
        <v>19.090199999999999</v>
      </c>
      <c r="G656" s="5">
        <v>8.6034900000000007</v>
      </c>
      <c r="H656" s="5">
        <v>-1.14984</v>
      </c>
      <c r="I656" s="5">
        <v>1</v>
      </c>
      <c r="L656" s="2" t="s">
        <v>1024</v>
      </c>
      <c r="M656" s="2">
        <v>-1.24448</v>
      </c>
    </row>
    <row r="657" spans="1:13" x14ac:dyDescent="0.2">
      <c r="A657" s="5" t="s">
        <v>997</v>
      </c>
      <c r="B657" s="5" t="s">
        <v>3254</v>
      </c>
      <c r="C657" s="5" t="s">
        <v>1847</v>
      </c>
      <c r="D657" s="5" t="s">
        <v>1836</v>
      </c>
      <c r="E657" s="5" t="s">
        <v>1837</v>
      </c>
      <c r="F657" s="5">
        <v>24.437200000000001</v>
      </c>
      <c r="G657" s="5">
        <v>6.6295799999999998</v>
      </c>
      <c r="H657" s="5">
        <v>-1.88209</v>
      </c>
      <c r="I657" s="5">
        <v>1</v>
      </c>
      <c r="L657" s="2" t="s">
        <v>1025</v>
      </c>
      <c r="M657" s="2">
        <v>-1.91476</v>
      </c>
    </row>
    <row r="658" spans="1:13" x14ac:dyDescent="0.2">
      <c r="A658" s="5" t="s">
        <v>1000</v>
      </c>
      <c r="B658" s="5" t="s">
        <v>3015</v>
      </c>
      <c r="C658" s="5" t="s">
        <v>3015</v>
      </c>
      <c r="D658" s="5" t="s">
        <v>1836</v>
      </c>
      <c r="E658" s="5" t="s">
        <v>1837</v>
      </c>
      <c r="F658" s="5">
        <v>2.5510100000000002</v>
      </c>
      <c r="G658" s="5">
        <v>1.0897300000000001</v>
      </c>
      <c r="H658" s="5">
        <v>-1.2271000000000001</v>
      </c>
      <c r="I658" s="5">
        <v>1</v>
      </c>
      <c r="L658" s="2" t="s">
        <v>1026</v>
      </c>
      <c r="M658" s="2">
        <v>-1.30989</v>
      </c>
    </row>
    <row r="659" spans="1:13" x14ac:dyDescent="0.2">
      <c r="A659" s="5" t="s">
        <v>1001</v>
      </c>
      <c r="B659" s="5" t="s">
        <v>3015</v>
      </c>
      <c r="C659" s="5" t="s">
        <v>2312</v>
      </c>
      <c r="D659" s="5" t="s">
        <v>1836</v>
      </c>
      <c r="E659" s="5" t="s">
        <v>1837</v>
      </c>
      <c r="F659" s="5">
        <v>4.4379299999999997</v>
      </c>
      <c r="G659" s="5">
        <v>1.74892</v>
      </c>
      <c r="H659" s="5">
        <v>-1.3434200000000001</v>
      </c>
      <c r="I659" s="5">
        <v>1</v>
      </c>
      <c r="L659" s="2" t="s">
        <v>1027</v>
      </c>
      <c r="M659" s="2">
        <v>-1.1940200000000001</v>
      </c>
    </row>
    <row r="660" spans="1:13" x14ac:dyDescent="0.2">
      <c r="A660" s="5" t="s">
        <v>1002</v>
      </c>
      <c r="B660" s="5" t="s">
        <v>3015</v>
      </c>
      <c r="C660" s="5" t="s">
        <v>3015</v>
      </c>
      <c r="D660" s="5" t="s">
        <v>1836</v>
      </c>
      <c r="E660" s="5" t="s">
        <v>1837</v>
      </c>
      <c r="F660" s="5">
        <v>11.661799999999999</v>
      </c>
      <c r="G660" s="5">
        <v>4.3049299999999997</v>
      </c>
      <c r="H660" s="5">
        <v>-1.4377200000000001</v>
      </c>
      <c r="I660" s="5">
        <v>1</v>
      </c>
      <c r="L660" s="2" t="s">
        <v>1028</v>
      </c>
      <c r="M660" s="2">
        <v>2.17977</v>
      </c>
    </row>
    <row r="661" spans="1:13" x14ac:dyDescent="0.2">
      <c r="A661" s="5" t="s">
        <v>1003</v>
      </c>
      <c r="B661" s="5" t="s">
        <v>3015</v>
      </c>
      <c r="C661" s="5" t="s">
        <v>2080</v>
      </c>
      <c r="D661" s="5" t="s">
        <v>1836</v>
      </c>
      <c r="E661" s="5" t="s">
        <v>1837</v>
      </c>
      <c r="F661" s="5">
        <v>1.49909</v>
      </c>
      <c r="G661" s="5">
        <v>3.5082900000000001</v>
      </c>
      <c r="H661" s="5">
        <v>1.22668</v>
      </c>
      <c r="I661" s="5">
        <v>1</v>
      </c>
      <c r="L661" s="2" t="s">
        <v>1030</v>
      </c>
      <c r="M661" s="2">
        <v>-1.62018</v>
      </c>
    </row>
    <row r="662" spans="1:13" x14ac:dyDescent="0.2">
      <c r="A662" s="5" t="s">
        <v>1004</v>
      </c>
      <c r="B662" s="5" t="s">
        <v>3015</v>
      </c>
      <c r="C662" s="5" t="s">
        <v>3015</v>
      </c>
      <c r="D662" s="5" t="s">
        <v>1836</v>
      </c>
      <c r="E662" s="5" t="s">
        <v>1837</v>
      </c>
      <c r="F662" s="5">
        <v>26.915800000000001</v>
      </c>
      <c r="G662" s="5">
        <v>108.28400000000001</v>
      </c>
      <c r="H662" s="5">
        <v>2.0083000000000002</v>
      </c>
      <c r="I662" s="5">
        <v>1</v>
      </c>
      <c r="L662" s="2" t="s">
        <v>1031</v>
      </c>
      <c r="M662" s="2">
        <v>2.3722599999999998</v>
      </c>
    </row>
    <row r="663" spans="1:13" x14ac:dyDescent="0.2">
      <c r="A663" s="5" t="s">
        <v>1005</v>
      </c>
      <c r="B663" s="5" t="s">
        <v>3255</v>
      </c>
      <c r="C663" s="5" t="s">
        <v>2313</v>
      </c>
      <c r="D663" s="5" t="s">
        <v>1836</v>
      </c>
      <c r="E663" s="5" t="s">
        <v>1837</v>
      </c>
      <c r="F663" s="5">
        <v>0.75341000000000002</v>
      </c>
      <c r="G663" s="5">
        <v>1.5782700000000001</v>
      </c>
      <c r="H663" s="5">
        <v>1.06684</v>
      </c>
      <c r="I663" s="5">
        <v>1</v>
      </c>
      <c r="L663" s="2" t="s">
        <v>1033</v>
      </c>
      <c r="M663" s="2">
        <v>-1.7470300000000001</v>
      </c>
    </row>
    <row r="664" spans="1:13" x14ac:dyDescent="0.2">
      <c r="A664" s="5" t="s">
        <v>1007</v>
      </c>
      <c r="B664" s="5" t="s">
        <v>3015</v>
      </c>
      <c r="C664" s="5" t="s">
        <v>2314</v>
      </c>
      <c r="D664" s="5" t="s">
        <v>1836</v>
      </c>
      <c r="E664" s="5" t="s">
        <v>1837</v>
      </c>
      <c r="F664" s="5">
        <v>0</v>
      </c>
      <c r="G664" s="5">
        <v>2.7535500000000002</v>
      </c>
      <c r="H664" s="5" t="s">
        <v>3021</v>
      </c>
      <c r="I664" s="5" t="s">
        <v>3021</v>
      </c>
      <c r="L664" s="2" t="s">
        <v>1036</v>
      </c>
      <c r="M664" s="2">
        <v>-1.96299</v>
      </c>
    </row>
    <row r="665" spans="1:13" x14ac:dyDescent="0.2">
      <c r="A665" s="5" t="s">
        <v>1008</v>
      </c>
      <c r="B665" s="5" t="s">
        <v>3015</v>
      </c>
      <c r="C665" s="5" t="s">
        <v>2315</v>
      </c>
      <c r="D665" s="5" t="s">
        <v>1836</v>
      </c>
      <c r="E665" s="5" t="s">
        <v>1837</v>
      </c>
      <c r="F665" s="5">
        <v>6.97966</v>
      </c>
      <c r="G665" s="5">
        <v>2.7517800000000001</v>
      </c>
      <c r="H665" s="5">
        <v>-1.3427899999999999</v>
      </c>
      <c r="I665" s="5">
        <v>1</v>
      </c>
      <c r="L665" s="2" t="s">
        <v>1038</v>
      </c>
      <c r="M665" s="2">
        <v>1.19445</v>
      </c>
    </row>
    <row r="666" spans="1:13" x14ac:dyDescent="0.2">
      <c r="A666" s="5" t="s">
        <v>1009</v>
      </c>
      <c r="B666" s="5" t="s">
        <v>3024</v>
      </c>
      <c r="C666" s="5" t="s">
        <v>2053</v>
      </c>
      <c r="D666" s="5" t="s">
        <v>1836</v>
      </c>
      <c r="E666" s="5" t="s">
        <v>1837</v>
      </c>
      <c r="F666" s="5">
        <v>0.353271</v>
      </c>
      <c r="G666" s="5">
        <v>0.77896900000000002</v>
      </c>
      <c r="H666" s="5">
        <v>1.14079</v>
      </c>
      <c r="I666" s="5">
        <v>1</v>
      </c>
      <c r="L666" s="2" t="s">
        <v>1041</v>
      </c>
      <c r="M666" s="2">
        <v>1.3017700000000001</v>
      </c>
    </row>
    <row r="667" spans="1:13" x14ac:dyDescent="0.2">
      <c r="A667" s="5" t="s">
        <v>1010</v>
      </c>
      <c r="B667" s="5" t="s">
        <v>3015</v>
      </c>
      <c r="C667" s="5" t="s">
        <v>1915</v>
      </c>
      <c r="D667" s="5" t="s">
        <v>1836</v>
      </c>
      <c r="E667" s="5" t="s">
        <v>1837</v>
      </c>
      <c r="F667" s="5">
        <v>1.31871</v>
      </c>
      <c r="G667" s="5">
        <v>0.43974400000000002</v>
      </c>
      <c r="H667" s="5">
        <v>-1.58439</v>
      </c>
      <c r="I667" s="5">
        <v>1</v>
      </c>
      <c r="L667" s="2" t="s">
        <v>1043</v>
      </c>
      <c r="M667" s="2">
        <v>1.4464699999999999</v>
      </c>
    </row>
    <row r="668" spans="1:13" x14ac:dyDescent="0.2">
      <c r="A668" s="5" t="s">
        <v>1011</v>
      </c>
      <c r="B668" s="5" t="s">
        <v>3256</v>
      </c>
      <c r="C668" s="5" t="s">
        <v>2316</v>
      </c>
      <c r="D668" s="5" t="s">
        <v>1836</v>
      </c>
      <c r="E668" s="5" t="s">
        <v>1837</v>
      </c>
      <c r="F668" s="5">
        <v>7.4150499999999999</v>
      </c>
      <c r="G668" s="5">
        <v>15.7661</v>
      </c>
      <c r="H668" s="5">
        <v>1.0883</v>
      </c>
      <c r="I668" s="5">
        <v>1</v>
      </c>
      <c r="L668" s="2" t="s">
        <v>1044</v>
      </c>
      <c r="M668" s="2">
        <v>-1.1385799999999999</v>
      </c>
    </row>
    <row r="669" spans="1:13" x14ac:dyDescent="0.2">
      <c r="A669" s="5" t="s">
        <v>1012</v>
      </c>
      <c r="B669" s="5" t="s">
        <v>3015</v>
      </c>
      <c r="C669" s="5" t="s">
        <v>2317</v>
      </c>
      <c r="D669" s="5" t="s">
        <v>1836</v>
      </c>
      <c r="E669" s="5" t="s">
        <v>1837</v>
      </c>
      <c r="F669" s="5">
        <v>2.59382</v>
      </c>
      <c r="G669" s="5">
        <v>1.2543899999999999</v>
      </c>
      <c r="H669" s="5">
        <v>-1.04809</v>
      </c>
      <c r="I669" s="5">
        <v>1</v>
      </c>
      <c r="L669" s="2" t="s">
        <v>1045</v>
      </c>
      <c r="M669" s="2">
        <v>-1.2825599999999999</v>
      </c>
    </row>
    <row r="670" spans="1:13" x14ac:dyDescent="0.2">
      <c r="A670" s="5" t="s">
        <v>1013</v>
      </c>
      <c r="B670" s="5" t="s">
        <v>3257</v>
      </c>
      <c r="C670" s="5" t="s">
        <v>2318</v>
      </c>
      <c r="D670" s="5" t="s">
        <v>1836</v>
      </c>
      <c r="E670" s="5" t="s">
        <v>1837</v>
      </c>
      <c r="F670" s="5">
        <v>3.92008</v>
      </c>
      <c r="G670" s="5">
        <v>11.9437</v>
      </c>
      <c r="H670" s="5">
        <v>1.6073</v>
      </c>
      <c r="I670" s="5">
        <v>1</v>
      </c>
      <c r="L670" s="2" t="s">
        <v>1046</v>
      </c>
      <c r="M670" s="2">
        <v>-1.7260200000000001</v>
      </c>
    </row>
    <row r="671" spans="1:13" x14ac:dyDescent="0.2">
      <c r="A671" s="5" t="s">
        <v>1014</v>
      </c>
      <c r="B671" s="5" t="s">
        <v>3258</v>
      </c>
      <c r="C671" s="5" t="s">
        <v>2318</v>
      </c>
      <c r="D671" s="5" t="s">
        <v>1836</v>
      </c>
      <c r="E671" s="5" t="s">
        <v>1837</v>
      </c>
      <c r="F671" s="5">
        <v>3.7312500000000002</v>
      </c>
      <c r="G671" s="5">
        <v>7.7282200000000003</v>
      </c>
      <c r="H671" s="5">
        <v>1.0504800000000001</v>
      </c>
      <c r="I671" s="5">
        <v>1</v>
      </c>
      <c r="L671" s="2" t="s">
        <v>1047</v>
      </c>
      <c r="M671" s="2">
        <v>-1.1136900000000001</v>
      </c>
    </row>
    <row r="672" spans="1:13" x14ac:dyDescent="0.2">
      <c r="A672" s="5" t="s">
        <v>1015</v>
      </c>
      <c r="B672" s="5" t="s">
        <v>3253</v>
      </c>
      <c r="C672" s="5" t="s">
        <v>2319</v>
      </c>
      <c r="D672" s="5" t="s">
        <v>1836</v>
      </c>
      <c r="E672" s="5" t="s">
        <v>1837</v>
      </c>
      <c r="F672" s="5">
        <v>1.1397699999999999</v>
      </c>
      <c r="G672" s="5">
        <v>2.6128800000000001</v>
      </c>
      <c r="H672" s="5">
        <v>1.19689</v>
      </c>
      <c r="I672" s="5">
        <v>1</v>
      </c>
      <c r="L672" s="2" t="s">
        <v>1049</v>
      </c>
      <c r="M672" s="2">
        <v>-1.36856</v>
      </c>
    </row>
    <row r="673" spans="1:13" x14ac:dyDescent="0.2">
      <c r="A673" s="5" t="s">
        <v>1016</v>
      </c>
      <c r="B673" s="5" t="s">
        <v>3038</v>
      </c>
      <c r="C673" s="5" t="s">
        <v>2320</v>
      </c>
      <c r="D673" s="5" t="s">
        <v>1836</v>
      </c>
      <c r="E673" s="5" t="s">
        <v>1837</v>
      </c>
      <c r="F673" s="5">
        <v>1.04027</v>
      </c>
      <c r="G673" s="5">
        <v>0.30686200000000002</v>
      </c>
      <c r="H673" s="5">
        <v>-1.76129</v>
      </c>
      <c r="I673" s="5">
        <v>1</v>
      </c>
      <c r="L673" s="2" t="s">
        <v>1051</v>
      </c>
      <c r="M673" s="2">
        <v>-2.5703900000000002</v>
      </c>
    </row>
    <row r="674" spans="1:13" x14ac:dyDescent="0.2">
      <c r="A674" s="5" t="s">
        <v>1017</v>
      </c>
      <c r="B674" s="5" t="s">
        <v>3094</v>
      </c>
      <c r="C674" s="5" t="s">
        <v>2321</v>
      </c>
      <c r="D674" s="5" t="s">
        <v>1836</v>
      </c>
      <c r="E674" s="5" t="s">
        <v>1837</v>
      </c>
      <c r="F674" s="5">
        <v>2.3548800000000001</v>
      </c>
      <c r="G674" s="5">
        <v>0.61653999999999998</v>
      </c>
      <c r="H674" s="5">
        <v>-1.9333800000000001</v>
      </c>
      <c r="I674" s="5">
        <v>1</v>
      </c>
      <c r="L674" s="2" t="s">
        <v>1052</v>
      </c>
      <c r="M674" s="2">
        <v>1.00597</v>
      </c>
    </row>
    <row r="675" spans="1:13" x14ac:dyDescent="0.2">
      <c r="A675" s="5" t="s">
        <v>1018</v>
      </c>
      <c r="B675" s="5" t="s">
        <v>3015</v>
      </c>
      <c r="C675" s="5" t="s">
        <v>3015</v>
      </c>
      <c r="D675" s="5" t="s">
        <v>1836</v>
      </c>
      <c r="E675" s="5" t="s">
        <v>1837</v>
      </c>
      <c r="F675" s="5">
        <v>2.8442599999999998</v>
      </c>
      <c r="G675" s="5">
        <v>1.40055</v>
      </c>
      <c r="H675" s="5">
        <v>-1.02206</v>
      </c>
      <c r="I675" s="5">
        <v>1</v>
      </c>
      <c r="L675" s="2" t="s">
        <v>1053</v>
      </c>
      <c r="M675" s="2">
        <v>-1.29454</v>
      </c>
    </row>
    <row r="676" spans="1:13" x14ac:dyDescent="0.2">
      <c r="A676" s="5" t="s">
        <v>1019</v>
      </c>
      <c r="B676" s="5" t="s">
        <v>3025</v>
      </c>
      <c r="C676" s="5" t="s">
        <v>2269</v>
      </c>
      <c r="D676" s="5" t="s">
        <v>1836</v>
      </c>
      <c r="E676" s="5" t="s">
        <v>1837</v>
      </c>
      <c r="F676" s="5">
        <v>1.64679</v>
      </c>
      <c r="G676" s="5">
        <v>0.56609399999999999</v>
      </c>
      <c r="H676" s="5">
        <v>-1.54054</v>
      </c>
      <c r="I676" s="5">
        <v>1</v>
      </c>
      <c r="L676" s="2" t="s">
        <v>1056</v>
      </c>
      <c r="M676" s="2">
        <v>-1.36551</v>
      </c>
    </row>
    <row r="677" spans="1:13" x14ac:dyDescent="0.2">
      <c r="A677" s="5" t="s">
        <v>1020</v>
      </c>
      <c r="B677" s="5" t="s">
        <v>3015</v>
      </c>
      <c r="C677" s="5" t="s">
        <v>2322</v>
      </c>
      <c r="D677" s="5" t="s">
        <v>1836</v>
      </c>
      <c r="E677" s="5" t="s">
        <v>1837</v>
      </c>
      <c r="F677" s="5">
        <v>78.130399999999995</v>
      </c>
      <c r="G677" s="5">
        <v>38.446899999999999</v>
      </c>
      <c r="H677" s="5">
        <v>-1.02302</v>
      </c>
      <c r="I677" s="5">
        <v>1</v>
      </c>
      <c r="L677" s="2" t="s">
        <v>1059</v>
      </c>
      <c r="M677" s="2">
        <v>1.1870000000000001</v>
      </c>
    </row>
    <row r="678" spans="1:13" x14ac:dyDescent="0.2">
      <c r="A678" s="5" t="s">
        <v>1021</v>
      </c>
      <c r="B678" s="5" t="s">
        <v>3015</v>
      </c>
      <c r="C678" s="5" t="s">
        <v>2323</v>
      </c>
      <c r="D678" s="5" t="s">
        <v>1836</v>
      </c>
      <c r="E678" s="5" t="s">
        <v>1837</v>
      </c>
      <c r="F678" s="5">
        <v>6.3592599999999999</v>
      </c>
      <c r="G678" s="5">
        <v>2.3572199999999999</v>
      </c>
      <c r="H678" s="5">
        <v>-1.4317800000000001</v>
      </c>
      <c r="I678" s="5">
        <v>1</v>
      </c>
      <c r="L678" s="2" t="s">
        <v>1060</v>
      </c>
      <c r="M678" s="2">
        <v>1.03684</v>
      </c>
    </row>
    <row r="679" spans="1:13" x14ac:dyDescent="0.2">
      <c r="A679" s="5" t="s">
        <v>1022</v>
      </c>
      <c r="B679" s="5" t="s">
        <v>3015</v>
      </c>
      <c r="C679" s="5" t="s">
        <v>1847</v>
      </c>
      <c r="D679" s="5" t="s">
        <v>1836</v>
      </c>
      <c r="E679" s="5" t="s">
        <v>1837</v>
      </c>
      <c r="F679" s="5">
        <v>3.0855399999999999</v>
      </c>
      <c r="G679" s="5">
        <v>0.70496400000000004</v>
      </c>
      <c r="H679" s="5">
        <v>-2.1299000000000001</v>
      </c>
      <c r="I679" s="5">
        <v>1</v>
      </c>
      <c r="L679" s="2" t="s">
        <v>1062</v>
      </c>
      <c r="M679" s="2">
        <v>1.21245</v>
      </c>
    </row>
    <row r="680" spans="1:13" x14ac:dyDescent="0.2">
      <c r="A680" s="5" t="s">
        <v>1024</v>
      </c>
      <c r="B680" s="5" t="s">
        <v>3094</v>
      </c>
      <c r="C680" s="5" t="s">
        <v>2324</v>
      </c>
      <c r="D680" s="5" t="s">
        <v>1836</v>
      </c>
      <c r="E680" s="5" t="s">
        <v>1837</v>
      </c>
      <c r="F680" s="5">
        <v>15.248799999999999</v>
      </c>
      <c r="G680" s="5">
        <v>6.4359099999999998</v>
      </c>
      <c r="H680" s="5">
        <v>-1.24448</v>
      </c>
      <c r="I680" s="5">
        <v>1</v>
      </c>
      <c r="L680" s="2" t="s">
        <v>1063</v>
      </c>
      <c r="M680" s="2">
        <v>1.1160000000000001</v>
      </c>
    </row>
    <row r="681" spans="1:13" x14ac:dyDescent="0.2">
      <c r="A681" s="5" t="s">
        <v>1025</v>
      </c>
      <c r="B681" s="5" t="s">
        <v>3094</v>
      </c>
      <c r="C681" s="5" t="s">
        <v>2325</v>
      </c>
      <c r="D681" s="5" t="s">
        <v>1836</v>
      </c>
      <c r="E681" s="5" t="s">
        <v>1837</v>
      </c>
      <c r="F681" s="5">
        <v>1.7602599999999999</v>
      </c>
      <c r="G681" s="5">
        <v>0.46684799999999999</v>
      </c>
      <c r="H681" s="5">
        <v>-1.91476</v>
      </c>
      <c r="I681" s="5">
        <v>1</v>
      </c>
      <c r="L681" s="2" t="s">
        <v>1065</v>
      </c>
      <c r="M681" s="2">
        <v>-1.59659</v>
      </c>
    </row>
    <row r="682" spans="1:13" x14ac:dyDescent="0.2">
      <c r="A682" s="5" t="s">
        <v>1026</v>
      </c>
      <c r="B682" s="5" t="s">
        <v>3259</v>
      </c>
      <c r="C682" s="5" t="s">
        <v>1847</v>
      </c>
      <c r="D682" s="5" t="s">
        <v>1836</v>
      </c>
      <c r="E682" s="5" t="s">
        <v>1837</v>
      </c>
      <c r="F682" s="5">
        <v>11.9305</v>
      </c>
      <c r="G682" s="5">
        <v>4.8121799999999997</v>
      </c>
      <c r="H682" s="5">
        <v>-1.30989</v>
      </c>
      <c r="I682" s="5">
        <v>1</v>
      </c>
      <c r="L682" s="2" t="s">
        <v>1066</v>
      </c>
      <c r="M682" s="2">
        <v>-1.5493399999999999</v>
      </c>
    </row>
    <row r="683" spans="1:13" x14ac:dyDescent="0.2">
      <c r="A683" s="5" t="s">
        <v>1027</v>
      </c>
      <c r="B683" s="5" t="s">
        <v>3015</v>
      </c>
      <c r="C683" s="5" t="s">
        <v>3015</v>
      </c>
      <c r="D683" s="5" t="s">
        <v>1836</v>
      </c>
      <c r="E683" s="5" t="s">
        <v>1837</v>
      </c>
      <c r="F683" s="5">
        <v>2.9123800000000002</v>
      </c>
      <c r="G683" s="5">
        <v>1.27295</v>
      </c>
      <c r="H683" s="5">
        <v>-1.1940200000000001</v>
      </c>
      <c r="I683" s="5">
        <v>1</v>
      </c>
      <c r="L683" s="2" t="s">
        <v>1069</v>
      </c>
      <c r="M683" s="2">
        <v>1.2017599999999999</v>
      </c>
    </row>
    <row r="684" spans="1:13" x14ac:dyDescent="0.2">
      <c r="A684" s="5" t="s">
        <v>1028</v>
      </c>
      <c r="B684" s="5" t="s">
        <v>3015</v>
      </c>
      <c r="C684" s="5" t="s">
        <v>2326</v>
      </c>
      <c r="D684" s="5" t="s">
        <v>1836</v>
      </c>
      <c r="E684" s="5" t="s">
        <v>1837</v>
      </c>
      <c r="F684" s="5">
        <v>22.631</v>
      </c>
      <c r="G684" s="5">
        <v>102.53700000000001</v>
      </c>
      <c r="H684" s="5">
        <v>2.17977</v>
      </c>
      <c r="I684" s="5">
        <v>1</v>
      </c>
      <c r="L684" s="2" t="s">
        <v>1070</v>
      </c>
      <c r="M684" s="2">
        <v>1.00017</v>
      </c>
    </row>
    <row r="685" spans="1:13" x14ac:dyDescent="0.2">
      <c r="A685" s="5" t="s">
        <v>1030</v>
      </c>
      <c r="B685" s="5" t="s">
        <v>3050</v>
      </c>
      <c r="C685" s="5" t="s">
        <v>2327</v>
      </c>
      <c r="D685" s="5" t="s">
        <v>1836</v>
      </c>
      <c r="E685" s="5" t="s">
        <v>1837</v>
      </c>
      <c r="F685" s="5">
        <v>0.75981799999999999</v>
      </c>
      <c r="G685" s="5">
        <v>0.24716399999999999</v>
      </c>
      <c r="H685" s="5">
        <v>-1.62018</v>
      </c>
      <c r="I685" s="5">
        <v>1</v>
      </c>
      <c r="L685" s="2" t="s">
        <v>1071</v>
      </c>
      <c r="M685" s="2">
        <v>-1.08396</v>
      </c>
    </row>
    <row r="686" spans="1:13" x14ac:dyDescent="0.2">
      <c r="A686" s="5" t="s">
        <v>1031</v>
      </c>
      <c r="B686" s="5" t="s">
        <v>3260</v>
      </c>
      <c r="C686" s="5" t="s">
        <v>2328</v>
      </c>
      <c r="D686" s="5" t="s">
        <v>1836</v>
      </c>
      <c r="E686" s="5" t="s">
        <v>1837</v>
      </c>
      <c r="F686" s="5">
        <v>0.251274</v>
      </c>
      <c r="G686" s="5">
        <v>1.30098</v>
      </c>
      <c r="H686" s="5">
        <v>2.3722599999999998</v>
      </c>
      <c r="I686" s="5">
        <v>1</v>
      </c>
      <c r="L686" s="2" t="s">
        <v>1072</v>
      </c>
      <c r="M686" s="2">
        <v>-1.21797</v>
      </c>
    </row>
    <row r="687" spans="1:13" x14ac:dyDescent="0.2">
      <c r="A687" s="5" t="s">
        <v>1033</v>
      </c>
      <c r="B687" s="5" t="s">
        <v>3261</v>
      </c>
      <c r="C687" s="5" t="s">
        <v>2329</v>
      </c>
      <c r="D687" s="5" t="s">
        <v>1836</v>
      </c>
      <c r="E687" s="5" t="s">
        <v>1837</v>
      </c>
      <c r="F687" s="5">
        <v>20.3626</v>
      </c>
      <c r="G687" s="5">
        <v>6.0663</v>
      </c>
      <c r="H687" s="5">
        <v>-1.7470300000000001</v>
      </c>
      <c r="I687" s="5">
        <v>1</v>
      </c>
      <c r="L687" s="2" t="s">
        <v>1073</v>
      </c>
      <c r="M687" s="2">
        <v>-1.54077</v>
      </c>
    </row>
    <row r="688" spans="1:13" x14ac:dyDescent="0.2">
      <c r="A688" s="5" t="s">
        <v>1036</v>
      </c>
      <c r="B688" s="5" t="s">
        <v>3015</v>
      </c>
      <c r="C688" s="5" t="s">
        <v>2330</v>
      </c>
      <c r="D688" s="5" t="s">
        <v>1836</v>
      </c>
      <c r="E688" s="5" t="s">
        <v>1837</v>
      </c>
      <c r="F688" s="5">
        <v>1.91411</v>
      </c>
      <c r="G688" s="5">
        <v>0.49096400000000001</v>
      </c>
      <c r="H688" s="5">
        <v>-1.96299</v>
      </c>
      <c r="I688" s="5">
        <v>1</v>
      </c>
      <c r="L688" s="2" t="s">
        <v>1074</v>
      </c>
      <c r="M688" s="2">
        <v>1.3423400000000001</v>
      </c>
    </row>
    <row r="689" spans="1:13" x14ac:dyDescent="0.2">
      <c r="A689" s="5" t="s">
        <v>1038</v>
      </c>
      <c r="B689" s="5" t="s">
        <v>3015</v>
      </c>
      <c r="C689" s="5" t="s">
        <v>3015</v>
      </c>
      <c r="D689" s="5" t="s">
        <v>1836</v>
      </c>
      <c r="E689" s="5" t="s">
        <v>1837</v>
      </c>
      <c r="F689" s="5">
        <v>6.1892199999999997</v>
      </c>
      <c r="G689" s="5">
        <v>14.1645</v>
      </c>
      <c r="H689" s="5">
        <v>1.19445</v>
      </c>
      <c r="I689" s="5">
        <v>1</v>
      </c>
      <c r="L689" s="2" t="s">
        <v>1075</v>
      </c>
      <c r="M689" s="2">
        <v>1.32413</v>
      </c>
    </row>
    <row r="690" spans="1:13" x14ac:dyDescent="0.2">
      <c r="A690" s="5" t="s">
        <v>1041</v>
      </c>
      <c r="B690" s="5" t="s">
        <v>3015</v>
      </c>
      <c r="C690" s="5" t="s">
        <v>2331</v>
      </c>
      <c r="D690" s="5" t="s">
        <v>1836</v>
      </c>
      <c r="E690" s="5" t="s">
        <v>1837</v>
      </c>
      <c r="F690" s="5">
        <v>0.95049799999999995</v>
      </c>
      <c r="G690" s="5">
        <v>2.34327</v>
      </c>
      <c r="H690" s="5">
        <v>1.3017700000000001</v>
      </c>
      <c r="I690" s="5">
        <v>1</v>
      </c>
      <c r="L690" s="2" t="s">
        <v>1076</v>
      </c>
      <c r="M690" s="2">
        <v>-1.74899</v>
      </c>
    </row>
    <row r="691" spans="1:13" x14ac:dyDescent="0.2">
      <c r="A691" s="5" t="s">
        <v>1043</v>
      </c>
      <c r="B691" s="5" t="s">
        <v>3015</v>
      </c>
      <c r="C691" s="5" t="s">
        <v>3015</v>
      </c>
      <c r="D691" s="5" t="s">
        <v>1836</v>
      </c>
      <c r="E691" s="5" t="s">
        <v>1837</v>
      </c>
      <c r="F691" s="5">
        <v>0.68766799999999995</v>
      </c>
      <c r="G691" s="5">
        <v>1.8741699999999999</v>
      </c>
      <c r="H691" s="5">
        <v>1.4464699999999999</v>
      </c>
      <c r="I691" s="5">
        <v>1</v>
      </c>
      <c r="L691" s="2" t="s">
        <v>1077</v>
      </c>
      <c r="M691" s="2">
        <v>1.73454</v>
      </c>
    </row>
    <row r="692" spans="1:13" x14ac:dyDescent="0.2">
      <c r="A692" s="5" t="s">
        <v>1044</v>
      </c>
      <c r="B692" s="5" t="s">
        <v>3015</v>
      </c>
      <c r="C692" s="5" t="s">
        <v>2332</v>
      </c>
      <c r="D692" s="5" t="s">
        <v>1836</v>
      </c>
      <c r="E692" s="5" t="s">
        <v>1837</v>
      </c>
      <c r="F692" s="5">
        <v>0.86277499999999996</v>
      </c>
      <c r="G692" s="5">
        <v>0.39187699999999998</v>
      </c>
      <c r="H692" s="5">
        <v>-1.1385799999999999</v>
      </c>
      <c r="I692" s="5">
        <v>1</v>
      </c>
      <c r="L692" s="2" t="s">
        <v>1078</v>
      </c>
      <c r="M692" s="2">
        <v>1.1763399999999999</v>
      </c>
    </row>
    <row r="693" spans="1:13" x14ac:dyDescent="0.2">
      <c r="A693" s="5" t="s">
        <v>1045</v>
      </c>
      <c r="B693" s="5" t="s">
        <v>3100</v>
      </c>
      <c r="C693" s="5" t="s">
        <v>2333</v>
      </c>
      <c r="D693" s="5" t="s">
        <v>1836</v>
      </c>
      <c r="E693" s="5" t="s">
        <v>1837</v>
      </c>
      <c r="F693" s="5">
        <v>2.6594699999999998</v>
      </c>
      <c r="G693" s="5">
        <v>1.0932200000000001</v>
      </c>
      <c r="H693" s="5">
        <v>-1.2825599999999999</v>
      </c>
      <c r="I693" s="5">
        <v>1</v>
      </c>
      <c r="L693" s="2" t="s">
        <v>1082</v>
      </c>
      <c r="M693" s="2">
        <v>-1.22881</v>
      </c>
    </row>
    <row r="694" spans="1:13" x14ac:dyDescent="0.2">
      <c r="A694" s="5" t="s">
        <v>1046</v>
      </c>
      <c r="B694" s="5" t="s">
        <v>3073</v>
      </c>
      <c r="C694" s="5" t="s">
        <v>2334</v>
      </c>
      <c r="D694" s="5" t="s">
        <v>1836</v>
      </c>
      <c r="E694" s="5" t="s">
        <v>1837</v>
      </c>
      <c r="F694" s="5">
        <v>5.6726799999999997</v>
      </c>
      <c r="G694" s="5">
        <v>1.7147699999999999</v>
      </c>
      <c r="H694" s="5">
        <v>-1.7260200000000001</v>
      </c>
      <c r="I694" s="5">
        <v>1</v>
      </c>
      <c r="L694" s="2" t="s">
        <v>1083</v>
      </c>
      <c r="M694" s="2">
        <v>-2.1033599999999999</v>
      </c>
    </row>
    <row r="695" spans="1:13" x14ac:dyDescent="0.2">
      <c r="A695" s="5" t="s">
        <v>1047</v>
      </c>
      <c r="B695" s="5" t="s">
        <v>3015</v>
      </c>
      <c r="C695" s="5" t="s">
        <v>3015</v>
      </c>
      <c r="D695" s="5" t="s">
        <v>1836</v>
      </c>
      <c r="E695" s="5" t="s">
        <v>1837</v>
      </c>
      <c r="F695" s="5">
        <v>6.6210100000000001</v>
      </c>
      <c r="G695" s="5">
        <v>3.0596399999999999</v>
      </c>
      <c r="H695" s="5">
        <v>-1.1136900000000001</v>
      </c>
      <c r="I695" s="5">
        <v>1</v>
      </c>
      <c r="L695" s="2" t="s">
        <v>1084</v>
      </c>
      <c r="M695" s="2">
        <v>4.1471900000000002</v>
      </c>
    </row>
    <row r="696" spans="1:13" x14ac:dyDescent="0.2">
      <c r="A696" s="5" t="s">
        <v>1049</v>
      </c>
      <c r="B696" s="5" t="s">
        <v>3262</v>
      </c>
      <c r="C696" s="5" t="s">
        <v>2335</v>
      </c>
      <c r="D696" s="5" t="s">
        <v>1836</v>
      </c>
      <c r="E696" s="5" t="s">
        <v>1837</v>
      </c>
      <c r="F696" s="5">
        <v>200.76300000000001</v>
      </c>
      <c r="G696" s="5">
        <v>77.751199999999997</v>
      </c>
      <c r="H696" s="5">
        <v>-1.36856</v>
      </c>
      <c r="I696" s="5">
        <v>1</v>
      </c>
      <c r="L696" s="2" t="s">
        <v>1085</v>
      </c>
      <c r="M696" s="2">
        <v>-2.50983</v>
      </c>
    </row>
    <row r="697" spans="1:13" x14ac:dyDescent="0.2">
      <c r="A697" s="5" t="s">
        <v>1051</v>
      </c>
      <c r="B697" s="5" t="s">
        <v>3026</v>
      </c>
      <c r="C697" s="5" t="s">
        <v>1847</v>
      </c>
      <c r="D697" s="5" t="s">
        <v>1836</v>
      </c>
      <c r="E697" s="5" t="s">
        <v>1837</v>
      </c>
      <c r="F697" s="5">
        <v>1.2784500000000001</v>
      </c>
      <c r="G697" s="5">
        <v>0.21523800000000001</v>
      </c>
      <c r="H697" s="5">
        <v>-2.5703900000000002</v>
      </c>
      <c r="I697" s="5">
        <v>1</v>
      </c>
      <c r="L697" s="2" t="s">
        <v>1087</v>
      </c>
      <c r="M697" s="2">
        <v>1.7636099999999999</v>
      </c>
    </row>
    <row r="698" spans="1:13" x14ac:dyDescent="0.2">
      <c r="A698" s="5" t="s">
        <v>1052</v>
      </c>
      <c r="B698" s="5" t="s">
        <v>3027</v>
      </c>
      <c r="C698" s="5" t="s">
        <v>2336</v>
      </c>
      <c r="D698" s="5" t="s">
        <v>1836</v>
      </c>
      <c r="E698" s="5" t="s">
        <v>1837</v>
      </c>
      <c r="F698" s="5">
        <v>0.87746000000000002</v>
      </c>
      <c r="G698" s="5">
        <v>1.7621899999999999</v>
      </c>
      <c r="H698" s="5">
        <v>1.00597</v>
      </c>
      <c r="I698" s="5">
        <v>1</v>
      </c>
      <c r="L698" s="2" t="s">
        <v>1088</v>
      </c>
      <c r="M698" s="2">
        <v>-1.3794999999999999</v>
      </c>
    </row>
    <row r="699" spans="1:13" x14ac:dyDescent="0.2">
      <c r="A699" s="5" t="s">
        <v>1053</v>
      </c>
      <c r="B699" s="5" t="s">
        <v>3015</v>
      </c>
      <c r="C699" s="5" t="s">
        <v>2337</v>
      </c>
      <c r="D699" s="5" t="s">
        <v>1836</v>
      </c>
      <c r="E699" s="5" t="s">
        <v>1837</v>
      </c>
      <c r="F699" s="5">
        <v>1.45929</v>
      </c>
      <c r="G699" s="5">
        <v>0.59490500000000002</v>
      </c>
      <c r="H699" s="5">
        <v>-1.29454</v>
      </c>
      <c r="I699" s="5">
        <v>1</v>
      </c>
      <c r="L699" s="2" t="s">
        <v>1089</v>
      </c>
      <c r="M699" s="2">
        <v>-1.5790900000000001</v>
      </c>
    </row>
    <row r="700" spans="1:13" x14ac:dyDescent="0.2">
      <c r="A700" s="5" t="s">
        <v>1056</v>
      </c>
      <c r="B700" s="5" t="s">
        <v>3047</v>
      </c>
      <c r="C700" s="5" t="s">
        <v>2277</v>
      </c>
      <c r="D700" s="5" t="s">
        <v>1836</v>
      </c>
      <c r="E700" s="5" t="s">
        <v>1837</v>
      </c>
      <c r="F700" s="5">
        <v>1.00936</v>
      </c>
      <c r="G700" s="5">
        <v>0.391731</v>
      </c>
      <c r="H700" s="5">
        <v>-1.36551</v>
      </c>
      <c r="I700" s="5">
        <v>1</v>
      </c>
      <c r="L700" s="2" t="s">
        <v>1090</v>
      </c>
      <c r="M700" s="2">
        <v>-1.01298</v>
      </c>
    </row>
    <row r="701" spans="1:13" x14ac:dyDescent="0.2">
      <c r="A701" s="5" t="s">
        <v>1059</v>
      </c>
      <c r="B701" s="5" t="s">
        <v>3054</v>
      </c>
      <c r="C701" s="5" t="s">
        <v>1894</v>
      </c>
      <c r="D701" s="5" t="s">
        <v>1836</v>
      </c>
      <c r="E701" s="5" t="s">
        <v>1837</v>
      </c>
      <c r="F701" s="5">
        <v>18.996300000000002</v>
      </c>
      <c r="G701" s="5">
        <v>43.250399999999999</v>
      </c>
      <c r="H701" s="5">
        <v>1.1870000000000001</v>
      </c>
      <c r="I701" s="5">
        <v>1</v>
      </c>
      <c r="L701" s="2" t="s">
        <v>1091</v>
      </c>
      <c r="M701" s="2">
        <v>-1.4879800000000001</v>
      </c>
    </row>
    <row r="702" spans="1:13" x14ac:dyDescent="0.2">
      <c r="A702" s="5" t="s">
        <v>1060</v>
      </c>
      <c r="B702" s="5" t="s">
        <v>3015</v>
      </c>
      <c r="C702" s="5" t="s">
        <v>2338</v>
      </c>
      <c r="D702" s="5" t="s">
        <v>1836</v>
      </c>
      <c r="E702" s="5" t="s">
        <v>1837</v>
      </c>
      <c r="F702" s="5">
        <v>4.6303799999999997</v>
      </c>
      <c r="G702" s="5">
        <v>9.5002600000000008</v>
      </c>
      <c r="H702" s="5">
        <v>1.03684</v>
      </c>
      <c r="I702" s="5">
        <v>1</v>
      </c>
      <c r="L702" s="2" t="s">
        <v>1092</v>
      </c>
      <c r="M702" s="2">
        <v>1.0971</v>
      </c>
    </row>
    <row r="703" spans="1:13" x14ac:dyDescent="0.2">
      <c r="A703" s="5" t="s">
        <v>1062</v>
      </c>
      <c r="B703" s="5" t="s">
        <v>3049</v>
      </c>
      <c r="C703" s="5" t="s">
        <v>2187</v>
      </c>
      <c r="D703" s="5" t="s">
        <v>1836</v>
      </c>
      <c r="E703" s="5" t="s">
        <v>1837</v>
      </c>
      <c r="F703" s="5">
        <v>4.7833100000000002</v>
      </c>
      <c r="G703" s="5">
        <v>11.0844</v>
      </c>
      <c r="H703" s="5">
        <v>1.21245</v>
      </c>
      <c r="I703" s="5">
        <v>1</v>
      </c>
      <c r="L703" s="2" t="s">
        <v>1093</v>
      </c>
      <c r="M703" s="2">
        <v>2.18032</v>
      </c>
    </row>
    <row r="704" spans="1:13" x14ac:dyDescent="0.2">
      <c r="A704" s="5" t="s">
        <v>1063</v>
      </c>
      <c r="B704" s="5" t="s">
        <v>3113</v>
      </c>
      <c r="C704" s="5" t="s">
        <v>2339</v>
      </c>
      <c r="D704" s="5" t="s">
        <v>1836</v>
      </c>
      <c r="E704" s="5" t="s">
        <v>1837</v>
      </c>
      <c r="F704" s="5">
        <v>1.3565700000000001</v>
      </c>
      <c r="G704" s="5">
        <v>2.9403000000000001</v>
      </c>
      <c r="H704" s="5">
        <v>1.1160000000000001</v>
      </c>
      <c r="I704" s="5">
        <v>1</v>
      </c>
      <c r="L704" s="2" t="s">
        <v>1098</v>
      </c>
      <c r="M704" s="2">
        <v>-2.50068</v>
      </c>
    </row>
    <row r="705" spans="1:13" x14ac:dyDescent="0.2">
      <c r="A705" s="5" t="s">
        <v>1065</v>
      </c>
      <c r="B705" s="5" t="s">
        <v>3015</v>
      </c>
      <c r="C705" s="5" t="s">
        <v>2340</v>
      </c>
      <c r="D705" s="5" t="s">
        <v>1836</v>
      </c>
      <c r="E705" s="5" t="s">
        <v>1837</v>
      </c>
      <c r="F705" s="5">
        <v>1.55291</v>
      </c>
      <c r="G705" s="5">
        <v>0.51347799999999999</v>
      </c>
      <c r="H705" s="5">
        <v>-1.59659</v>
      </c>
      <c r="I705" s="5">
        <v>1</v>
      </c>
      <c r="L705" s="2" t="s">
        <v>1100</v>
      </c>
      <c r="M705" s="2">
        <v>-1.1090599999999999</v>
      </c>
    </row>
    <row r="706" spans="1:13" x14ac:dyDescent="0.2">
      <c r="A706" s="5" t="s">
        <v>1066</v>
      </c>
      <c r="B706" s="5" t="s">
        <v>3093</v>
      </c>
      <c r="C706" s="5" t="s">
        <v>2029</v>
      </c>
      <c r="D706" s="5" t="s">
        <v>1836</v>
      </c>
      <c r="E706" s="5" t="s">
        <v>1837</v>
      </c>
      <c r="F706" s="5">
        <v>7.9269299999999996</v>
      </c>
      <c r="G706" s="5">
        <v>2.7083699999999999</v>
      </c>
      <c r="H706" s="5">
        <v>-1.5493399999999999</v>
      </c>
      <c r="I706" s="5">
        <v>1</v>
      </c>
      <c r="L706" s="2" t="s">
        <v>1103</v>
      </c>
      <c r="M706" s="2">
        <v>1.25485</v>
      </c>
    </row>
    <row r="707" spans="1:13" x14ac:dyDescent="0.2">
      <c r="A707" s="5" t="s">
        <v>1068</v>
      </c>
      <c r="B707" s="5" t="s">
        <v>3263</v>
      </c>
      <c r="C707" s="5" t="s">
        <v>2341</v>
      </c>
      <c r="D707" s="5" t="s">
        <v>1836</v>
      </c>
      <c r="E707" s="5" t="s">
        <v>1837</v>
      </c>
      <c r="F707" s="5">
        <v>0</v>
      </c>
      <c r="G707" s="5">
        <v>1.20411</v>
      </c>
      <c r="H707" s="5" t="s">
        <v>3021</v>
      </c>
      <c r="I707" s="5" t="s">
        <v>3021</v>
      </c>
      <c r="L707" s="2" t="s">
        <v>1105</v>
      </c>
      <c r="M707" s="2">
        <v>1.1214500000000001</v>
      </c>
    </row>
    <row r="708" spans="1:13" x14ac:dyDescent="0.2">
      <c r="A708" s="5" t="s">
        <v>1069</v>
      </c>
      <c r="B708" s="5" t="s">
        <v>3264</v>
      </c>
      <c r="C708" s="5" t="s">
        <v>2342</v>
      </c>
      <c r="D708" s="5" t="s">
        <v>1836</v>
      </c>
      <c r="E708" s="5" t="s">
        <v>1837</v>
      </c>
      <c r="F708" s="5">
        <v>17.3825</v>
      </c>
      <c r="G708" s="5">
        <v>39.983400000000003</v>
      </c>
      <c r="H708" s="5">
        <v>1.2017599999999999</v>
      </c>
      <c r="I708" s="5">
        <v>1</v>
      </c>
      <c r="L708" s="2" t="s">
        <v>1106</v>
      </c>
      <c r="M708" s="2">
        <v>-1.2130399999999999</v>
      </c>
    </row>
    <row r="709" spans="1:13" x14ac:dyDescent="0.2">
      <c r="A709" s="5" t="s">
        <v>1070</v>
      </c>
      <c r="B709" s="5" t="s">
        <v>3037</v>
      </c>
      <c r="C709" s="5" t="s">
        <v>2343</v>
      </c>
      <c r="D709" s="5" t="s">
        <v>1836</v>
      </c>
      <c r="E709" s="5" t="s">
        <v>1837</v>
      </c>
      <c r="F709" s="5">
        <v>8.1878200000000003</v>
      </c>
      <c r="G709" s="5">
        <v>16.377600000000001</v>
      </c>
      <c r="H709" s="5">
        <v>1.00017</v>
      </c>
      <c r="I709" s="5">
        <v>1</v>
      </c>
      <c r="L709" s="2" t="s">
        <v>1107</v>
      </c>
      <c r="M709" s="2">
        <v>-2.49783</v>
      </c>
    </row>
    <row r="710" spans="1:13" x14ac:dyDescent="0.2">
      <c r="A710" s="5" t="s">
        <v>1071</v>
      </c>
      <c r="B710" s="5" t="s">
        <v>3265</v>
      </c>
      <c r="C710" s="5" t="s">
        <v>2344</v>
      </c>
      <c r="D710" s="5" t="s">
        <v>1836</v>
      </c>
      <c r="E710" s="5" t="s">
        <v>1837</v>
      </c>
      <c r="F710" s="5">
        <v>28.628399999999999</v>
      </c>
      <c r="G710" s="5">
        <v>13.505000000000001</v>
      </c>
      <c r="H710" s="5">
        <v>-1.08396</v>
      </c>
      <c r="I710" s="5">
        <v>1</v>
      </c>
      <c r="L710" s="2" t="s">
        <v>1109</v>
      </c>
      <c r="M710" s="2">
        <v>-1.0296400000000001</v>
      </c>
    </row>
    <row r="711" spans="1:13" x14ac:dyDescent="0.2">
      <c r="A711" s="5" t="s">
        <v>1072</v>
      </c>
      <c r="B711" s="5" t="s">
        <v>3015</v>
      </c>
      <c r="C711" s="5" t="s">
        <v>1892</v>
      </c>
      <c r="D711" s="5" t="s">
        <v>1836</v>
      </c>
      <c r="E711" s="5" t="s">
        <v>1837</v>
      </c>
      <c r="F711" s="5">
        <v>13.6236</v>
      </c>
      <c r="G711" s="5">
        <v>5.8566200000000004</v>
      </c>
      <c r="H711" s="5">
        <v>-1.21797</v>
      </c>
      <c r="I711" s="5">
        <v>1</v>
      </c>
      <c r="L711" s="2" t="s">
        <v>1110</v>
      </c>
      <c r="M711" s="2">
        <v>-1.2864500000000001</v>
      </c>
    </row>
    <row r="712" spans="1:13" x14ac:dyDescent="0.2">
      <c r="A712" s="5" t="s">
        <v>1073</v>
      </c>
      <c r="B712" s="5" t="s">
        <v>3015</v>
      </c>
      <c r="C712" s="5" t="s">
        <v>1847</v>
      </c>
      <c r="D712" s="5" t="s">
        <v>1836</v>
      </c>
      <c r="E712" s="5" t="s">
        <v>1837</v>
      </c>
      <c r="F712" s="5">
        <v>19.0151</v>
      </c>
      <c r="G712" s="5">
        <v>6.5355299999999996</v>
      </c>
      <c r="H712" s="5">
        <v>-1.54077</v>
      </c>
      <c r="I712" s="5">
        <v>1</v>
      </c>
      <c r="L712" s="2" t="s">
        <v>1111</v>
      </c>
      <c r="M712" s="2">
        <v>-1.14798</v>
      </c>
    </row>
    <row r="713" spans="1:13" x14ac:dyDescent="0.2">
      <c r="A713" s="5" t="s">
        <v>1074</v>
      </c>
      <c r="B713" s="5" t="s">
        <v>3015</v>
      </c>
      <c r="C713" s="5" t="s">
        <v>2345</v>
      </c>
      <c r="D713" s="5" t="s">
        <v>1836</v>
      </c>
      <c r="E713" s="5" t="s">
        <v>1837</v>
      </c>
      <c r="F713" s="5">
        <v>13.259499999999999</v>
      </c>
      <c r="G713" s="5">
        <v>33.621099999999998</v>
      </c>
      <c r="H713" s="5">
        <v>1.3423400000000001</v>
      </c>
      <c r="I713" s="5">
        <v>1</v>
      </c>
      <c r="L713" s="2" t="s">
        <v>1113</v>
      </c>
      <c r="M713" s="2">
        <v>-1.1226700000000001</v>
      </c>
    </row>
    <row r="714" spans="1:13" x14ac:dyDescent="0.2">
      <c r="A714" s="5" t="s">
        <v>1075</v>
      </c>
      <c r="B714" s="5" t="s">
        <v>3015</v>
      </c>
      <c r="C714" s="5" t="s">
        <v>2346</v>
      </c>
      <c r="D714" s="5" t="s">
        <v>1836</v>
      </c>
      <c r="E714" s="5" t="s">
        <v>1837</v>
      </c>
      <c r="F714" s="5">
        <v>10.3756</v>
      </c>
      <c r="G714" s="5">
        <v>25.9787</v>
      </c>
      <c r="H714" s="5">
        <v>1.32413</v>
      </c>
      <c r="I714" s="5">
        <v>1</v>
      </c>
      <c r="L714" s="2" t="s">
        <v>1116</v>
      </c>
      <c r="M714" s="2">
        <v>-1.7723100000000001</v>
      </c>
    </row>
    <row r="715" spans="1:13" x14ac:dyDescent="0.2">
      <c r="A715" s="5" t="s">
        <v>1076</v>
      </c>
      <c r="B715" s="5" t="s">
        <v>3266</v>
      </c>
      <c r="C715" s="5" t="s">
        <v>2347</v>
      </c>
      <c r="D715" s="5" t="s">
        <v>1836</v>
      </c>
      <c r="E715" s="5" t="s">
        <v>1837</v>
      </c>
      <c r="F715" s="5">
        <v>1.0552600000000001</v>
      </c>
      <c r="G715" s="5">
        <v>0.313948</v>
      </c>
      <c r="H715" s="5">
        <v>-1.74899</v>
      </c>
      <c r="I715" s="5">
        <v>1</v>
      </c>
      <c r="L715" s="2" t="s">
        <v>1118</v>
      </c>
      <c r="M715" s="2">
        <v>2.10798</v>
      </c>
    </row>
    <row r="716" spans="1:13" x14ac:dyDescent="0.2">
      <c r="A716" s="5" t="s">
        <v>1077</v>
      </c>
      <c r="B716" s="5" t="s">
        <v>3159</v>
      </c>
      <c r="C716" s="5" t="s">
        <v>2107</v>
      </c>
      <c r="D716" s="5" t="s">
        <v>1836</v>
      </c>
      <c r="E716" s="5" t="s">
        <v>1837</v>
      </c>
      <c r="F716" s="5">
        <v>25.5382</v>
      </c>
      <c r="G716" s="5">
        <v>84.9846</v>
      </c>
      <c r="H716" s="5">
        <v>1.73454</v>
      </c>
      <c r="I716" s="5">
        <v>1</v>
      </c>
      <c r="L716" s="2" t="s">
        <v>1119</v>
      </c>
      <c r="M716" s="2">
        <v>1.01938</v>
      </c>
    </row>
    <row r="717" spans="1:13" x14ac:dyDescent="0.2">
      <c r="A717" s="5" t="s">
        <v>1078</v>
      </c>
      <c r="B717" s="5" t="s">
        <v>3267</v>
      </c>
      <c r="C717" s="5" t="s">
        <v>2348</v>
      </c>
      <c r="D717" s="5" t="s">
        <v>1836</v>
      </c>
      <c r="E717" s="5" t="s">
        <v>1837</v>
      </c>
      <c r="F717" s="5">
        <v>5.76098</v>
      </c>
      <c r="G717" s="5">
        <v>13.0199</v>
      </c>
      <c r="H717" s="5">
        <v>1.1763399999999999</v>
      </c>
      <c r="I717" s="5">
        <v>1</v>
      </c>
      <c r="L717" s="2" t="s">
        <v>1123</v>
      </c>
      <c r="M717" s="2">
        <v>-1.4671700000000001</v>
      </c>
    </row>
    <row r="718" spans="1:13" x14ac:dyDescent="0.2">
      <c r="A718" s="5" t="s">
        <v>1082</v>
      </c>
      <c r="B718" s="5" t="s">
        <v>3015</v>
      </c>
      <c r="C718" s="5" t="s">
        <v>2349</v>
      </c>
      <c r="D718" s="5" t="s">
        <v>1836</v>
      </c>
      <c r="E718" s="5" t="s">
        <v>1837</v>
      </c>
      <c r="F718" s="5">
        <v>26.3996</v>
      </c>
      <c r="G718" s="5">
        <v>11.2639</v>
      </c>
      <c r="H718" s="5">
        <v>-1.22881</v>
      </c>
      <c r="I718" s="5">
        <v>1</v>
      </c>
      <c r="L718" s="2" t="s">
        <v>1126</v>
      </c>
      <c r="M718" s="2">
        <v>-1.03546</v>
      </c>
    </row>
    <row r="719" spans="1:13" x14ac:dyDescent="0.2">
      <c r="A719" s="5" t="s">
        <v>1083</v>
      </c>
      <c r="B719" s="5" t="s">
        <v>3080</v>
      </c>
      <c r="C719" s="5" t="s">
        <v>2350</v>
      </c>
      <c r="D719" s="5" t="s">
        <v>1836</v>
      </c>
      <c r="E719" s="5" t="s">
        <v>1837</v>
      </c>
      <c r="F719" s="5">
        <v>8.1259999999999994</v>
      </c>
      <c r="G719" s="5">
        <v>1.8910499999999999</v>
      </c>
      <c r="H719" s="5">
        <v>-2.1033599999999999</v>
      </c>
      <c r="I719" s="5">
        <v>1</v>
      </c>
      <c r="L719" s="2" t="s">
        <v>5</v>
      </c>
      <c r="M719" s="2">
        <v>-1.3279000000000001</v>
      </c>
    </row>
    <row r="720" spans="1:13" x14ac:dyDescent="0.2">
      <c r="A720" s="5" t="s">
        <v>1084</v>
      </c>
      <c r="B720" s="5" t="s">
        <v>3015</v>
      </c>
      <c r="C720" s="5" t="s">
        <v>1847</v>
      </c>
      <c r="D720" s="5" t="s">
        <v>1836</v>
      </c>
      <c r="E720" s="5" t="s">
        <v>1837</v>
      </c>
      <c r="F720" s="5">
        <v>0.154308</v>
      </c>
      <c r="G720" s="5">
        <v>2.7341299999999999</v>
      </c>
      <c r="H720" s="5">
        <v>4.1471900000000002</v>
      </c>
      <c r="I720" s="5">
        <v>1</v>
      </c>
    </row>
    <row r="721" spans="1:9" x14ac:dyDescent="0.2">
      <c r="A721" s="5" t="s">
        <v>1085</v>
      </c>
      <c r="B721" s="5" t="s">
        <v>3189</v>
      </c>
      <c r="C721" s="5" t="s">
        <v>2157</v>
      </c>
      <c r="D721" s="5" t="s">
        <v>1836</v>
      </c>
      <c r="E721" s="5" t="s">
        <v>1837</v>
      </c>
      <c r="F721" s="5">
        <v>0.81906699999999999</v>
      </c>
      <c r="G721" s="5">
        <v>0.14380899999999999</v>
      </c>
      <c r="H721" s="5">
        <v>-2.50983</v>
      </c>
      <c r="I721" s="5">
        <v>1</v>
      </c>
    </row>
    <row r="722" spans="1:9" x14ac:dyDescent="0.2">
      <c r="A722" s="5" t="s">
        <v>1086</v>
      </c>
      <c r="B722" s="5" t="s">
        <v>3015</v>
      </c>
      <c r="C722" s="5" t="s">
        <v>2351</v>
      </c>
      <c r="D722" s="5" t="s">
        <v>1836</v>
      </c>
      <c r="E722" s="5" t="s">
        <v>1837</v>
      </c>
      <c r="F722" s="5">
        <v>0</v>
      </c>
      <c r="G722" s="5">
        <v>6.4357499999999996</v>
      </c>
      <c r="H722" s="5" t="s">
        <v>3021</v>
      </c>
      <c r="I722" s="5" t="s">
        <v>3021</v>
      </c>
    </row>
    <row r="723" spans="1:9" x14ac:dyDescent="0.2">
      <c r="A723" s="5" t="s">
        <v>1087</v>
      </c>
      <c r="B723" s="5" t="s">
        <v>3015</v>
      </c>
      <c r="C723" s="5" t="s">
        <v>2352</v>
      </c>
      <c r="D723" s="5" t="s">
        <v>1836</v>
      </c>
      <c r="E723" s="5" t="s">
        <v>1837</v>
      </c>
      <c r="F723" s="5">
        <v>0.59982000000000002</v>
      </c>
      <c r="G723" s="5">
        <v>2.0366599999999999</v>
      </c>
      <c r="H723" s="5">
        <v>1.7636099999999999</v>
      </c>
      <c r="I723" s="5">
        <v>1</v>
      </c>
    </row>
    <row r="724" spans="1:9" x14ac:dyDescent="0.2">
      <c r="A724" s="5" t="s">
        <v>1088</v>
      </c>
      <c r="B724" s="5" t="s">
        <v>3081</v>
      </c>
      <c r="C724" s="5" t="s">
        <v>2353</v>
      </c>
      <c r="D724" s="5" t="s">
        <v>1836</v>
      </c>
      <c r="E724" s="5" t="s">
        <v>1837</v>
      </c>
      <c r="F724" s="5">
        <v>2.6558299999999999</v>
      </c>
      <c r="G724" s="5">
        <v>1.02077</v>
      </c>
      <c r="H724" s="5">
        <v>-1.3794999999999999</v>
      </c>
      <c r="I724" s="5">
        <v>1</v>
      </c>
    </row>
    <row r="725" spans="1:9" x14ac:dyDescent="0.2">
      <c r="A725" s="5" t="s">
        <v>1089</v>
      </c>
      <c r="B725" s="5" t="s">
        <v>3015</v>
      </c>
      <c r="C725" s="5" t="s">
        <v>1917</v>
      </c>
      <c r="D725" s="5" t="s">
        <v>1836</v>
      </c>
      <c r="E725" s="5" t="s">
        <v>1837</v>
      </c>
      <c r="F725" s="5">
        <v>6.87052</v>
      </c>
      <c r="G725" s="5">
        <v>2.2995100000000002</v>
      </c>
      <c r="H725" s="5">
        <v>-1.5790900000000001</v>
      </c>
      <c r="I725" s="5">
        <v>1</v>
      </c>
    </row>
    <row r="726" spans="1:9" x14ac:dyDescent="0.2">
      <c r="A726" s="5" t="s">
        <v>1090</v>
      </c>
      <c r="B726" s="5" t="s">
        <v>3015</v>
      </c>
      <c r="C726" s="5" t="s">
        <v>2354</v>
      </c>
      <c r="D726" s="5" t="s">
        <v>1836</v>
      </c>
      <c r="E726" s="5" t="s">
        <v>1837</v>
      </c>
      <c r="F726" s="5">
        <v>8.1252499999999994</v>
      </c>
      <c r="G726" s="5">
        <v>4.0262500000000001</v>
      </c>
      <c r="H726" s="5">
        <v>-1.01298</v>
      </c>
      <c r="I726" s="5">
        <v>1</v>
      </c>
    </row>
    <row r="727" spans="1:9" x14ac:dyDescent="0.2">
      <c r="A727" s="5" t="s">
        <v>1091</v>
      </c>
      <c r="B727" s="5" t="s">
        <v>3015</v>
      </c>
      <c r="C727" s="5" t="s">
        <v>3015</v>
      </c>
      <c r="D727" s="5" t="s">
        <v>1836</v>
      </c>
      <c r="E727" s="5" t="s">
        <v>1837</v>
      </c>
      <c r="F727" s="5">
        <v>2.5340699999999998</v>
      </c>
      <c r="G727" s="5">
        <v>0.90342500000000003</v>
      </c>
      <c r="H727" s="5">
        <v>-1.4879800000000001</v>
      </c>
      <c r="I727" s="5">
        <v>1</v>
      </c>
    </row>
    <row r="728" spans="1:9" x14ac:dyDescent="0.2">
      <c r="A728" s="5" t="s">
        <v>1092</v>
      </c>
      <c r="B728" s="5" t="s">
        <v>3015</v>
      </c>
      <c r="C728" s="5" t="s">
        <v>3015</v>
      </c>
      <c r="D728" s="5" t="s">
        <v>1836</v>
      </c>
      <c r="E728" s="5" t="s">
        <v>1837</v>
      </c>
      <c r="F728" s="5">
        <v>2.4702199999999999</v>
      </c>
      <c r="G728" s="5">
        <v>5.2844100000000003</v>
      </c>
      <c r="H728" s="5">
        <v>1.0971</v>
      </c>
      <c r="I728" s="5">
        <v>1</v>
      </c>
    </row>
    <row r="729" spans="1:9" x14ac:dyDescent="0.2">
      <c r="A729" s="5" t="s">
        <v>1093</v>
      </c>
      <c r="B729" s="5" t="s">
        <v>3268</v>
      </c>
      <c r="C729" s="5" t="s">
        <v>2355</v>
      </c>
      <c r="D729" s="5" t="s">
        <v>1836</v>
      </c>
      <c r="E729" s="5" t="s">
        <v>1837</v>
      </c>
      <c r="F729" s="5">
        <v>0.173149</v>
      </c>
      <c r="G729" s="5">
        <v>0.78480499999999997</v>
      </c>
      <c r="H729" s="5">
        <v>2.18032</v>
      </c>
      <c r="I729" s="5">
        <v>1</v>
      </c>
    </row>
    <row r="730" spans="1:9" x14ac:dyDescent="0.2">
      <c r="A730" s="5" t="s">
        <v>1096</v>
      </c>
      <c r="B730" s="5" t="s">
        <v>3015</v>
      </c>
      <c r="C730" s="5" t="s">
        <v>1880</v>
      </c>
      <c r="D730" s="5" t="s">
        <v>1836</v>
      </c>
      <c r="E730" s="5" t="s">
        <v>1837</v>
      </c>
      <c r="F730" s="5">
        <v>0</v>
      </c>
      <c r="G730" s="5">
        <v>1.3425800000000001</v>
      </c>
      <c r="H730" s="5" t="s">
        <v>3021</v>
      </c>
      <c r="I730" s="5" t="s">
        <v>3021</v>
      </c>
    </row>
    <row r="731" spans="1:9" x14ac:dyDescent="0.2">
      <c r="A731" s="5" t="s">
        <v>1097</v>
      </c>
      <c r="B731" s="5" t="s">
        <v>3015</v>
      </c>
      <c r="C731" s="5" t="s">
        <v>3015</v>
      </c>
      <c r="D731" s="5" t="s">
        <v>1836</v>
      </c>
      <c r="E731" s="5" t="s">
        <v>1837</v>
      </c>
      <c r="F731" s="5">
        <v>0</v>
      </c>
      <c r="G731" s="5">
        <v>4.3985399999999997</v>
      </c>
      <c r="H731" s="5" t="s">
        <v>3021</v>
      </c>
      <c r="I731" s="5" t="s">
        <v>3021</v>
      </c>
    </row>
    <row r="732" spans="1:9" x14ac:dyDescent="0.2">
      <c r="A732" s="5" t="s">
        <v>1098</v>
      </c>
      <c r="B732" s="5" t="s">
        <v>3015</v>
      </c>
      <c r="C732" s="5" t="s">
        <v>2356</v>
      </c>
      <c r="D732" s="5" t="s">
        <v>1836</v>
      </c>
      <c r="E732" s="5" t="s">
        <v>1837</v>
      </c>
      <c r="F732" s="5">
        <v>4.3807</v>
      </c>
      <c r="G732" s="5">
        <v>0.77404399999999995</v>
      </c>
      <c r="H732" s="5">
        <v>-2.50068</v>
      </c>
      <c r="I732" s="5">
        <v>1</v>
      </c>
    </row>
    <row r="733" spans="1:9" x14ac:dyDescent="0.2">
      <c r="A733" s="5" t="s">
        <v>1100</v>
      </c>
      <c r="B733" s="5" t="s">
        <v>3269</v>
      </c>
      <c r="C733" s="5" t="s">
        <v>3015</v>
      </c>
      <c r="D733" s="5" t="s">
        <v>1836</v>
      </c>
      <c r="E733" s="5" t="s">
        <v>1837</v>
      </c>
      <c r="F733" s="5">
        <v>4.3501899999999996</v>
      </c>
      <c r="G733" s="5">
        <v>2.01674</v>
      </c>
      <c r="H733" s="5">
        <v>-1.1090599999999999</v>
      </c>
      <c r="I733" s="5">
        <v>1</v>
      </c>
    </row>
    <row r="734" spans="1:9" x14ac:dyDescent="0.2">
      <c r="A734" s="5" t="s">
        <v>1101</v>
      </c>
      <c r="B734" s="5" t="s">
        <v>3015</v>
      </c>
      <c r="C734" s="5" t="s">
        <v>2357</v>
      </c>
      <c r="D734" s="5" t="s">
        <v>1836</v>
      </c>
      <c r="E734" s="5" t="s">
        <v>1837</v>
      </c>
      <c r="F734" s="5">
        <v>0</v>
      </c>
      <c r="G734" s="5">
        <v>1.4597899999999999</v>
      </c>
      <c r="H734" s="5" t="s">
        <v>3021</v>
      </c>
      <c r="I734" s="5" t="s">
        <v>3021</v>
      </c>
    </row>
    <row r="735" spans="1:9" x14ac:dyDescent="0.2">
      <c r="A735" s="5" t="s">
        <v>1103</v>
      </c>
      <c r="B735" s="5" t="s">
        <v>3054</v>
      </c>
      <c r="C735" s="5" t="s">
        <v>1894</v>
      </c>
      <c r="D735" s="5" t="s">
        <v>1836</v>
      </c>
      <c r="E735" s="5" t="s">
        <v>1837</v>
      </c>
      <c r="F735" s="5">
        <v>1.12259</v>
      </c>
      <c r="G735" s="5">
        <v>2.6789700000000001</v>
      </c>
      <c r="H735" s="5">
        <v>1.25485</v>
      </c>
      <c r="I735" s="5">
        <v>1</v>
      </c>
    </row>
    <row r="736" spans="1:9" x14ac:dyDescent="0.2">
      <c r="A736" s="5" t="s">
        <v>1105</v>
      </c>
      <c r="B736" s="5" t="s">
        <v>3270</v>
      </c>
      <c r="C736" s="5" t="s">
        <v>2358</v>
      </c>
      <c r="D736" s="5" t="s">
        <v>1836</v>
      </c>
      <c r="E736" s="5" t="s">
        <v>1837</v>
      </c>
      <c r="F736" s="5">
        <v>31.058</v>
      </c>
      <c r="G736" s="5">
        <v>67.571799999999996</v>
      </c>
      <c r="H736" s="5">
        <v>1.1214500000000001</v>
      </c>
      <c r="I736" s="5">
        <v>1</v>
      </c>
    </row>
    <row r="737" spans="1:9" x14ac:dyDescent="0.2">
      <c r="A737" s="5" t="s">
        <v>1106</v>
      </c>
      <c r="B737" s="5" t="s">
        <v>3093</v>
      </c>
      <c r="C737" s="5" t="s">
        <v>1847</v>
      </c>
      <c r="D737" s="5" t="s">
        <v>1836</v>
      </c>
      <c r="E737" s="5" t="s">
        <v>1837</v>
      </c>
      <c r="F737" s="5">
        <v>13.6281</v>
      </c>
      <c r="G737" s="5">
        <v>5.8785800000000004</v>
      </c>
      <c r="H737" s="5">
        <v>-1.2130399999999999</v>
      </c>
      <c r="I737" s="5">
        <v>1</v>
      </c>
    </row>
    <row r="738" spans="1:9" x14ac:dyDescent="0.2">
      <c r="A738" s="5" t="s">
        <v>1107</v>
      </c>
      <c r="B738" s="5" t="s">
        <v>3015</v>
      </c>
      <c r="C738" s="5" t="s">
        <v>3015</v>
      </c>
      <c r="D738" s="5" t="s">
        <v>1836</v>
      </c>
      <c r="E738" s="5" t="s">
        <v>1837</v>
      </c>
      <c r="F738" s="5">
        <v>1.4206799999999999</v>
      </c>
      <c r="G738" s="5">
        <v>0.25152000000000002</v>
      </c>
      <c r="H738" s="5">
        <v>-2.49783</v>
      </c>
      <c r="I738" s="5">
        <v>1</v>
      </c>
    </row>
    <row r="739" spans="1:9" x14ac:dyDescent="0.2">
      <c r="A739" s="5" t="s">
        <v>1109</v>
      </c>
      <c r="B739" s="5" t="s">
        <v>3271</v>
      </c>
      <c r="C739" s="5" t="s">
        <v>1847</v>
      </c>
      <c r="D739" s="5" t="s">
        <v>1836</v>
      </c>
      <c r="E739" s="5" t="s">
        <v>1837</v>
      </c>
      <c r="F739" s="5">
        <v>2.4814799999999999</v>
      </c>
      <c r="G739" s="5">
        <v>1.2155100000000001</v>
      </c>
      <c r="H739" s="5">
        <v>-1.0296400000000001</v>
      </c>
      <c r="I739" s="5">
        <v>1</v>
      </c>
    </row>
    <row r="740" spans="1:9" x14ac:dyDescent="0.2">
      <c r="A740" s="5" t="s">
        <v>1110</v>
      </c>
      <c r="B740" s="5" t="s">
        <v>3272</v>
      </c>
      <c r="C740" s="5" t="s">
        <v>1852</v>
      </c>
      <c r="D740" s="5" t="s">
        <v>1836</v>
      </c>
      <c r="E740" s="5" t="s">
        <v>1837</v>
      </c>
      <c r="F740" s="5">
        <v>1.44103</v>
      </c>
      <c r="G740" s="5">
        <v>0.59076300000000004</v>
      </c>
      <c r="H740" s="5">
        <v>-1.2864500000000001</v>
      </c>
      <c r="I740" s="5">
        <v>1</v>
      </c>
    </row>
    <row r="741" spans="1:9" x14ac:dyDescent="0.2">
      <c r="A741" s="5" t="s">
        <v>1111</v>
      </c>
      <c r="B741" s="5" t="s">
        <v>3273</v>
      </c>
      <c r="C741" s="5" t="s">
        <v>1847</v>
      </c>
      <c r="D741" s="5" t="s">
        <v>1836</v>
      </c>
      <c r="E741" s="5" t="s">
        <v>1837</v>
      </c>
      <c r="F741" s="5">
        <v>5.8217100000000004</v>
      </c>
      <c r="G741" s="5">
        <v>2.6270899999999999</v>
      </c>
      <c r="H741" s="5">
        <v>-1.14798</v>
      </c>
      <c r="I741" s="5">
        <v>1</v>
      </c>
    </row>
    <row r="742" spans="1:9" x14ac:dyDescent="0.2">
      <c r="A742" s="5" t="s">
        <v>1113</v>
      </c>
      <c r="B742" s="5" t="s">
        <v>3274</v>
      </c>
      <c r="C742" s="5" t="s">
        <v>3015</v>
      </c>
      <c r="D742" s="5" t="s">
        <v>1836</v>
      </c>
      <c r="E742" s="5" t="s">
        <v>1837</v>
      </c>
      <c r="F742" s="5">
        <v>0.89157600000000004</v>
      </c>
      <c r="G742" s="5">
        <v>0.40944999999999998</v>
      </c>
      <c r="H742" s="5">
        <v>-1.1226700000000001</v>
      </c>
      <c r="I742" s="5">
        <v>1</v>
      </c>
    </row>
    <row r="743" spans="1:9" x14ac:dyDescent="0.2">
      <c r="A743" s="5" t="s">
        <v>1116</v>
      </c>
      <c r="B743" s="5" t="s">
        <v>3039</v>
      </c>
      <c r="C743" s="5" t="s">
        <v>2105</v>
      </c>
      <c r="D743" s="5" t="s">
        <v>1836</v>
      </c>
      <c r="E743" s="5" t="s">
        <v>1837</v>
      </c>
      <c r="F743" s="5">
        <v>1.7441899999999999</v>
      </c>
      <c r="G743" s="5">
        <v>0.51059200000000005</v>
      </c>
      <c r="H743" s="5">
        <v>-1.7723100000000001</v>
      </c>
      <c r="I743" s="5">
        <v>1</v>
      </c>
    </row>
    <row r="744" spans="1:9" x14ac:dyDescent="0.2">
      <c r="A744" s="5" t="s">
        <v>1118</v>
      </c>
      <c r="B744" s="5" t="s">
        <v>3275</v>
      </c>
      <c r="C744" s="5" t="s">
        <v>2359</v>
      </c>
      <c r="D744" s="5" t="s">
        <v>1836</v>
      </c>
      <c r="E744" s="5" t="s">
        <v>1837</v>
      </c>
      <c r="F744" s="5">
        <v>0.63185199999999997</v>
      </c>
      <c r="G744" s="5">
        <v>2.72384</v>
      </c>
      <c r="H744" s="5">
        <v>2.10798</v>
      </c>
      <c r="I744" s="5">
        <v>1</v>
      </c>
    </row>
    <row r="745" spans="1:9" x14ac:dyDescent="0.2">
      <c r="A745" s="5" t="s">
        <v>1119</v>
      </c>
      <c r="B745" s="5" t="s">
        <v>3015</v>
      </c>
      <c r="C745" s="5" t="s">
        <v>3015</v>
      </c>
      <c r="D745" s="5" t="s">
        <v>1836</v>
      </c>
      <c r="E745" s="5" t="s">
        <v>1837</v>
      </c>
      <c r="F745" s="5">
        <v>0.67841700000000005</v>
      </c>
      <c r="G745" s="5">
        <v>1.3751800000000001</v>
      </c>
      <c r="H745" s="5">
        <v>1.01938</v>
      </c>
      <c r="I745" s="5">
        <v>1</v>
      </c>
    </row>
    <row r="746" spans="1:9" x14ac:dyDescent="0.2">
      <c r="A746" s="5" t="s">
        <v>1123</v>
      </c>
      <c r="B746" s="5" t="s">
        <v>3015</v>
      </c>
      <c r="C746" s="5" t="s">
        <v>3015</v>
      </c>
      <c r="D746" s="5" t="s">
        <v>1836</v>
      </c>
      <c r="E746" s="5" t="s">
        <v>1837</v>
      </c>
      <c r="F746" s="5">
        <v>4.0791700000000004</v>
      </c>
      <c r="G746" s="5">
        <v>1.4754</v>
      </c>
      <c r="H746" s="5">
        <v>-1.4671700000000001</v>
      </c>
      <c r="I746" s="5">
        <v>1</v>
      </c>
    </row>
    <row r="747" spans="1:9" x14ac:dyDescent="0.2">
      <c r="A747" s="5" t="s">
        <v>1126</v>
      </c>
      <c r="B747" s="5" t="s">
        <v>3015</v>
      </c>
      <c r="C747" s="5" t="s">
        <v>3015</v>
      </c>
      <c r="D747" s="5" t="s">
        <v>1836</v>
      </c>
      <c r="E747" s="5" t="s">
        <v>1837</v>
      </c>
      <c r="F747" s="5">
        <v>40.900100000000002</v>
      </c>
      <c r="G747" s="5">
        <v>19.953499999999998</v>
      </c>
      <c r="H747" s="5">
        <v>-1.03546</v>
      </c>
      <c r="I747" s="5">
        <v>1</v>
      </c>
    </row>
    <row r="748" spans="1:9" x14ac:dyDescent="0.2">
      <c r="A748" s="5" t="s">
        <v>5</v>
      </c>
      <c r="B748" s="5" t="s">
        <v>3276</v>
      </c>
      <c r="C748" s="5" t="s">
        <v>2360</v>
      </c>
      <c r="D748" s="5" t="s">
        <v>1836</v>
      </c>
      <c r="E748" s="5" t="s">
        <v>1837</v>
      </c>
      <c r="F748" s="5">
        <v>4.3029999999999999</v>
      </c>
      <c r="G748" s="5">
        <v>1.7140899999999999</v>
      </c>
      <c r="H748" s="5">
        <v>-1.3279000000000001</v>
      </c>
      <c r="I748" s="5">
        <v>1</v>
      </c>
    </row>
  </sheetData>
  <autoFilter ref="L1:M1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0"/>
  <sheetViews>
    <sheetView topLeftCell="A76" zoomScaleNormal="100" zoomScalePageLayoutView="85" workbookViewId="0">
      <selection activeCell="A6" sqref="A6"/>
    </sheetView>
  </sheetViews>
  <sheetFormatPr defaultColWidth="8.875" defaultRowHeight="15" x14ac:dyDescent="0.2"/>
  <cols>
    <col min="1" max="2" width="8.875" style="2"/>
    <col min="3" max="3" width="26" style="2" customWidth="1"/>
    <col min="4" max="16384" width="8.875" style="2"/>
  </cols>
  <sheetData>
    <row r="1" spans="1:13" ht="20.25" x14ac:dyDescent="0.2">
      <c r="A1" s="11" t="s">
        <v>3532</v>
      </c>
      <c r="B1" s="29"/>
      <c r="C1" s="25"/>
      <c r="D1" s="25"/>
      <c r="E1" s="25"/>
      <c r="F1" s="25"/>
      <c r="G1" s="25"/>
      <c r="H1" s="25"/>
      <c r="I1" s="25"/>
      <c r="M1" s="2" t="s">
        <v>4</v>
      </c>
    </row>
    <row r="2" spans="1:13" ht="18.75" x14ac:dyDescent="0.2">
      <c r="A2" s="25" t="s">
        <v>3534</v>
      </c>
      <c r="B2" s="29"/>
      <c r="C2" s="25"/>
      <c r="D2" s="25"/>
      <c r="E2" s="25"/>
      <c r="F2" s="25"/>
      <c r="G2" s="25"/>
      <c r="H2" s="25"/>
      <c r="I2" s="25"/>
      <c r="L2" s="2" t="s">
        <v>10</v>
      </c>
      <c r="M2" s="2">
        <v>1.1343000000000001</v>
      </c>
    </row>
    <row r="3" spans="1:13" ht="18" x14ac:dyDescent="0.2">
      <c r="A3" s="28" t="s">
        <v>3020</v>
      </c>
      <c r="B3" s="28" t="s">
        <v>3023</v>
      </c>
      <c r="C3" s="25" t="s">
        <v>1843</v>
      </c>
      <c r="D3" s="28" t="s">
        <v>0</v>
      </c>
      <c r="E3" s="28" t="s">
        <v>1</v>
      </c>
      <c r="F3" s="28" t="s">
        <v>2</v>
      </c>
      <c r="G3" s="28" t="s">
        <v>3</v>
      </c>
      <c r="H3" s="28" t="s">
        <v>4</v>
      </c>
      <c r="I3" s="28"/>
      <c r="L3" s="2" t="s">
        <v>14</v>
      </c>
      <c r="M3" s="2">
        <v>-1.3591500000000001</v>
      </c>
    </row>
    <row r="4" spans="1:13" x14ac:dyDescent="0.2">
      <c r="A4" s="5" t="s">
        <v>10</v>
      </c>
      <c r="B4" s="5" t="s">
        <v>3278</v>
      </c>
      <c r="C4" s="2" t="s">
        <v>2361</v>
      </c>
      <c r="D4" s="5" t="s">
        <v>1836</v>
      </c>
      <c r="E4" s="5" t="s">
        <v>1838</v>
      </c>
      <c r="F4" s="5">
        <v>2.24098</v>
      </c>
      <c r="G4" s="5">
        <v>4.9192200000000001</v>
      </c>
      <c r="H4" s="5">
        <v>1.1343000000000001</v>
      </c>
      <c r="I4" s="5">
        <v>1</v>
      </c>
      <c r="L4" s="2" t="s">
        <v>1127</v>
      </c>
      <c r="M4" s="2">
        <v>1.4285300000000001</v>
      </c>
    </row>
    <row r="5" spans="1:13" x14ac:dyDescent="0.2">
      <c r="A5" s="5" t="s">
        <v>14</v>
      </c>
      <c r="B5" s="5" t="s">
        <v>3015</v>
      </c>
      <c r="C5" s="2" t="s">
        <v>2362</v>
      </c>
      <c r="D5" s="5" t="s">
        <v>1836</v>
      </c>
      <c r="E5" s="5" t="s">
        <v>1838</v>
      </c>
      <c r="F5" s="5">
        <v>6.8305100000000003</v>
      </c>
      <c r="G5" s="5">
        <v>2.6626099999999999</v>
      </c>
      <c r="H5" s="5">
        <v>-1.3591500000000001</v>
      </c>
      <c r="I5" s="5">
        <v>1</v>
      </c>
      <c r="L5" s="2" t="s">
        <v>1128</v>
      </c>
      <c r="M5" s="2">
        <v>1.3089</v>
      </c>
    </row>
    <row r="6" spans="1:13" x14ac:dyDescent="0.2">
      <c r="A6" s="5" t="s">
        <v>1127</v>
      </c>
      <c r="B6" s="5" t="s">
        <v>3073</v>
      </c>
      <c r="C6" s="2" t="s">
        <v>2363</v>
      </c>
      <c r="D6" s="5" t="s">
        <v>1836</v>
      </c>
      <c r="E6" s="5" t="s">
        <v>1838</v>
      </c>
      <c r="F6" s="5">
        <v>0.37703700000000001</v>
      </c>
      <c r="G6" s="5">
        <v>1.01488</v>
      </c>
      <c r="H6" s="5">
        <v>1.4285300000000001</v>
      </c>
      <c r="I6" s="5">
        <v>1</v>
      </c>
      <c r="L6" s="2" t="s">
        <v>1129</v>
      </c>
      <c r="M6" s="2">
        <v>-1.06253</v>
      </c>
    </row>
    <row r="7" spans="1:13" x14ac:dyDescent="0.2">
      <c r="A7" s="5" t="s">
        <v>1128</v>
      </c>
      <c r="B7" s="5" t="s">
        <v>3279</v>
      </c>
      <c r="C7" s="2" t="s">
        <v>3496</v>
      </c>
      <c r="D7" s="5" t="s">
        <v>1836</v>
      </c>
      <c r="E7" s="5" t="s">
        <v>1838</v>
      </c>
      <c r="F7" s="5">
        <v>21.359500000000001</v>
      </c>
      <c r="G7" s="5">
        <v>52.918700000000001</v>
      </c>
      <c r="H7" s="5">
        <v>1.3089</v>
      </c>
      <c r="I7" s="5">
        <v>1</v>
      </c>
      <c r="L7" s="2" t="s">
        <v>18</v>
      </c>
      <c r="M7" s="2">
        <v>-1.43371</v>
      </c>
    </row>
    <row r="8" spans="1:13" x14ac:dyDescent="0.2">
      <c r="A8" s="5" t="s">
        <v>1129</v>
      </c>
      <c r="B8" s="5" t="s">
        <v>3280</v>
      </c>
      <c r="C8" s="2" t="s">
        <v>2364</v>
      </c>
      <c r="D8" s="5" t="s">
        <v>1836</v>
      </c>
      <c r="E8" s="5" t="s">
        <v>1838</v>
      </c>
      <c r="F8" s="5">
        <v>2.2606799999999998</v>
      </c>
      <c r="G8" s="5">
        <v>1.08239</v>
      </c>
      <c r="H8" s="5">
        <v>-1.06253</v>
      </c>
      <c r="I8" s="5">
        <v>1</v>
      </c>
      <c r="L8" s="2" t="s">
        <v>1130</v>
      </c>
      <c r="M8" s="2">
        <v>-1.62348</v>
      </c>
    </row>
    <row r="9" spans="1:13" x14ac:dyDescent="0.2">
      <c r="A9" s="5" t="s">
        <v>18</v>
      </c>
      <c r="B9" s="5" t="s">
        <v>3015</v>
      </c>
      <c r="C9" s="2" t="s">
        <v>1850</v>
      </c>
      <c r="D9" s="5" t="s">
        <v>1836</v>
      </c>
      <c r="E9" s="5" t="s">
        <v>1838</v>
      </c>
      <c r="F9" s="5">
        <v>1.2079200000000001</v>
      </c>
      <c r="G9" s="5">
        <v>0.44714599999999999</v>
      </c>
      <c r="H9" s="5">
        <v>-1.43371</v>
      </c>
      <c r="I9" s="5">
        <v>1</v>
      </c>
      <c r="L9" s="2" t="s">
        <v>1131</v>
      </c>
      <c r="M9" s="2">
        <v>-2.3887999999999998</v>
      </c>
    </row>
    <row r="10" spans="1:13" x14ac:dyDescent="0.2">
      <c r="A10" s="5" t="s">
        <v>1130</v>
      </c>
      <c r="B10" s="5" t="s">
        <v>3049</v>
      </c>
      <c r="C10" s="2" t="s">
        <v>2365</v>
      </c>
      <c r="D10" s="5" t="s">
        <v>1836</v>
      </c>
      <c r="E10" s="5" t="s">
        <v>1838</v>
      </c>
      <c r="F10" s="5">
        <v>1.2903800000000001</v>
      </c>
      <c r="G10" s="5">
        <v>0.41879300000000003</v>
      </c>
      <c r="H10" s="5">
        <v>-1.62348</v>
      </c>
      <c r="I10" s="5">
        <v>1</v>
      </c>
      <c r="L10" s="2" t="s">
        <v>24</v>
      </c>
      <c r="M10" s="2">
        <v>-1.98895</v>
      </c>
    </row>
    <row r="11" spans="1:13" x14ac:dyDescent="0.2">
      <c r="A11" s="5" t="s">
        <v>1131</v>
      </c>
      <c r="B11" s="5" t="s">
        <v>3015</v>
      </c>
      <c r="C11" s="2" t="s">
        <v>2054</v>
      </c>
      <c r="D11" s="5" t="s">
        <v>1836</v>
      </c>
      <c r="E11" s="5" t="s">
        <v>1838</v>
      </c>
      <c r="F11" s="5">
        <v>1.3627100000000001</v>
      </c>
      <c r="G11" s="5">
        <v>0.26019799999999998</v>
      </c>
      <c r="H11" s="5">
        <v>-2.3887999999999998</v>
      </c>
      <c r="I11" s="5">
        <v>1</v>
      </c>
      <c r="L11" s="2" t="s">
        <v>26</v>
      </c>
      <c r="M11" s="2">
        <v>1.20116</v>
      </c>
    </row>
    <row r="12" spans="1:13" x14ac:dyDescent="0.2">
      <c r="A12" s="5" t="s">
        <v>24</v>
      </c>
      <c r="B12" s="5" t="s">
        <v>3015</v>
      </c>
      <c r="C12" s="2" t="s">
        <v>3496</v>
      </c>
      <c r="D12" s="5" t="s">
        <v>1836</v>
      </c>
      <c r="E12" s="5" t="s">
        <v>1838</v>
      </c>
      <c r="F12" s="5">
        <v>3.9942299999999999</v>
      </c>
      <c r="G12" s="5">
        <v>1.00623</v>
      </c>
      <c r="H12" s="5">
        <v>-1.98895</v>
      </c>
      <c r="I12" s="5">
        <v>1</v>
      </c>
      <c r="L12" s="2" t="s">
        <v>27</v>
      </c>
      <c r="M12" s="2">
        <v>-1.2334499999999999</v>
      </c>
    </row>
    <row r="13" spans="1:13" x14ac:dyDescent="0.2">
      <c r="A13" s="5" t="s">
        <v>26</v>
      </c>
      <c r="B13" s="5" t="s">
        <v>3029</v>
      </c>
      <c r="C13" s="2" t="s">
        <v>1853</v>
      </c>
      <c r="D13" s="5" t="s">
        <v>1836</v>
      </c>
      <c r="E13" s="5" t="s">
        <v>1838</v>
      </c>
      <c r="F13" s="5">
        <v>11.0341</v>
      </c>
      <c r="G13" s="5">
        <v>25.37</v>
      </c>
      <c r="H13" s="5">
        <v>1.20116</v>
      </c>
      <c r="I13" s="5">
        <v>1</v>
      </c>
      <c r="L13" s="2" t="s">
        <v>29</v>
      </c>
      <c r="M13" s="2">
        <v>1.08104</v>
      </c>
    </row>
    <row r="14" spans="1:13" x14ac:dyDescent="0.2">
      <c r="A14" s="5" t="s">
        <v>27</v>
      </c>
      <c r="B14" s="5" t="s">
        <v>3030</v>
      </c>
      <c r="C14" s="2" t="s">
        <v>1854</v>
      </c>
      <c r="D14" s="5" t="s">
        <v>1836</v>
      </c>
      <c r="E14" s="5" t="s">
        <v>1838</v>
      </c>
      <c r="F14" s="5">
        <v>8.2099299999999999</v>
      </c>
      <c r="G14" s="5">
        <v>3.4916700000000001</v>
      </c>
      <c r="H14" s="5">
        <v>-1.2334499999999999</v>
      </c>
      <c r="I14" s="5">
        <v>1</v>
      </c>
      <c r="L14" s="2" t="s">
        <v>31</v>
      </c>
      <c r="M14" s="2">
        <v>-1.3991199999999999</v>
      </c>
    </row>
    <row r="15" spans="1:13" x14ac:dyDescent="0.2">
      <c r="A15" s="5" t="s">
        <v>29</v>
      </c>
      <c r="B15" s="5" t="s">
        <v>3031</v>
      </c>
      <c r="C15" s="2" t="s">
        <v>1856</v>
      </c>
      <c r="D15" s="5" t="s">
        <v>1836</v>
      </c>
      <c r="E15" s="5" t="s">
        <v>1838</v>
      </c>
      <c r="F15" s="5">
        <v>1.19275</v>
      </c>
      <c r="G15" s="5">
        <v>2.5233400000000001</v>
      </c>
      <c r="H15" s="5">
        <v>1.08104</v>
      </c>
      <c r="I15" s="5">
        <v>1</v>
      </c>
      <c r="L15" s="2" t="s">
        <v>32</v>
      </c>
      <c r="M15" s="2">
        <v>-1.0324599999999999</v>
      </c>
    </row>
    <row r="16" spans="1:13" x14ac:dyDescent="0.2">
      <c r="A16" s="5" t="s">
        <v>31</v>
      </c>
      <c r="B16" s="5" t="s">
        <v>3038</v>
      </c>
      <c r="C16" s="2" t="s">
        <v>2366</v>
      </c>
      <c r="D16" s="5" t="s">
        <v>1836</v>
      </c>
      <c r="E16" s="5" t="s">
        <v>1838</v>
      </c>
      <c r="F16" s="5">
        <v>18.437000000000001</v>
      </c>
      <c r="G16" s="5">
        <v>6.9905600000000003</v>
      </c>
      <c r="H16" s="5">
        <v>-1.3991199999999999</v>
      </c>
      <c r="I16" s="5">
        <v>1</v>
      </c>
      <c r="L16" s="2" t="s">
        <v>34</v>
      </c>
      <c r="M16" s="2">
        <v>-2.3327</v>
      </c>
    </row>
    <row r="17" spans="1:13" x14ac:dyDescent="0.2">
      <c r="A17" s="5" t="s">
        <v>32</v>
      </c>
      <c r="B17" s="5" t="s">
        <v>3033</v>
      </c>
      <c r="C17" s="2" t="s">
        <v>1858</v>
      </c>
      <c r="D17" s="5" t="s">
        <v>1836</v>
      </c>
      <c r="E17" s="5" t="s">
        <v>1838</v>
      </c>
      <c r="F17" s="5">
        <v>6.3867399999999996</v>
      </c>
      <c r="G17" s="5">
        <v>3.1223200000000002</v>
      </c>
      <c r="H17" s="5">
        <v>-1.0324599999999999</v>
      </c>
      <c r="I17" s="5">
        <v>1</v>
      </c>
      <c r="L17" s="2" t="s">
        <v>1132</v>
      </c>
      <c r="M17" s="2">
        <v>1.1517500000000001</v>
      </c>
    </row>
    <row r="18" spans="1:13" x14ac:dyDescent="0.2">
      <c r="A18" s="5" t="s">
        <v>34</v>
      </c>
      <c r="B18" s="5" t="s">
        <v>3281</v>
      </c>
      <c r="C18" s="2" t="s">
        <v>2367</v>
      </c>
      <c r="D18" s="5" t="s">
        <v>1836</v>
      </c>
      <c r="E18" s="5" t="s">
        <v>1838</v>
      </c>
      <c r="F18" s="5">
        <v>9.2355999999999998</v>
      </c>
      <c r="G18" s="5">
        <v>1.83338</v>
      </c>
      <c r="H18" s="5">
        <v>-2.3327</v>
      </c>
      <c r="I18" s="5">
        <v>1</v>
      </c>
      <c r="L18" s="2" t="s">
        <v>1133</v>
      </c>
      <c r="M18" s="2">
        <v>1.1519999999999999</v>
      </c>
    </row>
    <row r="19" spans="1:13" x14ac:dyDescent="0.2">
      <c r="A19" s="5" t="s">
        <v>1132</v>
      </c>
      <c r="B19" s="5" t="s">
        <v>3015</v>
      </c>
      <c r="C19" s="2" t="s">
        <v>2368</v>
      </c>
      <c r="D19" s="5" t="s">
        <v>1836</v>
      </c>
      <c r="E19" s="5" t="s">
        <v>1838</v>
      </c>
      <c r="F19" s="5">
        <v>0.38418600000000003</v>
      </c>
      <c r="G19" s="5">
        <v>0.85360000000000003</v>
      </c>
      <c r="H19" s="5">
        <v>1.1517500000000001</v>
      </c>
      <c r="I19" s="5">
        <v>1</v>
      </c>
      <c r="L19" s="2" t="s">
        <v>38</v>
      </c>
      <c r="M19" s="2">
        <v>-1.62741</v>
      </c>
    </row>
    <row r="20" spans="1:13" x14ac:dyDescent="0.2">
      <c r="A20" s="5" t="s">
        <v>1133</v>
      </c>
      <c r="B20" s="5" t="s">
        <v>3015</v>
      </c>
      <c r="C20" s="2" t="s">
        <v>2369</v>
      </c>
      <c r="D20" s="5" t="s">
        <v>1836</v>
      </c>
      <c r="E20" s="5" t="s">
        <v>1838</v>
      </c>
      <c r="F20" s="5">
        <v>0.54098000000000002</v>
      </c>
      <c r="G20" s="5">
        <v>1.20217</v>
      </c>
      <c r="H20" s="5">
        <v>1.1519999999999999</v>
      </c>
      <c r="I20" s="5">
        <v>1</v>
      </c>
      <c r="L20" s="2" t="s">
        <v>1135</v>
      </c>
      <c r="M20" s="2">
        <v>-1.74505</v>
      </c>
    </row>
    <row r="21" spans="1:13" x14ac:dyDescent="0.2">
      <c r="A21" s="5" t="s">
        <v>38</v>
      </c>
      <c r="B21" s="5" t="s">
        <v>3035</v>
      </c>
      <c r="C21" s="2" t="s">
        <v>1892</v>
      </c>
      <c r="D21" s="5" t="s">
        <v>1836</v>
      </c>
      <c r="E21" s="5" t="s">
        <v>1838</v>
      </c>
      <c r="F21" s="5">
        <v>44.583599999999997</v>
      </c>
      <c r="G21" s="5">
        <v>14.430300000000001</v>
      </c>
      <c r="H21" s="5">
        <v>-1.62741</v>
      </c>
      <c r="I21" s="5">
        <v>1</v>
      </c>
      <c r="L21" s="2" t="s">
        <v>1136</v>
      </c>
      <c r="M21" s="2">
        <v>-3.0339999999999998</v>
      </c>
    </row>
    <row r="22" spans="1:13" x14ac:dyDescent="0.2">
      <c r="A22" s="5" t="s">
        <v>1135</v>
      </c>
      <c r="B22" s="5" t="s">
        <v>3015</v>
      </c>
      <c r="C22" s="2" t="s">
        <v>2370</v>
      </c>
      <c r="D22" s="5" t="s">
        <v>1836</v>
      </c>
      <c r="E22" s="5" t="s">
        <v>1838</v>
      </c>
      <c r="F22" s="5">
        <v>1.22997</v>
      </c>
      <c r="G22" s="5">
        <v>0.36692900000000001</v>
      </c>
      <c r="H22" s="5">
        <v>-1.74505</v>
      </c>
      <c r="I22" s="5">
        <v>1</v>
      </c>
      <c r="L22" s="2" t="s">
        <v>1138</v>
      </c>
      <c r="M22" s="2">
        <v>-1.5093700000000001</v>
      </c>
    </row>
    <row r="23" spans="1:13" x14ac:dyDescent="0.2">
      <c r="A23" s="5" t="s">
        <v>1136</v>
      </c>
      <c r="B23" s="5" t="s">
        <v>3015</v>
      </c>
      <c r="C23" s="2" t="s">
        <v>2371</v>
      </c>
      <c r="D23" s="5" t="s">
        <v>1836</v>
      </c>
      <c r="E23" s="5" t="s">
        <v>1838</v>
      </c>
      <c r="F23" s="5">
        <v>0.80851499999999998</v>
      </c>
      <c r="G23" s="5">
        <v>9.8710699999999998E-2</v>
      </c>
      <c r="H23" s="5">
        <v>-3.0339999999999998</v>
      </c>
      <c r="I23" s="5">
        <v>1</v>
      </c>
      <c r="L23" s="2" t="s">
        <v>1139</v>
      </c>
      <c r="M23" s="2">
        <v>-1.34657</v>
      </c>
    </row>
    <row r="24" spans="1:13" x14ac:dyDescent="0.2">
      <c r="A24" s="5" t="s">
        <v>1137</v>
      </c>
      <c r="B24" s="5" t="s">
        <v>3015</v>
      </c>
      <c r="C24" s="2" t="s">
        <v>3496</v>
      </c>
      <c r="D24" s="5" t="s">
        <v>1836</v>
      </c>
      <c r="E24" s="5" t="s">
        <v>1838</v>
      </c>
      <c r="F24" s="5">
        <v>0</v>
      </c>
      <c r="G24" s="5">
        <v>1.2870999999999999</v>
      </c>
      <c r="H24" s="5" t="s">
        <v>3021</v>
      </c>
      <c r="I24" s="5" t="s">
        <v>3021</v>
      </c>
      <c r="L24" s="2" t="s">
        <v>1140</v>
      </c>
      <c r="M24" s="2">
        <v>1.2892399999999999</v>
      </c>
    </row>
    <row r="25" spans="1:13" x14ac:dyDescent="0.2">
      <c r="A25" s="5" t="s">
        <v>1138</v>
      </c>
      <c r="B25" s="5" t="s">
        <v>3089</v>
      </c>
      <c r="C25" s="2" t="s">
        <v>2372</v>
      </c>
      <c r="D25" s="5" t="s">
        <v>1836</v>
      </c>
      <c r="E25" s="5" t="s">
        <v>1838</v>
      </c>
      <c r="F25" s="5">
        <v>3.6878199999999999</v>
      </c>
      <c r="G25" s="5">
        <v>1.2954000000000001</v>
      </c>
      <c r="H25" s="5">
        <v>-1.5093700000000001</v>
      </c>
      <c r="I25" s="5">
        <v>1</v>
      </c>
      <c r="L25" s="2" t="s">
        <v>1142</v>
      </c>
      <c r="M25" s="2">
        <v>-1.5915900000000001</v>
      </c>
    </row>
    <row r="26" spans="1:13" x14ac:dyDescent="0.2">
      <c r="A26" s="5" t="s">
        <v>1139</v>
      </c>
      <c r="B26" s="5" t="s">
        <v>3015</v>
      </c>
      <c r="C26" s="2" t="s">
        <v>1917</v>
      </c>
      <c r="D26" s="5" t="s">
        <v>1836</v>
      </c>
      <c r="E26" s="5" t="s">
        <v>1838</v>
      </c>
      <c r="F26" s="5">
        <v>2.33988</v>
      </c>
      <c r="G26" s="5">
        <v>0.92010199999999998</v>
      </c>
      <c r="H26" s="5">
        <v>-1.34657</v>
      </c>
      <c r="I26" s="5">
        <v>1</v>
      </c>
      <c r="L26" s="2" t="s">
        <v>1143</v>
      </c>
      <c r="M26" s="2">
        <v>3.7935599999999998</v>
      </c>
    </row>
    <row r="27" spans="1:13" x14ac:dyDescent="0.2">
      <c r="A27" s="5" t="s">
        <v>1140</v>
      </c>
      <c r="B27" s="5" t="s">
        <v>3282</v>
      </c>
      <c r="C27" s="2" t="s">
        <v>2373</v>
      </c>
      <c r="D27" s="5" t="s">
        <v>1836</v>
      </c>
      <c r="E27" s="5" t="s">
        <v>1838</v>
      </c>
      <c r="F27" s="5">
        <v>0.69743999999999995</v>
      </c>
      <c r="G27" s="5">
        <v>1.7045399999999999</v>
      </c>
      <c r="H27" s="5">
        <v>1.2892399999999999</v>
      </c>
      <c r="I27" s="5">
        <v>1</v>
      </c>
      <c r="L27" s="2" t="s">
        <v>1144</v>
      </c>
      <c r="M27" s="2">
        <v>1.0559499999999999</v>
      </c>
    </row>
    <row r="28" spans="1:13" x14ac:dyDescent="0.2">
      <c r="A28" s="5" t="s">
        <v>1142</v>
      </c>
      <c r="B28" s="5" t="s">
        <v>3283</v>
      </c>
      <c r="C28" s="2" t="s">
        <v>2374</v>
      </c>
      <c r="D28" s="5" t="s">
        <v>1836</v>
      </c>
      <c r="E28" s="5" t="s">
        <v>1838</v>
      </c>
      <c r="F28" s="5">
        <v>1.3757699999999999</v>
      </c>
      <c r="G28" s="5">
        <v>0.456488</v>
      </c>
      <c r="H28" s="5">
        <v>-1.5915900000000001</v>
      </c>
      <c r="I28" s="5">
        <v>1</v>
      </c>
      <c r="L28" s="2" t="s">
        <v>52</v>
      </c>
      <c r="M28" s="2">
        <v>1.0729</v>
      </c>
    </row>
    <row r="29" spans="1:13" x14ac:dyDescent="0.2">
      <c r="A29" s="5" t="s">
        <v>1143</v>
      </c>
      <c r="B29" s="5" t="s">
        <v>3179</v>
      </c>
      <c r="C29" s="2" t="s">
        <v>2375</v>
      </c>
      <c r="D29" s="5" t="s">
        <v>1836</v>
      </c>
      <c r="E29" s="5" t="s">
        <v>1838</v>
      </c>
      <c r="F29" s="5">
        <v>0.117338</v>
      </c>
      <c r="G29" s="5">
        <v>1.6271</v>
      </c>
      <c r="H29" s="5">
        <v>3.7935599999999998</v>
      </c>
      <c r="I29" s="5">
        <v>1</v>
      </c>
      <c r="L29" s="2" t="s">
        <v>1146</v>
      </c>
      <c r="M29" s="2">
        <v>1.8774599999999999</v>
      </c>
    </row>
    <row r="30" spans="1:13" x14ac:dyDescent="0.2">
      <c r="A30" s="5" t="s">
        <v>1144</v>
      </c>
      <c r="B30" s="5" t="s">
        <v>3171</v>
      </c>
      <c r="C30" s="2" t="s">
        <v>2376</v>
      </c>
      <c r="D30" s="5" t="s">
        <v>1836</v>
      </c>
      <c r="E30" s="5" t="s">
        <v>1838</v>
      </c>
      <c r="F30" s="5">
        <v>0.38331100000000001</v>
      </c>
      <c r="G30" s="5">
        <v>0.79693800000000004</v>
      </c>
      <c r="H30" s="5">
        <v>1.0559499999999999</v>
      </c>
      <c r="I30" s="5">
        <v>1</v>
      </c>
      <c r="L30" s="2" t="s">
        <v>1147</v>
      </c>
      <c r="M30" s="2">
        <v>1.8406400000000001</v>
      </c>
    </row>
    <row r="31" spans="1:13" x14ac:dyDescent="0.2">
      <c r="A31" s="5" t="s">
        <v>52</v>
      </c>
      <c r="B31" s="5" t="s">
        <v>3015</v>
      </c>
      <c r="C31" s="2" t="s">
        <v>2377</v>
      </c>
      <c r="D31" s="5" t="s">
        <v>1836</v>
      </c>
      <c r="E31" s="5" t="s">
        <v>1838</v>
      </c>
      <c r="F31" s="5">
        <v>1.27573</v>
      </c>
      <c r="G31" s="5">
        <v>2.6837</v>
      </c>
      <c r="H31" s="5">
        <v>1.0729</v>
      </c>
      <c r="I31" s="5">
        <v>1</v>
      </c>
      <c r="L31" s="2" t="s">
        <v>1148</v>
      </c>
      <c r="M31" s="2">
        <v>-2.2762799999999999</v>
      </c>
    </row>
    <row r="32" spans="1:13" x14ac:dyDescent="0.2">
      <c r="A32" s="5" t="s">
        <v>1146</v>
      </c>
      <c r="B32" s="5" t="s">
        <v>3284</v>
      </c>
      <c r="C32" s="2" t="s">
        <v>2378</v>
      </c>
      <c r="D32" s="5" t="s">
        <v>1836</v>
      </c>
      <c r="E32" s="5" t="s">
        <v>1838</v>
      </c>
      <c r="F32" s="5">
        <v>4.0926499999999999</v>
      </c>
      <c r="G32" s="5">
        <v>15.0375</v>
      </c>
      <c r="H32" s="5">
        <v>1.8774599999999999</v>
      </c>
      <c r="I32" s="5">
        <v>1</v>
      </c>
      <c r="L32" s="2" t="s">
        <v>1149</v>
      </c>
      <c r="M32" s="2">
        <v>-1.1818200000000001</v>
      </c>
    </row>
    <row r="33" spans="1:13" x14ac:dyDescent="0.2">
      <c r="A33" s="5" t="s">
        <v>1147</v>
      </c>
      <c r="B33" s="5" t="s">
        <v>3285</v>
      </c>
      <c r="C33" s="2" t="s">
        <v>2379</v>
      </c>
      <c r="D33" s="5" t="s">
        <v>1836</v>
      </c>
      <c r="E33" s="5" t="s">
        <v>1838</v>
      </c>
      <c r="F33" s="5">
        <v>0.70819200000000004</v>
      </c>
      <c r="G33" s="5">
        <v>2.5365199999999999</v>
      </c>
      <c r="H33" s="5">
        <v>1.8406400000000001</v>
      </c>
      <c r="I33" s="5">
        <v>1</v>
      </c>
      <c r="L33" s="2" t="s">
        <v>56</v>
      </c>
      <c r="M33" s="2">
        <v>-1.6666099999999999</v>
      </c>
    </row>
    <row r="34" spans="1:13" x14ac:dyDescent="0.2">
      <c r="A34" s="5" t="s">
        <v>1148</v>
      </c>
      <c r="B34" s="5" t="s">
        <v>3015</v>
      </c>
      <c r="C34" s="2" t="s">
        <v>2380</v>
      </c>
      <c r="D34" s="5" t="s">
        <v>1836</v>
      </c>
      <c r="E34" s="5" t="s">
        <v>1838</v>
      </c>
      <c r="F34" s="5">
        <v>0.92591199999999996</v>
      </c>
      <c r="G34" s="5">
        <v>0.191135</v>
      </c>
      <c r="H34" s="5">
        <v>-2.2762799999999999</v>
      </c>
      <c r="I34" s="5">
        <v>1</v>
      </c>
      <c r="L34" s="2" t="s">
        <v>1150</v>
      </c>
      <c r="M34" s="2">
        <v>-2.0948699999999998</v>
      </c>
    </row>
    <row r="35" spans="1:13" x14ac:dyDescent="0.2">
      <c r="A35" s="5" t="s">
        <v>1149</v>
      </c>
      <c r="B35" s="5" t="s">
        <v>3024</v>
      </c>
      <c r="C35" s="2" t="s">
        <v>2381</v>
      </c>
      <c r="D35" s="5" t="s">
        <v>1836</v>
      </c>
      <c r="E35" s="5" t="s">
        <v>1838</v>
      </c>
      <c r="F35" s="5">
        <v>2.7280099999999998</v>
      </c>
      <c r="G35" s="5">
        <v>1.2024900000000001</v>
      </c>
      <c r="H35" s="5">
        <v>-1.1818200000000001</v>
      </c>
      <c r="I35" s="5">
        <v>1</v>
      </c>
      <c r="L35" s="2" t="s">
        <v>60</v>
      </c>
      <c r="M35" s="2">
        <v>2.0200399999999998</v>
      </c>
    </row>
    <row r="36" spans="1:13" x14ac:dyDescent="0.2">
      <c r="A36" s="5" t="s">
        <v>56</v>
      </c>
      <c r="B36" s="5" t="s">
        <v>3040</v>
      </c>
      <c r="C36" s="2" t="s">
        <v>1869</v>
      </c>
      <c r="D36" s="5" t="s">
        <v>1836</v>
      </c>
      <c r="E36" s="5" t="s">
        <v>1838</v>
      </c>
      <c r="F36" s="5">
        <v>81.445899999999995</v>
      </c>
      <c r="G36" s="5">
        <v>25.654900000000001</v>
      </c>
      <c r="H36" s="5">
        <v>-1.6666099999999999</v>
      </c>
      <c r="I36" s="5">
        <v>1</v>
      </c>
      <c r="L36" s="2" t="s">
        <v>65</v>
      </c>
      <c r="M36" s="2">
        <v>-1.7162500000000001</v>
      </c>
    </row>
    <row r="37" spans="1:13" x14ac:dyDescent="0.2">
      <c r="A37" s="5" t="s">
        <v>1150</v>
      </c>
      <c r="B37" s="5" t="s">
        <v>3286</v>
      </c>
      <c r="C37" s="2" t="s">
        <v>2382</v>
      </c>
      <c r="D37" s="5" t="s">
        <v>1836</v>
      </c>
      <c r="E37" s="5" t="s">
        <v>1838</v>
      </c>
      <c r="F37" s="5">
        <v>0.81876700000000002</v>
      </c>
      <c r="G37" s="5">
        <v>0.191665</v>
      </c>
      <c r="H37" s="5">
        <v>-2.0948699999999998</v>
      </c>
      <c r="I37" s="5">
        <v>1</v>
      </c>
      <c r="L37" s="2" t="s">
        <v>66</v>
      </c>
      <c r="M37" s="2">
        <v>-1.3847799999999999</v>
      </c>
    </row>
    <row r="38" spans="1:13" x14ac:dyDescent="0.2">
      <c r="A38" s="5" t="s">
        <v>60</v>
      </c>
      <c r="B38" s="5" t="s">
        <v>3015</v>
      </c>
      <c r="C38" s="2" t="s">
        <v>1871</v>
      </c>
      <c r="D38" s="5" t="s">
        <v>1836</v>
      </c>
      <c r="E38" s="5" t="s">
        <v>1838</v>
      </c>
      <c r="F38" s="5">
        <v>1.17746</v>
      </c>
      <c r="G38" s="5">
        <v>4.7757300000000003</v>
      </c>
      <c r="H38" s="5">
        <v>2.0200399999999998</v>
      </c>
      <c r="I38" s="5">
        <v>1</v>
      </c>
      <c r="L38" s="2" t="s">
        <v>68</v>
      </c>
      <c r="M38" s="2">
        <v>-2.4935999999999998</v>
      </c>
    </row>
    <row r="39" spans="1:13" x14ac:dyDescent="0.2">
      <c r="A39" s="5" t="s">
        <v>65</v>
      </c>
      <c r="B39" s="5" t="s">
        <v>3015</v>
      </c>
      <c r="C39" s="2" t="s">
        <v>1876</v>
      </c>
      <c r="D39" s="5" t="s">
        <v>1836</v>
      </c>
      <c r="E39" s="5" t="s">
        <v>1838</v>
      </c>
      <c r="F39" s="5">
        <v>17.822399999999998</v>
      </c>
      <c r="G39" s="5">
        <v>5.4240399999999998</v>
      </c>
      <c r="H39" s="5">
        <v>-1.7162500000000001</v>
      </c>
      <c r="I39" s="5">
        <v>1</v>
      </c>
      <c r="L39" s="2" t="s">
        <v>69</v>
      </c>
      <c r="M39" s="2">
        <v>-2.4079100000000002</v>
      </c>
    </row>
    <row r="40" spans="1:13" x14ac:dyDescent="0.2">
      <c r="A40" s="5" t="s">
        <v>66</v>
      </c>
      <c r="B40" s="5" t="s">
        <v>3015</v>
      </c>
      <c r="C40" s="2" t="s">
        <v>1877</v>
      </c>
      <c r="D40" s="5" t="s">
        <v>1836</v>
      </c>
      <c r="E40" s="5" t="s">
        <v>1838</v>
      </c>
      <c r="F40" s="5">
        <v>2.3613400000000002</v>
      </c>
      <c r="G40" s="5">
        <v>0.90427000000000002</v>
      </c>
      <c r="H40" s="5">
        <v>-1.3847799999999999</v>
      </c>
      <c r="I40" s="5">
        <v>1</v>
      </c>
      <c r="L40" s="2" t="s">
        <v>71</v>
      </c>
      <c r="M40" s="2">
        <v>-1.2005999999999999</v>
      </c>
    </row>
    <row r="41" spans="1:13" x14ac:dyDescent="0.2">
      <c r="A41" s="5" t="s">
        <v>68</v>
      </c>
      <c r="B41" s="5" t="s">
        <v>3015</v>
      </c>
      <c r="C41" s="2" t="s">
        <v>2383</v>
      </c>
      <c r="D41" s="5" t="s">
        <v>1836</v>
      </c>
      <c r="E41" s="5" t="s">
        <v>1838</v>
      </c>
      <c r="F41" s="5">
        <v>197.17</v>
      </c>
      <c r="G41" s="5">
        <v>35.01</v>
      </c>
      <c r="H41" s="5">
        <v>-2.4935999999999998</v>
      </c>
      <c r="I41" s="5">
        <v>1</v>
      </c>
      <c r="L41" s="2" t="s">
        <v>1152</v>
      </c>
      <c r="M41" s="2">
        <v>1.2865200000000001</v>
      </c>
    </row>
    <row r="42" spans="1:13" x14ac:dyDescent="0.2">
      <c r="A42" s="5" t="s">
        <v>69</v>
      </c>
      <c r="B42" s="5" t="s">
        <v>3047</v>
      </c>
      <c r="C42" s="2" t="s">
        <v>1879</v>
      </c>
      <c r="D42" s="5" t="s">
        <v>1836</v>
      </c>
      <c r="E42" s="5" t="s">
        <v>1838</v>
      </c>
      <c r="F42" s="5">
        <v>4.0621799999999997</v>
      </c>
      <c r="G42" s="5">
        <v>0.765428</v>
      </c>
      <c r="H42" s="5">
        <v>-2.4079100000000002</v>
      </c>
      <c r="I42" s="5">
        <v>1</v>
      </c>
      <c r="L42" s="2" t="s">
        <v>75</v>
      </c>
      <c r="M42" s="2">
        <v>-1.1065499999999999</v>
      </c>
    </row>
    <row r="43" spans="1:13" x14ac:dyDescent="0.2">
      <c r="A43" s="5" t="s">
        <v>71</v>
      </c>
      <c r="B43" s="5" t="s">
        <v>3133</v>
      </c>
      <c r="C43" s="2" t="s">
        <v>2031</v>
      </c>
      <c r="D43" s="5" t="s">
        <v>1836</v>
      </c>
      <c r="E43" s="5" t="s">
        <v>1838</v>
      </c>
      <c r="F43" s="5">
        <v>7.2208800000000002</v>
      </c>
      <c r="G43" s="5">
        <v>3.1417600000000001</v>
      </c>
      <c r="H43" s="5">
        <v>-1.2005999999999999</v>
      </c>
      <c r="I43" s="5">
        <v>1</v>
      </c>
      <c r="L43" s="2" t="s">
        <v>77</v>
      </c>
      <c r="M43" s="2">
        <v>-1.0238100000000001</v>
      </c>
    </row>
    <row r="44" spans="1:13" x14ac:dyDescent="0.2">
      <c r="A44" s="5" t="s">
        <v>1152</v>
      </c>
      <c r="B44" s="5" t="s">
        <v>3030</v>
      </c>
      <c r="C44" s="2" t="s">
        <v>1847</v>
      </c>
      <c r="D44" s="5" t="s">
        <v>1836</v>
      </c>
      <c r="E44" s="5" t="s">
        <v>1838</v>
      </c>
      <c r="F44" s="5">
        <v>1.1608499999999999</v>
      </c>
      <c r="G44" s="5">
        <v>2.83175</v>
      </c>
      <c r="H44" s="5">
        <v>1.2865200000000001</v>
      </c>
      <c r="I44" s="5">
        <v>1</v>
      </c>
      <c r="L44" s="2" t="s">
        <v>1153</v>
      </c>
      <c r="M44" s="2">
        <v>-1.4082300000000001</v>
      </c>
    </row>
    <row r="45" spans="1:13" x14ac:dyDescent="0.2">
      <c r="A45" s="5" t="s">
        <v>75</v>
      </c>
      <c r="B45" s="5" t="s">
        <v>3258</v>
      </c>
      <c r="C45" s="2" t="s">
        <v>2384</v>
      </c>
      <c r="D45" s="5" t="s">
        <v>1836</v>
      </c>
      <c r="E45" s="5" t="s">
        <v>1838</v>
      </c>
      <c r="F45" s="5">
        <v>5.9261799999999996</v>
      </c>
      <c r="G45" s="5">
        <v>2.7521399999999998</v>
      </c>
      <c r="H45" s="5">
        <v>-1.1065499999999999</v>
      </c>
      <c r="I45" s="5">
        <v>1</v>
      </c>
      <c r="L45" s="2" t="s">
        <v>80</v>
      </c>
      <c r="M45" s="2">
        <v>-1.26485</v>
      </c>
    </row>
    <row r="46" spans="1:13" x14ac:dyDescent="0.2">
      <c r="A46" s="5" t="s">
        <v>77</v>
      </c>
      <c r="B46" s="5" t="s">
        <v>3188</v>
      </c>
      <c r="C46" s="2" t="s">
        <v>2385</v>
      </c>
      <c r="D46" s="5" t="s">
        <v>1836</v>
      </c>
      <c r="E46" s="5" t="s">
        <v>1838</v>
      </c>
      <c r="F46" s="5">
        <v>90.296000000000006</v>
      </c>
      <c r="G46" s="5">
        <v>44.408999999999999</v>
      </c>
      <c r="H46" s="5">
        <v>-1.0238100000000001</v>
      </c>
      <c r="I46" s="5">
        <v>1</v>
      </c>
      <c r="L46" s="2" t="s">
        <v>81</v>
      </c>
      <c r="M46" s="2">
        <v>-1.3254699999999999</v>
      </c>
    </row>
    <row r="47" spans="1:13" x14ac:dyDescent="0.2">
      <c r="A47" s="5" t="s">
        <v>1153</v>
      </c>
      <c r="B47" s="5" t="s">
        <v>3049</v>
      </c>
      <c r="C47" s="2" t="s">
        <v>2006</v>
      </c>
      <c r="D47" s="5" t="s">
        <v>1836</v>
      </c>
      <c r="E47" s="5" t="s">
        <v>1838</v>
      </c>
      <c r="F47" s="5">
        <v>0.94909299999999996</v>
      </c>
      <c r="G47" s="5">
        <v>0.35759299999999999</v>
      </c>
      <c r="H47" s="5">
        <v>-1.4082300000000001</v>
      </c>
      <c r="I47" s="5">
        <v>1</v>
      </c>
      <c r="L47" s="2" t="s">
        <v>82</v>
      </c>
      <c r="M47" s="2">
        <v>1.8174300000000001</v>
      </c>
    </row>
    <row r="48" spans="1:13" x14ac:dyDescent="0.2">
      <c r="A48" s="5" t="s">
        <v>80</v>
      </c>
      <c r="B48" s="5" t="s">
        <v>3287</v>
      </c>
      <c r="C48" s="2" t="s">
        <v>2045</v>
      </c>
      <c r="D48" s="5" t="s">
        <v>1836</v>
      </c>
      <c r="E48" s="5" t="s">
        <v>1838</v>
      </c>
      <c r="F48" s="5">
        <v>8.4488199999999996</v>
      </c>
      <c r="G48" s="5">
        <v>3.5159199999999999</v>
      </c>
      <c r="H48" s="5">
        <v>-1.26485</v>
      </c>
      <c r="I48" s="5">
        <v>1</v>
      </c>
      <c r="L48" s="2" t="s">
        <v>83</v>
      </c>
      <c r="M48" s="2">
        <v>-1.43729</v>
      </c>
    </row>
    <row r="49" spans="1:13" x14ac:dyDescent="0.2">
      <c r="A49" s="5" t="s">
        <v>81</v>
      </c>
      <c r="B49" s="5" t="s">
        <v>3271</v>
      </c>
      <c r="C49" s="2" t="s">
        <v>2386</v>
      </c>
      <c r="D49" s="5" t="s">
        <v>1836</v>
      </c>
      <c r="E49" s="5" t="s">
        <v>1838</v>
      </c>
      <c r="F49" s="5">
        <v>4.8410299999999999</v>
      </c>
      <c r="G49" s="5">
        <v>1.93167</v>
      </c>
      <c r="H49" s="5">
        <v>-1.3254699999999999</v>
      </c>
      <c r="I49" s="5">
        <v>1</v>
      </c>
      <c r="L49" s="2" t="s">
        <v>84</v>
      </c>
      <c r="M49" s="2">
        <v>-1.8532999999999999</v>
      </c>
    </row>
    <row r="50" spans="1:13" x14ac:dyDescent="0.2">
      <c r="A50" s="5" t="s">
        <v>82</v>
      </c>
      <c r="B50" s="5" t="s">
        <v>3048</v>
      </c>
      <c r="C50" s="2" t="s">
        <v>1881</v>
      </c>
      <c r="D50" s="5" t="s">
        <v>1836</v>
      </c>
      <c r="E50" s="5" t="s">
        <v>1838</v>
      </c>
      <c r="F50" s="5">
        <v>0.47378100000000001</v>
      </c>
      <c r="G50" s="5">
        <v>1.6698599999999999</v>
      </c>
      <c r="H50" s="5">
        <v>1.8174300000000001</v>
      </c>
      <c r="I50" s="5">
        <v>1</v>
      </c>
      <c r="L50" s="2" t="s">
        <v>1155</v>
      </c>
      <c r="M50" s="2">
        <v>-1.6398299999999999</v>
      </c>
    </row>
    <row r="51" spans="1:13" x14ac:dyDescent="0.2">
      <c r="A51" s="5" t="s">
        <v>83</v>
      </c>
      <c r="B51" s="5" t="s">
        <v>3288</v>
      </c>
      <c r="C51" s="2" t="s">
        <v>2387</v>
      </c>
      <c r="D51" s="5" t="s">
        <v>1836</v>
      </c>
      <c r="E51" s="5" t="s">
        <v>1838</v>
      </c>
      <c r="F51" s="5">
        <v>8.71706</v>
      </c>
      <c r="G51" s="5">
        <v>3.2188699999999999</v>
      </c>
      <c r="H51" s="5">
        <v>-1.43729</v>
      </c>
      <c r="I51" s="5">
        <v>1</v>
      </c>
      <c r="L51" s="2" t="s">
        <v>1156</v>
      </c>
      <c r="M51" s="2">
        <v>-1.0217400000000001</v>
      </c>
    </row>
    <row r="52" spans="1:13" x14ac:dyDescent="0.2">
      <c r="A52" s="5" t="s">
        <v>84</v>
      </c>
      <c r="B52" s="5" t="s">
        <v>3288</v>
      </c>
      <c r="C52" s="2" t="s">
        <v>2388</v>
      </c>
      <c r="D52" s="5" t="s">
        <v>1836</v>
      </c>
      <c r="E52" s="5" t="s">
        <v>1838</v>
      </c>
      <c r="F52" s="5">
        <v>2.7646600000000001</v>
      </c>
      <c r="G52" s="5">
        <v>0.76514300000000002</v>
      </c>
      <c r="H52" s="5">
        <v>-1.8532999999999999</v>
      </c>
      <c r="I52" s="5">
        <v>1</v>
      </c>
      <c r="L52" s="2" t="s">
        <v>89</v>
      </c>
      <c r="M52" s="2">
        <v>-1.25132</v>
      </c>
    </row>
    <row r="53" spans="1:13" x14ac:dyDescent="0.2">
      <c r="A53" s="5" t="s">
        <v>1155</v>
      </c>
      <c r="B53" s="5" t="s">
        <v>3189</v>
      </c>
      <c r="C53" s="2" t="s">
        <v>2389</v>
      </c>
      <c r="D53" s="5" t="s">
        <v>1836</v>
      </c>
      <c r="E53" s="5" t="s">
        <v>1838</v>
      </c>
      <c r="F53" s="5">
        <v>1.12731</v>
      </c>
      <c r="G53" s="5">
        <v>0.36174699999999999</v>
      </c>
      <c r="H53" s="5">
        <v>-1.6398299999999999</v>
      </c>
      <c r="I53" s="5">
        <v>1</v>
      </c>
      <c r="L53" s="2" t="s">
        <v>90</v>
      </c>
      <c r="M53" s="2">
        <v>1.10314</v>
      </c>
    </row>
    <row r="54" spans="1:13" x14ac:dyDescent="0.2">
      <c r="A54" s="5" t="s">
        <v>1156</v>
      </c>
      <c r="B54" s="5" t="s">
        <v>3015</v>
      </c>
      <c r="C54" s="2" t="s">
        <v>2390</v>
      </c>
      <c r="D54" s="5" t="s">
        <v>1836</v>
      </c>
      <c r="E54" s="5" t="s">
        <v>1838</v>
      </c>
      <c r="F54" s="5">
        <v>62.140599999999999</v>
      </c>
      <c r="G54" s="5">
        <v>30.605599999999999</v>
      </c>
      <c r="H54" s="5">
        <v>-1.0217400000000001</v>
      </c>
      <c r="I54" s="5">
        <v>1</v>
      </c>
      <c r="L54" s="2" t="s">
        <v>91</v>
      </c>
      <c r="M54" s="2">
        <v>-1.24675</v>
      </c>
    </row>
    <row r="55" spans="1:13" x14ac:dyDescent="0.2">
      <c r="A55" s="5" t="s">
        <v>89</v>
      </c>
      <c r="B55" s="5" t="s">
        <v>3046</v>
      </c>
      <c r="C55" s="2" t="s">
        <v>1882</v>
      </c>
      <c r="D55" s="5" t="s">
        <v>1836</v>
      </c>
      <c r="E55" s="5" t="s">
        <v>1838</v>
      </c>
      <c r="F55" s="5">
        <v>2.21008</v>
      </c>
      <c r="G55" s="5">
        <v>0.92837400000000003</v>
      </c>
      <c r="H55" s="5">
        <v>-1.25132</v>
      </c>
      <c r="I55" s="5">
        <v>1</v>
      </c>
      <c r="L55" s="2" t="s">
        <v>1157</v>
      </c>
      <c r="M55" s="2">
        <v>-1.1711400000000001</v>
      </c>
    </row>
    <row r="56" spans="1:13" x14ac:dyDescent="0.2">
      <c r="A56" s="5" t="s">
        <v>90</v>
      </c>
      <c r="B56" s="5" t="s">
        <v>3046</v>
      </c>
      <c r="C56" s="2" t="s">
        <v>3496</v>
      </c>
      <c r="D56" s="5" t="s">
        <v>1836</v>
      </c>
      <c r="E56" s="5" t="s">
        <v>1838</v>
      </c>
      <c r="F56" s="5">
        <v>2.78518</v>
      </c>
      <c r="G56" s="5">
        <v>5.9831599999999998</v>
      </c>
      <c r="H56" s="5">
        <v>1.10314</v>
      </c>
      <c r="I56" s="5">
        <v>1</v>
      </c>
      <c r="L56" s="2" t="s">
        <v>93</v>
      </c>
      <c r="M56" s="2">
        <v>-1.1708799999999999</v>
      </c>
    </row>
    <row r="57" spans="1:13" x14ac:dyDescent="0.2">
      <c r="A57" s="5" t="s">
        <v>91</v>
      </c>
      <c r="B57" s="5" t="s">
        <v>3030</v>
      </c>
      <c r="C57" s="2" t="s">
        <v>1880</v>
      </c>
      <c r="D57" s="5" t="s">
        <v>1836</v>
      </c>
      <c r="E57" s="5" t="s">
        <v>1838</v>
      </c>
      <c r="F57" s="5">
        <v>2.6052399999999998</v>
      </c>
      <c r="G57" s="5">
        <v>1.0978399999999999</v>
      </c>
      <c r="H57" s="5">
        <v>-1.24675</v>
      </c>
      <c r="I57" s="5">
        <v>1</v>
      </c>
      <c r="L57" s="2" t="s">
        <v>94</v>
      </c>
      <c r="M57" s="2">
        <v>-1.2482200000000001</v>
      </c>
    </row>
    <row r="58" spans="1:13" x14ac:dyDescent="0.2">
      <c r="A58" s="5" t="s">
        <v>1157</v>
      </c>
      <c r="B58" s="5" t="s">
        <v>3286</v>
      </c>
      <c r="C58" s="2" t="s">
        <v>2391</v>
      </c>
      <c r="D58" s="5" t="s">
        <v>1836</v>
      </c>
      <c r="E58" s="5" t="s">
        <v>1838</v>
      </c>
      <c r="F58" s="5">
        <v>12.100899999999999</v>
      </c>
      <c r="G58" s="5">
        <v>5.3736699999999997</v>
      </c>
      <c r="H58" s="5">
        <v>-1.1711400000000001</v>
      </c>
      <c r="I58" s="5">
        <v>1</v>
      </c>
      <c r="L58" s="2" t="s">
        <v>98</v>
      </c>
      <c r="M58" s="2">
        <v>-2.3152900000000001</v>
      </c>
    </row>
    <row r="59" spans="1:13" x14ac:dyDescent="0.2">
      <c r="A59" s="5" t="s">
        <v>93</v>
      </c>
      <c r="B59" s="5" t="s">
        <v>3015</v>
      </c>
      <c r="C59" s="2" t="s">
        <v>1844</v>
      </c>
      <c r="D59" s="5" t="s">
        <v>1836</v>
      </c>
      <c r="E59" s="5" t="s">
        <v>1838</v>
      </c>
      <c r="F59" s="5">
        <v>1.9734700000000001</v>
      </c>
      <c r="G59" s="5">
        <v>0.87651599999999996</v>
      </c>
      <c r="H59" s="5">
        <v>-1.1708799999999999</v>
      </c>
      <c r="I59" s="5">
        <v>1</v>
      </c>
      <c r="L59" s="2" t="s">
        <v>102</v>
      </c>
      <c r="M59" s="2">
        <v>-1.9333</v>
      </c>
    </row>
    <row r="60" spans="1:13" x14ac:dyDescent="0.2">
      <c r="A60" s="5" t="s">
        <v>94</v>
      </c>
      <c r="B60" s="5" t="s">
        <v>3286</v>
      </c>
      <c r="C60" s="2" t="s">
        <v>3496</v>
      </c>
      <c r="D60" s="5" t="s">
        <v>1836</v>
      </c>
      <c r="E60" s="5" t="s">
        <v>1838</v>
      </c>
      <c r="F60" s="5">
        <v>54.419400000000003</v>
      </c>
      <c r="G60" s="5">
        <v>22.908799999999999</v>
      </c>
      <c r="H60" s="5">
        <v>-1.2482200000000001</v>
      </c>
      <c r="I60" s="5">
        <v>1</v>
      </c>
      <c r="L60" s="2" t="s">
        <v>104</v>
      </c>
      <c r="M60" s="2">
        <v>1.4835400000000001</v>
      </c>
    </row>
    <row r="61" spans="1:13" x14ac:dyDescent="0.2">
      <c r="A61" s="5" t="s">
        <v>98</v>
      </c>
      <c r="B61" s="5" t="s">
        <v>3045</v>
      </c>
      <c r="C61" s="2" t="s">
        <v>1875</v>
      </c>
      <c r="D61" s="5" t="s">
        <v>1836</v>
      </c>
      <c r="E61" s="5" t="s">
        <v>1838</v>
      </c>
      <c r="F61" s="5">
        <v>0.88974699999999995</v>
      </c>
      <c r="G61" s="5">
        <v>0.17877000000000001</v>
      </c>
      <c r="H61" s="5">
        <v>-2.3152900000000001</v>
      </c>
      <c r="I61" s="5">
        <v>1</v>
      </c>
      <c r="L61" s="2" t="s">
        <v>1159</v>
      </c>
      <c r="M61" s="2">
        <v>-1.0795300000000001</v>
      </c>
    </row>
    <row r="62" spans="1:13" x14ac:dyDescent="0.2">
      <c r="A62" s="5" t="s">
        <v>102</v>
      </c>
      <c r="B62" s="5" t="s">
        <v>3050</v>
      </c>
      <c r="C62" s="2" t="s">
        <v>1886</v>
      </c>
      <c r="D62" s="5" t="s">
        <v>1836</v>
      </c>
      <c r="E62" s="5" t="s">
        <v>1838</v>
      </c>
      <c r="F62" s="5">
        <v>2.8573599999999999</v>
      </c>
      <c r="G62" s="5">
        <v>0.748139</v>
      </c>
      <c r="H62" s="5">
        <v>-1.9333</v>
      </c>
      <c r="I62" s="5">
        <v>1</v>
      </c>
      <c r="L62" s="2" t="s">
        <v>106</v>
      </c>
      <c r="M62" s="2">
        <v>-1.3531599999999999</v>
      </c>
    </row>
    <row r="63" spans="1:13" x14ac:dyDescent="0.2">
      <c r="A63" s="5" t="s">
        <v>104</v>
      </c>
      <c r="B63" s="5" t="s">
        <v>3015</v>
      </c>
      <c r="C63" s="2" t="s">
        <v>1847</v>
      </c>
      <c r="D63" s="5" t="s">
        <v>1836</v>
      </c>
      <c r="E63" s="5" t="s">
        <v>1838</v>
      </c>
      <c r="F63" s="5">
        <v>0.459146</v>
      </c>
      <c r="G63" s="5">
        <v>1.28393</v>
      </c>
      <c r="H63" s="5">
        <v>1.4835400000000001</v>
      </c>
      <c r="I63" s="5">
        <v>1</v>
      </c>
      <c r="L63" s="2" t="s">
        <v>1160</v>
      </c>
      <c r="M63" s="2">
        <v>-1.91422</v>
      </c>
    </row>
    <row r="64" spans="1:13" x14ac:dyDescent="0.2">
      <c r="A64" s="5" t="s">
        <v>1159</v>
      </c>
      <c r="B64" s="5" t="s">
        <v>3015</v>
      </c>
      <c r="C64" s="2" t="s">
        <v>2392</v>
      </c>
      <c r="D64" s="5" t="s">
        <v>1836</v>
      </c>
      <c r="E64" s="5" t="s">
        <v>1838</v>
      </c>
      <c r="F64" s="5">
        <v>16.418199999999999</v>
      </c>
      <c r="G64" s="5">
        <v>7.7688199999999998</v>
      </c>
      <c r="H64" s="5">
        <v>-1.0795300000000001</v>
      </c>
      <c r="I64" s="5">
        <v>1</v>
      </c>
      <c r="L64" s="2" t="s">
        <v>1161</v>
      </c>
      <c r="M64" s="2">
        <v>1.12388</v>
      </c>
    </row>
    <row r="65" spans="1:13" x14ac:dyDescent="0.2">
      <c r="A65" s="5" t="s">
        <v>106</v>
      </c>
      <c r="B65" s="5" t="s">
        <v>3015</v>
      </c>
      <c r="C65" s="2" t="s">
        <v>2393</v>
      </c>
      <c r="D65" s="5" t="s">
        <v>1836</v>
      </c>
      <c r="E65" s="5" t="s">
        <v>1838</v>
      </c>
      <c r="F65" s="5">
        <v>50.068399999999997</v>
      </c>
      <c r="G65" s="5">
        <v>19.598500000000001</v>
      </c>
      <c r="H65" s="5">
        <v>-1.3531599999999999</v>
      </c>
      <c r="I65" s="5">
        <v>1</v>
      </c>
      <c r="L65" s="2" t="s">
        <v>1163</v>
      </c>
      <c r="M65" s="2">
        <v>-1.0123200000000001</v>
      </c>
    </row>
    <row r="66" spans="1:13" x14ac:dyDescent="0.2">
      <c r="A66" s="5" t="s">
        <v>1160</v>
      </c>
      <c r="B66" s="5" t="s">
        <v>3015</v>
      </c>
      <c r="C66" s="2" t="s">
        <v>2394</v>
      </c>
      <c r="D66" s="5" t="s">
        <v>1836</v>
      </c>
      <c r="E66" s="5" t="s">
        <v>1838</v>
      </c>
      <c r="F66" s="5">
        <v>0.82865500000000003</v>
      </c>
      <c r="G66" s="5">
        <v>0.21985499999999999</v>
      </c>
      <c r="H66" s="5">
        <v>-1.91422</v>
      </c>
      <c r="I66" s="5">
        <v>1</v>
      </c>
      <c r="L66" s="2" t="s">
        <v>1164</v>
      </c>
      <c r="M66" s="2">
        <v>-1.3709899999999999</v>
      </c>
    </row>
    <row r="67" spans="1:13" x14ac:dyDescent="0.2">
      <c r="A67" s="5" t="s">
        <v>1161</v>
      </c>
      <c r="B67" s="5" t="s">
        <v>3015</v>
      </c>
      <c r="C67" s="2" t="s">
        <v>2395</v>
      </c>
      <c r="D67" s="5" t="s">
        <v>1836</v>
      </c>
      <c r="E67" s="5" t="s">
        <v>1838</v>
      </c>
      <c r="F67" s="5">
        <v>0.55568300000000004</v>
      </c>
      <c r="G67" s="5">
        <v>1.2110099999999999</v>
      </c>
      <c r="H67" s="5">
        <v>1.12388</v>
      </c>
      <c r="I67" s="5">
        <v>1</v>
      </c>
      <c r="L67" s="2" t="s">
        <v>114</v>
      </c>
      <c r="M67" s="2">
        <v>1.49396</v>
      </c>
    </row>
    <row r="68" spans="1:13" x14ac:dyDescent="0.2">
      <c r="A68" s="5" t="s">
        <v>1163</v>
      </c>
      <c r="B68" s="5" t="s">
        <v>3027</v>
      </c>
      <c r="C68" s="2" t="s">
        <v>2396</v>
      </c>
      <c r="D68" s="5" t="s">
        <v>1836</v>
      </c>
      <c r="E68" s="5" t="s">
        <v>1838</v>
      </c>
      <c r="F68" s="5">
        <v>2.3114699999999999</v>
      </c>
      <c r="G68" s="5">
        <v>1.14591</v>
      </c>
      <c r="H68" s="5">
        <v>-1.0123200000000001</v>
      </c>
      <c r="I68" s="5">
        <v>1</v>
      </c>
      <c r="L68" s="2" t="s">
        <v>1167</v>
      </c>
      <c r="M68" s="2">
        <v>-1.4229099999999999</v>
      </c>
    </row>
    <row r="69" spans="1:13" x14ac:dyDescent="0.2">
      <c r="A69" s="5" t="s">
        <v>1164</v>
      </c>
      <c r="B69" s="5" t="s">
        <v>3030</v>
      </c>
      <c r="C69" s="2" t="s">
        <v>2397</v>
      </c>
      <c r="D69" s="5" t="s">
        <v>1836</v>
      </c>
      <c r="E69" s="5" t="s">
        <v>1838</v>
      </c>
      <c r="F69" s="5">
        <v>3.1493099999999998</v>
      </c>
      <c r="G69" s="5">
        <v>1.2176</v>
      </c>
      <c r="H69" s="5">
        <v>-1.3709899999999999</v>
      </c>
      <c r="I69" s="5">
        <v>1</v>
      </c>
      <c r="L69" s="2" t="s">
        <v>118</v>
      </c>
      <c r="M69" s="2">
        <v>1.14279</v>
      </c>
    </row>
    <row r="70" spans="1:13" x14ac:dyDescent="0.2">
      <c r="A70" s="5" t="s">
        <v>1165</v>
      </c>
      <c r="B70" s="5" t="s">
        <v>3047</v>
      </c>
      <c r="C70" s="2" t="s">
        <v>1928</v>
      </c>
      <c r="D70" s="5" t="s">
        <v>1836</v>
      </c>
      <c r="E70" s="5" t="s">
        <v>1838</v>
      </c>
      <c r="F70" s="5">
        <v>0</v>
      </c>
      <c r="G70" s="5">
        <v>0.86233199999999999</v>
      </c>
      <c r="H70" s="5" t="s">
        <v>3021</v>
      </c>
      <c r="I70" s="5" t="s">
        <v>3021</v>
      </c>
      <c r="L70" s="2" t="s">
        <v>1169</v>
      </c>
      <c r="M70" s="2">
        <v>-1.14693</v>
      </c>
    </row>
    <row r="71" spans="1:13" x14ac:dyDescent="0.2">
      <c r="A71" s="5" t="s">
        <v>114</v>
      </c>
      <c r="B71" s="5" t="s">
        <v>3035</v>
      </c>
      <c r="C71" s="2" t="s">
        <v>1892</v>
      </c>
      <c r="D71" s="5" t="s">
        <v>1836</v>
      </c>
      <c r="E71" s="5" t="s">
        <v>1838</v>
      </c>
      <c r="F71" s="5">
        <v>21.9374</v>
      </c>
      <c r="G71" s="5">
        <v>61.789200000000001</v>
      </c>
      <c r="H71" s="5">
        <v>1.49396</v>
      </c>
      <c r="I71" s="5">
        <v>1</v>
      </c>
      <c r="L71" s="2" t="s">
        <v>123</v>
      </c>
      <c r="M71" s="2">
        <v>-1.03027</v>
      </c>
    </row>
    <row r="72" spans="1:13" x14ac:dyDescent="0.2">
      <c r="A72" s="5" t="s">
        <v>1167</v>
      </c>
      <c r="B72" s="5" t="s">
        <v>3015</v>
      </c>
      <c r="C72" s="2" t="s">
        <v>2398</v>
      </c>
      <c r="D72" s="5" t="s">
        <v>1836</v>
      </c>
      <c r="E72" s="5" t="s">
        <v>1838</v>
      </c>
      <c r="F72" s="5">
        <v>0.91224899999999998</v>
      </c>
      <c r="G72" s="5">
        <v>0.34023199999999998</v>
      </c>
      <c r="H72" s="5">
        <v>-1.4229099999999999</v>
      </c>
      <c r="I72" s="5">
        <v>1</v>
      </c>
      <c r="L72" s="2" t="s">
        <v>1170</v>
      </c>
      <c r="M72" s="2">
        <v>1.53992</v>
      </c>
    </row>
    <row r="73" spans="1:13" x14ac:dyDescent="0.2">
      <c r="A73" s="5" t="s">
        <v>118</v>
      </c>
      <c r="B73" s="5" t="s">
        <v>3054</v>
      </c>
      <c r="C73" s="2" t="s">
        <v>1894</v>
      </c>
      <c r="D73" s="5" t="s">
        <v>1836</v>
      </c>
      <c r="E73" s="5" t="s">
        <v>1838</v>
      </c>
      <c r="F73" s="5">
        <v>1.6789400000000001</v>
      </c>
      <c r="G73" s="5">
        <v>3.70723</v>
      </c>
      <c r="H73" s="5">
        <v>1.14279</v>
      </c>
      <c r="I73" s="5">
        <v>1</v>
      </c>
      <c r="L73" s="2" t="s">
        <v>1171</v>
      </c>
      <c r="M73" s="2">
        <v>1.1145799999999999</v>
      </c>
    </row>
    <row r="74" spans="1:13" x14ac:dyDescent="0.2">
      <c r="A74" s="5" t="s">
        <v>1169</v>
      </c>
      <c r="B74" s="5" t="s">
        <v>3289</v>
      </c>
      <c r="C74" s="2" t="s">
        <v>2399</v>
      </c>
      <c r="D74" s="5" t="s">
        <v>1836</v>
      </c>
      <c r="E74" s="5" t="s">
        <v>1838</v>
      </c>
      <c r="F74" s="5">
        <v>8.8560099999999995</v>
      </c>
      <c r="G74" s="5">
        <v>3.99925</v>
      </c>
      <c r="H74" s="5">
        <v>-1.14693</v>
      </c>
      <c r="I74" s="5">
        <v>1</v>
      </c>
      <c r="L74" s="2" t="s">
        <v>124</v>
      </c>
      <c r="M74" s="2">
        <v>-4.3837200000000003</v>
      </c>
    </row>
    <row r="75" spans="1:13" x14ac:dyDescent="0.2">
      <c r="A75" s="5" t="s">
        <v>123</v>
      </c>
      <c r="B75" s="5" t="s">
        <v>3056</v>
      </c>
      <c r="C75" s="2" t="s">
        <v>1899</v>
      </c>
      <c r="D75" s="5" t="s">
        <v>1836</v>
      </c>
      <c r="E75" s="5" t="s">
        <v>1838</v>
      </c>
      <c r="F75" s="5">
        <v>1.9359599999999999</v>
      </c>
      <c r="G75" s="5">
        <v>0.947882</v>
      </c>
      <c r="H75" s="5">
        <v>-1.03027</v>
      </c>
      <c r="I75" s="5">
        <v>1</v>
      </c>
      <c r="L75" s="2" t="s">
        <v>125</v>
      </c>
      <c r="M75" s="2">
        <v>-1.5339100000000001</v>
      </c>
    </row>
    <row r="76" spans="1:13" x14ac:dyDescent="0.2">
      <c r="A76" s="5" t="s">
        <v>1170</v>
      </c>
      <c r="B76" s="5" t="s">
        <v>3290</v>
      </c>
      <c r="C76" s="2" t="s">
        <v>3496</v>
      </c>
      <c r="D76" s="5" t="s">
        <v>1836</v>
      </c>
      <c r="E76" s="5" t="s">
        <v>1838</v>
      </c>
      <c r="F76" s="5">
        <v>1.9573</v>
      </c>
      <c r="G76" s="5">
        <v>5.6913900000000002</v>
      </c>
      <c r="H76" s="5">
        <v>1.53992</v>
      </c>
      <c r="I76" s="5">
        <v>1</v>
      </c>
      <c r="L76" s="2" t="s">
        <v>127</v>
      </c>
      <c r="M76" s="2">
        <v>-2.2204799999999998</v>
      </c>
    </row>
    <row r="77" spans="1:13" x14ac:dyDescent="0.2">
      <c r="A77" s="5" t="s">
        <v>1171</v>
      </c>
      <c r="B77" s="5" t="s">
        <v>3094</v>
      </c>
      <c r="C77" s="2" t="s">
        <v>2304</v>
      </c>
      <c r="D77" s="5" t="s">
        <v>1836</v>
      </c>
      <c r="E77" s="5" t="s">
        <v>1838</v>
      </c>
      <c r="F77" s="5">
        <v>4.2204899999999999</v>
      </c>
      <c r="G77" s="5">
        <v>9.1387099999999997</v>
      </c>
      <c r="H77" s="5">
        <v>1.1145799999999999</v>
      </c>
      <c r="I77" s="5">
        <v>1</v>
      </c>
      <c r="L77" s="2" t="s">
        <v>129</v>
      </c>
      <c r="M77" s="2">
        <v>-1.12984</v>
      </c>
    </row>
    <row r="78" spans="1:13" x14ac:dyDescent="0.2">
      <c r="A78" s="5" t="s">
        <v>124</v>
      </c>
      <c r="B78" s="5" t="s">
        <v>3015</v>
      </c>
      <c r="C78" s="2" t="s">
        <v>1900</v>
      </c>
      <c r="D78" s="5" t="s">
        <v>1836</v>
      </c>
      <c r="E78" s="5" t="s">
        <v>1838</v>
      </c>
      <c r="F78" s="5">
        <v>17.7075</v>
      </c>
      <c r="G78" s="5">
        <v>0.84825600000000001</v>
      </c>
      <c r="H78" s="5">
        <v>-4.3837200000000003</v>
      </c>
      <c r="I78" s="5">
        <v>1</v>
      </c>
      <c r="L78" s="2" t="s">
        <v>1172</v>
      </c>
      <c r="M78" s="2">
        <v>-1.67215</v>
      </c>
    </row>
    <row r="79" spans="1:13" x14ac:dyDescent="0.2">
      <c r="A79" s="5" t="s">
        <v>125</v>
      </c>
      <c r="B79" s="5" t="s">
        <v>3015</v>
      </c>
      <c r="C79" s="2" t="s">
        <v>2400</v>
      </c>
      <c r="D79" s="5" t="s">
        <v>1836</v>
      </c>
      <c r="E79" s="5" t="s">
        <v>1838</v>
      </c>
      <c r="F79" s="5">
        <v>720.69799999999998</v>
      </c>
      <c r="G79" s="5">
        <v>248.887</v>
      </c>
      <c r="H79" s="5">
        <v>-1.5339100000000001</v>
      </c>
      <c r="I79" s="5">
        <v>1</v>
      </c>
      <c r="L79" s="2" t="s">
        <v>1173</v>
      </c>
      <c r="M79" s="2">
        <v>-1.1304099999999999</v>
      </c>
    </row>
    <row r="80" spans="1:13" x14ac:dyDescent="0.2">
      <c r="A80" s="5" t="s">
        <v>127</v>
      </c>
      <c r="B80" s="5" t="s">
        <v>3015</v>
      </c>
      <c r="C80" s="2" t="s">
        <v>1902</v>
      </c>
      <c r="D80" s="5" t="s">
        <v>1836</v>
      </c>
      <c r="E80" s="5" t="s">
        <v>1838</v>
      </c>
      <c r="F80" s="5">
        <v>13.694800000000001</v>
      </c>
      <c r="G80" s="5">
        <v>2.9384999999999999</v>
      </c>
      <c r="H80" s="5">
        <v>-2.2204799999999998</v>
      </c>
      <c r="I80" s="5">
        <v>1</v>
      </c>
      <c r="L80" s="2" t="s">
        <v>1174</v>
      </c>
      <c r="M80" s="2">
        <v>-1.1138399999999999</v>
      </c>
    </row>
    <row r="81" spans="1:13" x14ac:dyDescent="0.2">
      <c r="A81" s="5" t="s">
        <v>129</v>
      </c>
      <c r="B81" s="5" t="s">
        <v>3209</v>
      </c>
      <c r="C81" s="2" t="s">
        <v>2401</v>
      </c>
      <c r="D81" s="5" t="s">
        <v>1836</v>
      </c>
      <c r="E81" s="5" t="s">
        <v>1838</v>
      </c>
      <c r="F81" s="5">
        <v>10.9</v>
      </c>
      <c r="G81" s="5">
        <v>4.9809599999999996</v>
      </c>
      <c r="H81" s="5">
        <v>-1.12984</v>
      </c>
      <c r="I81" s="5">
        <v>1</v>
      </c>
      <c r="L81" s="2" t="s">
        <v>1175</v>
      </c>
      <c r="M81" s="2">
        <v>1.18512</v>
      </c>
    </row>
    <row r="82" spans="1:13" x14ac:dyDescent="0.2">
      <c r="A82" s="5" t="s">
        <v>1172</v>
      </c>
      <c r="B82" s="5" t="s">
        <v>3038</v>
      </c>
      <c r="C82" s="2" t="s">
        <v>2402</v>
      </c>
      <c r="D82" s="5" t="s">
        <v>1836</v>
      </c>
      <c r="E82" s="5" t="s">
        <v>1838</v>
      </c>
      <c r="F82" s="5">
        <v>4.6728100000000001</v>
      </c>
      <c r="G82" s="5">
        <v>1.4662599999999999</v>
      </c>
      <c r="H82" s="5">
        <v>-1.67215</v>
      </c>
      <c r="I82" s="5">
        <v>1</v>
      </c>
      <c r="L82" s="2" t="s">
        <v>1176</v>
      </c>
      <c r="M82" s="2">
        <v>1.0529200000000001</v>
      </c>
    </row>
    <row r="83" spans="1:13" x14ac:dyDescent="0.2">
      <c r="A83" s="5" t="s">
        <v>1173</v>
      </c>
      <c r="B83" s="5" t="s">
        <v>3038</v>
      </c>
      <c r="C83" s="2" t="s">
        <v>2374</v>
      </c>
      <c r="D83" s="5" t="s">
        <v>1836</v>
      </c>
      <c r="E83" s="5" t="s">
        <v>1838</v>
      </c>
      <c r="F83" s="5">
        <v>0.83236299999999996</v>
      </c>
      <c r="G83" s="5">
        <v>0.38021199999999999</v>
      </c>
      <c r="H83" s="5">
        <v>-1.1304099999999999</v>
      </c>
      <c r="I83" s="5">
        <v>1</v>
      </c>
      <c r="L83" s="2" t="s">
        <v>1177</v>
      </c>
      <c r="M83" s="2">
        <v>1.03789</v>
      </c>
    </row>
    <row r="84" spans="1:13" x14ac:dyDescent="0.2">
      <c r="A84" s="5" t="s">
        <v>1174</v>
      </c>
      <c r="B84" s="5" t="s">
        <v>3015</v>
      </c>
      <c r="C84" s="2" t="s">
        <v>2403</v>
      </c>
      <c r="D84" s="5" t="s">
        <v>1836</v>
      </c>
      <c r="E84" s="5" t="s">
        <v>1838</v>
      </c>
      <c r="F84" s="5">
        <v>21.488</v>
      </c>
      <c r="G84" s="5">
        <v>9.9288000000000007</v>
      </c>
      <c r="H84" s="5">
        <v>-1.1138399999999999</v>
      </c>
      <c r="I84" s="5">
        <v>1</v>
      </c>
      <c r="L84" s="2" t="s">
        <v>133</v>
      </c>
      <c r="M84" s="2">
        <v>-1.6407700000000001</v>
      </c>
    </row>
    <row r="85" spans="1:13" x14ac:dyDescent="0.2">
      <c r="A85" s="5" t="s">
        <v>1175</v>
      </c>
      <c r="B85" s="5" t="s">
        <v>3094</v>
      </c>
      <c r="C85" s="2" t="s">
        <v>3496</v>
      </c>
      <c r="D85" s="5" t="s">
        <v>1836</v>
      </c>
      <c r="E85" s="5" t="s">
        <v>1838</v>
      </c>
      <c r="F85" s="5">
        <v>0.627579</v>
      </c>
      <c r="G85" s="5">
        <v>1.427</v>
      </c>
      <c r="H85" s="5">
        <v>1.18512</v>
      </c>
      <c r="I85" s="5">
        <v>1</v>
      </c>
      <c r="L85" s="2" t="s">
        <v>1178</v>
      </c>
      <c r="M85" s="2">
        <v>-1.2218100000000001</v>
      </c>
    </row>
    <row r="86" spans="1:13" x14ac:dyDescent="0.2">
      <c r="A86" s="5" t="s">
        <v>1176</v>
      </c>
      <c r="B86" s="5" t="s">
        <v>3015</v>
      </c>
      <c r="C86" s="2" t="s">
        <v>3496</v>
      </c>
      <c r="D86" s="5" t="s">
        <v>1836</v>
      </c>
      <c r="E86" s="5" t="s">
        <v>1838</v>
      </c>
      <c r="F86" s="5">
        <v>2.88089</v>
      </c>
      <c r="G86" s="5">
        <v>5.9770799999999999</v>
      </c>
      <c r="H86" s="5">
        <v>1.0529200000000001</v>
      </c>
      <c r="I86" s="5">
        <v>1</v>
      </c>
      <c r="L86" s="2" t="s">
        <v>134</v>
      </c>
      <c r="M86" s="2">
        <v>-1.2386900000000001</v>
      </c>
    </row>
    <row r="87" spans="1:13" x14ac:dyDescent="0.2">
      <c r="A87" s="5" t="s">
        <v>1177</v>
      </c>
      <c r="B87" s="5" t="s">
        <v>3015</v>
      </c>
      <c r="C87" s="2" t="s">
        <v>2299</v>
      </c>
      <c r="D87" s="5" t="s">
        <v>1836</v>
      </c>
      <c r="E87" s="5" t="s">
        <v>1838</v>
      </c>
      <c r="F87" s="5">
        <v>1.06619</v>
      </c>
      <c r="G87" s="5">
        <v>2.18913</v>
      </c>
      <c r="H87" s="5">
        <v>1.03789</v>
      </c>
      <c r="I87" s="5">
        <v>1</v>
      </c>
      <c r="L87" s="2" t="s">
        <v>1179</v>
      </c>
      <c r="M87" s="2">
        <v>-1.0174099999999999</v>
      </c>
    </row>
    <row r="88" spans="1:13" x14ac:dyDescent="0.2">
      <c r="A88" s="5" t="s">
        <v>133</v>
      </c>
      <c r="B88" s="5" t="s">
        <v>3291</v>
      </c>
      <c r="C88" s="2" t="s">
        <v>2404</v>
      </c>
      <c r="D88" s="5" t="s">
        <v>1836</v>
      </c>
      <c r="E88" s="5" t="s">
        <v>1838</v>
      </c>
      <c r="F88" s="5">
        <v>2.7873399999999999</v>
      </c>
      <c r="G88" s="5">
        <v>0.89385599999999998</v>
      </c>
      <c r="H88" s="5">
        <v>-1.6407700000000001</v>
      </c>
      <c r="I88" s="5">
        <v>1</v>
      </c>
      <c r="L88" s="2" t="s">
        <v>137</v>
      </c>
      <c r="M88" s="2">
        <v>-1.84531</v>
      </c>
    </row>
    <row r="89" spans="1:13" x14ac:dyDescent="0.2">
      <c r="A89" s="5" t="s">
        <v>1178</v>
      </c>
      <c r="B89" s="5" t="s">
        <v>3015</v>
      </c>
      <c r="C89" s="2" t="s">
        <v>2405</v>
      </c>
      <c r="D89" s="5" t="s">
        <v>1836</v>
      </c>
      <c r="E89" s="5" t="s">
        <v>1838</v>
      </c>
      <c r="F89" s="5">
        <v>1.08775</v>
      </c>
      <c r="G89" s="5">
        <v>0.466368</v>
      </c>
      <c r="H89" s="5">
        <v>-1.2218100000000001</v>
      </c>
      <c r="I89" s="5">
        <v>1</v>
      </c>
      <c r="L89" s="2" t="s">
        <v>143</v>
      </c>
      <c r="M89" s="2">
        <v>-1.1396900000000001</v>
      </c>
    </row>
    <row r="90" spans="1:13" x14ac:dyDescent="0.2">
      <c r="A90" s="5" t="s">
        <v>134</v>
      </c>
      <c r="B90" s="5" t="s">
        <v>3292</v>
      </c>
      <c r="C90" s="2" t="s">
        <v>2406</v>
      </c>
      <c r="D90" s="5" t="s">
        <v>1836</v>
      </c>
      <c r="E90" s="5" t="s">
        <v>1838</v>
      </c>
      <c r="F90" s="5">
        <v>7.4361199999999998</v>
      </c>
      <c r="G90" s="5">
        <v>3.1511100000000001</v>
      </c>
      <c r="H90" s="5">
        <v>-1.2386900000000001</v>
      </c>
      <c r="I90" s="5">
        <v>1</v>
      </c>
      <c r="L90" s="2" t="s">
        <v>1180</v>
      </c>
      <c r="M90" s="2">
        <v>-1.49638</v>
      </c>
    </row>
    <row r="91" spans="1:13" x14ac:dyDescent="0.2">
      <c r="A91" s="5" t="s">
        <v>1179</v>
      </c>
      <c r="B91" s="5" t="s">
        <v>3293</v>
      </c>
      <c r="C91" s="2" t="s">
        <v>1847</v>
      </c>
      <c r="D91" s="5" t="s">
        <v>1836</v>
      </c>
      <c r="E91" s="5" t="s">
        <v>1838</v>
      </c>
      <c r="F91" s="5">
        <v>7.2552000000000003</v>
      </c>
      <c r="G91" s="5">
        <v>3.5840800000000002</v>
      </c>
      <c r="H91" s="5">
        <v>-1.0174099999999999</v>
      </c>
      <c r="I91" s="5">
        <v>1</v>
      </c>
      <c r="L91" s="2" t="s">
        <v>145</v>
      </c>
      <c r="M91" s="2">
        <v>5.3779700000000004</v>
      </c>
    </row>
    <row r="92" spans="1:13" x14ac:dyDescent="0.2">
      <c r="A92" s="5" t="s">
        <v>137</v>
      </c>
      <c r="B92" s="5" t="s">
        <v>3015</v>
      </c>
      <c r="C92" s="2" t="s">
        <v>1905</v>
      </c>
      <c r="D92" s="5" t="s">
        <v>1836</v>
      </c>
      <c r="E92" s="5" t="s">
        <v>1838</v>
      </c>
      <c r="F92" s="5">
        <v>3.3832800000000001</v>
      </c>
      <c r="G92" s="5">
        <v>0.94155100000000003</v>
      </c>
      <c r="H92" s="5">
        <v>-1.84531</v>
      </c>
      <c r="I92" s="5">
        <v>1</v>
      </c>
      <c r="L92" s="2" t="s">
        <v>1182</v>
      </c>
      <c r="M92" s="2">
        <v>-2.0588099999999998</v>
      </c>
    </row>
    <row r="93" spans="1:13" x14ac:dyDescent="0.2">
      <c r="A93" s="5" t="s">
        <v>143</v>
      </c>
      <c r="B93" s="5" t="s">
        <v>3294</v>
      </c>
      <c r="C93" s="2" t="s">
        <v>2407</v>
      </c>
      <c r="D93" s="5" t="s">
        <v>1836</v>
      </c>
      <c r="E93" s="5" t="s">
        <v>1838</v>
      </c>
      <c r="F93" s="5">
        <v>18.580100000000002</v>
      </c>
      <c r="G93" s="5">
        <v>8.4327000000000005</v>
      </c>
      <c r="H93" s="5">
        <v>-1.1396900000000001</v>
      </c>
      <c r="I93" s="5">
        <v>1</v>
      </c>
      <c r="L93" s="2" t="s">
        <v>1183</v>
      </c>
      <c r="M93" s="2">
        <v>1.02671</v>
      </c>
    </row>
    <row r="94" spans="1:13" x14ac:dyDescent="0.2">
      <c r="A94" s="5" t="s">
        <v>1180</v>
      </c>
      <c r="B94" s="5" t="s">
        <v>3015</v>
      </c>
      <c r="C94" s="2" t="s">
        <v>2408</v>
      </c>
      <c r="D94" s="5" t="s">
        <v>1836</v>
      </c>
      <c r="E94" s="5" t="s">
        <v>1838</v>
      </c>
      <c r="F94" s="5">
        <v>1.3650199999999999</v>
      </c>
      <c r="G94" s="5">
        <v>0.48381999999999997</v>
      </c>
      <c r="H94" s="5">
        <v>-1.49638</v>
      </c>
      <c r="I94" s="5">
        <v>1</v>
      </c>
      <c r="L94" s="2" t="s">
        <v>1185</v>
      </c>
      <c r="M94" s="2">
        <v>-1.0848899999999999</v>
      </c>
    </row>
    <row r="95" spans="1:13" x14ac:dyDescent="0.2">
      <c r="A95" s="5" t="s">
        <v>145</v>
      </c>
      <c r="B95" s="5" t="s">
        <v>3015</v>
      </c>
      <c r="C95" s="2" t="s">
        <v>1910</v>
      </c>
      <c r="D95" s="5" t="s">
        <v>1836</v>
      </c>
      <c r="E95" s="5" t="s">
        <v>1838</v>
      </c>
      <c r="F95" s="5">
        <v>0.19189600000000001</v>
      </c>
      <c r="G95" s="5">
        <v>7.9798400000000003</v>
      </c>
      <c r="H95" s="5">
        <v>5.3779700000000004</v>
      </c>
      <c r="I95" s="5">
        <v>1</v>
      </c>
      <c r="L95" s="2" t="s">
        <v>156</v>
      </c>
      <c r="M95" s="2">
        <v>-2.54128</v>
      </c>
    </row>
    <row r="96" spans="1:13" x14ac:dyDescent="0.2">
      <c r="A96" s="5" t="s">
        <v>1182</v>
      </c>
      <c r="B96" s="5" t="s">
        <v>3295</v>
      </c>
      <c r="C96" s="2" t="s">
        <v>2409</v>
      </c>
      <c r="D96" s="5" t="s">
        <v>1836</v>
      </c>
      <c r="E96" s="5" t="s">
        <v>1838</v>
      </c>
      <c r="F96" s="5">
        <v>2.1414800000000001</v>
      </c>
      <c r="G96" s="5">
        <v>0.51398299999999997</v>
      </c>
      <c r="H96" s="5">
        <v>-2.0588099999999998</v>
      </c>
      <c r="I96" s="5">
        <v>1</v>
      </c>
      <c r="L96" s="2" t="s">
        <v>1186</v>
      </c>
      <c r="M96" s="2">
        <v>-1.4747399999999999</v>
      </c>
    </row>
    <row r="97" spans="1:13" x14ac:dyDescent="0.2">
      <c r="A97" s="5" t="s">
        <v>1183</v>
      </c>
      <c r="B97" s="5" t="s">
        <v>3296</v>
      </c>
      <c r="C97" s="2" t="s">
        <v>2410</v>
      </c>
      <c r="D97" s="5" t="s">
        <v>1836</v>
      </c>
      <c r="E97" s="5" t="s">
        <v>1838</v>
      </c>
      <c r="F97" s="5">
        <v>0.70583600000000002</v>
      </c>
      <c r="G97" s="5">
        <v>1.4380500000000001</v>
      </c>
      <c r="H97" s="5">
        <v>1.02671</v>
      </c>
      <c r="I97" s="5">
        <v>1</v>
      </c>
      <c r="L97" s="2" t="s">
        <v>157</v>
      </c>
      <c r="M97" s="2">
        <v>-2.3079499999999999</v>
      </c>
    </row>
    <row r="98" spans="1:13" x14ac:dyDescent="0.2">
      <c r="A98" s="5" t="s">
        <v>1185</v>
      </c>
      <c r="B98" s="5" t="s">
        <v>3182</v>
      </c>
      <c r="C98" s="2" t="s">
        <v>2411</v>
      </c>
      <c r="D98" s="5" t="s">
        <v>1836</v>
      </c>
      <c r="E98" s="5" t="s">
        <v>1838</v>
      </c>
      <c r="F98" s="5">
        <v>0.82359700000000002</v>
      </c>
      <c r="G98" s="5">
        <v>0.38826699999999997</v>
      </c>
      <c r="H98" s="5">
        <v>-1.0848899999999999</v>
      </c>
      <c r="I98" s="5">
        <v>1</v>
      </c>
      <c r="L98" s="2" t="s">
        <v>158</v>
      </c>
      <c r="M98" s="2">
        <v>-1.3966000000000001</v>
      </c>
    </row>
    <row r="99" spans="1:13" x14ac:dyDescent="0.2">
      <c r="A99" s="5" t="s">
        <v>156</v>
      </c>
      <c r="B99" s="5" t="s">
        <v>3030</v>
      </c>
      <c r="C99" s="2" t="s">
        <v>1917</v>
      </c>
      <c r="D99" s="5" t="s">
        <v>1836</v>
      </c>
      <c r="E99" s="5" t="s">
        <v>1838</v>
      </c>
      <c r="F99" s="5">
        <v>29.628499999999999</v>
      </c>
      <c r="G99" s="5">
        <v>5.0898899999999996</v>
      </c>
      <c r="H99" s="5">
        <v>-2.54128</v>
      </c>
      <c r="I99" s="5">
        <v>1</v>
      </c>
      <c r="L99" s="2" t="s">
        <v>1187</v>
      </c>
      <c r="M99" s="2">
        <v>1.5686599999999999</v>
      </c>
    </row>
    <row r="100" spans="1:13" x14ac:dyDescent="0.2">
      <c r="A100" s="5" t="s">
        <v>1186</v>
      </c>
      <c r="B100" s="5" t="s">
        <v>3015</v>
      </c>
      <c r="C100" s="2" t="s">
        <v>2412</v>
      </c>
      <c r="D100" s="5" t="s">
        <v>1836</v>
      </c>
      <c r="E100" s="5" t="s">
        <v>1838</v>
      </c>
      <c r="F100" s="5">
        <v>2.6879</v>
      </c>
      <c r="G100" s="5">
        <v>0.96709999999999996</v>
      </c>
      <c r="H100" s="5">
        <v>-1.4747399999999999</v>
      </c>
      <c r="I100" s="5">
        <v>1</v>
      </c>
      <c r="L100" s="2" t="s">
        <v>163</v>
      </c>
      <c r="M100" s="2">
        <v>-1.0198799999999999</v>
      </c>
    </row>
    <row r="101" spans="1:13" x14ac:dyDescent="0.2">
      <c r="A101" s="5" t="s">
        <v>157</v>
      </c>
      <c r="B101" s="5" t="s">
        <v>3064</v>
      </c>
      <c r="C101" s="2" t="s">
        <v>1918</v>
      </c>
      <c r="D101" s="5" t="s">
        <v>1836</v>
      </c>
      <c r="E101" s="5" t="s">
        <v>1838</v>
      </c>
      <c r="F101" s="5">
        <v>0.81844799999999995</v>
      </c>
      <c r="G101" s="5">
        <v>0.16528300000000001</v>
      </c>
      <c r="H101" s="5">
        <v>-2.3079499999999999</v>
      </c>
      <c r="I101" s="5">
        <v>1</v>
      </c>
      <c r="L101" s="2" t="s">
        <v>169</v>
      </c>
      <c r="M101" s="2">
        <v>-1.24461</v>
      </c>
    </row>
    <row r="102" spans="1:13" x14ac:dyDescent="0.2">
      <c r="A102" s="5" t="s">
        <v>158</v>
      </c>
      <c r="B102" s="5" t="s">
        <v>3015</v>
      </c>
      <c r="C102" s="2" t="s">
        <v>1919</v>
      </c>
      <c r="D102" s="5" t="s">
        <v>1836</v>
      </c>
      <c r="E102" s="5" t="s">
        <v>1838</v>
      </c>
      <c r="F102" s="5">
        <v>2.25888</v>
      </c>
      <c r="G102" s="5">
        <v>0.85797599999999996</v>
      </c>
      <c r="H102" s="5">
        <v>-1.3966000000000001</v>
      </c>
      <c r="I102" s="5">
        <v>1</v>
      </c>
      <c r="L102" s="2" t="s">
        <v>170</v>
      </c>
      <c r="M102" s="2">
        <v>1.14988</v>
      </c>
    </row>
    <row r="103" spans="1:13" x14ac:dyDescent="0.2">
      <c r="A103" s="5" t="s">
        <v>1187</v>
      </c>
      <c r="B103" s="5" t="s">
        <v>3015</v>
      </c>
      <c r="C103" s="2" t="s">
        <v>2413</v>
      </c>
      <c r="D103" s="5" t="s">
        <v>1836</v>
      </c>
      <c r="E103" s="5" t="s">
        <v>1838</v>
      </c>
      <c r="F103" s="5">
        <v>3.30965</v>
      </c>
      <c r="G103" s="5">
        <v>9.8173600000000008</v>
      </c>
      <c r="H103" s="5">
        <v>1.5686599999999999</v>
      </c>
      <c r="I103" s="5">
        <v>1</v>
      </c>
      <c r="L103" s="2" t="s">
        <v>171</v>
      </c>
      <c r="M103" s="2">
        <v>-1.3444499999999999</v>
      </c>
    </row>
    <row r="104" spans="1:13" x14ac:dyDescent="0.2">
      <c r="A104" s="5" t="s">
        <v>163</v>
      </c>
      <c r="B104" s="5" t="s">
        <v>3015</v>
      </c>
      <c r="C104" s="2" t="s">
        <v>1922</v>
      </c>
      <c r="D104" s="5" t="s">
        <v>1836</v>
      </c>
      <c r="E104" s="5" t="s">
        <v>1838</v>
      </c>
      <c r="F104" s="5">
        <v>13.3531</v>
      </c>
      <c r="G104" s="5">
        <v>6.5852199999999996</v>
      </c>
      <c r="H104" s="5">
        <v>-1.0198799999999999</v>
      </c>
      <c r="I104" s="5">
        <v>1</v>
      </c>
      <c r="L104" s="2" t="s">
        <v>172</v>
      </c>
      <c r="M104" s="2">
        <v>-1.4359200000000001</v>
      </c>
    </row>
    <row r="105" spans="1:13" x14ac:dyDescent="0.2">
      <c r="A105" s="5" t="s">
        <v>169</v>
      </c>
      <c r="B105" s="5" t="s">
        <v>3068</v>
      </c>
      <c r="C105" s="2" t="s">
        <v>3496</v>
      </c>
      <c r="D105" s="5" t="s">
        <v>1836</v>
      </c>
      <c r="E105" s="5" t="s">
        <v>1838</v>
      </c>
      <c r="F105" s="5">
        <v>9.5347799999999996</v>
      </c>
      <c r="G105" s="5">
        <v>4.0239000000000003</v>
      </c>
      <c r="H105" s="5">
        <v>-1.24461</v>
      </c>
      <c r="I105" s="5">
        <v>1</v>
      </c>
      <c r="L105" s="2" t="s">
        <v>173</v>
      </c>
      <c r="M105" s="2">
        <v>-1.4545399999999999</v>
      </c>
    </row>
    <row r="106" spans="1:13" x14ac:dyDescent="0.2">
      <c r="A106" s="5" t="s">
        <v>170</v>
      </c>
      <c r="B106" s="5" t="s">
        <v>3015</v>
      </c>
      <c r="C106" s="2" t="s">
        <v>2414</v>
      </c>
      <c r="D106" s="5" t="s">
        <v>1836</v>
      </c>
      <c r="E106" s="5" t="s">
        <v>1838</v>
      </c>
      <c r="F106" s="5">
        <v>6.3341500000000002</v>
      </c>
      <c r="G106" s="5">
        <v>14.055199999999999</v>
      </c>
      <c r="H106" s="5">
        <v>1.14988</v>
      </c>
      <c r="I106" s="5">
        <v>1</v>
      </c>
      <c r="L106" s="2" t="s">
        <v>175</v>
      </c>
      <c r="M106" s="2">
        <v>-1.1032200000000001</v>
      </c>
    </row>
    <row r="107" spans="1:13" x14ac:dyDescent="0.2">
      <c r="A107" s="5" t="s">
        <v>171</v>
      </c>
      <c r="B107" s="5" t="s">
        <v>3035</v>
      </c>
      <c r="C107" s="2" t="s">
        <v>2415</v>
      </c>
      <c r="D107" s="5" t="s">
        <v>1836</v>
      </c>
      <c r="E107" s="5" t="s">
        <v>1838</v>
      </c>
      <c r="F107" s="5">
        <v>98.718900000000005</v>
      </c>
      <c r="G107" s="5">
        <v>38.875900000000001</v>
      </c>
      <c r="H107" s="5">
        <v>-1.3444499999999999</v>
      </c>
      <c r="I107" s="5">
        <v>1</v>
      </c>
      <c r="L107" s="2" t="s">
        <v>179</v>
      </c>
      <c r="M107" s="2">
        <v>1.6088</v>
      </c>
    </row>
    <row r="108" spans="1:13" x14ac:dyDescent="0.2">
      <c r="A108" s="5" t="s">
        <v>172</v>
      </c>
      <c r="B108" s="5" t="s">
        <v>3069</v>
      </c>
      <c r="C108" s="2" t="s">
        <v>1847</v>
      </c>
      <c r="D108" s="5" t="s">
        <v>1836</v>
      </c>
      <c r="E108" s="5" t="s">
        <v>1838</v>
      </c>
      <c r="F108" s="5">
        <v>2.29921</v>
      </c>
      <c r="G108" s="5">
        <v>0.84981200000000001</v>
      </c>
      <c r="H108" s="5">
        <v>-1.4359200000000001</v>
      </c>
      <c r="I108" s="5">
        <v>1</v>
      </c>
      <c r="L108" s="2" t="s">
        <v>181</v>
      </c>
      <c r="M108" s="2">
        <v>-1.2918700000000001</v>
      </c>
    </row>
    <row r="109" spans="1:13" x14ac:dyDescent="0.2">
      <c r="A109" s="5" t="s">
        <v>1188</v>
      </c>
      <c r="B109" s="5" t="s">
        <v>3297</v>
      </c>
      <c r="C109" s="2" t="s">
        <v>2416</v>
      </c>
      <c r="D109" s="5" t="s">
        <v>1836</v>
      </c>
      <c r="E109" s="5" t="s">
        <v>1838</v>
      </c>
      <c r="F109" s="5">
        <v>0</v>
      </c>
      <c r="G109" s="5">
        <v>0.99651500000000004</v>
      </c>
      <c r="H109" s="5" t="s">
        <v>3021</v>
      </c>
      <c r="I109" s="5" t="s">
        <v>3021</v>
      </c>
      <c r="L109" s="2" t="s">
        <v>1190</v>
      </c>
      <c r="M109" s="2">
        <v>1.1467000000000001</v>
      </c>
    </row>
    <row r="110" spans="1:13" x14ac:dyDescent="0.2">
      <c r="A110" s="5" t="s">
        <v>173</v>
      </c>
      <c r="B110" s="5" t="s">
        <v>3298</v>
      </c>
      <c r="C110" s="2" t="s">
        <v>2417</v>
      </c>
      <c r="D110" s="5" t="s">
        <v>1836</v>
      </c>
      <c r="E110" s="5" t="s">
        <v>1838</v>
      </c>
      <c r="F110" s="5">
        <v>4.5422700000000003</v>
      </c>
      <c r="G110" s="5">
        <v>1.6573500000000001</v>
      </c>
      <c r="H110" s="5">
        <v>-1.4545399999999999</v>
      </c>
      <c r="I110" s="5">
        <v>1</v>
      </c>
      <c r="L110" s="2" t="s">
        <v>186</v>
      </c>
      <c r="M110" s="2">
        <v>1.3287199999999999</v>
      </c>
    </row>
    <row r="111" spans="1:13" x14ac:dyDescent="0.2">
      <c r="A111" s="5" t="s">
        <v>175</v>
      </c>
      <c r="B111" s="5" t="s">
        <v>3299</v>
      </c>
      <c r="C111" s="2" t="s">
        <v>1862</v>
      </c>
      <c r="D111" s="5" t="s">
        <v>1836</v>
      </c>
      <c r="E111" s="5" t="s">
        <v>1838</v>
      </c>
      <c r="F111" s="5">
        <v>16.055</v>
      </c>
      <c r="G111" s="5">
        <v>7.47323</v>
      </c>
      <c r="H111" s="5">
        <v>-1.1032200000000001</v>
      </c>
      <c r="I111" s="5">
        <v>1</v>
      </c>
      <c r="L111" s="2" t="s">
        <v>1191</v>
      </c>
      <c r="M111" s="2">
        <v>-1.92757</v>
      </c>
    </row>
    <row r="112" spans="1:13" x14ac:dyDescent="0.2">
      <c r="A112" s="5" t="s">
        <v>179</v>
      </c>
      <c r="B112" s="5" t="s">
        <v>3073</v>
      </c>
      <c r="C112" s="2" t="s">
        <v>3496</v>
      </c>
      <c r="D112" s="5" t="s">
        <v>1836</v>
      </c>
      <c r="E112" s="5" t="s">
        <v>1838</v>
      </c>
      <c r="F112" s="5">
        <v>0.39915200000000001</v>
      </c>
      <c r="G112" s="5">
        <v>1.2174</v>
      </c>
      <c r="H112" s="5">
        <v>1.6088</v>
      </c>
      <c r="I112" s="5">
        <v>1</v>
      </c>
      <c r="L112" s="2" t="s">
        <v>1192</v>
      </c>
      <c r="M112" s="2">
        <v>-1.47732</v>
      </c>
    </row>
    <row r="113" spans="1:13" x14ac:dyDescent="0.2">
      <c r="A113" s="5" t="s">
        <v>181</v>
      </c>
      <c r="B113" s="5" t="s">
        <v>3037</v>
      </c>
      <c r="C113" s="2" t="s">
        <v>1866</v>
      </c>
      <c r="D113" s="5" t="s">
        <v>1836</v>
      </c>
      <c r="E113" s="5" t="s">
        <v>1838</v>
      </c>
      <c r="F113" s="5">
        <v>2.34788</v>
      </c>
      <c r="G113" s="5">
        <v>0.95892299999999997</v>
      </c>
      <c r="H113" s="5">
        <v>-1.2918700000000001</v>
      </c>
      <c r="I113" s="5">
        <v>1</v>
      </c>
      <c r="L113" s="2" t="s">
        <v>190</v>
      </c>
      <c r="M113" s="2">
        <v>-1.1825699999999999</v>
      </c>
    </row>
    <row r="114" spans="1:13" x14ac:dyDescent="0.2">
      <c r="A114" s="5" t="s">
        <v>1190</v>
      </c>
      <c r="B114" s="5" t="s">
        <v>3047</v>
      </c>
      <c r="C114" s="2" t="s">
        <v>2418</v>
      </c>
      <c r="D114" s="5" t="s">
        <v>1836</v>
      </c>
      <c r="E114" s="5" t="s">
        <v>1838</v>
      </c>
      <c r="F114" s="5">
        <v>81.566500000000005</v>
      </c>
      <c r="G114" s="5">
        <v>180.59299999999999</v>
      </c>
      <c r="H114" s="5">
        <v>1.1467000000000001</v>
      </c>
      <c r="I114" s="5">
        <v>1</v>
      </c>
      <c r="L114" s="2" t="s">
        <v>194</v>
      </c>
      <c r="M114" s="2">
        <v>1.5617799999999999</v>
      </c>
    </row>
    <row r="115" spans="1:13" x14ac:dyDescent="0.2">
      <c r="A115" s="5" t="s">
        <v>186</v>
      </c>
      <c r="B115" s="5" t="s">
        <v>3075</v>
      </c>
      <c r="C115" s="2" t="s">
        <v>1931</v>
      </c>
      <c r="D115" s="5" t="s">
        <v>1836</v>
      </c>
      <c r="E115" s="5" t="s">
        <v>1838</v>
      </c>
      <c r="F115" s="5">
        <v>0.72375800000000001</v>
      </c>
      <c r="G115" s="5">
        <v>1.81793</v>
      </c>
      <c r="H115" s="5">
        <v>1.3287199999999999</v>
      </c>
      <c r="I115" s="5">
        <v>1</v>
      </c>
      <c r="L115" s="2" t="s">
        <v>195</v>
      </c>
      <c r="M115" s="2">
        <v>1.18753</v>
      </c>
    </row>
    <row r="116" spans="1:13" x14ac:dyDescent="0.2">
      <c r="A116" s="5" t="s">
        <v>1191</v>
      </c>
      <c r="B116" s="5" t="s">
        <v>3015</v>
      </c>
      <c r="C116" s="2" t="s">
        <v>2419</v>
      </c>
      <c r="D116" s="5" t="s">
        <v>1836</v>
      </c>
      <c r="E116" s="5" t="s">
        <v>1838</v>
      </c>
      <c r="F116" s="5">
        <v>1.3248</v>
      </c>
      <c r="G116" s="5">
        <v>0.34825200000000001</v>
      </c>
      <c r="H116" s="5">
        <v>-1.92757</v>
      </c>
      <c r="I116" s="5">
        <v>1</v>
      </c>
      <c r="L116" s="2" t="s">
        <v>196</v>
      </c>
      <c r="M116" s="2">
        <v>-1.8297600000000001</v>
      </c>
    </row>
    <row r="117" spans="1:13" x14ac:dyDescent="0.2">
      <c r="A117" s="5" t="s">
        <v>1192</v>
      </c>
      <c r="B117" s="5" t="s">
        <v>3087</v>
      </c>
      <c r="C117" s="2" t="s">
        <v>1947</v>
      </c>
      <c r="D117" s="5" t="s">
        <v>1836</v>
      </c>
      <c r="E117" s="5" t="s">
        <v>1838</v>
      </c>
      <c r="F117" s="5">
        <v>1.5593699999999999</v>
      </c>
      <c r="G117" s="5">
        <v>0.56005700000000003</v>
      </c>
      <c r="H117" s="5">
        <v>-1.47732</v>
      </c>
      <c r="I117" s="5">
        <v>1</v>
      </c>
      <c r="L117" s="2" t="s">
        <v>197</v>
      </c>
      <c r="M117" s="2">
        <v>1.4309099999999999</v>
      </c>
    </row>
    <row r="118" spans="1:13" x14ac:dyDescent="0.2">
      <c r="A118" s="5" t="s">
        <v>190</v>
      </c>
      <c r="B118" s="5" t="s">
        <v>3015</v>
      </c>
      <c r="C118" s="2" t="s">
        <v>3496</v>
      </c>
      <c r="D118" s="5" t="s">
        <v>1836</v>
      </c>
      <c r="E118" s="5" t="s">
        <v>1838</v>
      </c>
      <c r="F118" s="5">
        <v>8.6670700000000007</v>
      </c>
      <c r="G118" s="5">
        <v>3.8184100000000001</v>
      </c>
      <c r="H118" s="5">
        <v>-1.1825699999999999</v>
      </c>
      <c r="I118" s="5">
        <v>1</v>
      </c>
      <c r="L118" s="2" t="s">
        <v>1194</v>
      </c>
      <c r="M118" s="2">
        <v>-2.0514100000000002</v>
      </c>
    </row>
    <row r="119" spans="1:13" x14ac:dyDescent="0.2">
      <c r="A119" s="5" t="s">
        <v>194</v>
      </c>
      <c r="B119" s="5" t="s">
        <v>3015</v>
      </c>
      <c r="C119" s="2" t="s">
        <v>1933</v>
      </c>
      <c r="D119" s="5" t="s">
        <v>1836</v>
      </c>
      <c r="E119" s="5" t="s">
        <v>1838</v>
      </c>
      <c r="F119" s="5">
        <v>0.89725999999999995</v>
      </c>
      <c r="G119" s="5">
        <v>2.6488700000000001</v>
      </c>
      <c r="H119" s="5">
        <v>1.5617799999999999</v>
      </c>
      <c r="I119" s="5">
        <v>1</v>
      </c>
      <c r="L119" s="2" t="s">
        <v>199</v>
      </c>
      <c r="M119" s="2">
        <v>1.0971500000000001</v>
      </c>
    </row>
    <row r="120" spans="1:13" x14ac:dyDescent="0.2">
      <c r="A120" s="5" t="s">
        <v>195</v>
      </c>
      <c r="B120" s="5" t="s">
        <v>3015</v>
      </c>
      <c r="C120" s="2" t="s">
        <v>1847</v>
      </c>
      <c r="D120" s="5" t="s">
        <v>1836</v>
      </c>
      <c r="E120" s="5" t="s">
        <v>1838</v>
      </c>
      <c r="F120" s="5">
        <v>0.57696999999999998</v>
      </c>
      <c r="G120" s="5">
        <v>1.31413</v>
      </c>
      <c r="H120" s="5">
        <v>1.18753</v>
      </c>
      <c r="I120" s="5">
        <v>1</v>
      </c>
      <c r="L120" s="2" t="s">
        <v>200</v>
      </c>
      <c r="M120" s="2">
        <v>1.2346299999999999</v>
      </c>
    </row>
    <row r="121" spans="1:13" x14ac:dyDescent="0.2">
      <c r="A121" s="5" t="s">
        <v>196</v>
      </c>
      <c r="B121" s="5" t="s">
        <v>3077</v>
      </c>
      <c r="C121" s="2" t="s">
        <v>1934</v>
      </c>
      <c r="D121" s="5" t="s">
        <v>1836</v>
      </c>
      <c r="E121" s="5" t="s">
        <v>1838</v>
      </c>
      <c r="F121" s="5">
        <v>2.6640000000000001</v>
      </c>
      <c r="G121" s="5">
        <v>0.749417</v>
      </c>
      <c r="H121" s="5">
        <v>-1.8297600000000001</v>
      </c>
      <c r="I121" s="5">
        <v>1</v>
      </c>
      <c r="L121" s="2" t="s">
        <v>1196</v>
      </c>
      <c r="M121" s="2">
        <v>-1.083</v>
      </c>
    </row>
    <row r="122" spans="1:13" x14ac:dyDescent="0.2">
      <c r="A122" s="5" t="s">
        <v>197</v>
      </c>
      <c r="B122" s="5" t="s">
        <v>3078</v>
      </c>
      <c r="C122" s="2" t="s">
        <v>1935</v>
      </c>
      <c r="D122" s="5" t="s">
        <v>1836</v>
      </c>
      <c r="E122" s="5" t="s">
        <v>1838</v>
      </c>
      <c r="F122" s="5">
        <v>4.6795900000000001</v>
      </c>
      <c r="G122" s="5">
        <v>12.617000000000001</v>
      </c>
      <c r="H122" s="5">
        <v>1.4309099999999999</v>
      </c>
      <c r="I122" s="5">
        <v>1</v>
      </c>
      <c r="L122" s="2" t="s">
        <v>201</v>
      </c>
      <c r="M122" s="2">
        <v>-1.9534899999999999</v>
      </c>
    </row>
    <row r="123" spans="1:13" x14ac:dyDescent="0.2">
      <c r="A123" s="5" t="s">
        <v>1194</v>
      </c>
      <c r="B123" s="5" t="s">
        <v>3300</v>
      </c>
      <c r="C123" s="2" t="s">
        <v>2420</v>
      </c>
      <c r="D123" s="5" t="s">
        <v>1836</v>
      </c>
      <c r="E123" s="5" t="s">
        <v>1838</v>
      </c>
      <c r="F123" s="5">
        <v>8.2578099999999992</v>
      </c>
      <c r="G123" s="5">
        <v>1.9921800000000001</v>
      </c>
      <c r="H123" s="5">
        <v>-2.0514100000000002</v>
      </c>
      <c r="I123" s="5">
        <v>1</v>
      </c>
      <c r="L123" s="2" t="s">
        <v>205</v>
      </c>
      <c r="M123" s="2">
        <v>1.04271</v>
      </c>
    </row>
    <row r="124" spans="1:13" x14ac:dyDescent="0.2">
      <c r="A124" s="5" t="s">
        <v>199</v>
      </c>
      <c r="B124" s="5" t="s">
        <v>3015</v>
      </c>
      <c r="C124" s="2" t="s">
        <v>3496</v>
      </c>
      <c r="D124" s="5" t="s">
        <v>1836</v>
      </c>
      <c r="E124" s="5" t="s">
        <v>1838</v>
      </c>
      <c r="F124" s="5">
        <v>2.2997200000000002</v>
      </c>
      <c r="G124" s="5">
        <v>4.9198300000000001</v>
      </c>
      <c r="H124" s="5">
        <v>1.0971500000000001</v>
      </c>
      <c r="I124" s="5">
        <v>1</v>
      </c>
      <c r="L124" s="2" t="s">
        <v>206</v>
      </c>
      <c r="M124" s="2">
        <v>-1.4353</v>
      </c>
    </row>
    <row r="125" spans="1:13" x14ac:dyDescent="0.2">
      <c r="A125" s="5" t="s">
        <v>200</v>
      </c>
      <c r="B125" s="5" t="s">
        <v>3080</v>
      </c>
      <c r="C125" s="2" t="s">
        <v>1937</v>
      </c>
      <c r="D125" s="5" t="s">
        <v>1836</v>
      </c>
      <c r="E125" s="5" t="s">
        <v>1838</v>
      </c>
      <c r="F125" s="5">
        <v>0.47484399999999999</v>
      </c>
      <c r="G125" s="5">
        <v>1.11741</v>
      </c>
      <c r="H125" s="5">
        <v>1.2346299999999999</v>
      </c>
      <c r="I125" s="5">
        <v>1</v>
      </c>
      <c r="L125" s="2" t="s">
        <v>211</v>
      </c>
      <c r="M125" s="2">
        <v>1.37853</v>
      </c>
    </row>
    <row r="126" spans="1:13" x14ac:dyDescent="0.2">
      <c r="A126" s="5" t="s">
        <v>1196</v>
      </c>
      <c r="B126" s="5" t="s">
        <v>3015</v>
      </c>
      <c r="C126" s="2" t="s">
        <v>2421</v>
      </c>
      <c r="D126" s="5" t="s">
        <v>1836</v>
      </c>
      <c r="E126" s="5" t="s">
        <v>1838</v>
      </c>
      <c r="F126" s="5">
        <v>1.5328200000000001</v>
      </c>
      <c r="G126" s="5">
        <v>0.72356200000000004</v>
      </c>
      <c r="H126" s="5">
        <v>-1.083</v>
      </c>
      <c r="I126" s="5">
        <v>1</v>
      </c>
      <c r="L126" s="2" t="s">
        <v>214</v>
      </c>
      <c r="M126" s="2">
        <v>-2.0031400000000001</v>
      </c>
    </row>
    <row r="127" spans="1:13" x14ac:dyDescent="0.2">
      <c r="A127" s="5" t="s">
        <v>201</v>
      </c>
      <c r="B127" s="5" t="s">
        <v>3081</v>
      </c>
      <c r="C127" s="2" t="s">
        <v>1938</v>
      </c>
      <c r="D127" s="5" t="s">
        <v>1836</v>
      </c>
      <c r="E127" s="5" t="s">
        <v>1838</v>
      </c>
      <c r="F127" s="5">
        <v>3.15699</v>
      </c>
      <c r="G127" s="5">
        <v>0.81510300000000002</v>
      </c>
      <c r="H127" s="5">
        <v>-1.9534899999999999</v>
      </c>
      <c r="I127" s="5">
        <v>1</v>
      </c>
      <c r="L127" s="2" t="s">
        <v>220</v>
      </c>
      <c r="M127" s="2">
        <v>-1.17119</v>
      </c>
    </row>
    <row r="128" spans="1:13" x14ac:dyDescent="0.2">
      <c r="A128" s="5" t="s">
        <v>205</v>
      </c>
      <c r="B128" s="5" t="s">
        <v>3138</v>
      </c>
      <c r="C128" s="2" t="s">
        <v>2422</v>
      </c>
      <c r="D128" s="5" t="s">
        <v>1836</v>
      </c>
      <c r="E128" s="5" t="s">
        <v>1838</v>
      </c>
      <c r="F128" s="5">
        <v>788.52700000000004</v>
      </c>
      <c r="G128" s="5">
        <v>1624.43</v>
      </c>
      <c r="H128" s="5">
        <v>1.04271</v>
      </c>
      <c r="I128" s="5">
        <v>1</v>
      </c>
      <c r="L128" s="2" t="s">
        <v>1198</v>
      </c>
      <c r="M128" s="2">
        <v>-1.2304999999999999</v>
      </c>
    </row>
    <row r="129" spans="1:13" x14ac:dyDescent="0.2">
      <c r="A129" s="5" t="s">
        <v>206</v>
      </c>
      <c r="B129" s="5" t="s">
        <v>3084</v>
      </c>
      <c r="C129" s="2" t="s">
        <v>1941</v>
      </c>
      <c r="D129" s="5" t="s">
        <v>1836</v>
      </c>
      <c r="E129" s="5" t="s">
        <v>1838</v>
      </c>
      <c r="F129" s="5">
        <v>4.0017699999999996</v>
      </c>
      <c r="G129" s="5">
        <v>1.47973</v>
      </c>
      <c r="H129" s="5">
        <v>-1.4353</v>
      </c>
      <c r="I129" s="5">
        <v>1</v>
      </c>
      <c r="L129" s="2" t="s">
        <v>227</v>
      </c>
      <c r="M129" s="2">
        <v>-1.06105</v>
      </c>
    </row>
    <row r="130" spans="1:13" x14ac:dyDescent="0.2">
      <c r="A130" s="5" t="s">
        <v>211</v>
      </c>
      <c r="B130" s="5" t="s">
        <v>3086</v>
      </c>
      <c r="C130" s="2" t="s">
        <v>3496</v>
      </c>
      <c r="D130" s="5" t="s">
        <v>1836</v>
      </c>
      <c r="E130" s="5" t="s">
        <v>1838</v>
      </c>
      <c r="F130" s="5">
        <v>0.982734</v>
      </c>
      <c r="G130" s="5">
        <v>2.5551400000000002</v>
      </c>
      <c r="H130" s="5">
        <v>1.37853</v>
      </c>
      <c r="I130" s="5">
        <v>1</v>
      </c>
      <c r="L130" s="2" t="s">
        <v>1199</v>
      </c>
      <c r="M130" s="2">
        <v>-2.0463300000000002</v>
      </c>
    </row>
    <row r="131" spans="1:13" x14ac:dyDescent="0.2">
      <c r="A131" s="5" t="s">
        <v>214</v>
      </c>
      <c r="B131" s="5" t="s">
        <v>3015</v>
      </c>
      <c r="C131" s="2" t="s">
        <v>1945</v>
      </c>
      <c r="D131" s="5" t="s">
        <v>1836</v>
      </c>
      <c r="E131" s="5" t="s">
        <v>1838</v>
      </c>
      <c r="F131" s="5">
        <v>4.7435600000000004</v>
      </c>
      <c r="G131" s="5">
        <v>1.1833100000000001</v>
      </c>
      <c r="H131" s="5">
        <v>-2.0031400000000001</v>
      </c>
      <c r="I131" s="5">
        <v>1</v>
      </c>
      <c r="L131" s="2" t="s">
        <v>1200</v>
      </c>
      <c r="M131" s="2">
        <v>-1.1361300000000001</v>
      </c>
    </row>
    <row r="132" spans="1:13" x14ac:dyDescent="0.2">
      <c r="A132" s="5" t="s">
        <v>220</v>
      </c>
      <c r="B132" s="5" t="s">
        <v>3301</v>
      </c>
      <c r="C132" s="2" t="s">
        <v>3496</v>
      </c>
      <c r="D132" s="5" t="s">
        <v>1836</v>
      </c>
      <c r="E132" s="5" t="s">
        <v>1838</v>
      </c>
      <c r="F132" s="5">
        <v>8.1850299999999994</v>
      </c>
      <c r="G132" s="5">
        <v>3.6345999999999998</v>
      </c>
      <c r="H132" s="5">
        <v>-1.17119</v>
      </c>
      <c r="I132" s="5">
        <v>1</v>
      </c>
      <c r="L132" s="2" t="s">
        <v>1201</v>
      </c>
      <c r="M132" s="2">
        <v>1.98763</v>
      </c>
    </row>
    <row r="133" spans="1:13" x14ac:dyDescent="0.2">
      <c r="A133" s="5" t="s">
        <v>1198</v>
      </c>
      <c r="B133" s="5" t="s">
        <v>3049</v>
      </c>
      <c r="C133" s="2" t="s">
        <v>3496</v>
      </c>
      <c r="D133" s="5" t="s">
        <v>1836</v>
      </c>
      <c r="E133" s="5" t="s">
        <v>1838</v>
      </c>
      <c r="F133" s="5">
        <v>3.6998700000000002</v>
      </c>
      <c r="G133" s="5">
        <v>1.57677</v>
      </c>
      <c r="H133" s="5">
        <v>-1.2304999999999999</v>
      </c>
      <c r="I133" s="5">
        <v>1</v>
      </c>
      <c r="L133" s="2" t="s">
        <v>233</v>
      </c>
      <c r="M133" s="2">
        <v>-1.2326600000000001</v>
      </c>
    </row>
    <row r="134" spans="1:13" x14ac:dyDescent="0.2">
      <c r="A134" s="5" t="s">
        <v>227</v>
      </c>
      <c r="B134" s="5" t="s">
        <v>3089</v>
      </c>
      <c r="C134" s="2" t="s">
        <v>1950</v>
      </c>
      <c r="D134" s="5" t="s">
        <v>1836</v>
      </c>
      <c r="E134" s="5" t="s">
        <v>1838</v>
      </c>
      <c r="F134" s="5">
        <v>20.874300000000002</v>
      </c>
      <c r="G134" s="5">
        <v>10.0047</v>
      </c>
      <c r="H134" s="5">
        <v>-1.06105</v>
      </c>
      <c r="I134" s="5">
        <v>1</v>
      </c>
      <c r="L134" s="2" t="s">
        <v>1204</v>
      </c>
      <c r="M134" s="2">
        <v>-1.1428700000000001</v>
      </c>
    </row>
    <row r="135" spans="1:13" x14ac:dyDescent="0.2">
      <c r="A135" s="5" t="s">
        <v>1199</v>
      </c>
      <c r="B135" s="5" t="s">
        <v>3045</v>
      </c>
      <c r="C135" s="2" t="s">
        <v>2423</v>
      </c>
      <c r="D135" s="5" t="s">
        <v>1836</v>
      </c>
      <c r="E135" s="5" t="s">
        <v>1838</v>
      </c>
      <c r="F135" s="5">
        <v>1.44997</v>
      </c>
      <c r="G135" s="5">
        <v>0.35103600000000001</v>
      </c>
      <c r="H135" s="5">
        <v>-2.0463300000000002</v>
      </c>
      <c r="I135" s="5">
        <v>1</v>
      </c>
      <c r="L135" s="2" t="s">
        <v>240</v>
      </c>
      <c r="M135" s="2">
        <v>-1.1633100000000001</v>
      </c>
    </row>
    <row r="136" spans="1:13" x14ac:dyDescent="0.2">
      <c r="A136" s="5" t="s">
        <v>1200</v>
      </c>
      <c r="B136" s="5" t="s">
        <v>3015</v>
      </c>
      <c r="C136" s="2" t="s">
        <v>2424</v>
      </c>
      <c r="D136" s="5" t="s">
        <v>1836</v>
      </c>
      <c r="E136" s="5" t="s">
        <v>1838</v>
      </c>
      <c r="F136" s="5">
        <v>51.781100000000002</v>
      </c>
      <c r="G136" s="5">
        <v>23.5594</v>
      </c>
      <c r="H136" s="5">
        <v>-1.1361300000000001</v>
      </c>
      <c r="I136" s="5">
        <v>1</v>
      </c>
      <c r="L136" s="2" t="s">
        <v>1205</v>
      </c>
      <c r="M136" s="2">
        <v>-1.51248</v>
      </c>
    </row>
    <row r="137" spans="1:13" x14ac:dyDescent="0.2">
      <c r="A137" s="5" t="s">
        <v>1201</v>
      </c>
      <c r="B137" s="5" t="s">
        <v>3015</v>
      </c>
      <c r="C137" s="2" t="s">
        <v>2425</v>
      </c>
      <c r="D137" s="5" t="s">
        <v>1836</v>
      </c>
      <c r="E137" s="5" t="s">
        <v>1838</v>
      </c>
      <c r="F137" s="5">
        <v>7.3511199999999999</v>
      </c>
      <c r="G137" s="5">
        <v>29.153300000000002</v>
      </c>
      <c r="H137" s="5">
        <v>1.98763</v>
      </c>
      <c r="I137" s="5">
        <v>1</v>
      </c>
      <c r="L137" s="2" t="s">
        <v>242</v>
      </c>
      <c r="M137" s="2">
        <v>-1.3429500000000001</v>
      </c>
    </row>
    <row r="138" spans="1:13" x14ac:dyDescent="0.2">
      <c r="A138" s="5" t="s">
        <v>233</v>
      </c>
      <c r="B138" s="5" t="s">
        <v>3092</v>
      </c>
      <c r="C138" s="2" t="s">
        <v>1953</v>
      </c>
      <c r="D138" s="5" t="s">
        <v>1836</v>
      </c>
      <c r="E138" s="5" t="s">
        <v>1838</v>
      </c>
      <c r="F138" s="5">
        <v>2.37799</v>
      </c>
      <c r="G138" s="5">
        <v>1.0119100000000001</v>
      </c>
      <c r="H138" s="5">
        <v>-1.2326600000000001</v>
      </c>
      <c r="I138" s="5">
        <v>1</v>
      </c>
      <c r="L138" s="2" t="s">
        <v>1207</v>
      </c>
      <c r="M138" s="2">
        <v>-1.02963</v>
      </c>
    </row>
    <row r="139" spans="1:13" x14ac:dyDescent="0.2">
      <c r="A139" s="5" t="s">
        <v>1204</v>
      </c>
      <c r="B139" s="5" t="s">
        <v>3302</v>
      </c>
      <c r="C139" s="2" t="s">
        <v>2426</v>
      </c>
      <c r="D139" s="5" t="s">
        <v>1836</v>
      </c>
      <c r="E139" s="5" t="s">
        <v>1838</v>
      </c>
      <c r="F139" s="5">
        <v>5.5745300000000002</v>
      </c>
      <c r="G139" s="5">
        <v>2.5244599999999999</v>
      </c>
      <c r="H139" s="5">
        <v>-1.1428700000000001</v>
      </c>
      <c r="I139" s="5">
        <v>1</v>
      </c>
      <c r="L139" s="2" t="s">
        <v>1208</v>
      </c>
      <c r="M139" s="2">
        <v>-1.3985700000000001</v>
      </c>
    </row>
    <row r="140" spans="1:13" x14ac:dyDescent="0.2">
      <c r="A140" s="5" t="s">
        <v>240</v>
      </c>
      <c r="B140" s="5" t="s">
        <v>3025</v>
      </c>
      <c r="C140" s="2" t="s">
        <v>2427</v>
      </c>
      <c r="D140" s="5" t="s">
        <v>1836</v>
      </c>
      <c r="E140" s="5" t="s">
        <v>1838</v>
      </c>
      <c r="F140" s="5">
        <v>14.027100000000001</v>
      </c>
      <c r="G140" s="5">
        <v>6.2629099999999998</v>
      </c>
      <c r="H140" s="5">
        <v>-1.1633100000000001</v>
      </c>
      <c r="I140" s="5">
        <v>1</v>
      </c>
      <c r="L140" s="2" t="s">
        <v>248</v>
      </c>
      <c r="M140" s="2">
        <v>-1.48672</v>
      </c>
    </row>
    <row r="141" spans="1:13" x14ac:dyDescent="0.2">
      <c r="A141" s="5" t="s">
        <v>1205</v>
      </c>
      <c r="B141" s="5" t="s">
        <v>3015</v>
      </c>
      <c r="C141" s="2" t="s">
        <v>1847</v>
      </c>
      <c r="D141" s="5" t="s">
        <v>1836</v>
      </c>
      <c r="E141" s="5" t="s">
        <v>1838</v>
      </c>
      <c r="F141" s="5">
        <v>1.66167</v>
      </c>
      <c r="G141" s="5">
        <v>0.58242700000000003</v>
      </c>
      <c r="H141" s="5">
        <v>-1.51248</v>
      </c>
      <c r="I141" s="5">
        <v>1</v>
      </c>
      <c r="L141" s="2" t="s">
        <v>249</v>
      </c>
      <c r="M141" s="2">
        <v>-4.6495499999999996</v>
      </c>
    </row>
    <row r="142" spans="1:13" x14ac:dyDescent="0.2">
      <c r="A142" s="5" t="s">
        <v>242</v>
      </c>
      <c r="B142" s="5" t="s">
        <v>3303</v>
      </c>
      <c r="C142" s="2" t="s">
        <v>2428</v>
      </c>
      <c r="D142" s="5" t="s">
        <v>1836</v>
      </c>
      <c r="E142" s="5" t="s">
        <v>1838</v>
      </c>
      <c r="F142" s="5">
        <v>13.1554</v>
      </c>
      <c r="G142" s="5">
        <v>5.1860499999999998</v>
      </c>
      <c r="H142" s="5">
        <v>-1.3429500000000001</v>
      </c>
      <c r="I142" s="5">
        <v>1</v>
      </c>
      <c r="L142" s="2" t="s">
        <v>250</v>
      </c>
      <c r="M142" s="2">
        <v>-2.3772500000000001</v>
      </c>
    </row>
    <row r="143" spans="1:13" x14ac:dyDescent="0.2">
      <c r="A143" s="5" t="s">
        <v>1207</v>
      </c>
      <c r="B143" s="5" t="s">
        <v>3111</v>
      </c>
      <c r="C143" s="2" t="s">
        <v>1988</v>
      </c>
      <c r="D143" s="5" t="s">
        <v>1836</v>
      </c>
      <c r="E143" s="5" t="s">
        <v>1838</v>
      </c>
      <c r="F143" s="5">
        <v>1.0108299999999999</v>
      </c>
      <c r="G143" s="5">
        <v>0.495143</v>
      </c>
      <c r="H143" s="5">
        <v>-1.02963</v>
      </c>
      <c r="I143" s="5">
        <v>1</v>
      </c>
      <c r="L143" s="2" t="s">
        <v>251</v>
      </c>
      <c r="M143" s="2">
        <v>-1.11412</v>
      </c>
    </row>
    <row r="144" spans="1:13" x14ac:dyDescent="0.2">
      <c r="A144" s="5" t="s">
        <v>1208</v>
      </c>
      <c r="B144" s="5" t="s">
        <v>3304</v>
      </c>
      <c r="C144" s="2" t="s">
        <v>2380</v>
      </c>
      <c r="D144" s="5" t="s">
        <v>1836</v>
      </c>
      <c r="E144" s="5" t="s">
        <v>1838</v>
      </c>
      <c r="F144" s="5">
        <v>2.8315299999999999</v>
      </c>
      <c r="G144" s="5">
        <v>1.0740099999999999</v>
      </c>
      <c r="H144" s="5">
        <v>-1.3985700000000001</v>
      </c>
      <c r="I144" s="5">
        <v>1</v>
      </c>
      <c r="L144" s="2" t="s">
        <v>254</v>
      </c>
      <c r="M144" s="2">
        <v>1.28474</v>
      </c>
    </row>
    <row r="145" spans="1:13" x14ac:dyDescent="0.2">
      <c r="A145" s="5" t="s">
        <v>248</v>
      </c>
      <c r="B145" s="5" t="s">
        <v>3015</v>
      </c>
      <c r="C145" s="2" t="s">
        <v>1862</v>
      </c>
      <c r="D145" s="5" t="s">
        <v>1836</v>
      </c>
      <c r="E145" s="5" t="s">
        <v>1838</v>
      </c>
      <c r="F145" s="5">
        <v>1.48085</v>
      </c>
      <c r="G145" s="5">
        <v>0.52840100000000001</v>
      </c>
      <c r="H145" s="5">
        <v>-1.48672</v>
      </c>
      <c r="I145" s="5">
        <v>1</v>
      </c>
      <c r="L145" s="2" t="s">
        <v>1210</v>
      </c>
      <c r="M145" s="2">
        <v>1.38598</v>
      </c>
    </row>
    <row r="146" spans="1:13" x14ac:dyDescent="0.2">
      <c r="A146" s="5" t="s">
        <v>249</v>
      </c>
      <c r="B146" s="5" t="s">
        <v>3097</v>
      </c>
      <c r="C146" s="2" t="s">
        <v>1961</v>
      </c>
      <c r="D146" s="5" t="s">
        <v>1836</v>
      </c>
      <c r="E146" s="5" t="s">
        <v>1838</v>
      </c>
      <c r="F146" s="5">
        <v>3.6669900000000002</v>
      </c>
      <c r="G146" s="5">
        <v>0.14610200000000001</v>
      </c>
      <c r="H146" s="5">
        <v>-4.6495499999999996</v>
      </c>
      <c r="I146" s="5">
        <v>1</v>
      </c>
      <c r="L146" s="2" t="s">
        <v>257</v>
      </c>
      <c r="M146" s="2">
        <v>-3.58778</v>
      </c>
    </row>
    <row r="147" spans="1:13" x14ac:dyDescent="0.2">
      <c r="A147" s="5" t="s">
        <v>250</v>
      </c>
      <c r="B147" s="5" t="s">
        <v>3098</v>
      </c>
      <c r="C147" s="2" t="s">
        <v>1962</v>
      </c>
      <c r="D147" s="5" t="s">
        <v>1836</v>
      </c>
      <c r="E147" s="5" t="s">
        <v>1838</v>
      </c>
      <c r="F147" s="5">
        <v>1.2837000000000001</v>
      </c>
      <c r="G147" s="5">
        <v>0.247082</v>
      </c>
      <c r="H147" s="5">
        <v>-2.3772500000000001</v>
      </c>
      <c r="I147" s="5">
        <v>1</v>
      </c>
      <c r="L147" s="2" t="s">
        <v>1211</v>
      </c>
      <c r="M147" s="2">
        <v>-1.04647</v>
      </c>
    </row>
    <row r="148" spans="1:13" x14ac:dyDescent="0.2">
      <c r="A148" s="5" t="s">
        <v>251</v>
      </c>
      <c r="B148" s="5" t="s">
        <v>3015</v>
      </c>
      <c r="C148" s="2" t="s">
        <v>1963</v>
      </c>
      <c r="D148" s="5" t="s">
        <v>1836</v>
      </c>
      <c r="E148" s="5" t="s">
        <v>1838</v>
      </c>
      <c r="F148" s="5">
        <v>10.2959</v>
      </c>
      <c r="G148" s="5">
        <v>4.7564399999999996</v>
      </c>
      <c r="H148" s="5">
        <v>-1.11412</v>
      </c>
      <c r="I148" s="5">
        <v>1</v>
      </c>
      <c r="L148" s="2" t="s">
        <v>260</v>
      </c>
      <c r="M148" s="2">
        <v>-1.4368399999999999</v>
      </c>
    </row>
    <row r="149" spans="1:13" x14ac:dyDescent="0.2">
      <c r="A149" s="5" t="s">
        <v>254</v>
      </c>
      <c r="B149" s="5" t="s">
        <v>3089</v>
      </c>
      <c r="C149" s="2" t="s">
        <v>1847</v>
      </c>
      <c r="D149" s="5" t="s">
        <v>1836</v>
      </c>
      <c r="E149" s="5" t="s">
        <v>1838</v>
      </c>
      <c r="F149" s="5">
        <v>1.2150399999999999</v>
      </c>
      <c r="G149" s="5">
        <v>2.9602900000000001</v>
      </c>
      <c r="H149" s="5">
        <v>1.28474</v>
      </c>
      <c r="I149" s="5">
        <v>1</v>
      </c>
      <c r="L149" s="2" t="s">
        <v>1212</v>
      </c>
      <c r="M149" s="2">
        <v>-1.2985</v>
      </c>
    </row>
    <row r="150" spans="1:13" x14ac:dyDescent="0.2">
      <c r="A150" s="5" t="s">
        <v>1210</v>
      </c>
      <c r="B150" s="5" t="s">
        <v>3081</v>
      </c>
      <c r="C150" s="2" t="s">
        <v>2353</v>
      </c>
      <c r="D150" s="5" t="s">
        <v>1836</v>
      </c>
      <c r="E150" s="5" t="s">
        <v>1838</v>
      </c>
      <c r="F150" s="5">
        <v>37.006500000000003</v>
      </c>
      <c r="G150" s="5">
        <v>96.716399999999993</v>
      </c>
      <c r="H150" s="5">
        <v>1.38598</v>
      </c>
      <c r="I150" s="5">
        <v>1</v>
      </c>
      <c r="L150" s="2" t="s">
        <v>264</v>
      </c>
      <c r="M150" s="2">
        <v>-1.3366100000000001</v>
      </c>
    </row>
    <row r="151" spans="1:13" x14ac:dyDescent="0.2">
      <c r="A151" s="5" t="s">
        <v>257</v>
      </c>
      <c r="B151" s="5" t="s">
        <v>3100</v>
      </c>
      <c r="C151" s="2" t="s">
        <v>1966</v>
      </c>
      <c r="D151" s="5" t="s">
        <v>1836</v>
      </c>
      <c r="E151" s="5" t="s">
        <v>1838</v>
      </c>
      <c r="F151" s="5">
        <v>4.3836199999999996</v>
      </c>
      <c r="G151" s="5">
        <v>0.364589</v>
      </c>
      <c r="H151" s="5">
        <v>-3.58778</v>
      </c>
      <c r="I151" s="5">
        <v>1</v>
      </c>
      <c r="L151" s="2" t="s">
        <v>266</v>
      </c>
      <c r="M151" s="2">
        <v>5.1457800000000002</v>
      </c>
    </row>
    <row r="152" spans="1:13" x14ac:dyDescent="0.2">
      <c r="A152" s="5" t="s">
        <v>1211</v>
      </c>
      <c r="B152" s="5" t="s">
        <v>3305</v>
      </c>
      <c r="C152" s="2" t="s">
        <v>2429</v>
      </c>
      <c r="D152" s="5" t="s">
        <v>1836</v>
      </c>
      <c r="E152" s="5" t="s">
        <v>1838</v>
      </c>
      <c r="F152" s="5">
        <v>4.70364</v>
      </c>
      <c r="G152" s="5">
        <v>2.2772700000000001</v>
      </c>
      <c r="H152" s="5">
        <v>-1.04647</v>
      </c>
      <c r="I152" s="5">
        <v>1</v>
      </c>
      <c r="L152" s="2" t="s">
        <v>1213</v>
      </c>
      <c r="M152" s="2">
        <v>-1.78921</v>
      </c>
    </row>
    <row r="153" spans="1:13" x14ac:dyDescent="0.2">
      <c r="A153" s="5" t="s">
        <v>260</v>
      </c>
      <c r="B153" s="5" t="s">
        <v>3197</v>
      </c>
      <c r="C153" s="2" t="s">
        <v>2179</v>
      </c>
      <c r="D153" s="5" t="s">
        <v>1836</v>
      </c>
      <c r="E153" s="5" t="s">
        <v>1838</v>
      </c>
      <c r="F153" s="5">
        <v>8.90001</v>
      </c>
      <c r="G153" s="5">
        <v>3.2874300000000001</v>
      </c>
      <c r="H153" s="5">
        <v>-1.4368399999999999</v>
      </c>
      <c r="I153" s="5">
        <v>1</v>
      </c>
      <c r="L153" s="2" t="s">
        <v>1214</v>
      </c>
      <c r="M153" s="2">
        <v>1.4719</v>
      </c>
    </row>
    <row r="154" spans="1:13" x14ac:dyDescent="0.2">
      <c r="A154" s="5" t="s">
        <v>1212</v>
      </c>
      <c r="B154" s="5" t="s">
        <v>3306</v>
      </c>
      <c r="C154" s="2" t="s">
        <v>2430</v>
      </c>
      <c r="D154" s="5" t="s">
        <v>1836</v>
      </c>
      <c r="E154" s="5" t="s">
        <v>1838</v>
      </c>
      <c r="F154" s="5">
        <v>5.4852400000000001</v>
      </c>
      <c r="G154" s="5">
        <v>2.2300200000000001</v>
      </c>
      <c r="H154" s="5">
        <v>-1.2985</v>
      </c>
      <c r="I154" s="5">
        <v>1</v>
      </c>
      <c r="L154" s="2" t="s">
        <v>268</v>
      </c>
      <c r="M154" s="2">
        <v>1.1946600000000001</v>
      </c>
    </row>
    <row r="155" spans="1:13" x14ac:dyDescent="0.2">
      <c r="A155" s="5" t="s">
        <v>264</v>
      </c>
      <c r="B155" s="5" t="s">
        <v>3102</v>
      </c>
      <c r="C155" s="2" t="s">
        <v>1968</v>
      </c>
      <c r="D155" s="5" t="s">
        <v>1836</v>
      </c>
      <c r="E155" s="5" t="s">
        <v>1838</v>
      </c>
      <c r="F155" s="5">
        <v>1.15181</v>
      </c>
      <c r="G155" s="5">
        <v>0.45606000000000002</v>
      </c>
      <c r="H155" s="5">
        <v>-1.3366100000000001</v>
      </c>
      <c r="I155" s="5">
        <v>1</v>
      </c>
      <c r="L155" s="2" t="s">
        <v>269</v>
      </c>
      <c r="M155" s="2">
        <v>5.9490600000000002</v>
      </c>
    </row>
    <row r="156" spans="1:13" x14ac:dyDescent="0.2">
      <c r="A156" s="5" t="s">
        <v>266</v>
      </c>
      <c r="B156" s="5" t="s">
        <v>3103</v>
      </c>
      <c r="C156" s="2" t="s">
        <v>3496</v>
      </c>
      <c r="D156" s="5" t="s">
        <v>1836</v>
      </c>
      <c r="E156" s="5" t="s">
        <v>1838</v>
      </c>
      <c r="F156" s="5">
        <v>1.0129300000000001</v>
      </c>
      <c r="G156" s="5">
        <v>35.860199999999999</v>
      </c>
      <c r="H156" s="5">
        <v>5.1457800000000002</v>
      </c>
      <c r="I156" s="5">
        <v>1</v>
      </c>
      <c r="L156" s="2" t="s">
        <v>272</v>
      </c>
      <c r="M156" s="2">
        <v>-1.3518399999999999</v>
      </c>
    </row>
    <row r="157" spans="1:13" x14ac:dyDescent="0.2">
      <c r="A157" s="5" t="s">
        <v>1213</v>
      </c>
      <c r="B157" s="5" t="s">
        <v>3015</v>
      </c>
      <c r="C157" s="2" t="s">
        <v>2431</v>
      </c>
      <c r="D157" s="5" t="s">
        <v>1836</v>
      </c>
      <c r="E157" s="5" t="s">
        <v>1838</v>
      </c>
      <c r="F157" s="5">
        <v>59.415900000000001</v>
      </c>
      <c r="G157" s="5">
        <v>17.190799999999999</v>
      </c>
      <c r="H157" s="5">
        <v>-1.78921</v>
      </c>
      <c r="I157" s="5">
        <v>1</v>
      </c>
      <c r="L157" s="2" t="s">
        <v>274</v>
      </c>
      <c r="M157" s="2">
        <v>-1.1584700000000001</v>
      </c>
    </row>
    <row r="158" spans="1:13" x14ac:dyDescent="0.2">
      <c r="A158" s="5" t="s">
        <v>1214</v>
      </c>
      <c r="B158" s="5" t="s">
        <v>3015</v>
      </c>
      <c r="C158" s="2" t="s">
        <v>2432</v>
      </c>
      <c r="D158" s="5" t="s">
        <v>1836</v>
      </c>
      <c r="E158" s="5" t="s">
        <v>1838</v>
      </c>
      <c r="F158" s="5">
        <v>0.56082100000000001</v>
      </c>
      <c r="G158" s="5">
        <v>1.55565</v>
      </c>
      <c r="H158" s="5">
        <v>1.4719</v>
      </c>
      <c r="I158" s="5">
        <v>1</v>
      </c>
      <c r="L158" s="2" t="s">
        <v>276</v>
      </c>
      <c r="M158" s="2">
        <v>-2.19658</v>
      </c>
    </row>
    <row r="159" spans="1:13" x14ac:dyDescent="0.2">
      <c r="A159" s="5" t="s">
        <v>268</v>
      </c>
      <c r="B159" s="5" t="s">
        <v>3104</v>
      </c>
      <c r="C159" s="2" t="s">
        <v>1969</v>
      </c>
      <c r="D159" s="5" t="s">
        <v>1836</v>
      </c>
      <c r="E159" s="5" t="s">
        <v>1838</v>
      </c>
      <c r="F159" s="5">
        <v>11.0479</v>
      </c>
      <c r="G159" s="5">
        <v>25.287500000000001</v>
      </c>
      <c r="H159" s="5">
        <v>1.1946600000000001</v>
      </c>
      <c r="I159" s="5">
        <v>1</v>
      </c>
      <c r="L159" s="2" t="s">
        <v>277</v>
      </c>
      <c r="M159" s="2">
        <v>1.0432600000000001</v>
      </c>
    </row>
    <row r="160" spans="1:13" x14ac:dyDescent="0.2">
      <c r="A160" s="5" t="s">
        <v>269</v>
      </c>
      <c r="B160" s="5" t="s">
        <v>3015</v>
      </c>
      <c r="C160" s="2" t="s">
        <v>1970</v>
      </c>
      <c r="D160" s="5" t="s">
        <v>1836</v>
      </c>
      <c r="E160" s="5" t="s">
        <v>1838</v>
      </c>
      <c r="F160" s="5">
        <v>0.62646100000000005</v>
      </c>
      <c r="G160" s="5">
        <v>38.702599999999997</v>
      </c>
      <c r="H160" s="5">
        <v>5.9490600000000002</v>
      </c>
      <c r="I160" s="5">
        <v>1</v>
      </c>
      <c r="L160" s="2" t="s">
        <v>279</v>
      </c>
      <c r="M160" s="2">
        <v>-1.36659</v>
      </c>
    </row>
    <row r="161" spans="1:13" x14ac:dyDescent="0.2">
      <c r="A161" s="5" t="s">
        <v>272</v>
      </c>
      <c r="B161" s="5" t="s">
        <v>3307</v>
      </c>
      <c r="C161" s="2" t="s">
        <v>2433</v>
      </c>
      <c r="D161" s="5" t="s">
        <v>1836</v>
      </c>
      <c r="E161" s="5" t="s">
        <v>1838</v>
      </c>
      <c r="F161" s="5">
        <v>22.128599999999999</v>
      </c>
      <c r="G161" s="5">
        <v>8.66981</v>
      </c>
      <c r="H161" s="5">
        <v>-1.3518399999999999</v>
      </c>
      <c r="I161" s="5">
        <v>1</v>
      </c>
      <c r="L161" s="2" t="s">
        <v>280</v>
      </c>
      <c r="M161" s="2">
        <v>-3.19096</v>
      </c>
    </row>
    <row r="162" spans="1:13" x14ac:dyDescent="0.2">
      <c r="A162" s="5" t="s">
        <v>274</v>
      </c>
      <c r="B162" s="5" t="s">
        <v>3015</v>
      </c>
      <c r="C162" s="2" t="s">
        <v>3496</v>
      </c>
      <c r="D162" s="5" t="s">
        <v>1836</v>
      </c>
      <c r="E162" s="5" t="s">
        <v>1838</v>
      </c>
      <c r="F162" s="5">
        <v>127.738</v>
      </c>
      <c r="G162" s="5">
        <v>57.224800000000002</v>
      </c>
      <c r="H162" s="5">
        <v>-1.1584700000000001</v>
      </c>
      <c r="I162" s="5">
        <v>1</v>
      </c>
      <c r="L162" s="2" t="s">
        <v>281</v>
      </c>
      <c r="M162" s="2">
        <v>1.0210900000000001</v>
      </c>
    </row>
    <row r="163" spans="1:13" x14ac:dyDescent="0.2">
      <c r="A163" s="5" t="s">
        <v>1217</v>
      </c>
      <c r="B163" s="5" t="s">
        <v>3015</v>
      </c>
      <c r="C163" s="2" t="s">
        <v>3496</v>
      </c>
      <c r="D163" s="5" t="s">
        <v>1836</v>
      </c>
      <c r="E163" s="5" t="s">
        <v>1838</v>
      </c>
      <c r="F163" s="5">
        <v>0</v>
      </c>
      <c r="G163" s="5">
        <v>2.1271399999999998</v>
      </c>
      <c r="H163" s="5" t="s">
        <v>3021</v>
      </c>
      <c r="I163" s="5" t="s">
        <v>3021</v>
      </c>
      <c r="L163" s="2" t="s">
        <v>282</v>
      </c>
      <c r="M163" s="2">
        <v>-1.9288000000000001</v>
      </c>
    </row>
    <row r="164" spans="1:13" x14ac:dyDescent="0.2">
      <c r="A164" s="5" t="s">
        <v>1218</v>
      </c>
      <c r="B164" s="5" t="s">
        <v>3015</v>
      </c>
      <c r="C164" s="2" t="s">
        <v>2434</v>
      </c>
      <c r="D164" s="5" t="s">
        <v>1836</v>
      </c>
      <c r="E164" s="5" t="s">
        <v>1838</v>
      </c>
      <c r="F164" s="5">
        <v>0</v>
      </c>
      <c r="G164" s="5">
        <v>1.44764</v>
      </c>
      <c r="H164" s="5" t="s">
        <v>3021</v>
      </c>
      <c r="I164" s="5" t="s">
        <v>3021</v>
      </c>
      <c r="L164" s="2" t="s">
        <v>283</v>
      </c>
      <c r="M164" s="2">
        <v>1.04036</v>
      </c>
    </row>
    <row r="165" spans="1:13" x14ac:dyDescent="0.2">
      <c r="A165" s="5" t="s">
        <v>276</v>
      </c>
      <c r="B165" s="5" t="s">
        <v>3081</v>
      </c>
      <c r="C165" s="2" t="s">
        <v>1847</v>
      </c>
      <c r="D165" s="5" t="s">
        <v>1836</v>
      </c>
      <c r="E165" s="5" t="s">
        <v>1838</v>
      </c>
      <c r="F165" s="5">
        <v>3.7075300000000002</v>
      </c>
      <c r="G165" s="5">
        <v>0.80881400000000003</v>
      </c>
      <c r="H165" s="5">
        <v>-2.19658</v>
      </c>
      <c r="I165" s="5">
        <v>1</v>
      </c>
      <c r="L165" s="2" t="s">
        <v>1220</v>
      </c>
      <c r="M165" s="2">
        <v>-1.6511800000000001</v>
      </c>
    </row>
    <row r="166" spans="1:13" x14ac:dyDescent="0.2">
      <c r="A166" s="5" t="s">
        <v>277</v>
      </c>
      <c r="B166" s="5" t="s">
        <v>3015</v>
      </c>
      <c r="C166" s="2" t="s">
        <v>1847</v>
      </c>
      <c r="D166" s="5" t="s">
        <v>1836</v>
      </c>
      <c r="E166" s="5" t="s">
        <v>1838</v>
      </c>
      <c r="F166" s="5">
        <v>10.777100000000001</v>
      </c>
      <c r="G166" s="5">
        <v>22.2104</v>
      </c>
      <c r="H166" s="5">
        <v>1.0432600000000001</v>
      </c>
      <c r="I166" s="5">
        <v>1</v>
      </c>
      <c r="L166" s="2" t="s">
        <v>1222</v>
      </c>
      <c r="M166" s="2">
        <v>-1.17398</v>
      </c>
    </row>
    <row r="167" spans="1:13" x14ac:dyDescent="0.2">
      <c r="A167" s="5" t="s">
        <v>279</v>
      </c>
      <c r="B167" s="5" t="s">
        <v>3015</v>
      </c>
      <c r="C167" s="2" t="s">
        <v>1972</v>
      </c>
      <c r="D167" s="5" t="s">
        <v>1836</v>
      </c>
      <c r="E167" s="5" t="s">
        <v>1838</v>
      </c>
      <c r="F167" s="5">
        <v>0.92411299999999996</v>
      </c>
      <c r="G167" s="5">
        <v>0.358377</v>
      </c>
      <c r="H167" s="5">
        <v>-1.36659</v>
      </c>
      <c r="I167" s="5">
        <v>1</v>
      </c>
      <c r="L167" s="2" t="s">
        <v>1223</v>
      </c>
      <c r="M167" s="2">
        <v>-1.1724600000000001</v>
      </c>
    </row>
    <row r="168" spans="1:13" x14ac:dyDescent="0.2">
      <c r="A168" s="5" t="s">
        <v>280</v>
      </c>
      <c r="B168" s="5" t="s">
        <v>3015</v>
      </c>
      <c r="C168" s="2" t="s">
        <v>1973</v>
      </c>
      <c r="D168" s="5" t="s">
        <v>1836</v>
      </c>
      <c r="E168" s="5" t="s">
        <v>1838</v>
      </c>
      <c r="F168" s="5">
        <v>1.0440799999999999</v>
      </c>
      <c r="G168" s="5">
        <v>0.11433</v>
      </c>
      <c r="H168" s="5">
        <v>-3.19096</v>
      </c>
      <c r="I168" s="5">
        <v>1</v>
      </c>
      <c r="L168" s="2" t="s">
        <v>1224</v>
      </c>
      <c r="M168" s="2">
        <v>1.6728499999999999</v>
      </c>
    </row>
    <row r="169" spans="1:13" x14ac:dyDescent="0.2">
      <c r="A169" s="5" t="s">
        <v>281</v>
      </c>
      <c r="B169" s="5" t="s">
        <v>3015</v>
      </c>
      <c r="C169" s="2" t="s">
        <v>3496</v>
      </c>
      <c r="D169" s="5" t="s">
        <v>1836</v>
      </c>
      <c r="E169" s="5" t="s">
        <v>1838</v>
      </c>
      <c r="F169" s="5">
        <v>7.2518099999999999</v>
      </c>
      <c r="G169" s="5">
        <v>14.7172</v>
      </c>
      <c r="H169" s="5">
        <v>1.0210900000000001</v>
      </c>
      <c r="I169" s="5">
        <v>1</v>
      </c>
      <c r="L169" s="2" t="s">
        <v>293</v>
      </c>
      <c r="M169" s="2">
        <v>1.2391000000000001</v>
      </c>
    </row>
    <row r="170" spans="1:13" x14ac:dyDescent="0.2">
      <c r="A170" s="5" t="s">
        <v>282</v>
      </c>
      <c r="B170" s="5" t="s">
        <v>3105</v>
      </c>
      <c r="C170" s="2" t="s">
        <v>1974</v>
      </c>
      <c r="D170" s="5" t="s">
        <v>1836</v>
      </c>
      <c r="E170" s="5" t="s">
        <v>1838</v>
      </c>
      <c r="F170" s="5">
        <v>5.4650999999999996</v>
      </c>
      <c r="G170" s="5">
        <v>1.4354</v>
      </c>
      <c r="H170" s="5">
        <v>-1.9288000000000001</v>
      </c>
      <c r="I170" s="5">
        <v>1</v>
      </c>
      <c r="L170" s="2" t="s">
        <v>1225</v>
      </c>
      <c r="M170" s="2">
        <v>1.3939299999999999</v>
      </c>
    </row>
    <row r="171" spans="1:13" x14ac:dyDescent="0.2">
      <c r="A171" s="5" t="s">
        <v>283</v>
      </c>
      <c r="B171" s="5" t="s">
        <v>3106</v>
      </c>
      <c r="C171" s="2" t="s">
        <v>1975</v>
      </c>
      <c r="D171" s="5" t="s">
        <v>1836</v>
      </c>
      <c r="E171" s="5" t="s">
        <v>1838</v>
      </c>
      <c r="F171" s="5">
        <v>938.846</v>
      </c>
      <c r="G171" s="5">
        <v>1930.97</v>
      </c>
      <c r="H171" s="5">
        <v>1.04036</v>
      </c>
      <c r="I171" s="5">
        <v>1</v>
      </c>
      <c r="L171" s="2" t="s">
        <v>295</v>
      </c>
      <c r="M171" s="2">
        <v>-2.8889200000000002</v>
      </c>
    </row>
    <row r="172" spans="1:13" x14ac:dyDescent="0.2">
      <c r="A172" s="5" t="s">
        <v>1220</v>
      </c>
      <c r="B172" s="5" t="s">
        <v>3015</v>
      </c>
      <c r="C172" s="2" t="s">
        <v>1862</v>
      </c>
      <c r="D172" s="5" t="s">
        <v>1836</v>
      </c>
      <c r="E172" s="5" t="s">
        <v>1838</v>
      </c>
      <c r="F172" s="5">
        <v>3.08724</v>
      </c>
      <c r="G172" s="5">
        <v>0.98291099999999998</v>
      </c>
      <c r="H172" s="5">
        <v>-1.6511800000000001</v>
      </c>
      <c r="I172" s="5">
        <v>1</v>
      </c>
      <c r="L172" s="2" t="s">
        <v>1226</v>
      </c>
      <c r="M172" s="2">
        <v>-1.78342</v>
      </c>
    </row>
    <row r="173" spans="1:13" x14ac:dyDescent="0.2">
      <c r="A173" s="5" t="s">
        <v>1222</v>
      </c>
      <c r="B173" s="5" t="s">
        <v>3015</v>
      </c>
      <c r="C173" s="2" t="s">
        <v>2435</v>
      </c>
      <c r="D173" s="5" t="s">
        <v>1836</v>
      </c>
      <c r="E173" s="5" t="s">
        <v>1838</v>
      </c>
      <c r="F173" s="5">
        <v>1.7092400000000001</v>
      </c>
      <c r="G173" s="5">
        <v>0.75752799999999998</v>
      </c>
      <c r="H173" s="5">
        <v>-1.17398</v>
      </c>
      <c r="I173" s="5">
        <v>1</v>
      </c>
      <c r="L173" s="2" t="s">
        <v>297</v>
      </c>
      <c r="M173" s="2">
        <v>-1.40978</v>
      </c>
    </row>
    <row r="174" spans="1:13" x14ac:dyDescent="0.2">
      <c r="A174" s="5" t="s">
        <v>1223</v>
      </c>
      <c r="B174" s="5" t="s">
        <v>3015</v>
      </c>
      <c r="C174" s="2" t="s">
        <v>2435</v>
      </c>
      <c r="D174" s="5" t="s">
        <v>1836</v>
      </c>
      <c r="E174" s="5" t="s">
        <v>1838</v>
      </c>
      <c r="F174" s="5">
        <v>1.9463900000000001</v>
      </c>
      <c r="G174" s="5">
        <v>0.86354500000000001</v>
      </c>
      <c r="H174" s="5">
        <v>-1.1724600000000001</v>
      </c>
      <c r="I174" s="5">
        <v>1</v>
      </c>
      <c r="L174" s="2" t="s">
        <v>299</v>
      </c>
      <c r="M174" s="2">
        <v>1.1491899999999999</v>
      </c>
    </row>
    <row r="175" spans="1:13" x14ac:dyDescent="0.2">
      <c r="A175" s="5" t="s">
        <v>1224</v>
      </c>
      <c r="B175" s="5" t="s">
        <v>3308</v>
      </c>
      <c r="C175" s="2" t="s">
        <v>1976</v>
      </c>
      <c r="D175" s="5" t="s">
        <v>1836</v>
      </c>
      <c r="E175" s="5" t="s">
        <v>1838</v>
      </c>
      <c r="F175" s="5">
        <v>0.530559</v>
      </c>
      <c r="G175" s="5">
        <v>1.6916500000000001</v>
      </c>
      <c r="H175" s="5">
        <v>1.6728499999999999</v>
      </c>
      <c r="I175" s="5">
        <v>1</v>
      </c>
      <c r="L175" s="2" t="s">
        <v>1227</v>
      </c>
      <c r="M175" s="2">
        <v>-1.3081400000000001</v>
      </c>
    </row>
    <row r="176" spans="1:13" x14ac:dyDescent="0.2">
      <c r="A176" s="5" t="s">
        <v>293</v>
      </c>
      <c r="B176" s="5" t="s">
        <v>3309</v>
      </c>
      <c r="C176" s="2" t="s">
        <v>2436</v>
      </c>
      <c r="D176" s="5" t="s">
        <v>1836</v>
      </c>
      <c r="E176" s="5" t="s">
        <v>1838</v>
      </c>
      <c r="F176" s="5">
        <v>1241.23</v>
      </c>
      <c r="G176" s="5">
        <v>2929.94</v>
      </c>
      <c r="H176" s="5">
        <v>1.2391000000000001</v>
      </c>
      <c r="I176" s="5">
        <v>1</v>
      </c>
      <c r="L176" s="2" t="s">
        <v>1228</v>
      </c>
      <c r="M176" s="2">
        <v>-1.2621599999999999</v>
      </c>
    </row>
    <row r="177" spans="1:13" x14ac:dyDescent="0.2">
      <c r="A177" s="5" t="s">
        <v>1225</v>
      </c>
      <c r="B177" s="5" t="s">
        <v>3015</v>
      </c>
      <c r="C177" s="2" t="s">
        <v>2400</v>
      </c>
      <c r="D177" s="5" t="s">
        <v>1836</v>
      </c>
      <c r="E177" s="5" t="s">
        <v>1838</v>
      </c>
      <c r="F177" s="5">
        <v>0.297433</v>
      </c>
      <c r="G177" s="5">
        <v>0.78163700000000003</v>
      </c>
      <c r="H177" s="5">
        <v>1.3939299999999999</v>
      </c>
      <c r="I177" s="5">
        <v>1</v>
      </c>
      <c r="L177" s="2" t="s">
        <v>1229</v>
      </c>
      <c r="M177" s="2">
        <v>-1.1405700000000001</v>
      </c>
    </row>
    <row r="178" spans="1:13" x14ac:dyDescent="0.2">
      <c r="A178" s="5" t="s">
        <v>295</v>
      </c>
      <c r="B178" s="5" t="s">
        <v>3108</v>
      </c>
      <c r="C178" s="2" t="s">
        <v>1980</v>
      </c>
      <c r="D178" s="5" t="s">
        <v>1836</v>
      </c>
      <c r="E178" s="5" t="s">
        <v>1838</v>
      </c>
      <c r="F178" s="5">
        <v>1.4880599999999999</v>
      </c>
      <c r="G178" s="5">
        <v>0.20089399999999999</v>
      </c>
      <c r="H178" s="5">
        <v>-2.8889200000000002</v>
      </c>
      <c r="I178" s="5">
        <v>1</v>
      </c>
      <c r="L178" s="2" t="s">
        <v>1230</v>
      </c>
      <c r="M178" s="2">
        <v>1.2482</v>
      </c>
    </row>
    <row r="179" spans="1:13" x14ac:dyDescent="0.2">
      <c r="A179" s="5" t="s">
        <v>1226</v>
      </c>
      <c r="B179" s="5" t="s">
        <v>3310</v>
      </c>
      <c r="C179" s="2" t="s">
        <v>2437</v>
      </c>
      <c r="D179" s="5" t="s">
        <v>1836</v>
      </c>
      <c r="E179" s="5" t="s">
        <v>1838</v>
      </c>
      <c r="F179" s="5">
        <v>1.7501100000000001</v>
      </c>
      <c r="G179" s="5">
        <v>0.50839800000000002</v>
      </c>
      <c r="H179" s="5">
        <v>-1.78342</v>
      </c>
      <c r="I179" s="5">
        <v>1</v>
      </c>
      <c r="L179" s="2" t="s">
        <v>301</v>
      </c>
      <c r="M179" s="2">
        <v>1.1702900000000001</v>
      </c>
    </row>
    <row r="180" spans="1:13" x14ac:dyDescent="0.2">
      <c r="A180" s="5" t="s">
        <v>297</v>
      </c>
      <c r="B180" s="5" t="s">
        <v>3015</v>
      </c>
      <c r="C180" s="2" t="s">
        <v>2438</v>
      </c>
      <c r="D180" s="5" t="s">
        <v>1836</v>
      </c>
      <c r="E180" s="5" t="s">
        <v>1838</v>
      </c>
      <c r="F180" s="5">
        <v>3.5659999999999998</v>
      </c>
      <c r="G180" s="5">
        <v>1.34213</v>
      </c>
      <c r="H180" s="5">
        <v>-1.40978</v>
      </c>
      <c r="I180" s="5">
        <v>1</v>
      </c>
      <c r="L180" s="2" t="s">
        <v>1232</v>
      </c>
      <c r="M180" s="2">
        <v>-1.03752</v>
      </c>
    </row>
    <row r="181" spans="1:13" x14ac:dyDescent="0.2">
      <c r="A181" s="5" t="s">
        <v>299</v>
      </c>
      <c r="B181" s="5" t="s">
        <v>3311</v>
      </c>
      <c r="C181" s="2" t="s">
        <v>3496</v>
      </c>
      <c r="D181" s="5" t="s">
        <v>1836</v>
      </c>
      <c r="E181" s="5" t="s">
        <v>1838</v>
      </c>
      <c r="F181" s="5">
        <v>331.98500000000001</v>
      </c>
      <c r="G181" s="5">
        <v>736.31</v>
      </c>
      <c r="H181" s="5">
        <v>1.1491899999999999</v>
      </c>
      <c r="I181" s="5">
        <v>1</v>
      </c>
      <c r="L181" s="2" t="s">
        <v>1233</v>
      </c>
      <c r="M181" s="2">
        <v>1.08175</v>
      </c>
    </row>
    <row r="182" spans="1:13" x14ac:dyDescent="0.2">
      <c r="A182" s="5" t="s">
        <v>1227</v>
      </c>
      <c r="B182" s="5" t="s">
        <v>3015</v>
      </c>
      <c r="C182" s="2" t="s">
        <v>2439</v>
      </c>
      <c r="D182" s="5" t="s">
        <v>1836</v>
      </c>
      <c r="E182" s="5" t="s">
        <v>1838</v>
      </c>
      <c r="F182" s="5">
        <v>0.83289199999999997</v>
      </c>
      <c r="G182" s="5">
        <v>0.33635599999999999</v>
      </c>
      <c r="H182" s="5">
        <v>-1.3081400000000001</v>
      </c>
      <c r="I182" s="5">
        <v>1</v>
      </c>
      <c r="L182" s="2" t="s">
        <v>1235</v>
      </c>
      <c r="M182" s="2">
        <v>-1.01701</v>
      </c>
    </row>
    <row r="183" spans="1:13" x14ac:dyDescent="0.2">
      <c r="A183" s="5" t="s">
        <v>1228</v>
      </c>
      <c r="B183" s="5" t="s">
        <v>3015</v>
      </c>
      <c r="C183" s="2" t="s">
        <v>2440</v>
      </c>
      <c r="D183" s="5" t="s">
        <v>1836</v>
      </c>
      <c r="E183" s="5" t="s">
        <v>1838</v>
      </c>
      <c r="F183" s="5">
        <v>1.40924</v>
      </c>
      <c r="G183" s="5">
        <v>0.58754099999999998</v>
      </c>
      <c r="H183" s="5">
        <v>-1.2621599999999999</v>
      </c>
      <c r="I183" s="5">
        <v>1</v>
      </c>
      <c r="L183" s="2" t="s">
        <v>1236</v>
      </c>
      <c r="M183" s="2">
        <v>1.3158399999999999</v>
      </c>
    </row>
    <row r="184" spans="1:13" x14ac:dyDescent="0.2">
      <c r="A184" s="5" t="s">
        <v>1229</v>
      </c>
      <c r="B184" s="5" t="s">
        <v>3058</v>
      </c>
      <c r="C184" s="2" t="s">
        <v>1908</v>
      </c>
      <c r="D184" s="5" t="s">
        <v>1836</v>
      </c>
      <c r="E184" s="5" t="s">
        <v>1838</v>
      </c>
      <c r="F184" s="5">
        <v>2.9623499999999998</v>
      </c>
      <c r="G184" s="5">
        <v>1.3436600000000001</v>
      </c>
      <c r="H184" s="5">
        <v>-1.1405700000000001</v>
      </c>
      <c r="I184" s="5">
        <v>1</v>
      </c>
      <c r="L184" s="2" t="s">
        <v>1237</v>
      </c>
      <c r="M184" s="2">
        <v>-1.77433</v>
      </c>
    </row>
    <row r="185" spans="1:13" x14ac:dyDescent="0.2">
      <c r="A185" s="5" t="s">
        <v>1230</v>
      </c>
      <c r="B185" s="5" t="s">
        <v>3209</v>
      </c>
      <c r="C185" s="2" t="s">
        <v>2441</v>
      </c>
      <c r="D185" s="5" t="s">
        <v>1836</v>
      </c>
      <c r="E185" s="5" t="s">
        <v>1838</v>
      </c>
      <c r="F185" s="5">
        <v>0.94985399999999998</v>
      </c>
      <c r="G185" s="5">
        <v>2.2563300000000002</v>
      </c>
      <c r="H185" s="5">
        <v>1.2482</v>
      </c>
      <c r="I185" s="5">
        <v>1</v>
      </c>
      <c r="L185" s="2" t="s">
        <v>307</v>
      </c>
      <c r="M185" s="2">
        <v>1.0445199999999999</v>
      </c>
    </row>
    <row r="186" spans="1:13" x14ac:dyDescent="0.2">
      <c r="A186" s="5" t="s">
        <v>301</v>
      </c>
      <c r="B186" s="5" t="s">
        <v>3312</v>
      </c>
      <c r="C186" s="2" t="s">
        <v>2442</v>
      </c>
      <c r="D186" s="5" t="s">
        <v>1836</v>
      </c>
      <c r="E186" s="5" t="s">
        <v>1838</v>
      </c>
      <c r="F186" s="5">
        <v>19.254300000000001</v>
      </c>
      <c r="G186" s="5">
        <v>43.332999999999998</v>
      </c>
      <c r="H186" s="5">
        <v>1.1702900000000001</v>
      </c>
      <c r="I186" s="5">
        <v>1</v>
      </c>
      <c r="L186" s="2" t="s">
        <v>312</v>
      </c>
      <c r="M186" s="2">
        <v>-1.22658</v>
      </c>
    </row>
    <row r="187" spans="1:13" x14ac:dyDescent="0.2">
      <c r="A187" s="5" t="s">
        <v>1232</v>
      </c>
      <c r="B187" s="5" t="s">
        <v>3275</v>
      </c>
      <c r="C187" s="2" t="s">
        <v>2443</v>
      </c>
      <c r="D187" s="5" t="s">
        <v>1836</v>
      </c>
      <c r="E187" s="5" t="s">
        <v>1838</v>
      </c>
      <c r="F187" s="5">
        <v>1.77122</v>
      </c>
      <c r="G187" s="5">
        <v>0.86287100000000005</v>
      </c>
      <c r="H187" s="5">
        <v>-1.03752</v>
      </c>
      <c r="I187" s="5">
        <v>1</v>
      </c>
      <c r="L187" s="2" t="s">
        <v>318</v>
      </c>
      <c r="M187" s="2">
        <v>1.4400599999999999</v>
      </c>
    </row>
    <row r="188" spans="1:13" x14ac:dyDescent="0.2">
      <c r="A188" s="5" t="s">
        <v>1233</v>
      </c>
      <c r="B188" s="5" t="s">
        <v>3015</v>
      </c>
      <c r="C188" s="2" t="s">
        <v>1880</v>
      </c>
      <c r="D188" s="5" t="s">
        <v>1836</v>
      </c>
      <c r="E188" s="5" t="s">
        <v>1838</v>
      </c>
      <c r="F188" s="5">
        <v>9.1437299999999997</v>
      </c>
      <c r="G188" s="5">
        <v>19.3537</v>
      </c>
      <c r="H188" s="5">
        <v>1.08175</v>
      </c>
      <c r="I188" s="5">
        <v>1</v>
      </c>
      <c r="L188" s="2" t="s">
        <v>320</v>
      </c>
      <c r="M188" s="2">
        <v>-1.0307299999999999</v>
      </c>
    </row>
    <row r="189" spans="1:13" x14ac:dyDescent="0.2">
      <c r="A189" s="5" t="s">
        <v>1235</v>
      </c>
      <c r="B189" s="5" t="s">
        <v>3015</v>
      </c>
      <c r="C189" s="2" t="s">
        <v>2444</v>
      </c>
      <c r="D189" s="5" t="s">
        <v>1836</v>
      </c>
      <c r="E189" s="5" t="s">
        <v>1838</v>
      </c>
      <c r="F189" s="5">
        <v>10.0274</v>
      </c>
      <c r="G189" s="5">
        <v>4.9549000000000003</v>
      </c>
      <c r="H189" s="5">
        <v>-1.01701</v>
      </c>
      <c r="I189" s="5">
        <v>1</v>
      </c>
      <c r="L189" s="2" t="s">
        <v>323</v>
      </c>
      <c r="M189" s="2">
        <v>2.6462400000000001</v>
      </c>
    </row>
    <row r="190" spans="1:13" x14ac:dyDescent="0.2">
      <c r="A190" s="5" t="s">
        <v>1236</v>
      </c>
      <c r="B190" s="5" t="s">
        <v>3015</v>
      </c>
      <c r="C190" s="2" t="s">
        <v>3496</v>
      </c>
      <c r="D190" s="5" t="s">
        <v>1836</v>
      </c>
      <c r="E190" s="5" t="s">
        <v>1838</v>
      </c>
      <c r="F190" s="5">
        <v>1.4484900000000001</v>
      </c>
      <c r="G190" s="5">
        <v>3.6059800000000002</v>
      </c>
      <c r="H190" s="5">
        <v>1.3158399999999999</v>
      </c>
      <c r="I190" s="5">
        <v>1</v>
      </c>
      <c r="L190" s="2" t="s">
        <v>326</v>
      </c>
      <c r="M190" s="2">
        <v>1.2183900000000001</v>
      </c>
    </row>
    <row r="191" spans="1:13" x14ac:dyDescent="0.2">
      <c r="A191" s="5" t="s">
        <v>1237</v>
      </c>
      <c r="B191" s="5" t="s">
        <v>3313</v>
      </c>
      <c r="C191" s="2" t="s">
        <v>2445</v>
      </c>
      <c r="D191" s="5" t="s">
        <v>1836</v>
      </c>
      <c r="E191" s="5" t="s">
        <v>1838</v>
      </c>
      <c r="F191" s="5">
        <v>13.1112</v>
      </c>
      <c r="G191" s="5">
        <v>3.8327800000000001</v>
      </c>
      <c r="H191" s="5">
        <v>-1.77433</v>
      </c>
      <c r="I191" s="5">
        <v>1</v>
      </c>
      <c r="L191" s="2" t="s">
        <v>327</v>
      </c>
      <c r="M191" s="2">
        <v>-1.4723299999999999</v>
      </c>
    </row>
    <row r="192" spans="1:13" x14ac:dyDescent="0.2">
      <c r="A192" s="5" t="s">
        <v>307</v>
      </c>
      <c r="B192" s="5" t="s">
        <v>3314</v>
      </c>
      <c r="C192" s="2" t="s">
        <v>2446</v>
      </c>
      <c r="D192" s="5" t="s">
        <v>1836</v>
      </c>
      <c r="E192" s="5" t="s">
        <v>1838</v>
      </c>
      <c r="F192" s="5">
        <v>129.273</v>
      </c>
      <c r="G192" s="5">
        <v>266.649</v>
      </c>
      <c r="H192" s="5">
        <v>1.0445199999999999</v>
      </c>
      <c r="I192" s="5">
        <v>1</v>
      </c>
      <c r="L192" s="2" t="s">
        <v>328</v>
      </c>
      <c r="M192" s="2">
        <v>1.6684699999999999</v>
      </c>
    </row>
    <row r="193" spans="1:13" x14ac:dyDescent="0.2">
      <c r="A193" s="5" t="s">
        <v>312</v>
      </c>
      <c r="B193" s="5" t="s">
        <v>3135</v>
      </c>
      <c r="C193" s="2" t="s">
        <v>2447</v>
      </c>
      <c r="D193" s="5" t="s">
        <v>1836</v>
      </c>
      <c r="E193" s="5" t="s">
        <v>1838</v>
      </c>
      <c r="F193" s="5">
        <v>2.36652</v>
      </c>
      <c r="G193" s="5">
        <v>1.01128</v>
      </c>
      <c r="H193" s="5">
        <v>-1.22658</v>
      </c>
      <c r="I193" s="5">
        <v>1</v>
      </c>
      <c r="L193" s="2" t="s">
        <v>329</v>
      </c>
      <c r="M193" s="2">
        <v>1.18075</v>
      </c>
    </row>
    <row r="194" spans="1:13" x14ac:dyDescent="0.2">
      <c r="A194" s="5" t="s">
        <v>318</v>
      </c>
      <c r="B194" s="5" t="s">
        <v>3037</v>
      </c>
      <c r="C194" s="2" t="s">
        <v>1993</v>
      </c>
      <c r="D194" s="5" t="s">
        <v>1836</v>
      </c>
      <c r="E194" s="5" t="s">
        <v>1838</v>
      </c>
      <c r="F194" s="5">
        <v>1.56128</v>
      </c>
      <c r="G194" s="5">
        <v>4.2362599999999997</v>
      </c>
      <c r="H194" s="5">
        <v>1.4400599999999999</v>
      </c>
      <c r="I194" s="5">
        <v>1</v>
      </c>
      <c r="L194" s="2" t="s">
        <v>1240</v>
      </c>
      <c r="M194" s="2">
        <v>2.4193899999999999</v>
      </c>
    </row>
    <row r="195" spans="1:13" x14ac:dyDescent="0.2">
      <c r="A195" s="5" t="s">
        <v>320</v>
      </c>
      <c r="B195" s="5" t="s">
        <v>3113</v>
      </c>
      <c r="C195" s="2" t="s">
        <v>1994</v>
      </c>
      <c r="D195" s="5" t="s">
        <v>1836</v>
      </c>
      <c r="E195" s="5" t="s">
        <v>1838</v>
      </c>
      <c r="F195" s="5">
        <v>1.3244800000000001</v>
      </c>
      <c r="G195" s="5">
        <v>0.64828399999999997</v>
      </c>
      <c r="H195" s="5">
        <v>-1.0307299999999999</v>
      </c>
      <c r="I195" s="5">
        <v>1</v>
      </c>
      <c r="L195" s="2" t="s">
        <v>1241</v>
      </c>
      <c r="M195" s="2">
        <v>-1.7142599999999999</v>
      </c>
    </row>
    <row r="196" spans="1:13" x14ac:dyDescent="0.2">
      <c r="A196" s="5" t="s">
        <v>323</v>
      </c>
      <c r="B196" s="5" t="s">
        <v>3049</v>
      </c>
      <c r="C196" s="2" t="s">
        <v>1847</v>
      </c>
      <c r="D196" s="5" t="s">
        <v>1836</v>
      </c>
      <c r="E196" s="5" t="s">
        <v>1838</v>
      </c>
      <c r="F196" s="5">
        <v>0.26123499999999999</v>
      </c>
      <c r="G196" s="5">
        <v>1.6354200000000001</v>
      </c>
      <c r="H196" s="5">
        <v>2.6462400000000001</v>
      </c>
      <c r="I196" s="5">
        <v>1</v>
      </c>
      <c r="L196" s="2" t="s">
        <v>1242</v>
      </c>
      <c r="M196" s="2">
        <v>-1.6027800000000001</v>
      </c>
    </row>
    <row r="197" spans="1:13" x14ac:dyDescent="0.2">
      <c r="A197" s="5" t="s">
        <v>326</v>
      </c>
      <c r="B197" s="5" t="s">
        <v>3015</v>
      </c>
      <c r="C197" s="2" t="s">
        <v>1996</v>
      </c>
      <c r="D197" s="5" t="s">
        <v>1836</v>
      </c>
      <c r="E197" s="5" t="s">
        <v>1838</v>
      </c>
      <c r="F197" s="5">
        <v>5.6394900000000003</v>
      </c>
      <c r="G197" s="5">
        <v>13.122400000000001</v>
      </c>
      <c r="H197" s="5">
        <v>1.2183900000000001</v>
      </c>
      <c r="I197" s="5">
        <v>1</v>
      </c>
      <c r="L197" s="2" t="s">
        <v>333</v>
      </c>
      <c r="M197" s="2">
        <v>-1.24149</v>
      </c>
    </row>
    <row r="198" spans="1:13" x14ac:dyDescent="0.2">
      <c r="A198" s="5" t="s">
        <v>327</v>
      </c>
      <c r="B198" s="5" t="s">
        <v>3315</v>
      </c>
      <c r="C198" s="2" t="s">
        <v>2421</v>
      </c>
      <c r="D198" s="5" t="s">
        <v>1836</v>
      </c>
      <c r="E198" s="5" t="s">
        <v>1838</v>
      </c>
      <c r="F198" s="5">
        <v>4.6942700000000004</v>
      </c>
      <c r="G198" s="5">
        <v>1.69181</v>
      </c>
      <c r="H198" s="5">
        <v>-1.4723299999999999</v>
      </c>
      <c r="I198" s="5">
        <v>1</v>
      </c>
      <c r="L198" s="2" t="s">
        <v>1244</v>
      </c>
      <c r="M198" s="2">
        <v>1.18343</v>
      </c>
    </row>
    <row r="199" spans="1:13" x14ac:dyDescent="0.2">
      <c r="A199" s="5" t="s">
        <v>328</v>
      </c>
      <c r="B199" s="5" t="s">
        <v>3115</v>
      </c>
      <c r="C199" s="2" t="s">
        <v>1997</v>
      </c>
      <c r="D199" s="5" t="s">
        <v>1836</v>
      </c>
      <c r="E199" s="5" t="s">
        <v>1838</v>
      </c>
      <c r="F199" s="5">
        <v>0.91765699999999994</v>
      </c>
      <c r="G199" s="5">
        <v>2.9170199999999999</v>
      </c>
      <c r="H199" s="5">
        <v>1.6684699999999999</v>
      </c>
      <c r="I199" s="5">
        <v>1</v>
      </c>
      <c r="L199" s="2" t="s">
        <v>334</v>
      </c>
      <c r="M199" s="2">
        <v>1.1565099999999999</v>
      </c>
    </row>
    <row r="200" spans="1:13" x14ac:dyDescent="0.2">
      <c r="A200" s="5" t="s">
        <v>329</v>
      </c>
      <c r="B200" s="5" t="s">
        <v>3116</v>
      </c>
      <c r="C200" s="2" t="s">
        <v>1998</v>
      </c>
      <c r="D200" s="5" t="s">
        <v>1836</v>
      </c>
      <c r="E200" s="5" t="s">
        <v>1838</v>
      </c>
      <c r="F200" s="5">
        <v>1.83968</v>
      </c>
      <c r="G200" s="5">
        <v>4.1704499999999998</v>
      </c>
      <c r="H200" s="5">
        <v>1.18075</v>
      </c>
      <c r="I200" s="5">
        <v>1</v>
      </c>
      <c r="L200" s="2" t="s">
        <v>337</v>
      </c>
      <c r="M200" s="2">
        <v>1.2034499999999999</v>
      </c>
    </row>
    <row r="201" spans="1:13" x14ac:dyDescent="0.2">
      <c r="A201" s="5" t="s">
        <v>1240</v>
      </c>
      <c r="B201" s="5" t="s">
        <v>3316</v>
      </c>
      <c r="C201" s="2" t="s">
        <v>2448</v>
      </c>
      <c r="D201" s="5" t="s">
        <v>1836</v>
      </c>
      <c r="E201" s="5" t="s">
        <v>1838</v>
      </c>
      <c r="F201" s="5">
        <v>2.6519499999999998</v>
      </c>
      <c r="G201" s="5">
        <v>14.186400000000001</v>
      </c>
      <c r="H201" s="5">
        <v>2.4193899999999999</v>
      </c>
      <c r="I201" s="5">
        <v>1</v>
      </c>
      <c r="L201" s="2" t="s">
        <v>338</v>
      </c>
      <c r="M201" s="2">
        <v>-3.5991</v>
      </c>
    </row>
    <row r="202" spans="1:13" x14ac:dyDescent="0.2">
      <c r="A202" s="5" t="s">
        <v>1241</v>
      </c>
      <c r="B202" s="5" t="s">
        <v>3100</v>
      </c>
      <c r="C202" s="2" t="s">
        <v>2449</v>
      </c>
      <c r="D202" s="5" t="s">
        <v>1836</v>
      </c>
      <c r="E202" s="5" t="s">
        <v>1838</v>
      </c>
      <c r="F202" s="5">
        <v>5.4743500000000003</v>
      </c>
      <c r="G202" s="5">
        <v>1.6683600000000001</v>
      </c>
      <c r="H202" s="5">
        <v>-1.7142599999999999</v>
      </c>
      <c r="I202" s="5">
        <v>1</v>
      </c>
      <c r="L202" s="2" t="s">
        <v>340</v>
      </c>
      <c r="M202" s="2">
        <v>1.0124200000000001</v>
      </c>
    </row>
    <row r="203" spans="1:13" x14ac:dyDescent="0.2">
      <c r="A203" s="5" t="s">
        <v>1242</v>
      </c>
      <c r="B203" s="5" t="s">
        <v>3300</v>
      </c>
      <c r="C203" s="2" t="s">
        <v>2450</v>
      </c>
      <c r="D203" s="5" t="s">
        <v>1836</v>
      </c>
      <c r="E203" s="5" t="s">
        <v>1838</v>
      </c>
      <c r="F203" s="5">
        <v>9.8988399999999999</v>
      </c>
      <c r="G203" s="5">
        <v>3.2591000000000001</v>
      </c>
      <c r="H203" s="5">
        <v>-1.6027800000000001</v>
      </c>
      <c r="I203" s="5">
        <v>1</v>
      </c>
      <c r="L203" s="2" t="s">
        <v>1246</v>
      </c>
      <c r="M203" s="2">
        <v>-1.083</v>
      </c>
    </row>
    <row r="204" spans="1:13" x14ac:dyDescent="0.2">
      <c r="A204" s="5" t="s">
        <v>1243</v>
      </c>
      <c r="B204" s="5" t="s">
        <v>3015</v>
      </c>
      <c r="C204" s="2" t="s">
        <v>2451</v>
      </c>
      <c r="D204" s="5" t="s">
        <v>1836</v>
      </c>
      <c r="E204" s="5" t="s">
        <v>1838</v>
      </c>
      <c r="F204" s="5">
        <v>0</v>
      </c>
      <c r="G204" s="5">
        <v>1.1641600000000001</v>
      </c>
      <c r="H204" s="5" t="s">
        <v>3021</v>
      </c>
      <c r="I204" s="5" t="s">
        <v>3021</v>
      </c>
      <c r="L204" s="2" t="s">
        <v>342</v>
      </c>
      <c r="M204" s="2">
        <v>-1.5796300000000001</v>
      </c>
    </row>
    <row r="205" spans="1:13" x14ac:dyDescent="0.2">
      <c r="A205" s="5" t="s">
        <v>333</v>
      </c>
      <c r="B205" s="5" t="s">
        <v>3119</v>
      </c>
      <c r="C205" s="2" t="s">
        <v>2000</v>
      </c>
      <c r="D205" s="5" t="s">
        <v>1836</v>
      </c>
      <c r="E205" s="5" t="s">
        <v>1838</v>
      </c>
      <c r="F205" s="5">
        <v>12.7761</v>
      </c>
      <c r="G205" s="5">
        <v>5.4034899999999997</v>
      </c>
      <c r="H205" s="5">
        <v>-1.24149</v>
      </c>
      <c r="I205" s="5">
        <v>1</v>
      </c>
      <c r="L205" s="2" t="s">
        <v>345</v>
      </c>
      <c r="M205" s="2">
        <v>3.3242799999999999</v>
      </c>
    </row>
    <row r="206" spans="1:13" x14ac:dyDescent="0.2">
      <c r="A206" s="5" t="s">
        <v>1244</v>
      </c>
      <c r="B206" s="5" t="s">
        <v>3317</v>
      </c>
      <c r="C206" s="2" t="s">
        <v>2452</v>
      </c>
      <c r="D206" s="5" t="s">
        <v>1836</v>
      </c>
      <c r="E206" s="5" t="s">
        <v>1838</v>
      </c>
      <c r="F206" s="5">
        <v>51.436199999999999</v>
      </c>
      <c r="G206" s="5">
        <v>116.819</v>
      </c>
      <c r="H206" s="5">
        <v>1.18343</v>
      </c>
      <c r="I206" s="5">
        <v>1</v>
      </c>
      <c r="L206" s="2" t="s">
        <v>1248</v>
      </c>
      <c r="M206" s="2">
        <v>-1.5980099999999999</v>
      </c>
    </row>
    <row r="207" spans="1:13" x14ac:dyDescent="0.2">
      <c r="A207" s="5" t="s">
        <v>334</v>
      </c>
      <c r="B207" s="5" t="s">
        <v>3015</v>
      </c>
      <c r="C207" s="2" t="s">
        <v>2001</v>
      </c>
      <c r="D207" s="5" t="s">
        <v>1836</v>
      </c>
      <c r="E207" s="5" t="s">
        <v>1838</v>
      </c>
      <c r="F207" s="5">
        <v>1.6221699999999999</v>
      </c>
      <c r="G207" s="5">
        <v>3.6160999999999999</v>
      </c>
      <c r="H207" s="5">
        <v>1.1565099999999999</v>
      </c>
      <c r="I207" s="5">
        <v>1</v>
      </c>
      <c r="L207" s="2" t="s">
        <v>348</v>
      </c>
      <c r="M207" s="2">
        <v>-1.7411799999999999</v>
      </c>
    </row>
    <row r="208" spans="1:13" x14ac:dyDescent="0.2">
      <c r="A208" s="5" t="s">
        <v>337</v>
      </c>
      <c r="B208" s="5" t="s">
        <v>3120</v>
      </c>
      <c r="C208" s="2" t="s">
        <v>2003</v>
      </c>
      <c r="D208" s="5" t="s">
        <v>1836</v>
      </c>
      <c r="E208" s="5" t="s">
        <v>1838</v>
      </c>
      <c r="F208" s="5">
        <v>0.83150299999999999</v>
      </c>
      <c r="G208" s="5">
        <v>1.91486</v>
      </c>
      <c r="H208" s="5">
        <v>1.2034499999999999</v>
      </c>
      <c r="I208" s="5">
        <v>1</v>
      </c>
      <c r="L208" s="2" t="s">
        <v>1249</v>
      </c>
      <c r="M208" s="2">
        <v>-1.1199300000000001</v>
      </c>
    </row>
    <row r="209" spans="1:13" x14ac:dyDescent="0.2">
      <c r="A209" s="5" t="s">
        <v>338</v>
      </c>
      <c r="B209" s="5" t="s">
        <v>3100</v>
      </c>
      <c r="C209" s="2" t="s">
        <v>2278</v>
      </c>
      <c r="D209" s="5" t="s">
        <v>1836</v>
      </c>
      <c r="E209" s="5" t="s">
        <v>1838</v>
      </c>
      <c r="F209" s="5">
        <v>2.0933999999999999</v>
      </c>
      <c r="G209" s="5">
        <v>0.17274900000000001</v>
      </c>
      <c r="H209" s="5">
        <v>-3.5991</v>
      </c>
      <c r="I209" s="5">
        <v>1</v>
      </c>
      <c r="L209" s="2" t="s">
        <v>1250</v>
      </c>
      <c r="M209" s="2">
        <v>-1.17577</v>
      </c>
    </row>
    <row r="210" spans="1:13" x14ac:dyDescent="0.2">
      <c r="A210" s="5" t="s">
        <v>340</v>
      </c>
      <c r="B210" s="5" t="s">
        <v>3015</v>
      </c>
      <c r="C210" s="2" t="s">
        <v>2453</v>
      </c>
      <c r="D210" s="5" t="s">
        <v>1836</v>
      </c>
      <c r="E210" s="5" t="s">
        <v>1838</v>
      </c>
      <c r="F210" s="5">
        <v>2.8148300000000002</v>
      </c>
      <c r="G210" s="5">
        <v>5.67835</v>
      </c>
      <c r="H210" s="5">
        <v>1.0124200000000001</v>
      </c>
      <c r="I210" s="5">
        <v>1</v>
      </c>
      <c r="L210" s="2" t="s">
        <v>351</v>
      </c>
      <c r="M210" s="2">
        <v>1.2549399999999999</v>
      </c>
    </row>
    <row r="211" spans="1:13" x14ac:dyDescent="0.2">
      <c r="A211" s="5" t="s">
        <v>1246</v>
      </c>
      <c r="B211" s="5" t="s">
        <v>3015</v>
      </c>
      <c r="C211" s="2" t="s">
        <v>2454</v>
      </c>
      <c r="D211" s="5" t="s">
        <v>1836</v>
      </c>
      <c r="E211" s="5" t="s">
        <v>1838</v>
      </c>
      <c r="F211" s="5">
        <v>1.50282</v>
      </c>
      <c r="G211" s="5">
        <v>0.70940300000000001</v>
      </c>
      <c r="H211" s="5">
        <v>-1.083</v>
      </c>
      <c r="I211" s="5">
        <v>1</v>
      </c>
      <c r="L211" s="2" t="s">
        <v>352</v>
      </c>
      <c r="M211" s="2">
        <v>-1.1772100000000001</v>
      </c>
    </row>
    <row r="212" spans="1:13" x14ac:dyDescent="0.2">
      <c r="A212" s="5" t="s">
        <v>342</v>
      </c>
      <c r="B212" s="5" t="s">
        <v>3121</v>
      </c>
      <c r="C212" s="2" t="s">
        <v>3496</v>
      </c>
      <c r="D212" s="5" t="s">
        <v>1836</v>
      </c>
      <c r="E212" s="5" t="s">
        <v>1838</v>
      </c>
      <c r="F212" s="5">
        <v>8.3036999999999992</v>
      </c>
      <c r="G212" s="5">
        <v>2.7781500000000001</v>
      </c>
      <c r="H212" s="5">
        <v>-1.5796300000000001</v>
      </c>
      <c r="I212" s="5">
        <v>1</v>
      </c>
      <c r="L212" s="2" t="s">
        <v>353</v>
      </c>
      <c r="M212" s="2">
        <v>1.73919</v>
      </c>
    </row>
    <row r="213" spans="1:13" x14ac:dyDescent="0.2">
      <c r="A213" s="5" t="s">
        <v>345</v>
      </c>
      <c r="B213" s="5" t="s">
        <v>3122</v>
      </c>
      <c r="C213" s="2" t="s">
        <v>1847</v>
      </c>
      <c r="D213" s="5" t="s">
        <v>1836</v>
      </c>
      <c r="E213" s="5" t="s">
        <v>1838</v>
      </c>
      <c r="F213" s="5">
        <v>0.44957799999999998</v>
      </c>
      <c r="G213" s="5">
        <v>4.5030999999999999</v>
      </c>
      <c r="H213" s="5">
        <v>3.3242799999999999</v>
      </c>
      <c r="I213" s="5">
        <v>1</v>
      </c>
      <c r="L213" s="2" t="s">
        <v>354</v>
      </c>
      <c r="M213" s="2">
        <v>-1.1639699999999999</v>
      </c>
    </row>
    <row r="214" spans="1:13" x14ac:dyDescent="0.2">
      <c r="A214" s="5" t="s">
        <v>1248</v>
      </c>
      <c r="B214" s="5" t="s">
        <v>3015</v>
      </c>
      <c r="C214" s="2" t="s">
        <v>2455</v>
      </c>
      <c r="D214" s="5" t="s">
        <v>1836</v>
      </c>
      <c r="E214" s="5" t="s">
        <v>1838</v>
      </c>
      <c r="F214" s="5">
        <v>47.194699999999997</v>
      </c>
      <c r="G214" s="5">
        <v>15.59</v>
      </c>
      <c r="H214" s="5">
        <v>-1.5980099999999999</v>
      </c>
      <c r="I214" s="5">
        <v>1</v>
      </c>
      <c r="L214" s="2" t="s">
        <v>1251</v>
      </c>
      <c r="M214" s="2">
        <v>-1.5299</v>
      </c>
    </row>
    <row r="215" spans="1:13" x14ac:dyDescent="0.2">
      <c r="A215" s="5" t="s">
        <v>348</v>
      </c>
      <c r="B215" s="5" t="s">
        <v>3015</v>
      </c>
      <c r="C215" s="2" t="s">
        <v>2005</v>
      </c>
      <c r="D215" s="5" t="s">
        <v>1836</v>
      </c>
      <c r="E215" s="5" t="s">
        <v>1838</v>
      </c>
      <c r="F215" s="5">
        <v>10.125400000000001</v>
      </c>
      <c r="G215" s="5">
        <v>3.0287500000000001</v>
      </c>
      <c r="H215" s="5">
        <v>-1.7411799999999999</v>
      </c>
      <c r="I215" s="5">
        <v>1</v>
      </c>
      <c r="L215" s="2" t="s">
        <v>1252</v>
      </c>
      <c r="M215" s="2">
        <v>-1.1472599999999999</v>
      </c>
    </row>
    <row r="216" spans="1:13" x14ac:dyDescent="0.2">
      <c r="A216" s="5" t="s">
        <v>1249</v>
      </c>
      <c r="B216" s="5" t="s">
        <v>3318</v>
      </c>
      <c r="C216" s="2" t="s">
        <v>2456</v>
      </c>
      <c r="D216" s="5" t="s">
        <v>1836</v>
      </c>
      <c r="E216" s="5" t="s">
        <v>1838</v>
      </c>
      <c r="F216" s="5">
        <v>10.9133</v>
      </c>
      <c r="G216" s="5">
        <v>5.0213900000000002</v>
      </c>
      <c r="H216" s="5">
        <v>-1.1199300000000001</v>
      </c>
      <c r="I216" s="5">
        <v>1</v>
      </c>
      <c r="L216" s="2" t="s">
        <v>356</v>
      </c>
      <c r="M216" s="2">
        <v>1.2638100000000001</v>
      </c>
    </row>
    <row r="217" spans="1:13" x14ac:dyDescent="0.2">
      <c r="A217" s="5" t="s">
        <v>1250</v>
      </c>
      <c r="B217" s="5" t="s">
        <v>3319</v>
      </c>
      <c r="C217" s="2" t="s">
        <v>3496</v>
      </c>
      <c r="D217" s="5" t="s">
        <v>1836</v>
      </c>
      <c r="E217" s="5" t="s">
        <v>1838</v>
      </c>
      <c r="F217" s="5">
        <v>47.763199999999998</v>
      </c>
      <c r="G217" s="5">
        <v>21.142299999999999</v>
      </c>
      <c r="H217" s="5">
        <v>-1.17577</v>
      </c>
      <c r="I217" s="5">
        <v>1</v>
      </c>
      <c r="L217" s="2" t="s">
        <v>357</v>
      </c>
      <c r="M217" s="2">
        <v>1.2625900000000001</v>
      </c>
    </row>
    <row r="218" spans="1:13" x14ac:dyDescent="0.2">
      <c r="A218" s="5" t="s">
        <v>351</v>
      </c>
      <c r="B218" s="5" t="s">
        <v>3015</v>
      </c>
      <c r="C218" s="2" t="s">
        <v>2457</v>
      </c>
      <c r="D218" s="5" t="s">
        <v>1836</v>
      </c>
      <c r="E218" s="5" t="s">
        <v>1838</v>
      </c>
      <c r="F218" s="5">
        <v>1.3466400000000001</v>
      </c>
      <c r="G218" s="5">
        <v>3.2138499999999999</v>
      </c>
      <c r="H218" s="5">
        <v>1.2549399999999999</v>
      </c>
      <c r="I218" s="5">
        <v>1</v>
      </c>
      <c r="L218" s="2" t="s">
        <v>361</v>
      </c>
      <c r="M218" s="2">
        <v>-2.0010699999999999</v>
      </c>
    </row>
    <row r="219" spans="1:13" x14ac:dyDescent="0.2">
      <c r="A219" s="5" t="s">
        <v>352</v>
      </c>
      <c r="B219" s="5" t="s">
        <v>3077</v>
      </c>
      <c r="C219" s="2" t="s">
        <v>1934</v>
      </c>
      <c r="D219" s="5" t="s">
        <v>1836</v>
      </c>
      <c r="E219" s="5" t="s">
        <v>1838</v>
      </c>
      <c r="F219" s="5">
        <v>16.6492</v>
      </c>
      <c r="G219" s="5">
        <v>7.3623700000000003</v>
      </c>
      <c r="H219" s="5">
        <v>-1.1772100000000001</v>
      </c>
      <c r="I219" s="5">
        <v>1</v>
      </c>
      <c r="L219" s="2" t="s">
        <v>1253</v>
      </c>
      <c r="M219" s="2">
        <v>-2.1493000000000002</v>
      </c>
    </row>
    <row r="220" spans="1:13" x14ac:dyDescent="0.2">
      <c r="A220" s="5" t="s">
        <v>353</v>
      </c>
      <c r="B220" s="5" t="s">
        <v>3123</v>
      </c>
      <c r="C220" s="2" t="s">
        <v>2007</v>
      </c>
      <c r="D220" s="5" t="s">
        <v>1836</v>
      </c>
      <c r="E220" s="5" t="s">
        <v>1838</v>
      </c>
      <c r="F220" s="5">
        <v>0.59132899999999999</v>
      </c>
      <c r="G220" s="5">
        <v>1.97414</v>
      </c>
      <c r="H220" s="5">
        <v>1.73919</v>
      </c>
      <c r="I220" s="5">
        <v>1</v>
      </c>
      <c r="L220" s="2" t="s">
        <v>1255</v>
      </c>
      <c r="M220" s="2">
        <v>-1.7635400000000001</v>
      </c>
    </row>
    <row r="221" spans="1:13" x14ac:dyDescent="0.2">
      <c r="A221" s="5" t="s">
        <v>354</v>
      </c>
      <c r="B221" s="5" t="s">
        <v>3038</v>
      </c>
      <c r="C221" s="2" t="s">
        <v>2008</v>
      </c>
      <c r="D221" s="5" t="s">
        <v>1836</v>
      </c>
      <c r="E221" s="5" t="s">
        <v>1838</v>
      </c>
      <c r="F221" s="5">
        <v>1.9012500000000001</v>
      </c>
      <c r="G221" s="5">
        <v>0.848495</v>
      </c>
      <c r="H221" s="5">
        <v>-1.1639699999999999</v>
      </c>
      <c r="I221" s="5">
        <v>1</v>
      </c>
      <c r="L221" s="2" t="s">
        <v>365</v>
      </c>
      <c r="M221" s="2">
        <v>-2.0818400000000001</v>
      </c>
    </row>
    <row r="222" spans="1:13" x14ac:dyDescent="0.2">
      <c r="A222" s="5" t="s">
        <v>1251</v>
      </c>
      <c r="B222" s="5" t="s">
        <v>3146</v>
      </c>
      <c r="C222" s="2" t="s">
        <v>2458</v>
      </c>
      <c r="D222" s="5" t="s">
        <v>1836</v>
      </c>
      <c r="E222" s="5" t="s">
        <v>1838</v>
      </c>
      <c r="F222" s="5">
        <v>22.19</v>
      </c>
      <c r="G222" s="5">
        <v>7.6844099999999997</v>
      </c>
      <c r="H222" s="5">
        <v>-1.5299</v>
      </c>
      <c r="I222" s="5">
        <v>1</v>
      </c>
      <c r="L222" s="2" t="s">
        <v>366</v>
      </c>
      <c r="M222" s="2">
        <v>-1.0253399999999999</v>
      </c>
    </row>
    <row r="223" spans="1:13" x14ac:dyDescent="0.2">
      <c r="A223" s="5" t="s">
        <v>1252</v>
      </c>
      <c r="B223" s="5" t="s">
        <v>3015</v>
      </c>
      <c r="C223" s="2" t="s">
        <v>2459</v>
      </c>
      <c r="D223" s="5" t="s">
        <v>1836</v>
      </c>
      <c r="E223" s="5" t="s">
        <v>1838</v>
      </c>
      <c r="F223" s="5">
        <v>1.8704099999999999</v>
      </c>
      <c r="G223" s="5">
        <v>0.84445999999999999</v>
      </c>
      <c r="H223" s="5">
        <v>-1.1472599999999999</v>
      </c>
      <c r="I223" s="5">
        <v>1</v>
      </c>
      <c r="L223" s="2" t="s">
        <v>1257</v>
      </c>
      <c r="M223" s="2">
        <v>1.2417499999999999</v>
      </c>
    </row>
    <row r="224" spans="1:13" x14ac:dyDescent="0.2">
      <c r="A224" s="5" t="s">
        <v>356</v>
      </c>
      <c r="B224" s="5" t="s">
        <v>3320</v>
      </c>
      <c r="C224" s="2" t="s">
        <v>3496</v>
      </c>
      <c r="D224" s="5" t="s">
        <v>1836</v>
      </c>
      <c r="E224" s="5" t="s">
        <v>1838</v>
      </c>
      <c r="F224" s="5">
        <v>74.275999999999996</v>
      </c>
      <c r="G224" s="5">
        <v>178.358</v>
      </c>
      <c r="H224" s="5">
        <v>1.2638100000000001</v>
      </c>
      <c r="I224" s="5">
        <v>1</v>
      </c>
      <c r="L224" s="2" t="s">
        <v>1258</v>
      </c>
      <c r="M224" s="2">
        <v>-1.2416</v>
      </c>
    </row>
    <row r="225" spans="1:13" x14ac:dyDescent="0.2">
      <c r="A225" s="5" t="s">
        <v>357</v>
      </c>
      <c r="B225" s="5" t="s">
        <v>3027</v>
      </c>
      <c r="C225" s="2" t="s">
        <v>2460</v>
      </c>
      <c r="D225" s="5" t="s">
        <v>1836</v>
      </c>
      <c r="E225" s="5" t="s">
        <v>1838</v>
      </c>
      <c r="F225" s="5">
        <v>2.51153</v>
      </c>
      <c r="G225" s="5">
        <v>6.02583</v>
      </c>
      <c r="H225" s="5">
        <v>1.2625900000000001</v>
      </c>
      <c r="I225" s="5">
        <v>1</v>
      </c>
      <c r="L225" s="2" t="s">
        <v>1259</v>
      </c>
      <c r="M225" s="2">
        <v>-1.77481</v>
      </c>
    </row>
    <row r="226" spans="1:13" x14ac:dyDescent="0.2">
      <c r="A226" s="5" t="s">
        <v>360</v>
      </c>
      <c r="B226" s="5" t="s">
        <v>3124</v>
      </c>
      <c r="C226" s="2" t="s">
        <v>3496</v>
      </c>
      <c r="D226" s="5" t="s">
        <v>1836</v>
      </c>
      <c r="E226" s="5" t="s">
        <v>1838</v>
      </c>
      <c r="F226" s="5">
        <v>0.77188000000000001</v>
      </c>
      <c r="G226" s="5">
        <v>0</v>
      </c>
      <c r="H226" s="5" t="s">
        <v>3021</v>
      </c>
      <c r="I226" s="5" t="s">
        <v>3021</v>
      </c>
      <c r="L226" s="2" t="s">
        <v>1260</v>
      </c>
      <c r="M226" s="2">
        <v>-1.07925</v>
      </c>
    </row>
    <row r="227" spans="1:13" x14ac:dyDescent="0.2">
      <c r="A227" s="5" t="s">
        <v>361</v>
      </c>
      <c r="B227" s="5" t="s">
        <v>3015</v>
      </c>
      <c r="C227" s="2" t="s">
        <v>1948</v>
      </c>
      <c r="D227" s="5" t="s">
        <v>1836</v>
      </c>
      <c r="E227" s="5" t="s">
        <v>1838</v>
      </c>
      <c r="F227" s="5">
        <v>21.107800000000001</v>
      </c>
      <c r="G227" s="5">
        <v>5.2730199999999998</v>
      </c>
      <c r="H227" s="5">
        <v>-2.0010699999999999</v>
      </c>
      <c r="I227" s="5">
        <v>1</v>
      </c>
      <c r="L227" s="2" t="s">
        <v>1261</v>
      </c>
      <c r="M227" s="2">
        <v>1.29895</v>
      </c>
    </row>
    <row r="228" spans="1:13" x14ac:dyDescent="0.2">
      <c r="A228" s="5" t="s">
        <v>1253</v>
      </c>
      <c r="B228" s="5" t="s">
        <v>3321</v>
      </c>
      <c r="C228" s="2" t="s">
        <v>2461</v>
      </c>
      <c r="D228" s="5" t="s">
        <v>1836</v>
      </c>
      <c r="E228" s="5" t="s">
        <v>1838</v>
      </c>
      <c r="F228" s="5">
        <v>11.401300000000001</v>
      </c>
      <c r="G228" s="5">
        <v>2.5701100000000001</v>
      </c>
      <c r="H228" s="5">
        <v>-2.1493000000000002</v>
      </c>
      <c r="I228" s="5">
        <v>1</v>
      </c>
      <c r="L228" s="2" t="s">
        <v>372</v>
      </c>
      <c r="M228" s="2">
        <v>-1.17903</v>
      </c>
    </row>
    <row r="229" spans="1:13" x14ac:dyDescent="0.2">
      <c r="A229" s="5" t="s">
        <v>1255</v>
      </c>
      <c r="B229" s="5" t="s">
        <v>3038</v>
      </c>
      <c r="C229" s="2" t="s">
        <v>1847</v>
      </c>
      <c r="D229" s="5" t="s">
        <v>1836</v>
      </c>
      <c r="E229" s="5" t="s">
        <v>1838</v>
      </c>
      <c r="F229" s="5">
        <v>4.0916899999999998</v>
      </c>
      <c r="G229" s="5">
        <v>1.2051000000000001</v>
      </c>
      <c r="H229" s="5">
        <v>-1.7635400000000001</v>
      </c>
      <c r="I229" s="5">
        <v>1</v>
      </c>
      <c r="L229" s="2" t="s">
        <v>1262</v>
      </c>
      <c r="M229" s="2">
        <v>-1.13273</v>
      </c>
    </row>
    <row r="230" spans="1:13" x14ac:dyDescent="0.2">
      <c r="A230" s="5" t="s">
        <v>365</v>
      </c>
      <c r="B230" s="5" t="s">
        <v>3126</v>
      </c>
      <c r="C230" s="2" t="s">
        <v>2011</v>
      </c>
      <c r="D230" s="5" t="s">
        <v>1836</v>
      </c>
      <c r="E230" s="5" t="s">
        <v>1838</v>
      </c>
      <c r="F230" s="5">
        <v>42.749299999999998</v>
      </c>
      <c r="G230" s="5">
        <v>10.098000000000001</v>
      </c>
      <c r="H230" s="5">
        <v>-2.0818400000000001</v>
      </c>
      <c r="I230" s="5">
        <v>1</v>
      </c>
      <c r="L230" s="2" t="s">
        <v>1263</v>
      </c>
      <c r="M230" s="2">
        <v>2.00624</v>
      </c>
    </row>
    <row r="231" spans="1:13" x14ac:dyDescent="0.2">
      <c r="A231" s="5" t="s">
        <v>366</v>
      </c>
      <c r="B231" s="5" t="s">
        <v>3127</v>
      </c>
      <c r="C231" s="2" t="s">
        <v>2012</v>
      </c>
      <c r="D231" s="5" t="s">
        <v>1836</v>
      </c>
      <c r="E231" s="5" t="s">
        <v>1838</v>
      </c>
      <c r="F231" s="5">
        <v>13.690300000000001</v>
      </c>
      <c r="G231" s="5">
        <v>6.7259700000000002</v>
      </c>
      <c r="H231" s="5">
        <v>-1.0253399999999999</v>
      </c>
      <c r="I231" s="5">
        <v>1</v>
      </c>
      <c r="L231" s="2" t="s">
        <v>374</v>
      </c>
      <c r="M231" s="2">
        <v>-1.3171299999999999</v>
      </c>
    </row>
    <row r="232" spans="1:13" x14ac:dyDescent="0.2">
      <c r="A232" s="5" t="s">
        <v>1257</v>
      </c>
      <c r="B232" s="5" t="s">
        <v>3322</v>
      </c>
      <c r="C232" s="2" t="s">
        <v>1847</v>
      </c>
      <c r="D232" s="5" t="s">
        <v>1836</v>
      </c>
      <c r="E232" s="5" t="s">
        <v>1838</v>
      </c>
      <c r="F232" s="5">
        <v>0.66781500000000005</v>
      </c>
      <c r="G232" s="5">
        <v>1.5792900000000001</v>
      </c>
      <c r="H232" s="5">
        <v>1.2417499999999999</v>
      </c>
      <c r="I232" s="5">
        <v>1</v>
      </c>
      <c r="L232" s="2" t="s">
        <v>376</v>
      </c>
      <c r="M232" s="2">
        <v>-1.7955300000000001</v>
      </c>
    </row>
    <row r="233" spans="1:13" x14ac:dyDescent="0.2">
      <c r="A233" s="5" t="s">
        <v>1258</v>
      </c>
      <c r="B233" s="5" t="s">
        <v>3153</v>
      </c>
      <c r="C233" s="2" t="s">
        <v>2462</v>
      </c>
      <c r="D233" s="5" t="s">
        <v>1836</v>
      </c>
      <c r="E233" s="5" t="s">
        <v>1838</v>
      </c>
      <c r="F233" s="5">
        <v>62.427500000000002</v>
      </c>
      <c r="G233" s="5">
        <v>26.400700000000001</v>
      </c>
      <c r="H233" s="5">
        <v>-1.2416</v>
      </c>
      <c r="I233" s="5">
        <v>1</v>
      </c>
      <c r="L233" s="2" t="s">
        <v>379</v>
      </c>
      <c r="M233" s="2">
        <v>-2.3954800000000001</v>
      </c>
    </row>
    <row r="234" spans="1:13" x14ac:dyDescent="0.2">
      <c r="A234" s="5" t="s">
        <v>1259</v>
      </c>
      <c r="B234" s="5" t="s">
        <v>3015</v>
      </c>
      <c r="C234" s="2">
        <v>0</v>
      </c>
      <c r="D234" s="5" t="s">
        <v>1836</v>
      </c>
      <c r="E234" s="5" t="s">
        <v>1838</v>
      </c>
      <c r="F234" s="5">
        <v>6.1408100000000001</v>
      </c>
      <c r="G234" s="5">
        <v>1.7945500000000001</v>
      </c>
      <c r="H234" s="5">
        <v>-1.77481</v>
      </c>
      <c r="I234" s="5">
        <v>1</v>
      </c>
      <c r="L234" s="2" t="s">
        <v>382</v>
      </c>
      <c r="M234" s="2">
        <v>1.8321400000000001</v>
      </c>
    </row>
    <row r="235" spans="1:13" x14ac:dyDescent="0.2">
      <c r="A235" s="5" t="s">
        <v>1260</v>
      </c>
      <c r="B235" s="5" t="s">
        <v>3046</v>
      </c>
      <c r="C235" s="2" t="s">
        <v>2463</v>
      </c>
      <c r="D235" s="5" t="s">
        <v>1836</v>
      </c>
      <c r="E235" s="5" t="s">
        <v>1838</v>
      </c>
      <c r="F235" s="5">
        <v>11.880800000000001</v>
      </c>
      <c r="G235" s="5">
        <v>5.6228699999999998</v>
      </c>
      <c r="H235" s="5">
        <v>-1.07925</v>
      </c>
      <c r="I235" s="5">
        <v>1</v>
      </c>
      <c r="L235" s="2" t="s">
        <v>384</v>
      </c>
      <c r="M235" s="2">
        <v>-1.11632</v>
      </c>
    </row>
    <row r="236" spans="1:13" x14ac:dyDescent="0.2">
      <c r="A236" s="5" t="s">
        <v>1261</v>
      </c>
      <c r="B236" s="5" t="s">
        <v>3015</v>
      </c>
      <c r="C236" s="2" t="s">
        <v>2464</v>
      </c>
      <c r="D236" s="5" t="s">
        <v>1836</v>
      </c>
      <c r="E236" s="5" t="s">
        <v>1838</v>
      </c>
      <c r="F236" s="5">
        <v>0.63845200000000002</v>
      </c>
      <c r="G236" s="5">
        <v>1.57091</v>
      </c>
      <c r="H236" s="5">
        <v>1.29895</v>
      </c>
      <c r="I236" s="5">
        <v>1</v>
      </c>
      <c r="L236" s="2" t="s">
        <v>385</v>
      </c>
      <c r="M236" s="2">
        <v>-1.04619</v>
      </c>
    </row>
    <row r="237" spans="1:13" x14ac:dyDescent="0.2">
      <c r="A237" s="5" t="s">
        <v>372</v>
      </c>
      <c r="B237" s="5" t="s">
        <v>3015</v>
      </c>
      <c r="C237" s="2" t="s">
        <v>2465</v>
      </c>
      <c r="D237" s="5" t="s">
        <v>1836</v>
      </c>
      <c r="E237" s="5" t="s">
        <v>1838</v>
      </c>
      <c r="F237" s="5">
        <v>4.7269399999999999</v>
      </c>
      <c r="G237" s="5">
        <v>2.0876399999999999</v>
      </c>
      <c r="H237" s="5">
        <v>-1.17903</v>
      </c>
      <c r="I237" s="5">
        <v>1</v>
      </c>
      <c r="L237" s="2" t="s">
        <v>389</v>
      </c>
      <c r="M237" s="2">
        <v>1.06782</v>
      </c>
    </row>
    <row r="238" spans="1:13" x14ac:dyDescent="0.2">
      <c r="A238" s="5" t="s">
        <v>1262</v>
      </c>
      <c r="B238" s="5" t="s">
        <v>3045</v>
      </c>
      <c r="C238" s="2" t="s">
        <v>3496</v>
      </c>
      <c r="D238" s="5" t="s">
        <v>1836</v>
      </c>
      <c r="E238" s="5" t="s">
        <v>1838</v>
      </c>
      <c r="F238" s="5">
        <v>1.7482500000000001</v>
      </c>
      <c r="G238" s="5">
        <v>0.79729099999999997</v>
      </c>
      <c r="H238" s="5">
        <v>-1.13273</v>
      </c>
      <c r="I238" s="5">
        <v>1</v>
      </c>
      <c r="L238" s="2" t="s">
        <v>1265</v>
      </c>
      <c r="M238" s="2">
        <v>1.1031599999999999</v>
      </c>
    </row>
    <row r="239" spans="1:13" x14ac:dyDescent="0.2">
      <c r="A239" s="5" t="s">
        <v>1263</v>
      </c>
      <c r="B239" s="5" t="s">
        <v>3323</v>
      </c>
      <c r="C239" s="2" t="s">
        <v>2191</v>
      </c>
      <c r="D239" s="5" t="s">
        <v>1836</v>
      </c>
      <c r="E239" s="5" t="s">
        <v>1838</v>
      </c>
      <c r="F239" s="5">
        <v>0.479522</v>
      </c>
      <c r="G239" s="5">
        <v>1.9263999999999999</v>
      </c>
      <c r="H239" s="5">
        <v>2.00624</v>
      </c>
      <c r="I239" s="5">
        <v>1</v>
      </c>
      <c r="L239" s="2" t="s">
        <v>1266</v>
      </c>
      <c r="M239" s="2">
        <v>-1.11582</v>
      </c>
    </row>
    <row r="240" spans="1:13" x14ac:dyDescent="0.2">
      <c r="A240" s="5" t="s">
        <v>374</v>
      </c>
      <c r="B240" s="5" t="s">
        <v>3015</v>
      </c>
      <c r="C240" s="2" t="s">
        <v>2466</v>
      </c>
      <c r="D240" s="5" t="s">
        <v>1836</v>
      </c>
      <c r="E240" s="5" t="s">
        <v>1838</v>
      </c>
      <c r="F240" s="5">
        <v>26.980599999999999</v>
      </c>
      <c r="G240" s="5">
        <v>10.828200000000001</v>
      </c>
      <c r="H240" s="5">
        <v>-1.3171299999999999</v>
      </c>
      <c r="I240" s="5">
        <v>1</v>
      </c>
      <c r="L240" s="2" t="s">
        <v>1267</v>
      </c>
      <c r="M240" s="2">
        <v>-1.5256400000000001</v>
      </c>
    </row>
    <row r="241" spans="1:13" x14ac:dyDescent="0.2">
      <c r="A241" s="5" t="s">
        <v>376</v>
      </c>
      <c r="B241" s="5" t="s">
        <v>3058</v>
      </c>
      <c r="C241" s="2" t="s">
        <v>2018</v>
      </c>
      <c r="D241" s="5" t="s">
        <v>1836</v>
      </c>
      <c r="E241" s="5" t="s">
        <v>1838</v>
      </c>
      <c r="F241" s="5">
        <v>2.2351700000000001</v>
      </c>
      <c r="G241" s="5">
        <v>0.643876</v>
      </c>
      <c r="H241" s="5">
        <v>-1.7955300000000001</v>
      </c>
      <c r="I241" s="5">
        <v>1</v>
      </c>
      <c r="L241" s="2" t="s">
        <v>1268</v>
      </c>
      <c r="M241" s="2">
        <v>1.01406</v>
      </c>
    </row>
    <row r="242" spans="1:13" x14ac:dyDescent="0.2">
      <c r="A242" s="5" t="s">
        <v>379</v>
      </c>
      <c r="B242" s="5" t="s">
        <v>3129</v>
      </c>
      <c r="C242" s="2" t="s">
        <v>2019</v>
      </c>
      <c r="D242" s="5" t="s">
        <v>1836</v>
      </c>
      <c r="E242" s="5" t="s">
        <v>1838</v>
      </c>
      <c r="F242" s="5">
        <v>2.3631000000000002</v>
      </c>
      <c r="G242" s="5">
        <v>0.449129</v>
      </c>
      <c r="H242" s="5">
        <v>-2.3954800000000001</v>
      </c>
      <c r="I242" s="5">
        <v>1</v>
      </c>
      <c r="L242" s="2" t="s">
        <v>394</v>
      </c>
      <c r="M242" s="2">
        <v>-1.5044200000000001</v>
      </c>
    </row>
    <row r="243" spans="1:13" x14ac:dyDescent="0.2">
      <c r="A243" s="5" t="s">
        <v>382</v>
      </c>
      <c r="B243" s="5" t="s">
        <v>3030</v>
      </c>
      <c r="C243" s="2" t="s">
        <v>2467</v>
      </c>
      <c r="D243" s="5" t="s">
        <v>1836</v>
      </c>
      <c r="E243" s="5" t="s">
        <v>1838</v>
      </c>
      <c r="F243" s="5">
        <v>15.6236</v>
      </c>
      <c r="G243" s="5">
        <v>55.630099999999999</v>
      </c>
      <c r="H243" s="5">
        <v>1.8321400000000001</v>
      </c>
      <c r="I243" s="5">
        <v>1</v>
      </c>
      <c r="L243" s="2" t="s">
        <v>395</v>
      </c>
      <c r="M243" s="2">
        <v>1.9749000000000001</v>
      </c>
    </row>
    <row r="244" spans="1:13" x14ac:dyDescent="0.2">
      <c r="A244" s="5" t="s">
        <v>384</v>
      </c>
      <c r="B244" s="5" t="s">
        <v>3015</v>
      </c>
      <c r="C244" s="2" t="s">
        <v>3496</v>
      </c>
      <c r="D244" s="5" t="s">
        <v>1836</v>
      </c>
      <c r="E244" s="5" t="s">
        <v>1838</v>
      </c>
      <c r="F244" s="5">
        <v>29.618400000000001</v>
      </c>
      <c r="G244" s="5">
        <v>13.662100000000001</v>
      </c>
      <c r="H244" s="5">
        <v>-1.11632</v>
      </c>
      <c r="I244" s="5">
        <v>1</v>
      </c>
      <c r="L244" s="2" t="s">
        <v>396</v>
      </c>
      <c r="M244" s="2">
        <v>-1.24546</v>
      </c>
    </row>
    <row r="245" spans="1:13" x14ac:dyDescent="0.2">
      <c r="A245" s="5" t="s">
        <v>385</v>
      </c>
      <c r="B245" s="5" t="s">
        <v>3015</v>
      </c>
      <c r="C245" s="2" t="s">
        <v>2020</v>
      </c>
      <c r="D245" s="5" t="s">
        <v>1836</v>
      </c>
      <c r="E245" s="5" t="s">
        <v>1838</v>
      </c>
      <c r="F245" s="5">
        <v>6.4118199999999996</v>
      </c>
      <c r="G245" s="5">
        <v>3.1049000000000002</v>
      </c>
      <c r="H245" s="5">
        <v>-1.04619</v>
      </c>
      <c r="I245" s="5">
        <v>1</v>
      </c>
      <c r="L245" s="2" t="s">
        <v>1269</v>
      </c>
      <c r="M245" s="2">
        <v>-1.2438899999999999</v>
      </c>
    </row>
    <row r="246" spans="1:13" x14ac:dyDescent="0.2">
      <c r="A246" s="5" t="s">
        <v>389</v>
      </c>
      <c r="B246" s="5" t="s">
        <v>3015</v>
      </c>
      <c r="C246" s="2" t="s">
        <v>2024</v>
      </c>
      <c r="D246" s="5" t="s">
        <v>1836</v>
      </c>
      <c r="E246" s="5" t="s">
        <v>1838</v>
      </c>
      <c r="F246" s="5">
        <v>2.2618100000000001</v>
      </c>
      <c r="G246" s="5">
        <v>4.7413499999999997</v>
      </c>
      <c r="H246" s="5">
        <v>1.06782</v>
      </c>
      <c r="I246" s="5">
        <v>1</v>
      </c>
      <c r="L246" s="2" t="s">
        <v>399</v>
      </c>
      <c r="M246" s="2">
        <v>-1.2859799999999999</v>
      </c>
    </row>
    <row r="247" spans="1:13" x14ac:dyDescent="0.2">
      <c r="A247" s="5" t="s">
        <v>1265</v>
      </c>
      <c r="B247" s="5" t="s">
        <v>3324</v>
      </c>
      <c r="C247" s="2" t="s">
        <v>2468</v>
      </c>
      <c r="D247" s="5" t="s">
        <v>1836</v>
      </c>
      <c r="E247" s="5" t="s">
        <v>1838</v>
      </c>
      <c r="F247" s="5">
        <v>0.78157299999999996</v>
      </c>
      <c r="G247" s="5">
        <v>1.6790099999999999</v>
      </c>
      <c r="H247" s="5">
        <v>1.1031599999999999</v>
      </c>
      <c r="I247" s="5">
        <v>1</v>
      </c>
      <c r="L247" s="2" t="s">
        <v>401</v>
      </c>
      <c r="M247" s="2">
        <v>-1.46132</v>
      </c>
    </row>
    <row r="248" spans="1:13" x14ac:dyDescent="0.2">
      <c r="A248" s="5" t="s">
        <v>1266</v>
      </c>
      <c r="B248" s="5" t="s">
        <v>3325</v>
      </c>
      <c r="C248" s="2" t="s">
        <v>2469</v>
      </c>
      <c r="D248" s="5" t="s">
        <v>1836</v>
      </c>
      <c r="E248" s="5" t="s">
        <v>1838</v>
      </c>
      <c r="F248" s="5">
        <v>1.9129700000000001</v>
      </c>
      <c r="G248" s="5">
        <v>0.88269699999999995</v>
      </c>
      <c r="H248" s="5">
        <v>-1.11582</v>
      </c>
      <c r="I248" s="5">
        <v>1</v>
      </c>
      <c r="L248" s="2" t="s">
        <v>405</v>
      </c>
      <c r="M248" s="2">
        <v>-2.3770799999999999</v>
      </c>
    </row>
    <row r="249" spans="1:13" x14ac:dyDescent="0.2">
      <c r="A249" s="5" t="s">
        <v>1267</v>
      </c>
      <c r="B249" s="5" t="s">
        <v>3090</v>
      </c>
      <c r="C249" s="2" t="s">
        <v>2470</v>
      </c>
      <c r="D249" s="5" t="s">
        <v>1836</v>
      </c>
      <c r="E249" s="5" t="s">
        <v>1838</v>
      </c>
      <c r="F249" s="5">
        <v>4.5533599999999996</v>
      </c>
      <c r="G249" s="5">
        <v>1.5814900000000001</v>
      </c>
      <c r="H249" s="5">
        <v>-1.5256400000000001</v>
      </c>
      <c r="I249" s="5">
        <v>1</v>
      </c>
      <c r="L249" s="2" t="s">
        <v>406</v>
      </c>
      <c r="M249" s="2">
        <v>-3.2538200000000002</v>
      </c>
    </row>
    <row r="250" spans="1:13" x14ac:dyDescent="0.2">
      <c r="A250" s="5" t="s">
        <v>1268</v>
      </c>
      <c r="B250" s="5" t="s">
        <v>3015</v>
      </c>
      <c r="C250" s="2" t="s">
        <v>2471</v>
      </c>
      <c r="D250" s="5" t="s">
        <v>1836</v>
      </c>
      <c r="E250" s="5" t="s">
        <v>1838</v>
      </c>
      <c r="F250" s="5">
        <v>1.57084</v>
      </c>
      <c r="G250" s="5">
        <v>3.1724600000000001</v>
      </c>
      <c r="H250" s="5">
        <v>1.01406</v>
      </c>
      <c r="I250" s="5">
        <v>1</v>
      </c>
      <c r="L250" s="2" t="s">
        <v>1270</v>
      </c>
      <c r="M250" s="2">
        <v>2.4862600000000001</v>
      </c>
    </row>
    <row r="251" spans="1:13" x14ac:dyDescent="0.2">
      <c r="A251" s="5" t="s">
        <v>394</v>
      </c>
      <c r="B251" s="5" t="s">
        <v>3015</v>
      </c>
      <c r="C251" s="2" t="s">
        <v>1847</v>
      </c>
      <c r="D251" s="5" t="s">
        <v>1836</v>
      </c>
      <c r="E251" s="5" t="s">
        <v>1838</v>
      </c>
      <c r="F251" s="5">
        <v>3.21462</v>
      </c>
      <c r="G251" s="5">
        <v>1.13306</v>
      </c>
      <c r="H251" s="5">
        <v>-1.5044200000000001</v>
      </c>
      <c r="I251" s="5">
        <v>1</v>
      </c>
      <c r="L251" s="2" t="s">
        <v>413</v>
      </c>
      <c r="M251" s="2">
        <v>-2.3684500000000002</v>
      </c>
    </row>
    <row r="252" spans="1:13" x14ac:dyDescent="0.2">
      <c r="A252" s="5" t="s">
        <v>395</v>
      </c>
      <c r="B252" s="5" t="s">
        <v>3015</v>
      </c>
      <c r="C252" s="2" t="s">
        <v>3496</v>
      </c>
      <c r="D252" s="5" t="s">
        <v>1836</v>
      </c>
      <c r="E252" s="5" t="s">
        <v>1838</v>
      </c>
      <c r="F252" s="5">
        <v>0.39205699999999999</v>
      </c>
      <c r="G252" s="5">
        <v>1.54118</v>
      </c>
      <c r="H252" s="5">
        <v>1.9749000000000001</v>
      </c>
      <c r="I252" s="5">
        <v>1</v>
      </c>
      <c r="L252" s="2" t="s">
        <v>414</v>
      </c>
      <c r="M252" s="2">
        <v>-2.00482</v>
      </c>
    </row>
    <row r="253" spans="1:13" x14ac:dyDescent="0.2">
      <c r="A253" s="5" t="s">
        <v>396</v>
      </c>
      <c r="B253" s="5" t="s">
        <v>3015</v>
      </c>
      <c r="C253" s="2" t="s">
        <v>3496</v>
      </c>
      <c r="D253" s="5" t="s">
        <v>1836</v>
      </c>
      <c r="E253" s="5" t="s">
        <v>1838</v>
      </c>
      <c r="F253" s="5">
        <v>8.1166800000000006</v>
      </c>
      <c r="G253" s="5">
        <v>3.4234100000000001</v>
      </c>
      <c r="H253" s="5">
        <v>-1.24546</v>
      </c>
      <c r="I253" s="5">
        <v>1</v>
      </c>
      <c r="L253" s="2" t="s">
        <v>416</v>
      </c>
      <c r="M253" s="2">
        <v>-1.0678399999999999</v>
      </c>
    </row>
    <row r="254" spans="1:13" x14ac:dyDescent="0.2">
      <c r="A254" s="5" t="s">
        <v>1269</v>
      </c>
      <c r="B254" s="5" t="s">
        <v>3256</v>
      </c>
      <c r="C254" s="2" t="s">
        <v>2472</v>
      </c>
      <c r="D254" s="5" t="s">
        <v>1836</v>
      </c>
      <c r="E254" s="5" t="s">
        <v>1838</v>
      </c>
      <c r="F254" s="5">
        <v>3.4169900000000002</v>
      </c>
      <c r="G254" s="5">
        <v>1.4427700000000001</v>
      </c>
      <c r="H254" s="5">
        <v>-1.2438899999999999</v>
      </c>
      <c r="I254" s="5">
        <v>1</v>
      </c>
      <c r="L254" s="2" t="s">
        <v>417</v>
      </c>
      <c r="M254" s="2">
        <v>-1.09629</v>
      </c>
    </row>
    <row r="255" spans="1:13" x14ac:dyDescent="0.2">
      <c r="A255" s="5" t="s">
        <v>399</v>
      </c>
      <c r="B255" s="5" t="s">
        <v>3038</v>
      </c>
      <c r="C255" s="2" t="s">
        <v>2027</v>
      </c>
      <c r="D255" s="5" t="s">
        <v>1836</v>
      </c>
      <c r="E255" s="5" t="s">
        <v>1838</v>
      </c>
      <c r="F255" s="5">
        <v>1.50061</v>
      </c>
      <c r="G255" s="5">
        <v>0.61538800000000005</v>
      </c>
      <c r="H255" s="5">
        <v>-1.2859799999999999</v>
      </c>
      <c r="I255" s="5">
        <v>1</v>
      </c>
      <c r="L255" s="2" t="s">
        <v>421</v>
      </c>
      <c r="M255" s="2">
        <v>1.05243</v>
      </c>
    </row>
    <row r="256" spans="1:13" x14ac:dyDescent="0.2">
      <c r="A256" s="5" t="s">
        <v>401</v>
      </c>
      <c r="B256" s="5" t="s">
        <v>3015</v>
      </c>
      <c r="C256" s="2" t="s">
        <v>3496</v>
      </c>
      <c r="D256" s="5" t="s">
        <v>1836</v>
      </c>
      <c r="E256" s="5" t="s">
        <v>1838</v>
      </c>
      <c r="F256" s="5">
        <v>0.95647199999999999</v>
      </c>
      <c r="G256" s="5">
        <v>0.347354</v>
      </c>
      <c r="H256" s="5">
        <v>-1.46132</v>
      </c>
      <c r="I256" s="5">
        <v>1</v>
      </c>
      <c r="L256" s="2" t="s">
        <v>1271</v>
      </c>
      <c r="M256" s="2">
        <v>-1.0475699999999999</v>
      </c>
    </row>
    <row r="257" spans="1:13" x14ac:dyDescent="0.2">
      <c r="A257" s="5" t="s">
        <v>405</v>
      </c>
      <c r="B257" s="5" t="s">
        <v>3063</v>
      </c>
      <c r="C257" s="2" t="s">
        <v>2030</v>
      </c>
      <c r="D257" s="5" t="s">
        <v>1836</v>
      </c>
      <c r="E257" s="5" t="s">
        <v>1838</v>
      </c>
      <c r="F257" s="5">
        <v>5.6101799999999997</v>
      </c>
      <c r="G257" s="5">
        <v>1.07995</v>
      </c>
      <c r="H257" s="5">
        <v>-2.3770799999999999</v>
      </c>
      <c r="I257" s="5">
        <v>1</v>
      </c>
      <c r="L257" s="2" t="s">
        <v>423</v>
      </c>
      <c r="M257" s="2">
        <v>-2.48285</v>
      </c>
    </row>
    <row r="258" spans="1:13" x14ac:dyDescent="0.2">
      <c r="A258" s="5" t="s">
        <v>406</v>
      </c>
      <c r="B258" s="5" t="s">
        <v>3326</v>
      </c>
      <c r="C258" s="2" t="s">
        <v>2473</v>
      </c>
      <c r="D258" s="5" t="s">
        <v>1836</v>
      </c>
      <c r="E258" s="5" t="s">
        <v>1838</v>
      </c>
      <c r="F258" s="5">
        <v>384.31599999999997</v>
      </c>
      <c r="G258" s="5">
        <v>40.289400000000001</v>
      </c>
      <c r="H258" s="5">
        <v>-3.2538200000000002</v>
      </c>
      <c r="I258" s="5">
        <v>1</v>
      </c>
      <c r="L258" s="2" t="s">
        <v>1272</v>
      </c>
      <c r="M258" s="2">
        <v>1.20943</v>
      </c>
    </row>
    <row r="259" spans="1:13" x14ac:dyDescent="0.2">
      <c r="A259" s="5" t="s">
        <v>1270</v>
      </c>
      <c r="B259" s="5" t="s">
        <v>3327</v>
      </c>
      <c r="C259" s="2" t="s">
        <v>2474</v>
      </c>
      <c r="D259" s="5" t="s">
        <v>1836</v>
      </c>
      <c r="E259" s="5" t="s">
        <v>1838</v>
      </c>
      <c r="F259" s="5">
        <v>0.164627</v>
      </c>
      <c r="G259" s="5">
        <v>0.92244099999999996</v>
      </c>
      <c r="H259" s="5">
        <v>2.4862600000000001</v>
      </c>
      <c r="I259" s="5">
        <v>1</v>
      </c>
      <c r="L259" s="2" t="s">
        <v>427</v>
      </c>
      <c r="M259" s="2">
        <v>-1.49583</v>
      </c>
    </row>
    <row r="260" spans="1:13" x14ac:dyDescent="0.2">
      <c r="A260" s="5" t="s">
        <v>413</v>
      </c>
      <c r="B260" s="5" t="s">
        <v>3050</v>
      </c>
      <c r="C260" s="2" t="s">
        <v>2033</v>
      </c>
      <c r="D260" s="5" t="s">
        <v>1836</v>
      </c>
      <c r="E260" s="5" t="s">
        <v>1838</v>
      </c>
      <c r="F260" s="5">
        <v>6.9451999999999998</v>
      </c>
      <c r="G260" s="5">
        <v>1.3449599999999999</v>
      </c>
      <c r="H260" s="5">
        <v>-2.3684500000000002</v>
      </c>
      <c r="I260" s="5">
        <v>1</v>
      </c>
      <c r="L260" s="2" t="s">
        <v>428</v>
      </c>
      <c r="M260" s="2">
        <v>-1.75142</v>
      </c>
    </row>
    <row r="261" spans="1:13" x14ac:dyDescent="0.2">
      <c r="A261" s="5" t="s">
        <v>414</v>
      </c>
      <c r="B261" s="5" t="s">
        <v>3015</v>
      </c>
      <c r="C261" s="2" t="s">
        <v>2034</v>
      </c>
      <c r="D261" s="5" t="s">
        <v>1836</v>
      </c>
      <c r="E261" s="5" t="s">
        <v>1838</v>
      </c>
      <c r="F261" s="5">
        <v>0.91733600000000004</v>
      </c>
      <c r="G261" s="5">
        <v>0.22856899999999999</v>
      </c>
      <c r="H261" s="5">
        <v>-2.00482</v>
      </c>
      <c r="I261" s="5">
        <v>1</v>
      </c>
      <c r="L261" s="2" t="s">
        <v>430</v>
      </c>
      <c r="M261" s="2">
        <v>-1.60697</v>
      </c>
    </row>
    <row r="262" spans="1:13" x14ac:dyDescent="0.2">
      <c r="A262" s="5" t="s">
        <v>416</v>
      </c>
      <c r="B262" s="5" t="s">
        <v>3080</v>
      </c>
      <c r="C262" s="2" t="s">
        <v>2036</v>
      </c>
      <c r="D262" s="5" t="s">
        <v>1836</v>
      </c>
      <c r="E262" s="5" t="s">
        <v>1838</v>
      </c>
      <c r="F262" s="5">
        <v>8.0118899999999993</v>
      </c>
      <c r="G262" s="5">
        <v>3.82192</v>
      </c>
      <c r="H262" s="5">
        <v>-1.0678399999999999</v>
      </c>
      <c r="I262" s="5">
        <v>1</v>
      </c>
      <c r="L262" s="2" t="s">
        <v>431</v>
      </c>
      <c r="M262" s="2">
        <v>2.19225</v>
      </c>
    </row>
    <row r="263" spans="1:13" x14ac:dyDescent="0.2">
      <c r="A263" s="5" t="s">
        <v>417</v>
      </c>
      <c r="B263" s="5" t="s">
        <v>3045</v>
      </c>
      <c r="C263" s="2" t="s">
        <v>1923</v>
      </c>
      <c r="D263" s="5" t="s">
        <v>1836</v>
      </c>
      <c r="E263" s="5" t="s">
        <v>1838</v>
      </c>
      <c r="F263" s="5">
        <v>61.389800000000001</v>
      </c>
      <c r="G263" s="5">
        <v>28.713100000000001</v>
      </c>
      <c r="H263" s="5">
        <v>-1.09629</v>
      </c>
      <c r="I263" s="5">
        <v>1</v>
      </c>
      <c r="L263" s="2" t="s">
        <v>433</v>
      </c>
      <c r="M263" s="2">
        <v>-1.08409</v>
      </c>
    </row>
    <row r="264" spans="1:13" x14ac:dyDescent="0.2">
      <c r="A264" s="5" t="s">
        <v>421</v>
      </c>
      <c r="B264" s="5" t="s">
        <v>3038</v>
      </c>
      <c r="C264" s="2" t="s">
        <v>2475</v>
      </c>
      <c r="D264" s="5" t="s">
        <v>1836</v>
      </c>
      <c r="E264" s="5" t="s">
        <v>1838</v>
      </c>
      <c r="F264" s="5">
        <v>3.9441999999999999</v>
      </c>
      <c r="G264" s="5">
        <v>8.1803500000000007</v>
      </c>
      <c r="H264" s="5">
        <v>1.05243</v>
      </c>
      <c r="I264" s="5">
        <v>1</v>
      </c>
      <c r="L264" s="2" t="s">
        <v>434</v>
      </c>
      <c r="M264" s="2">
        <v>-1.1564300000000001</v>
      </c>
    </row>
    <row r="265" spans="1:13" x14ac:dyDescent="0.2">
      <c r="A265" s="5" t="s">
        <v>1271</v>
      </c>
      <c r="B265" s="5" t="s">
        <v>3015</v>
      </c>
      <c r="C265" s="2" t="s">
        <v>2476</v>
      </c>
      <c r="D265" s="5" t="s">
        <v>1836</v>
      </c>
      <c r="E265" s="5" t="s">
        <v>1838</v>
      </c>
      <c r="F265" s="5">
        <v>2.3959299999999999</v>
      </c>
      <c r="G265" s="5">
        <v>1.1591100000000001</v>
      </c>
      <c r="H265" s="5">
        <v>-1.0475699999999999</v>
      </c>
      <c r="I265" s="5">
        <v>1</v>
      </c>
      <c r="L265" s="2" t="s">
        <v>437</v>
      </c>
      <c r="M265" s="2">
        <v>1.02772</v>
      </c>
    </row>
    <row r="266" spans="1:13" x14ac:dyDescent="0.2">
      <c r="A266" s="5" t="s">
        <v>423</v>
      </c>
      <c r="B266" s="5" t="s">
        <v>3035</v>
      </c>
      <c r="C266" s="2" t="s">
        <v>2040</v>
      </c>
      <c r="D266" s="5" t="s">
        <v>1836</v>
      </c>
      <c r="E266" s="5" t="s">
        <v>1838</v>
      </c>
      <c r="F266" s="5">
        <v>2.6913900000000002</v>
      </c>
      <c r="G266" s="5">
        <v>0.48146499999999998</v>
      </c>
      <c r="H266" s="5">
        <v>-2.48285</v>
      </c>
      <c r="I266" s="5">
        <v>1</v>
      </c>
      <c r="L266" s="2" t="s">
        <v>438</v>
      </c>
      <c r="M266" s="2">
        <v>2.3054000000000001</v>
      </c>
    </row>
    <row r="267" spans="1:13" x14ac:dyDescent="0.2">
      <c r="A267" s="5" t="s">
        <v>1272</v>
      </c>
      <c r="B267" s="5" t="s">
        <v>3015</v>
      </c>
      <c r="C267" s="2" t="s">
        <v>3496</v>
      </c>
      <c r="D267" s="5" t="s">
        <v>1836</v>
      </c>
      <c r="E267" s="5" t="s">
        <v>1838</v>
      </c>
      <c r="F267" s="5">
        <v>1.5209299999999999</v>
      </c>
      <c r="G267" s="5">
        <v>3.51709</v>
      </c>
      <c r="H267" s="5">
        <v>1.20943</v>
      </c>
      <c r="I267" s="5">
        <v>1</v>
      </c>
      <c r="L267" s="2" t="s">
        <v>440</v>
      </c>
      <c r="M267" s="2">
        <v>1.07437</v>
      </c>
    </row>
    <row r="268" spans="1:13" x14ac:dyDescent="0.2">
      <c r="A268" s="5" t="s">
        <v>427</v>
      </c>
      <c r="B268" s="5" t="s">
        <v>3015</v>
      </c>
      <c r="C268" s="2" t="s">
        <v>2477</v>
      </c>
      <c r="D268" s="5" t="s">
        <v>1836</v>
      </c>
      <c r="E268" s="5" t="s">
        <v>1838</v>
      </c>
      <c r="F268" s="5">
        <v>12.869300000000001</v>
      </c>
      <c r="G268" s="5">
        <v>4.5631599999999999</v>
      </c>
      <c r="H268" s="5">
        <v>-1.49583</v>
      </c>
      <c r="I268" s="5">
        <v>1</v>
      </c>
      <c r="L268" s="2" t="s">
        <v>441</v>
      </c>
      <c r="M268" s="2">
        <v>-1.92889</v>
      </c>
    </row>
    <row r="269" spans="1:13" x14ac:dyDescent="0.2">
      <c r="A269" s="5" t="s">
        <v>428</v>
      </c>
      <c r="B269" s="5" t="s">
        <v>3080</v>
      </c>
      <c r="C269" s="2" t="s">
        <v>2041</v>
      </c>
      <c r="D269" s="5" t="s">
        <v>1836</v>
      </c>
      <c r="E269" s="5" t="s">
        <v>1838</v>
      </c>
      <c r="F269" s="5">
        <v>1.51708</v>
      </c>
      <c r="G269" s="5">
        <v>0.45058500000000001</v>
      </c>
      <c r="H269" s="5">
        <v>-1.75142</v>
      </c>
      <c r="I269" s="5">
        <v>1</v>
      </c>
      <c r="L269" s="2" t="s">
        <v>443</v>
      </c>
      <c r="M269" s="2">
        <v>-1.16204</v>
      </c>
    </row>
    <row r="270" spans="1:13" x14ac:dyDescent="0.2">
      <c r="A270" s="5" t="s">
        <v>430</v>
      </c>
      <c r="B270" s="5" t="s">
        <v>3015</v>
      </c>
      <c r="C270" s="2" t="s">
        <v>2043</v>
      </c>
      <c r="D270" s="5" t="s">
        <v>1836</v>
      </c>
      <c r="E270" s="5" t="s">
        <v>1838</v>
      </c>
      <c r="F270" s="5">
        <v>2.1421100000000002</v>
      </c>
      <c r="G270" s="5">
        <v>0.70322700000000005</v>
      </c>
      <c r="H270" s="5">
        <v>-1.60697</v>
      </c>
      <c r="I270" s="5">
        <v>1</v>
      </c>
      <c r="L270" s="2" t="s">
        <v>1275</v>
      </c>
      <c r="M270" s="2">
        <v>-1.0544</v>
      </c>
    </row>
    <row r="271" spans="1:13" x14ac:dyDescent="0.2">
      <c r="A271" s="5" t="s">
        <v>431</v>
      </c>
      <c r="B271" s="5" t="s">
        <v>3015</v>
      </c>
      <c r="C271" s="2" t="s">
        <v>3496</v>
      </c>
      <c r="D271" s="5" t="s">
        <v>1836</v>
      </c>
      <c r="E271" s="5" t="s">
        <v>1838</v>
      </c>
      <c r="F271" s="5">
        <v>5.0835900000000001</v>
      </c>
      <c r="G271" s="5">
        <v>23.232900000000001</v>
      </c>
      <c r="H271" s="5">
        <v>2.19225</v>
      </c>
      <c r="I271" s="5">
        <v>1</v>
      </c>
      <c r="L271" s="2" t="s">
        <v>455</v>
      </c>
      <c r="M271" s="2">
        <v>1.10687</v>
      </c>
    </row>
    <row r="272" spans="1:13" x14ac:dyDescent="0.2">
      <c r="A272" s="5" t="s">
        <v>433</v>
      </c>
      <c r="B272" s="5" t="s">
        <v>3015</v>
      </c>
      <c r="C272" s="2" t="s">
        <v>2045</v>
      </c>
      <c r="D272" s="5" t="s">
        <v>1836</v>
      </c>
      <c r="E272" s="5" t="s">
        <v>1838</v>
      </c>
      <c r="F272" s="5">
        <v>2.8269799999999998</v>
      </c>
      <c r="G272" s="5">
        <v>1.33345</v>
      </c>
      <c r="H272" s="5">
        <v>-1.08409</v>
      </c>
      <c r="I272" s="5">
        <v>1</v>
      </c>
      <c r="L272" s="2" t="s">
        <v>456</v>
      </c>
      <c r="M272" s="2">
        <v>-1.3675299999999999</v>
      </c>
    </row>
    <row r="273" spans="1:13" x14ac:dyDescent="0.2">
      <c r="A273" s="5" t="s">
        <v>434</v>
      </c>
      <c r="B273" s="5" t="s">
        <v>3015</v>
      </c>
      <c r="C273" s="2" t="s">
        <v>2478</v>
      </c>
      <c r="D273" s="5" t="s">
        <v>1836</v>
      </c>
      <c r="E273" s="5" t="s">
        <v>1838</v>
      </c>
      <c r="F273" s="5">
        <v>2.4527299999999999</v>
      </c>
      <c r="G273" s="5">
        <v>1.1003400000000001</v>
      </c>
      <c r="H273" s="5">
        <v>-1.1564300000000001</v>
      </c>
      <c r="I273" s="5">
        <v>1</v>
      </c>
      <c r="L273" s="2" t="s">
        <v>457</v>
      </c>
      <c r="M273" s="2">
        <v>1.0855999999999999</v>
      </c>
    </row>
    <row r="274" spans="1:13" x14ac:dyDescent="0.2">
      <c r="A274" s="5" t="s">
        <v>437</v>
      </c>
      <c r="B274" s="5" t="s">
        <v>3015</v>
      </c>
      <c r="C274" s="2" t="s">
        <v>3496</v>
      </c>
      <c r="D274" s="5" t="s">
        <v>1836</v>
      </c>
      <c r="E274" s="5" t="s">
        <v>1838</v>
      </c>
      <c r="F274" s="5">
        <v>969.59900000000005</v>
      </c>
      <c r="G274" s="5">
        <v>1976.82</v>
      </c>
      <c r="H274" s="5">
        <v>1.02772</v>
      </c>
      <c r="I274" s="5">
        <v>1</v>
      </c>
      <c r="L274" s="2" t="s">
        <v>460</v>
      </c>
      <c r="M274" s="2">
        <v>-1.1451</v>
      </c>
    </row>
    <row r="275" spans="1:13" x14ac:dyDescent="0.2">
      <c r="A275" s="5" t="s">
        <v>438</v>
      </c>
      <c r="B275" s="5" t="s">
        <v>3138</v>
      </c>
      <c r="C275" s="2" t="s">
        <v>2047</v>
      </c>
      <c r="D275" s="5" t="s">
        <v>1836</v>
      </c>
      <c r="E275" s="5" t="s">
        <v>1838</v>
      </c>
      <c r="F275" s="5">
        <v>86.625299999999996</v>
      </c>
      <c r="G275" s="5">
        <v>428.19299999999998</v>
      </c>
      <c r="H275" s="5">
        <v>2.3054000000000001</v>
      </c>
      <c r="I275" s="5">
        <v>1</v>
      </c>
      <c r="L275" s="2" t="s">
        <v>461</v>
      </c>
      <c r="M275" s="2">
        <v>-1.3300799999999999</v>
      </c>
    </row>
    <row r="276" spans="1:13" x14ac:dyDescent="0.2">
      <c r="A276" s="5" t="s">
        <v>440</v>
      </c>
      <c r="B276" s="5" t="s">
        <v>3138</v>
      </c>
      <c r="C276" s="2" t="s">
        <v>1847</v>
      </c>
      <c r="D276" s="5" t="s">
        <v>1836</v>
      </c>
      <c r="E276" s="5" t="s">
        <v>1838</v>
      </c>
      <c r="F276" s="5">
        <v>326.73700000000002</v>
      </c>
      <c r="G276" s="5">
        <v>688.04499999999996</v>
      </c>
      <c r="H276" s="5">
        <v>1.07437</v>
      </c>
      <c r="I276" s="5">
        <v>1</v>
      </c>
      <c r="L276" s="2" t="s">
        <v>463</v>
      </c>
      <c r="M276" s="2">
        <v>-1.5348999999999999</v>
      </c>
    </row>
    <row r="277" spans="1:13" x14ac:dyDescent="0.2">
      <c r="A277" s="5" t="s">
        <v>1273</v>
      </c>
      <c r="B277" s="5" t="s">
        <v>3015</v>
      </c>
      <c r="C277" s="2" t="s">
        <v>3496</v>
      </c>
      <c r="D277" s="5" t="s">
        <v>1836</v>
      </c>
      <c r="E277" s="5" t="s">
        <v>1838</v>
      </c>
      <c r="F277" s="5">
        <v>0</v>
      </c>
      <c r="G277" s="5">
        <v>4.2510199999999996</v>
      </c>
      <c r="H277" s="5" t="s">
        <v>3021</v>
      </c>
      <c r="I277" s="5" t="s">
        <v>3021</v>
      </c>
      <c r="L277" s="2" t="s">
        <v>465</v>
      </c>
      <c r="M277" s="2">
        <v>-1.0591200000000001</v>
      </c>
    </row>
    <row r="278" spans="1:13" x14ac:dyDescent="0.2">
      <c r="A278" s="5" t="s">
        <v>441</v>
      </c>
      <c r="B278" s="5" t="s">
        <v>3313</v>
      </c>
      <c r="C278" s="2" t="s">
        <v>2479</v>
      </c>
      <c r="D278" s="5" t="s">
        <v>1836</v>
      </c>
      <c r="E278" s="5" t="s">
        <v>1838</v>
      </c>
      <c r="F278" s="5">
        <v>1.7199500000000001</v>
      </c>
      <c r="G278" s="5">
        <v>0.45171299999999998</v>
      </c>
      <c r="H278" s="5">
        <v>-1.92889</v>
      </c>
      <c r="I278" s="5">
        <v>1</v>
      </c>
      <c r="L278" s="2" t="s">
        <v>1277</v>
      </c>
      <c r="M278" s="2">
        <v>-2.28423</v>
      </c>
    </row>
    <row r="279" spans="1:13" x14ac:dyDescent="0.2">
      <c r="A279" s="5" t="s">
        <v>443</v>
      </c>
      <c r="B279" s="5" t="s">
        <v>3139</v>
      </c>
      <c r="C279" s="2" t="s">
        <v>2048</v>
      </c>
      <c r="D279" s="5" t="s">
        <v>1836</v>
      </c>
      <c r="E279" s="5" t="s">
        <v>1838</v>
      </c>
      <c r="F279" s="5">
        <v>26.4116</v>
      </c>
      <c r="G279" s="5">
        <v>11.8028</v>
      </c>
      <c r="H279" s="5">
        <v>-1.16204</v>
      </c>
      <c r="I279" s="5">
        <v>1</v>
      </c>
      <c r="L279" s="2" t="s">
        <v>1278</v>
      </c>
      <c r="M279" s="2">
        <v>1.18971</v>
      </c>
    </row>
    <row r="280" spans="1:13" x14ac:dyDescent="0.2">
      <c r="A280" s="5" t="s">
        <v>1275</v>
      </c>
      <c r="B280" s="5" t="s">
        <v>3328</v>
      </c>
      <c r="C280" s="2" t="s">
        <v>2480</v>
      </c>
      <c r="D280" s="5" t="s">
        <v>1836</v>
      </c>
      <c r="E280" s="5" t="s">
        <v>1838</v>
      </c>
      <c r="F280" s="5">
        <v>47.869</v>
      </c>
      <c r="G280" s="5">
        <v>23.0488</v>
      </c>
      <c r="H280" s="5">
        <v>-1.0544</v>
      </c>
      <c r="I280" s="5">
        <v>1</v>
      </c>
      <c r="L280" s="2" t="s">
        <v>473</v>
      </c>
      <c r="M280" s="2">
        <v>1.3387</v>
      </c>
    </row>
    <row r="281" spans="1:13" x14ac:dyDescent="0.2">
      <c r="A281" s="5" t="s">
        <v>455</v>
      </c>
      <c r="B281" s="5" t="s">
        <v>3329</v>
      </c>
      <c r="C281" s="2" t="s">
        <v>2481</v>
      </c>
      <c r="D281" s="5" t="s">
        <v>1836</v>
      </c>
      <c r="E281" s="5" t="s">
        <v>1838</v>
      </c>
      <c r="F281" s="5">
        <v>41.568199999999997</v>
      </c>
      <c r="G281" s="5">
        <v>89.528700000000001</v>
      </c>
      <c r="H281" s="5">
        <v>1.10687</v>
      </c>
      <c r="I281" s="5">
        <v>1</v>
      </c>
      <c r="L281" s="2" t="s">
        <v>474</v>
      </c>
      <c r="M281" s="2">
        <v>-1.3794900000000001</v>
      </c>
    </row>
    <row r="282" spans="1:13" x14ac:dyDescent="0.2">
      <c r="A282" s="5" t="s">
        <v>456</v>
      </c>
      <c r="B282" s="5" t="s">
        <v>3143</v>
      </c>
      <c r="C282" s="2" t="s">
        <v>2058</v>
      </c>
      <c r="D282" s="5" t="s">
        <v>1836</v>
      </c>
      <c r="E282" s="5" t="s">
        <v>1838</v>
      </c>
      <c r="F282" s="5">
        <v>389.113</v>
      </c>
      <c r="G282" s="5">
        <v>150.80199999999999</v>
      </c>
      <c r="H282" s="5">
        <v>-1.3675299999999999</v>
      </c>
      <c r="I282" s="5">
        <v>1</v>
      </c>
      <c r="L282" s="2" t="s">
        <v>475</v>
      </c>
      <c r="M282" s="2">
        <v>-1.0621499999999999</v>
      </c>
    </row>
    <row r="283" spans="1:13" x14ac:dyDescent="0.2">
      <c r="A283" s="5" t="s">
        <v>457</v>
      </c>
      <c r="B283" s="5" t="s">
        <v>3015</v>
      </c>
      <c r="C283" s="2" t="s">
        <v>3496</v>
      </c>
      <c r="D283" s="5" t="s">
        <v>1836</v>
      </c>
      <c r="E283" s="5" t="s">
        <v>1838</v>
      </c>
      <c r="F283" s="5">
        <v>1.3376999999999999</v>
      </c>
      <c r="G283" s="5">
        <v>2.83894</v>
      </c>
      <c r="H283" s="5">
        <v>1.0855999999999999</v>
      </c>
      <c r="I283" s="5">
        <v>1</v>
      </c>
      <c r="L283" s="2" t="s">
        <v>476</v>
      </c>
      <c r="M283" s="2">
        <v>2.4807199999999998</v>
      </c>
    </row>
    <row r="284" spans="1:13" x14ac:dyDescent="0.2">
      <c r="A284" s="5" t="s">
        <v>460</v>
      </c>
      <c r="B284" s="5" t="s">
        <v>3015</v>
      </c>
      <c r="C284" s="2" t="s">
        <v>3496</v>
      </c>
      <c r="D284" s="5" t="s">
        <v>1836</v>
      </c>
      <c r="E284" s="5" t="s">
        <v>1838</v>
      </c>
      <c r="F284" s="5">
        <v>28.5153</v>
      </c>
      <c r="G284" s="5">
        <v>12.8934</v>
      </c>
      <c r="H284" s="5">
        <v>-1.1451</v>
      </c>
      <c r="I284" s="5">
        <v>1</v>
      </c>
      <c r="L284" s="2" t="s">
        <v>1279</v>
      </c>
      <c r="M284" s="2">
        <v>1.3362499999999999</v>
      </c>
    </row>
    <row r="285" spans="1:13" x14ac:dyDescent="0.2">
      <c r="A285" s="5" t="s">
        <v>461</v>
      </c>
      <c r="B285" s="5" t="s">
        <v>3015</v>
      </c>
      <c r="C285" s="2" t="s">
        <v>2060</v>
      </c>
      <c r="D285" s="5" t="s">
        <v>1836</v>
      </c>
      <c r="E285" s="5" t="s">
        <v>1838</v>
      </c>
      <c r="F285" s="5">
        <v>9.4544499999999996</v>
      </c>
      <c r="G285" s="5">
        <v>3.7604799999999998</v>
      </c>
      <c r="H285" s="5">
        <v>-1.3300799999999999</v>
      </c>
      <c r="I285" s="5">
        <v>1</v>
      </c>
      <c r="L285" s="2" t="s">
        <v>480</v>
      </c>
      <c r="M285" s="2">
        <v>-1.25647</v>
      </c>
    </row>
    <row r="286" spans="1:13" x14ac:dyDescent="0.2">
      <c r="A286" s="5" t="s">
        <v>463</v>
      </c>
      <c r="B286" s="5" t="s">
        <v>3015</v>
      </c>
      <c r="C286" s="2" t="s">
        <v>2482</v>
      </c>
      <c r="D286" s="5" t="s">
        <v>1836</v>
      </c>
      <c r="E286" s="5" t="s">
        <v>1838</v>
      </c>
      <c r="F286" s="5">
        <v>4.1204700000000001</v>
      </c>
      <c r="G286" s="5">
        <v>1.4219900000000001</v>
      </c>
      <c r="H286" s="5">
        <v>-1.5348999999999999</v>
      </c>
      <c r="I286" s="5">
        <v>1</v>
      </c>
      <c r="L286" s="2" t="s">
        <v>481</v>
      </c>
      <c r="M286" s="2">
        <v>1.09714</v>
      </c>
    </row>
    <row r="287" spans="1:13" x14ac:dyDescent="0.2">
      <c r="A287" s="5" t="s">
        <v>465</v>
      </c>
      <c r="B287" s="5" t="s">
        <v>3015</v>
      </c>
      <c r="C287" s="2" t="s">
        <v>3496</v>
      </c>
      <c r="D287" s="5" t="s">
        <v>1836</v>
      </c>
      <c r="E287" s="5" t="s">
        <v>1838</v>
      </c>
      <c r="F287" s="5">
        <v>35.8127</v>
      </c>
      <c r="G287" s="5">
        <v>17.1874</v>
      </c>
      <c r="H287" s="5">
        <v>-1.0591200000000001</v>
      </c>
      <c r="I287" s="5">
        <v>1</v>
      </c>
      <c r="L287" s="2" t="s">
        <v>1281</v>
      </c>
      <c r="M287" s="2">
        <v>-1.62805</v>
      </c>
    </row>
    <row r="288" spans="1:13" x14ac:dyDescent="0.2">
      <c r="A288" s="5" t="s">
        <v>1277</v>
      </c>
      <c r="B288" s="5" t="s">
        <v>3090</v>
      </c>
      <c r="C288" s="2" t="s">
        <v>2483</v>
      </c>
      <c r="D288" s="5" t="s">
        <v>1836</v>
      </c>
      <c r="E288" s="5" t="s">
        <v>1838</v>
      </c>
      <c r="F288" s="5">
        <v>4.5946400000000001</v>
      </c>
      <c r="G288" s="5">
        <v>0.94325400000000004</v>
      </c>
      <c r="H288" s="5">
        <v>-2.28423</v>
      </c>
      <c r="I288" s="5">
        <v>1</v>
      </c>
      <c r="L288" s="2" t="s">
        <v>1282</v>
      </c>
      <c r="M288" s="2">
        <v>-1.40923</v>
      </c>
    </row>
    <row r="289" spans="1:13" x14ac:dyDescent="0.2">
      <c r="A289" s="5" t="s">
        <v>1278</v>
      </c>
      <c r="B289" s="5" t="s">
        <v>3330</v>
      </c>
      <c r="C289" s="2" t="s">
        <v>1880</v>
      </c>
      <c r="D289" s="5" t="s">
        <v>1836</v>
      </c>
      <c r="E289" s="5" t="s">
        <v>1838</v>
      </c>
      <c r="F289" s="5">
        <v>3.4627599999999998</v>
      </c>
      <c r="G289" s="5">
        <v>7.8988100000000001</v>
      </c>
      <c r="H289" s="5">
        <v>1.18971</v>
      </c>
      <c r="I289" s="5">
        <v>1</v>
      </c>
      <c r="L289" s="2" t="s">
        <v>486</v>
      </c>
      <c r="M289" s="2">
        <v>-1.46157</v>
      </c>
    </row>
    <row r="290" spans="1:13" x14ac:dyDescent="0.2">
      <c r="A290" s="5" t="s">
        <v>473</v>
      </c>
      <c r="B290" s="5" t="s">
        <v>3015</v>
      </c>
      <c r="C290" s="2" t="s">
        <v>1847</v>
      </c>
      <c r="D290" s="5" t="s">
        <v>1836</v>
      </c>
      <c r="E290" s="5" t="s">
        <v>1838</v>
      </c>
      <c r="F290" s="5">
        <v>234.28299999999999</v>
      </c>
      <c r="G290" s="5">
        <v>592.55499999999995</v>
      </c>
      <c r="H290" s="5">
        <v>1.3387</v>
      </c>
      <c r="I290" s="5">
        <v>1</v>
      </c>
      <c r="L290" s="2" t="s">
        <v>489</v>
      </c>
      <c r="M290" s="2">
        <v>1.1108100000000001</v>
      </c>
    </row>
    <row r="291" spans="1:13" x14ac:dyDescent="0.2">
      <c r="A291" s="5" t="s">
        <v>474</v>
      </c>
      <c r="B291" s="5" t="s">
        <v>3015</v>
      </c>
      <c r="C291" s="2" t="s">
        <v>1892</v>
      </c>
      <c r="D291" s="5" t="s">
        <v>1836</v>
      </c>
      <c r="E291" s="5" t="s">
        <v>1838</v>
      </c>
      <c r="F291" s="5">
        <v>22.055499999999999</v>
      </c>
      <c r="G291" s="5">
        <v>8.4771099999999997</v>
      </c>
      <c r="H291" s="5">
        <v>-1.3794900000000001</v>
      </c>
      <c r="I291" s="5">
        <v>1</v>
      </c>
      <c r="L291" s="2" t="s">
        <v>495</v>
      </c>
      <c r="M291" s="2">
        <v>-1.0045999999999999</v>
      </c>
    </row>
    <row r="292" spans="1:13" x14ac:dyDescent="0.2">
      <c r="A292" s="5" t="s">
        <v>475</v>
      </c>
      <c r="B292" s="5" t="s">
        <v>3331</v>
      </c>
      <c r="C292" s="2" t="s">
        <v>2484</v>
      </c>
      <c r="D292" s="5" t="s">
        <v>1836</v>
      </c>
      <c r="E292" s="5" t="s">
        <v>1838</v>
      </c>
      <c r="F292" s="5">
        <v>11.9504</v>
      </c>
      <c r="G292" s="5">
        <v>5.7232700000000003</v>
      </c>
      <c r="H292" s="5">
        <v>-1.0621499999999999</v>
      </c>
      <c r="I292" s="5">
        <v>1</v>
      </c>
      <c r="L292" s="2" t="s">
        <v>496</v>
      </c>
      <c r="M292" s="2">
        <v>-1.31612</v>
      </c>
    </row>
    <row r="293" spans="1:13" x14ac:dyDescent="0.2">
      <c r="A293" s="5" t="s">
        <v>476</v>
      </c>
      <c r="B293" s="5" t="s">
        <v>3147</v>
      </c>
      <c r="C293" s="2" t="s">
        <v>2066</v>
      </c>
      <c r="D293" s="5" t="s">
        <v>1836</v>
      </c>
      <c r="E293" s="5" t="s">
        <v>1838</v>
      </c>
      <c r="F293" s="5">
        <v>0.87570499999999996</v>
      </c>
      <c r="G293" s="5">
        <v>4.8879900000000003</v>
      </c>
      <c r="H293" s="5">
        <v>2.4807199999999998</v>
      </c>
      <c r="I293" s="5">
        <v>1</v>
      </c>
      <c r="L293" s="2" t="s">
        <v>498</v>
      </c>
      <c r="M293" s="2">
        <v>-2.8820299999999999</v>
      </c>
    </row>
    <row r="294" spans="1:13" x14ac:dyDescent="0.2">
      <c r="A294" s="5" t="s">
        <v>1279</v>
      </c>
      <c r="B294" s="5" t="s">
        <v>3015</v>
      </c>
      <c r="C294" s="2" t="s">
        <v>1847</v>
      </c>
      <c r="D294" s="5" t="s">
        <v>1836</v>
      </c>
      <c r="E294" s="5" t="s">
        <v>1838</v>
      </c>
      <c r="F294" s="5">
        <v>1.3089599999999999</v>
      </c>
      <c r="G294" s="5">
        <v>3.30504</v>
      </c>
      <c r="H294" s="5">
        <v>1.3362499999999999</v>
      </c>
      <c r="I294" s="5">
        <v>1</v>
      </c>
      <c r="L294" s="2" t="s">
        <v>501</v>
      </c>
      <c r="M294" s="2">
        <v>-1.14981</v>
      </c>
    </row>
    <row r="295" spans="1:13" x14ac:dyDescent="0.2">
      <c r="A295" s="5" t="s">
        <v>480</v>
      </c>
      <c r="B295" s="5" t="s">
        <v>3039</v>
      </c>
      <c r="C295" s="2" t="s">
        <v>2068</v>
      </c>
      <c r="D295" s="5" t="s">
        <v>1836</v>
      </c>
      <c r="E295" s="5" t="s">
        <v>1838</v>
      </c>
      <c r="F295" s="5">
        <v>9.6453000000000007</v>
      </c>
      <c r="G295" s="5">
        <v>4.0371899999999998</v>
      </c>
      <c r="H295" s="5">
        <v>-1.25647</v>
      </c>
      <c r="I295" s="5">
        <v>1</v>
      </c>
      <c r="L295" s="2" t="s">
        <v>1283</v>
      </c>
      <c r="M295" s="2">
        <v>-1.73081</v>
      </c>
    </row>
    <row r="296" spans="1:13" x14ac:dyDescent="0.2">
      <c r="A296" s="5" t="s">
        <v>481</v>
      </c>
      <c r="B296" s="5" t="s">
        <v>3100</v>
      </c>
      <c r="C296" s="2" t="s">
        <v>2206</v>
      </c>
      <c r="D296" s="5" t="s">
        <v>1836</v>
      </c>
      <c r="E296" s="5" t="s">
        <v>1838</v>
      </c>
      <c r="F296" s="5">
        <v>5.45547</v>
      </c>
      <c r="G296" s="5">
        <v>11.6709</v>
      </c>
      <c r="H296" s="5">
        <v>1.09714</v>
      </c>
      <c r="I296" s="5">
        <v>1</v>
      </c>
      <c r="L296" s="2" t="s">
        <v>503</v>
      </c>
      <c r="M296" s="2">
        <v>-1.0045500000000001</v>
      </c>
    </row>
    <row r="297" spans="1:13" x14ac:dyDescent="0.2">
      <c r="A297" s="5" t="s">
        <v>1281</v>
      </c>
      <c r="B297" s="5" t="s">
        <v>3015</v>
      </c>
      <c r="C297" s="2" t="s">
        <v>2485</v>
      </c>
      <c r="D297" s="5" t="s">
        <v>1836</v>
      </c>
      <c r="E297" s="5" t="s">
        <v>1838</v>
      </c>
      <c r="F297" s="5">
        <v>6.0064399999999996</v>
      </c>
      <c r="G297" s="5">
        <v>1.94323</v>
      </c>
      <c r="H297" s="5">
        <v>-1.62805</v>
      </c>
      <c r="I297" s="5">
        <v>1</v>
      </c>
      <c r="L297" s="2" t="s">
        <v>507</v>
      </c>
      <c r="M297" s="2">
        <v>-2.06508</v>
      </c>
    </row>
    <row r="298" spans="1:13" x14ac:dyDescent="0.2">
      <c r="A298" s="5" t="s">
        <v>1282</v>
      </c>
      <c r="B298" s="5" t="s">
        <v>3047</v>
      </c>
      <c r="C298" s="2" t="s">
        <v>1879</v>
      </c>
      <c r="D298" s="5" t="s">
        <v>1836</v>
      </c>
      <c r="E298" s="5" t="s">
        <v>1838</v>
      </c>
      <c r="F298" s="5">
        <v>1.4160999999999999</v>
      </c>
      <c r="G298" s="5">
        <v>0.53317800000000004</v>
      </c>
      <c r="H298" s="5">
        <v>-1.40923</v>
      </c>
      <c r="I298" s="5">
        <v>1</v>
      </c>
      <c r="L298" s="2" t="s">
        <v>510</v>
      </c>
      <c r="M298" s="2">
        <v>-1.2060299999999999</v>
      </c>
    </row>
    <row r="299" spans="1:13" x14ac:dyDescent="0.2">
      <c r="A299" s="5" t="s">
        <v>486</v>
      </c>
      <c r="B299" s="5" t="s">
        <v>3015</v>
      </c>
      <c r="C299" s="2" t="s">
        <v>1847</v>
      </c>
      <c r="D299" s="5" t="s">
        <v>1836</v>
      </c>
      <c r="E299" s="5" t="s">
        <v>1838</v>
      </c>
      <c r="F299" s="5">
        <v>66.097099999999998</v>
      </c>
      <c r="G299" s="5">
        <v>23.999700000000001</v>
      </c>
      <c r="H299" s="5">
        <v>-1.46157</v>
      </c>
      <c r="I299" s="5">
        <v>1</v>
      </c>
      <c r="L299" s="2" t="s">
        <v>512</v>
      </c>
      <c r="M299" s="2">
        <v>-1.00143</v>
      </c>
    </row>
    <row r="300" spans="1:13" x14ac:dyDescent="0.2">
      <c r="A300" s="5" t="s">
        <v>489</v>
      </c>
      <c r="B300" s="5" t="s">
        <v>3015</v>
      </c>
      <c r="C300" s="2" t="s">
        <v>2486</v>
      </c>
      <c r="D300" s="5" t="s">
        <v>1836</v>
      </c>
      <c r="E300" s="5" t="s">
        <v>1838</v>
      </c>
      <c r="F300" s="5">
        <v>2.1898399999999998</v>
      </c>
      <c r="G300" s="5">
        <v>4.7293500000000002</v>
      </c>
      <c r="H300" s="5">
        <v>1.1108100000000001</v>
      </c>
      <c r="I300" s="5">
        <v>1</v>
      </c>
      <c r="L300" s="2" t="s">
        <v>514</v>
      </c>
      <c r="M300" s="2">
        <v>-1.3278799999999999</v>
      </c>
    </row>
    <row r="301" spans="1:13" x14ac:dyDescent="0.2">
      <c r="A301" s="5" t="s">
        <v>495</v>
      </c>
      <c r="B301" s="5" t="s">
        <v>3332</v>
      </c>
      <c r="C301" s="2" t="s">
        <v>2487</v>
      </c>
      <c r="D301" s="5" t="s">
        <v>1836</v>
      </c>
      <c r="E301" s="5" t="s">
        <v>1838</v>
      </c>
      <c r="F301" s="5">
        <v>1.8716900000000001</v>
      </c>
      <c r="G301" s="5">
        <v>0.93287100000000001</v>
      </c>
      <c r="H301" s="5">
        <v>-1.0045999999999999</v>
      </c>
      <c r="I301" s="5">
        <v>1</v>
      </c>
      <c r="L301" s="2" t="s">
        <v>515</v>
      </c>
      <c r="M301" s="2">
        <v>-1.85731</v>
      </c>
    </row>
    <row r="302" spans="1:13" x14ac:dyDescent="0.2">
      <c r="A302" s="5" t="s">
        <v>496</v>
      </c>
      <c r="B302" s="5" t="s">
        <v>3015</v>
      </c>
      <c r="C302" s="2" t="s">
        <v>1847</v>
      </c>
      <c r="D302" s="5" t="s">
        <v>1836</v>
      </c>
      <c r="E302" s="5" t="s">
        <v>1838</v>
      </c>
      <c r="F302" s="5">
        <v>2.05965</v>
      </c>
      <c r="G302" s="5">
        <v>0.82718499999999995</v>
      </c>
      <c r="H302" s="5">
        <v>-1.31612</v>
      </c>
      <c r="I302" s="5">
        <v>1</v>
      </c>
      <c r="L302" s="2" t="s">
        <v>518</v>
      </c>
      <c r="M302" s="2">
        <v>-2.14601</v>
      </c>
    </row>
    <row r="303" spans="1:13" x14ac:dyDescent="0.2">
      <c r="A303" s="5" t="s">
        <v>498</v>
      </c>
      <c r="B303" s="5" t="s">
        <v>3015</v>
      </c>
      <c r="C303" s="2" t="s">
        <v>2078</v>
      </c>
      <c r="D303" s="5" t="s">
        <v>1836</v>
      </c>
      <c r="E303" s="5" t="s">
        <v>1838</v>
      </c>
      <c r="F303" s="5">
        <v>35.1813</v>
      </c>
      <c r="G303" s="5">
        <v>4.7723899999999997</v>
      </c>
      <c r="H303" s="5">
        <v>-2.8820299999999999</v>
      </c>
      <c r="I303" s="5">
        <v>1</v>
      </c>
      <c r="L303" s="2" t="s">
        <v>1284</v>
      </c>
      <c r="M303" s="2">
        <v>1.5595699999999999</v>
      </c>
    </row>
    <row r="304" spans="1:13" x14ac:dyDescent="0.2">
      <c r="A304" s="5" t="s">
        <v>501</v>
      </c>
      <c r="B304" s="5" t="s">
        <v>3015</v>
      </c>
      <c r="C304" s="2" t="s">
        <v>2488</v>
      </c>
      <c r="D304" s="5" t="s">
        <v>1836</v>
      </c>
      <c r="E304" s="5" t="s">
        <v>1838</v>
      </c>
      <c r="F304" s="5">
        <v>36.762300000000003</v>
      </c>
      <c r="G304" s="5">
        <v>16.568200000000001</v>
      </c>
      <c r="H304" s="5">
        <v>-1.14981</v>
      </c>
      <c r="I304" s="5">
        <v>1</v>
      </c>
      <c r="L304" s="2" t="s">
        <v>1285</v>
      </c>
      <c r="M304" s="2">
        <v>-1.14083</v>
      </c>
    </row>
    <row r="305" spans="1:13" x14ac:dyDescent="0.2">
      <c r="A305" s="5" t="s">
        <v>1283</v>
      </c>
      <c r="B305" s="5" t="s">
        <v>3081</v>
      </c>
      <c r="C305" s="2" t="s">
        <v>2489</v>
      </c>
      <c r="D305" s="5" t="s">
        <v>1836</v>
      </c>
      <c r="E305" s="5" t="s">
        <v>1838</v>
      </c>
      <c r="F305" s="5">
        <v>1.00528</v>
      </c>
      <c r="G305" s="5">
        <v>0.302873</v>
      </c>
      <c r="H305" s="5">
        <v>-1.73081</v>
      </c>
      <c r="I305" s="5">
        <v>1</v>
      </c>
      <c r="L305" s="2" t="s">
        <v>523</v>
      </c>
      <c r="M305" s="2">
        <v>-1.2302500000000001</v>
      </c>
    </row>
    <row r="306" spans="1:13" x14ac:dyDescent="0.2">
      <c r="A306" s="5" t="s">
        <v>503</v>
      </c>
      <c r="B306" s="5" t="s">
        <v>3015</v>
      </c>
      <c r="C306" s="2" t="s">
        <v>2490</v>
      </c>
      <c r="D306" s="5" t="s">
        <v>1836</v>
      </c>
      <c r="E306" s="5" t="s">
        <v>1838</v>
      </c>
      <c r="F306" s="5">
        <v>3.7860800000000001</v>
      </c>
      <c r="G306" s="5">
        <v>1.8870800000000001</v>
      </c>
      <c r="H306" s="5">
        <v>-1.0045500000000001</v>
      </c>
      <c r="I306" s="5">
        <v>1</v>
      </c>
      <c r="L306" s="2" t="s">
        <v>1286</v>
      </c>
      <c r="M306" s="2">
        <v>-1.4090199999999999</v>
      </c>
    </row>
    <row r="307" spans="1:13" x14ac:dyDescent="0.2">
      <c r="A307" s="5" t="s">
        <v>507</v>
      </c>
      <c r="B307" s="5" t="s">
        <v>3015</v>
      </c>
      <c r="C307" s="2" t="s">
        <v>2082</v>
      </c>
      <c r="D307" s="5" t="s">
        <v>1836</v>
      </c>
      <c r="E307" s="5" t="s">
        <v>1838</v>
      </c>
      <c r="F307" s="5">
        <v>2.4866899999999998</v>
      </c>
      <c r="G307" s="5">
        <v>0.59425399999999995</v>
      </c>
      <c r="H307" s="5">
        <v>-2.06508</v>
      </c>
      <c r="I307" s="5">
        <v>1</v>
      </c>
      <c r="L307" s="2" t="s">
        <v>1287</v>
      </c>
      <c r="M307" s="2">
        <v>-1.2070000000000001</v>
      </c>
    </row>
    <row r="308" spans="1:13" x14ac:dyDescent="0.2">
      <c r="A308" s="5" t="s">
        <v>510</v>
      </c>
      <c r="B308" s="5" t="s">
        <v>3333</v>
      </c>
      <c r="C308" s="2" t="s">
        <v>2294</v>
      </c>
      <c r="D308" s="5" t="s">
        <v>1836</v>
      </c>
      <c r="E308" s="5" t="s">
        <v>1838</v>
      </c>
      <c r="F308" s="5">
        <v>24.054600000000001</v>
      </c>
      <c r="G308" s="5">
        <v>10.4267</v>
      </c>
      <c r="H308" s="5">
        <v>-1.2060299999999999</v>
      </c>
      <c r="I308" s="5">
        <v>1</v>
      </c>
      <c r="L308" s="2" t="s">
        <v>524</v>
      </c>
      <c r="M308" s="2">
        <v>-1.1720999999999999</v>
      </c>
    </row>
    <row r="309" spans="1:13" x14ac:dyDescent="0.2">
      <c r="A309" s="5" t="s">
        <v>512</v>
      </c>
      <c r="B309" s="5" t="s">
        <v>3045</v>
      </c>
      <c r="C309" s="2" t="s">
        <v>2085</v>
      </c>
      <c r="D309" s="5" t="s">
        <v>1836</v>
      </c>
      <c r="E309" s="5" t="s">
        <v>1838</v>
      </c>
      <c r="F309" s="5">
        <v>0.82557199999999997</v>
      </c>
      <c r="G309" s="5">
        <v>0.41237800000000002</v>
      </c>
      <c r="H309" s="5">
        <v>-1.00143</v>
      </c>
      <c r="I309" s="5">
        <v>1</v>
      </c>
      <c r="L309" s="2" t="s">
        <v>525</v>
      </c>
      <c r="M309" s="2">
        <v>-1.12036</v>
      </c>
    </row>
    <row r="310" spans="1:13" x14ac:dyDescent="0.2">
      <c r="A310" s="5" t="s">
        <v>514</v>
      </c>
      <c r="B310" s="5" t="s">
        <v>3045</v>
      </c>
      <c r="C310" s="2" t="s">
        <v>2491</v>
      </c>
      <c r="D310" s="5" t="s">
        <v>1836</v>
      </c>
      <c r="E310" s="5" t="s">
        <v>1838</v>
      </c>
      <c r="F310" s="5">
        <v>19.6432</v>
      </c>
      <c r="G310" s="5">
        <v>7.8249399999999998</v>
      </c>
      <c r="H310" s="5">
        <v>-1.3278799999999999</v>
      </c>
      <c r="I310" s="5">
        <v>1</v>
      </c>
      <c r="L310" s="2" t="s">
        <v>1288</v>
      </c>
      <c r="M310" s="2">
        <v>1.2214100000000001</v>
      </c>
    </row>
    <row r="311" spans="1:13" x14ac:dyDescent="0.2">
      <c r="A311" s="5" t="s">
        <v>515</v>
      </c>
      <c r="B311" s="5" t="s">
        <v>3045</v>
      </c>
      <c r="C311" s="2" t="s">
        <v>2492</v>
      </c>
      <c r="D311" s="5" t="s">
        <v>1836</v>
      </c>
      <c r="E311" s="5" t="s">
        <v>1838</v>
      </c>
      <c r="F311" s="5">
        <v>26.796600000000002</v>
      </c>
      <c r="G311" s="5">
        <v>7.3955900000000003</v>
      </c>
      <c r="H311" s="5">
        <v>-1.85731</v>
      </c>
      <c r="I311" s="5">
        <v>1</v>
      </c>
      <c r="L311" s="2" t="s">
        <v>1289</v>
      </c>
      <c r="M311" s="2">
        <v>-1.0047299999999999</v>
      </c>
    </row>
    <row r="312" spans="1:13" x14ac:dyDescent="0.2">
      <c r="A312" s="5" t="s">
        <v>518</v>
      </c>
      <c r="B312" s="5" t="s">
        <v>3015</v>
      </c>
      <c r="C312" s="2" t="s">
        <v>2087</v>
      </c>
      <c r="D312" s="5" t="s">
        <v>1836</v>
      </c>
      <c r="E312" s="5" t="s">
        <v>1838</v>
      </c>
      <c r="F312" s="5">
        <v>6.4826899999999998</v>
      </c>
      <c r="G312" s="5">
        <v>1.4646699999999999</v>
      </c>
      <c r="H312" s="5">
        <v>-2.14601</v>
      </c>
      <c r="I312" s="5">
        <v>1</v>
      </c>
      <c r="L312" s="2" t="s">
        <v>530</v>
      </c>
      <c r="M312" s="2">
        <v>-1.20183</v>
      </c>
    </row>
    <row r="313" spans="1:13" x14ac:dyDescent="0.2">
      <c r="A313" s="5" t="s">
        <v>1284</v>
      </c>
      <c r="B313" s="5" t="s">
        <v>3103</v>
      </c>
      <c r="C313" s="2" t="s">
        <v>2400</v>
      </c>
      <c r="D313" s="5" t="s">
        <v>1836</v>
      </c>
      <c r="E313" s="5" t="s">
        <v>1838</v>
      </c>
      <c r="F313" s="5">
        <v>0.76064500000000002</v>
      </c>
      <c r="G313" s="5">
        <v>2.2421199999999999</v>
      </c>
      <c r="H313" s="5">
        <v>1.5595699999999999</v>
      </c>
      <c r="I313" s="5">
        <v>1</v>
      </c>
      <c r="L313" s="2" t="s">
        <v>1290</v>
      </c>
      <c r="M313" s="2">
        <v>-1.9388700000000001</v>
      </c>
    </row>
    <row r="314" spans="1:13" x14ac:dyDescent="0.2">
      <c r="A314" s="5" t="s">
        <v>1285</v>
      </c>
      <c r="B314" s="5" t="s">
        <v>3015</v>
      </c>
      <c r="C314" s="2" t="s">
        <v>2493</v>
      </c>
      <c r="D314" s="5" t="s">
        <v>1836</v>
      </c>
      <c r="E314" s="5" t="s">
        <v>1838</v>
      </c>
      <c r="F314" s="5">
        <v>8.3954699999999995</v>
      </c>
      <c r="G314" s="5">
        <v>3.8073399999999999</v>
      </c>
      <c r="H314" s="5">
        <v>-1.14083</v>
      </c>
      <c r="I314" s="5">
        <v>1</v>
      </c>
      <c r="L314" s="2" t="s">
        <v>532</v>
      </c>
      <c r="M314" s="2">
        <v>-1.06189</v>
      </c>
    </row>
    <row r="315" spans="1:13" x14ac:dyDescent="0.2">
      <c r="A315" s="5" t="s">
        <v>523</v>
      </c>
      <c r="B315" s="5" t="s">
        <v>3154</v>
      </c>
      <c r="C315" s="2" t="s">
        <v>2091</v>
      </c>
      <c r="D315" s="5" t="s">
        <v>1836</v>
      </c>
      <c r="E315" s="5" t="s">
        <v>1838</v>
      </c>
      <c r="F315" s="5">
        <v>14.6564</v>
      </c>
      <c r="G315" s="5">
        <v>6.2471800000000002</v>
      </c>
      <c r="H315" s="5">
        <v>-1.2302500000000001</v>
      </c>
      <c r="I315" s="5">
        <v>1</v>
      </c>
      <c r="L315" s="2" t="s">
        <v>1291</v>
      </c>
      <c r="M315" s="2">
        <v>-1.0956699999999999</v>
      </c>
    </row>
    <row r="316" spans="1:13" x14ac:dyDescent="0.2">
      <c r="A316" s="5" t="s">
        <v>1286</v>
      </c>
      <c r="B316" s="5" t="s">
        <v>3334</v>
      </c>
      <c r="C316" s="2" t="s">
        <v>2494</v>
      </c>
      <c r="D316" s="5" t="s">
        <v>1836</v>
      </c>
      <c r="E316" s="5" t="s">
        <v>1838</v>
      </c>
      <c r="F316" s="5">
        <v>1.95628</v>
      </c>
      <c r="G316" s="5">
        <v>0.73667300000000002</v>
      </c>
      <c r="H316" s="5">
        <v>-1.4090199999999999</v>
      </c>
      <c r="I316" s="5">
        <v>1</v>
      </c>
      <c r="L316" s="2" t="s">
        <v>1292</v>
      </c>
      <c r="M316" s="2">
        <v>-2.3813599999999999</v>
      </c>
    </row>
    <row r="317" spans="1:13" x14ac:dyDescent="0.2">
      <c r="A317" s="5" t="s">
        <v>1287</v>
      </c>
      <c r="B317" s="5" t="s">
        <v>3053</v>
      </c>
      <c r="C317" s="2" t="s">
        <v>2495</v>
      </c>
      <c r="D317" s="5" t="s">
        <v>1836</v>
      </c>
      <c r="E317" s="5" t="s">
        <v>1838</v>
      </c>
      <c r="F317" s="5">
        <v>7.9058900000000003</v>
      </c>
      <c r="G317" s="5">
        <v>3.4245800000000002</v>
      </c>
      <c r="H317" s="5">
        <v>-1.2070000000000001</v>
      </c>
      <c r="I317" s="5">
        <v>1</v>
      </c>
      <c r="L317" s="2" t="s">
        <v>1293</v>
      </c>
      <c r="M317" s="2">
        <v>-2.2819799999999999</v>
      </c>
    </row>
    <row r="318" spans="1:13" x14ac:dyDescent="0.2">
      <c r="A318" s="5" t="s">
        <v>524</v>
      </c>
      <c r="B318" s="5" t="s">
        <v>3015</v>
      </c>
      <c r="C318" s="2" t="s">
        <v>3496</v>
      </c>
      <c r="D318" s="5" t="s">
        <v>1836</v>
      </c>
      <c r="E318" s="5" t="s">
        <v>1838</v>
      </c>
      <c r="F318" s="5">
        <v>114.264</v>
      </c>
      <c r="G318" s="5">
        <v>50.707500000000003</v>
      </c>
      <c r="H318" s="5">
        <v>-1.1720999999999999</v>
      </c>
      <c r="I318" s="5">
        <v>1</v>
      </c>
      <c r="L318" s="2" t="s">
        <v>1294</v>
      </c>
      <c r="M318" s="2">
        <v>-2.1938300000000002</v>
      </c>
    </row>
    <row r="319" spans="1:13" x14ac:dyDescent="0.2">
      <c r="A319" s="5" t="s">
        <v>525</v>
      </c>
      <c r="B319" s="5" t="s">
        <v>3015</v>
      </c>
      <c r="C319" s="2" t="s">
        <v>3496</v>
      </c>
      <c r="D319" s="5" t="s">
        <v>1836</v>
      </c>
      <c r="E319" s="5" t="s">
        <v>1838</v>
      </c>
      <c r="F319" s="5">
        <v>18.343399999999999</v>
      </c>
      <c r="G319" s="5">
        <v>8.4375999999999998</v>
      </c>
      <c r="H319" s="5">
        <v>-1.12036</v>
      </c>
      <c r="I319" s="5">
        <v>1</v>
      </c>
      <c r="L319" s="2" t="s">
        <v>543</v>
      </c>
      <c r="M319" s="2">
        <v>-1.0052099999999999</v>
      </c>
    </row>
    <row r="320" spans="1:13" x14ac:dyDescent="0.2">
      <c r="A320" s="5" t="s">
        <v>1288</v>
      </c>
      <c r="B320" s="5" t="s">
        <v>3015</v>
      </c>
      <c r="C320" s="2" t="s">
        <v>2496</v>
      </c>
      <c r="D320" s="5" t="s">
        <v>1836</v>
      </c>
      <c r="E320" s="5" t="s">
        <v>1838</v>
      </c>
      <c r="F320" s="5">
        <v>17.877300000000002</v>
      </c>
      <c r="G320" s="5">
        <v>41.685499999999998</v>
      </c>
      <c r="H320" s="5">
        <v>1.2214100000000001</v>
      </c>
      <c r="I320" s="5">
        <v>1</v>
      </c>
      <c r="L320" s="2" t="s">
        <v>1295</v>
      </c>
      <c r="M320" s="2">
        <v>-1.45156</v>
      </c>
    </row>
    <row r="321" spans="1:13" x14ac:dyDescent="0.2">
      <c r="A321" s="5" t="s">
        <v>1289</v>
      </c>
      <c r="B321" s="5" t="s">
        <v>3335</v>
      </c>
      <c r="C321" s="2" t="s">
        <v>2167</v>
      </c>
      <c r="D321" s="5" t="s">
        <v>1836</v>
      </c>
      <c r="E321" s="5" t="s">
        <v>1838</v>
      </c>
      <c r="F321" s="5">
        <v>2.60806</v>
      </c>
      <c r="G321" s="5">
        <v>1.29976</v>
      </c>
      <c r="H321" s="5">
        <v>-1.0047299999999999</v>
      </c>
      <c r="I321" s="5">
        <v>1</v>
      </c>
      <c r="L321" s="2" t="s">
        <v>1296</v>
      </c>
      <c r="M321" s="2">
        <v>-1.8916999999999999</v>
      </c>
    </row>
    <row r="322" spans="1:13" x14ac:dyDescent="0.2">
      <c r="A322" s="5" t="s">
        <v>530</v>
      </c>
      <c r="B322" s="5" t="s">
        <v>3027</v>
      </c>
      <c r="C322" s="2" t="s">
        <v>2497</v>
      </c>
      <c r="D322" s="5" t="s">
        <v>1836</v>
      </c>
      <c r="E322" s="5" t="s">
        <v>1838</v>
      </c>
      <c r="F322" s="5">
        <v>5.6767500000000002</v>
      </c>
      <c r="G322" s="5">
        <v>2.4678200000000001</v>
      </c>
      <c r="H322" s="5">
        <v>-1.20183</v>
      </c>
      <c r="I322" s="5">
        <v>1</v>
      </c>
      <c r="L322" s="2" t="s">
        <v>1297</v>
      </c>
      <c r="M322" s="2">
        <v>-1.1118399999999999</v>
      </c>
    </row>
    <row r="323" spans="1:13" x14ac:dyDescent="0.2">
      <c r="A323" s="5" t="s">
        <v>1290</v>
      </c>
      <c r="B323" s="5" t="s">
        <v>3336</v>
      </c>
      <c r="C323" s="2" t="s">
        <v>2498</v>
      </c>
      <c r="D323" s="5" t="s">
        <v>1836</v>
      </c>
      <c r="E323" s="5" t="s">
        <v>1838</v>
      </c>
      <c r="F323" s="5">
        <v>472.62900000000002</v>
      </c>
      <c r="G323" s="5">
        <v>123.27200000000001</v>
      </c>
      <c r="H323" s="5">
        <v>-1.9388700000000001</v>
      </c>
      <c r="I323" s="5">
        <v>1</v>
      </c>
      <c r="L323" s="2" t="s">
        <v>549</v>
      </c>
      <c r="M323" s="2">
        <v>1.89381</v>
      </c>
    </row>
    <row r="324" spans="1:13" x14ac:dyDescent="0.2">
      <c r="A324" s="5" t="s">
        <v>532</v>
      </c>
      <c r="B324" s="5" t="s">
        <v>3043</v>
      </c>
      <c r="C324" s="2" t="s">
        <v>2095</v>
      </c>
      <c r="D324" s="5" t="s">
        <v>1836</v>
      </c>
      <c r="E324" s="5" t="s">
        <v>1838</v>
      </c>
      <c r="F324" s="5">
        <v>21.0182</v>
      </c>
      <c r="G324" s="5">
        <v>10.0678</v>
      </c>
      <c r="H324" s="5">
        <v>-1.06189</v>
      </c>
      <c r="I324" s="5">
        <v>1</v>
      </c>
      <c r="L324" s="2" t="s">
        <v>550</v>
      </c>
      <c r="M324" s="2">
        <v>-1.05325</v>
      </c>
    </row>
    <row r="325" spans="1:13" x14ac:dyDescent="0.2">
      <c r="A325" s="5" t="s">
        <v>1291</v>
      </c>
      <c r="B325" s="5" t="s">
        <v>3015</v>
      </c>
      <c r="C325" s="2" t="s">
        <v>2499</v>
      </c>
      <c r="D325" s="5" t="s">
        <v>1836</v>
      </c>
      <c r="E325" s="5" t="s">
        <v>1838</v>
      </c>
      <c r="F325" s="5">
        <v>66.064599999999999</v>
      </c>
      <c r="G325" s="5">
        <v>30.912800000000001</v>
      </c>
      <c r="H325" s="5">
        <v>-1.0956699999999999</v>
      </c>
      <c r="I325" s="5">
        <v>1</v>
      </c>
      <c r="L325" s="2" t="s">
        <v>551</v>
      </c>
      <c r="M325" s="2">
        <v>1.2705</v>
      </c>
    </row>
    <row r="326" spans="1:13" x14ac:dyDescent="0.2">
      <c r="A326" s="5" t="s">
        <v>1292</v>
      </c>
      <c r="B326" s="5" t="s">
        <v>3087</v>
      </c>
      <c r="C326" s="2" t="s">
        <v>2500</v>
      </c>
      <c r="D326" s="5" t="s">
        <v>1836</v>
      </c>
      <c r="E326" s="5" t="s">
        <v>1838</v>
      </c>
      <c r="F326" s="5">
        <v>0.82005799999999995</v>
      </c>
      <c r="G326" s="5">
        <v>0.15739300000000001</v>
      </c>
      <c r="H326" s="5">
        <v>-2.3813599999999999</v>
      </c>
      <c r="I326" s="5">
        <v>1</v>
      </c>
      <c r="L326" s="2" t="s">
        <v>556</v>
      </c>
      <c r="M326" s="2">
        <v>2.1406499999999999</v>
      </c>
    </row>
    <row r="327" spans="1:13" x14ac:dyDescent="0.2">
      <c r="A327" s="5" t="s">
        <v>1293</v>
      </c>
      <c r="B327" s="5" t="s">
        <v>3087</v>
      </c>
      <c r="C327" s="2" t="s">
        <v>2501</v>
      </c>
      <c r="D327" s="5" t="s">
        <v>1836</v>
      </c>
      <c r="E327" s="5" t="s">
        <v>1838</v>
      </c>
      <c r="F327" s="5">
        <v>1.03203</v>
      </c>
      <c r="G327" s="5">
        <v>0.212202</v>
      </c>
      <c r="H327" s="5">
        <v>-2.2819799999999999</v>
      </c>
      <c r="I327" s="5">
        <v>1</v>
      </c>
      <c r="L327" s="2" t="s">
        <v>557</v>
      </c>
      <c r="M327" s="2">
        <v>-1.0685899999999999</v>
      </c>
    </row>
    <row r="328" spans="1:13" x14ac:dyDescent="0.2">
      <c r="A328" s="5" t="s">
        <v>1294</v>
      </c>
      <c r="B328" s="5" t="s">
        <v>3087</v>
      </c>
      <c r="C328" s="2" t="s">
        <v>2500</v>
      </c>
      <c r="D328" s="5" t="s">
        <v>1836</v>
      </c>
      <c r="E328" s="5" t="s">
        <v>1838</v>
      </c>
      <c r="F328" s="5">
        <v>1.50597</v>
      </c>
      <c r="G328" s="5">
        <v>0.32916200000000001</v>
      </c>
      <c r="H328" s="5">
        <v>-2.1938300000000002</v>
      </c>
      <c r="I328" s="5">
        <v>1</v>
      </c>
      <c r="L328" s="2" t="s">
        <v>558</v>
      </c>
      <c r="M328" s="2">
        <v>-1.19171</v>
      </c>
    </row>
    <row r="329" spans="1:13" x14ac:dyDescent="0.2">
      <c r="A329" s="5" t="s">
        <v>543</v>
      </c>
      <c r="B329" s="5" t="s">
        <v>3337</v>
      </c>
      <c r="C329" s="2" t="s">
        <v>3496</v>
      </c>
      <c r="D329" s="5" t="s">
        <v>1836</v>
      </c>
      <c r="E329" s="5" t="s">
        <v>1838</v>
      </c>
      <c r="F329" s="5">
        <v>5.48848</v>
      </c>
      <c r="G329" s="5">
        <v>2.7343500000000001</v>
      </c>
      <c r="H329" s="5">
        <v>-1.0052099999999999</v>
      </c>
      <c r="I329" s="5">
        <v>1</v>
      </c>
      <c r="L329" s="2" t="s">
        <v>564</v>
      </c>
      <c r="M329" s="2">
        <v>-1.95729</v>
      </c>
    </row>
    <row r="330" spans="1:13" x14ac:dyDescent="0.2">
      <c r="A330" s="5" t="s">
        <v>1295</v>
      </c>
      <c r="B330" s="5" t="s">
        <v>3015</v>
      </c>
      <c r="C330" s="2" t="s">
        <v>2502</v>
      </c>
      <c r="D330" s="5" t="s">
        <v>1836</v>
      </c>
      <c r="E330" s="5" t="s">
        <v>1838</v>
      </c>
      <c r="F330" s="5">
        <v>1.1675800000000001</v>
      </c>
      <c r="G330" s="5">
        <v>0.42689700000000003</v>
      </c>
      <c r="H330" s="5">
        <v>-1.45156</v>
      </c>
      <c r="I330" s="5">
        <v>1</v>
      </c>
      <c r="L330" s="2" t="s">
        <v>565</v>
      </c>
      <c r="M330" s="2">
        <v>-1.736</v>
      </c>
    </row>
    <row r="331" spans="1:13" x14ac:dyDescent="0.2">
      <c r="A331" s="5" t="s">
        <v>1296</v>
      </c>
      <c r="B331" s="5" t="s">
        <v>3015</v>
      </c>
      <c r="C331" s="2" t="s">
        <v>3496</v>
      </c>
      <c r="D331" s="5" t="s">
        <v>1836</v>
      </c>
      <c r="E331" s="5" t="s">
        <v>1838</v>
      </c>
      <c r="F331" s="5">
        <v>3.1221700000000001</v>
      </c>
      <c r="G331" s="5">
        <v>0.84138999999999997</v>
      </c>
      <c r="H331" s="5">
        <v>-1.8916999999999999</v>
      </c>
      <c r="I331" s="5">
        <v>1</v>
      </c>
      <c r="L331" s="2" t="s">
        <v>575</v>
      </c>
      <c r="M331" s="2">
        <v>-1.0950800000000001</v>
      </c>
    </row>
    <row r="332" spans="1:13" x14ac:dyDescent="0.2">
      <c r="A332" s="5" t="s">
        <v>1297</v>
      </c>
      <c r="B332" s="5" t="s">
        <v>3015</v>
      </c>
      <c r="C332" s="2" t="s">
        <v>3496</v>
      </c>
      <c r="D332" s="5" t="s">
        <v>1836</v>
      </c>
      <c r="E332" s="5" t="s">
        <v>1838</v>
      </c>
      <c r="F332" s="5">
        <v>1.0734600000000001</v>
      </c>
      <c r="G332" s="5">
        <v>0.49669799999999997</v>
      </c>
      <c r="H332" s="5">
        <v>-1.1118399999999999</v>
      </c>
      <c r="I332" s="5">
        <v>1</v>
      </c>
      <c r="L332" s="2" t="s">
        <v>1303</v>
      </c>
      <c r="M332" s="2">
        <v>-1.86022</v>
      </c>
    </row>
    <row r="333" spans="1:13" x14ac:dyDescent="0.2">
      <c r="A333" s="5" t="s">
        <v>549</v>
      </c>
      <c r="B333" s="5" t="s">
        <v>3053</v>
      </c>
      <c r="C333" s="2" t="s">
        <v>2103</v>
      </c>
      <c r="D333" s="5" t="s">
        <v>1836</v>
      </c>
      <c r="E333" s="5" t="s">
        <v>1838</v>
      </c>
      <c r="F333" s="5">
        <v>1.39297</v>
      </c>
      <c r="G333" s="5">
        <v>5.1764799999999997</v>
      </c>
      <c r="H333" s="5">
        <v>1.89381</v>
      </c>
      <c r="I333" s="5">
        <v>1</v>
      </c>
      <c r="L333" s="2" t="s">
        <v>578</v>
      </c>
      <c r="M333" s="2">
        <v>-1.09091</v>
      </c>
    </row>
    <row r="334" spans="1:13" x14ac:dyDescent="0.2">
      <c r="A334" s="5" t="s">
        <v>550</v>
      </c>
      <c r="B334" s="5" t="s">
        <v>3015</v>
      </c>
      <c r="C334" s="2" t="s">
        <v>2104</v>
      </c>
      <c r="D334" s="5" t="s">
        <v>1836</v>
      </c>
      <c r="E334" s="5" t="s">
        <v>1838</v>
      </c>
      <c r="F334" s="5">
        <v>2.0029499999999998</v>
      </c>
      <c r="G334" s="5">
        <v>0.96518300000000001</v>
      </c>
      <c r="H334" s="5">
        <v>-1.05325</v>
      </c>
      <c r="I334" s="5">
        <v>1</v>
      </c>
      <c r="L334" s="2" t="s">
        <v>579</v>
      </c>
      <c r="M334" s="2">
        <v>-3.01227</v>
      </c>
    </row>
    <row r="335" spans="1:13" x14ac:dyDescent="0.2">
      <c r="A335" s="5" t="s">
        <v>551</v>
      </c>
      <c r="B335" s="5" t="s">
        <v>3338</v>
      </c>
      <c r="C335" s="2" t="s">
        <v>2503</v>
      </c>
      <c r="D335" s="5" t="s">
        <v>1836</v>
      </c>
      <c r="E335" s="5" t="s">
        <v>1838</v>
      </c>
      <c r="F335" s="5">
        <v>1.58613</v>
      </c>
      <c r="G335" s="5">
        <v>3.82646</v>
      </c>
      <c r="H335" s="5">
        <v>1.2705</v>
      </c>
      <c r="I335" s="5">
        <v>1</v>
      </c>
      <c r="L335" s="2" t="s">
        <v>581</v>
      </c>
      <c r="M335" s="2">
        <v>-1.62096</v>
      </c>
    </row>
    <row r="336" spans="1:13" x14ac:dyDescent="0.2">
      <c r="A336" s="5" t="s">
        <v>556</v>
      </c>
      <c r="B336" s="5" t="s">
        <v>3158</v>
      </c>
      <c r="C336" s="2" t="s">
        <v>1858</v>
      </c>
      <c r="D336" s="5" t="s">
        <v>1836</v>
      </c>
      <c r="E336" s="5" t="s">
        <v>1838</v>
      </c>
      <c r="F336" s="5">
        <v>0.26356299999999999</v>
      </c>
      <c r="G336" s="5">
        <v>1.16221</v>
      </c>
      <c r="H336" s="5">
        <v>2.1406499999999999</v>
      </c>
      <c r="I336" s="5">
        <v>1</v>
      </c>
      <c r="L336" s="2" t="s">
        <v>582</v>
      </c>
      <c r="M336" s="2">
        <v>-1.3459399999999999</v>
      </c>
    </row>
    <row r="337" spans="1:13" x14ac:dyDescent="0.2">
      <c r="A337" s="5" t="s">
        <v>557</v>
      </c>
      <c r="B337" s="5" t="s">
        <v>3015</v>
      </c>
      <c r="C337" s="2" t="s">
        <v>2504</v>
      </c>
      <c r="D337" s="5" t="s">
        <v>1836</v>
      </c>
      <c r="E337" s="5" t="s">
        <v>1838</v>
      </c>
      <c r="F337" s="5">
        <v>5.13192</v>
      </c>
      <c r="G337" s="5">
        <v>2.4468200000000002</v>
      </c>
      <c r="H337" s="5">
        <v>-1.0685899999999999</v>
      </c>
      <c r="I337" s="5">
        <v>1</v>
      </c>
      <c r="L337" s="2" t="s">
        <v>1304</v>
      </c>
      <c r="M337" s="2">
        <v>-1.1148100000000001</v>
      </c>
    </row>
    <row r="338" spans="1:13" x14ac:dyDescent="0.2">
      <c r="A338" s="5" t="s">
        <v>558</v>
      </c>
      <c r="B338" s="5" t="s">
        <v>3339</v>
      </c>
      <c r="C338" s="2" t="s">
        <v>2505</v>
      </c>
      <c r="D338" s="5" t="s">
        <v>1836</v>
      </c>
      <c r="E338" s="5" t="s">
        <v>1838</v>
      </c>
      <c r="F338" s="5">
        <v>1.7053499999999999</v>
      </c>
      <c r="G338" s="5">
        <v>0.74657300000000004</v>
      </c>
      <c r="H338" s="5">
        <v>-1.19171</v>
      </c>
      <c r="I338" s="5">
        <v>1</v>
      </c>
      <c r="L338" s="2" t="s">
        <v>1305</v>
      </c>
      <c r="M338" s="2">
        <v>-1.0282</v>
      </c>
    </row>
    <row r="339" spans="1:13" x14ac:dyDescent="0.2">
      <c r="A339" s="5" t="s">
        <v>564</v>
      </c>
      <c r="B339" s="5" t="s">
        <v>3015</v>
      </c>
      <c r="C339" s="2" t="s">
        <v>1880</v>
      </c>
      <c r="D339" s="5" t="s">
        <v>1836</v>
      </c>
      <c r="E339" s="5" t="s">
        <v>1838</v>
      </c>
      <c r="F339" s="5">
        <v>1.20248</v>
      </c>
      <c r="G339" s="5">
        <v>0.30965300000000001</v>
      </c>
      <c r="H339" s="5">
        <v>-1.95729</v>
      </c>
      <c r="I339" s="5">
        <v>1</v>
      </c>
      <c r="L339" s="2" t="s">
        <v>585</v>
      </c>
      <c r="M339" s="2">
        <v>1.48062</v>
      </c>
    </row>
    <row r="340" spans="1:13" x14ac:dyDescent="0.2">
      <c r="A340" s="5" t="s">
        <v>565</v>
      </c>
      <c r="B340" s="5" t="s">
        <v>3161</v>
      </c>
      <c r="C340" s="2" t="s">
        <v>2109</v>
      </c>
      <c r="D340" s="5" t="s">
        <v>1836</v>
      </c>
      <c r="E340" s="5" t="s">
        <v>1838</v>
      </c>
      <c r="F340" s="5">
        <v>1.6105</v>
      </c>
      <c r="G340" s="5">
        <v>0.48347200000000001</v>
      </c>
      <c r="H340" s="5">
        <v>-1.736</v>
      </c>
      <c r="I340" s="5">
        <v>1</v>
      </c>
      <c r="L340" s="2" t="s">
        <v>1307</v>
      </c>
      <c r="M340" s="2">
        <v>-1.8120799999999999</v>
      </c>
    </row>
    <row r="341" spans="1:13" x14ac:dyDescent="0.2">
      <c r="A341" s="5" t="s">
        <v>1302</v>
      </c>
      <c r="B341" s="5" t="s">
        <v>3015</v>
      </c>
      <c r="C341" s="2" t="s">
        <v>2506</v>
      </c>
      <c r="D341" s="5" t="s">
        <v>1836</v>
      </c>
      <c r="E341" s="5" t="s">
        <v>1838</v>
      </c>
      <c r="F341" s="5">
        <v>0</v>
      </c>
      <c r="G341" s="5">
        <v>2.0526200000000001</v>
      </c>
      <c r="H341" s="5" t="s">
        <v>3021</v>
      </c>
      <c r="I341" s="5" t="s">
        <v>3021</v>
      </c>
      <c r="L341" s="2" t="s">
        <v>588</v>
      </c>
      <c r="M341" s="2">
        <v>1.32124</v>
      </c>
    </row>
    <row r="342" spans="1:13" x14ac:dyDescent="0.2">
      <c r="A342" s="5" t="s">
        <v>575</v>
      </c>
      <c r="B342" s="5" t="s">
        <v>3165</v>
      </c>
      <c r="C342" s="2" t="s">
        <v>2113</v>
      </c>
      <c r="D342" s="5" t="s">
        <v>1836</v>
      </c>
      <c r="E342" s="5" t="s">
        <v>1838</v>
      </c>
      <c r="F342" s="5">
        <v>2.7837900000000002</v>
      </c>
      <c r="G342" s="5">
        <v>1.3031200000000001</v>
      </c>
      <c r="H342" s="5">
        <v>-1.0950800000000001</v>
      </c>
      <c r="I342" s="5">
        <v>1</v>
      </c>
      <c r="L342" s="2" t="s">
        <v>1308</v>
      </c>
      <c r="M342" s="2">
        <v>1.5054399999999999</v>
      </c>
    </row>
    <row r="343" spans="1:13" x14ac:dyDescent="0.2">
      <c r="A343" s="5" t="s">
        <v>1303</v>
      </c>
      <c r="B343" s="5" t="s">
        <v>3015</v>
      </c>
      <c r="C343" s="2" t="s">
        <v>2507</v>
      </c>
      <c r="D343" s="5" t="s">
        <v>1836</v>
      </c>
      <c r="E343" s="5" t="s">
        <v>1838</v>
      </c>
      <c r="F343" s="5">
        <v>1.98668</v>
      </c>
      <c r="G343" s="5">
        <v>0.54719899999999999</v>
      </c>
      <c r="H343" s="5">
        <v>-1.86022</v>
      </c>
      <c r="I343" s="5">
        <v>1</v>
      </c>
      <c r="L343" s="2" t="s">
        <v>590</v>
      </c>
      <c r="M343" s="2">
        <v>1.55084</v>
      </c>
    </row>
    <row r="344" spans="1:13" x14ac:dyDescent="0.2">
      <c r="A344" s="5" t="s">
        <v>578</v>
      </c>
      <c r="B344" s="5" t="s">
        <v>3340</v>
      </c>
      <c r="C344" s="2" t="s">
        <v>2508</v>
      </c>
      <c r="D344" s="5" t="s">
        <v>1836</v>
      </c>
      <c r="E344" s="5" t="s">
        <v>1838</v>
      </c>
      <c r="F344" s="5">
        <v>8.9638899999999992</v>
      </c>
      <c r="G344" s="5">
        <v>4.20824</v>
      </c>
      <c r="H344" s="5">
        <v>-1.09091</v>
      </c>
      <c r="I344" s="5">
        <v>1</v>
      </c>
      <c r="L344" s="2" t="s">
        <v>1309</v>
      </c>
      <c r="M344" s="2">
        <v>-1.3098399999999999</v>
      </c>
    </row>
    <row r="345" spans="1:13" x14ac:dyDescent="0.2">
      <c r="A345" s="5" t="s">
        <v>579</v>
      </c>
      <c r="B345" s="5" t="s">
        <v>3341</v>
      </c>
      <c r="C345" s="2" t="s">
        <v>2509</v>
      </c>
      <c r="D345" s="5" t="s">
        <v>1836</v>
      </c>
      <c r="E345" s="5" t="s">
        <v>1838</v>
      </c>
      <c r="F345" s="5">
        <v>94.842500000000001</v>
      </c>
      <c r="G345" s="5">
        <v>11.754899999999999</v>
      </c>
      <c r="H345" s="5">
        <v>-3.01227</v>
      </c>
      <c r="I345" s="5">
        <v>1</v>
      </c>
      <c r="L345" s="2" t="s">
        <v>1311</v>
      </c>
      <c r="M345" s="2">
        <v>-1.80471</v>
      </c>
    </row>
    <row r="346" spans="1:13" x14ac:dyDescent="0.2">
      <c r="A346" s="5" t="s">
        <v>581</v>
      </c>
      <c r="B346" s="5" t="s">
        <v>3167</v>
      </c>
      <c r="C346" s="2" t="s">
        <v>2117</v>
      </c>
      <c r="D346" s="5" t="s">
        <v>1836</v>
      </c>
      <c r="E346" s="5" t="s">
        <v>1838</v>
      </c>
      <c r="F346" s="5">
        <v>70.599400000000003</v>
      </c>
      <c r="G346" s="5">
        <v>22.953199999999999</v>
      </c>
      <c r="H346" s="5">
        <v>-1.62096</v>
      </c>
      <c r="I346" s="5">
        <v>1</v>
      </c>
      <c r="L346" s="2" t="s">
        <v>591</v>
      </c>
      <c r="M346" s="2">
        <v>-1.23234</v>
      </c>
    </row>
    <row r="347" spans="1:13" x14ac:dyDescent="0.2">
      <c r="A347" s="5" t="s">
        <v>582</v>
      </c>
      <c r="B347" s="5" t="s">
        <v>3015</v>
      </c>
      <c r="C347" s="2" t="s">
        <v>3496</v>
      </c>
      <c r="D347" s="5" t="s">
        <v>1836</v>
      </c>
      <c r="E347" s="5" t="s">
        <v>1838</v>
      </c>
      <c r="F347" s="5">
        <v>24.3767</v>
      </c>
      <c r="G347" s="5">
        <v>9.5897699999999997</v>
      </c>
      <c r="H347" s="5">
        <v>-1.3459399999999999</v>
      </c>
      <c r="I347" s="5">
        <v>1</v>
      </c>
      <c r="L347" s="2" t="s">
        <v>1312</v>
      </c>
      <c r="M347" s="2">
        <v>-1.3797600000000001</v>
      </c>
    </row>
    <row r="348" spans="1:13" x14ac:dyDescent="0.2">
      <c r="A348" s="5" t="s">
        <v>1304</v>
      </c>
      <c r="B348" s="5" t="s">
        <v>3086</v>
      </c>
      <c r="C348" s="2" t="s">
        <v>2510</v>
      </c>
      <c r="D348" s="5" t="s">
        <v>1836</v>
      </c>
      <c r="E348" s="5" t="s">
        <v>1838</v>
      </c>
      <c r="F348" s="5">
        <v>7.2991200000000003</v>
      </c>
      <c r="G348" s="5">
        <v>3.37039</v>
      </c>
      <c r="H348" s="5">
        <v>-1.1148100000000001</v>
      </c>
      <c r="I348" s="5">
        <v>1</v>
      </c>
      <c r="L348" s="2" t="s">
        <v>595</v>
      </c>
      <c r="M348" s="2">
        <v>-1.5713200000000001</v>
      </c>
    </row>
    <row r="349" spans="1:13" x14ac:dyDescent="0.2">
      <c r="A349" s="5" t="s">
        <v>1305</v>
      </c>
      <c r="B349" s="5" t="s">
        <v>3342</v>
      </c>
      <c r="C349" s="2" t="s">
        <v>2511</v>
      </c>
      <c r="D349" s="5" t="s">
        <v>1836</v>
      </c>
      <c r="E349" s="5" t="s">
        <v>1838</v>
      </c>
      <c r="F349" s="5">
        <v>20.513999999999999</v>
      </c>
      <c r="G349" s="5">
        <v>10.058400000000001</v>
      </c>
      <c r="H349" s="5">
        <v>-1.0282</v>
      </c>
      <c r="I349" s="5">
        <v>1</v>
      </c>
      <c r="L349" s="2" t="s">
        <v>597</v>
      </c>
      <c r="M349" s="2">
        <v>-2.1677</v>
      </c>
    </row>
    <row r="350" spans="1:13" x14ac:dyDescent="0.2">
      <c r="A350" s="5" t="s">
        <v>585</v>
      </c>
      <c r="B350" s="5" t="s">
        <v>3343</v>
      </c>
      <c r="C350" s="2" t="s">
        <v>1943</v>
      </c>
      <c r="D350" s="5" t="s">
        <v>1836</v>
      </c>
      <c r="E350" s="5" t="s">
        <v>1838</v>
      </c>
      <c r="F350" s="5">
        <v>5.5301799999999997</v>
      </c>
      <c r="G350" s="5">
        <v>15.433</v>
      </c>
      <c r="H350" s="5">
        <v>1.48062</v>
      </c>
      <c r="I350" s="5">
        <v>1</v>
      </c>
      <c r="L350" s="2" t="s">
        <v>598</v>
      </c>
      <c r="M350" s="2">
        <v>-1.1125</v>
      </c>
    </row>
    <row r="351" spans="1:13" x14ac:dyDescent="0.2">
      <c r="A351" s="5" t="s">
        <v>1307</v>
      </c>
      <c r="B351" s="5" t="s">
        <v>3336</v>
      </c>
      <c r="C351" s="2" t="s">
        <v>2498</v>
      </c>
      <c r="D351" s="5" t="s">
        <v>1836</v>
      </c>
      <c r="E351" s="5" t="s">
        <v>1838</v>
      </c>
      <c r="F351" s="5">
        <v>430.42399999999998</v>
      </c>
      <c r="G351" s="5">
        <v>122.57599999999999</v>
      </c>
      <c r="H351" s="5">
        <v>-1.8120799999999999</v>
      </c>
      <c r="I351" s="5">
        <v>1</v>
      </c>
      <c r="L351" s="2" t="s">
        <v>601</v>
      </c>
      <c r="M351" s="2">
        <v>-1.4830700000000001</v>
      </c>
    </row>
    <row r="352" spans="1:13" x14ac:dyDescent="0.2">
      <c r="A352" s="5" t="s">
        <v>588</v>
      </c>
      <c r="B352" s="5" t="s">
        <v>3015</v>
      </c>
      <c r="C352" s="2" t="s">
        <v>2120</v>
      </c>
      <c r="D352" s="5" t="s">
        <v>1836</v>
      </c>
      <c r="E352" s="5" t="s">
        <v>1838</v>
      </c>
      <c r="F352" s="5">
        <v>4.5272600000000001</v>
      </c>
      <c r="G352" s="5">
        <v>11.312799999999999</v>
      </c>
      <c r="H352" s="5">
        <v>1.32124</v>
      </c>
      <c r="I352" s="5">
        <v>1</v>
      </c>
      <c r="L352" s="2" t="s">
        <v>1315</v>
      </c>
      <c r="M352" s="2">
        <v>-1.08958</v>
      </c>
    </row>
    <row r="353" spans="1:13" x14ac:dyDescent="0.2">
      <c r="A353" s="5" t="s">
        <v>1308</v>
      </c>
      <c r="B353" s="5" t="s">
        <v>3344</v>
      </c>
      <c r="C353" s="2" t="s">
        <v>2512</v>
      </c>
      <c r="D353" s="5" t="s">
        <v>1836</v>
      </c>
      <c r="E353" s="5" t="s">
        <v>1838</v>
      </c>
      <c r="F353" s="5">
        <v>0.49915300000000001</v>
      </c>
      <c r="G353" s="5">
        <v>1.4171499999999999</v>
      </c>
      <c r="H353" s="5">
        <v>1.5054399999999999</v>
      </c>
      <c r="I353" s="5">
        <v>1</v>
      </c>
      <c r="L353" s="2" t="s">
        <v>1316</v>
      </c>
      <c r="M353" s="2">
        <v>1.1799299999999999</v>
      </c>
    </row>
    <row r="354" spans="1:13" x14ac:dyDescent="0.2">
      <c r="A354" s="5" t="s">
        <v>590</v>
      </c>
      <c r="B354" s="5" t="s">
        <v>3015</v>
      </c>
      <c r="C354" s="2" t="s">
        <v>3496</v>
      </c>
      <c r="D354" s="5" t="s">
        <v>1836</v>
      </c>
      <c r="E354" s="5" t="s">
        <v>1838</v>
      </c>
      <c r="F354" s="5">
        <v>0.33421000000000001</v>
      </c>
      <c r="G354" s="5">
        <v>0.97919599999999996</v>
      </c>
      <c r="H354" s="5">
        <v>1.55084</v>
      </c>
      <c r="I354" s="5">
        <v>1</v>
      </c>
      <c r="L354" s="2" t="s">
        <v>611</v>
      </c>
      <c r="M354" s="2">
        <v>-1.0216400000000001</v>
      </c>
    </row>
    <row r="355" spans="1:13" x14ac:dyDescent="0.2">
      <c r="A355" s="5" t="s">
        <v>1309</v>
      </c>
      <c r="B355" s="5" t="s">
        <v>3032</v>
      </c>
      <c r="C355" s="2" t="s">
        <v>1847</v>
      </c>
      <c r="D355" s="5" t="s">
        <v>1836</v>
      </c>
      <c r="E355" s="5" t="s">
        <v>1838</v>
      </c>
      <c r="F355" s="5">
        <v>1.00776</v>
      </c>
      <c r="G355" s="5">
        <v>0.40649400000000002</v>
      </c>
      <c r="H355" s="5">
        <v>-1.3098399999999999</v>
      </c>
      <c r="I355" s="5">
        <v>1</v>
      </c>
      <c r="L355" s="2" t="s">
        <v>613</v>
      </c>
      <c r="M355" s="2">
        <v>-2.5833200000000001</v>
      </c>
    </row>
    <row r="356" spans="1:13" x14ac:dyDescent="0.2">
      <c r="A356" s="5" t="s">
        <v>1311</v>
      </c>
      <c r="B356" s="5" t="s">
        <v>3087</v>
      </c>
      <c r="C356" s="2" t="s">
        <v>2501</v>
      </c>
      <c r="D356" s="5" t="s">
        <v>1836</v>
      </c>
      <c r="E356" s="5" t="s">
        <v>1838</v>
      </c>
      <c r="F356" s="5">
        <v>1.6614199999999999</v>
      </c>
      <c r="G356" s="5">
        <v>0.47556500000000002</v>
      </c>
      <c r="H356" s="5">
        <v>-1.80471</v>
      </c>
      <c r="I356" s="5">
        <v>1</v>
      </c>
      <c r="L356" s="2" t="s">
        <v>1319</v>
      </c>
      <c r="M356" s="2">
        <v>-1.49552</v>
      </c>
    </row>
    <row r="357" spans="1:13" x14ac:dyDescent="0.2">
      <c r="A357" s="5" t="s">
        <v>591</v>
      </c>
      <c r="B357" s="5" t="s">
        <v>3087</v>
      </c>
      <c r="C357" s="2" t="s">
        <v>2501</v>
      </c>
      <c r="D357" s="5" t="s">
        <v>1836</v>
      </c>
      <c r="E357" s="5" t="s">
        <v>1838</v>
      </c>
      <c r="F357" s="5">
        <v>2.4919600000000002</v>
      </c>
      <c r="G357" s="5">
        <v>1.06064</v>
      </c>
      <c r="H357" s="5">
        <v>-1.23234</v>
      </c>
      <c r="I357" s="5">
        <v>1</v>
      </c>
      <c r="L357" s="2" t="s">
        <v>1320</v>
      </c>
      <c r="M357" s="2">
        <v>1.2566600000000001</v>
      </c>
    </row>
    <row r="358" spans="1:13" x14ac:dyDescent="0.2">
      <c r="A358" s="5" t="s">
        <v>1312</v>
      </c>
      <c r="B358" s="5" t="s">
        <v>3087</v>
      </c>
      <c r="C358" s="2" t="s">
        <v>2513</v>
      </c>
      <c r="D358" s="5" t="s">
        <v>1836</v>
      </c>
      <c r="E358" s="5" t="s">
        <v>1838</v>
      </c>
      <c r="F358" s="5">
        <v>1.10179</v>
      </c>
      <c r="G358" s="5">
        <v>0.423398</v>
      </c>
      <c r="H358" s="5">
        <v>-1.3797600000000001</v>
      </c>
      <c r="I358" s="5">
        <v>1</v>
      </c>
      <c r="L358" s="2" t="s">
        <v>619</v>
      </c>
      <c r="M358" s="2">
        <v>-2.3990800000000001</v>
      </c>
    </row>
    <row r="359" spans="1:13" x14ac:dyDescent="0.2">
      <c r="A359" s="5" t="s">
        <v>595</v>
      </c>
      <c r="B359" s="5" t="s">
        <v>3171</v>
      </c>
      <c r="C359" s="2" t="s">
        <v>2123</v>
      </c>
      <c r="D359" s="5" t="s">
        <v>1836</v>
      </c>
      <c r="E359" s="5" t="s">
        <v>1838</v>
      </c>
      <c r="F359" s="5">
        <v>2.1012900000000001</v>
      </c>
      <c r="G359" s="5">
        <v>0.70708199999999999</v>
      </c>
      <c r="H359" s="5">
        <v>-1.5713200000000001</v>
      </c>
      <c r="I359" s="5">
        <v>1</v>
      </c>
      <c r="L359" s="2" t="s">
        <v>1321</v>
      </c>
      <c r="M359" s="2">
        <v>-1.16428</v>
      </c>
    </row>
    <row r="360" spans="1:13" x14ac:dyDescent="0.2">
      <c r="A360" s="5" t="s">
        <v>597</v>
      </c>
      <c r="B360" s="5" t="s">
        <v>3172</v>
      </c>
      <c r="C360" s="2" t="s">
        <v>3496</v>
      </c>
      <c r="D360" s="5" t="s">
        <v>1836</v>
      </c>
      <c r="E360" s="5" t="s">
        <v>1838</v>
      </c>
      <c r="F360" s="5">
        <v>8.3787299999999991</v>
      </c>
      <c r="G360" s="5">
        <v>1.8648100000000001</v>
      </c>
      <c r="H360" s="5">
        <v>-2.1677</v>
      </c>
      <c r="I360" s="5">
        <v>1</v>
      </c>
      <c r="L360" s="2" t="s">
        <v>623</v>
      </c>
      <c r="M360" s="2">
        <v>1.3844000000000001</v>
      </c>
    </row>
    <row r="361" spans="1:13" x14ac:dyDescent="0.2">
      <c r="A361" s="5" t="s">
        <v>598</v>
      </c>
      <c r="B361" s="5" t="s">
        <v>3038</v>
      </c>
      <c r="C361" s="2" t="s">
        <v>2514</v>
      </c>
      <c r="D361" s="5" t="s">
        <v>1836</v>
      </c>
      <c r="E361" s="5" t="s">
        <v>1838</v>
      </c>
      <c r="F361" s="5">
        <v>5.4894999999999996</v>
      </c>
      <c r="G361" s="5">
        <v>2.5388600000000001</v>
      </c>
      <c r="H361" s="5">
        <v>-1.1125</v>
      </c>
      <c r="I361" s="5">
        <v>1</v>
      </c>
      <c r="L361" s="2" t="s">
        <v>624</v>
      </c>
      <c r="M361" s="2">
        <v>-1.3734299999999999</v>
      </c>
    </row>
    <row r="362" spans="1:13" x14ac:dyDescent="0.2">
      <c r="A362" s="5" t="s">
        <v>601</v>
      </c>
      <c r="B362" s="5" t="s">
        <v>3058</v>
      </c>
      <c r="C362" s="2" t="s">
        <v>2057</v>
      </c>
      <c r="D362" s="5" t="s">
        <v>1836</v>
      </c>
      <c r="E362" s="5" t="s">
        <v>1838</v>
      </c>
      <c r="F362" s="5">
        <v>4.4676499999999999</v>
      </c>
      <c r="G362" s="5">
        <v>1.59819</v>
      </c>
      <c r="H362" s="5">
        <v>-1.4830700000000001</v>
      </c>
      <c r="I362" s="5">
        <v>1</v>
      </c>
      <c r="L362" s="2" t="s">
        <v>625</v>
      </c>
      <c r="M362" s="2">
        <v>-2.5136699999999998</v>
      </c>
    </row>
    <row r="363" spans="1:13" x14ac:dyDescent="0.2">
      <c r="A363" s="5" t="s">
        <v>1315</v>
      </c>
      <c r="B363" s="5" t="s">
        <v>3081</v>
      </c>
      <c r="C363" s="2" t="s">
        <v>2515</v>
      </c>
      <c r="D363" s="5" t="s">
        <v>1836</v>
      </c>
      <c r="E363" s="5" t="s">
        <v>1838</v>
      </c>
      <c r="F363" s="5">
        <v>0.92362100000000003</v>
      </c>
      <c r="G363" s="5">
        <v>0.434008</v>
      </c>
      <c r="H363" s="5">
        <v>-1.08958</v>
      </c>
      <c r="I363" s="5">
        <v>1</v>
      </c>
      <c r="L363" s="2" t="s">
        <v>1322</v>
      </c>
      <c r="M363" s="2">
        <v>-2.48258</v>
      </c>
    </row>
    <row r="364" spans="1:13" x14ac:dyDescent="0.2">
      <c r="A364" s="5" t="s">
        <v>1316</v>
      </c>
      <c r="B364" s="5" t="s">
        <v>3345</v>
      </c>
      <c r="C364" s="2" t="s">
        <v>2516</v>
      </c>
      <c r="D364" s="5" t="s">
        <v>1836</v>
      </c>
      <c r="E364" s="5" t="s">
        <v>1838</v>
      </c>
      <c r="F364" s="5">
        <v>12.3963</v>
      </c>
      <c r="G364" s="5">
        <v>28.085799999999999</v>
      </c>
      <c r="H364" s="5">
        <v>1.1799299999999999</v>
      </c>
      <c r="I364" s="5">
        <v>1</v>
      </c>
      <c r="L364" s="2" t="s">
        <v>1323</v>
      </c>
      <c r="M364" s="2">
        <v>-1.5899799999999999</v>
      </c>
    </row>
    <row r="365" spans="1:13" x14ac:dyDescent="0.2">
      <c r="A365" s="5" t="s">
        <v>611</v>
      </c>
      <c r="B365" s="5" t="s">
        <v>3015</v>
      </c>
      <c r="C365" s="2" t="s">
        <v>2517</v>
      </c>
      <c r="D365" s="5" t="s">
        <v>1836</v>
      </c>
      <c r="E365" s="5" t="s">
        <v>1838</v>
      </c>
      <c r="F365" s="5">
        <v>1.2919799999999999</v>
      </c>
      <c r="G365" s="5">
        <v>0.63637600000000005</v>
      </c>
      <c r="H365" s="5">
        <v>-1.0216400000000001</v>
      </c>
      <c r="I365" s="5">
        <v>1</v>
      </c>
      <c r="L365" s="2" t="s">
        <v>1324</v>
      </c>
      <c r="M365" s="2">
        <v>-2.2094499999999999</v>
      </c>
    </row>
    <row r="366" spans="1:13" x14ac:dyDescent="0.2">
      <c r="A366" s="5" t="s">
        <v>613</v>
      </c>
      <c r="B366" s="5" t="s">
        <v>3015</v>
      </c>
      <c r="C366" s="2" t="s">
        <v>2054</v>
      </c>
      <c r="D366" s="5" t="s">
        <v>1836</v>
      </c>
      <c r="E366" s="5" t="s">
        <v>1838</v>
      </c>
      <c r="F366" s="5">
        <v>2.8349899999999999</v>
      </c>
      <c r="G366" s="5">
        <v>0.47303800000000001</v>
      </c>
      <c r="H366" s="5">
        <v>-2.5833200000000001</v>
      </c>
      <c r="I366" s="5">
        <v>1</v>
      </c>
      <c r="L366" s="2" t="s">
        <v>630</v>
      </c>
      <c r="M366" s="2">
        <v>-1.6973400000000001</v>
      </c>
    </row>
    <row r="367" spans="1:13" x14ac:dyDescent="0.2">
      <c r="A367" s="5" t="s">
        <v>1319</v>
      </c>
      <c r="B367" s="5" t="s">
        <v>3015</v>
      </c>
      <c r="C367" s="2" t="s">
        <v>1862</v>
      </c>
      <c r="D367" s="5" t="s">
        <v>1836</v>
      </c>
      <c r="E367" s="5" t="s">
        <v>1838</v>
      </c>
      <c r="F367" s="5">
        <v>2.1225000000000001</v>
      </c>
      <c r="G367" s="5">
        <v>0.75275000000000003</v>
      </c>
      <c r="H367" s="5">
        <v>-1.49552</v>
      </c>
      <c r="I367" s="5">
        <v>1</v>
      </c>
      <c r="L367" s="2" t="s">
        <v>1325</v>
      </c>
      <c r="M367" s="2">
        <v>-3.0196200000000002</v>
      </c>
    </row>
    <row r="368" spans="1:13" x14ac:dyDescent="0.2">
      <c r="A368" s="5" t="s">
        <v>1320</v>
      </c>
      <c r="B368" s="5" t="s">
        <v>3015</v>
      </c>
      <c r="C368" s="2" t="s">
        <v>2518</v>
      </c>
      <c r="D368" s="5" t="s">
        <v>1836</v>
      </c>
      <c r="E368" s="5" t="s">
        <v>1838</v>
      </c>
      <c r="F368" s="5">
        <v>0.58475500000000002</v>
      </c>
      <c r="G368" s="5">
        <v>1.3972199999999999</v>
      </c>
      <c r="H368" s="5">
        <v>1.2566600000000001</v>
      </c>
      <c r="I368" s="5">
        <v>1</v>
      </c>
      <c r="L368" s="2" t="s">
        <v>634</v>
      </c>
      <c r="M368" s="2">
        <v>-1.1912799999999999</v>
      </c>
    </row>
    <row r="369" spans="1:13" x14ac:dyDescent="0.2">
      <c r="A369" s="5" t="s">
        <v>619</v>
      </c>
      <c r="B369" s="5" t="s">
        <v>3015</v>
      </c>
      <c r="C369" s="2" t="s">
        <v>2132</v>
      </c>
      <c r="D369" s="5" t="s">
        <v>1836</v>
      </c>
      <c r="E369" s="5" t="s">
        <v>1838</v>
      </c>
      <c r="F369" s="5">
        <v>3.9423400000000002</v>
      </c>
      <c r="G369" s="5">
        <v>0.74741000000000002</v>
      </c>
      <c r="H369" s="5">
        <v>-2.3990800000000001</v>
      </c>
      <c r="I369" s="5">
        <v>1</v>
      </c>
      <c r="L369" s="2" t="s">
        <v>1326</v>
      </c>
      <c r="M369" s="2">
        <v>-1.2847999999999999</v>
      </c>
    </row>
    <row r="370" spans="1:13" x14ac:dyDescent="0.2">
      <c r="A370" s="5" t="s">
        <v>1321</v>
      </c>
      <c r="B370" s="5" t="s">
        <v>3015</v>
      </c>
      <c r="C370" s="2" t="s">
        <v>2519</v>
      </c>
      <c r="D370" s="5" t="s">
        <v>1836</v>
      </c>
      <c r="E370" s="5" t="s">
        <v>1838</v>
      </c>
      <c r="F370" s="5">
        <v>1.77135</v>
      </c>
      <c r="G370" s="5">
        <v>0.790354</v>
      </c>
      <c r="H370" s="5">
        <v>-1.16428</v>
      </c>
      <c r="I370" s="5">
        <v>1</v>
      </c>
      <c r="L370" s="2" t="s">
        <v>637</v>
      </c>
      <c r="M370" s="2">
        <v>-3.9672900000000002</v>
      </c>
    </row>
    <row r="371" spans="1:13" x14ac:dyDescent="0.2">
      <c r="A371" s="5" t="s">
        <v>623</v>
      </c>
      <c r="B371" s="5" t="s">
        <v>3015</v>
      </c>
      <c r="C371" s="2" t="s">
        <v>1862</v>
      </c>
      <c r="D371" s="5" t="s">
        <v>1836</v>
      </c>
      <c r="E371" s="5" t="s">
        <v>1838</v>
      </c>
      <c r="F371" s="5">
        <v>2.3878300000000001</v>
      </c>
      <c r="G371" s="5">
        <v>6.2337499999999997</v>
      </c>
      <c r="H371" s="5">
        <v>1.3844000000000001</v>
      </c>
      <c r="I371" s="5">
        <v>1</v>
      </c>
      <c r="L371" s="2" t="s">
        <v>1327</v>
      </c>
      <c r="M371" s="2">
        <v>1.1957899999999999</v>
      </c>
    </row>
    <row r="372" spans="1:13" x14ac:dyDescent="0.2">
      <c r="A372" s="5" t="s">
        <v>624</v>
      </c>
      <c r="B372" s="5" t="s">
        <v>3158</v>
      </c>
      <c r="C372" s="2" t="s">
        <v>2520</v>
      </c>
      <c r="D372" s="5" t="s">
        <v>1836</v>
      </c>
      <c r="E372" s="5" t="s">
        <v>1838</v>
      </c>
      <c r="F372" s="5">
        <v>25.8858</v>
      </c>
      <c r="G372" s="5">
        <v>9.9911799999999999</v>
      </c>
      <c r="H372" s="5">
        <v>-1.3734299999999999</v>
      </c>
      <c r="I372" s="5">
        <v>1</v>
      </c>
      <c r="L372" s="2" t="s">
        <v>638</v>
      </c>
      <c r="M372" s="2">
        <v>-1.05813</v>
      </c>
    </row>
    <row r="373" spans="1:13" x14ac:dyDescent="0.2">
      <c r="A373" s="5" t="s">
        <v>625</v>
      </c>
      <c r="B373" s="5" t="s">
        <v>3015</v>
      </c>
      <c r="C373" s="2" t="s">
        <v>2134</v>
      </c>
      <c r="D373" s="5" t="s">
        <v>1836</v>
      </c>
      <c r="E373" s="5" t="s">
        <v>1838</v>
      </c>
      <c r="F373" s="5">
        <v>2.1829100000000001</v>
      </c>
      <c r="G373" s="5">
        <v>0.38224900000000001</v>
      </c>
      <c r="H373" s="5">
        <v>-2.5136699999999998</v>
      </c>
      <c r="I373" s="5">
        <v>1</v>
      </c>
      <c r="L373" s="2" t="s">
        <v>1328</v>
      </c>
      <c r="M373" s="2">
        <v>-1.6324799999999999</v>
      </c>
    </row>
    <row r="374" spans="1:13" x14ac:dyDescent="0.2">
      <c r="A374" s="5" t="s">
        <v>1322</v>
      </c>
      <c r="B374" s="5" t="s">
        <v>3015</v>
      </c>
      <c r="C374" s="2" t="s">
        <v>2521</v>
      </c>
      <c r="D374" s="5" t="s">
        <v>1836</v>
      </c>
      <c r="E374" s="5" t="s">
        <v>1838</v>
      </c>
      <c r="F374" s="5">
        <v>0.77681800000000001</v>
      </c>
      <c r="G374" s="5">
        <v>0.138992</v>
      </c>
      <c r="H374" s="5">
        <v>-2.48258</v>
      </c>
      <c r="I374" s="5">
        <v>1</v>
      </c>
      <c r="L374" s="2" t="s">
        <v>1329</v>
      </c>
      <c r="M374" s="2">
        <v>-1.12557</v>
      </c>
    </row>
    <row r="375" spans="1:13" x14ac:dyDescent="0.2">
      <c r="A375" s="5" t="s">
        <v>1323</v>
      </c>
      <c r="B375" s="5" t="s">
        <v>3093</v>
      </c>
      <c r="C375" s="2" t="s">
        <v>2473</v>
      </c>
      <c r="D375" s="5" t="s">
        <v>1836</v>
      </c>
      <c r="E375" s="5" t="s">
        <v>1838</v>
      </c>
      <c r="F375" s="5">
        <v>2.62277</v>
      </c>
      <c r="G375" s="5">
        <v>0.871224</v>
      </c>
      <c r="H375" s="5">
        <v>-1.5899799999999999</v>
      </c>
      <c r="I375" s="5">
        <v>1</v>
      </c>
      <c r="L375" s="2" t="s">
        <v>640</v>
      </c>
      <c r="M375" s="2">
        <v>1.20865</v>
      </c>
    </row>
    <row r="376" spans="1:13" x14ac:dyDescent="0.2">
      <c r="A376" s="5" t="s">
        <v>1324</v>
      </c>
      <c r="B376" s="5" t="s">
        <v>3015</v>
      </c>
      <c r="C376" s="2" t="s">
        <v>2522</v>
      </c>
      <c r="D376" s="5" t="s">
        <v>1836</v>
      </c>
      <c r="E376" s="5" t="s">
        <v>1838</v>
      </c>
      <c r="F376" s="5">
        <v>0.80704299999999995</v>
      </c>
      <c r="G376" s="5">
        <v>0.17449700000000001</v>
      </c>
      <c r="H376" s="5">
        <v>-2.2094499999999999</v>
      </c>
      <c r="I376" s="5">
        <v>1</v>
      </c>
      <c r="L376" s="2" t="s">
        <v>641</v>
      </c>
      <c r="M376" s="2">
        <v>-2.4498000000000002</v>
      </c>
    </row>
    <row r="377" spans="1:13" x14ac:dyDescent="0.2">
      <c r="A377" s="5" t="s">
        <v>630</v>
      </c>
      <c r="B377" s="5" t="s">
        <v>3179</v>
      </c>
      <c r="C377" s="2" t="s">
        <v>2137</v>
      </c>
      <c r="D377" s="5" t="s">
        <v>1836</v>
      </c>
      <c r="E377" s="5" t="s">
        <v>1838</v>
      </c>
      <c r="F377" s="5">
        <v>9.6281999999999996</v>
      </c>
      <c r="G377" s="5">
        <v>2.9689000000000001</v>
      </c>
      <c r="H377" s="5">
        <v>-1.6973400000000001</v>
      </c>
      <c r="I377" s="5">
        <v>1</v>
      </c>
      <c r="L377" s="2" t="s">
        <v>1331</v>
      </c>
      <c r="M377" s="2">
        <v>-1.33629</v>
      </c>
    </row>
    <row r="378" spans="1:13" x14ac:dyDescent="0.2">
      <c r="A378" s="5" t="s">
        <v>1325</v>
      </c>
      <c r="B378" s="5" t="s">
        <v>3129</v>
      </c>
      <c r="C378" s="2" t="s">
        <v>1847</v>
      </c>
      <c r="D378" s="5" t="s">
        <v>1836</v>
      </c>
      <c r="E378" s="5" t="s">
        <v>1838</v>
      </c>
      <c r="F378" s="5">
        <v>1.19441</v>
      </c>
      <c r="G378" s="5">
        <v>0.147284</v>
      </c>
      <c r="H378" s="5">
        <v>-3.0196200000000002</v>
      </c>
      <c r="I378" s="5">
        <v>1</v>
      </c>
      <c r="L378" s="2" t="s">
        <v>646</v>
      </c>
      <c r="M378" s="2">
        <v>-1.6296999999999999</v>
      </c>
    </row>
    <row r="379" spans="1:13" x14ac:dyDescent="0.2">
      <c r="A379" s="5" t="s">
        <v>634</v>
      </c>
      <c r="B379" s="5" t="s">
        <v>3015</v>
      </c>
      <c r="C379" s="2" t="s">
        <v>2385</v>
      </c>
      <c r="D379" s="5" t="s">
        <v>1836</v>
      </c>
      <c r="E379" s="5" t="s">
        <v>1838</v>
      </c>
      <c r="F379" s="5">
        <v>51.973799999999997</v>
      </c>
      <c r="G379" s="5">
        <v>22.76</v>
      </c>
      <c r="H379" s="5">
        <v>-1.1912799999999999</v>
      </c>
      <c r="I379" s="5">
        <v>1</v>
      </c>
      <c r="L379" s="2" t="s">
        <v>647</v>
      </c>
      <c r="M379" s="2">
        <v>-1.3438399999999999</v>
      </c>
    </row>
    <row r="380" spans="1:13" x14ac:dyDescent="0.2">
      <c r="A380" s="5" t="s">
        <v>1326</v>
      </c>
      <c r="B380" s="5" t="s">
        <v>3015</v>
      </c>
      <c r="C380" s="2" t="s">
        <v>2071</v>
      </c>
      <c r="D380" s="5" t="s">
        <v>1836</v>
      </c>
      <c r="E380" s="5" t="s">
        <v>1838</v>
      </c>
      <c r="F380" s="5">
        <v>5.84856</v>
      </c>
      <c r="G380" s="5">
        <v>2.4004099999999999</v>
      </c>
      <c r="H380" s="5">
        <v>-1.2847999999999999</v>
      </c>
      <c r="I380" s="5">
        <v>1</v>
      </c>
      <c r="L380" s="2" t="s">
        <v>648</v>
      </c>
      <c r="M380" s="2">
        <v>-1.45628</v>
      </c>
    </row>
    <row r="381" spans="1:13" x14ac:dyDescent="0.2">
      <c r="A381" s="5" t="s">
        <v>637</v>
      </c>
      <c r="B381" s="5" t="s">
        <v>3045</v>
      </c>
      <c r="C381" s="2" t="s">
        <v>2141</v>
      </c>
      <c r="D381" s="5" t="s">
        <v>1836</v>
      </c>
      <c r="E381" s="5" t="s">
        <v>1838</v>
      </c>
      <c r="F381" s="5">
        <v>7.9981600000000004</v>
      </c>
      <c r="G381" s="5">
        <v>0.51134800000000002</v>
      </c>
      <c r="H381" s="5">
        <v>-3.9672900000000002</v>
      </c>
      <c r="I381" s="5">
        <v>1</v>
      </c>
      <c r="L381" s="2" t="s">
        <v>651</v>
      </c>
      <c r="M381" s="2">
        <v>1.57663</v>
      </c>
    </row>
    <row r="382" spans="1:13" x14ac:dyDescent="0.2">
      <c r="A382" s="5" t="s">
        <v>1327</v>
      </c>
      <c r="B382" s="5" t="s">
        <v>3047</v>
      </c>
      <c r="C382" s="2" t="s">
        <v>1879</v>
      </c>
      <c r="D382" s="5" t="s">
        <v>1836</v>
      </c>
      <c r="E382" s="5" t="s">
        <v>1838</v>
      </c>
      <c r="F382" s="5">
        <v>3.17502</v>
      </c>
      <c r="G382" s="5">
        <v>7.2730499999999996</v>
      </c>
      <c r="H382" s="5">
        <v>1.1957899999999999</v>
      </c>
      <c r="I382" s="5">
        <v>1</v>
      </c>
      <c r="L382" s="2" t="s">
        <v>1333</v>
      </c>
      <c r="M382" s="2">
        <v>-1.01278</v>
      </c>
    </row>
    <row r="383" spans="1:13" x14ac:dyDescent="0.2">
      <c r="A383" s="5" t="s">
        <v>638</v>
      </c>
      <c r="B383" s="5" t="s">
        <v>3346</v>
      </c>
      <c r="C383" s="2" t="s">
        <v>2523</v>
      </c>
      <c r="D383" s="5" t="s">
        <v>1836</v>
      </c>
      <c r="E383" s="5" t="s">
        <v>1838</v>
      </c>
      <c r="F383" s="5">
        <v>66.1464</v>
      </c>
      <c r="G383" s="5">
        <v>31.767099999999999</v>
      </c>
      <c r="H383" s="5">
        <v>-1.05813</v>
      </c>
      <c r="I383" s="5">
        <v>1</v>
      </c>
      <c r="L383" s="2" t="s">
        <v>1334</v>
      </c>
      <c r="M383" s="2">
        <v>-1.95407</v>
      </c>
    </row>
    <row r="384" spans="1:13" x14ac:dyDescent="0.2">
      <c r="A384" s="5" t="s">
        <v>1328</v>
      </c>
      <c r="B384" s="5" t="s">
        <v>3015</v>
      </c>
      <c r="C384" s="2" t="s">
        <v>1875</v>
      </c>
      <c r="D384" s="5" t="s">
        <v>1836</v>
      </c>
      <c r="E384" s="5" t="s">
        <v>1838</v>
      </c>
      <c r="F384" s="5">
        <v>3.2232400000000001</v>
      </c>
      <c r="G384" s="5">
        <v>1.0396000000000001</v>
      </c>
      <c r="H384" s="5">
        <v>-1.6324799999999999</v>
      </c>
      <c r="I384" s="5">
        <v>1</v>
      </c>
      <c r="L384" s="2" t="s">
        <v>1335</v>
      </c>
      <c r="M384" s="2">
        <v>-1.4819800000000001</v>
      </c>
    </row>
    <row r="385" spans="1:13" x14ac:dyDescent="0.2">
      <c r="A385" s="5" t="s">
        <v>1329</v>
      </c>
      <c r="B385" s="5" t="s">
        <v>3347</v>
      </c>
      <c r="C385" s="2" t="s">
        <v>2524</v>
      </c>
      <c r="D385" s="5" t="s">
        <v>1836</v>
      </c>
      <c r="E385" s="5" t="s">
        <v>1838</v>
      </c>
      <c r="F385" s="5">
        <v>1.7793000000000001</v>
      </c>
      <c r="G385" s="5">
        <v>0.81548900000000002</v>
      </c>
      <c r="H385" s="5">
        <v>-1.12557</v>
      </c>
      <c r="I385" s="5">
        <v>1</v>
      </c>
      <c r="L385" s="2" t="s">
        <v>655</v>
      </c>
      <c r="M385" s="2">
        <v>-1.8648899999999999</v>
      </c>
    </row>
    <row r="386" spans="1:13" x14ac:dyDescent="0.2">
      <c r="A386" s="5" t="s">
        <v>640</v>
      </c>
      <c r="B386" s="5" t="s">
        <v>3015</v>
      </c>
      <c r="C386" s="2" t="s">
        <v>2525</v>
      </c>
      <c r="D386" s="5" t="s">
        <v>1836</v>
      </c>
      <c r="E386" s="5" t="s">
        <v>1838</v>
      </c>
      <c r="F386" s="5">
        <v>46.662599999999998</v>
      </c>
      <c r="G386" s="5">
        <v>107.848</v>
      </c>
      <c r="H386" s="5">
        <v>1.20865</v>
      </c>
      <c r="I386" s="5">
        <v>1</v>
      </c>
      <c r="L386" s="2" t="s">
        <v>656</v>
      </c>
      <c r="M386" s="2">
        <v>-2.3859300000000001</v>
      </c>
    </row>
    <row r="387" spans="1:13" x14ac:dyDescent="0.2">
      <c r="A387" s="5" t="s">
        <v>641</v>
      </c>
      <c r="B387" s="5" t="s">
        <v>3015</v>
      </c>
      <c r="C387" s="2" t="s">
        <v>3496</v>
      </c>
      <c r="D387" s="5" t="s">
        <v>1836</v>
      </c>
      <c r="E387" s="5" t="s">
        <v>1838</v>
      </c>
      <c r="F387" s="5">
        <v>7.6719099999999996</v>
      </c>
      <c r="G387" s="5">
        <v>1.4042399999999999</v>
      </c>
      <c r="H387" s="5">
        <v>-2.4498000000000002</v>
      </c>
      <c r="I387" s="5">
        <v>1</v>
      </c>
      <c r="L387" s="2" t="s">
        <v>657</v>
      </c>
      <c r="M387" s="2">
        <v>-1.6215200000000001</v>
      </c>
    </row>
    <row r="388" spans="1:13" x14ac:dyDescent="0.2">
      <c r="A388" s="5" t="s">
        <v>1331</v>
      </c>
      <c r="B388" s="5" t="s">
        <v>3191</v>
      </c>
      <c r="C388" s="2" t="s">
        <v>2526</v>
      </c>
      <c r="D388" s="5" t="s">
        <v>1836</v>
      </c>
      <c r="E388" s="5" t="s">
        <v>1838</v>
      </c>
      <c r="F388" s="5">
        <v>4.28444</v>
      </c>
      <c r="G388" s="5">
        <v>1.6968000000000001</v>
      </c>
      <c r="H388" s="5">
        <v>-1.33629</v>
      </c>
      <c r="I388" s="5">
        <v>1</v>
      </c>
      <c r="L388" s="2" t="s">
        <v>658</v>
      </c>
      <c r="M388" s="2">
        <v>1.4674199999999999</v>
      </c>
    </row>
    <row r="389" spans="1:13" x14ac:dyDescent="0.2">
      <c r="A389" s="5" t="s">
        <v>1332</v>
      </c>
      <c r="B389" s="5" t="s">
        <v>3348</v>
      </c>
      <c r="C389" s="2" t="s">
        <v>2527</v>
      </c>
      <c r="D389" s="5" t="s">
        <v>1836</v>
      </c>
      <c r="E389" s="5" t="s">
        <v>1838</v>
      </c>
      <c r="F389" s="5">
        <v>0</v>
      </c>
      <c r="G389" s="5">
        <v>1.7381500000000001</v>
      </c>
      <c r="H389" s="5" t="s">
        <v>3021</v>
      </c>
      <c r="I389" s="5" t="s">
        <v>3021</v>
      </c>
      <c r="L389" s="2" t="s">
        <v>1337</v>
      </c>
      <c r="M389" s="2">
        <v>-1.14001</v>
      </c>
    </row>
    <row r="390" spans="1:13" x14ac:dyDescent="0.2">
      <c r="A390" s="5" t="s">
        <v>646</v>
      </c>
      <c r="B390" s="5" t="s">
        <v>3182</v>
      </c>
      <c r="C390" s="2" t="s">
        <v>2144</v>
      </c>
      <c r="D390" s="5" t="s">
        <v>1836</v>
      </c>
      <c r="E390" s="5" t="s">
        <v>1838</v>
      </c>
      <c r="F390" s="5">
        <v>7.4388699999999996</v>
      </c>
      <c r="G390" s="5">
        <v>2.4039100000000002</v>
      </c>
      <c r="H390" s="5">
        <v>-1.6296999999999999</v>
      </c>
      <c r="I390" s="5">
        <v>1</v>
      </c>
      <c r="L390" s="2" t="s">
        <v>1338</v>
      </c>
      <c r="M390" s="2">
        <v>-1.22844</v>
      </c>
    </row>
    <row r="391" spans="1:13" x14ac:dyDescent="0.2">
      <c r="A391" s="5" t="s">
        <v>647</v>
      </c>
      <c r="B391" s="5" t="s">
        <v>3015</v>
      </c>
      <c r="C391" s="2" t="s">
        <v>2528</v>
      </c>
      <c r="D391" s="5" t="s">
        <v>1836</v>
      </c>
      <c r="E391" s="5" t="s">
        <v>1838</v>
      </c>
      <c r="F391" s="5">
        <v>27.730599999999999</v>
      </c>
      <c r="G391" s="5">
        <v>10.9251</v>
      </c>
      <c r="H391" s="5">
        <v>-1.3438399999999999</v>
      </c>
      <c r="I391" s="5">
        <v>1</v>
      </c>
      <c r="L391" s="2" t="s">
        <v>662</v>
      </c>
      <c r="M391" s="2">
        <v>1.08945</v>
      </c>
    </row>
    <row r="392" spans="1:13" x14ac:dyDescent="0.2">
      <c r="A392" s="5" t="s">
        <v>648</v>
      </c>
      <c r="B392" s="5" t="s">
        <v>3015</v>
      </c>
      <c r="C392" s="2" t="s">
        <v>2145</v>
      </c>
      <c r="D392" s="5" t="s">
        <v>1836</v>
      </c>
      <c r="E392" s="5" t="s">
        <v>1838</v>
      </c>
      <c r="F392" s="5">
        <v>27.835999999999999</v>
      </c>
      <c r="G392" s="5">
        <v>10.144299999999999</v>
      </c>
      <c r="H392" s="5">
        <v>-1.45628</v>
      </c>
      <c r="I392" s="5">
        <v>1</v>
      </c>
      <c r="L392" s="2" t="s">
        <v>1339</v>
      </c>
      <c r="M392" s="2">
        <v>1.1855</v>
      </c>
    </row>
    <row r="393" spans="1:13" x14ac:dyDescent="0.2">
      <c r="A393" s="5" t="s">
        <v>651</v>
      </c>
      <c r="B393" s="5" t="s">
        <v>3015</v>
      </c>
      <c r="C393" s="2" t="s">
        <v>2147</v>
      </c>
      <c r="D393" s="5" t="s">
        <v>1836</v>
      </c>
      <c r="E393" s="5" t="s">
        <v>1838</v>
      </c>
      <c r="F393" s="5">
        <v>2.0388500000000001</v>
      </c>
      <c r="G393" s="5">
        <v>6.0813100000000002</v>
      </c>
      <c r="H393" s="5">
        <v>1.57663</v>
      </c>
      <c r="I393" s="5">
        <v>1</v>
      </c>
      <c r="L393" s="2" t="s">
        <v>665</v>
      </c>
      <c r="M393" s="2">
        <v>-1.09707</v>
      </c>
    </row>
    <row r="394" spans="1:13" x14ac:dyDescent="0.2">
      <c r="A394" s="5" t="s">
        <v>1333</v>
      </c>
      <c r="B394" s="5" t="s">
        <v>3045</v>
      </c>
      <c r="C394" s="2" t="s">
        <v>1923</v>
      </c>
      <c r="D394" s="5" t="s">
        <v>1836</v>
      </c>
      <c r="E394" s="5" t="s">
        <v>1838</v>
      </c>
      <c r="F394" s="5">
        <v>6.97478</v>
      </c>
      <c r="G394" s="5">
        <v>3.45662</v>
      </c>
      <c r="H394" s="5">
        <v>-1.01278</v>
      </c>
      <c r="I394" s="5">
        <v>1</v>
      </c>
      <c r="L394" s="2" t="s">
        <v>1340</v>
      </c>
      <c r="M394" s="2">
        <v>1.74196</v>
      </c>
    </row>
    <row r="395" spans="1:13" x14ac:dyDescent="0.2">
      <c r="A395" s="5" t="s">
        <v>1334</v>
      </c>
      <c r="B395" s="5" t="s">
        <v>3015</v>
      </c>
      <c r="C395" s="2" t="s">
        <v>2529</v>
      </c>
      <c r="D395" s="5" t="s">
        <v>1836</v>
      </c>
      <c r="E395" s="5" t="s">
        <v>1838</v>
      </c>
      <c r="F395" s="5">
        <v>0.92984299999999998</v>
      </c>
      <c r="G395" s="5">
        <v>0.23998</v>
      </c>
      <c r="H395" s="5">
        <v>-1.95407</v>
      </c>
      <c r="I395" s="5">
        <v>1</v>
      </c>
      <c r="L395" s="2" t="s">
        <v>666</v>
      </c>
      <c r="M395" s="2">
        <v>-4.0346299999999999</v>
      </c>
    </row>
    <row r="396" spans="1:13" x14ac:dyDescent="0.2">
      <c r="A396" s="5" t="s">
        <v>1335</v>
      </c>
      <c r="B396" s="5" t="s">
        <v>3015</v>
      </c>
      <c r="C396" s="2" t="s">
        <v>2530</v>
      </c>
      <c r="D396" s="5" t="s">
        <v>1836</v>
      </c>
      <c r="E396" s="5" t="s">
        <v>1838</v>
      </c>
      <c r="F396" s="5">
        <v>1.2725900000000001</v>
      </c>
      <c r="G396" s="5">
        <v>0.45558399999999999</v>
      </c>
      <c r="H396" s="5">
        <v>-1.4819800000000001</v>
      </c>
      <c r="I396" s="5">
        <v>1</v>
      </c>
      <c r="L396" s="2" t="s">
        <v>668</v>
      </c>
      <c r="M396" s="2">
        <v>-1.5966499999999999</v>
      </c>
    </row>
    <row r="397" spans="1:13" x14ac:dyDescent="0.2">
      <c r="A397" s="5" t="s">
        <v>655</v>
      </c>
      <c r="B397" s="5" t="s">
        <v>3015</v>
      </c>
      <c r="C397" s="2" t="s">
        <v>3496</v>
      </c>
      <c r="D397" s="5" t="s">
        <v>1836</v>
      </c>
      <c r="E397" s="5" t="s">
        <v>1838</v>
      </c>
      <c r="F397" s="5">
        <v>1.47828</v>
      </c>
      <c r="G397" s="5">
        <v>0.40585300000000002</v>
      </c>
      <c r="H397" s="5">
        <v>-1.8648899999999999</v>
      </c>
      <c r="I397" s="5">
        <v>1</v>
      </c>
      <c r="L397" s="2" t="s">
        <v>1341</v>
      </c>
      <c r="M397" s="2">
        <v>-1.6376500000000001</v>
      </c>
    </row>
    <row r="398" spans="1:13" x14ac:dyDescent="0.2">
      <c r="A398" s="5" t="s">
        <v>656</v>
      </c>
      <c r="B398" s="5" t="s">
        <v>3015</v>
      </c>
      <c r="C398" s="2" t="s">
        <v>3496</v>
      </c>
      <c r="D398" s="5" t="s">
        <v>1836</v>
      </c>
      <c r="E398" s="5" t="s">
        <v>1838</v>
      </c>
      <c r="F398" s="5">
        <v>10.4472</v>
      </c>
      <c r="G398" s="5">
        <v>1.9987699999999999</v>
      </c>
      <c r="H398" s="5">
        <v>-2.3859300000000001</v>
      </c>
      <c r="I398" s="5">
        <v>1</v>
      </c>
      <c r="L398" s="2" t="s">
        <v>677</v>
      </c>
      <c r="M398" s="2">
        <v>1.09673</v>
      </c>
    </row>
    <row r="399" spans="1:13" x14ac:dyDescent="0.2">
      <c r="A399" s="5" t="s">
        <v>657</v>
      </c>
      <c r="B399" s="5" t="s">
        <v>3185</v>
      </c>
      <c r="C399" s="2" t="s">
        <v>2150</v>
      </c>
      <c r="D399" s="5" t="s">
        <v>1836</v>
      </c>
      <c r="E399" s="5" t="s">
        <v>1838</v>
      </c>
      <c r="F399" s="5">
        <v>28.745100000000001</v>
      </c>
      <c r="G399" s="5">
        <v>9.3419699999999999</v>
      </c>
      <c r="H399" s="5">
        <v>-1.6215200000000001</v>
      </c>
      <c r="I399" s="5">
        <v>1</v>
      </c>
      <c r="L399" s="2" t="s">
        <v>1343</v>
      </c>
      <c r="M399" s="2">
        <v>1.0325500000000001</v>
      </c>
    </row>
    <row r="400" spans="1:13" x14ac:dyDescent="0.2">
      <c r="A400" s="5" t="s">
        <v>658</v>
      </c>
      <c r="B400" s="5" t="s">
        <v>3015</v>
      </c>
      <c r="C400" s="2" t="s">
        <v>2151</v>
      </c>
      <c r="D400" s="5" t="s">
        <v>1836</v>
      </c>
      <c r="E400" s="5" t="s">
        <v>1838</v>
      </c>
      <c r="F400" s="5">
        <v>1.1596200000000001</v>
      </c>
      <c r="G400" s="5">
        <v>3.2066599999999998</v>
      </c>
      <c r="H400" s="5">
        <v>1.4674199999999999</v>
      </c>
      <c r="I400" s="5">
        <v>1</v>
      </c>
      <c r="L400" s="2" t="s">
        <v>1344</v>
      </c>
      <c r="M400" s="2">
        <v>-2.5183599999999999</v>
      </c>
    </row>
    <row r="401" spans="1:13" x14ac:dyDescent="0.2">
      <c r="A401" s="5" t="s">
        <v>1337</v>
      </c>
      <c r="B401" s="5" t="s">
        <v>3015</v>
      </c>
      <c r="C401" s="2" t="s">
        <v>2531</v>
      </c>
      <c r="D401" s="5" t="s">
        <v>1836</v>
      </c>
      <c r="E401" s="5" t="s">
        <v>1838</v>
      </c>
      <c r="F401" s="5">
        <v>5.8822299999999998</v>
      </c>
      <c r="G401" s="5">
        <v>2.6691099999999999</v>
      </c>
      <c r="H401" s="5">
        <v>-1.14001</v>
      </c>
      <c r="I401" s="5">
        <v>1</v>
      </c>
      <c r="L401" s="2" t="s">
        <v>1345</v>
      </c>
      <c r="M401" s="2">
        <v>-1.0571900000000001</v>
      </c>
    </row>
    <row r="402" spans="1:13" x14ac:dyDescent="0.2">
      <c r="A402" s="5" t="s">
        <v>1338</v>
      </c>
      <c r="B402" s="5" t="s">
        <v>3015</v>
      </c>
      <c r="C402" s="2" t="s">
        <v>2532</v>
      </c>
      <c r="D402" s="5" t="s">
        <v>1836</v>
      </c>
      <c r="E402" s="5" t="s">
        <v>1838</v>
      </c>
      <c r="F402" s="5">
        <v>3.4657900000000001</v>
      </c>
      <c r="G402" s="5">
        <v>1.4791300000000001</v>
      </c>
      <c r="H402" s="5">
        <v>-1.22844</v>
      </c>
      <c r="I402" s="5">
        <v>1</v>
      </c>
      <c r="L402" s="2" t="s">
        <v>681</v>
      </c>
      <c r="M402" s="2">
        <v>-2.0713499999999998</v>
      </c>
    </row>
    <row r="403" spans="1:13" x14ac:dyDescent="0.2">
      <c r="A403" s="5" t="s">
        <v>662</v>
      </c>
      <c r="B403" s="5" t="s">
        <v>3349</v>
      </c>
      <c r="C403" s="2" t="s">
        <v>2533</v>
      </c>
      <c r="D403" s="5" t="s">
        <v>1836</v>
      </c>
      <c r="E403" s="5" t="s">
        <v>1838</v>
      </c>
      <c r="F403" s="5">
        <v>2.92117</v>
      </c>
      <c r="G403" s="5">
        <v>6.2160399999999996</v>
      </c>
      <c r="H403" s="5">
        <v>1.08945</v>
      </c>
      <c r="I403" s="5">
        <v>1</v>
      </c>
      <c r="L403" s="2" t="s">
        <v>682</v>
      </c>
      <c r="M403" s="2">
        <v>-1.0080800000000001</v>
      </c>
    </row>
    <row r="404" spans="1:13" x14ac:dyDescent="0.2">
      <c r="A404" s="5" t="s">
        <v>1339</v>
      </c>
      <c r="B404" s="5" t="s">
        <v>3015</v>
      </c>
      <c r="C404" s="2" t="s">
        <v>2534</v>
      </c>
      <c r="D404" s="5" t="s">
        <v>1836</v>
      </c>
      <c r="E404" s="5" t="s">
        <v>1838</v>
      </c>
      <c r="F404" s="5">
        <v>6.9119400000000004</v>
      </c>
      <c r="G404" s="5">
        <v>15.720599999999999</v>
      </c>
      <c r="H404" s="5">
        <v>1.1855</v>
      </c>
      <c r="I404" s="5">
        <v>1</v>
      </c>
      <c r="L404" s="2" t="s">
        <v>1346</v>
      </c>
      <c r="M404" s="2">
        <v>1.1381600000000001</v>
      </c>
    </row>
    <row r="405" spans="1:13" x14ac:dyDescent="0.2">
      <c r="A405" s="5" t="s">
        <v>665</v>
      </c>
      <c r="B405" s="5" t="s">
        <v>3197</v>
      </c>
      <c r="C405" s="2" t="s">
        <v>2179</v>
      </c>
      <c r="D405" s="5" t="s">
        <v>1836</v>
      </c>
      <c r="E405" s="5" t="s">
        <v>1838</v>
      </c>
      <c r="F405" s="5">
        <v>4.0036300000000002</v>
      </c>
      <c r="G405" s="5">
        <v>1.8715599999999999</v>
      </c>
      <c r="H405" s="5">
        <v>-1.09707</v>
      </c>
      <c r="I405" s="5">
        <v>1</v>
      </c>
      <c r="L405" s="2" t="s">
        <v>684</v>
      </c>
      <c r="M405" s="2">
        <v>-1.20424</v>
      </c>
    </row>
    <row r="406" spans="1:13" x14ac:dyDescent="0.2">
      <c r="A406" s="5" t="s">
        <v>1340</v>
      </c>
      <c r="B406" s="5" t="s">
        <v>3350</v>
      </c>
      <c r="C406" s="2" t="s">
        <v>2535</v>
      </c>
      <c r="D406" s="5" t="s">
        <v>1836</v>
      </c>
      <c r="E406" s="5" t="s">
        <v>1838</v>
      </c>
      <c r="F406" s="5">
        <v>0.65120900000000004</v>
      </c>
      <c r="G406" s="5">
        <v>2.1782300000000001</v>
      </c>
      <c r="H406" s="5">
        <v>1.74196</v>
      </c>
      <c r="I406" s="5">
        <v>1</v>
      </c>
      <c r="L406" s="2" t="s">
        <v>686</v>
      </c>
      <c r="M406" s="2">
        <v>-1.9330400000000001</v>
      </c>
    </row>
    <row r="407" spans="1:13" x14ac:dyDescent="0.2">
      <c r="A407" s="5" t="s">
        <v>666</v>
      </c>
      <c r="B407" s="5" t="s">
        <v>3344</v>
      </c>
      <c r="C407" s="2" t="s">
        <v>2536</v>
      </c>
      <c r="D407" s="5" t="s">
        <v>1836</v>
      </c>
      <c r="E407" s="5" t="s">
        <v>1838</v>
      </c>
      <c r="F407" s="5">
        <v>10.878399999999999</v>
      </c>
      <c r="G407" s="5">
        <v>0.66377600000000003</v>
      </c>
      <c r="H407" s="5">
        <v>-4.0346299999999999</v>
      </c>
      <c r="I407" s="5">
        <v>1</v>
      </c>
      <c r="L407" s="2" t="s">
        <v>687</v>
      </c>
      <c r="M407" s="2">
        <v>-2.4315600000000002</v>
      </c>
    </row>
    <row r="408" spans="1:13" x14ac:dyDescent="0.2">
      <c r="A408" s="5" t="s">
        <v>668</v>
      </c>
      <c r="B408" s="5" t="s">
        <v>3015</v>
      </c>
      <c r="C408" s="2" t="s">
        <v>3496</v>
      </c>
      <c r="D408" s="5" t="s">
        <v>1836</v>
      </c>
      <c r="E408" s="5" t="s">
        <v>1838</v>
      </c>
      <c r="F408" s="5">
        <v>7.1596099999999998</v>
      </c>
      <c r="G408" s="5">
        <v>2.3672900000000001</v>
      </c>
      <c r="H408" s="5">
        <v>-1.5966499999999999</v>
      </c>
      <c r="I408" s="5">
        <v>1</v>
      </c>
      <c r="L408" s="2" t="s">
        <v>690</v>
      </c>
      <c r="M408" s="2">
        <v>-1.4133800000000001</v>
      </c>
    </row>
    <row r="409" spans="1:13" x14ac:dyDescent="0.2">
      <c r="A409" s="5" t="s">
        <v>1341</v>
      </c>
      <c r="B409" s="5" t="s">
        <v>3081</v>
      </c>
      <c r="C409" s="2" t="s">
        <v>2537</v>
      </c>
      <c r="D409" s="5" t="s">
        <v>1836</v>
      </c>
      <c r="E409" s="5" t="s">
        <v>1838</v>
      </c>
      <c r="F409" s="5">
        <v>1.4122600000000001</v>
      </c>
      <c r="G409" s="5">
        <v>0.453872</v>
      </c>
      <c r="H409" s="5">
        <v>-1.6376500000000001</v>
      </c>
      <c r="I409" s="5">
        <v>1</v>
      </c>
      <c r="L409" s="2" t="s">
        <v>1350</v>
      </c>
      <c r="M409" s="2">
        <v>-1.00041</v>
      </c>
    </row>
    <row r="410" spans="1:13" x14ac:dyDescent="0.2">
      <c r="A410" s="5" t="s">
        <v>677</v>
      </c>
      <c r="B410" s="5" t="s">
        <v>3190</v>
      </c>
      <c r="C410" s="2" t="s">
        <v>2159</v>
      </c>
      <c r="D410" s="5" t="s">
        <v>1836</v>
      </c>
      <c r="E410" s="5" t="s">
        <v>1838</v>
      </c>
      <c r="F410" s="5">
        <v>0.83784499999999995</v>
      </c>
      <c r="G410" s="5">
        <v>1.79189</v>
      </c>
      <c r="H410" s="5">
        <v>1.09673</v>
      </c>
      <c r="I410" s="5">
        <v>1</v>
      </c>
      <c r="L410" s="2" t="s">
        <v>699</v>
      </c>
      <c r="M410" s="2">
        <v>-1.3794999999999999</v>
      </c>
    </row>
    <row r="411" spans="1:13" x14ac:dyDescent="0.2">
      <c r="A411" s="5" t="s">
        <v>1343</v>
      </c>
      <c r="B411" s="5" t="s">
        <v>3015</v>
      </c>
      <c r="C411" s="2" t="s">
        <v>3496</v>
      </c>
      <c r="D411" s="5" t="s">
        <v>1836</v>
      </c>
      <c r="E411" s="5" t="s">
        <v>1838</v>
      </c>
      <c r="F411" s="5">
        <v>12.464600000000001</v>
      </c>
      <c r="G411" s="5">
        <v>25.498000000000001</v>
      </c>
      <c r="H411" s="5">
        <v>1.0325500000000001</v>
      </c>
      <c r="I411" s="5">
        <v>1</v>
      </c>
      <c r="L411" s="2" t="s">
        <v>1352</v>
      </c>
      <c r="M411" s="2">
        <v>1.1207199999999999</v>
      </c>
    </row>
    <row r="412" spans="1:13" x14ac:dyDescent="0.2">
      <c r="A412" s="5" t="s">
        <v>1344</v>
      </c>
      <c r="B412" s="5" t="s">
        <v>3351</v>
      </c>
      <c r="C412" s="2" t="s">
        <v>2538</v>
      </c>
      <c r="D412" s="5" t="s">
        <v>1836</v>
      </c>
      <c r="E412" s="5" t="s">
        <v>1838</v>
      </c>
      <c r="F412" s="5">
        <v>1.1620699999999999</v>
      </c>
      <c r="G412" s="5">
        <v>0.20282900000000001</v>
      </c>
      <c r="H412" s="5">
        <v>-2.5183599999999999</v>
      </c>
      <c r="I412" s="5">
        <v>1</v>
      </c>
      <c r="L412" s="2" t="s">
        <v>1353</v>
      </c>
      <c r="M412" s="2">
        <v>-1.3887</v>
      </c>
    </row>
    <row r="413" spans="1:13" x14ac:dyDescent="0.2">
      <c r="A413" s="5" t="s">
        <v>1345</v>
      </c>
      <c r="B413" s="5" t="s">
        <v>3015</v>
      </c>
      <c r="C413" s="2" t="s">
        <v>2539</v>
      </c>
      <c r="D413" s="5" t="s">
        <v>1836</v>
      </c>
      <c r="E413" s="5" t="s">
        <v>1838</v>
      </c>
      <c r="F413" s="5">
        <v>2.0553599999999999</v>
      </c>
      <c r="G413" s="5">
        <v>0.98774200000000001</v>
      </c>
      <c r="H413" s="5">
        <v>-1.0571900000000001</v>
      </c>
      <c r="I413" s="5">
        <v>1</v>
      </c>
      <c r="L413" s="2" t="s">
        <v>701</v>
      </c>
      <c r="M413" s="2">
        <v>-1.5487500000000001</v>
      </c>
    </row>
    <row r="414" spans="1:13" x14ac:dyDescent="0.2">
      <c r="A414" s="5" t="s">
        <v>681</v>
      </c>
      <c r="B414" s="5" t="s">
        <v>3015</v>
      </c>
      <c r="C414" s="2" t="s">
        <v>3496</v>
      </c>
      <c r="D414" s="5" t="s">
        <v>1836</v>
      </c>
      <c r="E414" s="5" t="s">
        <v>1838</v>
      </c>
      <c r="F414" s="5">
        <v>1.41387</v>
      </c>
      <c r="G414" s="5">
        <v>0.33641100000000002</v>
      </c>
      <c r="H414" s="5">
        <v>-2.0713499999999998</v>
      </c>
      <c r="I414" s="5">
        <v>1</v>
      </c>
      <c r="L414" s="2" t="s">
        <v>1354</v>
      </c>
      <c r="M414" s="2">
        <v>-1.7526299999999999</v>
      </c>
    </row>
    <row r="415" spans="1:13" x14ac:dyDescent="0.2">
      <c r="A415" s="5" t="s">
        <v>682</v>
      </c>
      <c r="B415" s="5" t="s">
        <v>3191</v>
      </c>
      <c r="C415" s="2" t="s">
        <v>3496</v>
      </c>
      <c r="D415" s="5" t="s">
        <v>1836</v>
      </c>
      <c r="E415" s="5" t="s">
        <v>1838</v>
      </c>
      <c r="F415" s="5">
        <v>1.7057899999999999</v>
      </c>
      <c r="G415" s="5">
        <v>0.84813000000000005</v>
      </c>
      <c r="H415" s="5">
        <v>-1.0080800000000001</v>
      </c>
      <c r="I415" s="5">
        <v>1</v>
      </c>
      <c r="L415" s="2" t="s">
        <v>1355</v>
      </c>
      <c r="M415" s="2">
        <v>1.07881</v>
      </c>
    </row>
    <row r="416" spans="1:13" x14ac:dyDescent="0.2">
      <c r="A416" s="5" t="s">
        <v>1346</v>
      </c>
      <c r="B416" s="5" t="s">
        <v>3352</v>
      </c>
      <c r="C416" s="2" t="s">
        <v>2226</v>
      </c>
      <c r="D416" s="5" t="s">
        <v>1836</v>
      </c>
      <c r="E416" s="5" t="s">
        <v>1838</v>
      </c>
      <c r="F416" s="5">
        <v>1.8791800000000001</v>
      </c>
      <c r="G416" s="5">
        <v>4.1360799999999998</v>
      </c>
      <c r="H416" s="5">
        <v>1.1381600000000001</v>
      </c>
      <c r="I416" s="5">
        <v>1</v>
      </c>
      <c r="L416" s="2" t="s">
        <v>707</v>
      </c>
      <c r="M416" s="2">
        <v>-2.1618499999999998</v>
      </c>
    </row>
    <row r="417" spans="1:13" x14ac:dyDescent="0.2">
      <c r="A417" s="5" t="s">
        <v>684</v>
      </c>
      <c r="B417" s="5" t="s">
        <v>3015</v>
      </c>
      <c r="C417" s="2" t="s">
        <v>3496</v>
      </c>
      <c r="D417" s="5" t="s">
        <v>1836</v>
      </c>
      <c r="E417" s="5" t="s">
        <v>1838</v>
      </c>
      <c r="F417" s="5">
        <v>17.581800000000001</v>
      </c>
      <c r="G417" s="5">
        <v>7.6304600000000002</v>
      </c>
      <c r="H417" s="5">
        <v>-1.20424</v>
      </c>
      <c r="I417" s="5">
        <v>1</v>
      </c>
      <c r="L417" s="2" t="s">
        <v>1356</v>
      </c>
      <c r="M417" s="2">
        <v>1.18407</v>
      </c>
    </row>
    <row r="418" spans="1:13" x14ac:dyDescent="0.2">
      <c r="A418" s="5" t="s">
        <v>686</v>
      </c>
      <c r="B418" s="5" t="s">
        <v>3045</v>
      </c>
      <c r="C418" s="2" t="s">
        <v>1923</v>
      </c>
      <c r="D418" s="5" t="s">
        <v>1836</v>
      </c>
      <c r="E418" s="5" t="s">
        <v>1838</v>
      </c>
      <c r="F418" s="5">
        <v>1.31301</v>
      </c>
      <c r="G418" s="5">
        <v>0.34384799999999999</v>
      </c>
      <c r="H418" s="5">
        <v>-1.9330400000000001</v>
      </c>
      <c r="I418" s="5">
        <v>1</v>
      </c>
      <c r="L418" s="2" t="s">
        <v>714</v>
      </c>
      <c r="M418" s="2">
        <v>1.09229</v>
      </c>
    </row>
    <row r="419" spans="1:13" x14ac:dyDescent="0.2">
      <c r="A419" s="5" t="s">
        <v>687</v>
      </c>
      <c r="B419" s="5" t="s">
        <v>3015</v>
      </c>
      <c r="C419" s="2" t="s">
        <v>1847</v>
      </c>
      <c r="D419" s="5" t="s">
        <v>1836</v>
      </c>
      <c r="E419" s="5" t="s">
        <v>1838</v>
      </c>
      <c r="F419" s="5">
        <v>3.3123100000000001</v>
      </c>
      <c r="G419" s="5">
        <v>0.61398799999999998</v>
      </c>
      <c r="H419" s="5">
        <v>-2.4315600000000002</v>
      </c>
      <c r="I419" s="5">
        <v>1</v>
      </c>
      <c r="L419" s="2" t="s">
        <v>1357</v>
      </c>
      <c r="M419" s="2">
        <v>-1.09155</v>
      </c>
    </row>
    <row r="420" spans="1:13" x14ac:dyDescent="0.2">
      <c r="A420" s="5" t="s">
        <v>690</v>
      </c>
      <c r="B420" s="5" t="s">
        <v>3116</v>
      </c>
      <c r="C420" s="2" t="s">
        <v>2163</v>
      </c>
      <c r="D420" s="5" t="s">
        <v>1836</v>
      </c>
      <c r="E420" s="5" t="s">
        <v>1838</v>
      </c>
      <c r="F420" s="5">
        <v>2.5925099999999999</v>
      </c>
      <c r="G420" s="5">
        <v>0.97331199999999995</v>
      </c>
      <c r="H420" s="5">
        <v>-1.4133800000000001</v>
      </c>
      <c r="I420" s="5">
        <v>1</v>
      </c>
      <c r="L420" s="2" t="s">
        <v>1358</v>
      </c>
      <c r="M420" s="2">
        <v>-1.81907</v>
      </c>
    </row>
    <row r="421" spans="1:13" x14ac:dyDescent="0.2">
      <c r="A421" s="5" t="s">
        <v>1350</v>
      </c>
      <c r="B421" s="5" t="s">
        <v>3030</v>
      </c>
      <c r="C421" s="2" t="s">
        <v>2540</v>
      </c>
      <c r="D421" s="5" t="s">
        <v>1836</v>
      </c>
      <c r="E421" s="5" t="s">
        <v>1838</v>
      </c>
      <c r="F421" s="5">
        <v>10.253500000000001</v>
      </c>
      <c r="G421" s="5">
        <v>5.1253099999999998</v>
      </c>
      <c r="H421" s="5">
        <v>-1.00041</v>
      </c>
      <c r="I421" s="5">
        <v>1</v>
      </c>
      <c r="L421" s="2" t="s">
        <v>1359</v>
      </c>
      <c r="M421" s="2">
        <v>2.28531</v>
      </c>
    </row>
    <row r="422" spans="1:13" x14ac:dyDescent="0.2">
      <c r="A422" s="5" t="s">
        <v>699</v>
      </c>
      <c r="B422" s="5" t="s">
        <v>3153</v>
      </c>
      <c r="C422" s="2" t="s">
        <v>2541</v>
      </c>
      <c r="D422" s="5" t="s">
        <v>1836</v>
      </c>
      <c r="E422" s="5" t="s">
        <v>1838</v>
      </c>
      <c r="F422" s="5">
        <v>49.238199999999999</v>
      </c>
      <c r="G422" s="5">
        <v>18.924800000000001</v>
      </c>
      <c r="H422" s="5">
        <v>-1.3794999999999999</v>
      </c>
      <c r="I422" s="5">
        <v>1</v>
      </c>
      <c r="L422" s="2" t="s">
        <v>1360</v>
      </c>
      <c r="M422" s="2">
        <v>-1.9537100000000001</v>
      </c>
    </row>
    <row r="423" spans="1:13" x14ac:dyDescent="0.2">
      <c r="A423" s="5" t="s">
        <v>1352</v>
      </c>
      <c r="B423" s="5" t="s">
        <v>3015</v>
      </c>
      <c r="C423" s="2" t="s">
        <v>2542</v>
      </c>
      <c r="D423" s="5" t="s">
        <v>1836</v>
      </c>
      <c r="E423" s="5" t="s">
        <v>1838</v>
      </c>
      <c r="F423" s="5">
        <v>95.010800000000003</v>
      </c>
      <c r="G423" s="5">
        <v>206.60599999999999</v>
      </c>
      <c r="H423" s="5">
        <v>1.1207199999999999</v>
      </c>
      <c r="I423" s="5">
        <v>1</v>
      </c>
      <c r="L423" s="2" t="s">
        <v>1361</v>
      </c>
      <c r="M423" s="2">
        <v>-1.0681700000000001</v>
      </c>
    </row>
    <row r="424" spans="1:13" x14ac:dyDescent="0.2">
      <c r="A424" s="5" t="s">
        <v>1353</v>
      </c>
      <c r="B424" s="5" t="s">
        <v>3015</v>
      </c>
      <c r="C424" s="2" t="s">
        <v>2543</v>
      </c>
      <c r="D424" s="5" t="s">
        <v>1836</v>
      </c>
      <c r="E424" s="5" t="s">
        <v>1838</v>
      </c>
      <c r="F424" s="5">
        <v>1.44001</v>
      </c>
      <c r="G424" s="5">
        <v>0.54995300000000003</v>
      </c>
      <c r="H424" s="5">
        <v>-1.3887</v>
      </c>
      <c r="I424" s="5">
        <v>1</v>
      </c>
      <c r="L424" s="2" t="s">
        <v>721</v>
      </c>
      <c r="M424" s="2">
        <v>-1.7603500000000001</v>
      </c>
    </row>
    <row r="425" spans="1:13" x14ac:dyDescent="0.2">
      <c r="A425" s="5" t="s">
        <v>701</v>
      </c>
      <c r="B425" s="5" t="s">
        <v>3015</v>
      </c>
      <c r="C425" s="2" t="s">
        <v>2169</v>
      </c>
      <c r="D425" s="5" t="s">
        <v>1836</v>
      </c>
      <c r="E425" s="5" t="s">
        <v>1838</v>
      </c>
      <c r="F425" s="5">
        <v>2.2369500000000002</v>
      </c>
      <c r="G425" s="5">
        <v>0.76460399999999995</v>
      </c>
      <c r="H425" s="5">
        <v>-1.5487500000000001</v>
      </c>
      <c r="I425" s="5">
        <v>1</v>
      </c>
      <c r="L425" s="2" t="s">
        <v>1362</v>
      </c>
      <c r="M425" s="2">
        <v>-1.0973200000000001</v>
      </c>
    </row>
    <row r="426" spans="1:13" x14ac:dyDescent="0.2">
      <c r="A426" s="5" t="s">
        <v>1354</v>
      </c>
      <c r="B426" s="5" t="s">
        <v>3015</v>
      </c>
      <c r="C426" s="2" t="s">
        <v>3496</v>
      </c>
      <c r="D426" s="5" t="s">
        <v>1836</v>
      </c>
      <c r="E426" s="5" t="s">
        <v>1838</v>
      </c>
      <c r="F426" s="5">
        <v>1.5977399999999999</v>
      </c>
      <c r="G426" s="5">
        <v>0.47414499999999998</v>
      </c>
      <c r="H426" s="5">
        <v>-1.7526299999999999</v>
      </c>
      <c r="I426" s="5">
        <v>1</v>
      </c>
      <c r="L426" s="2" t="s">
        <v>722</v>
      </c>
      <c r="M426" s="2">
        <v>1.6463099999999999</v>
      </c>
    </row>
    <row r="427" spans="1:13" x14ac:dyDescent="0.2">
      <c r="A427" s="5" t="s">
        <v>1355</v>
      </c>
      <c r="B427" s="5" t="s">
        <v>3030</v>
      </c>
      <c r="C427" s="2" t="s">
        <v>3496</v>
      </c>
      <c r="D427" s="5" t="s">
        <v>1836</v>
      </c>
      <c r="E427" s="5" t="s">
        <v>1838</v>
      </c>
      <c r="F427" s="5">
        <v>2.3224499999999999</v>
      </c>
      <c r="G427" s="5">
        <v>4.9056699999999998</v>
      </c>
      <c r="H427" s="5">
        <v>1.07881</v>
      </c>
      <c r="I427" s="5">
        <v>1</v>
      </c>
      <c r="L427" s="2" t="s">
        <v>1364</v>
      </c>
      <c r="M427" s="2">
        <v>-1.0242</v>
      </c>
    </row>
    <row r="428" spans="1:13" x14ac:dyDescent="0.2">
      <c r="A428" s="5" t="s">
        <v>707</v>
      </c>
      <c r="B428" s="5" t="s">
        <v>3015</v>
      </c>
      <c r="C428" s="2" t="s">
        <v>2171</v>
      </c>
      <c r="D428" s="5" t="s">
        <v>1836</v>
      </c>
      <c r="E428" s="5" t="s">
        <v>1838</v>
      </c>
      <c r="F428" s="5">
        <v>22.814599999999999</v>
      </c>
      <c r="G428" s="5">
        <v>5.0983799999999997</v>
      </c>
      <c r="H428" s="5">
        <v>-2.1618499999999998</v>
      </c>
      <c r="I428" s="5">
        <v>1</v>
      </c>
      <c r="L428" s="2" t="s">
        <v>1365</v>
      </c>
      <c r="M428" s="2">
        <v>-1.4936100000000001</v>
      </c>
    </row>
    <row r="429" spans="1:13" x14ac:dyDescent="0.2">
      <c r="A429" s="5" t="s">
        <v>1356</v>
      </c>
      <c r="B429" s="5" t="s">
        <v>3038</v>
      </c>
      <c r="C429" s="2" t="s">
        <v>2544</v>
      </c>
      <c r="D429" s="5" t="s">
        <v>1836</v>
      </c>
      <c r="E429" s="5" t="s">
        <v>1838</v>
      </c>
      <c r="F429" s="5">
        <v>0.51043799999999995</v>
      </c>
      <c r="G429" s="5">
        <v>1.1597999999999999</v>
      </c>
      <c r="H429" s="5">
        <v>1.18407</v>
      </c>
      <c r="I429" s="5">
        <v>1</v>
      </c>
      <c r="L429" s="2" t="s">
        <v>1366</v>
      </c>
      <c r="M429" s="2">
        <v>1.0181899999999999</v>
      </c>
    </row>
    <row r="430" spans="1:13" x14ac:dyDescent="0.2">
      <c r="A430" s="5" t="s">
        <v>714</v>
      </c>
      <c r="B430" s="5" t="s">
        <v>3015</v>
      </c>
      <c r="C430" s="2" t="s">
        <v>3496</v>
      </c>
      <c r="D430" s="5" t="s">
        <v>1836</v>
      </c>
      <c r="E430" s="5" t="s">
        <v>1838</v>
      </c>
      <c r="F430" s="5">
        <v>41.402299999999997</v>
      </c>
      <c r="G430" s="5">
        <v>88.274900000000002</v>
      </c>
      <c r="H430" s="5">
        <v>1.09229</v>
      </c>
      <c r="I430" s="5">
        <v>1</v>
      </c>
      <c r="L430" s="2" t="s">
        <v>730</v>
      </c>
      <c r="M430" s="2">
        <v>-1.26627</v>
      </c>
    </row>
    <row r="431" spans="1:13" x14ac:dyDescent="0.2">
      <c r="A431" s="5" t="s">
        <v>1357</v>
      </c>
      <c r="B431" s="5" t="s">
        <v>3015</v>
      </c>
      <c r="C431" s="2" t="s">
        <v>2545</v>
      </c>
      <c r="D431" s="5" t="s">
        <v>1836</v>
      </c>
      <c r="E431" s="5" t="s">
        <v>1838</v>
      </c>
      <c r="F431" s="5">
        <v>1.2413400000000001</v>
      </c>
      <c r="G431" s="5">
        <v>0.58250599999999997</v>
      </c>
      <c r="H431" s="5">
        <v>-1.09155</v>
      </c>
      <c r="I431" s="5">
        <v>1</v>
      </c>
      <c r="L431" s="2" t="s">
        <v>731</v>
      </c>
      <c r="M431" s="2">
        <v>-1.11528</v>
      </c>
    </row>
    <row r="432" spans="1:13" x14ac:dyDescent="0.2">
      <c r="A432" s="5" t="s">
        <v>1358</v>
      </c>
      <c r="B432" s="5" t="s">
        <v>3015</v>
      </c>
      <c r="C432" s="2" t="s">
        <v>2546</v>
      </c>
      <c r="D432" s="5" t="s">
        <v>1836</v>
      </c>
      <c r="E432" s="5" t="s">
        <v>1838</v>
      </c>
      <c r="F432" s="5">
        <v>1.4504999999999999</v>
      </c>
      <c r="G432" s="5">
        <v>0.41107700000000003</v>
      </c>
      <c r="H432" s="5">
        <v>-1.81907</v>
      </c>
      <c r="I432" s="5">
        <v>1</v>
      </c>
      <c r="L432" s="2" t="s">
        <v>1367</v>
      </c>
      <c r="M432" s="2">
        <v>-1.89988</v>
      </c>
    </row>
    <row r="433" spans="1:13" x14ac:dyDescent="0.2">
      <c r="A433" s="5" t="s">
        <v>1359</v>
      </c>
      <c r="B433" s="5" t="s">
        <v>3015</v>
      </c>
      <c r="C433" s="2" t="s">
        <v>3496</v>
      </c>
      <c r="D433" s="5" t="s">
        <v>1836</v>
      </c>
      <c r="E433" s="5" t="s">
        <v>1838</v>
      </c>
      <c r="F433" s="5">
        <v>2.1955100000000001</v>
      </c>
      <c r="G433" s="5">
        <v>10.702400000000001</v>
      </c>
      <c r="H433" s="5">
        <v>2.28531</v>
      </c>
      <c r="I433" s="5">
        <v>1</v>
      </c>
      <c r="L433" s="2" t="s">
        <v>1369</v>
      </c>
      <c r="M433" s="2">
        <v>1.641</v>
      </c>
    </row>
    <row r="434" spans="1:13" x14ac:dyDescent="0.2">
      <c r="A434" s="5" t="s">
        <v>1360</v>
      </c>
      <c r="B434" s="5" t="s">
        <v>3197</v>
      </c>
      <c r="C434" s="2" t="s">
        <v>2179</v>
      </c>
      <c r="D434" s="5" t="s">
        <v>1836</v>
      </c>
      <c r="E434" s="5" t="s">
        <v>1838</v>
      </c>
      <c r="F434" s="5">
        <v>0.85164099999999998</v>
      </c>
      <c r="G434" s="5">
        <v>0.21985299999999999</v>
      </c>
      <c r="H434" s="5">
        <v>-1.9537100000000001</v>
      </c>
      <c r="I434" s="5">
        <v>1</v>
      </c>
      <c r="L434" s="2" t="s">
        <v>1370</v>
      </c>
      <c r="M434" s="2">
        <v>1.2510699999999999</v>
      </c>
    </row>
    <row r="435" spans="1:13" x14ac:dyDescent="0.2">
      <c r="A435" s="5" t="s">
        <v>1361</v>
      </c>
      <c r="B435" s="5" t="s">
        <v>3353</v>
      </c>
      <c r="C435" s="2" t="s">
        <v>2547</v>
      </c>
      <c r="D435" s="5" t="s">
        <v>1836</v>
      </c>
      <c r="E435" s="5" t="s">
        <v>1838</v>
      </c>
      <c r="F435" s="5">
        <v>2.3009900000000001</v>
      </c>
      <c r="G435" s="5">
        <v>1.0973999999999999</v>
      </c>
      <c r="H435" s="5">
        <v>-1.0681700000000001</v>
      </c>
      <c r="I435" s="5">
        <v>1</v>
      </c>
      <c r="L435" s="2" t="s">
        <v>1371</v>
      </c>
      <c r="M435" s="2">
        <v>-1.14344</v>
      </c>
    </row>
    <row r="436" spans="1:13" x14ac:dyDescent="0.2">
      <c r="A436" s="5" t="s">
        <v>721</v>
      </c>
      <c r="B436" s="5" t="s">
        <v>3305</v>
      </c>
      <c r="C436" s="2" t="s">
        <v>2429</v>
      </c>
      <c r="D436" s="5" t="s">
        <v>1836</v>
      </c>
      <c r="E436" s="5" t="s">
        <v>1838</v>
      </c>
      <c r="F436" s="5">
        <v>4.9817099999999996</v>
      </c>
      <c r="G436" s="5">
        <v>1.47048</v>
      </c>
      <c r="H436" s="5">
        <v>-1.7603500000000001</v>
      </c>
      <c r="I436" s="5">
        <v>1</v>
      </c>
      <c r="L436" s="2" t="s">
        <v>1372</v>
      </c>
      <c r="M436" s="2">
        <v>-2.1474500000000001</v>
      </c>
    </row>
    <row r="437" spans="1:13" x14ac:dyDescent="0.2">
      <c r="A437" s="5" t="s">
        <v>1362</v>
      </c>
      <c r="B437" s="5" t="s">
        <v>3353</v>
      </c>
      <c r="C437" s="2" t="s">
        <v>2548</v>
      </c>
      <c r="D437" s="5" t="s">
        <v>1836</v>
      </c>
      <c r="E437" s="5" t="s">
        <v>1838</v>
      </c>
      <c r="F437" s="5">
        <v>17.153099999999998</v>
      </c>
      <c r="G437" s="5">
        <v>8.0170700000000004</v>
      </c>
      <c r="H437" s="5">
        <v>-1.0973200000000001</v>
      </c>
      <c r="I437" s="5">
        <v>1</v>
      </c>
      <c r="L437" s="2" t="s">
        <v>1373</v>
      </c>
      <c r="M437" s="2">
        <v>-1.0481799999999999</v>
      </c>
    </row>
    <row r="438" spans="1:13" x14ac:dyDescent="0.2">
      <c r="A438" s="5" t="s">
        <v>722</v>
      </c>
      <c r="B438" s="5" t="s">
        <v>3015</v>
      </c>
      <c r="C438" s="2" t="s">
        <v>3496</v>
      </c>
      <c r="D438" s="5" t="s">
        <v>1836</v>
      </c>
      <c r="E438" s="5" t="s">
        <v>1838</v>
      </c>
      <c r="F438" s="5">
        <v>2.3320099999999999</v>
      </c>
      <c r="G438" s="5">
        <v>7.2999700000000001</v>
      </c>
      <c r="H438" s="5">
        <v>1.6463099999999999</v>
      </c>
      <c r="I438" s="5">
        <v>1</v>
      </c>
      <c r="L438" s="2" t="s">
        <v>1375</v>
      </c>
      <c r="M438" s="2">
        <v>-1.06409</v>
      </c>
    </row>
    <row r="439" spans="1:13" x14ac:dyDescent="0.2">
      <c r="A439" s="5" t="s">
        <v>1364</v>
      </c>
      <c r="B439" s="5" t="s">
        <v>3015</v>
      </c>
      <c r="C439" s="2" t="s">
        <v>2549</v>
      </c>
      <c r="D439" s="5" t="s">
        <v>1836</v>
      </c>
      <c r="E439" s="5" t="s">
        <v>1838</v>
      </c>
      <c r="F439" s="5">
        <v>4.4039299999999999</v>
      </c>
      <c r="G439" s="5">
        <v>2.16534</v>
      </c>
      <c r="H439" s="5">
        <v>-1.0242</v>
      </c>
      <c r="I439" s="5">
        <v>1</v>
      </c>
      <c r="L439" s="2" t="s">
        <v>742</v>
      </c>
      <c r="M439" s="2">
        <v>-1.05091</v>
      </c>
    </row>
    <row r="440" spans="1:13" x14ac:dyDescent="0.2">
      <c r="A440" s="5" t="s">
        <v>1365</v>
      </c>
      <c r="B440" s="5" t="s">
        <v>3081</v>
      </c>
      <c r="C440" s="2" t="s">
        <v>1965</v>
      </c>
      <c r="D440" s="5" t="s">
        <v>1836</v>
      </c>
      <c r="E440" s="5" t="s">
        <v>1838</v>
      </c>
      <c r="F440" s="5">
        <v>2.0848800000000001</v>
      </c>
      <c r="G440" s="5">
        <v>0.74038800000000005</v>
      </c>
      <c r="H440" s="5">
        <v>-1.4936100000000001</v>
      </c>
      <c r="I440" s="5">
        <v>1</v>
      </c>
      <c r="L440" s="2" t="s">
        <v>743</v>
      </c>
      <c r="M440" s="2">
        <v>-1.1169500000000001</v>
      </c>
    </row>
    <row r="441" spans="1:13" x14ac:dyDescent="0.2">
      <c r="A441" s="5" t="s">
        <v>1366</v>
      </c>
      <c r="B441" s="5" t="s">
        <v>3027</v>
      </c>
      <c r="C441" s="2" t="s">
        <v>2550</v>
      </c>
      <c r="D441" s="5" t="s">
        <v>1836</v>
      </c>
      <c r="E441" s="5" t="s">
        <v>1838</v>
      </c>
      <c r="F441" s="5">
        <v>1.6348</v>
      </c>
      <c r="G441" s="5">
        <v>3.31107</v>
      </c>
      <c r="H441" s="5">
        <v>1.0181899999999999</v>
      </c>
      <c r="I441" s="5">
        <v>1</v>
      </c>
      <c r="L441" s="2" t="s">
        <v>1376</v>
      </c>
      <c r="M441" s="2">
        <v>1.0821799999999999</v>
      </c>
    </row>
    <row r="442" spans="1:13" x14ac:dyDescent="0.2">
      <c r="A442" s="5" t="s">
        <v>730</v>
      </c>
      <c r="B442" s="5" t="s">
        <v>3030</v>
      </c>
      <c r="C442" s="2" t="s">
        <v>1862</v>
      </c>
      <c r="D442" s="5" t="s">
        <v>1836</v>
      </c>
      <c r="E442" s="5" t="s">
        <v>1838</v>
      </c>
      <c r="F442" s="5">
        <v>1.82142</v>
      </c>
      <c r="G442" s="5">
        <v>0.75722400000000001</v>
      </c>
      <c r="H442" s="5">
        <v>-1.26627</v>
      </c>
      <c r="I442" s="5">
        <v>1</v>
      </c>
      <c r="L442" s="2" t="s">
        <v>744</v>
      </c>
      <c r="M442" s="2">
        <v>-2.2781500000000001</v>
      </c>
    </row>
    <row r="443" spans="1:13" x14ac:dyDescent="0.2">
      <c r="A443" s="5" t="s">
        <v>731</v>
      </c>
      <c r="B443" s="5" t="s">
        <v>3015</v>
      </c>
      <c r="C443" s="2" t="s">
        <v>2183</v>
      </c>
      <c r="D443" s="5" t="s">
        <v>1836</v>
      </c>
      <c r="E443" s="5" t="s">
        <v>1838</v>
      </c>
      <c r="F443" s="5">
        <v>5.3973699999999996</v>
      </c>
      <c r="G443" s="5">
        <v>2.4914399999999999</v>
      </c>
      <c r="H443" s="5">
        <v>-1.11528</v>
      </c>
      <c r="I443" s="5">
        <v>1</v>
      </c>
      <c r="L443" s="2" t="s">
        <v>1378</v>
      </c>
      <c r="M443" s="2">
        <v>-1.0769</v>
      </c>
    </row>
    <row r="444" spans="1:13" x14ac:dyDescent="0.2">
      <c r="A444" s="5" t="s">
        <v>1367</v>
      </c>
      <c r="B444" s="5" t="s">
        <v>3015</v>
      </c>
      <c r="C444" s="2" t="s">
        <v>3496</v>
      </c>
      <c r="D444" s="5" t="s">
        <v>1836</v>
      </c>
      <c r="E444" s="5" t="s">
        <v>1838</v>
      </c>
      <c r="F444" s="5">
        <v>1.8270500000000001</v>
      </c>
      <c r="G444" s="5">
        <v>0.48958499999999999</v>
      </c>
      <c r="H444" s="5">
        <v>-1.89988</v>
      </c>
      <c r="I444" s="5">
        <v>1</v>
      </c>
      <c r="L444" s="2" t="s">
        <v>1380</v>
      </c>
      <c r="M444" s="2">
        <v>-1.68716</v>
      </c>
    </row>
    <row r="445" spans="1:13" x14ac:dyDescent="0.2">
      <c r="A445" s="5" t="s">
        <v>1369</v>
      </c>
      <c r="B445" s="5" t="s">
        <v>3209</v>
      </c>
      <c r="C445" s="2" t="s">
        <v>2205</v>
      </c>
      <c r="D445" s="5" t="s">
        <v>1836</v>
      </c>
      <c r="E445" s="5" t="s">
        <v>1838</v>
      </c>
      <c r="F445" s="5">
        <v>0.31018000000000001</v>
      </c>
      <c r="G445" s="5">
        <v>0.96739299999999995</v>
      </c>
      <c r="H445" s="5">
        <v>1.641</v>
      </c>
      <c r="I445" s="5">
        <v>1</v>
      </c>
      <c r="L445" s="2" t="s">
        <v>750</v>
      </c>
      <c r="M445" s="2">
        <v>-2.14235</v>
      </c>
    </row>
    <row r="446" spans="1:13" x14ac:dyDescent="0.2">
      <c r="A446" s="5" t="s">
        <v>1370</v>
      </c>
      <c r="B446" s="5" t="s">
        <v>3015</v>
      </c>
      <c r="C446" s="2" t="s">
        <v>2551</v>
      </c>
      <c r="D446" s="5" t="s">
        <v>1836</v>
      </c>
      <c r="E446" s="5" t="s">
        <v>1838</v>
      </c>
      <c r="F446" s="5">
        <v>0.78463899999999998</v>
      </c>
      <c r="G446" s="5">
        <v>1.86758</v>
      </c>
      <c r="H446" s="5">
        <v>1.2510699999999999</v>
      </c>
      <c r="I446" s="5">
        <v>1</v>
      </c>
      <c r="L446" s="2" t="s">
        <v>1381</v>
      </c>
      <c r="M446" s="2">
        <v>-1.19733</v>
      </c>
    </row>
    <row r="447" spans="1:13" x14ac:dyDescent="0.2">
      <c r="A447" s="5" t="s">
        <v>1371</v>
      </c>
      <c r="B447" s="5" t="s">
        <v>3015</v>
      </c>
      <c r="C447" s="2" t="s">
        <v>1862</v>
      </c>
      <c r="D447" s="5" t="s">
        <v>1836</v>
      </c>
      <c r="E447" s="5" t="s">
        <v>1838</v>
      </c>
      <c r="F447" s="5">
        <v>1.3326</v>
      </c>
      <c r="G447" s="5">
        <v>0.60324</v>
      </c>
      <c r="H447" s="5">
        <v>-1.14344</v>
      </c>
      <c r="I447" s="5">
        <v>1</v>
      </c>
      <c r="L447" s="2" t="s">
        <v>754</v>
      </c>
      <c r="M447" s="2">
        <v>-1.1122799999999999</v>
      </c>
    </row>
    <row r="448" spans="1:13" x14ac:dyDescent="0.2">
      <c r="A448" s="5" t="s">
        <v>1372</v>
      </c>
      <c r="B448" s="5" t="s">
        <v>3354</v>
      </c>
      <c r="C448" s="2" t="s">
        <v>2552</v>
      </c>
      <c r="D448" s="5" t="s">
        <v>1836</v>
      </c>
      <c r="E448" s="5" t="s">
        <v>1838</v>
      </c>
      <c r="F448" s="5">
        <v>4.0178599999999998</v>
      </c>
      <c r="G448" s="5">
        <v>0.90687600000000002</v>
      </c>
      <c r="H448" s="5">
        <v>-2.1474500000000001</v>
      </c>
      <c r="I448" s="5">
        <v>1</v>
      </c>
      <c r="L448" s="2" t="s">
        <v>759</v>
      </c>
      <c r="M448" s="2">
        <v>-1.6428100000000001</v>
      </c>
    </row>
    <row r="449" spans="1:13" x14ac:dyDescent="0.2">
      <c r="A449" s="5" t="s">
        <v>1373</v>
      </c>
      <c r="B449" s="5" t="s">
        <v>3355</v>
      </c>
      <c r="C449" s="2" t="s">
        <v>2552</v>
      </c>
      <c r="D449" s="5" t="s">
        <v>1836</v>
      </c>
      <c r="E449" s="5" t="s">
        <v>1838</v>
      </c>
      <c r="F449" s="5">
        <v>4.6199399999999997</v>
      </c>
      <c r="G449" s="5">
        <v>2.2341000000000002</v>
      </c>
      <c r="H449" s="5">
        <v>-1.0481799999999999</v>
      </c>
      <c r="I449" s="5">
        <v>1</v>
      </c>
      <c r="L449" s="2" t="s">
        <v>760</v>
      </c>
      <c r="M449" s="2">
        <v>-2.5783399999999999</v>
      </c>
    </row>
    <row r="450" spans="1:13" x14ac:dyDescent="0.2">
      <c r="A450" s="5" t="s">
        <v>1375</v>
      </c>
      <c r="B450" s="5" t="s">
        <v>3149</v>
      </c>
      <c r="C450" s="2" t="s">
        <v>2553</v>
      </c>
      <c r="D450" s="5" t="s">
        <v>1836</v>
      </c>
      <c r="E450" s="5" t="s">
        <v>1838</v>
      </c>
      <c r="F450" s="5">
        <v>1.09548</v>
      </c>
      <c r="G450" s="5">
        <v>0.52393999999999996</v>
      </c>
      <c r="H450" s="5">
        <v>-1.06409</v>
      </c>
      <c r="I450" s="5">
        <v>1</v>
      </c>
      <c r="L450" s="2" t="s">
        <v>1382</v>
      </c>
      <c r="M450" s="2">
        <v>-1.18607</v>
      </c>
    </row>
    <row r="451" spans="1:13" x14ac:dyDescent="0.2">
      <c r="A451" s="5" t="s">
        <v>742</v>
      </c>
      <c r="B451" s="5" t="s">
        <v>3058</v>
      </c>
      <c r="C451" s="2" t="s">
        <v>2185</v>
      </c>
      <c r="D451" s="5" t="s">
        <v>1836</v>
      </c>
      <c r="E451" s="5" t="s">
        <v>1838</v>
      </c>
      <c r="F451" s="5">
        <v>2.4286599999999998</v>
      </c>
      <c r="G451" s="5">
        <v>1.1722300000000001</v>
      </c>
      <c r="H451" s="5">
        <v>-1.05091</v>
      </c>
      <c r="I451" s="5">
        <v>1</v>
      </c>
      <c r="L451" s="2" t="s">
        <v>763</v>
      </c>
      <c r="M451" s="2">
        <v>-2.0514299999999999</v>
      </c>
    </row>
    <row r="452" spans="1:13" x14ac:dyDescent="0.2">
      <c r="A452" s="5" t="s">
        <v>743</v>
      </c>
      <c r="B452" s="5" t="s">
        <v>3201</v>
      </c>
      <c r="C452" s="2" t="s">
        <v>2186</v>
      </c>
      <c r="D452" s="5" t="s">
        <v>1836</v>
      </c>
      <c r="E452" s="5" t="s">
        <v>1838</v>
      </c>
      <c r="F452" s="5">
        <v>1.78914</v>
      </c>
      <c r="G452" s="5">
        <v>0.82491800000000004</v>
      </c>
      <c r="H452" s="5">
        <v>-1.1169500000000001</v>
      </c>
      <c r="I452" s="5">
        <v>1</v>
      </c>
      <c r="L452" s="2" t="s">
        <v>1383</v>
      </c>
      <c r="M452" s="2">
        <v>1.7581899999999999</v>
      </c>
    </row>
    <row r="453" spans="1:13" x14ac:dyDescent="0.2">
      <c r="A453" s="5" t="s">
        <v>1376</v>
      </c>
      <c r="B453" s="5" t="s">
        <v>3356</v>
      </c>
      <c r="C453" s="2" t="s">
        <v>2554</v>
      </c>
      <c r="D453" s="5" t="s">
        <v>1836</v>
      </c>
      <c r="E453" s="5" t="s">
        <v>1838</v>
      </c>
      <c r="F453" s="5">
        <v>3.20777</v>
      </c>
      <c r="G453" s="5">
        <v>6.7915999999999999</v>
      </c>
      <c r="H453" s="5">
        <v>1.0821799999999999</v>
      </c>
      <c r="I453" s="5">
        <v>1</v>
      </c>
      <c r="L453" s="2" t="s">
        <v>1384</v>
      </c>
      <c r="M453" s="2">
        <v>-2.8657599999999999</v>
      </c>
    </row>
    <row r="454" spans="1:13" x14ac:dyDescent="0.2">
      <c r="A454" s="5" t="s">
        <v>744</v>
      </c>
      <c r="B454" s="5" t="s">
        <v>3202</v>
      </c>
      <c r="C454" s="2" t="s">
        <v>1937</v>
      </c>
      <c r="D454" s="5" t="s">
        <v>1836</v>
      </c>
      <c r="E454" s="5" t="s">
        <v>1838</v>
      </c>
      <c r="F454" s="5">
        <v>2.5004200000000001</v>
      </c>
      <c r="G454" s="5">
        <v>0.51549100000000003</v>
      </c>
      <c r="H454" s="5">
        <v>-2.2781500000000001</v>
      </c>
      <c r="I454" s="5">
        <v>1</v>
      </c>
      <c r="L454" s="2" t="s">
        <v>766</v>
      </c>
      <c r="M454" s="2">
        <v>-1.19811</v>
      </c>
    </row>
    <row r="455" spans="1:13" x14ac:dyDescent="0.2">
      <c r="A455" s="5" t="s">
        <v>1378</v>
      </c>
      <c r="B455" s="5" t="s">
        <v>3357</v>
      </c>
      <c r="C455" s="2" t="s">
        <v>2555</v>
      </c>
      <c r="D455" s="5" t="s">
        <v>1836</v>
      </c>
      <c r="E455" s="5" t="s">
        <v>1838</v>
      </c>
      <c r="F455" s="5">
        <v>60.236899999999999</v>
      </c>
      <c r="G455" s="5">
        <v>28.555</v>
      </c>
      <c r="H455" s="5">
        <v>-1.0769</v>
      </c>
      <c r="I455" s="5">
        <v>1</v>
      </c>
      <c r="L455" s="2" t="s">
        <v>767</v>
      </c>
      <c r="M455" s="2">
        <v>1.0029300000000001</v>
      </c>
    </row>
    <row r="456" spans="1:13" x14ac:dyDescent="0.2">
      <c r="A456" s="5" t="s">
        <v>1380</v>
      </c>
      <c r="B456" s="5" t="s">
        <v>3024</v>
      </c>
      <c r="C456" s="2" t="s">
        <v>2556</v>
      </c>
      <c r="D456" s="5" t="s">
        <v>1836</v>
      </c>
      <c r="E456" s="5" t="s">
        <v>1838</v>
      </c>
      <c r="F456" s="5">
        <v>6.38462</v>
      </c>
      <c r="G456" s="5">
        <v>1.9826600000000001</v>
      </c>
      <c r="H456" s="5">
        <v>-1.68716</v>
      </c>
      <c r="I456" s="5">
        <v>1</v>
      </c>
      <c r="L456" s="2" t="s">
        <v>773</v>
      </c>
      <c r="M456" s="2">
        <v>-1.2816000000000001</v>
      </c>
    </row>
    <row r="457" spans="1:13" x14ac:dyDescent="0.2">
      <c r="A457" s="5" t="s">
        <v>750</v>
      </c>
      <c r="B457" s="5" t="s">
        <v>3047</v>
      </c>
      <c r="C457" s="2" t="s">
        <v>3496</v>
      </c>
      <c r="D457" s="5" t="s">
        <v>1836</v>
      </c>
      <c r="E457" s="5" t="s">
        <v>1838</v>
      </c>
      <c r="F457" s="5">
        <v>5.2603799999999996</v>
      </c>
      <c r="G457" s="5">
        <v>1.19153</v>
      </c>
      <c r="H457" s="5">
        <v>-2.14235</v>
      </c>
      <c r="I457" s="5">
        <v>1</v>
      </c>
      <c r="L457" s="2" t="s">
        <v>1386</v>
      </c>
      <c r="M457" s="2">
        <v>-1.5945100000000001</v>
      </c>
    </row>
    <row r="458" spans="1:13" x14ac:dyDescent="0.2">
      <c r="A458" s="5" t="s">
        <v>1381</v>
      </c>
      <c r="B458" s="5" t="s">
        <v>3175</v>
      </c>
      <c r="C458" s="2" t="s">
        <v>2557</v>
      </c>
      <c r="D458" s="5" t="s">
        <v>1836</v>
      </c>
      <c r="E458" s="5" t="s">
        <v>1838</v>
      </c>
      <c r="F458" s="5">
        <v>2.5284200000000001</v>
      </c>
      <c r="G458" s="5">
        <v>1.1026</v>
      </c>
      <c r="H458" s="5">
        <v>-1.19733</v>
      </c>
      <c r="I458" s="5">
        <v>1</v>
      </c>
      <c r="L458" s="2" t="s">
        <v>777</v>
      </c>
      <c r="M458" s="2">
        <v>-1.373</v>
      </c>
    </row>
    <row r="459" spans="1:13" x14ac:dyDescent="0.2">
      <c r="A459" s="5" t="s">
        <v>754</v>
      </c>
      <c r="B459" s="5" t="s">
        <v>3062</v>
      </c>
      <c r="C459" s="2" t="s">
        <v>2188</v>
      </c>
      <c r="D459" s="5" t="s">
        <v>1836</v>
      </c>
      <c r="E459" s="5" t="s">
        <v>1838</v>
      </c>
      <c r="F459" s="5">
        <v>6.9001400000000004</v>
      </c>
      <c r="G459" s="5">
        <v>3.1917399999999998</v>
      </c>
      <c r="H459" s="5">
        <v>-1.1122799999999999</v>
      </c>
      <c r="I459" s="5">
        <v>1</v>
      </c>
      <c r="L459" s="2" t="s">
        <v>778</v>
      </c>
      <c r="M459" s="2">
        <v>-1.37243</v>
      </c>
    </row>
    <row r="460" spans="1:13" x14ac:dyDescent="0.2">
      <c r="A460" s="5" t="s">
        <v>759</v>
      </c>
      <c r="B460" s="5" t="s">
        <v>3204</v>
      </c>
      <c r="C460" s="2" t="s">
        <v>2190</v>
      </c>
      <c r="D460" s="5" t="s">
        <v>1836</v>
      </c>
      <c r="E460" s="5" t="s">
        <v>1838</v>
      </c>
      <c r="F460" s="5">
        <v>10.7218</v>
      </c>
      <c r="G460" s="5">
        <v>3.4334600000000002</v>
      </c>
      <c r="H460" s="5">
        <v>-1.6428100000000001</v>
      </c>
      <c r="I460" s="5">
        <v>1</v>
      </c>
      <c r="L460" s="2" t="s">
        <v>1387</v>
      </c>
      <c r="M460" s="2">
        <v>1.09091</v>
      </c>
    </row>
    <row r="461" spans="1:13" x14ac:dyDescent="0.2">
      <c r="A461" s="5" t="s">
        <v>760</v>
      </c>
      <c r="B461" s="5" t="s">
        <v>3015</v>
      </c>
      <c r="C461" s="2" t="s">
        <v>3496</v>
      </c>
      <c r="D461" s="5" t="s">
        <v>1836</v>
      </c>
      <c r="E461" s="5" t="s">
        <v>1838</v>
      </c>
      <c r="F461" s="5">
        <v>3.50373</v>
      </c>
      <c r="G461" s="5">
        <v>0.58664099999999997</v>
      </c>
      <c r="H461" s="5">
        <v>-2.5783399999999999</v>
      </c>
      <c r="I461" s="5">
        <v>1</v>
      </c>
      <c r="L461" s="2" t="s">
        <v>1388</v>
      </c>
      <c r="M461" s="2">
        <v>1.0446</v>
      </c>
    </row>
    <row r="462" spans="1:13" x14ac:dyDescent="0.2">
      <c r="A462" s="5" t="s">
        <v>1382</v>
      </c>
      <c r="B462" s="5" t="s">
        <v>3358</v>
      </c>
      <c r="C462" s="2" t="s">
        <v>2558</v>
      </c>
      <c r="D462" s="5" t="s">
        <v>1836</v>
      </c>
      <c r="E462" s="5" t="s">
        <v>1838</v>
      </c>
      <c r="F462" s="5">
        <v>1.34354</v>
      </c>
      <c r="G462" s="5">
        <v>0.59048400000000001</v>
      </c>
      <c r="H462" s="5">
        <v>-1.18607</v>
      </c>
      <c r="I462" s="5">
        <v>1</v>
      </c>
      <c r="L462" s="2" t="s">
        <v>786</v>
      </c>
      <c r="M462" s="2">
        <v>1.3352900000000001</v>
      </c>
    </row>
    <row r="463" spans="1:13" x14ac:dyDescent="0.2">
      <c r="A463" s="5" t="s">
        <v>763</v>
      </c>
      <c r="B463" s="5" t="s">
        <v>3045</v>
      </c>
      <c r="C463" s="2" t="s">
        <v>2193</v>
      </c>
      <c r="D463" s="5" t="s">
        <v>1836</v>
      </c>
      <c r="E463" s="5" t="s">
        <v>1838</v>
      </c>
      <c r="F463" s="5">
        <v>4.4005799999999997</v>
      </c>
      <c r="G463" s="5">
        <v>1.0616099999999999</v>
      </c>
      <c r="H463" s="5">
        <v>-2.0514299999999999</v>
      </c>
      <c r="I463" s="5">
        <v>1</v>
      </c>
      <c r="L463" s="2" t="s">
        <v>788</v>
      </c>
      <c r="M463" s="2">
        <v>-1.1009899999999999</v>
      </c>
    </row>
    <row r="464" spans="1:13" x14ac:dyDescent="0.2">
      <c r="A464" s="5" t="s">
        <v>1383</v>
      </c>
      <c r="B464" s="5" t="s">
        <v>3015</v>
      </c>
      <c r="C464" s="2" t="s">
        <v>2559</v>
      </c>
      <c r="D464" s="5" t="s">
        <v>1836</v>
      </c>
      <c r="E464" s="5" t="s">
        <v>1838</v>
      </c>
      <c r="F464" s="5">
        <v>2.9943599999999999</v>
      </c>
      <c r="G464" s="5">
        <v>10.129099999999999</v>
      </c>
      <c r="H464" s="5">
        <v>1.7581899999999999</v>
      </c>
      <c r="I464" s="5">
        <v>1</v>
      </c>
      <c r="L464" s="2" t="s">
        <v>1389</v>
      </c>
      <c r="M464" s="2">
        <v>-1.10327</v>
      </c>
    </row>
    <row r="465" spans="1:13" x14ac:dyDescent="0.2">
      <c r="A465" s="5" t="s">
        <v>1384</v>
      </c>
      <c r="B465" s="5" t="s">
        <v>3095</v>
      </c>
      <c r="C465" s="2" t="s">
        <v>2560</v>
      </c>
      <c r="D465" s="5" t="s">
        <v>1836</v>
      </c>
      <c r="E465" s="5" t="s">
        <v>1838</v>
      </c>
      <c r="F465" s="5">
        <v>4.6001000000000003</v>
      </c>
      <c r="G465" s="5">
        <v>0.63108399999999998</v>
      </c>
      <c r="H465" s="5">
        <v>-2.8657599999999999</v>
      </c>
      <c r="I465" s="5">
        <v>1</v>
      </c>
      <c r="L465" s="2" t="s">
        <v>1390</v>
      </c>
      <c r="M465" s="2">
        <v>-1.09091</v>
      </c>
    </row>
    <row r="466" spans="1:13" x14ac:dyDescent="0.2">
      <c r="A466" s="5" t="s">
        <v>766</v>
      </c>
      <c r="B466" s="5" t="s">
        <v>3015</v>
      </c>
      <c r="C466" s="2" t="s">
        <v>2195</v>
      </c>
      <c r="D466" s="5" t="s">
        <v>1836</v>
      </c>
      <c r="E466" s="5" t="s">
        <v>1838</v>
      </c>
      <c r="F466" s="5">
        <v>2.3186300000000002</v>
      </c>
      <c r="G466" s="5">
        <v>1.0105599999999999</v>
      </c>
      <c r="H466" s="5">
        <v>-1.19811</v>
      </c>
      <c r="I466" s="5">
        <v>1</v>
      </c>
      <c r="L466" s="2" t="s">
        <v>1391</v>
      </c>
      <c r="M466" s="2">
        <v>1.0823199999999999</v>
      </c>
    </row>
    <row r="467" spans="1:13" x14ac:dyDescent="0.2">
      <c r="A467" s="5" t="s">
        <v>767</v>
      </c>
      <c r="B467" s="5" t="s">
        <v>3359</v>
      </c>
      <c r="C467" s="2" t="s">
        <v>2561</v>
      </c>
      <c r="D467" s="5" t="s">
        <v>1836</v>
      </c>
      <c r="E467" s="5" t="s">
        <v>1838</v>
      </c>
      <c r="F467" s="5">
        <v>10.242100000000001</v>
      </c>
      <c r="G467" s="5">
        <v>20.5258</v>
      </c>
      <c r="H467" s="5">
        <v>1.0029300000000001</v>
      </c>
      <c r="I467" s="5">
        <v>1</v>
      </c>
      <c r="L467" s="2" t="s">
        <v>1392</v>
      </c>
      <c r="M467" s="2">
        <v>-1.4952000000000001</v>
      </c>
    </row>
    <row r="468" spans="1:13" x14ac:dyDescent="0.2">
      <c r="A468" s="5" t="s">
        <v>773</v>
      </c>
      <c r="B468" s="5" t="s">
        <v>3038</v>
      </c>
      <c r="C468" s="2" t="s">
        <v>2034</v>
      </c>
      <c r="D468" s="5" t="s">
        <v>1836</v>
      </c>
      <c r="E468" s="5" t="s">
        <v>1838</v>
      </c>
      <c r="F468" s="5">
        <v>4.3860599999999996</v>
      </c>
      <c r="G468" s="5">
        <v>1.80416</v>
      </c>
      <c r="H468" s="5">
        <v>-1.2816000000000001</v>
      </c>
      <c r="I468" s="5">
        <v>1</v>
      </c>
      <c r="L468" s="2" t="s">
        <v>1393</v>
      </c>
      <c r="M468" s="2">
        <v>-1.1344000000000001</v>
      </c>
    </row>
    <row r="469" spans="1:13" x14ac:dyDescent="0.2">
      <c r="A469" s="5" t="s">
        <v>1385</v>
      </c>
      <c r="B469" s="5" t="s">
        <v>3015</v>
      </c>
      <c r="C469" s="2" t="s">
        <v>3496</v>
      </c>
      <c r="D469" s="5" t="s">
        <v>1836</v>
      </c>
      <c r="E469" s="5" t="s">
        <v>1838</v>
      </c>
      <c r="F469" s="5">
        <v>0</v>
      </c>
      <c r="G469" s="5">
        <v>0.95873600000000003</v>
      </c>
      <c r="H469" s="5" t="s">
        <v>3021</v>
      </c>
      <c r="I469" s="5" t="s">
        <v>3021</v>
      </c>
      <c r="L469" s="2" t="s">
        <v>796</v>
      </c>
      <c r="M469" s="2">
        <v>-1.01692</v>
      </c>
    </row>
    <row r="470" spans="1:13" x14ac:dyDescent="0.2">
      <c r="A470" s="5" t="s">
        <v>1386</v>
      </c>
      <c r="B470" s="5" t="s">
        <v>3068</v>
      </c>
      <c r="C470" s="2" t="s">
        <v>2562</v>
      </c>
      <c r="D470" s="5" t="s">
        <v>1836</v>
      </c>
      <c r="E470" s="5" t="s">
        <v>1838</v>
      </c>
      <c r="F470" s="5">
        <v>7.2402899999999999</v>
      </c>
      <c r="G470" s="5">
        <v>2.3975200000000001</v>
      </c>
      <c r="H470" s="5">
        <v>-1.5945100000000001</v>
      </c>
      <c r="I470" s="5">
        <v>1</v>
      </c>
      <c r="L470" s="2" t="s">
        <v>797</v>
      </c>
      <c r="M470" s="2">
        <v>-1.2618499999999999</v>
      </c>
    </row>
    <row r="471" spans="1:13" x14ac:dyDescent="0.2">
      <c r="A471" s="5" t="s">
        <v>777</v>
      </c>
      <c r="B471" s="5" t="s">
        <v>3360</v>
      </c>
      <c r="C471" s="2" t="s">
        <v>2563</v>
      </c>
      <c r="D471" s="5" t="s">
        <v>1836</v>
      </c>
      <c r="E471" s="5" t="s">
        <v>1838</v>
      </c>
      <c r="F471" s="5">
        <v>3.3238799999999999</v>
      </c>
      <c r="G471" s="5">
        <v>1.28331</v>
      </c>
      <c r="H471" s="5">
        <v>-1.373</v>
      </c>
      <c r="I471" s="5">
        <v>1</v>
      </c>
      <c r="L471" s="2" t="s">
        <v>1395</v>
      </c>
      <c r="M471" s="2">
        <v>1.02491</v>
      </c>
    </row>
    <row r="472" spans="1:13" x14ac:dyDescent="0.2">
      <c r="A472" s="5" t="s">
        <v>778</v>
      </c>
      <c r="B472" s="5" t="s">
        <v>3094</v>
      </c>
      <c r="C472" s="2" t="s">
        <v>2321</v>
      </c>
      <c r="D472" s="5" t="s">
        <v>1836</v>
      </c>
      <c r="E472" s="5" t="s">
        <v>1838</v>
      </c>
      <c r="F472" s="5">
        <v>4.3981700000000004</v>
      </c>
      <c r="G472" s="5">
        <v>1.69875</v>
      </c>
      <c r="H472" s="5">
        <v>-1.37243</v>
      </c>
      <c r="I472" s="5">
        <v>1</v>
      </c>
      <c r="L472" s="2" t="s">
        <v>799</v>
      </c>
      <c r="M472" s="2">
        <v>2.07897</v>
      </c>
    </row>
    <row r="473" spans="1:13" x14ac:dyDescent="0.2">
      <c r="A473" s="5" t="s">
        <v>1387</v>
      </c>
      <c r="B473" s="5" t="s">
        <v>3015</v>
      </c>
      <c r="C473" s="2" t="s">
        <v>2564</v>
      </c>
      <c r="D473" s="5" t="s">
        <v>1836</v>
      </c>
      <c r="E473" s="5" t="s">
        <v>1838</v>
      </c>
      <c r="F473" s="5">
        <v>3.1528999999999998</v>
      </c>
      <c r="G473" s="5">
        <v>6.7159300000000002</v>
      </c>
      <c r="H473" s="5">
        <v>1.09091</v>
      </c>
      <c r="I473" s="5">
        <v>1</v>
      </c>
      <c r="L473" s="2" t="s">
        <v>800</v>
      </c>
      <c r="M473" s="2">
        <v>-1.17919</v>
      </c>
    </row>
    <row r="474" spans="1:13" x14ac:dyDescent="0.2">
      <c r="A474" s="5" t="s">
        <v>1388</v>
      </c>
      <c r="B474" s="5" t="s">
        <v>3030</v>
      </c>
      <c r="C474" s="2" t="s">
        <v>2565</v>
      </c>
      <c r="D474" s="5" t="s">
        <v>1836</v>
      </c>
      <c r="E474" s="5" t="s">
        <v>1838</v>
      </c>
      <c r="F474" s="5">
        <v>12.2989</v>
      </c>
      <c r="G474" s="5">
        <v>25.370100000000001</v>
      </c>
      <c r="H474" s="5">
        <v>1.0446</v>
      </c>
      <c r="I474" s="5">
        <v>1</v>
      </c>
      <c r="L474" s="2" t="s">
        <v>802</v>
      </c>
      <c r="M474" s="2">
        <v>-2.4167700000000001</v>
      </c>
    </row>
    <row r="475" spans="1:13" x14ac:dyDescent="0.2">
      <c r="A475" s="5" t="s">
        <v>786</v>
      </c>
      <c r="B475" s="5" t="s">
        <v>3361</v>
      </c>
      <c r="C475" s="2" t="s">
        <v>2566</v>
      </c>
      <c r="D475" s="5" t="s">
        <v>1836</v>
      </c>
      <c r="E475" s="5" t="s">
        <v>1838</v>
      </c>
      <c r="F475" s="5">
        <v>484.92500000000001</v>
      </c>
      <c r="G475" s="5">
        <v>1223.5999999999999</v>
      </c>
      <c r="H475" s="5">
        <v>1.3352900000000001</v>
      </c>
      <c r="I475" s="5">
        <v>1</v>
      </c>
      <c r="L475" s="2" t="s">
        <v>1396</v>
      </c>
      <c r="M475" s="2">
        <v>1.4110199999999999</v>
      </c>
    </row>
    <row r="476" spans="1:13" x14ac:dyDescent="0.2">
      <c r="A476" s="5" t="s">
        <v>788</v>
      </c>
      <c r="B476" s="5" t="s">
        <v>3301</v>
      </c>
      <c r="C476" s="2" t="s">
        <v>2567</v>
      </c>
      <c r="D476" s="5" t="s">
        <v>1836</v>
      </c>
      <c r="E476" s="5" t="s">
        <v>1838</v>
      </c>
      <c r="F476" s="5">
        <v>64.732200000000006</v>
      </c>
      <c r="G476" s="5">
        <v>30.177900000000001</v>
      </c>
      <c r="H476" s="5">
        <v>-1.1009899999999999</v>
      </c>
      <c r="I476" s="5">
        <v>1</v>
      </c>
      <c r="L476" s="2" t="s">
        <v>806</v>
      </c>
      <c r="M476" s="2">
        <v>-1.6838200000000001</v>
      </c>
    </row>
    <row r="477" spans="1:13" x14ac:dyDescent="0.2">
      <c r="A477" s="5" t="s">
        <v>1389</v>
      </c>
      <c r="B477" s="5" t="s">
        <v>3030</v>
      </c>
      <c r="C477" s="2" t="s">
        <v>2568</v>
      </c>
      <c r="D477" s="5" t="s">
        <v>1836</v>
      </c>
      <c r="E477" s="5" t="s">
        <v>1838</v>
      </c>
      <c r="F477" s="5">
        <v>1.7463500000000001</v>
      </c>
      <c r="G477" s="5">
        <v>0.81285700000000005</v>
      </c>
      <c r="H477" s="5">
        <v>-1.10327</v>
      </c>
      <c r="I477" s="5">
        <v>1</v>
      </c>
      <c r="L477" s="2" t="s">
        <v>808</v>
      </c>
      <c r="M477" s="2">
        <v>-1.02535</v>
      </c>
    </row>
    <row r="478" spans="1:13" x14ac:dyDescent="0.2">
      <c r="A478" s="5" t="s">
        <v>1390</v>
      </c>
      <c r="B478" s="5" t="s">
        <v>3362</v>
      </c>
      <c r="C478" s="2" t="s">
        <v>2569</v>
      </c>
      <c r="D478" s="5" t="s">
        <v>1836</v>
      </c>
      <c r="E478" s="5" t="s">
        <v>1838</v>
      </c>
      <c r="F478" s="5">
        <v>0.79801699999999998</v>
      </c>
      <c r="G478" s="5">
        <v>0.37463999999999997</v>
      </c>
      <c r="H478" s="5">
        <v>-1.09091</v>
      </c>
      <c r="I478" s="5">
        <v>1</v>
      </c>
      <c r="L478" s="2" t="s">
        <v>809</v>
      </c>
      <c r="M478" s="2">
        <v>-2.5322800000000001</v>
      </c>
    </row>
    <row r="479" spans="1:13" x14ac:dyDescent="0.2">
      <c r="A479" s="5" t="s">
        <v>1391</v>
      </c>
      <c r="B479" s="5" t="s">
        <v>3363</v>
      </c>
      <c r="C479" s="2" t="s">
        <v>2570</v>
      </c>
      <c r="D479" s="5" t="s">
        <v>1836</v>
      </c>
      <c r="E479" s="5" t="s">
        <v>1838</v>
      </c>
      <c r="F479" s="5">
        <v>3.7051799999999999</v>
      </c>
      <c r="G479" s="5">
        <v>7.8455199999999996</v>
      </c>
      <c r="H479" s="5">
        <v>1.0823199999999999</v>
      </c>
      <c r="I479" s="5">
        <v>1</v>
      </c>
      <c r="L479" s="2" t="s">
        <v>1398</v>
      </c>
      <c r="M479" s="2">
        <v>-1.30223</v>
      </c>
    </row>
    <row r="480" spans="1:13" x14ac:dyDescent="0.2">
      <c r="A480" s="5" t="s">
        <v>1392</v>
      </c>
      <c r="B480" s="5" t="s">
        <v>3243</v>
      </c>
      <c r="C480" s="2" t="s">
        <v>1953</v>
      </c>
      <c r="D480" s="5" t="s">
        <v>1836</v>
      </c>
      <c r="E480" s="5" t="s">
        <v>1838</v>
      </c>
      <c r="F480" s="5">
        <v>228.00899999999999</v>
      </c>
      <c r="G480" s="5">
        <v>80.881799999999998</v>
      </c>
      <c r="H480" s="5">
        <v>-1.4952000000000001</v>
      </c>
      <c r="I480" s="5">
        <v>1</v>
      </c>
      <c r="L480" s="2" t="s">
        <v>817</v>
      </c>
      <c r="M480" s="2">
        <v>-1.0620000000000001</v>
      </c>
    </row>
    <row r="481" spans="1:13" x14ac:dyDescent="0.2">
      <c r="A481" s="5" t="s">
        <v>1393</v>
      </c>
      <c r="B481" s="5" t="s">
        <v>3364</v>
      </c>
      <c r="C481" s="2" t="s">
        <v>2571</v>
      </c>
      <c r="D481" s="5" t="s">
        <v>1836</v>
      </c>
      <c r="E481" s="5" t="s">
        <v>1838</v>
      </c>
      <c r="F481" s="5">
        <v>7.8944900000000002</v>
      </c>
      <c r="G481" s="5">
        <v>3.59613</v>
      </c>
      <c r="H481" s="5">
        <v>-1.1344000000000001</v>
      </c>
      <c r="I481" s="5">
        <v>1</v>
      </c>
      <c r="L481" s="2" t="s">
        <v>1399</v>
      </c>
      <c r="M481" s="2">
        <v>1.4057999999999999</v>
      </c>
    </row>
    <row r="482" spans="1:13" x14ac:dyDescent="0.2">
      <c r="A482" s="5" t="s">
        <v>796</v>
      </c>
      <c r="B482" s="5" t="s">
        <v>3015</v>
      </c>
      <c r="C482" s="2" t="s">
        <v>2204</v>
      </c>
      <c r="D482" s="5" t="s">
        <v>1836</v>
      </c>
      <c r="E482" s="5" t="s">
        <v>1838</v>
      </c>
      <c r="F482" s="5">
        <v>1.7680400000000001</v>
      </c>
      <c r="G482" s="5">
        <v>0.87371100000000002</v>
      </c>
      <c r="H482" s="5">
        <v>-1.01692</v>
      </c>
      <c r="I482" s="5">
        <v>1</v>
      </c>
      <c r="L482" s="2" t="s">
        <v>819</v>
      </c>
      <c r="M482" s="2">
        <v>-1.11243</v>
      </c>
    </row>
    <row r="483" spans="1:13" x14ac:dyDescent="0.2">
      <c r="A483" s="5" t="s">
        <v>797</v>
      </c>
      <c r="B483" s="5" t="s">
        <v>3209</v>
      </c>
      <c r="C483" s="2" t="s">
        <v>2205</v>
      </c>
      <c r="D483" s="5" t="s">
        <v>1836</v>
      </c>
      <c r="E483" s="5" t="s">
        <v>1838</v>
      </c>
      <c r="F483" s="5">
        <v>22.359100000000002</v>
      </c>
      <c r="G483" s="5">
        <v>9.3239099999999997</v>
      </c>
      <c r="H483" s="5">
        <v>-1.2618499999999999</v>
      </c>
      <c r="I483" s="5">
        <v>1</v>
      </c>
      <c r="L483" s="2" t="s">
        <v>1400</v>
      </c>
      <c r="M483" s="2">
        <v>-1.3052600000000001</v>
      </c>
    </row>
    <row r="484" spans="1:13" x14ac:dyDescent="0.2">
      <c r="A484" s="5" t="s">
        <v>1395</v>
      </c>
      <c r="B484" s="5" t="s">
        <v>3087</v>
      </c>
      <c r="C484" s="2" t="s">
        <v>2572</v>
      </c>
      <c r="D484" s="5" t="s">
        <v>1836</v>
      </c>
      <c r="E484" s="5" t="s">
        <v>1838</v>
      </c>
      <c r="F484" s="5">
        <v>310.68599999999998</v>
      </c>
      <c r="G484" s="5">
        <v>632.19399999999996</v>
      </c>
      <c r="H484" s="5">
        <v>1.02491</v>
      </c>
      <c r="I484" s="5">
        <v>1</v>
      </c>
      <c r="L484" s="2" t="s">
        <v>1401</v>
      </c>
      <c r="M484" s="2">
        <v>-1.29322</v>
      </c>
    </row>
    <row r="485" spans="1:13" x14ac:dyDescent="0.2">
      <c r="A485" s="5" t="s">
        <v>799</v>
      </c>
      <c r="B485" s="5" t="s">
        <v>3085</v>
      </c>
      <c r="C485" s="2" t="s">
        <v>2207</v>
      </c>
      <c r="D485" s="5" t="s">
        <v>1836</v>
      </c>
      <c r="E485" s="5" t="s">
        <v>1838</v>
      </c>
      <c r="F485" s="5">
        <v>1.37991</v>
      </c>
      <c r="G485" s="5">
        <v>5.8302100000000001</v>
      </c>
      <c r="H485" s="5">
        <v>2.07897</v>
      </c>
      <c r="I485" s="5">
        <v>1</v>
      </c>
      <c r="L485" s="2" t="s">
        <v>825</v>
      </c>
      <c r="M485" s="2">
        <v>-3.37635</v>
      </c>
    </row>
    <row r="486" spans="1:13" x14ac:dyDescent="0.2">
      <c r="A486" s="5" t="s">
        <v>800</v>
      </c>
      <c r="B486" s="5" t="s">
        <v>3210</v>
      </c>
      <c r="C486" s="2" t="s">
        <v>2208</v>
      </c>
      <c r="D486" s="5" t="s">
        <v>1836</v>
      </c>
      <c r="E486" s="5" t="s">
        <v>1838</v>
      </c>
      <c r="F486" s="5">
        <v>33.7821</v>
      </c>
      <c r="G486" s="5">
        <v>14.918100000000001</v>
      </c>
      <c r="H486" s="5">
        <v>-1.17919</v>
      </c>
      <c r="I486" s="5">
        <v>1</v>
      </c>
      <c r="L486" s="2" t="s">
        <v>826</v>
      </c>
      <c r="M486" s="2">
        <v>-1.68062</v>
      </c>
    </row>
    <row r="487" spans="1:13" x14ac:dyDescent="0.2">
      <c r="A487" s="5" t="s">
        <v>802</v>
      </c>
      <c r="B487" s="5" t="s">
        <v>3015</v>
      </c>
      <c r="C487" s="2" t="s">
        <v>3496</v>
      </c>
      <c r="D487" s="5" t="s">
        <v>1836</v>
      </c>
      <c r="E487" s="5" t="s">
        <v>1838</v>
      </c>
      <c r="F487" s="5">
        <v>120.504</v>
      </c>
      <c r="G487" s="5">
        <v>22.567299999999999</v>
      </c>
      <c r="H487" s="5">
        <v>-2.4167700000000001</v>
      </c>
      <c r="I487" s="5">
        <v>1</v>
      </c>
      <c r="L487" s="2" t="s">
        <v>828</v>
      </c>
      <c r="M487" s="2">
        <v>-1.2142599999999999</v>
      </c>
    </row>
    <row r="488" spans="1:13" x14ac:dyDescent="0.2">
      <c r="A488" s="5" t="s">
        <v>1396</v>
      </c>
      <c r="B488" s="5" t="s">
        <v>3015</v>
      </c>
      <c r="C488" s="2" t="s">
        <v>1847</v>
      </c>
      <c r="D488" s="5" t="s">
        <v>1836</v>
      </c>
      <c r="E488" s="5" t="s">
        <v>1838</v>
      </c>
      <c r="F488" s="5">
        <v>6.4174300000000004</v>
      </c>
      <c r="G488" s="5">
        <v>17.0655</v>
      </c>
      <c r="H488" s="5">
        <v>1.4110199999999999</v>
      </c>
      <c r="I488" s="5">
        <v>1</v>
      </c>
      <c r="L488" s="2" t="s">
        <v>829</v>
      </c>
      <c r="M488" s="2">
        <v>-1.00763</v>
      </c>
    </row>
    <row r="489" spans="1:13" x14ac:dyDescent="0.2">
      <c r="A489" s="5" t="s">
        <v>806</v>
      </c>
      <c r="B489" s="5" t="s">
        <v>3015</v>
      </c>
      <c r="C489" s="2" t="s">
        <v>3496</v>
      </c>
      <c r="D489" s="5" t="s">
        <v>1836</v>
      </c>
      <c r="E489" s="5" t="s">
        <v>1838</v>
      </c>
      <c r="F489" s="5">
        <v>34.9771</v>
      </c>
      <c r="G489" s="5">
        <v>10.886900000000001</v>
      </c>
      <c r="H489" s="5">
        <v>-1.6838200000000001</v>
      </c>
      <c r="I489" s="5">
        <v>1</v>
      </c>
      <c r="L489" s="2" t="s">
        <v>830</v>
      </c>
      <c r="M489" s="2">
        <v>-1.6496500000000001</v>
      </c>
    </row>
    <row r="490" spans="1:13" x14ac:dyDescent="0.2">
      <c r="A490" s="5" t="s">
        <v>808</v>
      </c>
      <c r="B490" s="5" t="s">
        <v>3015</v>
      </c>
      <c r="C490" s="2" t="s">
        <v>1862</v>
      </c>
      <c r="D490" s="5" t="s">
        <v>1836</v>
      </c>
      <c r="E490" s="5" t="s">
        <v>1838</v>
      </c>
      <c r="F490" s="5">
        <v>2.2401900000000001</v>
      </c>
      <c r="G490" s="5">
        <v>1.1005799999999999</v>
      </c>
      <c r="H490" s="5">
        <v>-1.02535</v>
      </c>
      <c r="I490" s="5">
        <v>1</v>
      </c>
      <c r="L490" s="2" t="s">
        <v>1403</v>
      </c>
      <c r="M490" s="2">
        <v>-2.6021899999999998</v>
      </c>
    </row>
    <row r="491" spans="1:13" x14ac:dyDescent="0.2">
      <c r="A491" s="5" t="s">
        <v>809</v>
      </c>
      <c r="B491" s="5" t="s">
        <v>3365</v>
      </c>
      <c r="C491" s="2" t="s">
        <v>2573</v>
      </c>
      <c r="D491" s="5" t="s">
        <v>1836</v>
      </c>
      <c r="E491" s="5" t="s">
        <v>1838</v>
      </c>
      <c r="F491" s="5">
        <v>0.90907499999999997</v>
      </c>
      <c r="G491" s="5">
        <v>0.15714800000000001</v>
      </c>
      <c r="H491" s="5">
        <v>-2.5322800000000001</v>
      </c>
      <c r="I491" s="5">
        <v>1</v>
      </c>
      <c r="L491" s="2" t="s">
        <v>834</v>
      </c>
      <c r="M491" s="2">
        <v>-2.1709999999999998</v>
      </c>
    </row>
    <row r="492" spans="1:13" x14ac:dyDescent="0.2">
      <c r="A492" s="5" t="s">
        <v>1398</v>
      </c>
      <c r="B492" s="5" t="s">
        <v>3081</v>
      </c>
      <c r="C492" s="2" t="s">
        <v>2574</v>
      </c>
      <c r="D492" s="5" t="s">
        <v>1836</v>
      </c>
      <c r="E492" s="5" t="s">
        <v>1838</v>
      </c>
      <c r="F492" s="5">
        <v>2.7931699999999999</v>
      </c>
      <c r="G492" s="5">
        <v>1.13262</v>
      </c>
      <c r="H492" s="5">
        <v>-1.30223</v>
      </c>
      <c r="I492" s="5">
        <v>1</v>
      </c>
      <c r="L492" s="2" t="s">
        <v>1405</v>
      </c>
      <c r="M492" s="2">
        <v>1.30664</v>
      </c>
    </row>
    <row r="493" spans="1:13" x14ac:dyDescent="0.2">
      <c r="A493" s="5" t="s">
        <v>817</v>
      </c>
      <c r="B493" s="5" t="s">
        <v>3015</v>
      </c>
      <c r="C493" s="2" t="s">
        <v>2575</v>
      </c>
      <c r="D493" s="5" t="s">
        <v>1836</v>
      </c>
      <c r="E493" s="5" t="s">
        <v>1838</v>
      </c>
      <c r="F493" s="5">
        <v>10.466699999999999</v>
      </c>
      <c r="G493" s="5">
        <v>5.0131899999999998</v>
      </c>
      <c r="H493" s="5">
        <v>-1.0620000000000001</v>
      </c>
      <c r="I493" s="5">
        <v>1</v>
      </c>
      <c r="L493" s="2" t="s">
        <v>835</v>
      </c>
      <c r="M493" s="2">
        <v>-1.56002</v>
      </c>
    </row>
    <row r="494" spans="1:13" x14ac:dyDescent="0.2">
      <c r="A494" s="5" t="s">
        <v>1399</v>
      </c>
      <c r="B494" s="5" t="s">
        <v>3366</v>
      </c>
      <c r="C494" s="2" t="s">
        <v>2576</v>
      </c>
      <c r="D494" s="5" t="s">
        <v>1836</v>
      </c>
      <c r="E494" s="5" t="s">
        <v>1838</v>
      </c>
      <c r="F494" s="5">
        <v>2.7787999999999999</v>
      </c>
      <c r="G494" s="5">
        <v>7.3628499999999999</v>
      </c>
      <c r="H494" s="5">
        <v>1.4057999999999999</v>
      </c>
      <c r="I494" s="5">
        <v>1</v>
      </c>
      <c r="L494" s="2" t="s">
        <v>836</v>
      </c>
      <c r="M494" s="2">
        <v>-1.2089700000000001</v>
      </c>
    </row>
    <row r="495" spans="1:13" x14ac:dyDescent="0.2">
      <c r="A495" s="5" t="s">
        <v>819</v>
      </c>
      <c r="B495" s="5" t="s">
        <v>3015</v>
      </c>
      <c r="C495" s="2" t="s">
        <v>2214</v>
      </c>
      <c r="D495" s="5" t="s">
        <v>1836</v>
      </c>
      <c r="E495" s="5" t="s">
        <v>1838</v>
      </c>
      <c r="F495" s="5">
        <v>117.569</v>
      </c>
      <c r="G495" s="5">
        <v>54.377299999999998</v>
      </c>
      <c r="H495" s="5">
        <v>-1.11243</v>
      </c>
      <c r="I495" s="5">
        <v>1</v>
      </c>
      <c r="L495" s="2" t="s">
        <v>1406</v>
      </c>
      <c r="M495" s="2">
        <v>-1.7638</v>
      </c>
    </row>
    <row r="496" spans="1:13" x14ac:dyDescent="0.2">
      <c r="A496" s="5" t="s">
        <v>1400</v>
      </c>
      <c r="B496" s="5" t="s">
        <v>3015</v>
      </c>
      <c r="C496" s="2" t="s">
        <v>2577</v>
      </c>
      <c r="D496" s="5" t="s">
        <v>1836</v>
      </c>
      <c r="E496" s="5" t="s">
        <v>1838</v>
      </c>
      <c r="F496" s="5">
        <v>1.79372</v>
      </c>
      <c r="G496" s="5">
        <v>0.72582400000000002</v>
      </c>
      <c r="H496" s="5">
        <v>-1.3052600000000001</v>
      </c>
      <c r="I496" s="5">
        <v>1</v>
      </c>
      <c r="L496" s="2" t="s">
        <v>1407</v>
      </c>
      <c r="M496" s="2">
        <v>-1.1797800000000001</v>
      </c>
    </row>
    <row r="497" spans="1:13" x14ac:dyDescent="0.2">
      <c r="A497" s="5" t="s">
        <v>1401</v>
      </c>
      <c r="B497" s="5" t="s">
        <v>3367</v>
      </c>
      <c r="C497" s="2" t="s">
        <v>2578</v>
      </c>
      <c r="D497" s="5" t="s">
        <v>1836</v>
      </c>
      <c r="E497" s="5" t="s">
        <v>1838</v>
      </c>
      <c r="F497" s="5">
        <v>41.184199999999997</v>
      </c>
      <c r="G497" s="5">
        <v>16.8048</v>
      </c>
      <c r="H497" s="5">
        <v>-1.29322</v>
      </c>
      <c r="I497" s="5">
        <v>1</v>
      </c>
      <c r="L497" s="2" t="s">
        <v>842</v>
      </c>
      <c r="M497" s="2">
        <v>-1.6438999999999999</v>
      </c>
    </row>
    <row r="498" spans="1:13" x14ac:dyDescent="0.2">
      <c r="A498" s="5" t="s">
        <v>825</v>
      </c>
      <c r="B498" s="5" t="s">
        <v>3015</v>
      </c>
      <c r="C498" s="2" t="s">
        <v>2579</v>
      </c>
      <c r="D498" s="5" t="s">
        <v>1836</v>
      </c>
      <c r="E498" s="5" t="s">
        <v>1838</v>
      </c>
      <c r="F498" s="5">
        <v>35.725099999999998</v>
      </c>
      <c r="G498" s="5">
        <v>3.4402499999999998</v>
      </c>
      <c r="H498" s="5">
        <v>-3.37635</v>
      </c>
      <c r="I498" s="5">
        <v>1</v>
      </c>
      <c r="L498" s="2" t="s">
        <v>844</v>
      </c>
      <c r="M498" s="2">
        <v>-1.0310299999999999</v>
      </c>
    </row>
    <row r="499" spans="1:13" x14ac:dyDescent="0.2">
      <c r="A499" s="5" t="s">
        <v>826</v>
      </c>
      <c r="B499" s="5" t="s">
        <v>3015</v>
      </c>
      <c r="C499" s="2" t="s">
        <v>2219</v>
      </c>
      <c r="D499" s="5" t="s">
        <v>1836</v>
      </c>
      <c r="E499" s="5" t="s">
        <v>1838</v>
      </c>
      <c r="F499" s="5">
        <v>1.2563800000000001</v>
      </c>
      <c r="G499" s="5">
        <v>0.39192500000000002</v>
      </c>
      <c r="H499" s="5">
        <v>-1.68062</v>
      </c>
      <c r="I499" s="5">
        <v>1</v>
      </c>
      <c r="L499" s="2" t="s">
        <v>845</v>
      </c>
      <c r="M499" s="2">
        <v>1.41429</v>
      </c>
    </row>
    <row r="500" spans="1:13" x14ac:dyDescent="0.2">
      <c r="A500" s="5" t="s">
        <v>828</v>
      </c>
      <c r="B500" s="5" t="s">
        <v>3093</v>
      </c>
      <c r="C500" s="2" t="s">
        <v>2221</v>
      </c>
      <c r="D500" s="5" t="s">
        <v>1836</v>
      </c>
      <c r="E500" s="5" t="s">
        <v>1838</v>
      </c>
      <c r="F500" s="5">
        <v>42.320900000000002</v>
      </c>
      <c r="G500" s="5">
        <v>18.239999999999998</v>
      </c>
      <c r="H500" s="5">
        <v>-1.2142599999999999</v>
      </c>
      <c r="I500" s="5">
        <v>1</v>
      </c>
      <c r="L500" s="2" t="s">
        <v>848</v>
      </c>
      <c r="M500" s="2">
        <v>-1.2809299999999999</v>
      </c>
    </row>
    <row r="501" spans="1:13" x14ac:dyDescent="0.2">
      <c r="A501" s="5" t="s">
        <v>829</v>
      </c>
      <c r="B501" s="5" t="s">
        <v>3015</v>
      </c>
      <c r="C501" s="2" t="s">
        <v>2222</v>
      </c>
      <c r="D501" s="5" t="s">
        <v>1836</v>
      </c>
      <c r="E501" s="5" t="s">
        <v>1838</v>
      </c>
      <c r="F501" s="5">
        <v>995.572</v>
      </c>
      <c r="G501" s="5">
        <v>495.16199999999998</v>
      </c>
      <c r="H501" s="5">
        <v>-1.00763</v>
      </c>
      <c r="I501" s="5">
        <v>1</v>
      </c>
      <c r="L501" s="2" t="s">
        <v>849</v>
      </c>
      <c r="M501" s="2">
        <v>-2.1200999999999999</v>
      </c>
    </row>
    <row r="502" spans="1:13" x14ac:dyDescent="0.2">
      <c r="A502" s="5" t="s">
        <v>830</v>
      </c>
      <c r="B502" s="5" t="s">
        <v>3015</v>
      </c>
      <c r="C502" s="2" t="s">
        <v>2005</v>
      </c>
      <c r="D502" s="5" t="s">
        <v>1836</v>
      </c>
      <c r="E502" s="5" t="s">
        <v>1838</v>
      </c>
      <c r="F502" s="5">
        <v>2.8201299999999998</v>
      </c>
      <c r="G502" s="5">
        <v>0.89882200000000001</v>
      </c>
      <c r="H502" s="5">
        <v>-1.6496500000000001</v>
      </c>
      <c r="I502" s="5">
        <v>1</v>
      </c>
      <c r="L502" s="2" t="s">
        <v>851</v>
      </c>
      <c r="M502" s="2">
        <v>-1.18302</v>
      </c>
    </row>
    <row r="503" spans="1:13" x14ac:dyDescent="0.2">
      <c r="A503" s="5" t="s">
        <v>1403</v>
      </c>
      <c r="B503" s="5" t="s">
        <v>3201</v>
      </c>
      <c r="C503" s="2" t="s">
        <v>3496</v>
      </c>
      <c r="D503" s="5" t="s">
        <v>1836</v>
      </c>
      <c r="E503" s="5" t="s">
        <v>1838</v>
      </c>
      <c r="F503" s="5">
        <v>0.79898400000000003</v>
      </c>
      <c r="G503" s="5">
        <v>0.13158400000000001</v>
      </c>
      <c r="H503" s="5">
        <v>-2.6021899999999998</v>
      </c>
      <c r="I503" s="5">
        <v>1</v>
      </c>
      <c r="L503" s="2" t="s">
        <v>853</v>
      </c>
      <c r="M503" s="2">
        <v>-1.2452700000000001</v>
      </c>
    </row>
    <row r="504" spans="1:13" x14ac:dyDescent="0.2">
      <c r="A504" s="5" t="s">
        <v>834</v>
      </c>
      <c r="B504" s="5" t="s">
        <v>3034</v>
      </c>
      <c r="C504" s="2" t="s">
        <v>2224</v>
      </c>
      <c r="D504" s="5" t="s">
        <v>1836</v>
      </c>
      <c r="E504" s="5" t="s">
        <v>1838</v>
      </c>
      <c r="F504" s="5">
        <v>1.16185</v>
      </c>
      <c r="G504" s="5">
        <v>0.25799699999999998</v>
      </c>
      <c r="H504" s="5">
        <v>-2.1709999999999998</v>
      </c>
      <c r="I504" s="5">
        <v>1</v>
      </c>
      <c r="L504" s="2" t="s">
        <v>858</v>
      </c>
      <c r="M504" s="2">
        <v>1.3456999999999999</v>
      </c>
    </row>
    <row r="505" spans="1:13" x14ac:dyDescent="0.2">
      <c r="A505" s="5" t="s">
        <v>1405</v>
      </c>
      <c r="B505" s="5" t="s">
        <v>3015</v>
      </c>
      <c r="C505" s="2">
        <v>0</v>
      </c>
      <c r="D505" s="5" t="s">
        <v>1836</v>
      </c>
      <c r="E505" s="5" t="s">
        <v>1838</v>
      </c>
      <c r="F505" s="5">
        <v>4.9256500000000001</v>
      </c>
      <c r="G505" s="5">
        <v>12.1843</v>
      </c>
      <c r="H505" s="5">
        <v>1.30664</v>
      </c>
      <c r="I505" s="5">
        <v>1</v>
      </c>
      <c r="L505" s="2" t="s">
        <v>859</v>
      </c>
      <c r="M505" s="2">
        <v>-1.3505199999999999</v>
      </c>
    </row>
    <row r="506" spans="1:13" x14ac:dyDescent="0.2">
      <c r="A506" s="5" t="s">
        <v>835</v>
      </c>
      <c r="B506" s="5" t="s">
        <v>3218</v>
      </c>
      <c r="C506" s="2" t="s">
        <v>2225</v>
      </c>
      <c r="D506" s="5" t="s">
        <v>1836</v>
      </c>
      <c r="E506" s="5" t="s">
        <v>1838</v>
      </c>
      <c r="F506" s="5">
        <v>203.636</v>
      </c>
      <c r="G506" s="5">
        <v>69.062299999999993</v>
      </c>
      <c r="H506" s="5">
        <v>-1.56002</v>
      </c>
      <c r="I506" s="5">
        <v>1</v>
      </c>
      <c r="L506" s="2" t="s">
        <v>1412</v>
      </c>
      <c r="M506" s="2">
        <v>-1.00379</v>
      </c>
    </row>
    <row r="507" spans="1:13" x14ac:dyDescent="0.2">
      <c r="A507" s="5" t="s">
        <v>836</v>
      </c>
      <c r="B507" s="5" t="s">
        <v>3219</v>
      </c>
      <c r="C507" s="2" t="s">
        <v>2226</v>
      </c>
      <c r="D507" s="5" t="s">
        <v>1836</v>
      </c>
      <c r="E507" s="5" t="s">
        <v>1838</v>
      </c>
      <c r="F507" s="5">
        <v>1.8883099999999999</v>
      </c>
      <c r="G507" s="5">
        <v>0.81683799999999995</v>
      </c>
      <c r="H507" s="5">
        <v>-1.2089700000000001</v>
      </c>
      <c r="I507" s="5">
        <v>1</v>
      </c>
      <c r="L507" s="2" t="s">
        <v>862</v>
      </c>
      <c r="M507" s="2">
        <v>1.19621</v>
      </c>
    </row>
    <row r="508" spans="1:13" x14ac:dyDescent="0.2">
      <c r="A508" s="5" t="s">
        <v>1406</v>
      </c>
      <c r="B508" s="5" t="s">
        <v>3209</v>
      </c>
      <c r="C508" s="2" t="s">
        <v>2580</v>
      </c>
      <c r="D508" s="5" t="s">
        <v>1836</v>
      </c>
      <c r="E508" s="5" t="s">
        <v>1838</v>
      </c>
      <c r="F508" s="5">
        <v>8.4133800000000001</v>
      </c>
      <c r="G508" s="5">
        <v>2.47749</v>
      </c>
      <c r="H508" s="5">
        <v>-1.7638</v>
      </c>
      <c r="I508" s="5">
        <v>1</v>
      </c>
      <c r="L508" s="2" t="s">
        <v>865</v>
      </c>
      <c r="M508" s="2">
        <v>-2.27284</v>
      </c>
    </row>
    <row r="509" spans="1:13" x14ac:dyDescent="0.2">
      <c r="A509" s="5" t="s">
        <v>1407</v>
      </c>
      <c r="B509" s="5" t="s">
        <v>3015</v>
      </c>
      <c r="C509" s="2" t="s">
        <v>3496</v>
      </c>
      <c r="D509" s="5" t="s">
        <v>1836</v>
      </c>
      <c r="E509" s="5" t="s">
        <v>1838</v>
      </c>
      <c r="F509" s="5">
        <v>9.9636700000000005</v>
      </c>
      <c r="G509" s="5">
        <v>4.3981599999999998</v>
      </c>
      <c r="H509" s="5">
        <v>-1.1797800000000001</v>
      </c>
      <c r="I509" s="5">
        <v>1</v>
      </c>
      <c r="L509" s="2" t="s">
        <v>871</v>
      </c>
      <c r="M509" s="2">
        <v>-1.4357500000000001</v>
      </c>
    </row>
    <row r="510" spans="1:13" x14ac:dyDescent="0.2">
      <c r="A510" s="5" t="s">
        <v>842</v>
      </c>
      <c r="B510" s="5" t="s">
        <v>3368</v>
      </c>
      <c r="C510" s="2" t="s">
        <v>2502</v>
      </c>
      <c r="D510" s="5" t="s">
        <v>1836</v>
      </c>
      <c r="E510" s="5" t="s">
        <v>1838</v>
      </c>
      <c r="F510" s="5">
        <v>9.3834</v>
      </c>
      <c r="G510" s="5">
        <v>3.0026000000000002</v>
      </c>
      <c r="H510" s="5">
        <v>-1.6438999999999999</v>
      </c>
      <c r="I510" s="5">
        <v>1</v>
      </c>
      <c r="L510" s="2" t="s">
        <v>878</v>
      </c>
      <c r="M510" s="2">
        <v>-3.9964400000000002</v>
      </c>
    </row>
    <row r="511" spans="1:13" x14ac:dyDescent="0.2">
      <c r="A511" s="5" t="s">
        <v>844</v>
      </c>
      <c r="B511" s="5" t="s">
        <v>3220</v>
      </c>
      <c r="C511" s="2" t="s">
        <v>2231</v>
      </c>
      <c r="D511" s="5" t="s">
        <v>1836</v>
      </c>
      <c r="E511" s="5" t="s">
        <v>1838</v>
      </c>
      <c r="F511" s="5">
        <v>4.7689500000000002</v>
      </c>
      <c r="G511" s="5">
        <v>2.3337400000000001</v>
      </c>
      <c r="H511" s="5">
        <v>-1.0310299999999999</v>
      </c>
      <c r="I511" s="5">
        <v>1</v>
      </c>
      <c r="L511" s="2" t="s">
        <v>889</v>
      </c>
      <c r="M511" s="2">
        <v>-1.8822000000000001</v>
      </c>
    </row>
    <row r="512" spans="1:13" x14ac:dyDescent="0.2">
      <c r="A512" s="5" t="s">
        <v>845</v>
      </c>
      <c r="B512" s="5" t="s">
        <v>3037</v>
      </c>
      <c r="C512" s="2" t="s">
        <v>2232</v>
      </c>
      <c r="D512" s="5" t="s">
        <v>1836</v>
      </c>
      <c r="E512" s="5" t="s">
        <v>1838</v>
      </c>
      <c r="F512" s="5">
        <v>0.38727299999999998</v>
      </c>
      <c r="G512" s="5">
        <v>1.0321899999999999</v>
      </c>
      <c r="H512" s="5">
        <v>1.41429</v>
      </c>
      <c r="I512" s="5">
        <v>1</v>
      </c>
      <c r="L512" s="2" t="s">
        <v>890</v>
      </c>
      <c r="M512" s="2">
        <v>-1.01918</v>
      </c>
    </row>
    <row r="513" spans="1:13" x14ac:dyDescent="0.2">
      <c r="A513" s="5" t="s">
        <v>848</v>
      </c>
      <c r="B513" s="5" t="s">
        <v>3015</v>
      </c>
      <c r="C513" s="2" t="s">
        <v>2234</v>
      </c>
      <c r="D513" s="5" t="s">
        <v>1836</v>
      </c>
      <c r="E513" s="5" t="s">
        <v>1838</v>
      </c>
      <c r="F513" s="5">
        <v>0.98852300000000004</v>
      </c>
      <c r="G513" s="5">
        <v>0.406808</v>
      </c>
      <c r="H513" s="5">
        <v>-1.2809299999999999</v>
      </c>
      <c r="I513" s="5">
        <v>1</v>
      </c>
      <c r="L513" s="2" t="s">
        <v>1414</v>
      </c>
      <c r="M513" s="2">
        <v>-1.6008800000000001</v>
      </c>
    </row>
    <row r="514" spans="1:13" x14ac:dyDescent="0.2">
      <c r="A514" s="5" t="s">
        <v>849</v>
      </c>
      <c r="B514" s="5" t="s">
        <v>3222</v>
      </c>
      <c r="C514" s="2" t="s">
        <v>2235</v>
      </c>
      <c r="D514" s="5" t="s">
        <v>1836</v>
      </c>
      <c r="E514" s="5" t="s">
        <v>1838</v>
      </c>
      <c r="F514" s="5">
        <v>9.0080600000000004</v>
      </c>
      <c r="G514" s="5">
        <v>2.07213</v>
      </c>
      <c r="H514" s="5">
        <v>-2.1200999999999999</v>
      </c>
      <c r="I514" s="5">
        <v>1</v>
      </c>
      <c r="L514" s="2" t="s">
        <v>891</v>
      </c>
      <c r="M514" s="2">
        <v>-1.26115</v>
      </c>
    </row>
    <row r="515" spans="1:13" x14ac:dyDescent="0.2">
      <c r="A515" s="5" t="s">
        <v>851</v>
      </c>
      <c r="B515" s="5" t="s">
        <v>3035</v>
      </c>
      <c r="C515" s="2" t="s">
        <v>1892</v>
      </c>
      <c r="D515" s="5" t="s">
        <v>1836</v>
      </c>
      <c r="E515" s="5" t="s">
        <v>1838</v>
      </c>
      <c r="F515" s="5">
        <v>42.481200000000001</v>
      </c>
      <c r="G515" s="5">
        <v>18.709900000000001</v>
      </c>
      <c r="H515" s="5">
        <v>-1.18302</v>
      </c>
      <c r="I515" s="5">
        <v>1</v>
      </c>
      <c r="L515" s="2" t="s">
        <v>894</v>
      </c>
      <c r="M515" s="2">
        <v>-1.12886</v>
      </c>
    </row>
    <row r="516" spans="1:13" x14ac:dyDescent="0.2">
      <c r="A516" s="5" t="s">
        <v>853</v>
      </c>
      <c r="B516" s="5" t="s">
        <v>3369</v>
      </c>
      <c r="C516" s="2" t="s">
        <v>2581</v>
      </c>
      <c r="D516" s="5" t="s">
        <v>1836</v>
      </c>
      <c r="E516" s="5" t="s">
        <v>1838</v>
      </c>
      <c r="F516" s="5">
        <v>49.234200000000001</v>
      </c>
      <c r="G516" s="5">
        <v>20.7684</v>
      </c>
      <c r="H516" s="5">
        <v>-1.2452700000000001</v>
      </c>
      <c r="I516" s="5">
        <v>1</v>
      </c>
      <c r="L516" s="2" t="s">
        <v>1415</v>
      </c>
      <c r="M516" s="2">
        <v>1.7926500000000001</v>
      </c>
    </row>
    <row r="517" spans="1:13" x14ac:dyDescent="0.2">
      <c r="A517" s="5" t="s">
        <v>858</v>
      </c>
      <c r="B517" s="5" t="s">
        <v>3224</v>
      </c>
      <c r="C517" s="2" t="s">
        <v>2240</v>
      </c>
      <c r="D517" s="5" t="s">
        <v>1836</v>
      </c>
      <c r="E517" s="5" t="s">
        <v>1838</v>
      </c>
      <c r="F517" s="5">
        <v>2.8285800000000001</v>
      </c>
      <c r="G517" s="5">
        <v>7.1889099999999999</v>
      </c>
      <c r="H517" s="5">
        <v>1.3456999999999999</v>
      </c>
      <c r="I517" s="5">
        <v>1</v>
      </c>
      <c r="L517" s="2" t="s">
        <v>895</v>
      </c>
      <c r="M517" s="2">
        <v>1.50986</v>
      </c>
    </row>
    <row r="518" spans="1:13" x14ac:dyDescent="0.2">
      <c r="A518" s="5" t="s">
        <v>859</v>
      </c>
      <c r="B518" s="5" t="s">
        <v>3015</v>
      </c>
      <c r="C518" s="2" t="s">
        <v>2241</v>
      </c>
      <c r="D518" s="5" t="s">
        <v>1836</v>
      </c>
      <c r="E518" s="5" t="s">
        <v>1838</v>
      </c>
      <c r="F518" s="5">
        <v>2.6664599999999998</v>
      </c>
      <c r="G518" s="5">
        <v>1.04566</v>
      </c>
      <c r="H518" s="5">
        <v>-1.3505199999999999</v>
      </c>
      <c r="I518" s="5">
        <v>1</v>
      </c>
      <c r="L518" s="2" t="s">
        <v>896</v>
      </c>
      <c r="M518" s="2">
        <v>1.1066199999999999</v>
      </c>
    </row>
    <row r="519" spans="1:13" x14ac:dyDescent="0.2">
      <c r="A519" s="5" t="s">
        <v>1412</v>
      </c>
      <c r="B519" s="5" t="s">
        <v>3370</v>
      </c>
      <c r="C519" s="2" t="s">
        <v>2582</v>
      </c>
      <c r="D519" s="5" t="s">
        <v>1836</v>
      </c>
      <c r="E519" s="5" t="s">
        <v>1838</v>
      </c>
      <c r="F519" s="5">
        <v>174.67400000000001</v>
      </c>
      <c r="G519" s="5">
        <v>87.107699999999994</v>
      </c>
      <c r="H519" s="5">
        <v>-1.00379</v>
      </c>
      <c r="I519" s="5">
        <v>1</v>
      </c>
      <c r="L519" s="2" t="s">
        <v>1416</v>
      </c>
      <c r="M519" s="2">
        <v>-1.4605900000000001</v>
      </c>
    </row>
    <row r="520" spans="1:13" x14ac:dyDescent="0.2">
      <c r="A520" s="5" t="s">
        <v>862</v>
      </c>
      <c r="B520" s="5" t="s">
        <v>3015</v>
      </c>
      <c r="C520" s="2" t="s">
        <v>3496</v>
      </c>
      <c r="D520" s="5" t="s">
        <v>1836</v>
      </c>
      <c r="E520" s="5" t="s">
        <v>1838</v>
      </c>
      <c r="F520" s="5">
        <v>22.916599999999999</v>
      </c>
      <c r="G520" s="5">
        <v>52.510100000000001</v>
      </c>
      <c r="H520" s="5">
        <v>1.19621</v>
      </c>
      <c r="I520" s="5">
        <v>1</v>
      </c>
      <c r="L520" s="2" t="s">
        <v>1418</v>
      </c>
      <c r="M520" s="2">
        <v>-1.2690600000000001</v>
      </c>
    </row>
    <row r="521" spans="1:13" x14ac:dyDescent="0.2">
      <c r="A521" s="5" t="s">
        <v>865</v>
      </c>
      <c r="B521" s="5" t="s">
        <v>3064</v>
      </c>
      <c r="C521" s="2" t="s">
        <v>2583</v>
      </c>
      <c r="D521" s="5" t="s">
        <v>1836</v>
      </c>
      <c r="E521" s="5" t="s">
        <v>1838</v>
      </c>
      <c r="F521" s="5">
        <v>10.179399999999999</v>
      </c>
      <c r="G521" s="5">
        <v>2.1063499999999999</v>
      </c>
      <c r="H521" s="5">
        <v>-2.27284</v>
      </c>
      <c r="I521" s="5">
        <v>1</v>
      </c>
      <c r="L521" s="2" t="s">
        <v>905</v>
      </c>
      <c r="M521" s="2">
        <v>-2.8213499999999998</v>
      </c>
    </row>
    <row r="522" spans="1:13" x14ac:dyDescent="0.2">
      <c r="A522" s="5" t="s">
        <v>871</v>
      </c>
      <c r="B522" s="5" t="s">
        <v>3049</v>
      </c>
      <c r="C522" s="2" t="s">
        <v>2246</v>
      </c>
      <c r="D522" s="5" t="s">
        <v>1836</v>
      </c>
      <c r="E522" s="5" t="s">
        <v>1838</v>
      </c>
      <c r="F522" s="5">
        <v>35.804499999999997</v>
      </c>
      <c r="G522" s="5">
        <v>13.235300000000001</v>
      </c>
      <c r="H522" s="5">
        <v>-1.4357500000000001</v>
      </c>
      <c r="I522" s="5">
        <v>1</v>
      </c>
      <c r="L522" s="2" t="s">
        <v>907</v>
      </c>
      <c r="M522" s="2">
        <v>-3.4407199999999998</v>
      </c>
    </row>
    <row r="523" spans="1:13" x14ac:dyDescent="0.2">
      <c r="A523" s="5" t="s">
        <v>878</v>
      </c>
      <c r="B523" s="5" t="s">
        <v>3166</v>
      </c>
      <c r="C523" s="2" t="s">
        <v>2249</v>
      </c>
      <c r="D523" s="5" t="s">
        <v>1836</v>
      </c>
      <c r="E523" s="5" t="s">
        <v>1838</v>
      </c>
      <c r="F523" s="5">
        <v>3.5211000000000001</v>
      </c>
      <c r="G523" s="5">
        <v>0.220612</v>
      </c>
      <c r="H523" s="5">
        <v>-3.9964400000000002</v>
      </c>
      <c r="I523" s="5">
        <v>1</v>
      </c>
      <c r="L523" s="2" t="s">
        <v>910</v>
      </c>
      <c r="M523" s="2">
        <v>-2.0674899999999998</v>
      </c>
    </row>
    <row r="524" spans="1:13" x14ac:dyDescent="0.2">
      <c r="A524" s="5" t="s">
        <v>889</v>
      </c>
      <c r="B524" s="5" t="s">
        <v>3037</v>
      </c>
      <c r="C524" s="2" t="s">
        <v>2255</v>
      </c>
      <c r="D524" s="5" t="s">
        <v>1836</v>
      </c>
      <c r="E524" s="5" t="s">
        <v>1838</v>
      </c>
      <c r="F524" s="5">
        <v>10.1067</v>
      </c>
      <c r="G524" s="5">
        <v>2.7416399999999999</v>
      </c>
      <c r="H524" s="5">
        <v>-1.8822000000000001</v>
      </c>
      <c r="I524" s="5">
        <v>1</v>
      </c>
      <c r="L524" s="2" t="s">
        <v>913</v>
      </c>
      <c r="M524" s="2">
        <v>-1.74105</v>
      </c>
    </row>
    <row r="525" spans="1:13" x14ac:dyDescent="0.2">
      <c r="A525" s="5" t="s">
        <v>890</v>
      </c>
      <c r="B525" s="5" t="s">
        <v>3233</v>
      </c>
      <c r="C525" s="2" t="s">
        <v>2584</v>
      </c>
      <c r="D525" s="5" t="s">
        <v>1836</v>
      </c>
      <c r="E525" s="5" t="s">
        <v>1838</v>
      </c>
      <c r="F525" s="5">
        <v>23.785</v>
      </c>
      <c r="G525" s="5">
        <v>11.7354</v>
      </c>
      <c r="H525" s="5">
        <v>-1.01918</v>
      </c>
      <c r="I525" s="5">
        <v>1</v>
      </c>
      <c r="L525" s="2" t="s">
        <v>914</v>
      </c>
      <c r="M525" s="2">
        <v>-1.6066800000000001</v>
      </c>
    </row>
    <row r="526" spans="1:13" x14ac:dyDescent="0.2">
      <c r="A526" s="5" t="s">
        <v>1414</v>
      </c>
      <c r="B526" s="5" t="s">
        <v>3015</v>
      </c>
      <c r="C526" s="2" t="s">
        <v>3496</v>
      </c>
      <c r="D526" s="5" t="s">
        <v>1836</v>
      </c>
      <c r="E526" s="5" t="s">
        <v>1838</v>
      </c>
      <c r="F526" s="5">
        <v>4.3289</v>
      </c>
      <c r="G526" s="5">
        <v>1.42713</v>
      </c>
      <c r="H526" s="5">
        <v>-1.6008800000000001</v>
      </c>
      <c r="I526" s="5">
        <v>1</v>
      </c>
      <c r="L526" s="2" t="s">
        <v>1422</v>
      </c>
      <c r="M526" s="2">
        <v>1.15265</v>
      </c>
    </row>
    <row r="527" spans="1:13" x14ac:dyDescent="0.2">
      <c r="A527" s="5" t="s">
        <v>891</v>
      </c>
      <c r="B527" s="5" t="s">
        <v>3371</v>
      </c>
      <c r="C527" s="2" t="s">
        <v>1934</v>
      </c>
      <c r="D527" s="5" t="s">
        <v>1836</v>
      </c>
      <c r="E527" s="5" t="s">
        <v>1838</v>
      </c>
      <c r="F527" s="5">
        <v>5.8880999999999997</v>
      </c>
      <c r="G527" s="5">
        <v>2.4565700000000001</v>
      </c>
      <c r="H527" s="5">
        <v>-1.26115</v>
      </c>
      <c r="I527" s="5">
        <v>1</v>
      </c>
      <c r="L527" s="2" t="s">
        <v>1423</v>
      </c>
      <c r="M527" s="2">
        <v>1.5810900000000001</v>
      </c>
    </row>
    <row r="528" spans="1:13" x14ac:dyDescent="0.2">
      <c r="A528" s="5" t="s">
        <v>894</v>
      </c>
      <c r="B528" s="5" t="s">
        <v>3015</v>
      </c>
      <c r="C528" s="2" t="s">
        <v>1880</v>
      </c>
      <c r="D528" s="5" t="s">
        <v>1836</v>
      </c>
      <c r="E528" s="5" t="s">
        <v>1838</v>
      </c>
      <c r="F528" s="5">
        <v>9.6581600000000005</v>
      </c>
      <c r="G528" s="5">
        <v>4.4164399999999997</v>
      </c>
      <c r="H528" s="5">
        <v>-1.12886</v>
      </c>
      <c r="I528" s="5">
        <v>1</v>
      </c>
      <c r="L528" s="2" t="s">
        <v>924</v>
      </c>
      <c r="M528" s="2">
        <v>1.1568099999999999</v>
      </c>
    </row>
    <row r="529" spans="1:13" x14ac:dyDescent="0.2">
      <c r="A529" s="5" t="s">
        <v>1415</v>
      </c>
      <c r="B529" s="5" t="s">
        <v>3047</v>
      </c>
      <c r="C529" s="2" t="s">
        <v>2585</v>
      </c>
      <c r="D529" s="5" t="s">
        <v>1836</v>
      </c>
      <c r="E529" s="5" t="s">
        <v>1838</v>
      </c>
      <c r="F529" s="5">
        <v>13.834199999999999</v>
      </c>
      <c r="G529" s="5">
        <v>47.928699999999999</v>
      </c>
      <c r="H529" s="5">
        <v>1.7926500000000001</v>
      </c>
      <c r="I529" s="5">
        <v>1</v>
      </c>
      <c r="L529" s="2" t="s">
        <v>1424</v>
      </c>
      <c r="M529" s="2">
        <v>-3.0129899999999998</v>
      </c>
    </row>
    <row r="530" spans="1:13" x14ac:dyDescent="0.2">
      <c r="A530" s="5" t="s">
        <v>895</v>
      </c>
      <c r="B530" s="5" t="s">
        <v>3047</v>
      </c>
      <c r="C530" s="2" t="s">
        <v>2258</v>
      </c>
      <c r="D530" s="5" t="s">
        <v>1836</v>
      </c>
      <c r="E530" s="5" t="s">
        <v>1838</v>
      </c>
      <c r="F530" s="5">
        <v>2.7345100000000002</v>
      </c>
      <c r="G530" s="5">
        <v>7.7873999999999999</v>
      </c>
      <c r="H530" s="5">
        <v>1.50986</v>
      </c>
      <c r="I530" s="5">
        <v>1</v>
      </c>
      <c r="L530" s="2" t="s">
        <v>929</v>
      </c>
      <c r="M530" s="2">
        <v>-1.82483</v>
      </c>
    </row>
    <row r="531" spans="1:13" x14ac:dyDescent="0.2">
      <c r="A531" s="5" t="s">
        <v>896</v>
      </c>
      <c r="B531" s="5" t="s">
        <v>3233</v>
      </c>
      <c r="C531" s="2" t="s">
        <v>3496</v>
      </c>
      <c r="D531" s="5" t="s">
        <v>1836</v>
      </c>
      <c r="E531" s="5" t="s">
        <v>1838</v>
      </c>
      <c r="F531" s="5">
        <v>0.97496400000000005</v>
      </c>
      <c r="G531" s="5">
        <v>2.0994899999999999</v>
      </c>
      <c r="H531" s="5">
        <v>1.1066199999999999</v>
      </c>
      <c r="I531" s="5">
        <v>1</v>
      </c>
      <c r="L531" s="2" t="s">
        <v>930</v>
      </c>
      <c r="M531" s="2">
        <v>-3.41181</v>
      </c>
    </row>
    <row r="532" spans="1:13" x14ac:dyDescent="0.2">
      <c r="A532" s="5" t="s">
        <v>1416</v>
      </c>
      <c r="B532" s="5" t="s">
        <v>3372</v>
      </c>
      <c r="C532" s="2" t="s">
        <v>3496</v>
      </c>
      <c r="D532" s="5" t="s">
        <v>1836</v>
      </c>
      <c r="E532" s="5" t="s">
        <v>1838</v>
      </c>
      <c r="F532" s="5">
        <v>1.9464999999999999</v>
      </c>
      <c r="G532" s="5">
        <v>0.70725099999999996</v>
      </c>
      <c r="H532" s="5">
        <v>-1.4605900000000001</v>
      </c>
      <c r="I532" s="5">
        <v>1</v>
      </c>
      <c r="L532" s="2" t="s">
        <v>931</v>
      </c>
      <c r="M532" s="2">
        <v>-1.72184</v>
      </c>
    </row>
    <row r="533" spans="1:13" x14ac:dyDescent="0.2">
      <c r="A533" s="5" t="s">
        <v>1418</v>
      </c>
      <c r="B533" s="5" t="s">
        <v>3015</v>
      </c>
      <c r="C533" s="2" t="s">
        <v>3496</v>
      </c>
      <c r="D533" s="5" t="s">
        <v>1836</v>
      </c>
      <c r="E533" s="5" t="s">
        <v>1838</v>
      </c>
      <c r="F533" s="5">
        <v>9.5686199999999992</v>
      </c>
      <c r="G533" s="5">
        <v>3.97031</v>
      </c>
      <c r="H533" s="5">
        <v>-1.2690600000000001</v>
      </c>
      <c r="I533" s="5">
        <v>1</v>
      </c>
      <c r="L533" s="2" t="s">
        <v>936</v>
      </c>
      <c r="M533" s="2">
        <v>-1.07891</v>
      </c>
    </row>
    <row r="534" spans="1:13" x14ac:dyDescent="0.2">
      <c r="A534" s="5" t="s">
        <v>905</v>
      </c>
      <c r="B534" s="5" t="s">
        <v>3058</v>
      </c>
      <c r="C534" s="2" t="s">
        <v>2237</v>
      </c>
      <c r="D534" s="5" t="s">
        <v>1836</v>
      </c>
      <c r="E534" s="5" t="s">
        <v>1838</v>
      </c>
      <c r="F534" s="5">
        <v>3.2955199999999998</v>
      </c>
      <c r="G534" s="5">
        <v>0.46624399999999999</v>
      </c>
      <c r="H534" s="5">
        <v>-2.8213499999999998</v>
      </c>
      <c r="I534" s="5">
        <v>1</v>
      </c>
      <c r="L534" s="2" t="s">
        <v>937</v>
      </c>
      <c r="M534" s="2">
        <v>-2.3315100000000002</v>
      </c>
    </row>
    <row r="535" spans="1:13" x14ac:dyDescent="0.2">
      <c r="A535" s="5" t="s">
        <v>907</v>
      </c>
      <c r="B535" s="5" t="s">
        <v>3234</v>
      </c>
      <c r="C535" s="2" t="s">
        <v>2264</v>
      </c>
      <c r="D535" s="5" t="s">
        <v>1836</v>
      </c>
      <c r="E535" s="5" t="s">
        <v>1838</v>
      </c>
      <c r="F535" s="5">
        <v>1.0944799999999999</v>
      </c>
      <c r="G535" s="5">
        <v>0.100797</v>
      </c>
      <c r="H535" s="5">
        <v>-3.4407199999999998</v>
      </c>
      <c r="I535" s="5">
        <v>1</v>
      </c>
      <c r="L535" s="2" t="s">
        <v>1425</v>
      </c>
      <c r="M535" s="2">
        <v>-1.3610500000000001</v>
      </c>
    </row>
    <row r="536" spans="1:13" x14ac:dyDescent="0.2">
      <c r="A536" s="5" t="s">
        <v>910</v>
      </c>
      <c r="B536" s="5" t="s">
        <v>3015</v>
      </c>
      <c r="C536" s="2" t="s">
        <v>2266</v>
      </c>
      <c r="D536" s="5" t="s">
        <v>1836</v>
      </c>
      <c r="E536" s="5" t="s">
        <v>1838</v>
      </c>
      <c r="F536" s="5">
        <v>6.3342799999999997</v>
      </c>
      <c r="G536" s="5">
        <v>1.51119</v>
      </c>
      <c r="H536" s="5">
        <v>-2.0674899999999998</v>
      </c>
      <c r="I536" s="5">
        <v>1</v>
      </c>
      <c r="L536" s="2" t="s">
        <v>1426</v>
      </c>
      <c r="M536" s="2">
        <v>-1.2601500000000001</v>
      </c>
    </row>
    <row r="537" spans="1:13" x14ac:dyDescent="0.2">
      <c r="A537" s="5" t="s">
        <v>913</v>
      </c>
      <c r="B537" s="5" t="s">
        <v>3235</v>
      </c>
      <c r="C537" s="2" t="s">
        <v>2267</v>
      </c>
      <c r="D537" s="5" t="s">
        <v>1836</v>
      </c>
      <c r="E537" s="5" t="s">
        <v>1838</v>
      </c>
      <c r="F537" s="5">
        <v>5.3484499999999997</v>
      </c>
      <c r="G537" s="5">
        <v>1.6</v>
      </c>
      <c r="H537" s="5">
        <v>-1.74105</v>
      </c>
      <c r="I537" s="5">
        <v>1</v>
      </c>
      <c r="L537" s="2" t="s">
        <v>939</v>
      </c>
      <c r="M537" s="2">
        <v>-1.04453</v>
      </c>
    </row>
    <row r="538" spans="1:13" x14ac:dyDescent="0.2">
      <c r="A538" s="5" t="s">
        <v>914</v>
      </c>
      <c r="B538" s="5" t="s">
        <v>3015</v>
      </c>
      <c r="C538" s="2" t="s">
        <v>2268</v>
      </c>
      <c r="D538" s="5" t="s">
        <v>1836</v>
      </c>
      <c r="E538" s="5" t="s">
        <v>1838</v>
      </c>
      <c r="F538" s="5">
        <v>1.7861400000000001</v>
      </c>
      <c r="G538" s="5">
        <v>0.58648400000000001</v>
      </c>
      <c r="H538" s="5">
        <v>-1.6066800000000001</v>
      </c>
      <c r="I538" s="5">
        <v>1</v>
      </c>
      <c r="L538" s="2" t="s">
        <v>940</v>
      </c>
      <c r="M538" s="2">
        <v>-1.8916200000000001</v>
      </c>
    </row>
    <row r="539" spans="1:13" x14ac:dyDescent="0.2">
      <c r="A539" s="5" t="s">
        <v>1422</v>
      </c>
      <c r="B539" s="5" t="s">
        <v>3047</v>
      </c>
      <c r="C539" s="2" t="s">
        <v>2277</v>
      </c>
      <c r="D539" s="5" t="s">
        <v>1836</v>
      </c>
      <c r="E539" s="5" t="s">
        <v>1838</v>
      </c>
      <c r="F539" s="5">
        <v>3.0713300000000001</v>
      </c>
      <c r="G539" s="5">
        <v>6.8282499999999997</v>
      </c>
      <c r="H539" s="5">
        <v>1.15265</v>
      </c>
      <c r="I539" s="5">
        <v>1</v>
      </c>
      <c r="L539" s="2" t="s">
        <v>1428</v>
      </c>
      <c r="M539" s="2">
        <v>-2.3938199999999998</v>
      </c>
    </row>
    <row r="540" spans="1:13" x14ac:dyDescent="0.2">
      <c r="A540" s="5" t="s">
        <v>1423</v>
      </c>
      <c r="B540" s="5" t="s">
        <v>3015</v>
      </c>
      <c r="C540" s="2" t="s">
        <v>2586</v>
      </c>
      <c r="D540" s="5" t="s">
        <v>1836</v>
      </c>
      <c r="E540" s="5" t="s">
        <v>1838</v>
      </c>
      <c r="F540" s="5">
        <v>0.56464999999999999</v>
      </c>
      <c r="G540" s="5">
        <v>1.6894100000000001</v>
      </c>
      <c r="H540" s="5">
        <v>1.5810900000000001</v>
      </c>
      <c r="I540" s="5">
        <v>1</v>
      </c>
      <c r="L540" s="2" t="s">
        <v>942</v>
      </c>
      <c r="M540" s="2">
        <v>-1.365</v>
      </c>
    </row>
    <row r="541" spans="1:13" x14ac:dyDescent="0.2">
      <c r="A541" s="5" t="s">
        <v>924</v>
      </c>
      <c r="B541" s="5" t="s">
        <v>3239</v>
      </c>
      <c r="C541" s="2" t="s">
        <v>1847</v>
      </c>
      <c r="D541" s="5" t="s">
        <v>1836</v>
      </c>
      <c r="E541" s="5" t="s">
        <v>1838</v>
      </c>
      <c r="F541" s="5">
        <v>0.68254000000000004</v>
      </c>
      <c r="G541" s="5">
        <v>1.5218100000000001</v>
      </c>
      <c r="H541" s="5">
        <v>1.1568099999999999</v>
      </c>
      <c r="I541" s="5">
        <v>1</v>
      </c>
      <c r="L541" s="2" t="s">
        <v>943</v>
      </c>
      <c r="M541" s="2">
        <v>-1.1314500000000001</v>
      </c>
    </row>
    <row r="542" spans="1:13" x14ac:dyDescent="0.2">
      <c r="A542" s="5" t="s">
        <v>1424</v>
      </c>
      <c r="B542" s="5" t="s">
        <v>3015</v>
      </c>
      <c r="C542" s="2" t="s">
        <v>1847</v>
      </c>
      <c r="D542" s="5" t="s">
        <v>1836</v>
      </c>
      <c r="E542" s="5" t="s">
        <v>1838</v>
      </c>
      <c r="F542" s="5">
        <v>1.1825000000000001</v>
      </c>
      <c r="G542" s="5">
        <v>0.14648700000000001</v>
      </c>
      <c r="H542" s="5">
        <v>-3.0129899999999998</v>
      </c>
      <c r="I542" s="5">
        <v>1</v>
      </c>
      <c r="L542" s="2" t="s">
        <v>1429</v>
      </c>
      <c r="M542" s="2">
        <v>-1.2327399999999999</v>
      </c>
    </row>
    <row r="543" spans="1:13" x14ac:dyDescent="0.2">
      <c r="A543" s="5" t="s">
        <v>929</v>
      </c>
      <c r="B543" s="5" t="s">
        <v>3047</v>
      </c>
      <c r="C543" s="2" t="s">
        <v>2277</v>
      </c>
      <c r="D543" s="5" t="s">
        <v>1836</v>
      </c>
      <c r="E543" s="5" t="s">
        <v>1838</v>
      </c>
      <c r="F543" s="5">
        <v>8.9835600000000007</v>
      </c>
      <c r="G543" s="5">
        <v>2.5358200000000002</v>
      </c>
      <c r="H543" s="5">
        <v>-1.82483</v>
      </c>
      <c r="I543" s="5">
        <v>1</v>
      </c>
      <c r="L543" s="2" t="s">
        <v>952</v>
      </c>
      <c r="M543" s="2">
        <v>2.5631599999999999</v>
      </c>
    </row>
    <row r="544" spans="1:13" x14ac:dyDescent="0.2">
      <c r="A544" s="5" t="s">
        <v>930</v>
      </c>
      <c r="B544" s="5" t="s">
        <v>3100</v>
      </c>
      <c r="C544" s="2" t="s">
        <v>2278</v>
      </c>
      <c r="D544" s="5" t="s">
        <v>1836</v>
      </c>
      <c r="E544" s="5" t="s">
        <v>1838</v>
      </c>
      <c r="F544" s="5">
        <v>7.7362399999999996</v>
      </c>
      <c r="G544" s="5">
        <v>0.72689899999999996</v>
      </c>
      <c r="H544" s="5">
        <v>-3.41181</v>
      </c>
      <c r="I544" s="5">
        <v>1</v>
      </c>
      <c r="L544" s="2" t="s">
        <v>953</v>
      </c>
      <c r="M544" s="2">
        <v>-1.3665</v>
      </c>
    </row>
    <row r="545" spans="1:13" x14ac:dyDescent="0.2">
      <c r="A545" s="5" t="s">
        <v>931</v>
      </c>
      <c r="B545" s="5" t="s">
        <v>3241</v>
      </c>
      <c r="C545" s="2" t="s">
        <v>2279</v>
      </c>
      <c r="D545" s="5" t="s">
        <v>1836</v>
      </c>
      <c r="E545" s="5" t="s">
        <v>1838</v>
      </c>
      <c r="F545" s="5">
        <v>10.908799999999999</v>
      </c>
      <c r="G545" s="5">
        <v>3.30714</v>
      </c>
      <c r="H545" s="5">
        <v>-1.72184</v>
      </c>
      <c r="I545" s="5">
        <v>1</v>
      </c>
      <c r="L545" s="2" t="s">
        <v>1431</v>
      </c>
      <c r="M545" s="2">
        <v>-2.1037699999999999</v>
      </c>
    </row>
    <row r="546" spans="1:13" x14ac:dyDescent="0.2">
      <c r="A546" s="5" t="s">
        <v>936</v>
      </c>
      <c r="B546" s="5" t="s">
        <v>3373</v>
      </c>
      <c r="C546" s="2" t="s">
        <v>2200</v>
      </c>
      <c r="D546" s="5" t="s">
        <v>1836</v>
      </c>
      <c r="E546" s="5" t="s">
        <v>1838</v>
      </c>
      <c r="F546" s="5">
        <v>3.7222599999999999</v>
      </c>
      <c r="G546" s="5">
        <v>1.76207</v>
      </c>
      <c r="H546" s="5">
        <v>-1.07891</v>
      </c>
      <c r="I546" s="5">
        <v>1</v>
      </c>
      <c r="L546" s="2" t="s">
        <v>961</v>
      </c>
      <c r="M546" s="2">
        <v>-1.30572</v>
      </c>
    </row>
    <row r="547" spans="1:13" x14ac:dyDescent="0.2">
      <c r="A547" s="5" t="s">
        <v>937</v>
      </c>
      <c r="B547" s="5" t="s">
        <v>3137</v>
      </c>
      <c r="C547" s="2" t="s">
        <v>2280</v>
      </c>
      <c r="D547" s="5" t="s">
        <v>1836</v>
      </c>
      <c r="E547" s="5" t="s">
        <v>1838</v>
      </c>
      <c r="F547" s="5">
        <v>52.618499999999997</v>
      </c>
      <c r="G547" s="5">
        <v>10.454000000000001</v>
      </c>
      <c r="H547" s="5">
        <v>-2.3315100000000002</v>
      </c>
      <c r="I547" s="5">
        <v>1</v>
      </c>
      <c r="L547" s="2" t="s">
        <v>962</v>
      </c>
      <c r="M547" s="2">
        <v>-1.2558</v>
      </c>
    </row>
    <row r="548" spans="1:13" x14ac:dyDescent="0.2">
      <c r="A548" s="5" t="s">
        <v>1425</v>
      </c>
      <c r="B548" s="5" t="s">
        <v>3081</v>
      </c>
      <c r="C548" s="2" t="s">
        <v>1965</v>
      </c>
      <c r="D548" s="5" t="s">
        <v>1836</v>
      </c>
      <c r="E548" s="5" t="s">
        <v>1838</v>
      </c>
      <c r="F548" s="5">
        <v>3.2894000000000001</v>
      </c>
      <c r="G548" s="5">
        <v>1.2805599999999999</v>
      </c>
      <c r="H548" s="5">
        <v>-1.3610500000000001</v>
      </c>
      <c r="I548" s="5">
        <v>1</v>
      </c>
      <c r="L548" s="2" t="s">
        <v>1432</v>
      </c>
      <c r="M548" s="2">
        <v>1.03471</v>
      </c>
    </row>
    <row r="549" spans="1:13" x14ac:dyDescent="0.2">
      <c r="A549" s="5" t="s">
        <v>1426</v>
      </c>
      <c r="B549" s="5" t="s">
        <v>3182</v>
      </c>
      <c r="C549" s="2" t="s">
        <v>2587</v>
      </c>
      <c r="D549" s="5" t="s">
        <v>1836</v>
      </c>
      <c r="E549" s="5" t="s">
        <v>1838</v>
      </c>
      <c r="F549" s="5">
        <v>2.16147</v>
      </c>
      <c r="G549" s="5">
        <v>0.90241400000000005</v>
      </c>
      <c r="H549" s="5">
        <v>-1.2601500000000001</v>
      </c>
      <c r="I549" s="5">
        <v>1</v>
      </c>
      <c r="L549" s="2" t="s">
        <v>1433</v>
      </c>
      <c r="M549" s="2">
        <v>-1.4371799999999999</v>
      </c>
    </row>
    <row r="550" spans="1:13" x14ac:dyDescent="0.2">
      <c r="A550" s="5" t="s">
        <v>939</v>
      </c>
      <c r="B550" s="5" t="s">
        <v>3374</v>
      </c>
      <c r="C550" s="2" t="s">
        <v>2588</v>
      </c>
      <c r="D550" s="5" t="s">
        <v>1836</v>
      </c>
      <c r="E550" s="5" t="s">
        <v>1838</v>
      </c>
      <c r="F550" s="5">
        <v>1.4782299999999999</v>
      </c>
      <c r="G550" s="5">
        <v>0.71665199999999996</v>
      </c>
      <c r="H550" s="5">
        <v>-1.04453</v>
      </c>
      <c r="I550" s="5">
        <v>1</v>
      </c>
      <c r="L550" s="2" t="s">
        <v>1434</v>
      </c>
      <c r="M550" s="2">
        <v>1.8216399999999999</v>
      </c>
    </row>
    <row r="551" spans="1:13" x14ac:dyDescent="0.2">
      <c r="A551" s="5" t="s">
        <v>940</v>
      </c>
      <c r="B551" s="5" t="s">
        <v>3242</v>
      </c>
      <c r="C551" s="2" t="s">
        <v>2282</v>
      </c>
      <c r="D551" s="5" t="s">
        <v>1836</v>
      </c>
      <c r="E551" s="5" t="s">
        <v>1838</v>
      </c>
      <c r="F551" s="5">
        <v>2.2209599999999998</v>
      </c>
      <c r="G551" s="5">
        <v>0.59855700000000001</v>
      </c>
      <c r="H551" s="5">
        <v>-1.8916200000000001</v>
      </c>
      <c r="I551" s="5">
        <v>1</v>
      </c>
      <c r="L551" s="2" t="s">
        <v>965</v>
      </c>
      <c r="M551" s="2">
        <v>-1.0066999999999999</v>
      </c>
    </row>
    <row r="552" spans="1:13" x14ac:dyDescent="0.2">
      <c r="A552" s="5" t="s">
        <v>1428</v>
      </c>
      <c r="B552" s="5" t="s">
        <v>3024</v>
      </c>
      <c r="C552" s="2" t="s">
        <v>2053</v>
      </c>
      <c r="D552" s="5" t="s">
        <v>1836</v>
      </c>
      <c r="E552" s="5" t="s">
        <v>1838</v>
      </c>
      <c r="F552" s="5">
        <v>1.36663</v>
      </c>
      <c r="G552" s="5">
        <v>0.26003999999999999</v>
      </c>
      <c r="H552" s="5">
        <v>-2.3938199999999998</v>
      </c>
      <c r="I552" s="5">
        <v>1</v>
      </c>
      <c r="L552" s="2" t="s">
        <v>1435</v>
      </c>
      <c r="M552" s="2">
        <v>-1.1323099999999999</v>
      </c>
    </row>
    <row r="553" spans="1:13" x14ac:dyDescent="0.2">
      <c r="A553" s="5" t="s">
        <v>942</v>
      </c>
      <c r="B553" s="5" t="s">
        <v>3243</v>
      </c>
      <c r="C553" s="2" t="s">
        <v>1847</v>
      </c>
      <c r="D553" s="5" t="s">
        <v>1836</v>
      </c>
      <c r="E553" s="5" t="s">
        <v>1838</v>
      </c>
      <c r="F553" s="5">
        <v>8.2205399999999997</v>
      </c>
      <c r="G553" s="5">
        <v>3.1914899999999999</v>
      </c>
      <c r="H553" s="5">
        <v>-1.365</v>
      </c>
      <c r="I553" s="5">
        <v>1</v>
      </c>
      <c r="L553" s="2" t="s">
        <v>1436</v>
      </c>
      <c r="M553" s="2">
        <v>-1.0937300000000001</v>
      </c>
    </row>
    <row r="554" spans="1:13" x14ac:dyDescent="0.2">
      <c r="A554" s="5" t="s">
        <v>943</v>
      </c>
      <c r="B554" s="5" t="s">
        <v>3058</v>
      </c>
      <c r="C554" s="2" t="s">
        <v>2018</v>
      </c>
      <c r="D554" s="5" t="s">
        <v>1836</v>
      </c>
      <c r="E554" s="5" t="s">
        <v>1838</v>
      </c>
      <c r="F554" s="5">
        <v>7.7013999999999996</v>
      </c>
      <c r="G554" s="5">
        <v>3.5153500000000002</v>
      </c>
      <c r="H554" s="5">
        <v>-1.1314500000000001</v>
      </c>
      <c r="I554" s="5">
        <v>1</v>
      </c>
      <c r="L554" s="2" t="s">
        <v>972</v>
      </c>
      <c r="M554" s="2">
        <v>1.0303</v>
      </c>
    </row>
    <row r="555" spans="1:13" x14ac:dyDescent="0.2">
      <c r="A555" s="5" t="s">
        <v>1429</v>
      </c>
      <c r="B555" s="5" t="s">
        <v>3093</v>
      </c>
      <c r="C555" s="2" t="s">
        <v>2589</v>
      </c>
      <c r="D555" s="5" t="s">
        <v>1836</v>
      </c>
      <c r="E555" s="5" t="s">
        <v>1838</v>
      </c>
      <c r="F555" s="5">
        <v>1.2181500000000001</v>
      </c>
      <c r="G555" s="5">
        <v>0.51833399999999996</v>
      </c>
      <c r="H555" s="5">
        <v>-1.2327399999999999</v>
      </c>
      <c r="I555" s="5">
        <v>1</v>
      </c>
      <c r="L555" s="2" t="s">
        <v>1437</v>
      </c>
      <c r="M555" s="2">
        <v>-1.48712</v>
      </c>
    </row>
    <row r="556" spans="1:13" x14ac:dyDescent="0.2">
      <c r="A556" s="5" t="s">
        <v>952</v>
      </c>
      <c r="B556" s="5" t="s">
        <v>3256</v>
      </c>
      <c r="C556" s="2" t="s">
        <v>2316</v>
      </c>
      <c r="D556" s="5" t="s">
        <v>1836</v>
      </c>
      <c r="E556" s="5" t="s">
        <v>1838</v>
      </c>
      <c r="F556" s="5">
        <v>1.94963</v>
      </c>
      <c r="G556" s="5">
        <v>11.5223</v>
      </c>
      <c r="H556" s="5">
        <v>2.5631599999999999</v>
      </c>
      <c r="I556" s="5">
        <v>1</v>
      </c>
      <c r="L556" s="2" t="s">
        <v>977</v>
      </c>
      <c r="M556" s="2">
        <v>-1.28731</v>
      </c>
    </row>
    <row r="557" spans="1:13" x14ac:dyDescent="0.2">
      <c r="A557" s="5" t="s">
        <v>953</v>
      </c>
      <c r="B557" s="5" t="s">
        <v>3015</v>
      </c>
      <c r="C557" s="2" t="s">
        <v>2288</v>
      </c>
      <c r="D557" s="5" t="s">
        <v>1836</v>
      </c>
      <c r="E557" s="5" t="s">
        <v>1838</v>
      </c>
      <c r="F557" s="5">
        <v>3.8626299999999998</v>
      </c>
      <c r="G557" s="5">
        <v>1.4980500000000001</v>
      </c>
      <c r="H557" s="5">
        <v>-1.3665</v>
      </c>
      <c r="I557" s="5">
        <v>1</v>
      </c>
      <c r="L557" s="2" t="s">
        <v>978</v>
      </c>
      <c r="M557" s="2">
        <v>-1.1622399999999999</v>
      </c>
    </row>
    <row r="558" spans="1:13" x14ac:dyDescent="0.2">
      <c r="A558" s="5" t="s">
        <v>955</v>
      </c>
      <c r="B558" s="5" t="s">
        <v>3015</v>
      </c>
      <c r="C558" s="2" t="s">
        <v>2289</v>
      </c>
      <c r="D558" s="5" t="s">
        <v>1836</v>
      </c>
      <c r="E558" s="5" t="s">
        <v>1838</v>
      </c>
      <c r="F558" s="5">
        <v>0</v>
      </c>
      <c r="G558" s="5">
        <v>5.8176600000000001</v>
      </c>
      <c r="H558" s="5" t="s">
        <v>3021</v>
      </c>
      <c r="I558" s="5" t="s">
        <v>3021</v>
      </c>
      <c r="L558" s="2" t="s">
        <v>984</v>
      </c>
      <c r="M558" s="2">
        <v>-1.09598</v>
      </c>
    </row>
    <row r="559" spans="1:13" x14ac:dyDescent="0.2">
      <c r="A559" s="5" t="s">
        <v>1431</v>
      </c>
      <c r="B559" s="5" t="s">
        <v>3053</v>
      </c>
      <c r="C559" s="2" t="s">
        <v>2495</v>
      </c>
      <c r="D559" s="5" t="s">
        <v>1836</v>
      </c>
      <c r="E559" s="5" t="s">
        <v>1838</v>
      </c>
      <c r="F559" s="5">
        <v>1.1852799999999999</v>
      </c>
      <c r="G559" s="5">
        <v>0.275754</v>
      </c>
      <c r="H559" s="5">
        <v>-2.1037699999999999</v>
      </c>
      <c r="I559" s="5">
        <v>1</v>
      </c>
      <c r="L559" s="2" t="s">
        <v>987</v>
      </c>
      <c r="M559" s="2">
        <v>-1.29488</v>
      </c>
    </row>
    <row r="560" spans="1:13" x14ac:dyDescent="0.2">
      <c r="A560" s="5" t="s">
        <v>961</v>
      </c>
      <c r="B560" s="5" t="s">
        <v>3247</v>
      </c>
      <c r="C560" s="2" t="s">
        <v>2294</v>
      </c>
      <c r="D560" s="5" t="s">
        <v>1836</v>
      </c>
      <c r="E560" s="5" t="s">
        <v>1838</v>
      </c>
      <c r="F560" s="5">
        <v>39.926600000000001</v>
      </c>
      <c r="G560" s="5">
        <v>16.1511</v>
      </c>
      <c r="H560" s="5">
        <v>-1.30572</v>
      </c>
      <c r="I560" s="5">
        <v>1</v>
      </c>
      <c r="L560" s="2" t="s">
        <v>988</v>
      </c>
      <c r="M560" s="2">
        <v>-2.1850700000000001</v>
      </c>
    </row>
    <row r="561" spans="1:13" x14ac:dyDescent="0.2">
      <c r="A561" s="5" t="s">
        <v>962</v>
      </c>
      <c r="B561" s="5" t="s">
        <v>3245</v>
      </c>
      <c r="C561" s="2" t="s">
        <v>2590</v>
      </c>
      <c r="D561" s="5" t="s">
        <v>1836</v>
      </c>
      <c r="E561" s="5" t="s">
        <v>1838</v>
      </c>
      <c r="F561" s="5">
        <v>15.619300000000001</v>
      </c>
      <c r="G561" s="5">
        <v>6.5407599999999997</v>
      </c>
      <c r="H561" s="5">
        <v>-1.2558</v>
      </c>
      <c r="I561" s="5">
        <v>1</v>
      </c>
      <c r="L561" s="2" t="s">
        <v>993</v>
      </c>
      <c r="M561" s="2">
        <v>-1.03095</v>
      </c>
    </row>
    <row r="562" spans="1:13" x14ac:dyDescent="0.2">
      <c r="A562" s="5" t="s">
        <v>1432</v>
      </c>
      <c r="B562" s="5" t="s">
        <v>3375</v>
      </c>
      <c r="C562" s="2" t="s">
        <v>2591</v>
      </c>
      <c r="D562" s="5" t="s">
        <v>1836</v>
      </c>
      <c r="E562" s="5" t="s">
        <v>1838</v>
      </c>
      <c r="F562" s="5">
        <v>0.83064499999999997</v>
      </c>
      <c r="G562" s="5">
        <v>1.70174</v>
      </c>
      <c r="H562" s="5">
        <v>1.03471</v>
      </c>
      <c r="I562" s="5">
        <v>1</v>
      </c>
      <c r="L562" s="2" t="s">
        <v>1439</v>
      </c>
      <c r="M562" s="2">
        <v>-1.0488500000000001</v>
      </c>
    </row>
    <row r="563" spans="1:13" x14ac:dyDescent="0.2">
      <c r="A563" s="5" t="s">
        <v>1433</v>
      </c>
      <c r="B563" s="5" t="s">
        <v>3376</v>
      </c>
      <c r="C563" s="2" t="s">
        <v>2592</v>
      </c>
      <c r="D563" s="5" t="s">
        <v>1836</v>
      </c>
      <c r="E563" s="5" t="s">
        <v>1838</v>
      </c>
      <c r="F563" s="5">
        <v>1.99238</v>
      </c>
      <c r="G563" s="5">
        <v>0.73576399999999997</v>
      </c>
      <c r="H563" s="5">
        <v>-1.4371799999999999</v>
      </c>
      <c r="I563" s="5">
        <v>1</v>
      </c>
      <c r="L563" s="2" t="s">
        <v>1440</v>
      </c>
      <c r="M563" s="2">
        <v>-1.76631</v>
      </c>
    </row>
    <row r="564" spans="1:13" x14ac:dyDescent="0.2">
      <c r="A564" s="5" t="s">
        <v>1434</v>
      </c>
      <c r="B564" s="5" t="s">
        <v>3015</v>
      </c>
      <c r="C564" s="2" t="s">
        <v>3496</v>
      </c>
      <c r="D564" s="5" t="s">
        <v>1836</v>
      </c>
      <c r="E564" s="5" t="s">
        <v>1838</v>
      </c>
      <c r="F564" s="5">
        <v>0.7994</v>
      </c>
      <c r="G564" s="5">
        <v>2.8257500000000002</v>
      </c>
      <c r="H564" s="5">
        <v>1.8216399999999999</v>
      </c>
      <c r="I564" s="5">
        <v>1</v>
      </c>
      <c r="L564" s="2" t="s">
        <v>1000</v>
      </c>
      <c r="M564" s="2">
        <v>-1.54447</v>
      </c>
    </row>
    <row r="565" spans="1:13" x14ac:dyDescent="0.2">
      <c r="A565" s="5" t="s">
        <v>965</v>
      </c>
      <c r="B565" s="5" t="s">
        <v>3200</v>
      </c>
      <c r="C565" s="2" t="s">
        <v>2297</v>
      </c>
      <c r="D565" s="5" t="s">
        <v>1836</v>
      </c>
      <c r="E565" s="5" t="s">
        <v>1838</v>
      </c>
      <c r="F565" s="5">
        <v>2.6083400000000001</v>
      </c>
      <c r="G565" s="5">
        <v>1.29813</v>
      </c>
      <c r="H565" s="5">
        <v>-1.0066999999999999</v>
      </c>
      <c r="I565" s="5">
        <v>1</v>
      </c>
      <c r="L565" s="2" t="s">
        <v>1002</v>
      </c>
      <c r="M565" s="2">
        <v>-1.4427300000000001</v>
      </c>
    </row>
    <row r="566" spans="1:13" x14ac:dyDescent="0.2">
      <c r="A566" s="5" t="s">
        <v>1435</v>
      </c>
      <c r="B566" s="5" t="s">
        <v>3015</v>
      </c>
      <c r="C566" s="2" t="s">
        <v>2593</v>
      </c>
      <c r="D566" s="5" t="s">
        <v>1836</v>
      </c>
      <c r="E566" s="5" t="s">
        <v>1838</v>
      </c>
      <c r="F566" s="5">
        <v>1.1201700000000001</v>
      </c>
      <c r="G566" s="5">
        <v>0.51100199999999996</v>
      </c>
      <c r="H566" s="5">
        <v>-1.1323099999999999</v>
      </c>
      <c r="I566" s="5">
        <v>1</v>
      </c>
      <c r="L566" s="2" t="s">
        <v>1441</v>
      </c>
      <c r="M566" s="2">
        <v>1.5003200000000001</v>
      </c>
    </row>
    <row r="567" spans="1:13" x14ac:dyDescent="0.2">
      <c r="A567" s="5" t="s">
        <v>1436</v>
      </c>
      <c r="B567" s="5" t="s">
        <v>3015</v>
      </c>
      <c r="C567" s="2" t="s">
        <v>1862</v>
      </c>
      <c r="D567" s="5" t="s">
        <v>1836</v>
      </c>
      <c r="E567" s="5" t="s">
        <v>1838</v>
      </c>
      <c r="F567" s="5">
        <v>1.63801</v>
      </c>
      <c r="G567" s="5">
        <v>0.76749100000000003</v>
      </c>
      <c r="H567" s="5">
        <v>-1.0937300000000001</v>
      </c>
      <c r="I567" s="5">
        <v>1</v>
      </c>
      <c r="L567" s="2" t="s">
        <v>1442</v>
      </c>
      <c r="M567" s="2">
        <v>1.54345</v>
      </c>
    </row>
    <row r="568" spans="1:13" x14ac:dyDescent="0.2">
      <c r="A568" s="5" t="s">
        <v>972</v>
      </c>
      <c r="B568" s="5" t="s">
        <v>3030</v>
      </c>
      <c r="C568" s="2" t="s">
        <v>3496</v>
      </c>
      <c r="D568" s="5" t="s">
        <v>1836</v>
      </c>
      <c r="E568" s="5" t="s">
        <v>1838</v>
      </c>
      <c r="F568" s="5">
        <v>38.310400000000001</v>
      </c>
      <c r="G568" s="5">
        <v>78.247299999999996</v>
      </c>
      <c r="H568" s="5">
        <v>1.0303</v>
      </c>
      <c r="I568" s="5">
        <v>1</v>
      </c>
      <c r="L568" s="2" t="s">
        <v>1010</v>
      </c>
      <c r="M568" s="2">
        <v>-1.76129</v>
      </c>
    </row>
    <row r="569" spans="1:13" x14ac:dyDescent="0.2">
      <c r="A569" s="5" t="s">
        <v>1437</v>
      </c>
      <c r="B569" s="5" t="s">
        <v>3015</v>
      </c>
      <c r="C569" s="2" t="s">
        <v>1847</v>
      </c>
      <c r="D569" s="5" t="s">
        <v>1836</v>
      </c>
      <c r="E569" s="5" t="s">
        <v>1838</v>
      </c>
      <c r="F569" s="5">
        <v>6.4558200000000001</v>
      </c>
      <c r="G569" s="5">
        <v>2.30294</v>
      </c>
      <c r="H569" s="5">
        <v>-1.48712</v>
      </c>
      <c r="I569" s="5">
        <v>1</v>
      </c>
      <c r="L569" s="2" t="s">
        <v>1011</v>
      </c>
      <c r="M569" s="2">
        <v>1.12466</v>
      </c>
    </row>
    <row r="570" spans="1:13" x14ac:dyDescent="0.2">
      <c r="A570" s="5" t="s">
        <v>977</v>
      </c>
      <c r="B570" s="5" t="s">
        <v>3058</v>
      </c>
      <c r="C570" s="2" t="s">
        <v>2018</v>
      </c>
      <c r="D570" s="5" t="s">
        <v>1836</v>
      </c>
      <c r="E570" s="5" t="s">
        <v>1838</v>
      </c>
      <c r="F570" s="5">
        <v>16.8019</v>
      </c>
      <c r="G570" s="5">
        <v>6.8839499999999996</v>
      </c>
      <c r="H570" s="5">
        <v>-1.28731</v>
      </c>
      <c r="I570" s="5">
        <v>1</v>
      </c>
      <c r="L570" s="2" t="s">
        <v>1012</v>
      </c>
      <c r="M570" s="2">
        <v>-1.0987100000000001</v>
      </c>
    </row>
    <row r="571" spans="1:13" x14ac:dyDescent="0.2">
      <c r="A571" s="5" t="s">
        <v>978</v>
      </c>
      <c r="B571" s="5" t="s">
        <v>3015</v>
      </c>
      <c r="C571" s="2" t="s">
        <v>2034</v>
      </c>
      <c r="D571" s="5" t="s">
        <v>1836</v>
      </c>
      <c r="E571" s="5" t="s">
        <v>1838</v>
      </c>
      <c r="F571" s="5">
        <v>11.4526</v>
      </c>
      <c r="G571" s="5">
        <v>5.1172199999999997</v>
      </c>
      <c r="H571" s="5">
        <v>-1.1622399999999999</v>
      </c>
      <c r="I571" s="5">
        <v>1</v>
      </c>
      <c r="L571" s="2" t="s">
        <v>1016</v>
      </c>
      <c r="M571" s="2">
        <v>-1.35568</v>
      </c>
    </row>
    <row r="572" spans="1:13" x14ac:dyDescent="0.2">
      <c r="A572" s="5" t="s">
        <v>984</v>
      </c>
      <c r="B572" s="5" t="s">
        <v>3253</v>
      </c>
      <c r="C572" s="2" t="s">
        <v>2307</v>
      </c>
      <c r="D572" s="5" t="s">
        <v>1836</v>
      </c>
      <c r="E572" s="5" t="s">
        <v>1838</v>
      </c>
      <c r="F572" s="5">
        <v>13.5283</v>
      </c>
      <c r="G572" s="5">
        <v>6.3287699999999996</v>
      </c>
      <c r="H572" s="5">
        <v>-1.09598</v>
      </c>
      <c r="I572" s="5">
        <v>1</v>
      </c>
      <c r="L572" s="2" t="s">
        <v>1017</v>
      </c>
      <c r="M572" s="2">
        <v>-1.8392200000000001</v>
      </c>
    </row>
    <row r="573" spans="1:13" x14ac:dyDescent="0.2">
      <c r="A573" s="5" t="s">
        <v>987</v>
      </c>
      <c r="B573" s="5" t="s">
        <v>3015</v>
      </c>
      <c r="C573" s="2" t="s">
        <v>3496</v>
      </c>
      <c r="D573" s="5" t="s">
        <v>1836</v>
      </c>
      <c r="E573" s="5" t="s">
        <v>1838</v>
      </c>
      <c r="F573" s="5">
        <v>1.93133</v>
      </c>
      <c r="G573" s="5">
        <v>0.78715400000000002</v>
      </c>
      <c r="H573" s="5">
        <v>-1.29488</v>
      </c>
      <c r="I573" s="5">
        <v>1</v>
      </c>
      <c r="L573" s="2" t="s">
        <v>1019</v>
      </c>
      <c r="M573" s="2">
        <v>-1.7755399999999999</v>
      </c>
    </row>
    <row r="574" spans="1:13" x14ac:dyDescent="0.2">
      <c r="A574" s="5" t="s">
        <v>988</v>
      </c>
      <c r="B574" s="5" t="s">
        <v>3047</v>
      </c>
      <c r="C574" s="2" t="s">
        <v>2277</v>
      </c>
      <c r="D574" s="5" t="s">
        <v>1836</v>
      </c>
      <c r="E574" s="5" t="s">
        <v>1838</v>
      </c>
      <c r="F574" s="5">
        <v>9.5418099999999999</v>
      </c>
      <c r="G574" s="5">
        <v>2.0982599999999998</v>
      </c>
      <c r="H574" s="5">
        <v>-2.1850700000000001</v>
      </c>
      <c r="I574" s="5">
        <v>1</v>
      </c>
      <c r="L574" s="2" t="s">
        <v>1022</v>
      </c>
      <c r="M574" s="2">
        <v>-1.3947499999999999</v>
      </c>
    </row>
    <row r="575" spans="1:13" x14ac:dyDescent="0.2">
      <c r="A575" s="5" t="s">
        <v>993</v>
      </c>
      <c r="B575" s="5" t="s">
        <v>3015</v>
      </c>
      <c r="C575" s="2" t="s">
        <v>2594</v>
      </c>
      <c r="D575" s="5" t="s">
        <v>1836</v>
      </c>
      <c r="E575" s="5" t="s">
        <v>1838</v>
      </c>
      <c r="F575" s="5">
        <v>10.4193</v>
      </c>
      <c r="G575" s="5">
        <v>5.0990799999999998</v>
      </c>
      <c r="H575" s="5">
        <v>-1.03095</v>
      </c>
      <c r="I575" s="5">
        <v>1</v>
      </c>
      <c r="L575" s="2" t="s">
        <v>1025</v>
      </c>
      <c r="M575" s="2">
        <v>-1.1730700000000001</v>
      </c>
    </row>
    <row r="576" spans="1:13" x14ac:dyDescent="0.2">
      <c r="A576" s="5" t="s">
        <v>1439</v>
      </c>
      <c r="B576" s="5" t="s">
        <v>3129</v>
      </c>
      <c r="C576" s="2" t="s">
        <v>2595</v>
      </c>
      <c r="D576" s="5" t="s">
        <v>1836</v>
      </c>
      <c r="E576" s="5" t="s">
        <v>1838</v>
      </c>
      <c r="F576" s="5">
        <v>2.5129899999999998</v>
      </c>
      <c r="G576" s="5">
        <v>1.2146600000000001</v>
      </c>
      <c r="H576" s="5">
        <v>-1.0488500000000001</v>
      </c>
      <c r="I576" s="5">
        <v>1</v>
      </c>
      <c r="L576" s="2" t="s">
        <v>1445</v>
      </c>
      <c r="M576" s="2">
        <v>1.20373</v>
      </c>
    </row>
    <row r="577" spans="1:13" x14ac:dyDescent="0.2">
      <c r="A577" s="5" t="s">
        <v>1440</v>
      </c>
      <c r="B577" s="5" t="s">
        <v>3015</v>
      </c>
      <c r="C577" s="2" t="s">
        <v>2299</v>
      </c>
      <c r="D577" s="5" t="s">
        <v>1836</v>
      </c>
      <c r="E577" s="5" t="s">
        <v>1838</v>
      </c>
      <c r="F577" s="5">
        <v>0.98548800000000003</v>
      </c>
      <c r="G577" s="5">
        <v>0.28969299999999998</v>
      </c>
      <c r="H577" s="5">
        <v>-1.76631</v>
      </c>
      <c r="I577" s="5">
        <v>1</v>
      </c>
      <c r="L577" s="2" t="s">
        <v>1028</v>
      </c>
      <c r="M577" s="2">
        <v>-1.67289</v>
      </c>
    </row>
    <row r="578" spans="1:13" x14ac:dyDescent="0.2">
      <c r="A578" s="5" t="s">
        <v>1000</v>
      </c>
      <c r="B578" s="5" t="s">
        <v>3015</v>
      </c>
      <c r="C578" s="2" t="s">
        <v>3496</v>
      </c>
      <c r="D578" s="5" t="s">
        <v>1836</v>
      </c>
      <c r="E578" s="5" t="s">
        <v>1838</v>
      </c>
      <c r="F578" s="5">
        <v>2.5510100000000002</v>
      </c>
      <c r="G578" s="5">
        <v>0.87454100000000001</v>
      </c>
      <c r="H578" s="5">
        <v>-1.54447</v>
      </c>
      <c r="I578" s="5">
        <v>1</v>
      </c>
      <c r="L578" s="2" t="s">
        <v>1446</v>
      </c>
      <c r="M578" s="2">
        <v>-1.30121</v>
      </c>
    </row>
    <row r="579" spans="1:13" x14ac:dyDescent="0.2">
      <c r="A579" s="5" t="s">
        <v>1002</v>
      </c>
      <c r="B579" s="5" t="s">
        <v>3015</v>
      </c>
      <c r="C579" s="2" t="s">
        <v>3496</v>
      </c>
      <c r="D579" s="5" t="s">
        <v>1836</v>
      </c>
      <c r="E579" s="5" t="s">
        <v>1838</v>
      </c>
      <c r="F579" s="5">
        <v>11.661799999999999</v>
      </c>
      <c r="G579" s="5">
        <v>4.2900299999999998</v>
      </c>
      <c r="H579" s="5">
        <v>-1.4427300000000001</v>
      </c>
      <c r="I579" s="5">
        <v>1</v>
      </c>
      <c r="L579" s="2" t="s">
        <v>1447</v>
      </c>
      <c r="M579" s="2">
        <v>-1.82589</v>
      </c>
    </row>
    <row r="580" spans="1:13" x14ac:dyDescent="0.2">
      <c r="A580" s="5" t="s">
        <v>1441</v>
      </c>
      <c r="B580" s="5" t="s">
        <v>3047</v>
      </c>
      <c r="C580" s="2" t="s">
        <v>2596</v>
      </c>
      <c r="D580" s="5" t="s">
        <v>1836</v>
      </c>
      <c r="E580" s="5" t="s">
        <v>1838</v>
      </c>
      <c r="F580" s="5">
        <v>1.2577100000000001</v>
      </c>
      <c r="G580" s="5">
        <v>3.5581200000000002</v>
      </c>
      <c r="H580" s="5">
        <v>1.5003200000000001</v>
      </c>
      <c r="I580" s="5">
        <v>1</v>
      </c>
      <c r="L580" s="2" t="s">
        <v>1030</v>
      </c>
      <c r="M580" s="2">
        <v>-1.37998</v>
      </c>
    </row>
    <row r="581" spans="1:13" x14ac:dyDescent="0.2">
      <c r="A581" s="5" t="s">
        <v>1442</v>
      </c>
      <c r="B581" s="5" t="s">
        <v>3047</v>
      </c>
      <c r="C581" s="2" t="s">
        <v>2597</v>
      </c>
      <c r="D581" s="5" t="s">
        <v>1836</v>
      </c>
      <c r="E581" s="5" t="s">
        <v>1838</v>
      </c>
      <c r="F581" s="5">
        <v>0.46690999999999999</v>
      </c>
      <c r="G581" s="5">
        <v>1.361</v>
      </c>
      <c r="H581" s="5">
        <v>1.54345</v>
      </c>
      <c r="I581" s="5">
        <v>1</v>
      </c>
      <c r="L581" s="2" t="s">
        <v>1448</v>
      </c>
      <c r="M581" s="2">
        <v>-1.59721</v>
      </c>
    </row>
    <row r="582" spans="1:13" x14ac:dyDescent="0.2">
      <c r="A582" s="5" t="s">
        <v>1010</v>
      </c>
      <c r="B582" s="5" t="s">
        <v>3015</v>
      </c>
      <c r="C582" s="2" t="s">
        <v>1915</v>
      </c>
      <c r="D582" s="5" t="s">
        <v>1836</v>
      </c>
      <c r="E582" s="5" t="s">
        <v>1838</v>
      </c>
      <c r="F582" s="5">
        <v>1.31871</v>
      </c>
      <c r="G582" s="5">
        <v>0.38899699999999998</v>
      </c>
      <c r="H582" s="5">
        <v>-1.76129</v>
      </c>
      <c r="I582" s="5">
        <v>1</v>
      </c>
      <c r="L582" s="2" t="s">
        <v>1033</v>
      </c>
      <c r="M582" s="2">
        <v>-1.2270300000000001</v>
      </c>
    </row>
    <row r="583" spans="1:13" x14ac:dyDescent="0.2">
      <c r="A583" s="5" t="s">
        <v>1011</v>
      </c>
      <c r="B583" s="5" t="s">
        <v>3256</v>
      </c>
      <c r="C583" s="2" t="s">
        <v>2316</v>
      </c>
      <c r="D583" s="5" t="s">
        <v>1836</v>
      </c>
      <c r="E583" s="5" t="s">
        <v>1838</v>
      </c>
      <c r="F583" s="5">
        <v>7.4150499999999999</v>
      </c>
      <c r="G583" s="5">
        <v>16.168600000000001</v>
      </c>
      <c r="H583" s="5">
        <v>1.12466</v>
      </c>
      <c r="I583" s="5">
        <v>1</v>
      </c>
      <c r="L583" s="2" t="s">
        <v>1036</v>
      </c>
      <c r="M583" s="2">
        <v>-2.27258</v>
      </c>
    </row>
    <row r="584" spans="1:13" x14ac:dyDescent="0.2">
      <c r="A584" s="5" t="s">
        <v>1012</v>
      </c>
      <c r="B584" s="5" t="s">
        <v>3015</v>
      </c>
      <c r="C584" s="2" t="s">
        <v>2317</v>
      </c>
      <c r="D584" s="5" t="s">
        <v>1836</v>
      </c>
      <c r="E584" s="5" t="s">
        <v>1838</v>
      </c>
      <c r="F584" s="5">
        <v>2.59382</v>
      </c>
      <c r="G584" s="5">
        <v>1.2111400000000001</v>
      </c>
      <c r="H584" s="5">
        <v>-1.0987100000000001</v>
      </c>
      <c r="I584" s="5">
        <v>1</v>
      </c>
      <c r="L584" s="2" t="s">
        <v>1038</v>
      </c>
      <c r="M584" s="2">
        <v>1.1140099999999999</v>
      </c>
    </row>
    <row r="585" spans="1:13" x14ac:dyDescent="0.2">
      <c r="A585" s="5" t="s">
        <v>1016</v>
      </c>
      <c r="B585" s="5" t="s">
        <v>3038</v>
      </c>
      <c r="C585" s="2" t="s">
        <v>2320</v>
      </c>
      <c r="D585" s="5" t="s">
        <v>1836</v>
      </c>
      <c r="E585" s="5" t="s">
        <v>1838</v>
      </c>
      <c r="F585" s="5">
        <v>1.04027</v>
      </c>
      <c r="G585" s="5">
        <v>0.40648499999999999</v>
      </c>
      <c r="H585" s="5">
        <v>-1.35568</v>
      </c>
      <c r="I585" s="5">
        <v>1</v>
      </c>
      <c r="L585" s="2" t="s">
        <v>1040</v>
      </c>
      <c r="M585" s="2">
        <v>-2.1719200000000001</v>
      </c>
    </row>
    <row r="586" spans="1:13" x14ac:dyDescent="0.2">
      <c r="A586" s="5" t="s">
        <v>1017</v>
      </c>
      <c r="B586" s="5" t="s">
        <v>3094</v>
      </c>
      <c r="C586" s="2" t="s">
        <v>2321</v>
      </c>
      <c r="D586" s="5" t="s">
        <v>1836</v>
      </c>
      <c r="E586" s="5" t="s">
        <v>1838</v>
      </c>
      <c r="F586" s="5">
        <v>2.3548800000000001</v>
      </c>
      <c r="G586" s="5">
        <v>0.65812199999999998</v>
      </c>
      <c r="H586" s="5">
        <v>-1.8392200000000001</v>
      </c>
      <c r="I586" s="5">
        <v>1</v>
      </c>
      <c r="L586" s="2" t="s">
        <v>1449</v>
      </c>
      <c r="M586" s="2">
        <v>-1.6449</v>
      </c>
    </row>
    <row r="587" spans="1:13" x14ac:dyDescent="0.2">
      <c r="A587" s="5" t="s">
        <v>1019</v>
      </c>
      <c r="B587" s="5" t="s">
        <v>3025</v>
      </c>
      <c r="C587" s="2" t="s">
        <v>2269</v>
      </c>
      <c r="D587" s="5" t="s">
        <v>1836</v>
      </c>
      <c r="E587" s="5" t="s">
        <v>1838</v>
      </c>
      <c r="F587" s="5">
        <v>1.64679</v>
      </c>
      <c r="G587" s="5">
        <v>0.48100199999999999</v>
      </c>
      <c r="H587" s="5">
        <v>-1.7755399999999999</v>
      </c>
      <c r="I587" s="5">
        <v>1</v>
      </c>
      <c r="L587" s="2" t="s">
        <v>1042</v>
      </c>
      <c r="M587" s="2">
        <v>-2.03146</v>
      </c>
    </row>
    <row r="588" spans="1:13" x14ac:dyDescent="0.2">
      <c r="A588" s="5" t="s">
        <v>1022</v>
      </c>
      <c r="B588" s="5" t="s">
        <v>3015</v>
      </c>
      <c r="C588" s="2" t="s">
        <v>1847</v>
      </c>
      <c r="D588" s="5" t="s">
        <v>1836</v>
      </c>
      <c r="E588" s="5" t="s">
        <v>1838</v>
      </c>
      <c r="F588" s="5">
        <v>3.0855399999999999</v>
      </c>
      <c r="G588" s="5">
        <v>1.1734599999999999</v>
      </c>
      <c r="H588" s="5">
        <v>-1.3947499999999999</v>
      </c>
      <c r="I588" s="5">
        <v>1</v>
      </c>
      <c r="L588" s="2" t="s">
        <v>1046</v>
      </c>
      <c r="M588" s="2">
        <v>-3.94313</v>
      </c>
    </row>
    <row r="589" spans="1:13" x14ac:dyDescent="0.2">
      <c r="A589" s="5" t="s">
        <v>1025</v>
      </c>
      <c r="B589" s="5" t="s">
        <v>3094</v>
      </c>
      <c r="C589" s="2" t="s">
        <v>2325</v>
      </c>
      <c r="D589" s="5" t="s">
        <v>1836</v>
      </c>
      <c r="E589" s="5" t="s">
        <v>1838</v>
      </c>
      <c r="F589" s="5">
        <v>1.7602599999999999</v>
      </c>
      <c r="G589" s="5">
        <v>0.78063700000000003</v>
      </c>
      <c r="H589" s="5">
        <v>-1.1730700000000001</v>
      </c>
      <c r="I589" s="5">
        <v>1</v>
      </c>
      <c r="L589" s="2" t="s">
        <v>1050</v>
      </c>
      <c r="M589" s="2">
        <v>-1.3895599999999999</v>
      </c>
    </row>
    <row r="590" spans="1:13" x14ac:dyDescent="0.2">
      <c r="A590" s="5" t="s">
        <v>1445</v>
      </c>
      <c r="B590" s="5" t="s">
        <v>3015</v>
      </c>
      <c r="C590" s="2" t="s">
        <v>1847</v>
      </c>
      <c r="D590" s="5" t="s">
        <v>1836</v>
      </c>
      <c r="E590" s="5" t="s">
        <v>1838</v>
      </c>
      <c r="F590" s="5">
        <v>0.91420599999999996</v>
      </c>
      <c r="G590" s="5">
        <v>2.1057299999999999</v>
      </c>
      <c r="H590" s="5">
        <v>1.20373</v>
      </c>
      <c r="I590" s="5">
        <v>1</v>
      </c>
      <c r="L590" s="2" t="s">
        <v>1450</v>
      </c>
      <c r="M590" s="2">
        <v>-1.79068</v>
      </c>
    </row>
    <row r="591" spans="1:13" x14ac:dyDescent="0.2">
      <c r="A591" s="5" t="s">
        <v>1028</v>
      </c>
      <c r="B591" s="5" t="s">
        <v>3015</v>
      </c>
      <c r="C591" s="2" t="s">
        <v>2326</v>
      </c>
      <c r="D591" s="5" t="s">
        <v>1836</v>
      </c>
      <c r="E591" s="5" t="s">
        <v>1838</v>
      </c>
      <c r="F591" s="5">
        <v>22.631</v>
      </c>
      <c r="G591" s="5">
        <v>7.0976299999999997</v>
      </c>
      <c r="H591" s="5">
        <v>-1.67289</v>
      </c>
      <c r="I591" s="5">
        <v>1</v>
      </c>
      <c r="L591" s="2" t="s">
        <v>1056</v>
      </c>
      <c r="M591" s="2">
        <v>-3.87399</v>
      </c>
    </row>
    <row r="592" spans="1:13" x14ac:dyDescent="0.2">
      <c r="A592" s="5" t="s">
        <v>1446</v>
      </c>
      <c r="B592" s="5" t="s">
        <v>3377</v>
      </c>
      <c r="C592" s="2" t="s">
        <v>2598</v>
      </c>
      <c r="D592" s="5" t="s">
        <v>1836</v>
      </c>
      <c r="E592" s="5" t="s">
        <v>1838</v>
      </c>
      <c r="F592" s="5">
        <v>13.4358</v>
      </c>
      <c r="G592" s="5">
        <v>5.4520400000000002</v>
      </c>
      <c r="H592" s="5">
        <v>-1.30121</v>
      </c>
      <c r="I592" s="5">
        <v>1</v>
      </c>
      <c r="L592" s="2" t="s">
        <v>1061</v>
      </c>
      <c r="M592" s="2">
        <v>-1.0033000000000001</v>
      </c>
    </row>
    <row r="593" spans="1:13" x14ac:dyDescent="0.2">
      <c r="A593" s="5" t="s">
        <v>1447</v>
      </c>
      <c r="B593" s="5" t="s">
        <v>3378</v>
      </c>
      <c r="C593" s="2" t="s">
        <v>2599</v>
      </c>
      <c r="D593" s="5" t="s">
        <v>1836</v>
      </c>
      <c r="E593" s="5" t="s">
        <v>1838</v>
      </c>
      <c r="F593" s="5">
        <v>2.5872799999999998</v>
      </c>
      <c r="G593" s="5">
        <v>0.72979000000000005</v>
      </c>
      <c r="H593" s="5">
        <v>-1.82589</v>
      </c>
      <c r="I593" s="5">
        <v>1</v>
      </c>
      <c r="L593" s="2" t="s">
        <v>1062</v>
      </c>
      <c r="M593" s="2">
        <v>1.1352899999999999</v>
      </c>
    </row>
    <row r="594" spans="1:13" x14ac:dyDescent="0.2">
      <c r="A594" s="5" t="s">
        <v>1030</v>
      </c>
      <c r="B594" s="5" t="s">
        <v>3050</v>
      </c>
      <c r="C594" s="2" t="s">
        <v>2327</v>
      </c>
      <c r="D594" s="5" t="s">
        <v>1836</v>
      </c>
      <c r="E594" s="5" t="s">
        <v>1838</v>
      </c>
      <c r="F594" s="5">
        <v>0.75981799999999999</v>
      </c>
      <c r="G594" s="5">
        <v>0.29194100000000001</v>
      </c>
      <c r="H594" s="5">
        <v>-1.37998</v>
      </c>
      <c r="I594" s="5">
        <v>1</v>
      </c>
      <c r="L594" s="2" t="s">
        <v>1064</v>
      </c>
      <c r="M594" s="2">
        <v>-1.3156099999999999</v>
      </c>
    </row>
    <row r="595" spans="1:13" x14ac:dyDescent="0.2">
      <c r="A595" s="5" t="s">
        <v>1448</v>
      </c>
      <c r="B595" s="5" t="s">
        <v>3015</v>
      </c>
      <c r="C595" s="2" t="s">
        <v>3496</v>
      </c>
      <c r="D595" s="5" t="s">
        <v>1836</v>
      </c>
      <c r="E595" s="5" t="s">
        <v>1838</v>
      </c>
      <c r="F595" s="5">
        <v>2.6157400000000002</v>
      </c>
      <c r="G595" s="5">
        <v>0.86454299999999995</v>
      </c>
      <c r="H595" s="5">
        <v>-1.59721</v>
      </c>
      <c r="I595" s="5">
        <v>1</v>
      </c>
      <c r="L595" s="2" t="s">
        <v>1065</v>
      </c>
      <c r="M595" s="2">
        <v>-1.9025399999999999</v>
      </c>
    </row>
    <row r="596" spans="1:13" x14ac:dyDescent="0.2">
      <c r="A596" s="5" t="s">
        <v>1033</v>
      </c>
      <c r="B596" s="5" t="s">
        <v>3261</v>
      </c>
      <c r="C596" s="2" t="s">
        <v>2329</v>
      </c>
      <c r="D596" s="5" t="s">
        <v>1836</v>
      </c>
      <c r="E596" s="5" t="s">
        <v>1838</v>
      </c>
      <c r="F596" s="5">
        <v>20.3626</v>
      </c>
      <c r="G596" s="5">
        <v>8.6988599999999998</v>
      </c>
      <c r="H596" s="5">
        <v>-1.2270300000000001</v>
      </c>
      <c r="I596" s="5">
        <v>1</v>
      </c>
      <c r="L596" s="2" t="s">
        <v>1066</v>
      </c>
      <c r="M596" s="2">
        <v>-3.9738099999999998</v>
      </c>
    </row>
    <row r="597" spans="1:13" x14ac:dyDescent="0.2">
      <c r="A597" s="5" t="s">
        <v>1036</v>
      </c>
      <c r="B597" s="5" t="s">
        <v>3015</v>
      </c>
      <c r="C597" s="2" t="s">
        <v>2330</v>
      </c>
      <c r="D597" s="5" t="s">
        <v>1836</v>
      </c>
      <c r="E597" s="5" t="s">
        <v>1838</v>
      </c>
      <c r="F597" s="5">
        <v>1.91411</v>
      </c>
      <c r="G597" s="5">
        <v>0.396144</v>
      </c>
      <c r="H597" s="5">
        <v>-2.27258</v>
      </c>
      <c r="I597" s="5">
        <v>1</v>
      </c>
      <c r="L597" s="2" t="s">
        <v>1455</v>
      </c>
      <c r="M597" s="2">
        <v>-1.0079800000000001</v>
      </c>
    </row>
    <row r="598" spans="1:13" x14ac:dyDescent="0.2">
      <c r="A598" s="5" t="s">
        <v>1038</v>
      </c>
      <c r="B598" s="5" t="s">
        <v>3015</v>
      </c>
      <c r="C598" s="2" t="s">
        <v>3496</v>
      </c>
      <c r="D598" s="5" t="s">
        <v>1836</v>
      </c>
      <c r="E598" s="5" t="s">
        <v>1838</v>
      </c>
      <c r="F598" s="5">
        <v>6.1892199999999997</v>
      </c>
      <c r="G598" s="5">
        <v>13.3963</v>
      </c>
      <c r="H598" s="5">
        <v>1.1140099999999999</v>
      </c>
      <c r="I598" s="5">
        <v>1</v>
      </c>
      <c r="L598" s="2" t="s">
        <v>1456</v>
      </c>
      <c r="M598" s="2">
        <v>2.59253</v>
      </c>
    </row>
    <row r="599" spans="1:13" x14ac:dyDescent="0.2">
      <c r="A599" s="5" t="s">
        <v>1040</v>
      </c>
      <c r="B599" s="5" t="s">
        <v>3379</v>
      </c>
      <c r="C599" s="2" t="s">
        <v>2600</v>
      </c>
      <c r="D599" s="5" t="s">
        <v>1836</v>
      </c>
      <c r="E599" s="5" t="s">
        <v>1838</v>
      </c>
      <c r="F599" s="5">
        <v>13.463800000000001</v>
      </c>
      <c r="G599" s="5">
        <v>2.9878200000000001</v>
      </c>
      <c r="H599" s="5">
        <v>-2.1719200000000001</v>
      </c>
      <c r="I599" s="5">
        <v>1</v>
      </c>
      <c r="L599" s="2" t="s">
        <v>1457</v>
      </c>
      <c r="M599" s="2">
        <v>-4.1650200000000002</v>
      </c>
    </row>
    <row r="600" spans="1:13" x14ac:dyDescent="0.2">
      <c r="A600" s="5" t="s">
        <v>1449</v>
      </c>
      <c r="B600" s="5" t="s">
        <v>3379</v>
      </c>
      <c r="C600" s="2" t="s">
        <v>2600</v>
      </c>
      <c r="D600" s="5" t="s">
        <v>1836</v>
      </c>
      <c r="E600" s="5" t="s">
        <v>1838</v>
      </c>
      <c r="F600" s="5">
        <v>10.610799999999999</v>
      </c>
      <c r="G600" s="5">
        <v>3.3929900000000002</v>
      </c>
      <c r="H600" s="5">
        <v>-1.6449</v>
      </c>
      <c r="I600" s="5">
        <v>1</v>
      </c>
      <c r="L600" s="2" t="s">
        <v>1458</v>
      </c>
      <c r="M600" s="2">
        <v>-2.7965599999999999</v>
      </c>
    </row>
    <row r="601" spans="1:13" x14ac:dyDescent="0.2">
      <c r="A601" s="5" t="s">
        <v>1042</v>
      </c>
      <c r="B601" s="5" t="s">
        <v>3062</v>
      </c>
      <c r="C601" s="2" t="s">
        <v>2188</v>
      </c>
      <c r="D601" s="5" t="s">
        <v>1836</v>
      </c>
      <c r="E601" s="5" t="s">
        <v>1838</v>
      </c>
      <c r="F601" s="5">
        <v>3.4969700000000001</v>
      </c>
      <c r="G601" s="5">
        <v>0.85538400000000003</v>
      </c>
      <c r="H601" s="5">
        <v>-2.03146</v>
      </c>
      <c r="I601" s="5">
        <v>1</v>
      </c>
      <c r="L601" s="2" t="s">
        <v>1459</v>
      </c>
      <c r="M601" s="2">
        <v>-1.2822</v>
      </c>
    </row>
    <row r="602" spans="1:13" x14ac:dyDescent="0.2">
      <c r="A602" s="5" t="s">
        <v>1046</v>
      </c>
      <c r="B602" s="5" t="s">
        <v>3073</v>
      </c>
      <c r="C602" s="2" t="s">
        <v>2334</v>
      </c>
      <c r="D602" s="5" t="s">
        <v>1836</v>
      </c>
      <c r="E602" s="5" t="s">
        <v>1838</v>
      </c>
      <c r="F602" s="5">
        <v>5.6726799999999997</v>
      </c>
      <c r="G602" s="5">
        <v>0.36879800000000001</v>
      </c>
      <c r="H602" s="5">
        <v>-3.94313</v>
      </c>
      <c r="I602" s="5">
        <v>1</v>
      </c>
      <c r="L602" s="2" t="s">
        <v>1073</v>
      </c>
      <c r="M602" s="2">
        <v>-1.01309</v>
      </c>
    </row>
    <row r="603" spans="1:13" x14ac:dyDescent="0.2">
      <c r="A603" s="5" t="s">
        <v>1050</v>
      </c>
      <c r="B603" s="5" t="s">
        <v>3015</v>
      </c>
      <c r="C603" s="2" t="s">
        <v>2601</v>
      </c>
      <c r="D603" s="5" t="s">
        <v>1836</v>
      </c>
      <c r="E603" s="5" t="s">
        <v>1838</v>
      </c>
      <c r="F603" s="5">
        <v>3.4470299999999998</v>
      </c>
      <c r="G603" s="5">
        <v>1.3156600000000001</v>
      </c>
      <c r="H603" s="5">
        <v>-1.3895599999999999</v>
      </c>
      <c r="I603" s="5">
        <v>1</v>
      </c>
      <c r="L603" s="2" t="s">
        <v>1080</v>
      </c>
      <c r="M603" s="2">
        <v>-1.05983</v>
      </c>
    </row>
    <row r="604" spans="1:13" x14ac:dyDescent="0.2">
      <c r="A604" s="5" t="s">
        <v>1450</v>
      </c>
      <c r="B604" s="5" t="s">
        <v>3175</v>
      </c>
      <c r="C604" s="2" t="s">
        <v>2557</v>
      </c>
      <c r="D604" s="5" t="s">
        <v>1836</v>
      </c>
      <c r="E604" s="5" t="s">
        <v>1838</v>
      </c>
      <c r="F604" s="5">
        <v>3.8431799999999998</v>
      </c>
      <c r="G604" s="5">
        <v>1.1108199999999999</v>
      </c>
      <c r="H604" s="5">
        <v>-1.79068</v>
      </c>
      <c r="I604" s="5">
        <v>1</v>
      </c>
      <c r="L604" s="2" t="s">
        <v>1081</v>
      </c>
      <c r="M604" s="2">
        <v>-1.2163999999999999</v>
      </c>
    </row>
    <row r="605" spans="1:13" x14ac:dyDescent="0.2">
      <c r="A605" s="5" t="s">
        <v>1451</v>
      </c>
      <c r="B605" s="5" t="s">
        <v>3094</v>
      </c>
      <c r="C605" s="2" t="s">
        <v>2602</v>
      </c>
      <c r="D605" s="5" t="s">
        <v>1836</v>
      </c>
      <c r="E605" s="5" t="s">
        <v>1838</v>
      </c>
      <c r="F605" s="5">
        <v>0.89119300000000001</v>
      </c>
      <c r="G605" s="5">
        <v>0</v>
      </c>
      <c r="H605" s="5" t="s">
        <v>3021</v>
      </c>
      <c r="I605" s="5" t="s">
        <v>3021</v>
      </c>
      <c r="L605" s="2" t="s">
        <v>1082</v>
      </c>
      <c r="M605" s="2">
        <v>-1.7730399999999999</v>
      </c>
    </row>
    <row r="606" spans="1:13" x14ac:dyDescent="0.2">
      <c r="A606" s="5" t="s">
        <v>1452</v>
      </c>
      <c r="B606" s="5" t="s">
        <v>3015</v>
      </c>
      <c r="C606" s="2" t="s">
        <v>3496</v>
      </c>
      <c r="D606" s="5" t="s">
        <v>1836</v>
      </c>
      <c r="E606" s="5" t="s">
        <v>1838</v>
      </c>
      <c r="F606" s="5">
        <v>0</v>
      </c>
      <c r="G606" s="5">
        <v>0.99831700000000001</v>
      </c>
      <c r="H606" s="5" t="s">
        <v>3021</v>
      </c>
      <c r="I606" s="5" t="s">
        <v>3021</v>
      </c>
      <c r="L606" s="2" t="s">
        <v>1083</v>
      </c>
      <c r="M606" s="2">
        <v>-2.3336000000000001</v>
      </c>
    </row>
    <row r="607" spans="1:13" x14ac:dyDescent="0.2">
      <c r="A607" s="5" t="s">
        <v>1056</v>
      </c>
      <c r="B607" s="5" t="s">
        <v>3047</v>
      </c>
      <c r="C607" s="2" t="s">
        <v>2277</v>
      </c>
      <c r="D607" s="5" t="s">
        <v>1836</v>
      </c>
      <c r="E607" s="5" t="s">
        <v>1838</v>
      </c>
      <c r="F607" s="5">
        <v>1.00936</v>
      </c>
      <c r="G607" s="5">
        <v>6.8843100000000004E-2</v>
      </c>
      <c r="H607" s="5">
        <v>-3.87399</v>
      </c>
      <c r="I607" s="5">
        <v>1</v>
      </c>
      <c r="L607" s="2" t="s">
        <v>1460</v>
      </c>
      <c r="M607" s="2">
        <v>-1.5323899999999999</v>
      </c>
    </row>
    <row r="608" spans="1:13" x14ac:dyDescent="0.2">
      <c r="A608" s="5" t="s">
        <v>1061</v>
      </c>
      <c r="B608" s="5" t="s">
        <v>3235</v>
      </c>
      <c r="C608" s="2" t="s">
        <v>2267</v>
      </c>
      <c r="D608" s="5" t="s">
        <v>1836</v>
      </c>
      <c r="E608" s="5" t="s">
        <v>1838</v>
      </c>
      <c r="F608" s="5">
        <v>6.7327300000000001</v>
      </c>
      <c r="G608" s="5">
        <v>3.35867</v>
      </c>
      <c r="H608" s="5">
        <v>-1.0033000000000001</v>
      </c>
      <c r="I608" s="5">
        <v>1</v>
      </c>
      <c r="L608" s="2" t="s">
        <v>1461</v>
      </c>
      <c r="M608" s="2">
        <v>2.2045499999999998</v>
      </c>
    </row>
    <row r="609" spans="1:13" x14ac:dyDescent="0.2">
      <c r="A609" s="5" t="s">
        <v>1062</v>
      </c>
      <c r="B609" s="5" t="s">
        <v>3049</v>
      </c>
      <c r="C609" s="2" t="s">
        <v>2187</v>
      </c>
      <c r="D609" s="5" t="s">
        <v>1836</v>
      </c>
      <c r="E609" s="5" t="s">
        <v>1838</v>
      </c>
      <c r="F609" s="5">
        <v>4.7833100000000002</v>
      </c>
      <c r="G609" s="5">
        <v>10.507199999999999</v>
      </c>
      <c r="H609" s="5">
        <v>1.1352899999999999</v>
      </c>
      <c r="I609" s="5">
        <v>1</v>
      </c>
      <c r="L609" s="2" t="s">
        <v>1087</v>
      </c>
      <c r="M609" s="2">
        <v>1.7352799999999999</v>
      </c>
    </row>
    <row r="610" spans="1:13" x14ac:dyDescent="0.2">
      <c r="A610" s="5" t="s">
        <v>1064</v>
      </c>
      <c r="B610" s="5" t="s">
        <v>3015</v>
      </c>
      <c r="C610" s="2" t="s">
        <v>1854</v>
      </c>
      <c r="D610" s="5" t="s">
        <v>1836</v>
      </c>
      <c r="E610" s="5" t="s">
        <v>1838</v>
      </c>
      <c r="F610" s="5">
        <v>7.1749999999999998</v>
      </c>
      <c r="G610" s="5">
        <v>2.8826000000000001</v>
      </c>
      <c r="H610" s="5">
        <v>-1.3156099999999999</v>
      </c>
      <c r="I610" s="5">
        <v>1</v>
      </c>
      <c r="L610" s="2" t="s">
        <v>1088</v>
      </c>
      <c r="M610" s="2">
        <v>-1.1022700000000001</v>
      </c>
    </row>
    <row r="611" spans="1:13" x14ac:dyDescent="0.2">
      <c r="A611" s="5" t="s">
        <v>1065</v>
      </c>
      <c r="B611" s="5" t="s">
        <v>3015</v>
      </c>
      <c r="C611" s="2" t="s">
        <v>2340</v>
      </c>
      <c r="D611" s="5" t="s">
        <v>1836</v>
      </c>
      <c r="E611" s="5" t="s">
        <v>1838</v>
      </c>
      <c r="F611" s="5">
        <v>1.55291</v>
      </c>
      <c r="G611" s="5">
        <v>0.41535899999999998</v>
      </c>
      <c r="H611" s="5">
        <v>-1.9025399999999999</v>
      </c>
      <c r="I611" s="5">
        <v>1</v>
      </c>
      <c r="L611" s="2" t="s">
        <v>1089</v>
      </c>
      <c r="M611" s="2">
        <v>-2.5348700000000002</v>
      </c>
    </row>
    <row r="612" spans="1:13" x14ac:dyDescent="0.2">
      <c r="A612" s="5" t="s">
        <v>1066</v>
      </c>
      <c r="B612" s="5" t="s">
        <v>3093</v>
      </c>
      <c r="C612" s="2" t="s">
        <v>2029</v>
      </c>
      <c r="D612" s="5" t="s">
        <v>1836</v>
      </c>
      <c r="E612" s="5" t="s">
        <v>1838</v>
      </c>
      <c r="F612" s="5">
        <v>7.9269299999999996</v>
      </c>
      <c r="G612" s="5">
        <v>0.50451100000000004</v>
      </c>
      <c r="H612" s="5">
        <v>-3.9738099999999998</v>
      </c>
      <c r="I612" s="5">
        <v>1</v>
      </c>
      <c r="L612" s="2" t="s">
        <v>1093</v>
      </c>
      <c r="M612" s="2">
        <v>2.29976</v>
      </c>
    </row>
    <row r="613" spans="1:13" x14ac:dyDescent="0.2">
      <c r="A613" s="5" t="s">
        <v>1455</v>
      </c>
      <c r="B613" s="5" t="s">
        <v>3030</v>
      </c>
      <c r="C613" s="2" t="s">
        <v>3496</v>
      </c>
      <c r="D613" s="5" t="s">
        <v>1836</v>
      </c>
      <c r="E613" s="5" t="s">
        <v>1838</v>
      </c>
      <c r="F613" s="5">
        <v>3.4885899999999999</v>
      </c>
      <c r="G613" s="5">
        <v>1.7346699999999999</v>
      </c>
      <c r="H613" s="5">
        <v>-1.0079800000000001</v>
      </c>
      <c r="I613" s="5">
        <v>1</v>
      </c>
      <c r="L613" s="2" t="s">
        <v>1094</v>
      </c>
      <c r="M613" s="2">
        <v>-1.0410299999999999</v>
      </c>
    </row>
    <row r="614" spans="1:13" x14ac:dyDescent="0.2">
      <c r="A614" s="5" t="s">
        <v>1456</v>
      </c>
      <c r="B614" s="5" t="s">
        <v>3015</v>
      </c>
      <c r="C614" s="2" t="s">
        <v>2603</v>
      </c>
      <c r="D614" s="5" t="s">
        <v>1836</v>
      </c>
      <c r="E614" s="5" t="s">
        <v>1838</v>
      </c>
      <c r="F614" s="5">
        <v>0.21152599999999999</v>
      </c>
      <c r="G614" s="5">
        <v>1.27582</v>
      </c>
      <c r="H614" s="5">
        <v>2.59253</v>
      </c>
      <c r="I614" s="5">
        <v>1</v>
      </c>
      <c r="L614" s="2" t="s">
        <v>1462</v>
      </c>
      <c r="M614" s="2">
        <v>-1.2324200000000001</v>
      </c>
    </row>
    <row r="615" spans="1:13" x14ac:dyDescent="0.2">
      <c r="A615" s="5" t="s">
        <v>1457</v>
      </c>
      <c r="B615" s="5" t="s">
        <v>3015</v>
      </c>
      <c r="C615" s="2" t="s">
        <v>3496</v>
      </c>
      <c r="D615" s="5" t="s">
        <v>1836</v>
      </c>
      <c r="E615" s="5" t="s">
        <v>1838</v>
      </c>
      <c r="F615" s="5">
        <v>7.7644000000000002</v>
      </c>
      <c r="G615" s="5">
        <v>0.43282599999999999</v>
      </c>
      <c r="H615" s="5">
        <v>-4.1650200000000002</v>
      </c>
      <c r="I615" s="5">
        <v>1</v>
      </c>
      <c r="L615" s="2" t="s">
        <v>1095</v>
      </c>
      <c r="M615" s="2">
        <v>-1.1109800000000001</v>
      </c>
    </row>
    <row r="616" spans="1:13" x14ac:dyDescent="0.2">
      <c r="A616" s="5" t="s">
        <v>1458</v>
      </c>
      <c r="B616" s="5" t="s">
        <v>3015</v>
      </c>
      <c r="C616" s="2" t="s">
        <v>2604</v>
      </c>
      <c r="D616" s="5" t="s">
        <v>1836</v>
      </c>
      <c r="E616" s="5" t="s">
        <v>1838</v>
      </c>
      <c r="F616" s="5">
        <v>3.2642799999999998</v>
      </c>
      <c r="G616" s="5">
        <v>0.46982800000000002</v>
      </c>
      <c r="H616" s="5">
        <v>-2.7965599999999999</v>
      </c>
      <c r="I616" s="5">
        <v>1</v>
      </c>
      <c r="L616" s="2" t="s">
        <v>1098</v>
      </c>
      <c r="M616" s="2">
        <v>-3.2585299999999999</v>
      </c>
    </row>
    <row r="617" spans="1:13" x14ac:dyDescent="0.2">
      <c r="A617" s="5" t="s">
        <v>1459</v>
      </c>
      <c r="B617" s="5" t="s">
        <v>3015</v>
      </c>
      <c r="C617" s="2" t="s">
        <v>2605</v>
      </c>
      <c r="D617" s="5" t="s">
        <v>1836</v>
      </c>
      <c r="E617" s="5" t="s">
        <v>1838</v>
      </c>
      <c r="F617" s="5">
        <v>1.08341</v>
      </c>
      <c r="G617" s="5">
        <v>0.445465</v>
      </c>
      <c r="H617" s="5">
        <v>-1.2822</v>
      </c>
      <c r="I617" s="5">
        <v>1</v>
      </c>
      <c r="L617" s="2" t="s">
        <v>1099</v>
      </c>
      <c r="M617" s="2">
        <v>1.3385800000000001</v>
      </c>
    </row>
    <row r="618" spans="1:13" x14ac:dyDescent="0.2">
      <c r="A618" s="5" t="s">
        <v>1073</v>
      </c>
      <c r="B618" s="5" t="s">
        <v>3015</v>
      </c>
      <c r="C618" s="2" t="s">
        <v>1847</v>
      </c>
      <c r="D618" s="5" t="s">
        <v>1836</v>
      </c>
      <c r="E618" s="5" t="s">
        <v>1838</v>
      </c>
      <c r="F618" s="5">
        <v>19.0151</v>
      </c>
      <c r="G618" s="5">
        <v>9.4216899999999999</v>
      </c>
      <c r="H618" s="5">
        <v>-1.01309</v>
      </c>
      <c r="I618" s="5">
        <v>1</v>
      </c>
      <c r="L618" s="2" t="s">
        <v>1463</v>
      </c>
      <c r="M618" s="2">
        <v>1.0231699999999999</v>
      </c>
    </row>
    <row r="619" spans="1:13" x14ac:dyDescent="0.2">
      <c r="A619" s="5" t="s">
        <v>1080</v>
      </c>
      <c r="B619" s="5" t="s">
        <v>3380</v>
      </c>
      <c r="C619" s="2" t="s">
        <v>2606</v>
      </c>
      <c r="D619" s="5" t="s">
        <v>1836</v>
      </c>
      <c r="E619" s="5" t="s">
        <v>1838</v>
      </c>
      <c r="F619" s="5">
        <v>59.792200000000001</v>
      </c>
      <c r="G619" s="5">
        <v>28.6816</v>
      </c>
      <c r="H619" s="5">
        <v>-1.05983</v>
      </c>
      <c r="I619" s="5">
        <v>1</v>
      </c>
      <c r="L619" s="2" t="s">
        <v>1103</v>
      </c>
      <c r="M619" s="2">
        <v>1.09822</v>
      </c>
    </row>
    <row r="620" spans="1:13" x14ac:dyDescent="0.2">
      <c r="A620" s="5" t="s">
        <v>1081</v>
      </c>
      <c r="B620" s="5" t="s">
        <v>3158</v>
      </c>
      <c r="C620" s="2" t="s">
        <v>2607</v>
      </c>
      <c r="D620" s="5" t="s">
        <v>1836</v>
      </c>
      <c r="E620" s="5" t="s">
        <v>1838</v>
      </c>
      <c r="F620" s="5">
        <v>22.723500000000001</v>
      </c>
      <c r="G620" s="5">
        <v>9.7792200000000005</v>
      </c>
      <c r="H620" s="5">
        <v>-1.2163999999999999</v>
      </c>
      <c r="I620" s="5">
        <v>1</v>
      </c>
      <c r="L620" s="2" t="s">
        <v>1465</v>
      </c>
      <c r="M620" s="2">
        <v>-1.96733</v>
      </c>
    </row>
    <row r="621" spans="1:13" x14ac:dyDescent="0.2">
      <c r="A621" s="5" t="s">
        <v>1082</v>
      </c>
      <c r="B621" s="5" t="s">
        <v>3015</v>
      </c>
      <c r="C621" s="2" t="s">
        <v>2349</v>
      </c>
      <c r="D621" s="5" t="s">
        <v>1836</v>
      </c>
      <c r="E621" s="5" t="s">
        <v>1838</v>
      </c>
      <c r="F621" s="5">
        <v>26.3996</v>
      </c>
      <c r="G621" s="5">
        <v>7.72431</v>
      </c>
      <c r="H621" s="5">
        <v>-1.7730399999999999</v>
      </c>
      <c r="I621" s="5">
        <v>1</v>
      </c>
      <c r="L621" s="2" t="s">
        <v>1466</v>
      </c>
      <c r="M621" s="2">
        <v>-2.1577299999999999</v>
      </c>
    </row>
    <row r="622" spans="1:13" x14ac:dyDescent="0.2">
      <c r="A622" s="5" t="s">
        <v>1083</v>
      </c>
      <c r="B622" s="5" t="s">
        <v>3080</v>
      </c>
      <c r="C622" s="2" t="s">
        <v>2350</v>
      </c>
      <c r="D622" s="5" t="s">
        <v>1836</v>
      </c>
      <c r="E622" s="5" t="s">
        <v>1838</v>
      </c>
      <c r="F622" s="5">
        <v>8.1259999999999994</v>
      </c>
      <c r="G622" s="5">
        <v>1.6121099999999999</v>
      </c>
      <c r="H622" s="5">
        <v>-2.3336000000000001</v>
      </c>
      <c r="I622" s="5">
        <v>1</v>
      </c>
      <c r="L622" s="2" t="s">
        <v>1107</v>
      </c>
      <c r="M622" s="2">
        <v>-1.2734399999999999</v>
      </c>
    </row>
    <row r="623" spans="1:13" x14ac:dyDescent="0.2">
      <c r="A623" s="5" t="s">
        <v>1460</v>
      </c>
      <c r="B623" s="5" t="s">
        <v>3015</v>
      </c>
      <c r="C623" s="2" t="s">
        <v>3496</v>
      </c>
      <c r="D623" s="5" t="s">
        <v>1836</v>
      </c>
      <c r="E623" s="5" t="s">
        <v>1838</v>
      </c>
      <c r="F623" s="5">
        <v>0.90095999999999998</v>
      </c>
      <c r="G623" s="5">
        <v>0.31146600000000002</v>
      </c>
      <c r="H623" s="5">
        <v>-1.5323899999999999</v>
      </c>
      <c r="I623" s="5">
        <v>1</v>
      </c>
      <c r="L623" s="2" t="s">
        <v>1467</v>
      </c>
      <c r="M623" s="2">
        <v>1.06725</v>
      </c>
    </row>
    <row r="624" spans="1:13" x14ac:dyDescent="0.2">
      <c r="A624" s="5" t="s">
        <v>1461</v>
      </c>
      <c r="B624" s="5" t="s">
        <v>3015</v>
      </c>
      <c r="C624" s="2" t="s">
        <v>2608</v>
      </c>
      <c r="D624" s="5" t="s">
        <v>1836</v>
      </c>
      <c r="E624" s="5" t="s">
        <v>1838</v>
      </c>
      <c r="F624" s="5">
        <v>0.466306</v>
      </c>
      <c r="G624" s="5">
        <v>2.1493500000000001</v>
      </c>
      <c r="H624" s="5">
        <v>2.2045499999999998</v>
      </c>
      <c r="I624" s="5">
        <v>1</v>
      </c>
      <c r="L624" s="2" t="s">
        <v>1468</v>
      </c>
      <c r="M624" s="2">
        <v>-1.79318</v>
      </c>
    </row>
    <row r="625" spans="1:13" x14ac:dyDescent="0.2">
      <c r="A625" s="5" t="s">
        <v>1086</v>
      </c>
      <c r="B625" s="5" t="s">
        <v>3015</v>
      </c>
      <c r="C625" s="2" t="s">
        <v>2351</v>
      </c>
      <c r="D625" s="5" t="s">
        <v>1836</v>
      </c>
      <c r="E625" s="5" t="s">
        <v>1838</v>
      </c>
      <c r="F625" s="5">
        <v>0</v>
      </c>
      <c r="G625" s="5">
        <v>13.0952</v>
      </c>
      <c r="H625" s="5" t="s">
        <v>3021</v>
      </c>
      <c r="I625" s="5" t="s">
        <v>3021</v>
      </c>
      <c r="L625" s="2" t="s">
        <v>1469</v>
      </c>
      <c r="M625" s="2">
        <v>-1.2730600000000001</v>
      </c>
    </row>
    <row r="626" spans="1:13" x14ac:dyDescent="0.2">
      <c r="A626" s="5" t="s">
        <v>1087</v>
      </c>
      <c r="B626" s="5" t="s">
        <v>3015</v>
      </c>
      <c r="C626" s="2" t="s">
        <v>2352</v>
      </c>
      <c r="D626" s="5" t="s">
        <v>1836</v>
      </c>
      <c r="E626" s="5" t="s">
        <v>1838</v>
      </c>
      <c r="F626" s="5">
        <v>0.59982000000000002</v>
      </c>
      <c r="G626" s="5">
        <v>1.9970600000000001</v>
      </c>
      <c r="H626" s="5">
        <v>1.7352799999999999</v>
      </c>
      <c r="I626" s="5">
        <v>1</v>
      </c>
      <c r="L626" s="2" t="s">
        <v>1470</v>
      </c>
      <c r="M626" s="2">
        <v>1.6714800000000001</v>
      </c>
    </row>
    <row r="627" spans="1:13" x14ac:dyDescent="0.2">
      <c r="A627" s="5" t="s">
        <v>1088</v>
      </c>
      <c r="B627" s="5" t="s">
        <v>3081</v>
      </c>
      <c r="C627" s="2" t="s">
        <v>2353</v>
      </c>
      <c r="D627" s="5" t="s">
        <v>1836</v>
      </c>
      <c r="E627" s="5" t="s">
        <v>1838</v>
      </c>
      <c r="F627" s="5">
        <v>2.6558299999999999</v>
      </c>
      <c r="G627" s="5">
        <v>1.2370399999999999</v>
      </c>
      <c r="H627" s="5">
        <v>-1.1022700000000001</v>
      </c>
      <c r="I627" s="5">
        <v>1</v>
      </c>
      <c r="L627" s="2" t="s">
        <v>1119</v>
      </c>
      <c r="M627" s="2">
        <v>1.5061899999999999</v>
      </c>
    </row>
    <row r="628" spans="1:13" x14ac:dyDescent="0.2">
      <c r="A628" s="5" t="s">
        <v>1089</v>
      </c>
      <c r="B628" s="5" t="s">
        <v>3015</v>
      </c>
      <c r="C628" s="2" t="s">
        <v>1917</v>
      </c>
      <c r="D628" s="5" t="s">
        <v>1836</v>
      </c>
      <c r="E628" s="5" t="s">
        <v>1838</v>
      </c>
      <c r="F628" s="5">
        <v>6.87052</v>
      </c>
      <c r="G628" s="5">
        <v>1.1855500000000001</v>
      </c>
      <c r="H628" s="5">
        <v>-2.5348700000000002</v>
      </c>
      <c r="I628" s="5">
        <v>1</v>
      </c>
      <c r="L628" s="2" t="s">
        <v>1471</v>
      </c>
      <c r="M628" s="2">
        <v>1.35267</v>
      </c>
    </row>
    <row r="629" spans="1:13" x14ac:dyDescent="0.2">
      <c r="A629" s="5" t="s">
        <v>1093</v>
      </c>
      <c r="B629" s="5" t="s">
        <v>3268</v>
      </c>
      <c r="C629" s="2" t="s">
        <v>2355</v>
      </c>
      <c r="D629" s="5" t="s">
        <v>1836</v>
      </c>
      <c r="E629" s="5" t="s">
        <v>1838</v>
      </c>
      <c r="F629" s="5">
        <v>0.173149</v>
      </c>
      <c r="G629" s="5">
        <v>0.852545</v>
      </c>
      <c r="H629" s="5">
        <v>2.29976</v>
      </c>
      <c r="I629" s="5">
        <v>1</v>
      </c>
      <c r="L629" s="2" t="s">
        <v>1472</v>
      </c>
      <c r="M629" s="2">
        <v>1.0131399999999999</v>
      </c>
    </row>
    <row r="630" spans="1:13" x14ac:dyDescent="0.2">
      <c r="A630" s="5" t="s">
        <v>1094</v>
      </c>
      <c r="B630" s="5" t="s">
        <v>3045</v>
      </c>
      <c r="C630" s="2" t="s">
        <v>2609</v>
      </c>
      <c r="D630" s="5" t="s">
        <v>1836</v>
      </c>
      <c r="E630" s="5" t="s">
        <v>1838</v>
      </c>
      <c r="F630" s="5">
        <v>2.8086700000000002</v>
      </c>
      <c r="G630" s="5">
        <v>1.36496</v>
      </c>
      <c r="H630" s="5">
        <v>-1.0410299999999999</v>
      </c>
      <c r="I630" s="5">
        <v>1</v>
      </c>
      <c r="L630" s="2" t="s">
        <v>1120</v>
      </c>
      <c r="M630" s="2">
        <v>1.6927399999999999</v>
      </c>
    </row>
    <row r="631" spans="1:13" x14ac:dyDescent="0.2">
      <c r="A631" s="5" t="s">
        <v>1462</v>
      </c>
      <c r="B631" s="5" t="s">
        <v>3381</v>
      </c>
      <c r="C631" s="2" t="s">
        <v>2018</v>
      </c>
      <c r="D631" s="5" t="s">
        <v>1836</v>
      </c>
      <c r="E631" s="5" t="s">
        <v>1838</v>
      </c>
      <c r="F631" s="5">
        <v>1.7914000000000001</v>
      </c>
      <c r="G631" s="5">
        <v>0.76242399999999999</v>
      </c>
      <c r="H631" s="5">
        <v>-1.2324200000000001</v>
      </c>
      <c r="I631" s="5">
        <v>1</v>
      </c>
      <c r="L631" s="2" t="s">
        <v>1123</v>
      </c>
      <c r="M631" s="2">
        <v>-1.4361699999999999</v>
      </c>
    </row>
    <row r="632" spans="1:13" x14ac:dyDescent="0.2">
      <c r="A632" s="5" t="s">
        <v>1095</v>
      </c>
      <c r="B632" s="5" t="s">
        <v>3015</v>
      </c>
      <c r="C632" s="2" t="s">
        <v>1880</v>
      </c>
      <c r="D632" s="5" t="s">
        <v>1836</v>
      </c>
      <c r="E632" s="5" t="s">
        <v>1838</v>
      </c>
      <c r="F632" s="5">
        <v>100.709</v>
      </c>
      <c r="G632" s="5">
        <v>46.625999999999998</v>
      </c>
      <c r="H632" s="5">
        <v>-1.1109800000000001</v>
      </c>
      <c r="I632" s="5">
        <v>1</v>
      </c>
      <c r="L632" s="2" t="s">
        <v>1474</v>
      </c>
      <c r="M632" s="2">
        <v>-1.0659700000000001</v>
      </c>
    </row>
    <row r="633" spans="1:13" x14ac:dyDescent="0.2">
      <c r="A633" s="5" t="s">
        <v>1098</v>
      </c>
      <c r="B633" s="5" t="s">
        <v>3015</v>
      </c>
      <c r="C633" s="2" t="s">
        <v>2356</v>
      </c>
      <c r="D633" s="5" t="s">
        <v>1836</v>
      </c>
      <c r="E633" s="5" t="s">
        <v>1838</v>
      </c>
      <c r="F633" s="5">
        <v>4.3807</v>
      </c>
      <c r="G633" s="5">
        <v>0.45774900000000002</v>
      </c>
      <c r="H633" s="5">
        <v>-3.2585299999999999</v>
      </c>
      <c r="I633" s="5">
        <v>1</v>
      </c>
    </row>
    <row r="634" spans="1:13" x14ac:dyDescent="0.2">
      <c r="A634" s="5" t="s">
        <v>1099</v>
      </c>
      <c r="B634" s="5" t="s">
        <v>3382</v>
      </c>
      <c r="C634" s="2" t="s">
        <v>3496</v>
      </c>
      <c r="D634" s="5" t="s">
        <v>1836</v>
      </c>
      <c r="E634" s="5" t="s">
        <v>1838</v>
      </c>
      <c r="F634" s="5">
        <v>6.0348600000000001</v>
      </c>
      <c r="G634" s="5">
        <v>15.2623</v>
      </c>
      <c r="H634" s="5">
        <v>1.3385800000000001</v>
      </c>
      <c r="I634" s="5">
        <v>1</v>
      </c>
    </row>
    <row r="635" spans="1:13" x14ac:dyDescent="0.2">
      <c r="A635" s="5" t="s">
        <v>1463</v>
      </c>
      <c r="B635" s="5" t="s">
        <v>3068</v>
      </c>
      <c r="C635" s="2" t="s">
        <v>2610</v>
      </c>
      <c r="D635" s="5" t="s">
        <v>1836</v>
      </c>
      <c r="E635" s="5" t="s">
        <v>1838</v>
      </c>
      <c r="F635" s="5">
        <v>6.8632299999999997</v>
      </c>
      <c r="G635" s="5">
        <v>13.948700000000001</v>
      </c>
      <c r="H635" s="5">
        <v>1.0231699999999999</v>
      </c>
      <c r="I635" s="5">
        <v>1</v>
      </c>
    </row>
    <row r="636" spans="1:13" x14ac:dyDescent="0.2">
      <c r="A636" s="5" t="s">
        <v>1103</v>
      </c>
      <c r="B636" s="5" t="s">
        <v>3054</v>
      </c>
      <c r="C636" s="2" t="s">
        <v>1894</v>
      </c>
      <c r="D636" s="5" t="s">
        <v>1836</v>
      </c>
      <c r="E636" s="5" t="s">
        <v>1838</v>
      </c>
      <c r="F636" s="5">
        <v>1.12259</v>
      </c>
      <c r="G636" s="5">
        <v>2.4033500000000001</v>
      </c>
      <c r="H636" s="5">
        <v>1.09822</v>
      </c>
      <c r="I636" s="5">
        <v>1</v>
      </c>
    </row>
    <row r="637" spans="1:13" x14ac:dyDescent="0.2">
      <c r="A637" s="5" t="s">
        <v>1465</v>
      </c>
      <c r="B637" s="5" t="s">
        <v>3015</v>
      </c>
      <c r="C637" s="2" t="s">
        <v>1880</v>
      </c>
      <c r="D637" s="5" t="s">
        <v>1836</v>
      </c>
      <c r="E637" s="5" t="s">
        <v>1838</v>
      </c>
      <c r="F637" s="5">
        <v>2.34517</v>
      </c>
      <c r="G637" s="5">
        <v>0.599719</v>
      </c>
      <c r="H637" s="5">
        <v>-1.96733</v>
      </c>
      <c r="I637" s="5">
        <v>1</v>
      </c>
    </row>
    <row r="638" spans="1:13" x14ac:dyDescent="0.2">
      <c r="A638" s="5" t="s">
        <v>1466</v>
      </c>
      <c r="B638" s="5" t="s">
        <v>3313</v>
      </c>
      <c r="C638" s="2" t="s">
        <v>2479</v>
      </c>
      <c r="D638" s="5" t="s">
        <v>1836</v>
      </c>
      <c r="E638" s="5" t="s">
        <v>1838</v>
      </c>
      <c r="F638" s="5">
        <v>146.245</v>
      </c>
      <c r="G638" s="5">
        <v>32.774700000000003</v>
      </c>
      <c r="H638" s="5">
        <v>-2.1577299999999999</v>
      </c>
      <c r="I638" s="5">
        <v>1</v>
      </c>
    </row>
    <row r="639" spans="1:13" x14ac:dyDescent="0.2">
      <c r="A639" s="5" t="s">
        <v>1107</v>
      </c>
      <c r="B639" s="5" t="s">
        <v>3015</v>
      </c>
      <c r="C639" s="2" t="s">
        <v>3496</v>
      </c>
      <c r="D639" s="5" t="s">
        <v>1836</v>
      </c>
      <c r="E639" s="5" t="s">
        <v>1838</v>
      </c>
      <c r="F639" s="5">
        <v>1.4206799999999999</v>
      </c>
      <c r="G639" s="5">
        <v>0.58769700000000002</v>
      </c>
      <c r="H639" s="5">
        <v>-1.2734399999999999</v>
      </c>
      <c r="I639" s="5">
        <v>1</v>
      </c>
    </row>
    <row r="640" spans="1:13" x14ac:dyDescent="0.2">
      <c r="A640" s="5" t="s">
        <v>1467</v>
      </c>
      <c r="B640" s="5" t="s">
        <v>3383</v>
      </c>
      <c r="C640" s="2" t="s">
        <v>3496</v>
      </c>
      <c r="D640" s="5" t="s">
        <v>1836</v>
      </c>
      <c r="E640" s="5" t="s">
        <v>1838</v>
      </c>
      <c r="F640" s="5">
        <v>18.880099999999999</v>
      </c>
      <c r="G640" s="5">
        <v>39.562199999999997</v>
      </c>
      <c r="H640" s="5">
        <v>1.06725</v>
      </c>
      <c r="I640" s="5">
        <v>1</v>
      </c>
    </row>
    <row r="641" spans="1:9" x14ac:dyDescent="0.2">
      <c r="A641" s="5" t="s">
        <v>1468</v>
      </c>
      <c r="B641" s="5" t="s">
        <v>3015</v>
      </c>
      <c r="C641" s="2" t="s">
        <v>3496</v>
      </c>
      <c r="D641" s="5" t="s">
        <v>1836</v>
      </c>
      <c r="E641" s="5" t="s">
        <v>1838</v>
      </c>
      <c r="F641" s="5">
        <v>0.86429900000000004</v>
      </c>
      <c r="G641" s="5">
        <v>0.24938099999999999</v>
      </c>
      <c r="H641" s="5">
        <v>-1.79318</v>
      </c>
      <c r="I641" s="5">
        <v>1</v>
      </c>
    </row>
    <row r="642" spans="1:9" x14ac:dyDescent="0.2">
      <c r="A642" s="5" t="s">
        <v>1469</v>
      </c>
      <c r="B642" s="5" t="s">
        <v>3253</v>
      </c>
      <c r="C642" s="2" t="s">
        <v>2611</v>
      </c>
      <c r="D642" s="5" t="s">
        <v>1836</v>
      </c>
      <c r="E642" s="5" t="s">
        <v>1838</v>
      </c>
      <c r="F642" s="5">
        <v>9.0486500000000003</v>
      </c>
      <c r="G642" s="5">
        <v>3.7441599999999999</v>
      </c>
      <c r="H642" s="5">
        <v>-1.2730600000000001</v>
      </c>
      <c r="I642" s="5">
        <v>1</v>
      </c>
    </row>
    <row r="643" spans="1:9" x14ac:dyDescent="0.2">
      <c r="A643" s="5" t="s">
        <v>1470</v>
      </c>
      <c r="B643" s="5" t="s">
        <v>3015</v>
      </c>
      <c r="C643" s="2" t="s">
        <v>3496</v>
      </c>
      <c r="D643" s="5" t="s">
        <v>1836</v>
      </c>
      <c r="E643" s="5" t="s">
        <v>1838</v>
      </c>
      <c r="F643" s="5">
        <v>1.01044</v>
      </c>
      <c r="G643" s="5">
        <v>3.2186599999999999</v>
      </c>
      <c r="H643" s="5">
        <v>1.6714800000000001</v>
      </c>
      <c r="I643" s="5">
        <v>1</v>
      </c>
    </row>
    <row r="644" spans="1:9" x14ac:dyDescent="0.2">
      <c r="A644" s="5" t="s">
        <v>1119</v>
      </c>
      <c r="B644" s="5" t="s">
        <v>3015</v>
      </c>
      <c r="C644" s="2" t="s">
        <v>3496</v>
      </c>
      <c r="D644" s="5" t="s">
        <v>1836</v>
      </c>
      <c r="E644" s="5" t="s">
        <v>1838</v>
      </c>
      <c r="F644" s="5">
        <v>0.67841700000000005</v>
      </c>
      <c r="G644" s="5">
        <v>1.9271</v>
      </c>
      <c r="H644" s="5">
        <v>1.5061899999999999</v>
      </c>
      <c r="I644" s="5">
        <v>1</v>
      </c>
    </row>
    <row r="645" spans="1:9" x14ac:dyDescent="0.2">
      <c r="A645" s="5" t="s">
        <v>1471</v>
      </c>
      <c r="B645" s="5" t="s">
        <v>3015</v>
      </c>
      <c r="C645" s="2" t="s">
        <v>3496</v>
      </c>
      <c r="D645" s="5" t="s">
        <v>1836</v>
      </c>
      <c r="E645" s="5" t="s">
        <v>1838</v>
      </c>
      <c r="F645" s="5">
        <v>3.2059600000000001</v>
      </c>
      <c r="G645" s="5">
        <v>8.1875</v>
      </c>
      <c r="H645" s="5">
        <v>1.35267</v>
      </c>
      <c r="I645" s="5">
        <v>1</v>
      </c>
    </row>
    <row r="646" spans="1:9" x14ac:dyDescent="0.2">
      <c r="A646" s="5" t="s">
        <v>1472</v>
      </c>
      <c r="B646" s="5" t="s">
        <v>3015</v>
      </c>
      <c r="C646" s="2" t="s">
        <v>2612</v>
      </c>
      <c r="D646" s="5" t="s">
        <v>1836</v>
      </c>
      <c r="E646" s="5" t="s">
        <v>1838</v>
      </c>
      <c r="F646" s="5">
        <v>8.5740200000000009</v>
      </c>
      <c r="G646" s="5">
        <v>17.3049</v>
      </c>
      <c r="H646" s="5">
        <v>1.0131399999999999</v>
      </c>
      <c r="I646" s="5">
        <v>1</v>
      </c>
    </row>
    <row r="647" spans="1:9" x14ac:dyDescent="0.2">
      <c r="A647" s="5" t="s">
        <v>1120</v>
      </c>
      <c r="B647" s="5" t="s">
        <v>3015</v>
      </c>
      <c r="C647" s="2" t="s">
        <v>2378</v>
      </c>
      <c r="D647" s="5" t="s">
        <v>1836</v>
      </c>
      <c r="E647" s="5" t="s">
        <v>1838</v>
      </c>
      <c r="F647" s="5">
        <v>3.2463899999999999</v>
      </c>
      <c r="G647" s="5">
        <v>10.4946</v>
      </c>
      <c r="H647" s="5">
        <v>1.6927399999999999</v>
      </c>
      <c r="I647" s="5">
        <v>1</v>
      </c>
    </row>
    <row r="648" spans="1:9" x14ac:dyDescent="0.2">
      <c r="A648" s="5" t="s">
        <v>1123</v>
      </c>
      <c r="B648" s="5" t="s">
        <v>3015</v>
      </c>
      <c r="C648" s="2" t="s">
        <v>3496</v>
      </c>
      <c r="D648" s="5" t="s">
        <v>1836</v>
      </c>
      <c r="E648" s="5" t="s">
        <v>1838</v>
      </c>
      <c r="F648" s="5">
        <v>4.0791700000000004</v>
      </c>
      <c r="G648" s="5">
        <v>1.5074399999999999</v>
      </c>
      <c r="H648" s="5">
        <v>-1.4361699999999999</v>
      </c>
      <c r="I648" s="5">
        <v>1</v>
      </c>
    </row>
    <row r="649" spans="1:9" x14ac:dyDescent="0.2">
      <c r="A649" s="5" t="s">
        <v>1473</v>
      </c>
      <c r="B649" s="5" t="s">
        <v>3015</v>
      </c>
      <c r="C649" s="2" t="s">
        <v>3496</v>
      </c>
      <c r="D649" s="5" t="s">
        <v>1836</v>
      </c>
      <c r="E649" s="5" t="s">
        <v>1838</v>
      </c>
      <c r="F649" s="5">
        <v>0.83474400000000004</v>
      </c>
      <c r="G649" s="5">
        <v>0</v>
      </c>
      <c r="H649" s="5" t="s">
        <v>3021</v>
      </c>
      <c r="I649" s="5" t="s">
        <v>3021</v>
      </c>
    </row>
    <row r="650" spans="1:9" x14ac:dyDescent="0.2">
      <c r="A650" s="5" t="s">
        <v>1474</v>
      </c>
      <c r="B650" s="5" t="s">
        <v>3015</v>
      </c>
      <c r="C650" s="2" t="s">
        <v>3496</v>
      </c>
      <c r="D650" s="5" t="s">
        <v>1836</v>
      </c>
      <c r="E650" s="5" t="s">
        <v>1838</v>
      </c>
      <c r="F650" s="5">
        <v>4.3029999999999999</v>
      </c>
      <c r="G650" s="5">
        <v>2.0553400000000002</v>
      </c>
      <c r="H650" s="5">
        <v>-1.0659700000000001</v>
      </c>
      <c r="I650" s="5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6"/>
  <sheetViews>
    <sheetView workbookViewId="0"/>
  </sheetViews>
  <sheetFormatPr defaultColWidth="8.875" defaultRowHeight="15" x14ac:dyDescent="0.2"/>
  <cols>
    <col min="1" max="2" width="8.875" style="2"/>
    <col min="3" max="3" width="53.125" style="2" customWidth="1"/>
    <col min="4" max="16384" width="8.875" style="2"/>
  </cols>
  <sheetData>
    <row r="1" spans="1:12" ht="20.25" x14ac:dyDescent="0.2">
      <c r="A1" s="11" t="s">
        <v>3535</v>
      </c>
      <c r="B1" s="30"/>
      <c r="C1" s="30"/>
      <c r="D1" s="25"/>
      <c r="E1" s="25"/>
      <c r="F1" s="25"/>
      <c r="G1" s="25"/>
      <c r="H1" s="25"/>
      <c r="I1" s="25"/>
      <c r="L1" s="2" t="s">
        <v>4</v>
      </c>
    </row>
    <row r="2" spans="1:12" ht="18.75" x14ac:dyDescent="0.2">
      <c r="A2" s="25" t="s">
        <v>3536</v>
      </c>
      <c r="B2" s="30"/>
      <c r="C2" s="30"/>
      <c r="D2" s="25"/>
      <c r="E2" s="25"/>
      <c r="F2" s="25"/>
      <c r="G2" s="25"/>
      <c r="H2" s="25"/>
      <c r="I2" s="25"/>
      <c r="K2" s="2" t="s">
        <v>6</v>
      </c>
      <c r="L2" s="2">
        <v>-1.65835</v>
      </c>
    </row>
    <row r="3" spans="1:12" ht="18" x14ac:dyDescent="0.2">
      <c r="A3" s="25" t="s">
        <v>3020</v>
      </c>
      <c r="B3" s="25" t="s">
        <v>3023</v>
      </c>
      <c r="C3" s="25" t="s">
        <v>1843</v>
      </c>
      <c r="D3" s="25" t="s">
        <v>0</v>
      </c>
      <c r="E3" s="25" t="s">
        <v>1</v>
      </c>
      <c r="F3" s="25" t="s">
        <v>2</v>
      </c>
      <c r="G3" s="25" t="s">
        <v>3</v>
      </c>
      <c r="H3" s="25" t="s">
        <v>4</v>
      </c>
      <c r="I3" s="25"/>
      <c r="K3" s="2" t="s">
        <v>7</v>
      </c>
      <c r="L3" s="2">
        <v>-1.0599799999999999</v>
      </c>
    </row>
    <row r="4" spans="1:12" x14ac:dyDescent="0.2">
      <c r="A4" s="2" t="s">
        <v>6</v>
      </c>
      <c r="B4" s="2" t="s">
        <v>3024</v>
      </c>
      <c r="C4" s="2" t="s">
        <v>1844</v>
      </c>
      <c r="D4" s="2" t="s">
        <v>1839</v>
      </c>
      <c r="E4" s="2" t="s">
        <v>1841</v>
      </c>
      <c r="F4" s="2">
        <v>2.3382299999999998</v>
      </c>
      <c r="G4" s="2">
        <v>0.74075599999999997</v>
      </c>
      <c r="H4" s="2">
        <v>-1.65835</v>
      </c>
      <c r="I4" s="2">
        <v>1</v>
      </c>
      <c r="K4" s="2" t="s">
        <v>11</v>
      </c>
      <c r="L4" s="2">
        <v>1.08074</v>
      </c>
    </row>
    <row r="5" spans="1:12" x14ac:dyDescent="0.2">
      <c r="A5" s="2" t="s">
        <v>7</v>
      </c>
      <c r="B5" s="2" t="s">
        <v>3015</v>
      </c>
      <c r="C5" s="2" t="s">
        <v>1845</v>
      </c>
      <c r="D5" s="2" t="s">
        <v>1839</v>
      </c>
      <c r="E5" s="2" t="s">
        <v>1841</v>
      </c>
      <c r="F5" s="2">
        <v>3.8248500000000001</v>
      </c>
      <c r="G5" s="2">
        <v>1.8345400000000001</v>
      </c>
      <c r="H5" s="2">
        <v>-1.0599799999999999</v>
      </c>
      <c r="I5" s="2">
        <v>1</v>
      </c>
      <c r="K5" s="2" t="s">
        <v>12</v>
      </c>
      <c r="L5" s="2">
        <v>-1.3819600000000001</v>
      </c>
    </row>
    <row r="6" spans="1:12" x14ac:dyDescent="0.2">
      <c r="A6" s="2" t="s">
        <v>11</v>
      </c>
      <c r="B6" s="2" t="s">
        <v>3385</v>
      </c>
      <c r="C6" s="2" t="s">
        <v>2613</v>
      </c>
      <c r="D6" s="2" t="s">
        <v>1839</v>
      </c>
      <c r="E6" s="2" t="s">
        <v>1841</v>
      </c>
      <c r="F6" s="2">
        <v>1.6253299999999999</v>
      </c>
      <c r="G6" s="2">
        <v>3.4377800000000001</v>
      </c>
      <c r="H6" s="2">
        <v>1.08074</v>
      </c>
      <c r="I6" s="2">
        <v>1</v>
      </c>
      <c r="K6" s="2" t="s">
        <v>1475</v>
      </c>
      <c r="L6" s="2">
        <v>2.7736800000000001</v>
      </c>
    </row>
    <row r="7" spans="1:12" x14ac:dyDescent="0.2">
      <c r="A7" s="2" t="s">
        <v>12</v>
      </c>
      <c r="B7" s="2" t="s">
        <v>3015</v>
      </c>
      <c r="C7" s="2" t="s">
        <v>1847</v>
      </c>
      <c r="D7" s="2" t="s">
        <v>1839</v>
      </c>
      <c r="E7" s="2" t="s">
        <v>1841</v>
      </c>
      <c r="F7" s="2">
        <v>15.9681</v>
      </c>
      <c r="G7" s="2">
        <v>6.1269299999999998</v>
      </c>
      <c r="H7" s="2">
        <v>-1.3819600000000001</v>
      </c>
      <c r="I7" s="2">
        <v>1</v>
      </c>
      <c r="K7" s="2" t="s">
        <v>14</v>
      </c>
      <c r="L7" s="2">
        <v>1.4903299999999999</v>
      </c>
    </row>
    <row r="8" spans="1:12" x14ac:dyDescent="0.2">
      <c r="A8" s="2" t="s">
        <v>1475</v>
      </c>
      <c r="B8" s="2" t="s">
        <v>3386</v>
      </c>
      <c r="C8" s="2" t="s">
        <v>1917</v>
      </c>
      <c r="D8" s="2" t="s">
        <v>1839</v>
      </c>
      <c r="E8" s="2" t="s">
        <v>1841</v>
      </c>
      <c r="F8" s="2">
        <v>0.13027</v>
      </c>
      <c r="G8" s="2">
        <v>0.89085199999999998</v>
      </c>
      <c r="H8" s="2">
        <v>2.7736800000000001</v>
      </c>
      <c r="I8" s="2">
        <v>1</v>
      </c>
      <c r="K8" s="2" t="s">
        <v>15</v>
      </c>
      <c r="L8" s="2">
        <v>-1.2789699999999999</v>
      </c>
    </row>
    <row r="9" spans="1:12" x14ac:dyDescent="0.2">
      <c r="A9" s="2" t="s">
        <v>14</v>
      </c>
      <c r="B9" s="2" t="s">
        <v>3015</v>
      </c>
      <c r="C9" s="2" t="s">
        <v>2362</v>
      </c>
      <c r="D9" s="2" t="s">
        <v>1839</v>
      </c>
      <c r="E9" s="2" t="s">
        <v>1841</v>
      </c>
      <c r="F9" s="2">
        <v>0.96564899999999998</v>
      </c>
      <c r="G9" s="2">
        <v>2.7130200000000002</v>
      </c>
      <c r="H9" s="2">
        <v>1.4903299999999999</v>
      </c>
      <c r="I9" s="2">
        <v>1</v>
      </c>
      <c r="K9" s="2" t="s">
        <v>1476</v>
      </c>
      <c r="L9" s="2">
        <v>-1.0642499999999999</v>
      </c>
    </row>
    <row r="10" spans="1:12" x14ac:dyDescent="0.2">
      <c r="A10" s="2" t="s">
        <v>15</v>
      </c>
      <c r="B10" s="2" t="s">
        <v>3015</v>
      </c>
      <c r="C10" s="2" t="s">
        <v>2614</v>
      </c>
      <c r="D10" s="2" t="s">
        <v>1839</v>
      </c>
      <c r="E10" s="2" t="s">
        <v>1841</v>
      </c>
      <c r="F10" s="2">
        <v>38.895099999999999</v>
      </c>
      <c r="G10" s="2">
        <v>16.028199999999998</v>
      </c>
      <c r="H10" s="2">
        <v>-1.2789699999999999</v>
      </c>
      <c r="I10" s="2">
        <v>1</v>
      </c>
      <c r="K10" s="2" t="s">
        <v>1129</v>
      </c>
      <c r="L10" s="2">
        <v>1.0666100000000001</v>
      </c>
    </row>
    <row r="11" spans="1:12" x14ac:dyDescent="0.2">
      <c r="A11" s="2" t="s">
        <v>1476</v>
      </c>
      <c r="B11" s="2" t="s">
        <v>3093</v>
      </c>
      <c r="C11" s="2" t="s">
        <v>2615</v>
      </c>
      <c r="D11" s="2" t="s">
        <v>1839</v>
      </c>
      <c r="E11" s="2" t="s">
        <v>1841</v>
      </c>
      <c r="F11" s="2">
        <v>1.35022</v>
      </c>
      <c r="G11" s="2">
        <v>0.64570399999999994</v>
      </c>
      <c r="H11" s="2">
        <v>-1.0642499999999999</v>
      </c>
      <c r="I11" s="2">
        <v>1</v>
      </c>
      <c r="K11" s="2" t="s">
        <v>19</v>
      </c>
      <c r="L11" s="2">
        <v>1.2726</v>
      </c>
    </row>
    <row r="12" spans="1:12" x14ac:dyDescent="0.2">
      <c r="A12" s="2" t="s">
        <v>1129</v>
      </c>
      <c r="B12" s="2" t="s">
        <v>3280</v>
      </c>
      <c r="C12" s="2" t="s">
        <v>2364</v>
      </c>
      <c r="D12" s="2" t="s">
        <v>1839</v>
      </c>
      <c r="E12" s="2" t="s">
        <v>1841</v>
      </c>
      <c r="F12" s="2">
        <v>0.98850700000000002</v>
      </c>
      <c r="G12" s="2">
        <v>2.07043</v>
      </c>
      <c r="H12" s="2">
        <v>1.0666100000000001</v>
      </c>
      <c r="I12" s="2">
        <v>1</v>
      </c>
      <c r="K12" s="2" t="s">
        <v>21</v>
      </c>
      <c r="L12" s="2">
        <v>1.0645500000000001</v>
      </c>
    </row>
    <row r="13" spans="1:12" x14ac:dyDescent="0.2">
      <c r="A13" s="2" t="s">
        <v>19</v>
      </c>
      <c r="B13" s="2" t="s">
        <v>3387</v>
      </c>
      <c r="C13" s="2" t="s">
        <v>2616</v>
      </c>
      <c r="D13" s="2" t="s">
        <v>1839</v>
      </c>
      <c r="E13" s="2" t="s">
        <v>1841</v>
      </c>
      <c r="F13" s="2">
        <v>5.0181800000000001</v>
      </c>
      <c r="G13" s="2">
        <v>12.123699999999999</v>
      </c>
      <c r="H13" s="2">
        <v>1.2726</v>
      </c>
      <c r="I13" s="2">
        <v>1</v>
      </c>
      <c r="K13" s="2" t="s">
        <v>1131</v>
      </c>
      <c r="L13" s="2">
        <v>1.60209</v>
      </c>
    </row>
    <row r="14" spans="1:12" x14ac:dyDescent="0.2">
      <c r="A14" s="2" t="s">
        <v>21</v>
      </c>
      <c r="B14" s="2" t="s">
        <v>3093</v>
      </c>
      <c r="C14" s="2" t="s">
        <v>2617</v>
      </c>
      <c r="D14" s="2" t="s">
        <v>1839</v>
      </c>
      <c r="E14" s="2" t="s">
        <v>1841</v>
      </c>
      <c r="F14" s="2">
        <v>11.6166</v>
      </c>
      <c r="G14" s="2">
        <v>24.296299999999999</v>
      </c>
      <c r="H14" s="2">
        <v>1.0645500000000001</v>
      </c>
      <c r="I14" s="2">
        <v>1</v>
      </c>
      <c r="K14" s="2" t="s">
        <v>1112</v>
      </c>
      <c r="L14" s="2">
        <v>1.03609</v>
      </c>
    </row>
    <row r="15" spans="1:12" x14ac:dyDescent="0.2">
      <c r="A15" s="2" t="s">
        <v>1131</v>
      </c>
      <c r="B15" s="2" t="s">
        <v>3015</v>
      </c>
      <c r="C15" s="2" t="s">
        <v>2054</v>
      </c>
      <c r="D15" s="2" t="s">
        <v>1839</v>
      </c>
      <c r="E15" s="2" t="s">
        <v>1841</v>
      </c>
      <c r="F15" s="2">
        <v>1.11351</v>
      </c>
      <c r="G15" s="2">
        <v>3.3804099999999999</v>
      </c>
      <c r="H15" s="2">
        <v>1.60209</v>
      </c>
      <c r="I15" s="2">
        <v>1</v>
      </c>
      <c r="K15" s="2" t="s">
        <v>1477</v>
      </c>
      <c r="L15" s="2">
        <v>1.8785700000000001</v>
      </c>
    </row>
    <row r="16" spans="1:12" x14ac:dyDescent="0.2">
      <c r="A16" s="2" t="s">
        <v>1112</v>
      </c>
      <c r="B16" s="2" t="s">
        <v>3015</v>
      </c>
      <c r="C16" s="2" t="s">
        <v>3015</v>
      </c>
      <c r="D16" s="2" t="s">
        <v>1839</v>
      </c>
      <c r="E16" s="2" t="s">
        <v>1841</v>
      </c>
      <c r="F16" s="2">
        <v>7.3117200000000002</v>
      </c>
      <c r="G16" s="2">
        <v>14.9939</v>
      </c>
      <c r="H16" s="2">
        <v>1.03609</v>
      </c>
      <c r="I16" s="2">
        <v>1</v>
      </c>
      <c r="K16" s="2" t="s">
        <v>22</v>
      </c>
      <c r="L16" s="2">
        <v>-1.98438</v>
      </c>
    </row>
    <row r="17" spans="1:12" x14ac:dyDescent="0.2">
      <c r="A17" s="2" t="s">
        <v>1477</v>
      </c>
      <c r="B17" s="2" t="s">
        <v>3015</v>
      </c>
      <c r="C17" s="2" t="s">
        <v>2618</v>
      </c>
      <c r="D17" s="2" t="s">
        <v>1839</v>
      </c>
      <c r="E17" s="2" t="s">
        <v>1841</v>
      </c>
      <c r="F17" s="2">
        <v>0.28669899999999998</v>
      </c>
      <c r="G17" s="2">
        <v>1.0542199999999999</v>
      </c>
      <c r="H17" s="2">
        <v>1.8785700000000001</v>
      </c>
      <c r="I17" s="2">
        <v>1</v>
      </c>
      <c r="K17" s="2" t="s">
        <v>1478</v>
      </c>
      <c r="L17" s="2">
        <v>1.0544500000000001</v>
      </c>
    </row>
    <row r="18" spans="1:12" x14ac:dyDescent="0.2">
      <c r="A18" s="2" t="s">
        <v>22</v>
      </c>
      <c r="B18" s="2" t="s">
        <v>3015</v>
      </c>
      <c r="C18" s="2" t="s">
        <v>3015</v>
      </c>
      <c r="D18" s="2" t="s">
        <v>1839</v>
      </c>
      <c r="E18" s="2" t="s">
        <v>1841</v>
      </c>
      <c r="F18" s="2">
        <v>1.4095</v>
      </c>
      <c r="G18" s="2">
        <v>0.35621199999999997</v>
      </c>
      <c r="H18" s="2">
        <v>-1.98438</v>
      </c>
      <c r="I18" s="2">
        <v>1</v>
      </c>
      <c r="K18" s="2" t="s">
        <v>1479</v>
      </c>
      <c r="L18" s="2">
        <v>1.28478</v>
      </c>
    </row>
    <row r="19" spans="1:12" x14ac:dyDescent="0.2">
      <c r="A19" s="2" t="s">
        <v>1478</v>
      </c>
      <c r="B19" s="2" t="s">
        <v>3076</v>
      </c>
      <c r="C19" s="2" t="s">
        <v>2619</v>
      </c>
      <c r="D19" s="2" t="s">
        <v>1839</v>
      </c>
      <c r="E19" s="2" t="s">
        <v>1841</v>
      </c>
      <c r="F19" s="2">
        <v>0.89700599999999997</v>
      </c>
      <c r="G19" s="2">
        <v>1.8630199999999999</v>
      </c>
      <c r="H19" s="2">
        <v>1.0544500000000001</v>
      </c>
      <c r="I19" s="2">
        <v>1</v>
      </c>
      <c r="K19" s="2" t="s">
        <v>1480</v>
      </c>
      <c r="L19" s="2">
        <v>1.4255599999999999</v>
      </c>
    </row>
    <row r="20" spans="1:12" x14ac:dyDescent="0.2">
      <c r="A20" s="2" t="s">
        <v>1479</v>
      </c>
      <c r="B20" s="2" t="s">
        <v>3015</v>
      </c>
      <c r="C20" s="2" t="s">
        <v>3015</v>
      </c>
      <c r="D20" s="2" t="s">
        <v>1839</v>
      </c>
      <c r="E20" s="2" t="s">
        <v>1841</v>
      </c>
      <c r="F20" s="2">
        <v>0.938913</v>
      </c>
      <c r="G20" s="2">
        <v>2.28762</v>
      </c>
      <c r="H20" s="2">
        <v>1.28478</v>
      </c>
      <c r="I20" s="2">
        <v>1</v>
      </c>
      <c r="K20" s="2" t="s">
        <v>27</v>
      </c>
      <c r="L20" s="2">
        <v>-1.0150600000000001</v>
      </c>
    </row>
    <row r="21" spans="1:12" x14ac:dyDescent="0.2">
      <c r="A21" s="2" t="s">
        <v>1480</v>
      </c>
      <c r="B21" s="2" t="s">
        <v>3015</v>
      </c>
      <c r="C21" s="2" t="s">
        <v>2620</v>
      </c>
      <c r="D21" s="2" t="s">
        <v>1839</v>
      </c>
      <c r="E21" s="2" t="s">
        <v>1841</v>
      </c>
      <c r="F21" s="2">
        <v>1.7198199999999999</v>
      </c>
      <c r="G21" s="2">
        <v>4.6197699999999999</v>
      </c>
      <c r="H21" s="2">
        <v>1.4255599999999999</v>
      </c>
      <c r="I21" s="2">
        <v>1</v>
      </c>
      <c r="K21" s="2" t="s">
        <v>31</v>
      </c>
      <c r="L21" s="2">
        <v>1.2409600000000001</v>
      </c>
    </row>
    <row r="22" spans="1:12" x14ac:dyDescent="0.2">
      <c r="A22" s="2" t="s">
        <v>27</v>
      </c>
      <c r="B22" s="2" t="s">
        <v>3030</v>
      </c>
      <c r="C22" s="2" t="s">
        <v>1854</v>
      </c>
      <c r="D22" s="2" t="s">
        <v>1839</v>
      </c>
      <c r="E22" s="2" t="s">
        <v>1841</v>
      </c>
      <c r="F22" s="2">
        <v>1.22841</v>
      </c>
      <c r="G22" s="2">
        <v>0.60782599999999998</v>
      </c>
      <c r="H22" s="2">
        <v>-1.0150600000000001</v>
      </c>
      <c r="I22" s="2">
        <v>1</v>
      </c>
      <c r="K22" s="2" t="s">
        <v>1481</v>
      </c>
      <c r="L22" s="2">
        <v>-1.36426</v>
      </c>
    </row>
    <row r="23" spans="1:12" x14ac:dyDescent="0.2">
      <c r="A23" s="2" t="s">
        <v>31</v>
      </c>
      <c r="B23" s="2" t="s">
        <v>3038</v>
      </c>
      <c r="C23" s="2" t="s">
        <v>2366</v>
      </c>
      <c r="D23" s="2" t="s">
        <v>1839</v>
      </c>
      <c r="E23" s="2" t="s">
        <v>1841</v>
      </c>
      <c r="F23" s="2">
        <v>1.65849</v>
      </c>
      <c r="G23" s="2">
        <v>3.91994</v>
      </c>
      <c r="H23" s="2">
        <v>1.2409600000000001</v>
      </c>
      <c r="I23" s="2">
        <v>1</v>
      </c>
      <c r="K23" s="2" t="s">
        <v>33</v>
      </c>
      <c r="L23" s="2">
        <v>-1.6838900000000001</v>
      </c>
    </row>
    <row r="24" spans="1:12" x14ac:dyDescent="0.2">
      <c r="A24" s="2" t="s">
        <v>1481</v>
      </c>
      <c r="B24" s="2" t="s">
        <v>3015</v>
      </c>
      <c r="C24" s="2" t="s">
        <v>2621</v>
      </c>
      <c r="D24" s="2" t="s">
        <v>1839</v>
      </c>
      <c r="E24" s="2" t="s">
        <v>1841</v>
      </c>
      <c r="F24" s="2">
        <v>11.0952</v>
      </c>
      <c r="G24" s="2">
        <v>4.3097300000000001</v>
      </c>
      <c r="H24" s="2">
        <v>-1.36426</v>
      </c>
      <c r="I24" s="2">
        <v>1</v>
      </c>
      <c r="K24" s="2" t="s">
        <v>34</v>
      </c>
      <c r="L24" s="2">
        <v>1.3630500000000001</v>
      </c>
    </row>
    <row r="25" spans="1:12" x14ac:dyDescent="0.2">
      <c r="A25" s="2" t="s">
        <v>33</v>
      </c>
      <c r="B25" s="2" t="s">
        <v>3033</v>
      </c>
      <c r="C25" s="2" t="s">
        <v>1858</v>
      </c>
      <c r="D25" s="2" t="s">
        <v>1839</v>
      </c>
      <c r="E25" s="2" t="s">
        <v>1841</v>
      </c>
      <c r="F25" s="2">
        <v>1.06348</v>
      </c>
      <c r="G25" s="2">
        <v>0.33099800000000001</v>
      </c>
      <c r="H25" s="2">
        <v>-1.6838900000000001</v>
      </c>
      <c r="I25" s="2">
        <v>1</v>
      </c>
      <c r="K25" s="2" t="s">
        <v>1482</v>
      </c>
      <c r="L25" s="2">
        <v>-1.2583899999999999</v>
      </c>
    </row>
    <row r="26" spans="1:12" x14ac:dyDescent="0.2">
      <c r="A26" s="2" t="s">
        <v>34</v>
      </c>
      <c r="B26" s="2" t="s">
        <v>3281</v>
      </c>
      <c r="C26" s="2" t="s">
        <v>2367</v>
      </c>
      <c r="D26" s="2" t="s">
        <v>1839</v>
      </c>
      <c r="E26" s="2" t="s">
        <v>1841</v>
      </c>
      <c r="F26" s="2">
        <v>0.84092699999999998</v>
      </c>
      <c r="G26" s="2">
        <v>2.1631</v>
      </c>
      <c r="H26" s="2">
        <v>1.3630500000000001</v>
      </c>
      <c r="I26" s="2">
        <v>1</v>
      </c>
      <c r="K26" s="2" t="s">
        <v>37</v>
      </c>
      <c r="L26" s="2">
        <v>1.12209</v>
      </c>
    </row>
    <row r="27" spans="1:12" x14ac:dyDescent="0.2">
      <c r="A27" s="2" t="s">
        <v>1482</v>
      </c>
      <c r="B27" s="2" t="s">
        <v>3015</v>
      </c>
      <c r="C27" s="2" t="s">
        <v>3015</v>
      </c>
      <c r="D27" s="2" t="s">
        <v>1839</v>
      </c>
      <c r="E27" s="2" t="s">
        <v>1841</v>
      </c>
      <c r="F27" s="2">
        <v>15.2812</v>
      </c>
      <c r="G27" s="2">
        <v>6.38774</v>
      </c>
      <c r="H27" s="2">
        <v>-1.2583899999999999</v>
      </c>
      <c r="I27" s="2">
        <v>1</v>
      </c>
      <c r="K27" s="2" t="s">
        <v>1134</v>
      </c>
      <c r="L27" s="2">
        <v>2.4210500000000001</v>
      </c>
    </row>
    <row r="28" spans="1:12" x14ac:dyDescent="0.2">
      <c r="A28" s="2" t="s">
        <v>37</v>
      </c>
      <c r="B28" s="2" t="s">
        <v>3035</v>
      </c>
      <c r="C28" s="2" t="s">
        <v>1860</v>
      </c>
      <c r="D28" s="2" t="s">
        <v>1839</v>
      </c>
      <c r="E28" s="2" t="s">
        <v>1841</v>
      </c>
      <c r="F28" s="2">
        <v>8.3416099999999993</v>
      </c>
      <c r="G28" s="2">
        <v>18.156600000000001</v>
      </c>
      <c r="H28" s="2">
        <v>1.12209</v>
      </c>
      <c r="I28" s="2">
        <v>1</v>
      </c>
      <c r="K28" s="2" t="s">
        <v>39</v>
      </c>
      <c r="L28" s="2">
        <v>-1.0909899999999999</v>
      </c>
    </row>
    <row r="29" spans="1:12" x14ac:dyDescent="0.2">
      <c r="A29" s="2" t="s">
        <v>1134</v>
      </c>
      <c r="B29" s="2" t="s">
        <v>3089</v>
      </c>
      <c r="C29" s="2" t="s">
        <v>2622</v>
      </c>
      <c r="D29" s="2" t="s">
        <v>1839</v>
      </c>
      <c r="E29" s="2" t="s">
        <v>1841</v>
      </c>
      <c r="F29" s="2">
        <v>1.7720800000000001</v>
      </c>
      <c r="G29" s="2">
        <v>9.49057</v>
      </c>
      <c r="H29" s="2">
        <v>2.4210500000000001</v>
      </c>
      <c r="I29" s="2">
        <v>1</v>
      </c>
      <c r="K29" s="2" t="s">
        <v>1483</v>
      </c>
      <c r="L29" s="2">
        <v>-1.43588</v>
      </c>
    </row>
    <row r="30" spans="1:12" x14ac:dyDescent="0.2">
      <c r="A30" s="2" t="s">
        <v>39</v>
      </c>
      <c r="B30" s="2" t="s">
        <v>3054</v>
      </c>
      <c r="C30" s="2" t="s">
        <v>2623</v>
      </c>
      <c r="D30" s="2" t="s">
        <v>1839</v>
      </c>
      <c r="E30" s="2" t="s">
        <v>1841</v>
      </c>
      <c r="F30" s="2">
        <v>19.945</v>
      </c>
      <c r="G30" s="2">
        <v>9.3629800000000003</v>
      </c>
      <c r="H30" s="2">
        <v>-1.0909899999999999</v>
      </c>
      <c r="I30" s="2">
        <v>1</v>
      </c>
      <c r="K30" s="2" t="s">
        <v>1484</v>
      </c>
      <c r="L30" s="2">
        <v>1.18648</v>
      </c>
    </row>
    <row r="31" spans="1:12" x14ac:dyDescent="0.2">
      <c r="A31" s="2" t="s">
        <v>1483</v>
      </c>
      <c r="B31" s="2" t="s">
        <v>3015</v>
      </c>
      <c r="C31" s="2" t="s">
        <v>2624</v>
      </c>
      <c r="D31" s="2" t="s">
        <v>1839</v>
      </c>
      <c r="E31" s="2" t="s">
        <v>1841</v>
      </c>
      <c r="F31" s="2">
        <v>4.4900399999999996</v>
      </c>
      <c r="G31" s="2">
        <v>1.65961</v>
      </c>
      <c r="H31" s="2">
        <v>-1.43588</v>
      </c>
      <c r="I31" s="2">
        <v>1</v>
      </c>
      <c r="K31" s="2" t="s">
        <v>1485</v>
      </c>
      <c r="L31" s="2">
        <v>2.0057100000000001</v>
      </c>
    </row>
    <row r="32" spans="1:12" x14ac:dyDescent="0.2">
      <c r="A32" s="2" t="s">
        <v>1484</v>
      </c>
      <c r="B32" s="2" t="s">
        <v>3015</v>
      </c>
      <c r="C32" s="2" t="s">
        <v>2625</v>
      </c>
      <c r="D32" s="2" t="s">
        <v>1839</v>
      </c>
      <c r="E32" s="2" t="s">
        <v>1841</v>
      </c>
      <c r="F32" s="2">
        <v>0.76190500000000005</v>
      </c>
      <c r="G32" s="2">
        <v>1.73407</v>
      </c>
      <c r="H32" s="2">
        <v>1.18648</v>
      </c>
      <c r="I32" s="2">
        <v>1</v>
      </c>
      <c r="K32" s="2" t="s">
        <v>1486</v>
      </c>
      <c r="L32" s="2">
        <v>-1.2765200000000001</v>
      </c>
    </row>
    <row r="33" spans="1:12" x14ac:dyDescent="0.2">
      <c r="A33" s="2" t="s">
        <v>1485</v>
      </c>
      <c r="B33" s="2" t="s">
        <v>3015</v>
      </c>
      <c r="C33" s="2" t="s">
        <v>2626</v>
      </c>
      <c r="D33" s="2" t="s">
        <v>1839</v>
      </c>
      <c r="E33" s="2" t="s">
        <v>1841</v>
      </c>
      <c r="F33" s="2">
        <v>0.22892100000000001</v>
      </c>
      <c r="G33" s="2">
        <v>0.91931700000000005</v>
      </c>
      <c r="H33" s="2">
        <v>2.0057100000000001</v>
      </c>
      <c r="I33" s="2">
        <v>1</v>
      </c>
      <c r="K33" s="2" t="s">
        <v>43</v>
      </c>
      <c r="L33" s="2">
        <v>1.2338100000000001</v>
      </c>
    </row>
    <row r="34" spans="1:12" x14ac:dyDescent="0.2">
      <c r="A34" s="2" t="s">
        <v>1486</v>
      </c>
      <c r="B34" s="2" t="s">
        <v>3015</v>
      </c>
      <c r="C34" s="2" t="s">
        <v>3015</v>
      </c>
      <c r="D34" s="2" t="s">
        <v>1839</v>
      </c>
      <c r="E34" s="2" t="s">
        <v>1841</v>
      </c>
      <c r="F34" s="2">
        <v>2.9232</v>
      </c>
      <c r="G34" s="2">
        <v>1.2066699999999999</v>
      </c>
      <c r="H34" s="2">
        <v>-1.2765200000000001</v>
      </c>
      <c r="I34" s="2">
        <v>1</v>
      </c>
      <c r="K34" s="2" t="s">
        <v>44</v>
      </c>
      <c r="L34" s="2">
        <v>-1.1258300000000001</v>
      </c>
    </row>
    <row r="35" spans="1:12" x14ac:dyDescent="0.2">
      <c r="A35" s="2" t="s">
        <v>43</v>
      </c>
      <c r="B35" s="2" t="s">
        <v>3015</v>
      </c>
      <c r="C35" s="2" t="s">
        <v>2627</v>
      </c>
      <c r="D35" s="2" t="s">
        <v>1839</v>
      </c>
      <c r="E35" s="2" t="s">
        <v>1841</v>
      </c>
      <c r="F35" s="2">
        <v>6.0851499999999996</v>
      </c>
      <c r="G35" s="2">
        <v>14.311500000000001</v>
      </c>
      <c r="H35" s="2">
        <v>1.2338100000000001</v>
      </c>
      <c r="I35" s="2">
        <v>1</v>
      </c>
      <c r="K35" s="2" t="s">
        <v>45</v>
      </c>
      <c r="L35" s="2">
        <v>-1.4237</v>
      </c>
    </row>
    <row r="36" spans="1:12" x14ac:dyDescent="0.2">
      <c r="A36" s="2" t="s">
        <v>44</v>
      </c>
      <c r="B36" s="2" t="s">
        <v>3015</v>
      </c>
      <c r="C36" s="2" t="s">
        <v>1880</v>
      </c>
      <c r="D36" s="2" t="s">
        <v>1839</v>
      </c>
      <c r="E36" s="2" t="s">
        <v>1841</v>
      </c>
      <c r="F36" s="2">
        <v>2.7822399999999998</v>
      </c>
      <c r="G36" s="2">
        <v>1.2749299999999999</v>
      </c>
      <c r="H36" s="2">
        <v>-1.1258300000000001</v>
      </c>
      <c r="I36" s="2">
        <v>1</v>
      </c>
      <c r="K36" s="2" t="s">
        <v>1487</v>
      </c>
      <c r="L36" s="2">
        <v>1.04244</v>
      </c>
    </row>
    <row r="37" spans="1:12" x14ac:dyDescent="0.2">
      <c r="A37" s="2" t="s">
        <v>45</v>
      </c>
      <c r="B37" s="2" t="s">
        <v>3015</v>
      </c>
      <c r="C37" s="2" t="s">
        <v>1863</v>
      </c>
      <c r="D37" s="2" t="s">
        <v>1839</v>
      </c>
      <c r="E37" s="2" t="s">
        <v>1841</v>
      </c>
      <c r="F37" s="2">
        <v>273.589</v>
      </c>
      <c r="G37" s="2">
        <v>101.982</v>
      </c>
      <c r="H37" s="2">
        <v>-1.4237</v>
      </c>
      <c r="I37" s="2">
        <v>1</v>
      </c>
      <c r="K37" s="2" t="s">
        <v>47</v>
      </c>
      <c r="L37" s="2">
        <v>-1.0586800000000001</v>
      </c>
    </row>
    <row r="38" spans="1:12" x14ac:dyDescent="0.2">
      <c r="A38" s="2" t="s">
        <v>1487</v>
      </c>
      <c r="B38" s="2" t="s">
        <v>3388</v>
      </c>
      <c r="C38" s="2" t="s">
        <v>2628</v>
      </c>
      <c r="D38" s="2" t="s">
        <v>1839</v>
      </c>
      <c r="E38" s="2" t="s">
        <v>1841</v>
      </c>
      <c r="F38" s="2">
        <v>1.10988</v>
      </c>
      <c r="G38" s="2">
        <v>2.2860200000000002</v>
      </c>
      <c r="H38" s="2">
        <v>1.04244</v>
      </c>
      <c r="I38" s="2">
        <v>1</v>
      </c>
      <c r="K38" s="2" t="s">
        <v>48</v>
      </c>
      <c r="L38" s="2">
        <v>-1.10687</v>
      </c>
    </row>
    <row r="39" spans="1:12" x14ac:dyDescent="0.2">
      <c r="A39" s="2" t="s">
        <v>47</v>
      </c>
      <c r="B39" s="2" t="s">
        <v>3015</v>
      </c>
      <c r="C39" s="2" t="s">
        <v>1865</v>
      </c>
      <c r="D39" s="2" t="s">
        <v>1839</v>
      </c>
      <c r="E39" s="2" t="s">
        <v>1841</v>
      </c>
      <c r="F39" s="2">
        <v>66.780900000000003</v>
      </c>
      <c r="G39" s="2">
        <v>32.059600000000003</v>
      </c>
      <c r="H39" s="2">
        <v>-1.0586800000000001</v>
      </c>
      <c r="I39" s="2">
        <v>1</v>
      </c>
      <c r="K39" s="2" t="s">
        <v>1141</v>
      </c>
      <c r="L39" s="2">
        <v>-1.0277099999999999</v>
      </c>
    </row>
    <row r="40" spans="1:12" x14ac:dyDescent="0.2">
      <c r="A40" s="2" t="s">
        <v>48</v>
      </c>
      <c r="B40" s="2" t="s">
        <v>3015</v>
      </c>
      <c r="C40" s="2" t="s">
        <v>1865</v>
      </c>
      <c r="D40" s="2" t="s">
        <v>1839</v>
      </c>
      <c r="E40" s="2" t="s">
        <v>1841</v>
      </c>
      <c r="F40" s="2">
        <v>14.5718</v>
      </c>
      <c r="G40" s="2">
        <v>6.7656999999999998</v>
      </c>
      <c r="H40" s="2">
        <v>-1.10687</v>
      </c>
      <c r="I40" s="2">
        <v>1</v>
      </c>
      <c r="K40" s="2" t="s">
        <v>1488</v>
      </c>
      <c r="L40" s="2">
        <v>1.19503</v>
      </c>
    </row>
    <row r="41" spans="1:12" x14ac:dyDescent="0.2">
      <c r="A41" s="2" t="s">
        <v>1141</v>
      </c>
      <c r="B41" s="2" t="s">
        <v>3015</v>
      </c>
      <c r="C41" s="2" t="s">
        <v>2629</v>
      </c>
      <c r="D41" s="2" t="s">
        <v>1839</v>
      </c>
      <c r="E41" s="2" t="s">
        <v>1841</v>
      </c>
      <c r="F41" s="2">
        <v>30.334900000000001</v>
      </c>
      <c r="G41" s="2">
        <v>14.8789</v>
      </c>
      <c r="H41" s="2">
        <v>-1.0277099999999999</v>
      </c>
      <c r="I41" s="2">
        <v>1</v>
      </c>
      <c r="K41" s="2" t="s">
        <v>49</v>
      </c>
      <c r="L41" s="2">
        <v>1.4330000000000001</v>
      </c>
    </row>
    <row r="42" spans="1:12" x14ac:dyDescent="0.2">
      <c r="A42" s="2" t="s">
        <v>1488</v>
      </c>
      <c r="B42" s="2" t="s">
        <v>3015</v>
      </c>
      <c r="C42" s="2" t="s">
        <v>3015</v>
      </c>
      <c r="D42" s="2" t="s">
        <v>1839</v>
      </c>
      <c r="E42" s="2" t="s">
        <v>1841</v>
      </c>
      <c r="F42" s="2">
        <v>0.391291</v>
      </c>
      <c r="G42" s="2">
        <v>0.89585899999999996</v>
      </c>
      <c r="H42" s="2">
        <v>1.19503</v>
      </c>
      <c r="I42" s="2">
        <v>1</v>
      </c>
      <c r="K42" s="2" t="s">
        <v>50</v>
      </c>
      <c r="L42" s="2">
        <v>1.08263</v>
      </c>
    </row>
    <row r="43" spans="1:12" x14ac:dyDescent="0.2">
      <c r="A43" s="2" t="s">
        <v>49</v>
      </c>
      <c r="B43" s="2" t="s">
        <v>3195</v>
      </c>
      <c r="C43" s="2" t="s">
        <v>2630</v>
      </c>
      <c r="D43" s="2" t="s">
        <v>1839</v>
      </c>
      <c r="E43" s="2" t="s">
        <v>1841</v>
      </c>
      <c r="F43" s="2">
        <v>2.1010300000000002</v>
      </c>
      <c r="G43" s="2">
        <v>5.6729599999999998</v>
      </c>
      <c r="H43" s="2">
        <v>1.4330000000000001</v>
      </c>
      <c r="I43" s="2">
        <v>1</v>
      </c>
      <c r="K43" s="2" t="s">
        <v>51</v>
      </c>
      <c r="L43" s="2">
        <v>-1.36798</v>
      </c>
    </row>
    <row r="44" spans="1:12" x14ac:dyDescent="0.2">
      <c r="A44" s="2" t="s">
        <v>50</v>
      </c>
      <c r="B44" s="2" t="s">
        <v>3249</v>
      </c>
      <c r="C44" s="2" t="s">
        <v>2631</v>
      </c>
      <c r="D44" s="2" t="s">
        <v>1839</v>
      </c>
      <c r="E44" s="2" t="s">
        <v>1841</v>
      </c>
      <c r="F44" s="2">
        <v>19.522400000000001</v>
      </c>
      <c r="G44" s="2">
        <v>41.346299999999999</v>
      </c>
      <c r="H44" s="2">
        <v>1.08263</v>
      </c>
      <c r="I44" s="2">
        <v>1</v>
      </c>
      <c r="K44" s="2" t="s">
        <v>1145</v>
      </c>
      <c r="L44" s="2">
        <v>1.0105999999999999</v>
      </c>
    </row>
    <row r="45" spans="1:12" x14ac:dyDescent="0.2">
      <c r="A45" s="2" t="s">
        <v>51</v>
      </c>
      <c r="B45" s="2" t="s">
        <v>3037</v>
      </c>
      <c r="C45" s="2" t="s">
        <v>1866</v>
      </c>
      <c r="D45" s="2" t="s">
        <v>1839</v>
      </c>
      <c r="E45" s="2" t="s">
        <v>1841</v>
      </c>
      <c r="F45" s="2">
        <v>4.2758399999999996</v>
      </c>
      <c r="G45" s="2">
        <v>1.6566099999999999</v>
      </c>
      <c r="H45" s="2">
        <v>-1.36798</v>
      </c>
      <c r="I45" s="2">
        <v>1</v>
      </c>
      <c r="K45" s="2" t="s">
        <v>1489</v>
      </c>
      <c r="L45" s="2">
        <v>-1.6178399999999999</v>
      </c>
    </row>
    <row r="46" spans="1:12" x14ac:dyDescent="0.2">
      <c r="A46" s="2" t="s">
        <v>1145</v>
      </c>
      <c r="B46" s="2" t="s">
        <v>3178</v>
      </c>
      <c r="C46" s="2" t="s">
        <v>2632</v>
      </c>
      <c r="D46" s="2" t="s">
        <v>1839</v>
      </c>
      <c r="E46" s="2" t="s">
        <v>1841</v>
      </c>
      <c r="F46" s="2">
        <v>1.0187999999999999</v>
      </c>
      <c r="G46" s="2">
        <v>2.0526399999999998</v>
      </c>
      <c r="H46" s="2">
        <v>1.0105999999999999</v>
      </c>
      <c r="I46" s="2">
        <v>1</v>
      </c>
      <c r="K46" s="2" t="s">
        <v>55</v>
      </c>
      <c r="L46" s="2">
        <v>1.6454</v>
      </c>
    </row>
    <row r="47" spans="1:12" x14ac:dyDescent="0.2">
      <c r="A47" s="2" t="s">
        <v>1489</v>
      </c>
      <c r="B47" s="2" t="s">
        <v>3344</v>
      </c>
      <c r="C47" s="2" t="s">
        <v>2633</v>
      </c>
      <c r="D47" s="2" t="s">
        <v>1839</v>
      </c>
      <c r="E47" s="2" t="s">
        <v>1841</v>
      </c>
      <c r="F47" s="2">
        <v>1.74996</v>
      </c>
      <c r="G47" s="2">
        <v>0.57017700000000004</v>
      </c>
      <c r="H47" s="2">
        <v>-1.6178399999999999</v>
      </c>
      <c r="I47" s="2">
        <v>1</v>
      </c>
      <c r="K47" s="2" t="s">
        <v>1490</v>
      </c>
      <c r="L47" s="2">
        <v>2.3580299999999998</v>
      </c>
    </row>
    <row r="48" spans="1:12" x14ac:dyDescent="0.2">
      <c r="A48" s="2" t="s">
        <v>55</v>
      </c>
      <c r="B48" s="2" t="s">
        <v>3372</v>
      </c>
      <c r="C48" s="2" t="s">
        <v>2226</v>
      </c>
      <c r="D48" s="2" t="s">
        <v>1839</v>
      </c>
      <c r="E48" s="2" t="s">
        <v>1841</v>
      </c>
      <c r="F48" s="2">
        <v>5.0469600000000003</v>
      </c>
      <c r="G48" s="2">
        <v>15.788600000000001</v>
      </c>
      <c r="H48" s="2">
        <v>1.6454</v>
      </c>
      <c r="I48" s="2">
        <v>1</v>
      </c>
      <c r="K48" s="2" t="s">
        <v>1491</v>
      </c>
      <c r="L48" s="2">
        <v>1.0456300000000001</v>
      </c>
    </row>
    <row r="49" spans="1:12" x14ac:dyDescent="0.2">
      <c r="A49" s="2" t="s">
        <v>1490</v>
      </c>
      <c r="B49" s="2" t="s">
        <v>3047</v>
      </c>
      <c r="C49" s="2" t="s">
        <v>2634</v>
      </c>
      <c r="D49" s="2" t="s">
        <v>1839</v>
      </c>
      <c r="E49" s="2" t="s">
        <v>1841</v>
      </c>
      <c r="F49" s="2">
        <v>0.34293400000000002</v>
      </c>
      <c r="G49" s="2">
        <v>1.7581199999999999</v>
      </c>
      <c r="H49" s="2">
        <v>2.3580299999999998</v>
      </c>
      <c r="I49" s="2">
        <v>1</v>
      </c>
      <c r="K49" s="2" t="s">
        <v>58</v>
      </c>
      <c r="L49" s="2">
        <v>-1.11747</v>
      </c>
    </row>
    <row r="50" spans="1:12" x14ac:dyDescent="0.2">
      <c r="A50" s="2" t="s">
        <v>1491</v>
      </c>
      <c r="B50" s="2" t="s">
        <v>3015</v>
      </c>
      <c r="C50" s="2" t="s">
        <v>1880</v>
      </c>
      <c r="D50" s="2" t="s">
        <v>1839</v>
      </c>
      <c r="E50" s="2" t="s">
        <v>1841</v>
      </c>
      <c r="F50" s="2">
        <v>1.6885600000000001</v>
      </c>
      <c r="G50" s="2">
        <v>3.4856400000000001</v>
      </c>
      <c r="H50" s="2">
        <v>1.0456300000000001</v>
      </c>
      <c r="I50" s="2">
        <v>1</v>
      </c>
      <c r="K50" s="2" t="s">
        <v>1492</v>
      </c>
      <c r="L50" s="2">
        <v>1.4898800000000001</v>
      </c>
    </row>
    <row r="51" spans="1:12" x14ac:dyDescent="0.2">
      <c r="A51" s="2" t="s">
        <v>58</v>
      </c>
      <c r="B51" s="2" t="s">
        <v>3081</v>
      </c>
      <c r="C51" s="2" t="s">
        <v>2635</v>
      </c>
      <c r="D51" s="2" t="s">
        <v>1839</v>
      </c>
      <c r="E51" s="2" t="s">
        <v>1841</v>
      </c>
      <c r="F51" s="2">
        <v>145.559</v>
      </c>
      <c r="G51" s="2">
        <v>67.088399999999993</v>
      </c>
      <c r="H51" s="2">
        <v>-1.11747</v>
      </c>
      <c r="I51" s="2">
        <v>1</v>
      </c>
      <c r="K51" s="2" t="s">
        <v>61</v>
      </c>
      <c r="L51" s="2">
        <v>4.1359500000000002</v>
      </c>
    </row>
    <row r="52" spans="1:12" x14ac:dyDescent="0.2">
      <c r="A52" s="2" t="s">
        <v>1492</v>
      </c>
      <c r="B52" s="2" t="s">
        <v>3049</v>
      </c>
      <c r="C52" s="2" t="s">
        <v>1884</v>
      </c>
      <c r="D52" s="2" t="s">
        <v>1839</v>
      </c>
      <c r="E52" s="2" t="s">
        <v>1841</v>
      </c>
      <c r="F52" s="2">
        <v>0.37637599999999999</v>
      </c>
      <c r="G52" s="2">
        <v>1.05711</v>
      </c>
      <c r="H52" s="2">
        <v>1.4898800000000001</v>
      </c>
      <c r="I52" s="2">
        <v>1</v>
      </c>
      <c r="K52" s="2" t="s">
        <v>1151</v>
      </c>
      <c r="L52" s="2">
        <v>2.02963</v>
      </c>
    </row>
    <row r="53" spans="1:12" x14ac:dyDescent="0.2">
      <c r="A53" s="2" t="s">
        <v>61</v>
      </c>
      <c r="B53" s="2" t="s">
        <v>3043</v>
      </c>
      <c r="C53" s="2" t="s">
        <v>1872</v>
      </c>
      <c r="D53" s="2" t="s">
        <v>1839</v>
      </c>
      <c r="E53" s="2" t="s">
        <v>1841</v>
      </c>
      <c r="F53" s="2">
        <v>0.49207600000000001</v>
      </c>
      <c r="G53" s="2">
        <v>8.6511999999999993</v>
      </c>
      <c r="H53" s="2">
        <v>4.1359500000000002</v>
      </c>
      <c r="I53" s="2">
        <v>1</v>
      </c>
      <c r="K53" s="2" t="s">
        <v>1493</v>
      </c>
      <c r="L53" s="2">
        <v>1.3242400000000001</v>
      </c>
    </row>
    <row r="54" spans="1:12" x14ac:dyDescent="0.2">
      <c r="A54" s="2" t="s">
        <v>1151</v>
      </c>
      <c r="B54" s="2" t="s">
        <v>3015</v>
      </c>
      <c r="C54" s="2" t="s">
        <v>2636</v>
      </c>
      <c r="D54" s="2" t="s">
        <v>1839</v>
      </c>
      <c r="E54" s="2" t="s">
        <v>1841</v>
      </c>
      <c r="F54" s="2">
        <v>0.53334999999999999</v>
      </c>
      <c r="G54" s="2">
        <v>2.17767</v>
      </c>
      <c r="H54" s="2">
        <v>2.02963</v>
      </c>
      <c r="I54" s="2">
        <v>1</v>
      </c>
      <c r="K54" s="2" t="s">
        <v>1494</v>
      </c>
      <c r="L54" s="2">
        <v>-1.0223599999999999</v>
      </c>
    </row>
    <row r="55" spans="1:12" x14ac:dyDescent="0.2">
      <c r="A55" s="2" t="s">
        <v>1493</v>
      </c>
      <c r="B55" s="2" t="s">
        <v>3095</v>
      </c>
      <c r="C55" s="2" t="s">
        <v>2637</v>
      </c>
      <c r="D55" s="2" t="s">
        <v>1839</v>
      </c>
      <c r="E55" s="2" t="s">
        <v>1841</v>
      </c>
      <c r="F55" s="2">
        <v>0.421456</v>
      </c>
      <c r="G55" s="2">
        <v>1.0553300000000001</v>
      </c>
      <c r="H55" s="2">
        <v>1.3242400000000001</v>
      </c>
      <c r="I55" s="2">
        <v>1</v>
      </c>
      <c r="K55" s="2" t="s">
        <v>68</v>
      </c>
      <c r="L55" s="2">
        <v>1.2186699999999999</v>
      </c>
    </row>
    <row r="56" spans="1:12" x14ac:dyDescent="0.2">
      <c r="A56" s="2" t="s">
        <v>1494</v>
      </c>
      <c r="B56" s="2" t="s">
        <v>3389</v>
      </c>
      <c r="C56" s="2" t="s">
        <v>1847</v>
      </c>
      <c r="D56" s="2" t="s">
        <v>1839</v>
      </c>
      <c r="E56" s="2" t="s">
        <v>1841</v>
      </c>
      <c r="F56" s="2">
        <v>0.95353299999999996</v>
      </c>
      <c r="G56" s="2">
        <v>0.46943400000000002</v>
      </c>
      <c r="H56" s="2">
        <v>-1.0223599999999999</v>
      </c>
      <c r="I56" s="2">
        <v>1</v>
      </c>
      <c r="K56" s="2" t="s">
        <v>70</v>
      </c>
      <c r="L56" s="2">
        <v>2.0158299999999998</v>
      </c>
    </row>
    <row r="57" spans="1:12" x14ac:dyDescent="0.2">
      <c r="A57" s="2" t="s">
        <v>68</v>
      </c>
      <c r="B57" s="2" t="s">
        <v>3015</v>
      </c>
      <c r="C57" s="2" t="s">
        <v>2383</v>
      </c>
      <c r="D57" s="2" t="s">
        <v>1839</v>
      </c>
      <c r="E57" s="2" t="s">
        <v>1841</v>
      </c>
      <c r="F57" s="2">
        <v>12.084199999999999</v>
      </c>
      <c r="G57" s="2">
        <v>28.123899999999999</v>
      </c>
      <c r="H57" s="2">
        <v>1.2186699999999999</v>
      </c>
      <c r="I57" s="2">
        <v>1</v>
      </c>
      <c r="K57" s="2" t="s">
        <v>1495</v>
      </c>
      <c r="L57" s="2">
        <v>1.762</v>
      </c>
    </row>
    <row r="58" spans="1:12" x14ac:dyDescent="0.2">
      <c r="A58" s="2" t="s">
        <v>70</v>
      </c>
      <c r="B58" s="2" t="s">
        <v>3301</v>
      </c>
      <c r="C58" s="2" t="s">
        <v>2638</v>
      </c>
      <c r="D58" s="2" t="s">
        <v>1839</v>
      </c>
      <c r="E58" s="2" t="s">
        <v>1841</v>
      </c>
      <c r="F58" s="2">
        <v>2.01763</v>
      </c>
      <c r="G58" s="2">
        <v>8.1595300000000002</v>
      </c>
      <c r="H58" s="2">
        <v>2.0158299999999998</v>
      </c>
      <c r="I58" s="2">
        <v>1</v>
      </c>
      <c r="K58" s="2" t="s">
        <v>73</v>
      </c>
      <c r="L58" s="2">
        <v>1.4795700000000001</v>
      </c>
    </row>
    <row r="59" spans="1:12" x14ac:dyDescent="0.2">
      <c r="A59" s="2" t="s">
        <v>1495</v>
      </c>
      <c r="B59" s="2" t="s">
        <v>3015</v>
      </c>
      <c r="C59" s="2" t="s">
        <v>2639</v>
      </c>
      <c r="D59" s="2" t="s">
        <v>1839</v>
      </c>
      <c r="E59" s="2" t="s">
        <v>1841</v>
      </c>
      <c r="F59" s="2">
        <v>4.1367599999999998</v>
      </c>
      <c r="G59" s="2">
        <v>14.0306</v>
      </c>
      <c r="H59" s="2">
        <v>1.762</v>
      </c>
      <c r="I59" s="2">
        <v>1</v>
      </c>
      <c r="K59" s="2" t="s">
        <v>74</v>
      </c>
      <c r="L59" s="2">
        <v>1.0851299999999999</v>
      </c>
    </row>
    <row r="60" spans="1:12" x14ac:dyDescent="0.2">
      <c r="A60" s="2" t="s">
        <v>73</v>
      </c>
      <c r="B60" s="2" t="s">
        <v>3015</v>
      </c>
      <c r="C60" s="2" t="s">
        <v>1880</v>
      </c>
      <c r="D60" s="2" t="s">
        <v>1839</v>
      </c>
      <c r="E60" s="2" t="s">
        <v>1841</v>
      </c>
      <c r="F60" s="2">
        <v>1.0872599999999999</v>
      </c>
      <c r="G60" s="2">
        <v>3.03199</v>
      </c>
      <c r="H60" s="2">
        <v>1.4795700000000001</v>
      </c>
      <c r="I60" s="2">
        <v>1</v>
      </c>
      <c r="K60" s="2" t="s">
        <v>76</v>
      </c>
      <c r="L60" s="2">
        <v>1.14483</v>
      </c>
    </row>
    <row r="61" spans="1:12" x14ac:dyDescent="0.2">
      <c r="A61" s="2" t="s">
        <v>74</v>
      </c>
      <c r="B61" s="2" t="s">
        <v>3027</v>
      </c>
      <c r="C61" s="2" t="s">
        <v>2640</v>
      </c>
      <c r="D61" s="2" t="s">
        <v>1839</v>
      </c>
      <c r="E61" s="2" t="s">
        <v>1841</v>
      </c>
      <c r="F61" s="2">
        <v>1.57118</v>
      </c>
      <c r="G61" s="2">
        <v>3.3333499999999998</v>
      </c>
      <c r="H61" s="2">
        <v>1.0851299999999999</v>
      </c>
      <c r="I61" s="2">
        <v>1</v>
      </c>
      <c r="K61" s="2" t="s">
        <v>78</v>
      </c>
      <c r="L61" s="2">
        <v>1.32098</v>
      </c>
    </row>
    <row r="62" spans="1:12" x14ac:dyDescent="0.2">
      <c r="A62" s="2" t="s">
        <v>76</v>
      </c>
      <c r="B62" s="2" t="s">
        <v>3015</v>
      </c>
      <c r="C62" s="2" t="s">
        <v>1847</v>
      </c>
      <c r="D62" s="2" t="s">
        <v>1839</v>
      </c>
      <c r="E62" s="2" t="s">
        <v>1841</v>
      </c>
      <c r="F62" s="2">
        <v>97.059200000000004</v>
      </c>
      <c r="G62" s="2">
        <v>214.61699999999999</v>
      </c>
      <c r="H62" s="2">
        <v>1.14483</v>
      </c>
      <c r="I62" s="2">
        <v>1</v>
      </c>
      <c r="K62" s="2" t="s">
        <v>79</v>
      </c>
      <c r="L62" s="2">
        <v>-1.1115299999999999</v>
      </c>
    </row>
    <row r="63" spans="1:12" x14ac:dyDescent="0.2">
      <c r="A63" s="2" t="s">
        <v>78</v>
      </c>
      <c r="B63" s="2" t="s">
        <v>3288</v>
      </c>
      <c r="C63" s="2" t="s">
        <v>2641</v>
      </c>
      <c r="D63" s="2" t="s">
        <v>1839</v>
      </c>
      <c r="E63" s="2" t="s">
        <v>1841</v>
      </c>
      <c r="F63" s="2">
        <v>13.1106</v>
      </c>
      <c r="G63" s="2">
        <v>32.755000000000003</v>
      </c>
      <c r="H63" s="2">
        <v>1.32098</v>
      </c>
      <c r="I63" s="2">
        <v>1</v>
      </c>
      <c r="K63" s="2" t="s">
        <v>81</v>
      </c>
      <c r="L63" s="2">
        <v>2.0149300000000001</v>
      </c>
    </row>
    <row r="64" spans="1:12" x14ac:dyDescent="0.2">
      <c r="A64" s="2" t="s">
        <v>79</v>
      </c>
      <c r="B64" s="2" t="s">
        <v>3015</v>
      </c>
      <c r="C64" s="2" t="s">
        <v>3015</v>
      </c>
      <c r="D64" s="2" t="s">
        <v>1839</v>
      </c>
      <c r="E64" s="2" t="s">
        <v>1841</v>
      </c>
      <c r="F64" s="2">
        <v>4.0717100000000004</v>
      </c>
      <c r="G64" s="2">
        <v>1.8844000000000001</v>
      </c>
      <c r="H64" s="2">
        <v>-1.1115299999999999</v>
      </c>
      <c r="I64" s="2">
        <v>1</v>
      </c>
      <c r="K64" s="2" t="s">
        <v>85</v>
      </c>
      <c r="L64" s="2">
        <v>1.0383</v>
      </c>
    </row>
    <row r="65" spans="1:12" x14ac:dyDescent="0.2">
      <c r="A65" s="2" t="s">
        <v>81</v>
      </c>
      <c r="B65" s="2" t="s">
        <v>3271</v>
      </c>
      <c r="C65" s="2" t="s">
        <v>2386</v>
      </c>
      <c r="D65" s="2" t="s">
        <v>1839</v>
      </c>
      <c r="E65" s="2" t="s">
        <v>1841</v>
      </c>
      <c r="F65" s="2">
        <v>0.707202</v>
      </c>
      <c r="G65" s="2">
        <v>2.8582399999999999</v>
      </c>
      <c r="H65" s="2">
        <v>2.0149300000000001</v>
      </c>
      <c r="I65" s="2">
        <v>1</v>
      </c>
      <c r="K65" s="2" t="s">
        <v>1154</v>
      </c>
      <c r="L65" s="2">
        <v>1.82908</v>
      </c>
    </row>
    <row r="66" spans="1:12" x14ac:dyDescent="0.2">
      <c r="A66" s="2" t="s">
        <v>85</v>
      </c>
      <c r="B66" s="2" t="s">
        <v>3364</v>
      </c>
      <c r="C66" s="2" t="s">
        <v>2642</v>
      </c>
      <c r="D66" s="2" t="s">
        <v>1839</v>
      </c>
      <c r="E66" s="2" t="s">
        <v>1841</v>
      </c>
      <c r="F66" s="2">
        <v>1.50942</v>
      </c>
      <c r="G66" s="2">
        <v>3.10005</v>
      </c>
      <c r="H66" s="2">
        <v>1.0383</v>
      </c>
      <c r="I66" s="2">
        <v>1</v>
      </c>
      <c r="K66" s="2" t="s">
        <v>86</v>
      </c>
      <c r="L66" s="2">
        <v>-1.2558</v>
      </c>
    </row>
    <row r="67" spans="1:12" x14ac:dyDescent="0.2">
      <c r="A67" s="2" t="s">
        <v>1154</v>
      </c>
      <c r="B67" s="2" t="s">
        <v>3087</v>
      </c>
      <c r="C67" s="2" t="s">
        <v>2643</v>
      </c>
      <c r="D67" s="2" t="s">
        <v>1839</v>
      </c>
      <c r="E67" s="2" t="s">
        <v>1841</v>
      </c>
      <c r="F67" s="2">
        <v>0.59479300000000002</v>
      </c>
      <c r="G67" s="2">
        <v>2.1133600000000001</v>
      </c>
      <c r="H67" s="2">
        <v>1.82908</v>
      </c>
      <c r="I67" s="2">
        <v>1</v>
      </c>
      <c r="K67" s="2" t="s">
        <v>1496</v>
      </c>
      <c r="L67" s="2">
        <v>1.29626</v>
      </c>
    </row>
    <row r="68" spans="1:12" x14ac:dyDescent="0.2">
      <c r="A68" s="2" t="s">
        <v>86</v>
      </c>
      <c r="B68" s="2" t="s">
        <v>3015</v>
      </c>
      <c r="C68" s="2" t="s">
        <v>2644</v>
      </c>
      <c r="D68" s="2" t="s">
        <v>1839</v>
      </c>
      <c r="E68" s="2" t="s">
        <v>1841</v>
      </c>
      <c r="F68" s="2">
        <v>75.731099999999998</v>
      </c>
      <c r="G68" s="2">
        <v>31.713200000000001</v>
      </c>
      <c r="H68" s="2">
        <v>-1.2558</v>
      </c>
      <c r="I68" s="2">
        <v>1</v>
      </c>
      <c r="K68" s="2" t="s">
        <v>1497</v>
      </c>
      <c r="L68" s="2">
        <v>-1.10497</v>
      </c>
    </row>
    <row r="69" spans="1:12" x14ac:dyDescent="0.2">
      <c r="A69" s="2" t="s">
        <v>1496</v>
      </c>
      <c r="B69" s="2" t="s">
        <v>3045</v>
      </c>
      <c r="C69" s="2" t="s">
        <v>1923</v>
      </c>
      <c r="D69" s="2" t="s">
        <v>1839</v>
      </c>
      <c r="E69" s="2" t="s">
        <v>1841</v>
      </c>
      <c r="F69" s="2">
        <v>0.54065200000000002</v>
      </c>
      <c r="G69" s="2">
        <v>1.3278000000000001</v>
      </c>
      <c r="H69" s="2">
        <v>1.29626</v>
      </c>
      <c r="I69" s="2">
        <v>1</v>
      </c>
      <c r="K69" s="2" t="s">
        <v>1498</v>
      </c>
      <c r="L69" s="2">
        <v>1.6197600000000001</v>
      </c>
    </row>
    <row r="70" spans="1:12" x14ac:dyDescent="0.2">
      <c r="A70" s="2" t="s">
        <v>1497</v>
      </c>
      <c r="B70" s="2" t="s">
        <v>3015</v>
      </c>
      <c r="C70" s="2" t="s">
        <v>2645</v>
      </c>
      <c r="D70" s="2" t="s">
        <v>1839</v>
      </c>
      <c r="E70" s="2" t="s">
        <v>1841</v>
      </c>
      <c r="F70" s="2">
        <v>1.2615499999999999</v>
      </c>
      <c r="G70" s="2">
        <v>0.586511</v>
      </c>
      <c r="H70" s="2">
        <v>-1.10497</v>
      </c>
      <c r="I70" s="2">
        <v>1</v>
      </c>
      <c r="K70" s="2" t="s">
        <v>87</v>
      </c>
      <c r="L70" s="2">
        <v>1.1334299999999999</v>
      </c>
    </row>
    <row r="71" spans="1:12" x14ac:dyDescent="0.2">
      <c r="A71" s="2" t="s">
        <v>1498</v>
      </c>
      <c r="B71" s="2" t="s">
        <v>3015</v>
      </c>
      <c r="C71" s="2" t="s">
        <v>2646</v>
      </c>
      <c r="D71" s="2" t="s">
        <v>1839</v>
      </c>
      <c r="E71" s="2" t="s">
        <v>1841</v>
      </c>
      <c r="F71" s="2">
        <v>1.17777</v>
      </c>
      <c r="G71" s="2">
        <v>3.61958</v>
      </c>
      <c r="H71" s="2">
        <v>1.6197600000000001</v>
      </c>
      <c r="I71" s="2">
        <v>1</v>
      </c>
      <c r="K71" s="2" t="s">
        <v>1499</v>
      </c>
      <c r="L71" s="2">
        <v>1.4154500000000001</v>
      </c>
    </row>
    <row r="72" spans="1:12" x14ac:dyDescent="0.2">
      <c r="A72" s="2" t="s">
        <v>87</v>
      </c>
      <c r="B72" s="2" t="s">
        <v>3080</v>
      </c>
      <c r="C72" s="2" t="s">
        <v>1937</v>
      </c>
      <c r="D72" s="2" t="s">
        <v>1839</v>
      </c>
      <c r="E72" s="2" t="s">
        <v>1841</v>
      </c>
      <c r="F72" s="2">
        <v>1.36158</v>
      </c>
      <c r="G72" s="2">
        <v>2.9870199999999998</v>
      </c>
      <c r="H72" s="2">
        <v>1.1334299999999999</v>
      </c>
      <c r="I72" s="2">
        <v>1</v>
      </c>
      <c r="K72" s="2" t="s">
        <v>1500</v>
      </c>
      <c r="L72" s="2">
        <v>1.5307200000000001</v>
      </c>
    </row>
    <row r="73" spans="1:12" x14ac:dyDescent="0.2">
      <c r="A73" s="2" t="s">
        <v>1499</v>
      </c>
      <c r="B73" s="2" t="s">
        <v>3045</v>
      </c>
      <c r="C73" s="2" t="s">
        <v>1875</v>
      </c>
      <c r="D73" s="2" t="s">
        <v>1839</v>
      </c>
      <c r="E73" s="2" t="s">
        <v>1841</v>
      </c>
      <c r="F73" s="2">
        <v>0.63804400000000006</v>
      </c>
      <c r="G73" s="2">
        <v>1.7019299999999999</v>
      </c>
      <c r="H73" s="2">
        <v>1.4154500000000001</v>
      </c>
      <c r="I73" s="2">
        <v>1</v>
      </c>
      <c r="K73" s="2" t="s">
        <v>88</v>
      </c>
      <c r="L73" s="2">
        <v>1.0598799999999999</v>
      </c>
    </row>
    <row r="74" spans="1:12" x14ac:dyDescent="0.2">
      <c r="A74" s="2" t="s">
        <v>1500</v>
      </c>
      <c r="B74" s="2" t="s">
        <v>3015</v>
      </c>
      <c r="C74" s="2" t="s">
        <v>2647</v>
      </c>
      <c r="D74" s="2" t="s">
        <v>1839</v>
      </c>
      <c r="E74" s="2" t="s">
        <v>1841</v>
      </c>
      <c r="F74" s="2">
        <v>0.30820399999999998</v>
      </c>
      <c r="G74" s="2">
        <v>0.89049400000000001</v>
      </c>
      <c r="H74" s="2">
        <v>1.5307200000000001</v>
      </c>
      <c r="I74" s="2">
        <v>1</v>
      </c>
      <c r="K74" s="2" t="s">
        <v>1157</v>
      </c>
      <c r="L74" s="2">
        <v>1.51031</v>
      </c>
    </row>
    <row r="75" spans="1:12" x14ac:dyDescent="0.2">
      <c r="A75" s="2" t="s">
        <v>88</v>
      </c>
      <c r="B75" s="2" t="s">
        <v>3030</v>
      </c>
      <c r="C75" s="2" t="s">
        <v>2648</v>
      </c>
      <c r="D75" s="2" t="s">
        <v>1839</v>
      </c>
      <c r="E75" s="2" t="s">
        <v>1841</v>
      </c>
      <c r="F75" s="2">
        <v>0.65366900000000006</v>
      </c>
      <c r="G75" s="2">
        <v>1.3627400000000001</v>
      </c>
      <c r="H75" s="2">
        <v>1.0598799999999999</v>
      </c>
      <c r="I75" s="2">
        <v>1</v>
      </c>
      <c r="K75" s="2" t="s">
        <v>1501</v>
      </c>
      <c r="L75" s="2">
        <v>-1.6620699999999999</v>
      </c>
    </row>
    <row r="76" spans="1:12" x14ac:dyDescent="0.2">
      <c r="A76" s="2" t="s">
        <v>92</v>
      </c>
      <c r="B76" s="2" t="s">
        <v>3024</v>
      </c>
      <c r="C76" s="2" t="s">
        <v>1883</v>
      </c>
      <c r="D76" s="2" t="s">
        <v>1839</v>
      </c>
      <c r="E76" s="2" t="s">
        <v>1841</v>
      </c>
      <c r="F76" s="2">
        <v>0</v>
      </c>
      <c r="G76" s="2">
        <v>0.77295599999999998</v>
      </c>
      <c r="H76" s="2" t="s">
        <v>3021</v>
      </c>
      <c r="I76" s="2" t="s">
        <v>3021</v>
      </c>
      <c r="K76" s="2" t="s">
        <v>1502</v>
      </c>
      <c r="L76" s="2">
        <v>1.03301</v>
      </c>
    </row>
    <row r="77" spans="1:12" x14ac:dyDescent="0.2">
      <c r="A77" s="2" t="s">
        <v>1157</v>
      </c>
      <c r="B77" s="2" t="s">
        <v>3286</v>
      </c>
      <c r="C77" s="2" t="s">
        <v>2391</v>
      </c>
      <c r="D77" s="2" t="s">
        <v>1839</v>
      </c>
      <c r="E77" s="2" t="s">
        <v>1841</v>
      </c>
      <c r="F77" s="2">
        <v>1.6700600000000001</v>
      </c>
      <c r="G77" s="2">
        <v>4.7575200000000004</v>
      </c>
      <c r="H77" s="2">
        <v>1.51031</v>
      </c>
      <c r="I77" s="2">
        <v>1</v>
      </c>
      <c r="K77" s="2" t="s">
        <v>96</v>
      </c>
      <c r="L77" s="2">
        <v>1.13974</v>
      </c>
    </row>
    <row r="78" spans="1:12" x14ac:dyDescent="0.2">
      <c r="A78" s="2" t="s">
        <v>1501</v>
      </c>
      <c r="B78" s="2" t="s">
        <v>3015</v>
      </c>
      <c r="C78" s="2" t="s">
        <v>2455</v>
      </c>
      <c r="D78" s="2" t="s">
        <v>1839</v>
      </c>
      <c r="E78" s="2" t="s">
        <v>1841</v>
      </c>
      <c r="F78" s="2">
        <v>1.1763699999999999</v>
      </c>
      <c r="G78" s="2">
        <v>0.37171399999999999</v>
      </c>
      <c r="H78" s="2">
        <v>-1.6620699999999999</v>
      </c>
      <c r="I78" s="2">
        <v>1</v>
      </c>
      <c r="K78" s="2" t="s">
        <v>1503</v>
      </c>
      <c r="L78" s="2">
        <v>-1.38687</v>
      </c>
    </row>
    <row r="79" spans="1:12" x14ac:dyDescent="0.2">
      <c r="A79" s="2" t="s">
        <v>1502</v>
      </c>
      <c r="B79" s="2" t="s">
        <v>3015</v>
      </c>
      <c r="C79" s="2" t="s">
        <v>2034</v>
      </c>
      <c r="D79" s="2" t="s">
        <v>1839</v>
      </c>
      <c r="E79" s="2" t="s">
        <v>1841</v>
      </c>
      <c r="F79" s="2">
        <v>4.0961299999999996</v>
      </c>
      <c r="G79" s="2">
        <v>8.3818699999999993</v>
      </c>
      <c r="H79" s="2">
        <v>1.03301</v>
      </c>
      <c r="I79" s="2">
        <v>1</v>
      </c>
      <c r="K79" s="2" t="s">
        <v>1158</v>
      </c>
      <c r="L79" s="2">
        <v>1.4117200000000001</v>
      </c>
    </row>
    <row r="80" spans="1:12" x14ac:dyDescent="0.2">
      <c r="A80" s="2" t="s">
        <v>96</v>
      </c>
      <c r="B80" s="2" t="s">
        <v>3390</v>
      </c>
      <c r="C80" s="2" t="s">
        <v>2649</v>
      </c>
      <c r="D80" s="2" t="s">
        <v>1839</v>
      </c>
      <c r="E80" s="2" t="s">
        <v>1841</v>
      </c>
      <c r="F80" s="2">
        <v>25.674299999999999</v>
      </c>
      <c r="G80" s="2">
        <v>56.570999999999998</v>
      </c>
      <c r="H80" s="2">
        <v>1.13974</v>
      </c>
      <c r="I80" s="2">
        <v>1</v>
      </c>
      <c r="K80" s="2" t="s">
        <v>97</v>
      </c>
      <c r="L80" s="2">
        <v>-1.25474</v>
      </c>
    </row>
    <row r="81" spans="1:12" x14ac:dyDescent="0.2">
      <c r="A81" s="2" t="s">
        <v>1503</v>
      </c>
      <c r="B81" s="2" t="s">
        <v>3015</v>
      </c>
      <c r="C81" s="2" t="s">
        <v>3015</v>
      </c>
      <c r="D81" s="2" t="s">
        <v>1839</v>
      </c>
      <c r="E81" s="2" t="s">
        <v>1841</v>
      </c>
      <c r="F81" s="2">
        <v>1.95966</v>
      </c>
      <c r="G81" s="2">
        <v>0.74936199999999997</v>
      </c>
      <c r="H81" s="2">
        <v>-1.38687</v>
      </c>
      <c r="I81" s="2">
        <v>1</v>
      </c>
      <c r="K81" s="2" t="s">
        <v>98</v>
      </c>
      <c r="L81" s="2">
        <v>1.52037</v>
      </c>
    </row>
    <row r="82" spans="1:12" x14ac:dyDescent="0.2">
      <c r="A82" s="2" t="s">
        <v>1158</v>
      </c>
      <c r="B82" s="2" t="s">
        <v>3391</v>
      </c>
      <c r="C82" s="2" t="s">
        <v>2650</v>
      </c>
      <c r="D82" s="2" t="s">
        <v>1839</v>
      </c>
      <c r="E82" s="2" t="s">
        <v>1841</v>
      </c>
      <c r="F82" s="2">
        <v>7.3723299999999998</v>
      </c>
      <c r="G82" s="2">
        <v>19.6144</v>
      </c>
      <c r="H82" s="2">
        <v>1.4117200000000001</v>
      </c>
      <c r="I82" s="2">
        <v>1</v>
      </c>
      <c r="K82" s="2" t="s">
        <v>1504</v>
      </c>
      <c r="L82" s="2">
        <v>1.1090599999999999</v>
      </c>
    </row>
    <row r="83" spans="1:12" x14ac:dyDescent="0.2">
      <c r="A83" s="2" t="s">
        <v>97</v>
      </c>
      <c r="B83" s="2" t="s">
        <v>3392</v>
      </c>
      <c r="C83" s="2" t="s">
        <v>2651</v>
      </c>
      <c r="D83" s="2" t="s">
        <v>1839</v>
      </c>
      <c r="E83" s="2" t="s">
        <v>1841</v>
      </c>
      <c r="F83" s="2">
        <v>57.593000000000004</v>
      </c>
      <c r="G83" s="2">
        <v>24.135400000000001</v>
      </c>
      <c r="H83" s="2">
        <v>-1.25474</v>
      </c>
      <c r="I83" s="2">
        <v>1</v>
      </c>
      <c r="K83" s="2" t="s">
        <v>100</v>
      </c>
      <c r="L83" s="2">
        <v>1.13635</v>
      </c>
    </row>
    <row r="84" spans="1:12" x14ac:dyDescent="0.2">
      <c r="A84" s="2" t="s">
        <v>98</v>
      </c>
      <c r="B84" s="2" t="s">
        <v>3045</v>
      </c>
      <c r="C84" s="2" t="s">
        <v>1875</v>
      </c>
      <c r="D84" s="2" t="s">
        <v>1839</v>
      </c>
      <c r="E84" s="2" t="s">
        <v>1841</v>
      </c>
      <c r="F84" s="2">
        <v>0.44071100000000002</v>
      </c>
      <c r="G84" s="2">
        <v>1.2642500000000001</v>
      </c>
      <c r="H84" s="2">
        <v>1.52037</v>
      </c>
      <c r="I84" s="2">
        <v>1</v>
      </c>
      <c r="K84" s="2" t="s">
        <v>101</v>
      </c>
      <c r="L84" s="2">
        <v>-1.0666800000000001</v>
      </c>
    </row>
    <row r="85" spans="1:12" x14ac:dyDescent="0.2">
      <c r="A85" s="2" t="s">
        <v>1504</v>
      </c>
      <c r="B85" s="2" t="s">
        <v>3015</v>
      </c>
      <c r="C85" s="2" t="s">
        <v>2652</v>
      </c>
      <c r="D85" s="2" t="s">
        <v>1839</v>
      </c>
      <c r="E85" s="2" t="s">
        <v>1841</v>
      </c>
      <c r="F85" s="2">
        <v>2.3792</v>
      </c>
      <c r="G85" s="2">
        <v>5.1320600000000001</v>
      </c>
      <c r="H85" s="2">
        <v>1.1090599999999999</v>
      </c>
      <c r="I85" s="2">
        <v>1</v>
      </c>
      <c r="K85" s="2" t="s">
        <v>103</v>
      </c>
      <c r="L85" s="2">
        <v>2.4703200000000001</v>
      </c>
    </row>
    <row r="86" spans="1:12" x14ac:dyDescent="0.2">
      <c r="A86" s="2" t="s">
        <v>100</v>
      </c>
      <c r="B86" s="2" t="s">
        <v>3393</v>
      </c>
      <c r="C86" s="2" t="s">
        <v>2653</v>
      </c>
      <c r="D86" s="2" t="s">
        <v>1839</v>
      </c>
      <c r="E86" s="2" t="s">
        <v>1841</v>
      </c>
      <c r="F86" s="2">
        <v>0.52422000000000002</v>
      </c>
      <c r="G86" s="2">
        <v>1.1523600000000001</v>
      </c>
      <c r="H86" s="2">
        <v>1.13635</v>
      </c>
      <c r="I86" s="2">
        <v>1</v>
      </c>
      <c r="K86" s="2" t="s">
        <v>104</v>
      </c>
      <c r="L86" s="2">
        <v>1.37713</v>
      </c>
    </row>
    <row r="87" spans="1:12" x14ac:dyDescent="0.2">
      <c r="A87" s="2" t="s">
        <v>101</v>
      </c>
      <c r="B87" s="2" t="s">
        <v>3015</v>
      </c>
      <c r="C87" s="2" t="s">
        <v>2654</v>
      </c>
      <c r="D87" s="2" t="s">
        <v>1839</v>
      </c>
      <c r="E87" s="2" t="s">
        <v>1841</v>
      </c>
      <c r="F87" s="2">
        <v>2.2459600000000002</v>
      </c>
      <c r="G87" s="2">
        <v>1.07226</v>
      </c>
      <c r="H87" s="2">
        <v>-1.0666800000000001</v>
      </c>
      <c r="I87" s="2">
        <v>1</v>
      </c>
      <c r="K87" s="2" t="s">
        <v>106</v>
      </c>
      <c r="L87" s="2">
        <v>1.2430000000000001</v>
      </c>
    </row>
    <row r="88" spans="1:12" x14ac:dyDescent="0.2">
      <c r="A88" s="2" t="s">
        <v>103</v>
      </c>
      <c r="B88" s="2" t="s">
        <v>3015</v>
      </c>
      <c r="C88" s="2" t="s">
        <v>1887</v>
      </c>
      <c r="D88" s="2" t="s">
        <v>1839</v>
      </c>
      <c r="E88" s="2" t="s">
        <v>1841</v>
      </c>
      <c r="F88" s="2">
        <v>0.67612799999999995</v>
      </c>
      <c r="G88" s="2">
        <v>3.7468900000000001</v>
      </c>
      <c r="H88" s="2">
        <v>2.4703200000000001</v>
      </c>
      <c r="I88" s="2">
        <v>1</v>
      </c>
      <c r="K88" s="2" t="s">
        <v>1505</v>
      </c>
      <c r="L88" s="2">
        <v>2.0704699999999998</v>
      </c>
    </row>
    <row r="89" spans="1:12" x14ac:dyDescent="0.2">
      <c r="A89" s="2" t="s">
        <v>104</v>
      </c>
      <c r="B89" s="2" t="s">
        <v>3015</v>
      </c>
      <c r="C89" s="2" t="s">
        <v>1847</v>
      </c>
      <c r="D89" s="2" t="s">
        <v>1839</v>
      </c>
      <c r="E89" s="2" t="s">
        <v>1841</v>
      </c>
      <c r="F89" s="2">
        <v>1.7171799999999999</v>
      </c>
      <c r="G89" s="2">
        <v>4.4603799999999998</v>
      </c>
      <c r="H89" s="2">
        <v>1.37713</v>
      </c>
      <c r="I89" s="2">
        <v>1</v>
      </c>
      <c r="K89" s="2" t="s">
        <v>1506</v>
      </c>
      <c r="L89" s="2">
        <v>1.2410000000000001</v>
      </c>
    </row>
    <row r="90" spans="1:12" x14ac:dyDescent="0.2">
      <c r="A90" s="2" t="s">
        <v>106</v>
      </c>
      <c r="B90" s="2" t="s">
        <v>3015</v>
      </c>
      <c r="C90" s="2" t="s">
        <v>2393</v>
      </c>
      <c r="D90" s="2" t="s">
        <v>1839</v>
      </c>
      <c r="E90" s="2" t="s">
        <v>1841</v>
      </c>
      <c r="F90" s="2">
        <v>7.6625800000000002</v>
      </c>
      <c r="G90" s="2">
        <v>18.136500000000002</v>
      </c>
      <c r="H90" s="2">
        <v>1.2430000000000001</v>
      </c>
      <c r="I90" s="2">
        <v>1</v>
      </c>
      <c r="K90" s="2" t="s">
        <v>109</v>
      </c>
      <c r="L90" s="2">
        <v>1.53027</v>
      </c>
    </row>
    <row r="91" spans="1:12" x14ac:dyDescent="0.2">
      <c r="A91" s="2" t="s">
        <v>1505</v>
      </c>
      <c r="B91" s="2" t="s">
        <v>3015</v>
      </c>
      <c r="C91" s="2" t="s">
        <v>2655</v>
      </c>
      <c r="D91" s="2" t="s">
        <v>1839</v>
      </c>
      <c r="E91" s="2" t="s">
        <v>1841</v>
      </c>
      <c r="F91" s="2">
        <v>0.189944</v>
      </c>
      <c r="G91" s="2">
        <v>0.79780700000000004</v>
      </c>
      <c r="H91" s="2">
        <v>2.0704699999999998</v>
      </c>
      <c r="I91" s="2">
        <v>1</v>
      </c>
      <c r="K91" s="2" t="s">
        <v>110</v>
      </c>
      <c r="L91" s="2">
        <v>1.03973</v>
      </c>
    </row>
    <row r="92" spans="1:12" x14ac:dyDescent="0.2">
      <c r="A92" s="2" t="s">
        <v>1506</v>
      </c>
      <c r="B92" s="2" t="s">
        <v>3015</v>
      </c>
      <c r="C92" s="2" t="s">
        <v>3015</v>
      </c>
      <c r="D92" s="2" t="s">
        <v>1839</v>
      </c>
      <c r="E92" s="2" t="s">
        <v>1841</v>
      </c>
      <c r="F92" s="2">
        <v>1.07138</v>
      </c>
      <c r="G92" s="2">
        <v>2.53234</v>
      </c>
      <c r="H92" s="2">
        <v>1.2410000000000001</v>
      </c>
      <c r="I92" s="2">
        <v>1</v>
      </c>
      <c r="K92" s="2" t="s">
        <v>1162</v>
      </c>
      <c r="L92" s="2">
        <v>1.2374000000000001</v>
      </c>
    </row>
    <row r="93" spans="1:12" x14ac:dyDescent="0.2">
      <c r="A93" s="2" t="s">
        <v>109</v>
      </c>
      <c r="B93" s="2" t="s">
        <v>3394</v>
      </c>
      <c r="C93" s="2" t="s">
        <v>2656</v>
      </c>
      <c r="D93" s="2" t="s">
        <v>1839</v>
      </c>
      <c r="E93" s="2" t="s">
        <v>1841</v>
      </c>
      <c r="F93" s="2">
        <v>31.8279</v>
      </c>
      <c r="G93" s="2">
        <v>91.931899999999999</v>
      </c>
      <c r="H93" s="2">
        <v>1.53027</v>
      </c>
      <c r="I93" s="2">
        <v>1</v>
      </c>
      <c r="K93" s="2" t="s">
        <v>111</v>
      </c>
      <c r="L93" s="2">
        <v>1.14557</v>
      </c>
    </row>
    <row r="94" spans="1:12" x14ac:dyDescent="0.2">
      <c r="A94" s="2" t="s">
        <v>110</v>
      </c>
      <c r="B94" s="2" t="s">
        <v>3391</v>
      </c>
      <c r="C94" s="2" t="s">
        <v>2657</v>
      </c>
      <c r="D94" s="2" t="s">
        <v>1839</v>
      </c>
      <c r="E94" s="2" t="s">
        <v>1841</v>
      </c>
      <c r="F94" s="2">
        <v>2.4366300000000001</v>
      </c>
      <c r="G94" s="2">
        <v>5.0093300000000003</v>
      </c>
      <c r="H94" s="2">
        <v>1.03973</v>
      </c>
      <c r="I94" s="2">
        <v>1</v>
      </c>
      <c r="K94" s="2" t="s">
        <v>112</v>
      </c>
      <c r="L94" s="2">
        <v>-1.29481</v>
      </c>
    </row>
    <row r="95" spans="1:12" x14ac:dyDescent="0.2">
      <c r="A95" s="2" t="s">
        <v>1162</v>
      </c>
      <c r="B95" s="2" t="s">
        <v>3126</v>
      </c>
      <c r="C95" s="2" t="s">
        <v>2011</v>
      </c>
      <c r="D95" s="2" t="s">
        <v>1839</v>
      </c>
      <c r="E95" s="2" t="s">
        <v>1841</v>
      </c>
      <c r="F95" s="2">
        <v>0.436892</v>
      </c>
      <c r="G95" s="2">
        <v>1.03007</v>
      </c>
      <c r="H95" s="2">
        <v>1.2374000000000001</v>
      </c>
      <c r="I95" s="2">
        <v>1</v>
      </c>
      <c r="K95" s="2" t="s">
        <v>1166</v>
      </c>
      <c r="L95" s="2">
        <v>1.0124299999999999</v>
      </c>
    </row>
    <row r="96" spans="1:12" x14ac:dyDescent="0.2">
      <c r="A96" s="2" t="s">
        <v>111</v>
      </c>
      <c r="B96" s="2" t="s">
        <v>3015</v>
      </c>
      <c r="C96" s="2" t="s">
        <v>2658</v>
      </c>
      <c r="D96" s="2" t="s">
        <v>1839</v>
      </c>
      <c r="E96" s="2" t="s">
        <v>1841</v>
      </c>
      <c r="F96" s="2">
        <v>9.8488500000000005</v>
      </c>
      <c r="G96" s="2">
        <v>21.789000000000001</v>
      </c>
      <c r="H96" s="2">
        <v>1.14557</v>
      </c>
      <c r="I96" s="2">
        <v>1</v>
      </c>
      <c r="K96" s="2" t="s">
        <v>116</v>
      </c>
      <c r="L96" s="2">
        <v>1.1999</v>
      </c>
    </row>
    <row r="97" spans="1:12" x14ac:dyDescent="0.2">
      <c r="A97" s="2" t="s">
        <v>112</v>
      </c>
      <c r="B97" s="2" t="s">
        <v>3015</v>
      </c>
      <c r="C97" s="2" t="s">
        <v>1890</v>
      </c>
      <c r="D97" s="2" t="s">
        <v>1839</v>
      </c>
      <c r="E97" s="2" t="s">
        <v>1841</v>
      </c>
      <c r="F97" s="2">
        <v>2.76356</v>
      </c>
      <c r="G97" s="2">
        <v>1.1264000000000001</v>
      </c>
      <c r="H97" s="2">
        <v>-1.29481</v>
      </c>
      <c r="I97" s="2">
        <v>1</v>
      </c>
      <c r="K97" s="2" t="s">
        <v>117</v>
      </c>
      <c r="L97" s="2">
        <v>-1.2524900000000001</v>
      </c>
    </row>
    <row r="98" spans="1:12" x14ac:dyDescent="0.2">
      <c r="A98" s="2" t="s">
        <v>1166</v>
      </c>
      <c r="B98" s="2" t="s">
        <v>3015</v>
      </c>
      <c r="C98" s="2" t="s">
        <v>2659</v>
      </c>
      <c r="D98" s="2" t="s">
        <v>1839</v>
      </c>
      <c r="E98" s="2" t="s">
        <v>1841</v>
      </c>
      <c r="F98" s="2">
        <v>1.1134500000000001</v>
      </c>
      <c r="G98" s="2">
        <v>2.2461700000000002</v>
      </c>
      <c r="H98" s="2">
        <v>1.0124299999999999</v>
      </c>
      <c r="I98" s="2">
        <v>1</v>
      </c>
      <c r="K98" s="2" t="s">
        <v>1507</v>
      </c>
      <c r="L98" s="2">
        <v>1.2510399999999999</v>
      </c>
    </row>
    <row r="99" spans="1:12" x14ac:dyDescent="0.2">
      <c r="A99" s="2" t="s">
        <v>116</v>
      </c>
      <c r="B99" s="2" t="s">
        <v>3395</v>
      </c>
      <c r="C99" s="2" t="s">
        <v>2660</v>
      </c>
      <c r="D99" s="2" t="s">
        <v>1839</v>
      </c>
      <c r="E99" s="2" t="s">
        <v>1841</v>
      </c>
      <c r="F99" s="2">
        <v>2.3894500000000001</v>
      </c>
      <c r="G99" s="2">
        <v>5.4891100000000002</v>
      </c>
      <c r="H99" s="2">
        <v>1.1999</v>
      </c>
      <c r="I99" s="2">
        <v>1</v>
      </c>
      <c r="K99" s="2" t="s">
        <v>1508</v>
      </c>
      <c r="L99" s="2">
        <v>-1.30203</v>
      </c>
    </row>
    <row r="100" spans="1:12" x14ac:dyDescent="0.2">
      <c r="A100" s="2" t="s">
        <v>117</v>
      </c>
      <c r="B100" s="2" t="s">
        <v>3054</v>
      </c>
      <c r="C100" s="2" t="s">
        <v>1894</v>
      </c>
      <c r="D100" s="2" t="s">
        <v>1839</v>
      </c>
      <c r="E100" s="2" t="s">
        <v>1841</v>
      </c>
      <c r="F100" s="2">
        <v>3.3054600000000001</v>
      </c>
      <c r="G100" s="2">
        <v>1.3873800000000001</v>
      </c>
      <c r="H100" s="2">
        <v>-1.2524900000000001</v>
      </c>
      <c r="I100" s="2">
        <v>1</v>
      </c>
      <c r="K100" s="2" t="s">
        <v>1509</v>
      </c>
      <c r="L100" s="2">
        <v>1.7826900000000001</v>
      </c>
    </row>
    <row r="101" spans="1:12" x14ac:dyDescent="0.2">
      <c r="A101" s="2" t="s">
        <v>1507</v>
      </c>
      <c r="B101" s="2" t="s">
        <v>3256</v>
      </c>
      <c r="C101" s="2" t="s">
        <v>2661</v>
      </c>
      <c r="D101" s="2" t="s">
        <v>1839</v>
      </c>
      <c r="E101" s="2" t="s">
        <v>1841</v>
      </c>
      <c r="F101" s="2">
        <v>0.60361100000000001</v>
      </c>
      <c r="G101" s="2">
        <v>1.43668</v>
      </c>
      <c r="H101" s="2">
        <v>1.2510399999999999</v>
      </c>
      <c r="I101" s="2">
        <v>1</v>
      </c>
      <c r="K101" s="2" t="s">
        <v>1168</v>
      </c>
      <c r="L101" s="2">
        <v>-1.2523500000000001</v>
      </c>
    </row>
    <row r="102" spans="1:12" x14ac:dyDescent="0.2">
      <c r="A102" s="2" t="s">
        <v>1508</v>
      </c>
      <c r="B102" s="2" t="s">
        <v>3015</v>
      </c>
      <c r="C102" s="2" t="s">
        <v>3015</v>
      </c>
      <c r="D102" s="2" t="s">
        <v>1839</v>
      </c>
      <c r="E102" s="2" t="s">
        <v>1841</v>
      </c>
      <c r="F102" s="2">
        <v>2.8146599999999999</v>
      </c>
      <c r="G102" s="2">
        <v>1.1415</v>
      </c>
      <c r="H102" s="2">
        <v>-1.30203</v>
      </c>
      <c r="I102" s="2">
        <v>1</v>
      </c>
      <c r="K102" s="2" t="s">
        <v>122</v>
      </c>
      <c r="L102" s="2">
        <v>-1.587</v>
      </c>
    </row>
    <row r="103" spans="1:12" x14ac:dyDescent="0.2">
      <c r="A103" s="2" t="s">
        <v>1509</v>
      </c>
      <c r="B103" s="2" t="s">
        <v>3396</v>
      </c>
      <c r="C103" s="2" t="s">
        <v>2662</v>
      </c>
      <c r="D103" s="2" t="s">
        <v>1839</v>
      </c>
      <c r="E103" s="2" t="s">
        <v>1841</v>
      </c>
      <c r="F103" s="2">
        <v>0.58434699999999995</v>
      </c>
      <c r="G103" s="2">
        <v>2.0105499999999998</v>
      </c>
      <c r="H103" s="2">
        <v>1.7826900000000001</v>
      </c>
      <c r="I103" s="2">
        <v>1</v>
      </c>
      <c r="K103" s="2" t="s">
        <v>1510</v>
      </c>
      <c r="L103" s="2">
        <v>-1.01857</v>
      </c>
    </row>
    <row r="104" spans="1:12" x14ac:dyDescent="0.2">
      <c r="A104" s="2" t="s">
        <v>1168</v>
      </c>
      <c r="B104" s="2" t="s">
        <v>3015</v>
      </c>
      <c r="C104" s="2" t="s">
        <v>2663</v>
      </c>
      <c r="D104" s="2" t="s">
        <v>1839</v>
      </c>
      <c r="E104" s="2" t="s">
        <v>1841</v>
      </c>
      <c r="F104" s="2">
        <v>2.5672899999999998</v>
      </c>
      <c r="G104" s="2">
        <v>1.07765</v>
      </c>
      <c r="H104" s="2">
        <v>-1.2523500000000001</v>
      </c>
      <c r="I104" s="2">
        <v>1</v>
      </c>
      <c r="K104" s="2" t="s">
        <v>1511</v>
      </c>
      <c r="L104" s="2">
        <v>1.0689500000000001</v>
      </c>
    </row>
    <row r="105" spans="1:12" x14ac:dyDescent="0.2">
      <c r="A105" s="2" t="s">
        <v>122</v>
      </c>
      <c r="B105" s="2" t="s">
        <v>3015</v>
      </c>
      <c r="C105" s="2" t="s">
        <v>1898</v>
      </c>
      <c r="D105" s="2" t="s">
        <v>1839</v>
      </c>
      <c r="E105" s="2" t="s">
        <v>1841</v>
      </c>
      <c r="F105" s="2">
        <v>6.0011000000000001</v>
      </c>
      <c r="G105" s="2">
        <v>1.9975499999999999</v>
      </c>
      <c r="H105" s="2">
        <v>-1.587</v>
      </c>
      <c r="I105" s="2">
        <v>1</v>
      </c>
      <c r="K105" s="2" t="s">
        <v>125</v>
      </c>
      <c r="L105" s="2">
        <v>1.7604500000000001</v>
      </c>
    </row>
    <row r="106" spans="1:12" x14ac:dyDescent="0.2">
      <c r="A106" s="2" t="s">
        <v>1510</v>
      </c>
      <c r="B106" s="2" t="s">
        <v>3015</v>
      </c>
      <c r="C106" s="2" t="s">
        <v>3015</v>
      </c>
      <c r="D106" s="2" t="s">
        <v>1839</v>
      </c>
      <c r="E106" s="2" t="s">
        <v>1841</v>
      </c>
      <c r="F106" s="2">
        <v>12.424899999999999</v>
      </c>
      <c r="G106" s="2">
        <v>6.1330200000000001</v>
      </c>
      <c r="H106" s="2">
        <v>-1.01857</v>
      </c>
      <c r="I106" s="2">
        <v>1</v>
      </c>
      <c r="K106" s="2" t="s">
        <v>127</v>
      </c>
      <c r="L106" s="2">
        <v>2.4386899999999998</v>
      </c>
    </row>
    <row r="107" spans="1:12" x14ac:dyDescent="0.2">
      <c r="A107" s="2" t="s">
        <v>1511</v>
      </c>
      <c r="B107" s="2" t="s">
        <v>3287</v>
      </c>
      <c r="C107" s="2" t="s">
        <v>2045</v>
      </c>
      <c r="D107" s="2" t="s">
        <v>1839</v>
      </c>
      <c r="E107" s="2" t="s">
        <v>1841</v>
      </c>
      <c r="F107" s="2">
        <v>1.1180300000000001</v>
      </c>
      <c r="G107" s="2">
        <v>2.34552</v>
      </c>
      <c r="H107" s="2">
        <v>1.0689500000000001</v>
      </c>
      <c r="I107" s="2">
        <v>1</v>
      </c>
      <c r="K107" s="2" t="s">
        <v>128</v>
      </c>
      <c r="L107" s="2">
        <v>1.61392</v>
      </c>
    </row>
    <row r="108" spans="1:12" x14ac:dyDescent="0.2">
      <c r="A108" s="2" t="s">
        <v>125</v>
      </c>
      <c r="B108" s="2" t="s">
        <v>3015</v>
      </c>
      <c r="C108" s="2" t="s">
        <v>2400</v>
      </c>
      <c r="D108" s="2" t="s">
        <v>1839</v>
      </c>
      <c r="E108" s="2" t="s">
        <v>1841</v>
      </c>
      <c r="F108" s="2">
        <v>125.63200000000001</v>
      </c>
      <c r="G108" s="2">
        <v>425.64400000000001</v>
      </c>
      <c r="H108" s="2">
        <v>1.7604500000000001</v>
      </c>
      <c r="I108" s="2">
        <v>1</v>
      </c>
      <c r="K108" s="2" t="s">
        <v>1512</v>
      </c>
      <c r="L108" s="2">
        <v>1.17144</v>
      </c>
    </row>
    <row r="109" spans="1:12" x14ac:dyDescent="0.2">
      <c r="A109" s="2" t="s">
        <v>127</v>
      </c>
      <c r="B109" s="2" t="s">
        <v>3015</v>
      </c>
      <c r="C109" s="2" t="s">
        <v>1902</v>
      </c>
      <c r="D109" s="2" t="s">
        <v>1839</v>
      </c>
      <c r="E109" s="2" t="s">
        <v>1841</v>
      </c>
      <c r="F109" s="2">
        <v>0.425844</v>
      </c>
      <c r="G109" s="2">
        <v>2.30871</v>
      </c>
      <c r="H109" s="2">
        <v>2.4386899999999998</v>
      </c>
      <c r="I109" s="2">
        <v>1</v>
      </c>
      <c r="K109" s="2" t="s">
        <v>130</v>
      </c>
      <c r="L109" s="2">
        <v>-1.4227000000000001</v>
      </c>
    </row>
    <row r="110" spans="1:12" x14ac:dyDescent="0.2">
      <c r="A110" s="2" t="s">
        <v>128</v>
      </c>
      <c r="B110" s="2" t="s">
        <v>3397</v>
      </c>
      <c r="C110" s="2" t="s">
        <v>1902</v>
      </c>
      <c r="D110" s="2" t="s">
        <v>1839</v>
      </c>
      <c r="E110" s="2" t="s">
        <v>1841</v>
      </c>
      <c r="F110" s="2">
        <v>1.1677</v>
      </c>
      <c r="G110" s="2">
        <v>3.5741000000000001</v>
      </c>
      <c r="H110" s="2">
        <v>1.61392</v>
      </c>
      <c r="I110" s="2">
        <v>1</v>
      </c>
      <c r="K110" s="2" t="s">
        <v>131</v>
      </c>
      <c r="L110" s="2">
        <v>-1.0312300000000001</v>
      </c>
    </row>
    <row r="111" spans="1:12" x14ac:dyDescent="0.2">
      <c r="A111" s="2" t="s">
        <v>1512</v>
      </c>
      <c r="B111" s="2" t="s">
        <v>3357</v>
      </c>
      <c r="C111" s="2" t="s">
        <v>2664</v>
      </c>
      <c r="D111" s="2" t="s">
        <v>1839</v>
      </c>
      <c r="E111" s="2" t="s">
        <v>1841</v>
      </c>
      <c r="F111" s="2">
        <v>8.1190700000000007</v>
      </c>
      <c r="G111" s="2">
        <v>18.287099999999999</v>
      </c>
      <c r="H111" s="2">
        <v>1.17144</v>
      </c>
      <c r="I111" s="2">
        <v>1</v>
      </c>
      <c r="K111" s="2" t="s">
        <v>1175</v>
      </c>
      <c r="L111" s="2">
        <v>-1.0928199999999999</v>
      </c>
    </row>
    <row r="112" spans="1:12" x14ac:dyDescent="0.2">
      <c r="A112" s="2" t="s">
        <v>130</v>
      </c>
      <c r="B112" s="2" t="s">
        <v>3015</v>
      </c>
      <c r="C112" s="2" t="s">
        <v>2665</v>
      </c>
      <c r="D112" s="2" t="s">
        <v>1839</v>
      </c>
      <c r="E112" s="2" t="s">
        <v>1841</v>
      </c>
      <c r="F112" s="2">
        <v>6.3401699999999996</v>
      </c>
      <c r="G112" s="2">
        <v>2.36497</v>
      </c>
      <c r="H112" s="2">
        <v>-1.4227000000000001</v>
      </c>
      <c r="I112" s="2">
        <v>1</v>
      </c>
      <c r="K112" s="2" t="s">
        <v>134</v>
      </c>
      <c r="L112" s="2">
        <v>1.44224</v>
      </c>
    </row>
    <row r="113" spans="1:12" x14ac:dyDescent="0.2">
      <c r="A113" s="2" t="s">
        <v>131</v>
      </c>
      <c r="B113" s="2" t="s">
        <v>3049</v>
      </c>
      <c r="C113" s="2" t="s">
        <v>2666</v>
      </c>
      <c r="D113" s="2" t="s">
        <v>1839</v>
      </c>
      <c r="E113" s="2" t="s">
        <v>1841</v>
      </c>
      <c r="F113" s="2">
        <v>10.3287</v>
      </c>
      <c r="G113" s="2">
        <v>5.0537599999999996</v>
      </c>
      <c r="H113" s="2">
        <v>-1.0312300000000001</v>
      </c>
      <c r="I113" s="2">
        <v>1</v>
      </c>
      <c r="K113" s="2" t="s">
        <v>1513</v>
      </c>
      <c r="L113" s="2">
        <v>-1.5496099999999999</v>
      </c>
    </row>
    <row r="114" spans="1:12" x14ac:dyDescent="0.2">
      <c r="A114" s="2" t="s">
        <v>1175</v>
      </c>
      <c r="B114" s="2" t="s">
        <v>3094</v>
      </c>
      <c r="C114" s="2" t="s">
        <v>3015</v>
      </c>
      <c r="D114" s="2" t="s">
        <v>1839</v>
      </c>
      <c r="E114" s="2" t="s">
        <v>1841</v>
      </c>
      <c r="F114" s="2">
        <v>2.5725799999999999</v>
      </c>
      <c r="G114" s="2">
        <v>1.20614</v>
      </c>
      <c r="H114" s="2">
        <v>-1.0928199999999999</v>
      </c>
      <c r="I114" s="2">
        <v>1</v>
      </c>
      <c r="K114" s="2" t="s">
        <v>136</v>
      </c>
      <c r="L114" s="2">
        <v>3.8305899999999999</v>
      </c>
    </row>
    <row r="115" spans="1:12" x14ac:dyDescent="0.2">
      <c r="A115" s="2" t="s">
        <v>134</v>
      </c>
      <c r="B115" s="2" t="s">
        <v>3292</v>
      </c>
      <c r="C115" s="2" t="s">
        <v>2406</v>
      </c>
      <c r="D115" s="2" t="s">
        <v>1839</v>
      </c>
      <c r="E115" s="2" t="s">
        <v>1841</v>
      </c>
      <c r="F115" s="2">
        <v>0.831847</v>
      </c>
      <c r="G115" s="2">
        <v>2.2604799999999998</v>
      </c>
      <c r="H115" s="2">
        <v>1.44224</v>
      </c>
      <c r="I115" s="2">
        <v>1</v>
      </c>
      <c r="K115" s="2" t="s">
        <v>1179</v>
      </c>
      <c r="L115" s="2">
        <v>1.1779200000000001</v>
      </c>
    </row>
    <row r="116" spans="1:12" x14ac:dyDescent="0.2">
      <c r="A116" s="2" t="s">
        <v>1513</v>
      </c>
      <c r="B116" s="2" t="s">
        <v>3015</v>
      </c>
      <c r="C116" s="2" t="s">
        <v>1904</v>
      </c>
      <c r="D116" s="2" t="s">
        <v>1839</v>
      </c>
      <c r="E116" s="2" t="s">
        <v>1841</v>
      </c>
      <c r="F116" s="2">
        <v>2.9752900000000002</v>
      </c>
      <c r="G116" s="2">
        <v>1.01637</v>
      </c>
      <c r="H116" s="2">
        <v>-1.5496099999999999</v>
      </c>
      <c r="I116" s="2">
        <v>1</v>
      </c>
      <c r="K116" s="2" t="s">
        <v>1514</v>
      </c>
      <c r="L116" s="2">
        <v>1.4376599999999999</v>
      </c>
    </row>
    <row r="117" spans="1:12" x14ac:dyDescent="0.2">
      <c r="A117" s="2" t="s">
        <v>136</v>
      </c>
      <c r="B117" s="2" t="s">
        <v>3037</v>
      </c>
      <c r="C117" s="2" t="s">
        <v>2232</v>
      </c>
      <c r="D117" s="2" t="s">
        <v>1839</v>
      </c>
      <c r="E117" s="2" t="s">
        <v>1841</v>
      </c>
      <c r="F117" s="2">
        <v>0.93967500000000004</v>
      </c>
      <c r="G117" s="2">
        <v>13.369</v>
      </c>
      <c r="H117" s="2">
        <v>3.8305899999999999</v>
      </c>
      <c r="I117" s="2">
        <v>1</v>
      </c>
      <c r="K117" s="2" t="s">
        <v>1515</v>
      </c>
      <c r="L117" s="2">
        <v>1.5013300000000001</v>
      </c>
    </row>
    <row r="118" spans="1:12" x14ac:dyDescent="0.2">
      <c r="A118" s="2" t="s">
        <v>1179</v>
      </c>
      <c r="B118" s="2" t="s">
        <v>3293</v>
      </c>
      <c r="C118" s="2" t="s">
        <v>1847</v>
      </c>
      <c r="D118" s="2" t="s">
        <v>1839</v>
      </c>
      <c r="E118" s="2" t="s">
        <v>1841</v>
      </c>
      <c r="F118" s="2">
        <v>5.3293799999999996</v>
      </c>
      <c r="G118" s="2">
        <v>12.057700000000001</v>
      </c>
      <c r="H118" s="2">
        <v>1.1779200000000001</v>
      </c>
      <c r="I118" s="2">
        <v>1</v>
      </c>
      <c r="K118" s="2" t="s">
        <v>1516</v>
      </c>
      <c r="L118" s="2">
        <v>-1.7899499999999999</v>
      </c>
    </row>
    <row r="119" spans="1:12" x14ac:dyDescent="0.2">
      <c r="A119" s="2" t="s">
        <v>1514</v>
      </c>
      <c r="B119" s="2" t="s">
        <v>3015</v>
      </c>
      <c r="C119" s="2" t="s">
        <v>2504</v>
      </c>
      <c r="D119" s="2" t="s">
        <v>1839</v>
      </c>
      <c r="E119" s="2" t="s">
        <v>1841</v>
      </c>
      <c r="F119" s="2">
        <v>0.301068</v>
      </c>
      <c r="G119" s="2">
        <v>0.81553600000000004</v>
      </c>
      <c r="H119" s="2">
        <v>1.4376599999999999</v>
      </c>
      <c r="I119" s="2">
        <v>1</v>
      </c>
      <c r="K119" s="2" t="s">
        <v>143</v>
      </c>
      <c r="L119" s="2">
        <v>2.46597</v>
      </c>
    </row>
    <row r="120" spans="1:12" x14ac:dyDescent="0.2">
      <c r="A120" s="2" t="s">
        <v>1515</v>
      </c>
      <c r="B120" s="2" t="s">
        <v>3015</v>
      </c>
      <c r="C120" s="2" t="s">
        <v>2667</v>
      </c>
      <c r="D120" s="2" t="s">
        <v>1839</v>
      </c>
      <c r="E120" s="2" t="s">
        <v>1841</v>
      </c>
      <c r="F120" s="2">
        <v>2.4035199999999999</v>
      </c>
      <c r="G120" s="2">
        <v>6.8044500000000001</v>
      </c>
      <c r="H120" s="2">
        <v>1.5013300000000001</v>
      </c>
      <c r="I120" s="2">
        <v>1</v>
      </c>
      <c r="K120" s="2" t="s">
        <v>147</v>
      </c>
      <c r="L120" s="2">
        <v>1.04634</v>
      </c>
    </row>
    <row r="121" spans="1:12" x14ac:dyDescent="0.2">
      <c r="A121" s="2" t="s">
        <v>1516</v>
      </c>
      <c r="B121" s="2" t="s">
        <v>3049</v>
      </c>
      <c r="C121" s="2" t="s">
        <v>1847</v>
      </c>
      <c r="D121" s="2" t="s">
        <v>1839</v>
      </c>
      <c r="E121" s="2" t="s">
        <v>1841</v>
      </c>
      <c r="F121" s="2">
        <v>4.2119200000000001</v>
      </c>
      <c r="G121" s="2">
        <v>1.21801</v>
      </c>
      <c r="H121" s="2">
        <v>-1.7899499999999999</v>
      </c>
      <c r="I121" s="2">
        <v>1</v>
      </c>
      <c r="K121" s="2" t="s">
        <v>1181</v>
      </c>
      <c r="L121" s="2">
        <v>1.1735500000000001</v>
      </c>
    </row>
    <row r="122" spans="1:12" x14ac:dyDescent="0.2">
      <c r="A122" s="2" t="s">
        <v>143</v>
      </c>
      <c r="B122" s="2" t="s">
        <v>3294</v>
      </c>
      <c r="C122" s="2" t="s">
        <v>2407</v>
      </c>
      <c r="D122" s="2" t="s">
        <v>1839</v>
      </c>
      <c r="E122" s="2" t="s">
        <v>1841</v>
      </c>
      <c r="F122" s="2">
        <v>1.6326099999999999</v>
      </c>
      <c r="G122" s="2">
        <v>9.0201600000000006</v>
      </c>
      <c r="H122" s="2">
        <v>2.46597</v>
      </c>
      <c r="I122" s="2">
        <v>1</v>
      </c>
      <c r="K122" s="2" t="s">
        <v>149</v>
      </c>
      <c r="L122" s="2">
        <v>1.00251</v>
      </c>
    </row>
    <row r="123" spans="1:12" x14ac:dyDescent="0.2">
      <c r="A123" s="2" t="s">
        <v>147</v>
      </c>
      <c r="B123" s="2" t="s">
        <v>3061</v>
      </c>
      <c r="C123" s="2" t="s">
        <v>1912</v>
      </c>
      <c r="D123" s="2" t="s">
        <v>1839</v>
      </c>
      <c r="E123" s="2" t="s">
        <v>1841</v>
      </c>
      <c r="F123" s="2">
        <v>4.58291</v>
      </c>
      <c r="G123" s="2">
        <v>9.4649800000000006</v>
      </c>
      <c r="H123" s="2">
        <v>1.04634</v>
      </c>
      <c r="I123" s="2">
        <v>1</v>
      </c>
      <c r="K123" s="2" t="s">
        <v>1182</v>
      </c>
      <c r="L123" s="2">
        <v>1.5697000000000001</v>
      </c>
    </row>
    <row r="124" spans="1:12" x14ac:dyDescent="0.2">
      <c r="A124" s="2" t="s">
        <v>1181</v>
      </c>
      <c r="B124" s="2" t="s">
        <v>3398</v>
      </c>
      <c r="C124" s="2" t="s">
        <v>2668</v>
      </c>
      <c r="D124" s="2" t="s">
        <v>1839</v>
      </c>
      <c r="E124" s="2" t="s">
        <v>1841</v>
      </c>
      <c r="F124" s="2">
        <v>10.0108</v>
      </c>
      <c r="G124" s="2">
        <v>22.5809</v>
      </c>
      <c r="H124" s="2">
        <v>1.1735500000000001</v>
      </c>
      <c r="I124" s="2">
        <v>1</v>
      </c>
      <c r="K124" s="2" t="s">
        <v>150</v>
      </c>
      <c r="L124" s="2">
        <v>2.47587</v>
      </c>
    </row>
    <row r="125" spans="1:12" x14ac:dyDescent="0.2">
      <c r="A125" s="2" t="s">
        <v>149</v>
      </c>
      <c r="B125" s="2" t="s">
        <v>3015</v>
      </c>
      <c r="C125" s="2" t="s">
        <v>1914</v>
      </c>
      <c r="D125" s="2" t="s">
        <v>1839</v>
      </c>
      <c r="E125" s="2" t="s">
        <v>1841</v>
      </c>
      <c r="F125" s="2">
        <v>1.03277</v>
      </c>
      <c r="G125" s="2">
        <v>2.06914</v>
      </c>
      <c r="H125" s="2">
        <v>1.00251</v>
      </c>
      <c r="I125" s="2">
        <v>1</v>
      </c>
      <c r="K125" s="2" t="s">
        <v>152</v>
      </c>
      <c r="L125" s="2">
        <v>-1.1631100000000001</v>
      </c>
    </row>
    <row r="126" spans="1:12" x14ac:dyDescent="0.2">
      <c r="A126" s="2" t="s">
        <v>1182</v>
      </c>
      <c r="B126" s="2" t="s">
        <v>3295</v>
      </c>
      <c r="C126" s="2" t="s">
        <v>2409</v>
      </c>
      <c r="D126" s="2" t="s">
        <v>1839</v>
      </c>
      <c r="E126" s="2" t="s">
        <v>1841</v>
      </c>
      <c r="F126" s="2">
        <v>1.20204</v>
      </c>
      <c r="G126" s="2">
        <v>3.56819</v>
      </c>
      <c r="H126" s="2">
        <v>1.5697000000000001</v>
      </c>
      <c r="I126" s="2">
        <v>1</v>
      </c>
      <c r="K126" s="2" t="s">
        <v>155</v>
      </c>
      <c r="L126" s="2">
        <v>1.9623299999999999</v>
      </c>
    </row>
    <row r="127" spans="1:12" x14ac:dyDescent="0.2">
      <c r="A127" s="2" t="s">
        <v>150</v>
      </c>
      <c r="B127" s="2" t="s">
        <v>3015</v>
      </c>
      <c r="C127" s="2" t="s">
        <v>2409</v>
      </c>
      <c r="D127" s="2" t="s">
        <v>1839</v>
      </c>
      <c r="E127" s="2" t="s">
        <v>1841</v>
      </c>
      <c r="F127" s="2">
        <v>0.62633300000000003</v>
      </c>
      <c r="G127" s="2">
        <v>3.4843099999999998</v>
      </c>
      <c r="H127" s="2">
        <v>2.47587</v>
      </c>
      <c r="I127" s="2">
        <v>1</v>
      </c>
      <c r="K127" s="2" t="s">
        <v>1184</v>
      </c>
      <c r="L127" s="2">
        <v>1.09294</v>
      </c>
    </row>
    <row r="128" spans="1:12" x14ac:dyDescent="0.2">
      <c r="A128" s="2" t="s">
        <v>152</v>
      </c>
      <c r="B128" s="2" t="s">
        <v>3015</v>
      </c>
      <c r="C128" s="2" t="s">
        <v>3015</v>
      </c>
      <c r="D128" s="2" t="s">
        <v>1839</v>
      </c>
      <c r="E128" s="2" t="s">
        <v>1841</v>
      </c>
      <c r="F128" s="2">
        <v>1.4691000000000001</v>
      </c>
      <c r="G128" s="2">
        <v>0.65602499999999997</v>
      </c>
      <c r="H128" s="2">
        <v>-1.1631100000000001</v>
      </c>
      <c r="I128" s="2">
        <v>1</v>
      </c>
      <c r="K128" s="2" t="s">
        <v>160</v>
      </c>
      <c r="L128" s="2">
        <v>2.06697</v>
      </c>
    </row>
    <row r="129" spans="1:12" x14ac:dyDescent="0.2">
      <c r="A129" s="2" t="s">
        <v>155</v>
      </c>
      <c r="B129" s="2" t="s">
        <v>3100</v>
      </c>
      <c r="C129" s="2" t="s">
        <v>1847</v>
      </c>
      <c r="D129" s="2" t="s">
        <v>1839</v>
      </c>
      <c r="E129" s="2" t="s">
        <v>1841</v>
      </c>
      <c r="F129" s="2">
        <v>0.646173</v>
      </c>
      <c r="G129" s="2">
        <v>2.5180699999999998</v>
      </c>
      <c r="H129" s="2">
        <v>1.9623299999999999</v>
      </c>
      <c r="I129" s="2">
        <v>1</v>
      </c>
      <c r="K129" s="2" t="s">
        <v>162</v>
      </c>
      <c r="L129" s="2">
        <v>1.25166</v>
      </c>
    </row>
    <row r="130" spans="1:12" x14ac:dyDescent="0.2">
      <c r="A130" s="2" t="s">
        <v>1184</v>
      </c>
      <c r="B130" s="2" t="s">
        <v>3215</v>
      </c>
      <c r="C130" s="2" t="s">
        <v>2669</v>
      </c>
      <c r="D130" s="2" t="s">
        <v>1839</v>
      </c>
      <c r="E130" s="2" t="s">
        <v>1841</v>
      </c>
      <c r="F130" s="2">
        <v>1.34727</v>
      </c>
      <c r="G130" s="2">
        <v>2.87384</v>
      </c>
      <c r="H130" s="2">
        <v>1.09294</v>
      </c>
      <c r="I130" s="2">
        <v>1</v>
      </c>
      <c r="K130" s="2" t="s">
        <v>164</v>
      </c>
      <c r="L130" s="2">
        <v>1.2359899999999999</v>
      </c>
    </row>
    <row r="131" spans="1:12" x14ac:dyDescent="0.2">
      <c r="A131" s="2" t="s">
        <v>1517</v>
      </c>
      <c r="B131" s="2" t="s">
        <v>3209</v>
      </c>
      <c r="C131" s="2" t="s">
        <v>2670</v>
      </c>
      <c r="D131" s="2" t="s">
        <v>1839</v>
      </c>
      <c r="E131" s="2" t="s">
        <v>1841</v>
      </c>
      <c r="F131" s="2">
        <v>0</v>
      </c>
      <c r="G131" s="2">
        <v>2.86138</v>
      </c>
      <c r="H131" s="2" t="s">
        <v>3021</v>
      </c>
      <c r="I131" s="2" t="s">
        <v>3021</v>
      </c>
      <c r="K131" s="2" t="s">
        <v>165</v>
      </c>
      <c r="L131" s="2">
        <v>-1.2284200000000001</v>
      </c>
    </row>
    <row r="132" spans="1:12" x14ac:dyDescent="0.2">
      <c r="A132" s="2" t="s">
        <v>160</v>
      </c>
      <c r="B132" s="2" t="s">
        <v>3209</v>
      </c>
      <c r="C132" s="2" t="s">
        <v>2670</v>
      </c>
      <c r="D132" s="2" t="s">
        <v>1839</v>
      </c>
      <c r="E132" s="2" t="s">
        <v>1841</v>
      </c>
      <c r="F132" s="2">
        <v>0.77662600000000004</v>
      </c>
      <c r="G132" s="2">
        <v>3.2541000000000002</v>
      </c>
      <c r="H132" s="2">
        <v>2.06697</v>
      </c>
      <c r="I132" s="2">
        <v>1</v>
      </c>
      <c r="K132" s="2" t="s">
        <v>166</v>
      </c>
      <c r="L132" s="2">
        <v>1.0358700000000001</v>
      </c>
    </row>
    <row r="133" spans="1:12" x14ac:dyDescent="0.2">
      <c r="A133" s="2" t="s">
        <v>162</v>
      </c>
      <c r="B133" s="2" t="s">
        <v>3066</v>
      </c>
      <c r="C133" s="2" t="s">
        <v>3015</v>
      </c>
      <c r="D133" s="2" t="s">
        <v>1839</v>
      </c>
      <c r="E133" s="2" t="s">
        <v>1841</v>
      </c>
      <c r="F133" s="2">
        <v>2.7787299999999999</v>
      </c>
      <c r="G133" s="2">
        <v>6.6166099999999997</v>
      </c>
      <c r="H133" s="2">
        <v>1.25166</v>
      </c>
      <c r="I133" s="2">
        <v>1</v>
      </c>
      <c r="K133" s="2" t="s">
        <v>168</v>
      </c>
      <c r="L133" s="2">
        <v>-1.3881699999999999</v>
      </c>
    </row>
    <row r="134" spans="1:12" x14ac:dyDescent="0.2">
      <c r="A134" s="2" t="s">
        <v>164</v>
      </c>
      <c r="B134" s="2" t="s">
        <v>3058</v>
      </c>
      <c r="C134" s="2" t="s">
        <v>2671</v>
      </c>
      <c r="D134" s="2" t="s">
        <v>1839</v>
      </c>
      <c r="E134" s="2" t="s">
        <v>1841</v>
      </c>
      <c r="F134" s="2">
        <v>3.81942</v>
      </c>
      <c r="G134" s="2">
        <v>8.9963899999999999</v>
      </c>
      <c r="H134" s="2">
        <v>1.2359899999999999</v>
      </c>
      <c r="I134" s="2">
        <v>1</v>
      </c>
      <c r="K134" s="2" t="s">
        <v>1518</v>
      </c>
      <c r="L134" s="2">
        <v>1.0972200000000001</v>
      </c>
    </row>
    <row r="135" spans="1:12" x14ac:dyDescent="0.2">
      <c r="A135" s="2" t="s">
        <v>165</v>
      </c>
      <c r="B135" s="2" t="s">
        <v>3015</v>
      </c>
      <c r="C135" s="2" t="s">
        <v>1880</v>
      </c>
      <c r="D135" s="2" t="s">
        <v>1839</v>
      </c>
      <c r="E135" s="2" t="s">
        <v>1841</v>
      </c>
      <c r="F135" s="2">
        <v>87.256</v>
      </c>
      <c r="G135" s="2">
        <v>37.2395</v>
      </c>
      <c r="H135" s="2">
        <v>-1.2284200000000001</v>
      </c>
      <c r="I135" s="2">
        <v>1</v>
      </c>
      <c r="K135" s="2" t="s">
        <v>1519</v>
      </c>
      <c r="L135" s="2">
        <v>1.16615</v>
      </c>
    </row>
    <row r="136" spans="1:12" x14ac:dyDescent="0.2">
      <c r="A136" s="2" t="s">
        <v>166</v>
      </c>
      <c r="B136" s="2" t="s">
        <v>3045</v>
      </c>
      <c r="C136" s="2" t="s">
        <v>1923</v>
      </c>
      <c r="D136" s="2" t="s">
        <v>1839</v>
      </c>
      <c r="E136" s="2" t="s">
        <v>1841</v>
      </c>
      <c r="F136" s="2">
        <v>5.8095299999999996</v>
      </c>
      <c r="G136" s="2">
        <v>11.9116</v>
      </c>
      <c r="H136" s="2">
        <v>1.0358700000000001</v>
      </c>
      <c r="I136" s="2">
        <v>1</v>
      </c>
      <c r="K136" s="2" t="s">
        <v>184</v>
      </c>
      <c r="L136" s="2">
        <v>-1.23868</v>
      </c>
    </row>
    <row r="137" spans="1:12" x14ac:dyDescent="0.2">
      <c r="A137" s="2" t="s">
        <v>168</v>
      </c>
      <c r="B137" s="2" t="s">
        <v>3015</v>
      </c>
      <c r="C137" s="2" t="s">
        <v>1862</v>
      </c>
      <c r="D137" s="2" t="s">
        <v>1839</v>
      </c>
      <c r="E137" s="2" t="s">
        <v>1841</v>
      </c>
      <c r="F137" s="2">
        <v>14.712999999999999</v>
      </c>
      <c r="G137" s="2">
        <v>5.6211000000000002</v>
      </c>
      <c r="H137" s="2">
        <v>-1.3881699999999999</v>
      </c>
      <c r="I137" s="2">
        <v>1</v>
      </c>
      <c r="K137" s="2" t="s">
        <v>1520</v>
      </c>
      <c r="L137" s="2">
        <v>1.5757399999999999</v>
      </c>
    </row>
    <row r="138" spans="1:12" x14ac:dyDescent="0.2">
      <c r="A138" s="2" t="s">
        <v>1518</v>
      </c>
      <c r="B138" s="2" t="s">
        <v>3155</v>
      </c>
      <c r="C138" s="2" t="s">
        <v>2672</v>
      </c>
      <c r="D138" s="2" t="s">
        <v>1839</v>
      </c>
      <c r="E138" s="2" t="s">
        <v>1841</v>
      </c>
      <c r="F138" s="2">
        <v>1.00902</v>
      </c>
      <c r="G138" s="2">
        <v>2.1587200000000002</v>
      </c>
      <c r="H138" s="2">
        <v>1.0972200000000001</v>
      </c>
      <c r="I138" s="2">
        <v>1</v>
      </c>
      <c r="K138" s="2" t="s">
        <v>1521</v>
      </c>
      <c r="L138" s="2">
        <v>1.8494299999999999</v>
      </c>
    </row>
    <row r="139" spans="1:12" x14ac:dyDescent="0.2">
      <c r="A139" s="2" t="s">
        <v>1519</v>
      </c>
      <c r="B139" s="2" t="s">
        <v>3015</v>
      </c>
      <c r="C139" s="2" t="s">
        <v>1862</v>
      </c>
      <c r="D139" s="2" t="s">
        <v>1839</v>
      </c>
      <c r="E139" s="2" t="s">
        <v>1841</v>
      </c>
      <c r="F139" s="2">
        <v>0.623367</v>
      </c>
      <c r="G139" s="2">
        <v>1.3989100000000001</v>
      </c>
      <c r="H139" s="2">
        <v>1.16615</v>
      </c>
      <c r="I139" s="2">
        <v>1</v>
      </c>
      <c r="K139" s="2" t="s">
        <v>1522</v>
      </c>
      <c r="L139" s="2">
        <v>1.06999</v>
      </c>
    </row>
    <row r="140" spans="1:12" x14ac:dyDescent="0.2">
      <c r="A140" s="2" t="s">
        <v>184</v>
      </c>
      <c r="B140" s="2" t="s">
        <v>3074</v>
      </c>
      <c r="C140" s="2" t="s">
        <v>1929</v>
      </c>
      <c r="D140" s="2" t="s">
        <v>1839</v>
      </c>
      <c r="E140" s="2" t="s">
        <v>1841</v>
      </c>
      <c r="F140" s="2">
        <v>1.76997</v>
      </c>
      <c r="G140" s="2">
        <v>0.75004400000000004</v>
      </c>
      <c r="H140" s="2">
        <v>-1.23868</v>
      </c>
      <c r="I140" s="2">
        <v>1</v>
      </c>
      <c r="K140" s="2" t="s">
        <v>1523</v>
      </c>
      <c r="L140" s="2">
        <v>-1.03139</v>
      </c>
    </row>
    <row r="141" spans="1:12" x14ac:dyDescent="0.2">
      <c r="A141" s="2" t="s">
        <v>1520</v>
      </c>
      <c r="B141" s="2" t="s">
        <v>3015</v>
      </c>
      <c r="C141" s="2" t="s">
        <v>2673</v>
      </c>
      <c r="D141" s="2" t="s">
        <v>1839</v>
      </c>
      <c r="E141" s="2" t="s">
        <v>1841</v>
      </c>
      <c r="F141" s="2">
        <v>0.39066600000000001</v>
      </c>
      <c r="G141" s="2">
        <v>1.1645300000000001</v>
      </c>
      <c r="H141" s="2">
        <v>1.5757399999999999</v>
      </c>
      <c r="I141" s="2">
        <v>1</v>
      </c>
      <c r="K141" s="2" t="s">
        <v>1524</v>
      </c>
      <c r="L141" s="2">
        <v>-1.03653</v>
      </c>
    </row>
    <row r="142" spans="1:12" x14ac:dyDescent="0.2">
      <c r="A142" s="2" t="s">
        <v>1521</v>
      </c>
      <c r="B142" s="2" t="s">
        <v>3015</v>
      </c>
      <c r="C142" s="2" t="s">
        <v>2674</v>
      </c>
      <c r="D142" s="2" t="s">
        <v>1839</v>
      </c>
      <c r="E142" s="2" t="s">
        <v>1841</v>
      </c>
      <c r="F142" s="2">
        <v>0.435699</v>
      </c>
      <c r="G142" s="2">
        <v>1.5700700000000001</v>
      </c>
      <c r="H142" s="2">
        <v>1.8494299999999999</v>
      </c>
      <c r="I142" s="2">
        <v>1</v>
      </c>
      <c r="K142" s="2" t="s">
        <v>1525</v>
      </c>
      <c r="L142" s="2">
        <v>-1.08639</v>
      </c>
    </row>
    <row r="143" spans="1:12" x14ac:dyDescent="0.2">
      <c r="A143" s="2" t="s">
        <v>1522</v>
      </c>
      <c r="B143" s="2" t="s">
        <v>3015</v>
      </c>
      <c r="C143" s="2" t="s">
        <v>2675</v>
      </c>
      <c r="D143" s="2" t="s">
        <v>1839</v>
      </c>
      <c r="E143" s="2" t="s">
        <v>1841</v>
      </c>
      <c r="F143" s="2">
        <v>4.1999500000000003</v>
      </c>
      <c r="G143" s="2">
        <v>8.8174799999999998</v>
      </c>
      <c r="H143" s="2">
        <v>1.06999</v>
      </c>
      <c r="I143" s="2">
        <v>1</v>
      </c>
      <c r="K143" s="2" t="s">
        <v>188</v>
      </c>
      <c r="L143" s="2">
        <v>1.5707899999999999</v>
      </c>
    </row>
    <row r="144" spans="1:12" x14ac:dyDescent="0.2">
      <c r="A144" s="2" t="s">
        <v>1523</v>
      </c>
      <c r="B144" s="2" t="s">
        <v>3015</v>
      </c>
      <c r="C144" s="2" t="s">
        <v>2676</v>
      </c>
      <c r="D144" s="2" t="s">
        <v>1839</v>
      </c>
      <c r="E144" s="2" t="s">
        <v>1841</v>
      </c>
      <c r="F144" s="2">
        <v>13.2255</v>
      </c>
      <c r="G144" s="2">
        <v>6.4704199999999998</v>
      </c>
      <c r="H144" s="2">
        <v>-1.03139</v>
      </c>
      <c r="I144" s="2">
        <v>1</v>
      </c>
      <c r="K144" s="2" t="s">
        <v>189</v>
      </c>
      <c r="L144" s="2">
        <v>1.0260800000000001</v>
      </c>
    </row>
    <row r="145" spans="1:12" x14ac:dyDescent="0.2">
      <c r="A145" s="2" t="s">
        <v>1524</v>
      </c>
      <c r="B145" s="2" t="s">
        <v>3015</v>
      </c>
      <c r="C145" s="2" t="s">
        <v>3015</v>
      </c>
      <c r="D145" s="2" t="s">
        <v>1839</v>
      </c>
      <c r="E145" s="2" t="s">
        <v>1841</v>
      </c>
      <c r="F145" s="2">
        <v>2.0577700000000001</v>
      </c>
      <c r="G145" s="2">
        <v>1.0031600000000001</v>
      </c>
      <c r="H145" s="2">
        <v>-1.03653</v>
      </c>
      <c r="I145" s="2">
        <v>1</v>
      </c>
      <c r="K145" s="2" t="s">
        <v>1526</v>
      </c>
      <c r="L145" s="2">
        <v>1.03851</v>
      </c>
    </row>
    <row r="146" spans="1:12" x14ac:dyDescent="0.2">
      <c r="A146" s="2" t="s">
        <v>1525</v>
      </c>
      <c r="B146" s="2" t="s">
        <v>3030</v>
      </c>
      <c r="C146" s="2" t="s">
        <v>2129</v>
      </c>
      <c r="D146" s="2" t="s">
        <v>1839</v>
      </c>
      <c r="E146" s="2" t="s">
        <v>1841</v>
      </c>
      <c r="F146" s="2">
        <v>1.4110499999999999</v>
      </c>
      <c r="G146" s="2">
        <v>0.66451899999999997</v>
      </c>
      <c r="H146" s="2">
        <v>-1.08639</v>
      </c>
      <c r="I146" s="2">
        <v>1</v>
      </c>
      <c r="K146" s="2" t="s">
        <v>193</v>
      </c>
      <c r="L146" s="2">
        <v>1.2322200000000001</v>
      </c>
    </row>
    <row r="147" spans="1:12" x14ac:dyDescent="0.2">
      <c r="A147" s="2" t="s">
        <v>188</v>
      </c>
      <c r="B147" s="2" t="s">
        <v>3037</v>
      </c>
      <c r="C147" s="2" t="s">
        <v>2677</v>
      </c>
      <c r="D147" s="2" t="s">
        <v>1839</v>
      </c>
      <c r="E147" s="2" t="s">
        <v>1841</v>
      </c>
      <c r="F147" s="2">
        <v>0.72560400000000003</v>
      </c>
      <c r="G147" s="2">
        <v>2.1555300000000002</v>
      </c>
      <c r="H147" s="2">
        <v>1.5707899999999999</v>
      </c>
      <c r="I147" s="2">
        <v>1</v>
      </c>
      <c r="K147" s="2" t="s">
        <v>1527</v>
      </c>
      <c r="L147" s="2">
        <v>-1.3081799999999999</v>
      </c>
    </row>
    <row r="148" spans="1:12" x14ac:dyDescent="0.2">
      <c r="A148" s="2" t="s">
        <v>189</v>
      </c>
      <c r="B148" s="2" t="s">
        <v>3381</v>
      </c>
      <c r="C148" s="2" t="s">
        <v>2018</v>
      </c>
      <c r="D148" s="2" t="s">
        <v>1839</v>
      </c>
      <c r="E148" s="2" t="s">
        <v>1841</v>
      </c>
      <c r="F148" s="2">
        <v>6.6529100000000003</v>
      </c>
      <c r="G148" s="2">
        <v>13.548500000000001</v>
      </c>
      <c r="H148" s="2">
        <v>1.0260800000000001</v>
      </c>
      <c r="I148" s="2">
        <v>1</v>
      </c>
      <c r="K148" s="2" t="s">
        <v>1193</v>
      </c>
      <c r="L148" s="2">
        <v>1.80907</v>
      </c>
    </row>
    <row r="149" spans="1:12" x14ac:dyDescent="0.2">
      <c r="A149" s="2" t="s">
        <v>1526</v>
      </c>
      <c r="B149" s="2" t="s">
        <v>3015</v>
      </c>
      <c r="C149" s="2" t="s">
        <v>2674</v>
      </c>
      <c r="D149" s="2" t="s">
        <v>1839</v>
      </c>
      <c r="E149" s="2" t="s">
        <v>1841</v>
      </c>
      <c r="F149" s="2">
        <v>2.10764</v>
      </c>
      <c r="G149" s="2">
        <v>4.3293299999999997</v>
      </c>
      <c r="H149" s="2">
        <v>1.03851</v>
      </c>
      <c r="I149" s="2">
        <v>1</v>
      </c>
      <c r="K149" s="2" t="s">
        <v>1194</v>
      </c>
      <c r="L149" s="2">
        <v>1.66903</v>
      </c>
    </row>
    <row r="150" spans="1:12" x14ac:dyDescent="0.2">
      <c r="A150" s="2" t="s">
        <v>193</v>
      </c>
      <c r="B150" s="2" t="s">
        <v>3103</v>
      </c>
      <c r="C150" s="2" t="s">
        <v>2678</v>
      </c>
      <c r="D150" s="2" t="s">
        <v>1839</v>
      </c>
      <c r="E150" s="2" t="s">
        <v>1841</v>
      </c>
      <c r="F150" s="2">
        <v>1.0705899999999999</v>
      </c>
      <c r="G150" s="2">
        <v>2.51512</v>
      </c>
      <c r="H150" s="2">
        <v>1.2322200000000001</v>
      </c>
      <c r="I150" s="2">
        <v>1</v>
      </c>
      <c r="K150" s="2" t="s">
        <v>1528</v>
      </c>
      <c r="L150" s="2">
        <v>1.3309</v>
      </c>
    </row>
    <row r="151" spans="1:12" x14ac:dyDescent="0.2">
      <c r="A151" s="2" t="s">
        <v>1527</v>
      </c>
      <c r="B151" s="2" t="s">
        <v>3015</v>
      </c>
      <c r="C151" s="2" t="s">
        <v>3015</v>
      </c>
      <c r="D151" s="2" t="s">
        <v>1839</v>
      </c>
      <c r="E151" s="2" t="s">
        <v>1841</v>
      </c>
      <c r="F151" s="2">
        <v>7.1895800000000003</v>
      </c>
      <c r="G151" s="2">
        <v>2.9033600000000002</v>
      </c>
      <c r="H151" s="2">
        <v>-1.3081799999999999</v>
      </c>
      <c r="I151" s="2">
        <v>1</v>
      </c>
      <c r="K151" s="2" t="s">
        <v>1195</v>
      </c>
      <c r="L151" s="2">
        <v>1.7374799999999999</v>
      </c>
    </row>
    <row r="152" spans="1:12" x14ac:dyDescent="0.2">
      <c r="A152" s="2" t="s">
        <v>1193</v>
      </c>
      <c r="B152" s="2" t="s">
        <v>3399</v>
      </c>
      <c r="C152" s="2" t="s">
        <v>2003</v>
      </c>
      <c r="D152" s="2" t="s">
        <v>1839</v>
      </c>
      <c r="E152" s="2" t="s">
        <v>1841</v>
      </c>
      <c r="F152" s="2">
        <v>0.42597400000000002</v>
      </c>
      <c r="G152" s="2">
        <v>1.49268</v>
      </c>
      <c r="H152" s="2">
        <v>1.80907</v>
      </c>
      <c r="I152" s="2">
        <v>1</v>
      </c>
      <c r="K152" s="2" t="s">
        <v>200</v>
      </c>
      <c r="L152" s="2">
        <v>-1.26169</v>
      </c>
    </row>
    <row r="153" spans="1:12" x14ac:dyDescent="0.2">
      <c r="A153" s="2" t="s">
        <v>1194</v>
      </c>
      <c r="B153" s="2" t="s">
        <v>3300</v>
      </c>
      <c r="C153" s="2" t="s">
        <v>2420</v>
      </c>
      <c r="D153" s="2" t="s">
        <v>1839</v>
      </c>
      <c r="E153" s="2" t="s">
        <v>1841</v>
      </c>
      <c r="F153" s="2">
        <v>0.49527199999999999</v>
      </c>
      <c r="G153" s="2">
        <v>1.57497</v>
      </c>
      <c r="H153" s="2">
        <v>1.66903</v>
      </c>
      <c r="I153" s="2">
        <v>1</v>
      </c>
      <c r="K153" s="2" t="s">
        <v>1529</v>
      </c>
      <c r="L153" s="2">
        <v>1.15829</v>
      </c>
    </row>
    <row r="154" spans="1:12" x14ac:dyDescent="0.2">
      <c r="A154" s="2" t="s">
        <v>1528</v>
      </c>
      <c r="B154" s="2" t="s">
        <v>3015</v>
      </c>
      <c r="C154" s="2" t="s">
        <v>2679</v>
      </c>
      <c r="D154" s="2" t="s">
        <v>1839</v>
      </c>
      <c r="E154" s="2" t="s">
        <v>1841</v>
      </c>
      <c r="F154" s="2">
        <v>1.22532</v>
      </c>
      <c r="G154" s="2">
        <v>3.0823999999999998</v>
      </c>
      <c r="H154" s="2">
        <v>1.3309</v>
      </c>
      <c r="I154" s="2">
        <v>1</v>
      </c>
      <c r="K154" s="2" t="s">
        <v>1530</v>
      </c>
      <c r="L154" s="2">
        <v>1.2731600000000001</v>
      </c>
    </row>
    <row r="155" spans="1:12" x14ac:dyDescent="0.2">
      <c r="A155" s="2" t="s">
        <v>1195</v>
      </c>
      <c r="B155" s="2" t="s">
        <v>3400</v>
      </c>
      <c r="C155" s="2" t="s">
        <v>2430</v>
      </c>
      <c r="D155" s="2" t="s">
        <v>1839</v>
      </c>
      <c r="E155" s="2" t="s">
        <v>1841</v>
      </c>
      <c r="F155" s="2">
        <v>0.93444300000000002</v>
      </c>
      <c r="G155" s="2">
        <v>3.1159300000000001</v>
      </c>
      <c r="H155" s="2">
        <v>1.7374799999999999</v>
      </c>
      <c r="I155" s="2">
        <v>1</v>
      </c>
      <c r="K155" s="2" t="s">
        <v>209</v>
      </c>
      <c r="L155" s="2">
        <v>-1.6643300000000001</v>
      </c>
    </row>
    <row r="156" spans="1:12" x14ac:dyDescent="0.2">
      <c r="A156" s="2" t="s">
        <v>200</v>
      </c>
      <c r="B156" s="2" t="s">
        <v>3080</v>
      </c>
      <c r="C156" s="2" t="s">
        <v>1937</v>
      </c>
      <c r="D156" s="2" t="s">
        <v>1839</v>
      </c>
      <c r="E156" s="2" t="s">
        <v>1841</v>
      </c>
      <c r="F156" s="2">
        <v>2.0425399999999998</v>
      </c>
      <c r="G156" s="2">
        <v>0.85185200000000005</v>
      </c>
      <c r="H156" s="2">
        <v>-1.26169</v>
      </c>
      <c r="I156" s="2">
        <v>1</v>
      </c>
      <c r="K156" s="2" t="s">
        <v>210</v>
      </c>
      <c r="L156" s="2">
        <v>-1.43502</v>
      </c>
    </row>
    <row r="157" spans="1:12" x14ac:dyDescent="0.2">
      <c r="A157" s="2" t="s">
        <v>1529</v>
      </c>
      <c r="B157" s="2" t="s">
        <v>3037</v>
      </c>
      <c r="C157" s="2" t="s">
        <v>2677</v>
      </c>
      <c r="D157" s="2" t="s">
        <v>1839</v>
      </c>
      <c r="E157" s="2" t="s">
        <v>1841</v>
      </c>
      <c r="F157" s="2">
        <v>3.7332700000000001</v>
      </c>
      <c r="G157" s="2">
        <v>8.3323900000000002</v>
      </c>
      <c r="H157" s="2">
        <v>1.15829</v>
      </c>
      <c r="I157" s="2">
        <v>1</v>
      </c>
      <c r="K157" s="2" t="s">
        <v>1531</v>
      </c>
      <c r="L157" s="2">
        <v>1.06304</v>
      </c>
    </row>
    <row r="158" spans="1:12" x14ac:dyDescent="0.2">
      <c r="A158" s="2" t="s">
        <v>1530</v>
      </c>
      <c r="B158" s="2" t="s">
        <v>3401</v>
      </c>
      <c r="C158" s="2" t="s">
        <v>2680</v>
      </c>
      <c r="D158" s="2" t="s">
        <v>1839</v>
      </c>
      <c r="E158" s="2" t="s">
        <v>1841</v>
      </c>
      <c r="F158" s="2">
        <v>1.00353</v>
      </c>
      <c r="G158" s="2">
        <v>2.4254199999999999</v>
      </c>
      <c r="H158" s="2">
        <v>1.2731600000000001</v>
      </c>
      <c r="I158" s="2">
        <v>1</v>
      </c>
      <c r="K158" s="2" t="s">
        <v>212</v>
      </c>
      <c r="L158" s="2">
        <v>1.04403</v>
      </c>
    </row>
    <row r="159" spans="1:12" x14ac:dyDescent="0.2">
      <c r="A159" s="2" t="s">
        <v>209</v>
      </c>
      <c r="B159" s="2" t="s">
        <v>3015</v>
      </c>
      <c r="C159" s="2" t="s">
        <v>2681</v>
      </c>
      <c r="D159" s="2" t="s">
        <v>1839</v>
      </c>
      <c r="E159" s="2" t="s">
        <v>1841</v>
      </c>
      <c r="F159" s="2">
        <v>1.92746</v>
      </c>
      <c r="G159" s="2">
        <v>0.608097</v>
      </c>
      <c r="H159" s="2">
        <v>-1.6643300000000001</v>
      </c>
      <c r="I159" s="2">
        <v>1</v>
      </c>
      <c r="K159" s="2" t="s">
        <v>1532</v>
      </c>
      <c r="L159" s="2">
        <v>1.2183299999999999</v>
      </c>
    </row>
    <row r="160" spans="1:12" x14ac:dyDescent="0.2">
      <c r="A160" s="2" t="s">
        <v>210</v>
      </c>
      <c r="B160" s="2" t="s">
        <v>3015</v>
      </c>
      <c r="C160" s="2" t="s">
        <v>2681</v>
      </c>
      <c r="D160" s="2" t="s">
        <v>1839</v>
      </c>
      <c r="E160" s="2" t="s">
        <v>1841</v>
      </c>
      <c r="F160" s="2">
        <v>2.04576</v>
      </c>
      <c r="G160" s="2">
        <v>0.75660300000000003</v>
      </c>
      <c r="H160" s="2">
        <v>-1.43502</v>
      </c>
      <c r="I160" s="2">
        <v>1</v>
      </c>
      <c r="K160" s="2" t="s">
        <v>1533</v>
      </c>
      <c r="L160" s="2">
        <v>-1.0690999999999999</v>
      </c>
    </row>
    <row r="161" spans="1:12" x14ac:dyDescent="0.2">
      <c r="A161" s="2" t="s">
        <v>1531</v>
      </c>
      <c r="B161" s="2" t="s">
        <v>3364</v>
      </c>
      <c r="C161" s="2" t="s">
        <v>2682</v>
      </c>
      <c r="D161" s="2" t="s">
        <v>1839</v>
      </c>
      <c r="E161" s="2" t="s">
        <v>1841</v>
      </c>
      <c r="F161" s="2">
        <v>258.851</v>
      </c>
      <c r="G161" s="2">
        <v>540.82399999999996</v>
      </c>
      <c r="H161" s="2">
        <v>1.06304</v>
      </c>
      <c r="I161" s="2">
        <v>1</v>
      </c>
      <c r="K161" s="2" t="s">
        <v>216</v>
      </c>
      <c r="L161" s="2">
        <v>-1.8090299999999999</v>
      </c>
    </row>
    <row r="162" spans="1:12" x14ac:dyDescent="0.2">
      <c r="A162" s="2" t="s">
        <v>212</v>
      </c>
      <c r="B162" s="2" t="s">
        <v>3015</v>
      </c>
      <c r="C162" s="2" t="s">
        <v>1944</v>
      </c>
      <c r="D162" s="2" t="s">
        <v>1839</v>
      </c>
      <c r="E162" s="2" t="s">
        <v>1841</v>
      </c>
      <c r="F162" s="2">
        <v>742.35699999999997</v>
      </c>
      <c r="G162" s="2">
        <v>1530.72</v>
      </c>
      <c r="H162" s="2">
        <v>1.04403</v>
      </c>
      <c r="I162" s="2">
        <v>1</v>
      </c>
      <c r="K162" s="2" t="s">
        <v>217</v>
      </c>
      <c r="L162" s="2">
        <v>-1.85205</v>
      </c>
    </row>
    <row r="163" spans="1:12" x14ac:dyDescent="0.2">
      <c r="A163" s="2" t="s">
        <v>1532</v>
      </c>
      <c r="B163" s="2" t="s">
        <v>3015</v>
      </c>
      <c r="C163" s="2" t="s">
        <v>3015</v>
      </c>
      <c r="D163" s="2" t="s">
        <v>1839</v>
      </c>
      <c r="E163" s="2" t="s">
        <v>1841</v>
      </c>
      <c r="F163" s="2">
        <v>0.90350799999999998</v>
      </c>
      <c r="G163" s="2">
        <v>2.1022599999999998</v>
      </c>
      <c r="H163" s="2">
        <v>1.2183299999999999</v>
      </c>
      <c r="I163" s="2">
        <v>1</v>
      </c>
      <c r="K163" s="2" t="s">
        <v>218</v>
      </c>
      <c r="L163" s="2">
        <v>-1.0027999999999999</v>
      </c>
    </row>
    <row r="164" spans="1:12" x14ac:dyDescent="0.2">
      <c r="A164" s="2" t="s">
        <v>1533</v>
      </c>
      <c r="B164" s="2" t="s">
        <v>3015</v>
      </c>
      <c r="C164" s="2" t="s">
        <v>3015</v>
      </c>
      <c r="D164" s="2" t="s">
        <v>1839</v>
      </c>
      <c r="E164" s="2" t="s">
        <v>1841</v>
      </c>
      <c r="F164" s="2">
        <v>84.9251</v>
      </c>
      <c r="G164" s="2">
        <v>40.476599999999998</v>
      </c>
      <c r="H164" s="2">
        <v>-1.0690999999999999</v>
      </c>
      <c r="I164" s="2">
        <v>1</v>
      </c>
      <c r="K164" s="2" t="s">
        <v>221</v>
      </c>
      <c r="L164" s="2">
        <v>1.1940500000000001</v>
      </c>
    </row>
    <row r="165" spans="1:12" x14ac:dyDescent="0.2">
      <c r="A165" s="2" t="s">
        <v>216</v>
      </c>
      <c r="B165" s="2" t="s">
        <v>3015</v>
      </c>
      <c r="C165" s="2" t="s">
        <v>2683</v>
      </c>
      <c r="D165" s="2" t="s">
        <v>1839</v>
      </c>
      <c r="E165" s="2" t="s">
        <v>1841</v>
      </c>
      <c r="F165" s="2">
        <v>45.917499999999997</v>
      </c>
      <c r="G165" s="2">
        <v>13.104100000000001</v>
      </c>
      <c r="H165" s="2">
        <v>-1.8090299999999999</v>
      </c>
      <c r="I165" s="2">
        <v>1</v>
      </c>
      <c r="K165" s="2" t="s">
        <v>1534</v>
      </c>
      <c r="L165" s="2">
        <v>1.64947</v>
      </c>
    </row>
    <row r="166" spans="1:12" x14ac:dyDescent="0.2">
      <c r="A166" s="2" t="s">
        <v>217</v>
      </c>
      <c r="B166" s="2" t="s">
        <v>3189</v>
      </c>
      <c r="C166" s="2" t="s">
        <v>2683</v>
      </c>
      <c r="D166" s="2" t="s">
        <v>1839</v>
      </c>
      <c r="E166" s="2" t="s">
        <v>1841</v>
      </c>
      <c r="F166" s="2">
        <v>18.111999999999998</v>
      </c>
      <c r="G166" s="2">
        <v>5.0169800000000002</v>
      </c>
      <c r="H166" s="2">
        <v>-1.85205</v>
      </c>
      <c r="I166" s="2">
        <v>1</v>
      </c>
      <c r="K166" s="2" t="s">
        <v>230</v>
      </c>
      <c r="L166" s="2">
        <v>-1.68933</v>
      </c>
    </row>
    <row r="167" spans="1:12" x14ac:dyDescent="0.2">
      <c r="A167" s="2" t="s">
        <v>218</v>
      </c>
      <c r="B167" s="2" t="s">
        <v>3015</v>
      </c>
      <c r="C167" s="2" t="s">
        <v>3015</v>
      </c>
      <c r="D167" s="2" t="s">
        <v>1839</v>
      </c>
      <c r="E167" s="2" t="s">
        <v>1841</v>
      </c>
      <c r="F167" s="2">
        <v>4.56569</v>
      </c>
      <c r="G167" s="2">
        <v>2.2784200000000001</v>
      </c>
      <c r="H167" s="2">
        <v>-1.0027999999999999</v>
      </c>
      <c r="I167" s="2">
        <v>1</v>
      </c>
      <c r="K167" s="2" t="s">
        <v>1202</v>
      </c>
      <c r="L167" s="2">
        <v>1.4665299999999999</v>
      </c>
    </row>
    <row r="168" spans="1:12" x14ac:dyDescent="0.2">
      <c r="A168" s="2" t="s">
        <v>221</v>
      </c>
      <c r="B168" s="2" t="s">
        <v>3189</v>
      </c>
      <c r="C168" s="2" t="s">
        <v>2684</v>
      </c>
      <c r="D168" s="2" t="s">
        <v>1839</v>
      </c>
      <c r="E168" s="2" t="s">
        <v>1841</v>
      </c>
      <c r="F168" s="2">
        <v>1.7461899999999999</v>
      </c>
      <c r="G168" s="2">
        <v>3.9952000000000001</v>
      </c>
      <c r="H168" s="2">
        <v>1.1940500000000001</v>
      </c>
      <c r="I168" s="2">
        <v>1</v>
      </c>
      <c r="K168" s="2" t="s">
        <v>1203</v>
      </c>
      <c r="L168" s="2">
        <v>1.01315</v>
      </c>
    </row>
    <row r="169" spans="1:12" x14ac:dyDescent="0.2">
      <c r="A169" s="2" t="s">
        <v>1534</v>
      </c>
      <c r="B169" s="2" t="s">
        <v>3015</v>
      </c>
      <c r="C169" s="2" t="s">
        <v>2685</v>
      </c>
      <c r="D169" s="2" t="s">
        <v>1839</v>
      </c>
      <c r="E169" s="2" t="s">
        <v>1841</v>
      </c>
      <c r="F169" s="2">
        <v>1.5906100000000001</v>
      </c>
      <c r="G169" s="2">
        <v>4.9900200000000003</v>
      </c>
      <c r="H169" s="2">
        <v>1.64947</v>
      </c>
      <c r="I169" s="2">
        <v>1</v>
      </c>
      <c r="K169" s="2" t="s">
        <v>232</v>
      </c>
      <c r="L169" s="2">
        <v>-1.1346799999999999</v>
      </c>
    </row>
    <row r="170" spans="1:12" x14ac:dyDescent="0.2">
      <c r="A170" s="2" t="s">
        <v>230</v>
      </c>
      <c r="B170" s="2" t="s">
        <v>3090</v>
      </c>
      <c r="C170" s="2" t="s">
        <v>1951</v>
      </c>
      <c r="D170" s="2" t="s">
        <v>1839</v>
      </c>
      <c r="E170" s="2" t="s">
        <v>1841</v>
      </c>
      <c r="F170" s="2">
        <v>22.0519</v>
      </c>
      <c r="G170" s="2">
        <v>6.8376299999999999</v>
      </c>
      <c r="H170" s="2">
        <v>-1.68933</v>
      </c>
      <c r="I170" s="2">
        <v>1</v>
      </c>
      <c r="K170" s="2" t="s">
        <v>1535</v>
      </c>
      <c r="L170" s="2">
        <v>-1.48468</v>
      </c>
    </row>
    <row r="171" spans="1:12" x14ac:dyDescent="0.2">
      <c r="A171" s="2" t="s">
        <v>1202</v>
      </c>
      <c r="B171" s="2" t="s">
        <v>3015</v>
      </c>
      <c r="C171" s="2" t="s">
        <v>3015</v>
      </c>
      <c r="D171" s="2" t="s">
        <v>1839</v>
      </c>
      <c r="E171" s="2" t="s">
        <v>1841</v>
      </c>
      <c r="F171" s="2">
        <v>0.68654099999999996</v>
      </c>
      <c r="G171" s="2">
        <v>1.8973</v>
      </c>
      <c r="H171" s="2">
        <v>1.4665299999999999</v>
      </c>
      <c r="I171" s="2">
        <v>1</v>
      </c>
      <c r="K171" s="2" t="s">
        <v>235</v>
      </c>
      <c r="L171" s="2">
        <v>-1.1611899999999999</v>
      </c>
    </row>
    <row r="172" spans="1:12" x14ac:dyDescent="0.2">
      <c r="A172" s="2" t="s">
        <v>1203</v>
      </c>
      <c r="B172" s="2" t="s">
        <v>3090</v>
      </c>
      <c r="C172" s="2" t="s">
        <v>2483</v>
      </c>
      <c r="D172" s="2" t="s">
        <v>1839</v>
      </c>
      <c r="E172" s="2" t="s">
        <v>1841</v>
      </c>
      <c r="F172" s="2">
        <v>1.4202699999999999</v>
      </c>
      <c r="G172" s="2">
        <v>2.8665400000000001</v>
      </c>
      <c r="H172" s="2">
        <v>1.01315</v>
      </c>
      <c r="I172" s="2">
        <v>1</v>
      </c>
      <c r="K172" s="2" t="s">
        <v>236</v>
      </c>
      <c r="L172" s="2">
        <v>-2.7016100000000001</v>
      </c>
    </row>
    <row r="173" spans="1:12" x14ac:dyDescent="0.2">
      <c r="A173" s="2" t="s">
        <v>232</v>
      </c>
      <c r="B173" s="2" t="s">
        <v>3027</v>
      </c>
      <c r="C173" s="2" t="s">
        <v>1952</v>
      </c>
      <c r="D173" s="2" t="s">
        <v>1839</v>
      </c>
      <c r="E173" s="2" t="s">
        <v>1841</v>
      </c>
      <c r="F173" s="2">
        <v>6.8137600000000003</v>
      </c>
      <c r="G173" s="2">
        <v>3.1032299999999999</v>
      </c>
      <c r="H173" s="2">
        <v>-1.1346799999999999</v>
      </c>
      <c r="I173" s="2">
        <v>1</v>
      </c>
      <c r="K173" s="2" t="s">
        <v>237</v>
      </c>
      <c r="L173" s="2">
        <v>-1.05307</v>
      </c>
    </row>
    <row r="174" spans="1:12" x14ac:dyDescent="0.2">
      <c r="A174" s="2" t="s">
        <v>1535</v>
      </c>
      <c r="B174" s="2" t="s">
        <v>3015</v>
      </c>
      <c r="C174" s="2" t="s">
        <v>2686</v>
      </c>
      <c r="D174" s="2" t="s">
        <v>1839</v>
      </c>
      <c r="E174" s="2" t="s">
        <v>1841</v>
      </c>
      <c r="F174" s="2">
        <v>25.8443</v>
      </c>
      <c r="G174" s="2">
        <v>9.2348599999999994</v>
      </c>
      <c r="H174" s="2">
        <v>-1.48468</v>
      </c>
      <c r="I174" s="2">
        <v>1</v>
      </c>
      <c r="K174" s="2" t="s">
        <v>1537</v>
      </c>
      <c r="L174" s="2">
        <v>-1.3090299999999999</v>
      </c>
    </row>
    <row r="175" spans="1:12" x14ac:dyDescent="0.2">
      <c r="A175" s="2" t="s">
        <v>235</v>
      </c>
      <c r="B175" s="2" t="s">
        <v>3015</v>
      </c>
      <c r="C175" s="2" t="s">
        <v>2687</v>
      </c>
      <c r="D175" s="2" t="s">
        <v>1839</v>
      </c>
      <c r="E175" s="2" t="s">
        <v>1841</v>
      </c>
      <c r="F175" s="2">
        <v>41.781199999999998</v>
      </c>
      <c r="G175" s="2">
        <v>18.682200000000002</v>
      </c>
      <c r="H175" s="2">
        <v>-1.1611899999999999</v>
      </c>
      <c r="I175" s="2">
        <v>1</v>
      </c>
      <c r="K175" s="2" t="s">
        <v>1538</v>
      </c>
      <c r="L175" s="2">
        <v>-1.0009999999999999</v>
      </c>
    </row>
    <row r="176" spans="1:12" x14ac:dyDescent="0.2">
      <c r="A176" s="2" t="s">
        <v>236</v>
      </c>
      <c r="B176" s="2" t="s">
        <v>3094</v>
      </c>
      <c r="C176" s="2" t="s">
        <v>1955</v>
      </c>
      <c r="D176" s="2" t="s">
        <v>1839</v>
      </c>
      <c r="E176" s="2" t="s">
        <v>1841</v>
      </c>
      <c r="F176" s="2">
        <v>3.9122499999999998</v>
      </c>
      <c r="G176" s="2">
        <v>0.60139699999999996</v>
      </c>
      <c r="H176" s="2">
        <v>-2.7016100000000001</v>
      </c>
      <c r="I176" s="2">
        <v>1</v>
      </c>
      <c r="K176" s="2" t="s">
        <v>1539</v>
      </c>
      <c r="L176" s="2">
        <v>-1.31853</v>
      </c>
    </row>
    <row r="177" spans="1:12" x14ac:dyDescent="0.2">
      <c r="A177" s="2" t="s">
        <v>237</v>
      </c>
      <c r="B177" s="2" t="s">
        <v>3015</v>
      </c>
      <c r="C177" s="2" t="s">
        <v>2688</v>
      </c>
      <c r="D177" s="2" t="s">
        <v>1839</v>
      </c>
      <c r="E177" s="2" t="s">
        <v>1841</v>
      </c>
      <c r="F177" s="2">
        <v>12.9758</v>
      </c>
      <c r="G177" s="2">
        <v>6.2535600000000002</v>
      </c>
      <c r="H177" s="2">
        <v>-1.05307</v>
      </c>
      <c r="I177" s="2">
        <v>1</v>
      </c>
      <c r="K177" s="2" t="s">
        <v>1540</v>
      </c>
      <c r="L177" s="2">
        <v>1.0366500000000001</v>
      </c>
    </row>
    <row r="178" spans="1:12" x14ac:dyDescent="0.2">
      <c r="A178" s="2" t="s">
        <v>1537</v>
      </c>
      <c r="B178" s="2" t="s">
        <v>3015</v>
      </c>
      <c r="C178" s="2" t="s">
        <v>2639</v>
      </c>
      <c r="D178" s="2" t="s">
        <v>1839</v>
      </c>
      <c r="E178" s="2" t="s">
        <v>1841</v>
      </c>
      <c r="F178" s="2">
        <v>4.9717500000000001</v>
      </c>
      <c r="G178" s="2">
        <v>2.0065599999999999</v>
      </c>
      <c r="H178" s="2">
        <v>-1.3090299999999999</v>
      </c>
      <c r="I178" s="2">
        <v>1</v>
      </c>
      <c r="K178" s="2" t="s">
        <v>1541</v>
      </c>
      <c r="L178" s="2">
        <v>-1.1811199999999999</v>
      </c>
    </row>
    <row r="179" spans="1:12" x14ac:dyDescent="0.2">
      <c r="A179" s="2" t="s">
        <v>1538</v>
      </c>
      <c r="B179" s="2" t="s">
        <v>3015</v>
      </c>
      <c r="C179" s="2" t="s">
        <v>3015</v>
      </c>
      <c r="D179" s="2" t="s">
        <v>1839</v>
      </c>
      <c r="E179" s="2" t="s">
        <v>1841</v>
      </c>
      <c r="F179" s="2">
        <v>29.958600000000001</v>
      </c>
      <c r="G179" s="2">
        <v>14.9689</v>
      </c>
      <c r="H179" s="2">
        <v>-1.0009999999999999</v>
      </c>
      <c r="I179" s="2">
        <v>1</v>
      </c>
      <c r="K179" s="2" t="s">
        <v>1542</v>
      </c>
      <c r="L179" s="2">
        <v>-1.0131699999999999</v>
      </c>
    </row>
    <row r="180" spans="1:12" x14ac:dyDescent="0.2">
      <c r="A180" s="2" t="s">
        <v>1539</v>
      </c>
      <c r="B180" s="2" t="s">
        <v>3093</v>
      </c>
      <c r="C180" s="2" t="s">
        <v>2689</v>
      </c>
      <c r="D180" s="2" t="s">
        <v>1839</v>
      </c>
      <c r="E180" s="2" t="s">
        <v>1841</v>
      </c>
      <c r="F180" s="2">
        <v>0.84841</v>
      </c>
      <c r="G180" s="2">
        <v>0.34016400000000002</v>
      </c>
      <c r="H180" s="2">
        <v>-1.31853</v>
      </c>
      <c r="I180" s="2">
        <v>1</v>
      </c>
      <c r="K180" s="2" t="s">
        <v>1543</v>
      </c>
      <c r="L180" s="2">
        <v>1.5127900000000001</v>
      </c>
    </row>
    <row r="181" spans="1:12" x14ac:dyDescent="0.2">
      <c r="A181" s="2" t="s">
        <v>1540</v>
      </c>
      <c r="B181" s="2" t="s">
        <v>3100</v>
      </c>
      <c r="C181" s="2" t="s">
        <v>2690</v>
      </c>
      <c r="D181" s="2" t="s">
        <v>1839</v>
      </c>
      <c r="E181" s="2" t="s">
        <v>1841</v>
      </c>
      <c r="F181" s="2">
        <v>0.39673399999999998</v>
      </c>
      <c r="G181" s="2">
        <v>0.81388099999999997</v>
      </c>
      <c r="H181" s="2">
        <v>1.0366500000000001</v>
      </c>
      <c r="I181" s="2">
        <v>1</v>
      </c>
      <c r="K181" s="2" t="s">
        <v>1206</v>
      </c>
      <c r="L181" s="2">
        <v>1.3596200000000001</v>
      </c>
    </row>
    <row r="182" spans="1:12" x14ac:dyDescent="0.2">
      <c r="A182" s="2" t="s">
        <v>1541</v>
      </c>
      <c r="B182" s="2" t="s">
        <v>3402</v>
      </c>
      <c r="C182" s="2" t="s">
        <v>2691</v>
      </c>
      <c r="D182" s="2" t="s">
        <v>1839</v>
      </c>
      <c r="E182" s="2" t="s">
        <v>1841</v>
      </c>
      <c r="F182" s="2">
        <v>1.8722099999999999</v>
      </c>
      <c r="G182" s="2">
        <v>0.82566099999999998</v>
      </c>
      <c r="H182" s="2">
        <v>-1.1811199999999999</v>
      </c>
      <c r="I182" s="2">
        <v>1</v>
      </c>
      <c r="K182" s="2" t="s">
        <v>1544</v>
      </c>
      <c r="L182" s="2">
        <v>2.05376</v>
      </c>
    </row>
    <row r="183" spans="1:12" x14ac:dyDescent="0.2">
      <c r="A183" s="2" t="s">
        <v>1542</v>
      </c>
      <c r="B183" s="2" t="s">
        <v>3015</v>
      </c>
      <c r="C183" s="2" t="s">
        <v>2692</v>
      </c>
      <c r="D183" s="2" t="s">
        <v>1839</v>
      </c>
      <c r="E183" s="2" t="s">
        <v>1841</v>
      </c>
      <c r="F183" s="2">
        <v>780.13900000000001</v>
      </c>
      <c r="G183" s="2">
        <v>386.524</v>
      </c>
      <c r="H183" s="2">
        <v>-1.0131699999999999</v>
      </c>
      <c r="I183" s="2">
        <v>1</v>
      </c>
      <c r="K183" s="2" t="s">
        <v>1545</v>
      </c>
      <c r="L183" s="2">
        <v>-1.0443899999999999</v>
      </c>
    </row>
    <row r="184" spans="1:12" x14ac:dyDescent="0.2">
      <c r="A184" s="2" t="s">
        <v>1543</v>
      </c>
      <c r="B184" s="2" t="s">
        <v>3046</v>
      </c>
      <c r="C184" s="2" t="s">
        <v>2693</v>
      </c>
      <c r="D184" s="2" t="s">
        <v>1839</v>
      </c>
      <c r="E184" s="2" t="s">
        <v>1841</v>
      </c>
      <c r="F184" s="2">
        <v>0.66617300000000002</v>
      </c>
      <c r="G184" s="2">
        <v>1.901</v>
      </c>
      <c r="H184" s="2">
        <v>1.5127900000000001</v>
      </c>
      <c r="I184" s="2">
        <v>1</v>
      </c>
      <c r="K184" s="2" t="s">
        <v>1546</v>
      </c>
      <c r="L184" s="2">
        <v>1.0042</v>
      </c>
    </row>
    <row r="185" spans="1:12" x14ac:dyDescent="0.2">
      <c r="A185" s="2" t="s">
        <v>1206</v>
      </c>
      <c r="B185" s="2" t="s">
        <v>3403</v>
      </c>
      <c r="C185" s="2" t="s">
        <v>2694</v>
      </c>
      <c r="D185" s="2" t="s">
        <v>1839</v>
      </c>
      <c r="E185" s="2" t="s">
        <v>1841</v>
      </c>
      <c r="F185" s="2">
        <v>5.7483899999999997</v>
      </c>
      <c r="G185" s="2">
        <v>14.751300000000001</v>
      </c>
      <c r="H185" s="2">
        <v>1.3596200000000001</v>
      </c>
      <c r="I185" s="2">
        <v>1</v>
      </c>
      <c r="K185" s="2" t="s">
        <v>1547</v>
      </c>
      <c r="L185" s="2">
        <v>-1.03732</v>
      </c>
    </row>
    <row r="186" spans="1:12" x14ac:dyDescent="0.2">
      <c r="A186" s="2" t="s">
        <v>1544</v>
      </c>
      <c r="B186" s="2" t="s">
        <v>3015</v>
      </c>
      <c r="C186" s="2" t="s">
        <v>2218</v>
      </c>
      <c r="D186" s="2" t="s">
        <v>1839</v>
      </c>
      <c r="E186" s="2" t="s">
        <v>1841</v>
      </c>
      <c r="F186" s="2">
        <v>1.4461900000000001</v>
      </c>
      <c r="G186" s="2">
        <v>6.0044199999999996</v>
      </c>
      <c r="H186" s="2">
        <v>2.05376</v>
      </c>
      <c r="I186" s="2">
        <v>1</v>
      </c>
      <c r="K186" s="2" t="s">
        <v>252</v>
      </c>
      <c r="L186" s="2">
        <v>1.3055399999999999</v>
      </c>
    </row>
    <row r="187" spans="1:12" x14ac:dyDescent="0.2">
      <c r="A187" s="2" t="s">
        <v>1545</v>
      </c>
      <c r="B187" s="2" t="s">
        <v>3404</v>
      </c>
      <c r="C187" s="2" t="s">
        <v>2695</v>
      </c>
      <c r="D187" s="2" t="s">
        <v>1839</v>
      </c>
      <c r="E187" s="2" t="s">
        <v>1841</v>
      </c>
      <c r="F187" s="2">
        <v>1.3218700000000001</v>
      </c>
      <c r="G187" s="2">
        <v>0.64090999999999998</v>
      </c>
      <c r="H187" s="2">
        <v>-1.0443899999999999</v>
      </c>
      <c r="I187" s="2">
        <v>1</v>
      </c>
      <c r="K187" s="2" t="s">
        <v>253</v>
      </c>
      <c r="L187" s="2">
        <v>-1.18452</v>
      </c>
    </row>
    <row r="188" spans="1:12" x14ac:dyDescent="0.2">
      <c r="A188" s="2" t="s">
        <v>1546</v>
      </c>
      <c r="B188" s="2" t="s">
        <v>3015</v>
      </c>
      <c r="C188" s="2" t="s">
        <v>2696</v>
      </c>
      <c r="D188" s="2" t="s">
        <v>1839</v>
      </c>
      <c r="E188" s="2" t="s">
        <v>1841</v>
      </c>
      <c r="F188" s="2">
        <v>5.0834599999999996</v>
      </c>
      <c r="G188" s="2">
        <v>10.1965</v>
      </c>
      <c r="H188" s="2">
        <v>1.0042</v>
      </c>
      <c r="I188" s="2">
        <v>1</v>
      </c>
      <c r="K188" s="2" t="s">
        <v>1210</v>
      </c>
      <c r="L188" s="2">
        <v>1.0862400000000001</v>
      </c>
    </row>
    <row r="189" spans="1:12" x14ac:dyDescent="0.2">
      <c r="A189" s="2" t="s">
        <v>1547</v>
      </c>
      <c r="B189" s="2" t="s">
        <v>3405</v>
      </c>
      <c r="C189" s="2" t="s">
        <v>1847</v>
      </c>
      <c r="D189" s="2" t="s">
        <v>1839</v>
      </c>
      <c r="E189" s="2" t="s">
        <v>1841</v>
      </c>
      <c r="F189" s="2">
        <v>1.1359399999999999</v>
      </c>
      <c r="G189" s="2">
        <v>0.55346600000000001</v>
      </c>
      <c r="H189" s="2">
        <v>-1.03732</v>
      </c>
      <c r="I189" s="2">
        <v>1</v>
      </c>
      <c r="K189" s="2" t="s">
        <v>256</v>
      </c>
      <c r="L189" s="2">
        <v>1.06507</v>
      </c>
    </row>
    <row r="190" spans="1:12" x14ac:dyDescent="0.2">
      <c r="A190" s="2" t="s">
        <v>252</v>
      </c>
      <c r="B190" s="2" t="s">
        <v>3099</v>
      </c>
      <c r="C190" s="2" t="s">
        <v>1964</v>
      </c>
      <c r="D190" s="2" t="s">
        <v>1839</v>
      </c>
      <c r="E190" s="2" t="s">
        <v>1841</v>
      </c>
      <c r="F190" s="2">
        <v>3.9460600000000001</v>
      </c>
      <c r="G190" s="2">
        <v>9.7537099999999999</v>
      </c>
      <c r="H190" s="2">
        <v>1.3055399999999999</v>
      </c>
      <c r="I190" s="2">
        <v>1</v>
      </c>
      <c r="K190" s="2" t="s">
        <v>1548</v>
      </c>
      <c r="L190" s="2">
        <v>-1.4784299999999999</v>
      </c>
    </row>
    <row r="191" spans="1:12" x14ac:dyDescent="0.2">
      <c r="A191" s="2" t="s">
        <v>253</v>
      </c>
      <c r="B191" s="2" t="s">
        <v>3015</v>
      </c>
      <c r="C191" s="2" t="s">
        <v>2687</v>
      </c>
      <c r="D191" s="2" t="s">
        <v>1839</v>
      </c>
      <c r="E191" s="2" t="s">
        <v>1841</v>
      </c>
      <c r="F191" s="2">
        <v>157.29599999999999</v>
      </c>
      <c r="G191" s="2">
        <v>69.206000000000003</v>
      </c>
      <c r="H191" s="2">
        <v>-1.18452</v>
      </c>
      <c r="I191" s="2">
        <v>1</v>
      </c>
      <c r="K191" s="2" t="s">
        <v>258</v>
      </c>
      <c r="L191" s="2">
        <v>1.00326</v>
      </c>
    </row>
    <row r="192" spans="1:12" x14ac:dyDescent="0.2">
      <c r="A192" s="2" t="s">
        <v>1210</v>
      </c>
      <c r="B192" s="2" t="s">
        <v>3081</v>
      </c>
      <c r="C192" s="2" t="s">
        <v>2353</v>
      </c>
      <c r="D192" s="2" t="s">
        <v>1839</v>
      </c>
      <c r="E192" s="2" t="s">
        <v>1841</v>
      </c>
      <c r="F192" s="2">
        <v>2.10982</v>
      </c>
      <c r="G192" s="2">
        <v>4.4795800000000003</v>
      </c>
      <c r="H192" s="2">
        <v>1.0862400000000001</v>
      </c>
      <c r="I192" s="2">
        <v>1</v>
      </c>
      <c r="K192" s="2" t="s">
        <v>259</v>
      </c>
      <c r="L192" s="2">
        <v>2.01126</v>
      </c>
    </row>
    <row r="193" spans="1:12" x14ac:dyDescent="0.2">
      <c r="A193" s="2" t="s">
        <v>256</v>
      </c>
      <c r="B193" s="2" t="s">
        <v>3066</v>
      </c>
      <c r="C193" s="2" t="s">
        <v>2697</v>
      </c>
      <c r="D193" s="2" t="s">
        <v>1839</v>
      </c>
      <c r="E193" s="2" t="s">
        <v>1841</v>
      </c>
      <c r="F193" s="2">
        <v>0.72498899999999999</v>
      </c>
      <c r="G193" s="2">
        <v>1.5168699999999999</v>
      </c>
      <c r="H193" s="2">
        <v>1.06507</v>
      </c>
      <c r="I193" s="2">
        <v>1</v>
      </c>
      <c r="K193" s="2" t="s">
        <v>260</v>
      </c>
      <c r="L193" s="2">
        <v>1.80863</v>
      </c>
    </row>
    <row r="194" spans="1:12" x14ac:dyDescent="0.2">
      <c r="A194" s="2" t="s">
        <v>1548</v>
      </c>
      <c r="B194" s="2" t="s">
        <v>3015</v>
      </c>
      <c r="C194" s="2" t="s">
        <v>2698</v>
      </c>
      <c r="D194" s="2" t="s">
        <v>1839</v>
      </c>
      <c r="E194" s="2" t="s">
        <v>1841</v>
      </c>
      <c r="F194" s="2">
        <v>1.6731100000000001</v>
      </c>
      <c r="G194" s="2">
        <v>0.60044500000000001</v>
      </c>
      <c r="H194" s="2">
        <v>-1.4784299999999999</v>
      </c>
      <c r="I194" s="2">
        <v>1</v>
      </c>
      <c r="K194" s="2" t="s">
        <v>1549</v>
      </c>
      <c r="L194" s="2">
        <v>1.2727299999999999</v>
      </c>
    </row>
    <row r="195" spans="1:12" x14ac:dyDescent="0.2">
      <c r="A195" s="2" t="s">
        <v>258</v>
      </c>
      <c r="B195" s="2" t="s">
        <v>3026</v>
      </c>
      <c r="C195" s="2" t="s">
        <v>2699</v>
      </c>
      <c r="D195" s="2" t="s">
        <v>1839</v>
      </c>
      <c r="E195" s="2" t="s">
        <v>1841</v>
      </c>
      <c r="F195" s="2">
        <v>2.3042199999999999</v>
      </c>
      <c r="G195" s="2">
        <v>4.6188500000000001</v>
      </c>
      <c r="H195" s="2">
        <v>1.00326</v>
      </c>
      <c r="I195" s="2">
        <v>1</v>
      </c>
      <c r="K195" s="2" t="s">
        <v>1212</v>
      </c>
      <c r="L195" s="2">
        <v>1.1908700000000001</v>
      </c>
    </row>
    <row r="196" spans="1:12" x14ac:dyDescent="0.2">
      <c r="A196" s="2" t="s">
        <v>259</v>
      </c>
      <c r="B196" s="2" t="s">
        <v>3197</v>
      </c>
      <c r="C196" s="2" t="s">
        <v>2179</v>
      </c>
      <c r="D196" s="2" t="s">
        <v>1839</v>
      </c>
      <c r="E196" s="2" t="s">
        <v>1841</v>
      </c>
      <c r="F196" s="2">
        <v>0.39105699999999999</v>
      </c>
      <c r="G196" s="2">
        <v>1.5764899999999999</v>
      </c>
      <c r="H196" s="2">
        <v>2.01126</v>
      </c>
      <c r="I196" s="2">
        <v>1</v>
      </c>
      <c r="K196" s="2" t="s">
        <v>1550</v>
      </c>
      <c r="L196" s="2">
        <v>1.0975299999999999</v>
      </c>
    </row>
    <row r="197" spans="1:12" x14ac:dyDescent="0.2">
      <c r="A197" s="2" t="s">
        <v>260</v>
      </c>
      <c r="B197" s="2" t="s">
        <v>3197</v>
      </c>
      <c r="C197" s="2" t="s">
        <v>2179</v>
      </c>
      <c r="D197" s="2" t="s">
        <v>1839</v>
      </c>
      <c r="E197" s="2" t="s">
        <v>1841</v>
      </c>
      <c r="F197" s="2">
        <v>1.93509</v>
      </c>
      <c r="G197" s="2">
        <v>6.7788000000000004</v>
      </c>
      <c r="H197" s="2">
        <v>1.80863</v>
      </c>
      <c r="I197" s="2">
        <v>1</v>
      </c>
      <c r="K197" s="2" t="s">
        <v>262</v>
      </c>
      <c r="L197" s="2">
        <v>-1.04196</v>
      </c>
    </row>
    <row r="198" spans="1:12" x14ac:dyDescent="0.2">
      <c r="A198" s="2" t="s">
        <v>1549</v>
      </c>
      <c r="B198" s="2" t="s">
        <v>3015</v>
      </c>
      <c r="C198" s="2" t="s">
        <v>2700</v>
      </c>
      <c r="D198" s="2" t="s">
        <v>1839</v>
      </c>
      <c r="E198" s="2" t="s">
        <v>1841</v>
      </c>
      <c r="F198" s="2">
        <v>3.9051200000000001</v>
      </c>
      <c r="G198" s="2">
        <v>9.4354499999999994</v>
      </c>
      <c r="H198" s="2">
        <v>1.2727299999999999</v>
      </c>
      <c r="I198" s="2">
        <v>1</v>
      </c>
      <c r="K198" s="2" t="s">
        <v>1551</v>
      </c>
      <c r="L198" s="2">
        <v>-1.0005299999999999</v>
      </c>
    </row>
    <row r="199" spans="1:12" x14ac:dyDescent="0.2">
      <c r="A199" s="2" t="s">
        <v>1212</v>
      </c>
      <c r="B199" s="2" t="s">
        <v>3306</v>
      </c>
      <c r="C199" s="2" t="s">
        <v>2430</v>
      </c>
      <c r="D199" s="2" t="s">
        <v>1839</v>
      </c>
      <c r="E199" s="2" t="s">
        <v>1841</v>
      </c>
      <c r="F199" s="2">
        <v>4.1922699999999997</v>
      </c>
      <c r="G199" s="2">
        <v>9.57057</v>
      </c>
      <c r="H199" s="2">
        <v>1.1908700000000001</v>
      </c>
      <c r="I199" s="2">
        <v>1</v>
      </c>
      <c r="K199" s="2" t="s">
        <v>1213</v>
      </c>
      <c r="L199" s="2">
        <v>2.2376100000000001</v>
      </c>
    </row>
    <row r="200" spans="1:12" x14ac:dyDescent="0.2">
      <c r="A200" s="2" t="s">
        <v>1550</v>
      </c>
      <c r="B200" s="2" t="s">
        <v>3200</v>
      </c>
      <c r="C200" s="2" t="s">
        <v>2701</v>
      </c>
      <c r="D200" s="2" t="s">
        <v>1839</v>
      </c>
      <c r="E200" s="2" t="s">
        <v>1841</v>
      </c>
      <c r="F200" s="2">
        <v>0.44907799999999998</v>
      </c>
      <c r="G200" s="2">
        <v>0.96097200000000005</v>
      </c>
      <c r="H200" s="2">
        <v>1.0975299999999999</v>
      </c>
      <c r="I200" s="2">
        <v>1</v>
      </c>
      <c r="K200" s="2" t="s">
        <v>1215</v>
      </c>
      <c r="L200" s="2">
        <v>1.1377900000000001</v>
      </c>
    </row>
    <row r="201" spans="1:12" x14ac:dyDescent="0.2">
      <c r="A201" s="2" t="s">
        <v>262</v>
      </c>
      <c r="B201" s="2" t="s">
        <v>3406</v>
      </c>
      <c r="C201" s="2" t="s">
        <v>2702</v>
      </c>
      <c r="D201" s="2" t="s">
        <v>1839</v>
      </c>
      <c r="E201" s="2" t="s">
        <v>1841</v>
      </c>
      <c r="F201" s="2">
        <v>1.7781499999999999</v>
      </c>
      <c r="G201" s="2">
        <v>0.86358699999999999</v>
      </c>
      <c r="H201" s="2">
        <v>-1.04196</v>
      </c>
      <c r="I201" s="2">
        <v>1</v>
      </c>
      <c r="K201" s="2" t="s">
        <v>267</v>
      </c>
      <c r="L201" s="2">
        <v>1.0256099999999999</v>
      </c>
    </row>
    <row r="202" spans="1:12" x14ac:dyDescent="0.2">
      <c r="A202" s="2" t="s">
        <v>1551</v>
      </c>
      <c r="B202" s="2" t="s">
        <v>3015</v>
      </c>
      <c r="C202" s="2" t="s">
        <v>3015</v>
      </c>
      <c r="D202" s="2" t="s">
        <v>1839</v>
      </c>
      <c r="E202" s="2" t="s">
        <v>1841</v>
      </c>
      <c r="F202" s="2">
        <v>7.89316</v>
      </c>
      <c r="G202" s="2">
        <v>3.9451399999999999</v>
      </c>
      <c r="H202" s="2">
        <v>-1.0005299999999999</v>
      </c>
      <c r="I202" s="2">
        <v>1</v>
      </c>
      <c r="K202" s="2" t="s">
        <v>1552</v>
      </c>
      <c r="L202" s="2">
        <v>1.60832</v>
      </c>
    </row>
    <row r="203" spans="1:12" x14ac:dyDescent="0.2">
      <c r="A203" s="2" t="s">
        <v>1213</v>
      </c>
      <c r="B203" s="2" t="s">
        <v>3015</v>
      </c>
      <c r="C203" s="2" t="s">
        <v>2431</v>
      </c>
      <c r="D203" s="2" t="s">
        <v>1839</v>
      </c>
      <c r="E203" s="2" t="s">
        <v>1841</v>
      </c>
      <c r="F203" s="2">
        <v>5.5097300000000002</v>
      </c>
      <c r="G203" s="2">
        <v>25.9848</v>
      </c>
      <c r="H203" s="2">
        <v>2.2376100000000001</v>
      </c>
      <c r="I203" s="2">
        <v>1</v>
      </c>
      <c r="K203" s="2" t="s">
        <v>1553</v>
      </c>
      <c r="L203" s="2">
        <v>-1.26142</v>
      </c>
    </row>
    <row r="204" spans="1:12" x14ac:dyDescent="0.2">
      <c r="A204" s="2" t="s">
        <v>1215</v>
      </c>
      <c r="B204" s="2" t="s">
        <v>3032</v>
      </c>
      <c r="C204" s="2" t="s">
        <v>2230</v>
      </c>
      <c r="D204" s="2" t="s">
        <v>1839</v>
      </c>
      <c r="E204" s="2" t="s">
        <v>1841</v>
      </c>
      <c r="F204" s="2">
        <v>1.17964</v>
      </c>
      <c r="G204" s="2">
        <v>2.5957300000000001</v>
      </c>
      <c r="H204" s="2">
        <v>1.1377900000000001</v>
      </c>
      <c r="I204" s="2">
        <v>1</v>
      </c>
      <c r="K204" s="2" t="s">
        <v>270</v>
      </c>
      <c r="L204" s="2">
        <v>1.51708</v>
      </c>
    </row>
    <row r="205" spans="1:12" x14ac:dyDescent="0.2">
      <c r="A205" s="2" t="s">
        <v>267</v>
      </c>
      <c r="B205" s="2" t="s">
        <v>3407</v>
      </c>
      <c r="C205" s="2" t="s">
        <v>2703</v>
      </c>
      <c r="D205" s="2" t="s">
        <v>1839</v>
      </c>
      <c r="E205" s="2" t="s">
        <v>1841</v>
      </c>
      <c r="F205" s="2">
        <v>3.1233900000000001</v>
      </c>
      <c r="G205" s="2">
        <v>6.3586600000000004</v>
      </c>
      <c r="H205" s="2">
        <v>1.0256099999999999</v>
      </c>
      <c r="I205" s="2">
        <v>1</v>
      </c>
      <c r="K205" s="2" t="s">
        <v>1216</v>
      </c>
      <c r="L205" s="2">
        <v>1.03104</v>
      </c>
    </row>
    <row r="206" spans="1:12" x14ac:dyDescent="0.2">
      <c r="A206" s="2" t="s">
        <v>1552</v>
      </c>
      <c r="B206" s="2" t="s">
        <v>3015</v>
      </c>
      <c r="C206" s="2" t="s">
        <v>2704</v>
      </c>
      <c r="D206" s="2" t="s">
        <v>1839</v>
      </c>
      <c r="E206" s="2" t="s">
        <v>1841</v>
      </c>
      <c r="F206" s="2">
        <v>1.2105300000000001</v>
      </c>
      <c r="G206" s="2">
        <v>3.6908799999999999</v>
      </c>
      <c r="H206" s="2">
        <v>1.60832</v>
      </c>
      <c r="I206" s="2">
        <v>1</v>
      </c>
      <c r="K206" s="2" t="s">
        <v>271</v>
      </c>
      <c r="L206" s="2">
        <v>-1.5677099999999999</v>
      </c>
    </row>
    <row r="207" spans="1:12" x14ac:dyDescent="0.2">
      <c r="A207" s="2" t="s">
        <v>1553</v>
      </c>
      <c r="B207" s="2" t="s">
        <v>3015</v>
      </c>
      <c r="C207" s="2" t="s">
        <v>2705</v>
      </c>
      <c r="D207" s="2" t="s">
        <v>1839</v>
      </c>
      <c r="E207" s="2" t="s">
        <v>1841</v>
      </c>
      <c r="F207" s="2">
        <v>5.8144799999999996</v>
      </c>
      <c r="G207" s="2">
        <v>2.4254199999999999</v>
      </c>
      <c r="H207" s="2">
        <v>-1.26142</v>
      </c>
      <c r="I207" s="2">
        <v>1</v>
      </c>
      <c r="K207" s="2" t="s">
        <v>272</v>
      </c>
      <c r="L207" s="2">
        <v>1.4315500000000001</v>
      </c>
    </row>
    <row r="208" spans="1:12" x14ac:dyDescent="0.2">
      <c r="A208" s="2" t="s">
        <v>270</v>
      </c>
      <c r="B208" s="2" t="s">
        <v>3030</v>
      </c>
      <c r="C208" s="2" t="s">
        <v>1847</v>
      </c>
      <c r="D208" s="2" t="s">
        <v>1839</v>
      </c>
      <c r="E208" s="2" t="s">
        <v>1841</v>
      </c>
      <c r="F208" s="2">
        <v>0.84190299999999996</v>
      </c>
      <c r="G208" s="2">
        <v>2.4096299999999999</v>
      </c>
      <c r="H208" s="2">
        <v>1.51708</v>
      </c>
      <c r="I208" s="2">
        <v>1</v>
      </c>
      <c r="K208" s="2" t="s">
        <v>273</v>
      </c>
      <c r="L208" s="2">
        <v>-1.0362499999999999</v>
      </c>
    </row>
    <row r="209" spans="1:12" x14ac:dyDescent="0.2">
      <c r="A209" s="2" t="s">
        <v>1216</v>
      </c>
      <c r="B209" s="2" t="s">
        <v>3015</v>
      </c>
      <c r="C209" s="2" t="s">
        <v>2706</v>
      </c>
      <c r="D209" s="2" t="s">
        <v>1839</v>
      </c>
      <c r="E209" s="2" t="s">
        <v>1841</v>
      </c>
      <c r="F209" s="2">
        <v>15.465299999999999</v>
      </c>
      <c r="G209" s="2">
        <v>31.603400000000001</v>
      </c>
      <c r="H209" s="2">
        <v>1.03104</v>
      </c>
      <c r="I209" s="2">
        <v>1</v>
      </c>
      <c r="K209" s="2" t="s">
        <v>1554</v>
      </c>
      <c r="L209" s="2">
        <v>-1.16238</v>
      </c>
    </row>
    <row r="210" spans="1:12" x14ac:dyDescent="0.2">
      <c r="A210" s="2" t="s">
        <v>271</v>
      </c>
      <c r="B210" s="2" t="s">
        <v>3030</v>
      </c>
      <c r="C210" s="2" t="s">
        <v>2707</v>
      </c>
      <c r="D210" s="2" t="s">
        <v>1839</v>
      </c>
      <c r="E210" s="2" t="s">
        <v>1841</v>
      </c>
      <c r="F210" s="2">
        <v>6.2331300000000001</v>
      </c>
      <c r="G210" s="2">
        <v>2.1027</v>
      </c>
      <c r="H210" s="2">
        <v>-1.5677099999999999</v>
      </c>
      <c r="I210" s="2">
        <v>1</v>
      </c>
      <c r="K210" s="2" t="s">
        <v>275</v>
      </c>
      <c r="L210" s="2">
        <v>-1.43445</v>
      </c>
    </row>
    <row r="211" spans="1:12" x14ac:dyDescent="0.2">
      <c r="A211" s="2" t="s">
        <v>272</v>
      </c>
      <c r="B211" s="2" t="s">
        <v>3307</v>
      </c>
      <c r="C211" s="2" t="s">
        <v>2433</v>
      </c>
      <c r="D211" s="2" t="s">
        <v>1839</v>
      </c>
      <c r="E211" s="2" t="s">
        <v>1841</v>
      </c>
      <c r="F211" s="2">
        <v>4.5541499999999999</v>
      </c>
      <c r="G211" s="2">
        <v>12.2842</v>
      </c>
      <c r="H211" s="2">
        <v>1.4315500000000001</v>
      </c>
      <c r="I211" s="2">
        <v>1</v>
      </c>
      <c r="K211" s="2" t="s">
        <v>1219</v>
      </c>
      <c r="L211" s="2">
        <v>1.20381</v>
      </c>
    </row>
    <row r="212" spans="1:12" x14ac:dyDescent="0.2">
      <c r="A212" s="2" t="s">
        <v>273</v>
      </c>
      <c r="B212" s="2" t="s">
        <v>3015</v>
      </c>
      <c r="C212" s="2" t="s">
        <v>3015</v>
      </c>
      <c r="D212" s="2" t="s">
        <v>1839</v>
      </c>
      <c r="E212" s="2" t="s">
        <v>1841</v>
      </c>
      <c r="F212" s="2">
        <v>25.186699999999998</v>
      </c>
      <c r="G212" s="2">
        <v>12.280900000000001</v>
      </c>
      <c r="H212" s="2">
        <v>-1.0362499999999999</v>
      </c>
      <c r="I212" s="2">
        <v>1</v>
      </c>
      <c r="K212" s="2" t="s">
        <v>1555</v>
      </c>
      <c r="L212" s="2">
        <v>-1.0547599999999999</v>
      </c>
    </row>
    <row r="213" spans="1:12" x14ac:dyDescent="0.2">
      <c r="A213" s="2" t="s">
        <v>1554</v>
      </c>
      <c r="B213" s="2" t="s">
        <v>3015</v>
      </c>
      <c r="C213" s="2" t="s">
        <v>3015</v>
      </c>
      <c r="D213" s="2" t="s">
        <v>1839</v>
      </c>
      <c r="E213" s="2" t="s">
        <v>1841</v>
      </c>
      <c r="F213" s="2">
        <v>110.721</v>
      </c>
      <c r="G213" s="2">
        <v>49.467599999999997</v>
      </c>
      <c r="H213" s="2">
        <v>-1.16238</v>
      </c>
      <c r="I213" s="2">
        <v>1</v>
      </c>
      <c r="K213" s="2" t="s">
        <v>1556</v>
      </c>
      <c r="L213" s="2">
        <v>-1.4055899999999999</v>
      </c>
    </row>
    <row r="214" spans="1:12" x14ac:dyDescent="0.2">
      <c r="A214" s="2" t="s">
        <v>275</v>
      </c>
      <c r="B214" s="2" t="s">
        <v>3015</v>
      </c>
      <c r="C214" s="2" t="s">
        <v>3408</v>
      </c>
      <c r="D214" s="2" t="s">
        <v>1839</v>
      </c>
      <c r="E214" s="2" t="s">
        <v>1841</v>
      </c>
      <c r="F214" s="2">
        <v>11.014799999999999</v>
      </c>
      <c r="G214" s="2">
        <v>4.0753500000000003</v>
      </c>
      <c r="H214" s="2">
        <v>-1.43445</v>
      </c>
      <c r="I214" s="2">
        <v>1</v>
      </c>
      <c r="K214" s="2" t="s">
        <v>1557</v>
      </c>
      <c r="L214" s="2">
        <v>-1.23925</v>
      </c>
    </row>
    <row r="215" spans="1:12" x14ac:dyDescent="0.2">
      <c r="A215" s="2" t="s">
        <v>1219</v>
      </c>
      <c r="B215" s="2" t="s">
        <v>3015</v>
      </c>
      <c r="C215" s="2" t="s">
        <v>2708</v>
      </c>
      <c r="D215" s="2" t="s">
        <v>1839</v>
      </c>
      <c r="E215" s="2" t="s">
        <v>1841</v>
      </c>
      <c r="F215" s="2">
        <v>1.08778</v>
      </c>
      <c r="G215" s="2">
        <v>2.5056699999999998</v>
      </c>
      <c r="H215" s="2">
        <v>1.20381</v>
      </c>
      <c r="I215" s="2">
        <v>1</v>
      </c>
      <c r="K215" s="2" t="s">
        <v>1558</v>
      </c>
      <c r="L215" s="2">
        <v>1.5965100000000001</v>
      </c>
    </row>
    <row r="216" spans="1:12" x14ac:dyDescent="0.2">
      <c r="A216" s="2" t="s">
        <v>1555</v>
      </c>
      <c r="B216" s="2" t="s">
        <v>3015</v>
      </c>
      <c r="C216" s="2" t="s">
        <v>3015</v>
      </c>
      <c r="D216" s="2" t="s">
        <v>1839</v>
      </c>
      <c r="E216" s="2" t="s">
        <v>1841</v>
      </c>
      <c r="F216" s="2">
        <v>4.4030399999999998</v>
      </c>
      <c r="G216" s="2">
        <v>2.1195200000000001</v>
      </c>
      <c r="H216" s="2">
        <v>-1.0547599999999999</v>
      </c>
      <c r="I216" s="2">
        <v>1</v>
      </c>
      <c r="K216" s="2" t="s">
        <v>284</v>
      </c>
      <c r="L216" s="2">
        <v>1.29477</v>
      </c>
    </row>
    <row r="217" spans="1:12" x14ac:dyDescent="0.2">
      <c r="A217" s="2" t="s">
        <v>1556</v>
      </c>
      <c r="B217" s="2" t="s">
        <v>3015</v>
      </c>
      <c r="C217" s="2" t="s">
        <v>2709</v>
      </c>
      <c r="D217" s="2" t="s">
        <v>1839</v>
      </c>
      <c r="E217" s="2" t="s">
        <v>1841</v>
      </c>
      <c r="F217" s="2">
        <v>4.2792899999999996</v>
      </c>
      <c r="G217" s="2">
        <v>1.61528</v>
      </c>
      <c r="H217" s="2">
        <v>-1.4055899999999999</v>
      </c>
      <c r="I217" s="2">
        <v>1</v>
      </c>
      <c r="K217" s="2" t="s">
        <v>1221</v>
      </c>
      <c r="L217" s="2">
        <v>1.3154399999999999</v>
      </c>
    </row>
    <row r="218" spans="1:12" x14ac:dyDescent="0.2">
      <c r="A218" s="2" t="s">
        <v>1557</v>
      </c>
      <c r="B218" s="2" t="s">
        <v>3015</v>
      </c>
      <c r="C218" s="2" t="s">
        <v>3015</v>
      </c>
      <c r="D218" s="2" t="s">
        <v>1839</v>
      </c>
      <c r="E218" s="2" t="s">
        <v>1841</v>
      </c>
      <c r="F218" s="2">
        <v>0.92178300000000002</v>
      </c>
      <c r="G218" s="2">
        <v>0.39046199999999998</v>
      </c>
      <c r="H218" s="2">
        <v>-1.23925</v>
      </c>
      <c r="I218" s="2">
        <v>1</v>
      </c>
      <c r="K218" s="2" t="s">
        <v>285</v>
      </c>
      <c r="L218" s="2">
        <v>-1.44808</v>
      </c>
    </row>
    <row r="219" spans="1:12" x14ac:dyDescent="0.2">
      <c r="A219" s="2" t="s">
        <v>1558</v>
      </c>
      <c r="B219" s="2" t="s">
        <v>3015</v>
      </c>
      <c r="C219" s="2" t="s">
        <v>2710</v>
      </c>
      <c r="D219" s="2" t="s">
        <v>1839</v>
      </c>
      <c r="E219" s="2" t="s">
        <v>1841</v>
      </c>
      <c r="F219" s="2">
        <v>0.30795</v>
      </c>
      <c r="G219" s="2">
        <v>0.93127300000000002</v>
      </c>
      <c r="H219" s="2">
        <v>1.5965100000000001</v>
      </c>
      <c r="I219" s="2">
        <v>1</v>
      </c>
      <c r="K219" s="2" t="s">
        <v>1559</v>
      </c>
      <c r="L219" s="2">
        <v>-1.0536099999999999</v>
      </c>
    </row>
    <row r="220" spans="1:12" x14ac:dyDescent="0.2">
      <c r="A220" s="2" t="s">
        <v>284</v>
      </c>
      <c r="B220" s="2" t="s">
        <v>3226</v>
      </c>
      <c r="C220" s="2" t="s">
        <v>2711</v>
      </c>
      <c r="D220" s="2" t="s">
        <v>1839</v>
      </c>
      <c r="E220" s="2" t="s">
        <v>1841</v>
      </c>
      <c r="F220" s="2">
        <v>4.4112299999999998</v>
      </c>
      <c r="G220" s="2">
        <v>10.8224</v>
      </c>
      <c r="H220" s="2">
        <v>1.29477</v>
      </c>
      <c r="I220" s="2">
        <v>1</v>
      </c>
      <c r="K220" s="2" t="s">
        <v>1224</v>
      </c>
      <c r="L220" s="2">
        <v>-1.14238</v>
      </c>
    </row>
    <row r="221" spans="1:12" x14ac:dyDescent="0.2">
      <c r="A221" s="2" t="s">
        <v>1221</v>
      </c>
      <c r="B221" s="2" t="s">
        <v>3409</v>
      </c>
      <c r="C221" s="2" t="s">
        <v>2712</v>
      </c>
      <c r="D221" s="2" t="s">
        <v>1839</v>
      </c>
      <c r="E221" s="2" t="s">
        <v>1841</v>
      </c>
      <c r="F221" s="2">
        <v>3.3682099999999999</v>
      </c>
      <c r="G221" s="2">
        <v>8.3827499999999997</v>
      </c>
      <c r="H221" s="2">
        <v>1.3154399999999999</v>
      </c>
      <c r="I221" s="2">
        <v>1</v>
      </c>
      <c r="K221" s="2" t="s">
        <v>1560</v>
      </c>
      <c r="L221" s="2">
        <v>1.02504</v>
      </c>
    </row>
    <row r="222" spans="1:12" x14ac:dyDescent="0.2">
      <c r="A222" s="2" t="s">
        <v>285</v>
      </c>
      <c r="B222" s="2" t="s">
        <v>3015</v>
      </c>
      <c r="C222" s="2" t="s">
        <v>1976</v>
      </c>
      <c r="D222" s="2" t="s">
        <v>1839</v>
      </c>
      <c r="E222" s="2" t="s">
        <v>1841</v>
      </c>
      <c r="F222" s="2">
        <v>1.9960100000000001</v>
      </c>
      <c r="G222" s="2">
        <v>0.73155400000000004</v>
      </c>
      <c r="H222" s="2">
        <v>-1.44808</v>
      </c>
      <c r="I222" s="2">
        <v>1</v>
      </c>
      <c r="K222" s="2" t="s">
        <v>287</v>
      </c>
      <c r="L222" s="2">
        <v>1.42479</v>
      </c>
    </row>
    <row r="223" spans="1:12" x14ac:dyDescent="0.2">
      <c r="A223" s="2" t="s">
        <v>1559</v>
      </c>
      <c r="B223" s="2" t="s">
        <v>3308</v>
      </c>
      <c r="C223" s="2" t="s">
        <v>1976</v>
      </c>
      <c r="D223" s="2" t="s">
        <v>1839</v>
      </c>
      <c r="E223" s="2" t="s">
        <v>1841</v>
      </c>
      <c r="F223" s="2">
        <v>1.6736200000000001</v>
      </c>
      <c r="G223" s="2">
        <v>0.806284</v>
      </c>
      <c r="H223" s="2">
        <v>-1.0536099999999999</v>
      </c>
      <c r="I223" s="2">
        <v>1</v>
      </c>
      <c r="K223" s="2" t="s">
        <v>1561</v>
      </c>
      <c r="L223" s="2">
        <v>-1.18693</v>
      </c>
    </row>
    <row r="224" spans="1:12" x14ac:dyDescent="0.2">
      <c r="A224" s="2" t="s">
        <v>1224</v>
      </c>
      <c r="B224" s="2" t="s">
        <v>3308</v>
      </c>
      <c r="C224" s="2" t="s">
        <v>1976</v>
      </c>
      <c r="D224" s="2" t="s">
        <v>1839</v>
      </c>
      <c r="E224" s="2" t="s">
        <v>1841</v>
      </c>
      <c r="F224" s="2">
        <v>5.9515200000000004</v>
      </c>
      <c r="G224" s="2">
        <v>2.69611</v>
      </c>
      <c r="H224" s="2">
        <v>-1.14238</v>
      </c>
      <c r="I224" s="2">
        <v>1</v>
      </c>
      <c r="K224" s="2" t="s">
        <v>1562</v>
      </c>
      <c r="L224" s="2">
        <v>1.24265</v>
      </c>
    </row>
    <row r="225" spans="1:12" x14ac:dyDescent="0.2">
      <c r="A225" s="2" t="s">
        <v>1560</v>
      </c>
      <c r="B225" s="2" t="s">
        <v>3015</v>
      </c>
      <c r="C225" s="2" t="s">
        <v>2713</v>
      </c>
      <c r="D225" s="2" t="s">
        <v>1839</v>
      </c>
      <c r="E225" s="2" t="s">
        <v>1841</v>
      </c>
      <c r="F225" s="2">
        <v>1.47645</v>
      </c>
      <c r="G225" s="2">
        <v>3.0045799999999998</v>
      </c>
      <c r="H225" s="2">
        <v>1.02504</v>
      </c>
      <c r="I225" s="2">
        <v>1</v>
      </c>
      <c r="K225" s="2" t="s">
        <v>288</v>
      </c>
      <c r="L225" s="2">
        <v>1.8684400000000001</v>
      </c>
    </row>
    <row r="226" spans="1:12" x14ac:dyDescent="0.2">
      <c r="A226" s="2" t="s">
        <v>287</v>
      </c>
      <c r="B226" s="2" t="s">
        <v>3015</v>
      </c>
      <c r="C226" s="2" t="s">
        <v>2714</v>
      </c>
      <c r="D226" s="2" t="s">
        <v>1839</v>
      </c>
      <c r="E226" s="2" t="s">
        <v>1841</v>
      </c>
      <c r="F226" s="2">
        <v>1.24552</v>
      </c>
      <c r="G226" s="2">
        <v>3.3439000000000001</v>
      </c>
      <c r="H226" s="2">
        <v>1.42479</v>
      </c>
      <c r="I226" s="2">
        <v>1</v>
      </c>
      <c r="K226" s="2" t="s">
        <v>289</v>
      </c>
      <c r="L226" s="2">
        <v>1.47306</v>
      </c>
    </row>
    <row r="227" spans="1:12" x14ac:dyDescent="0.2">
      <c r="A227" s="2" t="s">
        <v>1561</v>
      </c>
      <c r="B227" s="2" t="s">
        <v>3015</v>
      </c>
      <c r="C227" s="2" t="s">
        <v>2715</v>
      </c>
      <c r="D227" s="2" t="s">
        <v>1839</v>
      </c>
      <c r="E227" s="2" t="s">
        <v>1841</v>
      </c>
      <c r="F227" s="2">
        <v>1.8907400000000001</v>
      </c>
      <c r="G227" s="2">
        <v>0.83048</v>
      </c>
      <c r="H227" s="2">
        <v>-1.18693</v>
      </c>
      <c r="I227" s="2">
        <v>1</v>
      </c>
      <c r="K227" s="2" t="s">
        <v>1563</v>
      </c>
      <c r="L227" s="2">
        <v>1.22055</v>
      </c>
    </row>
    <row r="228" spans="1:12" x14ac:dyDescent="0.2">
      <c r="A228" s="2" t="s">
        <v>1562</v>
      </c>
      <c r="B228" s="2" t="s">
        <v>3081</v>
      </c>
      <c r="C228" s="2" t="s">
        <v>2716</v>
      </c>
      <c r="D228" s="2" t="s">
        <v>1839</v>
      </c>
      <c r="E228" s="2" t="s">
        <v>1841</v>
      </c>
      <c r="F228" s="2">
        <v>0.62666100000000002</v>
      </c>
      <c r="G228" s="2">
        <v>1.48289</v>
      </c>
      <c r="H228" s="2">
        <v>1.24265</v>
      </c>
      <c r="I228" s="2">
        <v>1</v>
      </c>
      <c r="K228" s="2" t="s">
        <v>290</v>
      </c>
      <c r="L228" s="2">
        <v>2.2122799999999998</v>
      </c>
    </row>
    <row r="229" spans="1:12" x14ac:dyDescent="0.2">
      <c r="A229" s="2" t="s">
        <v>288</v>
      </c>
      <c r="B229" s="2" t="s">
        <v>3410</v>
      </c>
      <c r="C229" s="2" t="s">
        <v>2717</v>
      </c>
      <c r="D229" s="2" t="s">
        <v>1839</v>
      </c>
      <c r="E229" s="2" t="s">
        <v>1841</v>
      </c>
      <c r="F229" s="2">
        <v>2.1268799999999999</v>
      </c>
      <c r="G229" s="2">
        <v>7.7660299999999998</v>
      </c>
      <c r="H229" s="2">
        <v>1.8684400000000001</v>
      </c>
      <c r="I229" s="2">
        <v>1</v>
      </c>
      <c r="K229" s="2" t="s">
        <v>1564</v>
      </c>
      <c r="L229" s="2">
        <v>1.37853</v>
      </c>
    </row>
    <row r="230" spans="1:12" x14ac:dyDescent="0.2">
      <c r="A230" s="2" t="s">
        <v>289</v>
      </c>
      <c r="B230" s="2" t="s">
        <v>3258</v>
      </c>
      <c r="C230" s="2" t="s">
        <v>2718</v>
      </c>
      <c r="D230" s="2" t="s">
        <v>1839</v>
      </c>
      <c r="E230" s="2" t="s">
        <v>1841</v>
      </c>
      <c r="F230" s="2">
        <v>2.0773899999999998</v>
      </c>
      <c r="G230" s="2">
        <v>5.76708</v>
      </c>
      <c r="H230" s="2">
        <v>1.47306</v>
      </c>
      <c r="I230" s="2">
        <v>1</v>
      </c>
      <c r="K230" s="2" t="s">
        <v>294</v>
      </c>
      <c r="L230" s="2">
        <v>-2.6211600000000002</v>
      </c>
    </row>
    <row r="231" spans="1:12" x14ac:dyDescent="0.2">
      <c r="A231" s="2" t="s">
        <v>1563</v>
      </c>
      <c r="B231" s="2" t="s">
        <v>3351</v>
      </c>
      <c r="C231" s="2" t="s">
        <v>1964</v>
      </c>
      <c r="D231" s="2" t="s">
        <v>1839</v>
      </c>
      <c r="E231" s="2" t="s">
        <v>1841</v>
      </c>
      <c r="F231" s="2">
        <v>0.50949100000000003</v>
      </c>
      <c r="G231" s="2">
        <v>1.1873</v>
      </c>
      <c r="H231" s="2">
        <v>1.22055</v>
      </c>
      <c r="I231" s="2">
        <v>1</v>
      </c>
      <c r="K231" s="2" t="s">
        <v>296</v>
      </c>
      <c r="L231" s="2">
        <v>1.2069399999999999</v>
      </c>
    </row>
    <row r="232" spans="1:12" x14ac:dyDescent="0.2">
      <c r="A232" s="2" t="s">
        <v>290</v>
      </c>
      <c r="B232" s="2" t="s">
        <v>3015</v>
      </c>
      <c r="C232" s="2" t="s">
        <v>1986</v>
      </c>
      <c r="D232" s="2" t="s">
        <v>1839</v>
      </c>
      <c r="E232" s="2" t="s">
        <v>1841</v>
      </c>
      <c r="F232" s="2">
        <v>0.68375399999999997</v>
      </c>
      <c r="G232" s="2">
        <v>3.1685699999999999</v>
      </c>
      <c r="H232" s="2">
        <v>2.2122799999999998</v>
      </c>
      <c r="I232" s="2">
        <v>1</v>
      </c>
      <c r="K232" s="2" t="s">
        <v>1565</v>
      </c>
      <c r="L232" s="2">
        <v>-1.0524899999999999</v>
      </c>
    </row>
    <row r="233" spans="1:12" x14ac:dyDescent="0.2">
      <c r="A233" s="2" t="s">
        <v>1564</v>
      </c>
      <c r="B233" s="2" t="s">
        <v>3411</v>
      </c>
      <c r="C233" s="2" t="s">
        <v>3015</v>
      </c>
      <c r="D233" s="2" t="s">
        <v>1839</v>
      </c>
      <c r="E233" s="2" t="s">
        <v>1841</v>
      </c>
      <c r="F233" s="2">
        <v>0.91415199999999996</v>
      </c>
      <c r="G233" s="2">
        <v>2.3768199999999999</v>
      </c>
      <c r="H233" s="2">
        <v>1.37853</v>
      </c>
      <c r="I233" s="2">
        <v>1</v>
      </c>
      <c r="K233" s="2" t="s">
        <v>1566</v>
      </c>
      <c r="L233" s="2">
        <v>1.7561</v>
      </c>
    </row>
    <row r="234" spans="1:12" x14ac:dyDescent="0.2">
      <c r="A234" s="2" t="s">
        <v>294</v>
      </c>
      <c r="B234" s="2" t="s">
        <v>3015</v>
      </c>
      <c r="C234" s="2" t="s">
        <v>1979</v>
      </c>
      <c r="D234" s="2" t="s">
        <v>1839</v>
      </c>
      <c r="E234" s="2" t="s">
        <v>1841</v>
      </c>
      <c r="F234" s="2">
        <v>2.4047800000000001</v>
      </c>
      <c r="G234" s="2">
        <v>0.39086599999999999</v>
      </c>
      <c r="H234" s="2">
        <v>-2.6211600000000002</v>
      </c>
      <c r="I234" s="2">
        <v>1</v>
      </c>
      <c r="K234" s="2" t="s">
        <v>1231</v>
      </c>
      <c r="L234" s="2">
        <v>1.01613</v>
      </c>
    </row>
    <row r="235" spans="1:12" x14ac:dyDescent="0.2">
      <c r="A235" s="2" t="s">
        <v>296</v>
      </c>
      <c r="B235" s="2" t="s">
        <v>3412</v>
      </c>
      <c r="C235" s="2" t="s">
        <v>1923</v>
      </c>
      <c r="D235" s="2" t="s">
        <v>1839</v>
      </c>
      <c r="E235" s="2" t="s">
        <v>1841</v>
      </c>
      <c r="F235" s="2">
        <v>15.673500000000001</v>
      </c>
      <c r="G235" s="2">
        <v>36.181800000000003</v>
      </c>
      <c r="H235" s="2">
        <v>1.2069399999999999</v>
      </c>
      <c r="I235" s="2">
        <v>1</v>
      </c>
      <c r="K235" s="2" t="s">
        <v>1234</v>
      </c>
      <c r="L235" s="2">
        <v>1.25657</v>
      </c>
    </row>
    <row r="236" spans="1:12" x14ac:dyDescent="0.2">
      <c r="A236" s="2" t="s">
        <v>1565</v>
      </c>
      <c r="B236" s="2" t="s">
        <v>3413</v>
      </c>
      <c r="C236" s="2" t="s">
        <v>2719</v>
      </c>
      <c r="D236" s="2" t="s">
        <v>1839</v>
      </c>
      <c r="E236" s="2" t="s">
        <v>1841</v>
      </c>
      <c r="F236" s="2">
        <v>28.171199999999999</v>
      </c>
      <c r="G236" s="2">
        <v>13.5823</v>
      </c>
      <c r="H236" s="2">
        <v>-1.0524899999999999</v>
      </c>
      <c r="I236" s="2">
        <v>1</v>
      </c>
      <c r="K236" s="2" t="s">
        <v>1567</v>
      </c>
      <c r="L236" s="2">
        <v>-2.0070299999999999</v>
      </c>
    </row>
    <row r="237" spans="1:12" x14ac:dyDescent="0.2">
      <c r="A237" s="2" t="s">
        <v>1566</v>
      </c>
      <c r="B237" s="2" t="s">
        <v>3258</v>
      </c>
      <c r="C237" s="2" t="s">
        <v>2720</v>
      </c>
      <c r="D237" s="2" t="s">
        <v>1839</v>
      </c>
      <c r="E237" s="2" t="s">
        <v>1841</v>
      </c>
      <c r="F237" s="2">
        <v>0.46696199999999999</v>
      </c>
      <c r="G237" s="2">
        <v>1.5773200000000001</v>
      </c>
      <c r="H237" s="2">
        <v>1.7561</v>
      </c>
      <c r="I237" s="2">
        <v>1</v>
      </c>
      <c r="K237" s="2" t="s">
        <v>1568</v>
      </c>
      <c r="L237" s="2">
        <v>-1.3381000000000001</v>
      </c>
    </row>
    <row r="238" spans="1:12" x14ac:dyDescent="0.2">
      <c r="A238" s="2" t="s">
        <v>1231</v>
      </c>
      <c r="B238" s="2" t="s">
        <v>3030</v>
      </c>
      <c r="C238" s="2" t="s">
        <v>2721</v>
      </c>
      <c r="D238" s="2" t="s">
        <v>1839</v>
      </c>
      <c r="E238" s="2" t="s">
        <v>1841</v>
      </c>
      <c r="F238" s="2">
        <v>1.5259100000000001</v>
      </c>
      <c r="G238" s="2">
        <v>3.0861200000000002</v>
      </c>
      <c r="H238" s="2">
        <v>1.01613</v>
      </c>
      <c r="I238" s="2">
        <v>1</v>
      </c>
      <c r="K238" s="2" t="s">
        <v>1235</v>
      </c>
      <c r="L238" s="2">
        <v>1.1288800000000001</v>
      </c>
    </row>
    <row r="239" spans="1:12" x14ac:dyDescent="0.2">
      <c r="A239" s="2" t="s">
        <v>1234</v>
      </c>
      <c r="B239" s="2" t="s">
        <v>3015</v>
      </c>
      <c r="C239" s="2" t="s">
        <v>2722</v>
      </c>
      <c r="D239" s="2" t="s">
        <v>1839</v>
      </c>
      <c r="E239" s="2" t="s">
        <v>1841</v>
      </c>
      <c r="F239" s="2">
        <v>3.2721900000000002</v>
      </c>
      <c r="G239" s="2">
        <v>7.8181599999999998</v>
      </c>
      <c r="H239" s="2">
        <v>1.25657</v>
      </c>
      <c r="I239" s="2">
        <v>1</v>
      </c>
      <c r="K239" s="2" t="s">
        <v>1237</v>
      </c>
      <c r="L239" s="2">
        <v>2.60643</v>
      </c>
    </row>
    <row r="240" spans="1:12" x14ac:dyDescent="0.2">
      <c r="A240" s="2" t="s">
        <v>1567</v>
      </c>
      <c r="B240" s="2" t="s">
        <v>3155</v>
      </c>
      <c r="C240" s="2" t="s">
        <v>2723</v>
      </c>
      <c r="D240" s="2" t="s">
        <v>1839</v>
      </c>
      <c r="E240" s="2" t="s">
        <v>1841</v>
      </c>
      <c r="F240" s="2">
        <v>3.49817</v>
      </c>
      <c r="G240" s="2">
        <v>0.87029000000000001</v>
      </c>
      <c r="H240" s="2">
        <v>-2.0070299999999999</v>
      </c>
      <c r="I240" s="2">
        <v>1</v>
      </c>
      <c r="K240" s="2" t="s">
        <v>306</v>
      </c>
      <c r="L240" s="2">
        <v>1.8645400000000001</v>
      </c>
    </row>
    <row r="241" spans="1:12" x14ac:dyDescent="0.2">
      <c r="A241" s="2" t="s">
        <v>1568</v>
      </c>
      <c r="B241" s="2" t="s">
        <v>3414</v>
      </c>
      <c r="C241" s="2" t="s">
        <v>2724</v>
      </c>
      <c r="D241" s="2" t="s">
        <v>1839</v>
      </c>
      <c r="E241" s="2" t="s">
        <v>1841</v>
      </c>
      <c r="F241" s="2">
        <v>3.9556499999999999</v>
      </c>
      <c r="G241" s="2">
        <v>1.5646199999999999</v>
      </c>
      <c r="H241" s="2">
        <v>-1.3381000000000001</v>
      </c>
      <c r="I241" s="2">
        <v>1</v>
      </c>
      <c r="K241" s="2" t="s">
        <v>1569</v>
      </c>
      <c r="L241" s="2">
        <v>-1.28308</v>
      </c>
    </row>
    <row r="242" spans="1:12" x14ac:dyDescent="0.2">
      <c r="A242" s="2" t="s">
        <v>1235</v>
      </c>
      <c r="B242" s="2" t="s">
        <v>3015</v>
      </c>
      <c r="C242" s="2" t="s">
        <v>2444</v>
      </c>
      <c r="D242" s="2" t="s">
        <v>1839</v>
      </c>
      <c r="E242" s="2" t="s">
        <v>1841</v>
      </c>
      <c r="F242" s="2">
        <v>3.1591900000000002</v>
      </c>
      <c r="G242" s="2">
        <v>6.9088200000000004</v>
      </c>
      <c r="H242" s="2">
        <v>1.1288800000000001</v>
      </c>
      <c r="I242" s="2">
        <v>1</v>
      </c>
      <c r="K242" s="2" t="s">
        <v>309</v>
      </c>
      <c r="L242" s="2">
        <v>1.1723699999999999</v>
      </c>
    </row>
    <row r="243" spans="1:12" x14ac:dyDescent="0.2">
      <c r="A243" s="2" t="s">
        <v>1237</v>
      </c>
      <c r="B243" s="2" t="s">
        <v>3313</v>
      </c>
      <c r="C243" s="2" t="s">
        <v>2445</v>
      </c>
      <c r="D243" s="2" t="s">
        <v>1839</v>
      </c>
      <c r="E243" s="2" t="s">
        <v>1841</v>
      </c>
      <c r="F243" s="2">
        <v>0.46317900000000001</v>
      </c>
      <c r="G243" s="2">
        <v>2.8207300000000002</v>
      </c>
      <c r="H243" s="2">
        <v>2.60643</v>
      </c>
      <c r="I243" s="2">
        <v>1</v>
      </c>
      <c r="K243" s="2" t="s">
        <v>1570</v>
      </c>
      <c r="L243" s="2">
        <v>1.3318099999999999</v>
      </c>
    </row>
    <row r="244" spans="1:12" x14ac:dyDescent="0.2">
      <c r="A244" s="2" t="s">
        <v>306</v>
      </c>
      <c r="B244" s="2" t="s">
        <v>3045</v>
      </c>
      <c r="C244" s="2" t="s">
        <v>1986</v>
      </c>
      <c r="D244" s="2" t="s">
        <v>1839</v>
      </c>
      <c r="E244" s="2" t="s">
        <v>1841</v>
      </c>
      <c r="F244" s="2">
        <v>2.29678</v>
      </c>
      <c r="G244" s="2">
        <v>8.3637899999999998</v>
      </c>
      <c r="H244" s="2">
        <v>1.8645400000000001</v>
      </c>
      <c r="I244" s="2">
        <v>1</v>
      </c>
      <c r="K244" s="2" t="s">
        <v>1571</v>
      </c>
      <c r="L244" s="2">
        <v>1.29</v>
      </c>
    </row>
    <row r="245" spans="1:12" x14ac:dyDescent="0.2">
      <c r="A245" s="2" t="s">
        <v>1569</v>
      </c>
      <c r="B245" s="2" t="s">
        <v>3015</v>
      </c>
      <c r="C245" s="2" t="s">
        <v>2725</v>
      </c>
      <c r="D245" s="2" t="s">
        <v>1839</v>
      </c>
      <c r="E245" s="2" t="s">
        <v>1841</v>
      </c>
      <c r="F245" s="2">
        <v>58.312800000000003</v>
      </c>
      <c r="G245" s="2">
        <v>23.9617</v>
      </c>
      <c r="H245" s="2">
        <v>-1.28308</v>
      </c>
      <c r="I245" s="2">
        <v>1</v>
      </c>
      <c r="K245" s="2" t="s">
        <v>1572</v>
      </c>
      <c r="L245" s="2">
        <v>-1.1967099999999999</v>
      </c>
    </row>
    <row r="246" spans="1:12" x14ac:dyDescent="0.2">
      <c r="A246" s="2" t="s">
        <v>309</v>
      </c>
      <c r="B246" s="2" t="s">
        <v>3063</v>
      </c>
      <c r="C246" s="2" t="s">
        <v>2726</v>
      </c>
      <c r="D246" s="2" t="s">
        <v>1839</v>
      </c>
      <c r="E246" s="2" t="s">
        <v>1841</v>
      </c>
      <c r="F246" s="2">
        <v>2.2638600000000002</v>
      </c>
      <c r="G246" s="2">
        <v>5.1023300000000003</v>
      </c>
      <c r="H246" s="2">
        <v>1.1723699999999999</v>
      </c>
      <c r="I246" s="2">
        <v>1</v>
      </c>
      <c r="K246" s="2" t="s">
        <v>310</v>
      </c>
      <c r="L246" s="2">
        <v>1.2188000000000001</v>
      </c>
    </row>
    <row r="247" spans="1:12" x14ac:dyDescent="0.2">
      <c r="A247" s="2" t="s">
        <v>1570</v>
      </c>
      <c r="B247" s="2" t="s">
        <v>3063</v>
      </c>
      <c r="C247" s="2" t="s">
        <v>2727</v>
      </c>
      <c r="D247" s="2" t="s">
        <v>1839</v>
      </c>
      <c r="E247" s="2" t="s">
        <v>1841</v>
      </c>
      <c r="F247" s="2">
        <v>2.2791899999999998</v>
      </c>
      <c r="G247" s="2">
        <v>5.7371499999999997</v>
      </c>
      <c r="H247" s="2">
        <v>1.3318099999999999</v>
      </c>
      <c r="I247" s="2">
        <v>1</v>
      </c>
      <c r="K247" s="2" t="s">
        <v>311</v>
      </c>
      <c r="L247" s="2">
        <v>1.9303399999999999</v>
      </c>
    </row>
    <row r="248" spans="1:12" x14ac:dyDescent="0.2">
      <c r="A248" s="2" t="s">
        <v>1571</v>
      </c>
      <c r="B248" s="2" t="s">
        <v>3415</v>
      </c>
      <c r="C248" s="2" t="s">
        <v>2728</v>
      </c>
      <c r="D248" s="2" t="s">
        <v>1839</v>
      </c>
      <c r="E248" s="2" t="s">
        <v>1841</v>
      </c>
      <c r="F248" s="2">
        <v>0.50380199999999997</v>
      </c>
      <c r="G248" s="2">
        <v>1.23194</v>
      </c>
      <c r="H248" s="2">
        <v>1.29</v>
      </c>
      <c r="I248" s="2">
        <v>1</v>
      </c>
      <c r="K248" s="2" t="s">
        <v>314</v>
      </c>
      <c r="L248" s="2">
        <v>-2.8438500000000002</v>
      </c>
    </row>
    <row r="249" spans="1:12" x14ac:dyDescent="0.2">
      <c r="A249" s="2" t="s">
        <v>1572</v>
      </c>
      <c r="B249" s="2" t="s">
        <v>3015</v>
      </c>
      <c r="C249" s="2" t="s">
        <v>2680</v>
      </c>
      <c r="D249" s="2" t="s">
        <v>1839</v>
      </c>
      <c r="E249" s="2" t="s">
        <v>1841</v>
      </c>
      <c r="F249" s="2">
        <v>2.2843100000000001</v>
      </c>
      <c r="G249" s="2">
        <v>0.99657600000000002</v>
      </c>
      <c r="H249" s="2">
        <v>-1.1967099999999999</v>
      </c>
      <c r="I249" s="2">
        <v>1</v>
      </c>
      <c r="K249" s="2" t="s">
        <v>315</v>
      </c>
      <c r="L249" s="2">
        <v>1.05531</v>
      </c>
    </row>
    <row r="250" spans="1:12" x14ac:dyDescent="0.2">
      <c r="A250" s="2" t="s">
        <v>310</v>
      </c>
      <c r="B250" s="2" t="s">
        <v>3416</v>
      </c>
      <c r="C250" s="2" t="s">
        <v>1847</v>
      </c>
      <c r="D250" s="2" t="s">
        <v>1839</v>
      </c>
      <c r="E250" s="2" t="s">
        <v>1841</v>
      </c>
      <c r="F250" s="2">
        <v>0.66113299999999997</v>
      </c>
      <c r="G250" s="2">
        <v>1.53881</v>
      </c>
      <c r="H250" s="2">
        <v>1.2188000000000001</v>
      </c>
      <c r="I250" s="2">
        <v>1</v>
      </c>
      <c r="K250" s="2" t="s">
        <v>319</v>
      </c>
      <c r="L250" s="2">
        <v>-1.5356099999999999</v>
      </c>
    </row>
    <row r="251" spans="1:12" x14ac:dyDescent="0.2">
      <c r="A251" s="2" t="s">
        <v>311</v>
      </c>
      <c r="B251" s="2" t="s">
        <v>3111</v>
      </c>
      <c r="C251" s="2" t="s">
        <v>1988</v>
      </c>
      <c r="D251" s="2" t="s">
        <v>1839</v>
      </c>
      <c r="E251" s="2" t="s">
        <v>1841</v>
      </c>
      <c r="F251" s="2">
        <v>0.44609300000000002</v>
      </c>
      <c r="G251" s="2">
        <v>1.70025</v>
      </c>
      <c r="H251" s="2">
        <v>1.9303399999999999</v>
      </c>
      <c r="I251" s="2">
        <v>1</v>
      </c>
      <c r="K251" s="2" t="s">
        <v>1238</v>
      </c>
      <c r="L251" s="2">
        <v>1.1605799999999999</v>
      </c>
    </row>
    <row r="252" spans="1:12" x14ac:dyDescent="0.2">
      <c r="A252" s="2" t="s">
        <v>314</v>
      </c>
      <c r="B252" s="2" t="s">
        <v>3094</v>
      </c>
      <c r="C252" s="2" t="s">
        <v>1955</v>
      </c>
      <c r="D252" s="2" t="s">
        <v>1839</v>
      </c>
      <c r="E252" s="2" t="s">
        <v>1841</v>
      </c>
      <c r="F252" s="2">
        <v>1.32748</v>
      </c>
      <c r="G252" s="2">
        <v>0.18490300000000001</v>
      </c>
      <c r="H252" s="2">
        <v>-2.8438500000000002</v>
      </c>
      <c r="I252" s="2">
        <v>1</v>
      </c>
      <c r="K252" s="2" t="s">
        <v>1239</v>
      </c>
      <c r="L252" s="2">
        <v>1.1152</v>
      </c>
    </row>
    <row r="253" spans="1:12" x14ac:dyDescent="0.2">
      <c r="A253" s="2" t="s">
        <v>315</v>
      </c>
      <c r="B253" s="2" t="s">
        <v>3015</v>
      </c>
      <c r="C253" s="2" t="s">
        <v>1990</v>
      </c>
      <c r="D253" s="2" t="s">
        <v>1839</v>
      </c>
      <c r="E253" s="2" t="s">
        <v>1841</v>
      </c>
      <c r="F253" s="2">
        <v>14.3134</v>
      </c>
      <c r="G253" s="2">
        <v>29.745799999999999</v>
      </c>
      <c r="H253" s="2">
        <v>1.05531</v>
      </c>
      <c r="I253" s="2">
        <v>1</v>
      </c>
      <c r="K253" s="2" t="s">
        <v>322</v>
      </c>
      <c r="L253" s="2">
        <v>2.2966099999999998</v>
      </c>
    </row>
    <row r="254" spans="1:12" x14ac:dyDescent="0.2">
      <c r="A254" s="2" t="s">
        <v>319</v>
      </c>
      <c r="B254" s="2" t="s">
        <v>3015</v>
      </c>
      <c r="C254" s="2" t="s">
        <v>2729</v>
      </c>
      <c r="D254" s="2" t="s">
        <v>1839</v>
      </c>
      <c r="E254" s="2" t="s">
        <v>1841</v>
      </c>
      <c r="F254" s="2">
        <v>4.6597900000000001</v>
      </c>
      <c r="G254" s="2">
        <v>1.60731</v>
      </c>
      <c r="H254" s="2">
        <v>-1.5356099999999999</v>
      </c>
      <c r="I254" s="2">
        <v>1</v>
      </c>
      <c r="K254" s="2" t="s">
        <v>325</v>
      </c>
      <c r="L254" s="2">
        <v>-1.1707399999999999</v>
      </c>
    </row>
    <row r="255" spans="1:12" x14ac:dyDescent="0.2">
      <c r="A255" s="2" t="s">
        <v>1238</v>
      </c>
      <c r="B255" s="2" t="s">
        <v>3417</v>
      </c>
      <c r="C255" s="2" t="s">
        <v>1844</v>
      </c>
      <c r="D255" s="2" t="s">
        <v>1839</v>
      </c>
      <c r="E255" s="2" t="s">
        <v>1841</v>
      </c>
      <c r="F255" s="2">
        <v>3.0264099999999998</v>
      </c>
      <c r="G255" s="2">
        <v>6.7654800000000002</v>
      </c>
      <c r="H255" s="2">
        <v>1.1605799999999999</v>
      </c>
      <c r="I255" s="2">
        <v>1</v>
      </c>
      <c r="K255" s="2" t="s">
        <v>327</v>
      </c>
      <c r="L255" s="2">
        <v>1.1800999999999999</v>
      </c>
    </row>
    <row r="256" spans="1:12" x14ac:dyDescent="0.2">
      <c r="A256" s="2" t="s">
        <v>1239</v>
      </c>
      <c r="B256" s="2" t="s">
        <v>3015</v>
      </c>
      <c r="C256" s="2" t="s">
        <v>2730</v>
      </c>
      <c r="D256" s="2" t="s">
        <v>1839</v>
      </c>
      <c r="E256" s="2" t="s">
        <v>1841</v>
      </c>
      <c r="F256" s="2">
        <v>1.1563000000000001</v>
      </c>
      <c r="G256" s="2">
        <v>2.5048300000000001</v>
      </c>
      <c r="H256" s="2">
        <v>1.1152</v>
      </c>
      <c r="I256" s="2">
        <v>1</v>
      </c>
      <c r="K256" s="2" t="s">
        <v>330</v>
      </c>
      <c r="L256" s="2">
        <v>1.26244</v>
      </c>
    </row>
    <row r="257" spans="1:12" x14ac:dyDescent="0.2">
      <c r="A257" s="2" t="s">
        <v>322</v>
      </c>
      <c r="B257" s="2" t="s">
        <v>3015</v>
      </c>
      <c r="C257" s="2" t="s">
        <v>1995</v>
      </c>
      <c r="D257" s="2" t="s">
        <v>1839</v>
      </c>
      <c r="E257" s="2" t="s">
        <v>1841</v>
      </c>
      <c r="F257" s="2">
        <v>0.44319599999999998</v>
      </c>
      <c r="G257" s="2">
        <v>2.1774300000000002</v>
      </c>
      <c r="H257" s="2">
        <v>2.2966099999999998</v>
      </c>
      <c r="I257" s="2">
        <v>1</v>
      </c>
      <c r="K257" s="2" t="s">
        <v>1574</v>
      </c>
      <c r="L257" s="2">
        <v>1.45458</v>
      </c>
    </row>
    <row r="258" spans="1:12" x14ac:dyDescent="0.2">
      <c r="A258" s="2" t="s">
        <v>325</v>
      </c>
      <c r="B258" s="2" t="s">
        <v>3418</v>
      </c>
      <c r="C258" s="2" t="s">
        <v>2113</v>
      </c>
      <c r="D258" s="2" t="s">
        <v>1839</v>
      </c>
      <c r="E258" s="2" t="s">
        <v>1841</v>
      </c>
      <c r="F258" s="2">
        <v>2.67693</v>
      </c>
      <c r="G258" s="2">
        <v>1.1890799999999999</v>
      </c>
      <c r="H258" s="2">
        <v>-1.1707399999999999</v>
      </c>
      <c r="I258" s="2">
        <v>1</v>
      </c>
      <c r="K258" s="2" t="s">
        <v>1575</v>
      </c>
      <c r="L258" s="2">
        <v>1.0175099999999999</v>
      </c>
    </row>
    <row r="259" spans="1:12" x14ac:dyDescent="0.2">
      <c r="A259" s="2" t="s">
        <v>327</v>
      </c>
      <c r="B259" s="2" t="s">
        <v>3315</v>
      </c>
      <c r="C259" s="2" t="s">
        <v>2421</v>
      </c>
      <c r="D259" s="2" t="s">
        <v>1839</v>
      </c>
      <c r="E259" s="2" t="s">
        <v>1841</v>
      </c>
      <c r="F259" s="2">
        <v>0.690662</v>
      </c>
      <c r="G259" s="2">
        <v>1.5649900000000001</v>
      </c>
      <c r="H259" s="2">
        <v>1.1800999999999999</v>
      </c>
      <c r="I259" s="2">
        <v>1</v>
      </c>
      <c r="K259" s="2" t="s">
        <v>1242</v>
      </c>
      <c r="L259" s="2">
        <v>2.4880800000000001</v>
      </c>
    </row>
    <row r="260" spans="1:12" x14ac:dyDescent="0.2">
      <c r="A260" s="2" t="s">
        <v>330</v>
      </c>
      <c r="B260" s="2" t="s">
        <v>3045</v>
      </c>
      <c r="C260" s="2" t="s">
        <v>1847</v>
      </c>
      <c r="D260" s="2" t="s">
        <v>1839</v>
      </c>
      <c r="E260" s="2" t="s">
        <v>1841</v>
      </c>
      <c r="F260" s="2">
        <v>1.4519500000000001</v>
      </c>
      <c r="G260" s="2">
        <v>3.48325</v>
      </c>
      <c r="H260" s="2">
        <v>1.26244</v>
      </c>
      <c r="I260" s="2">
        <v>1</v>
      </c>
      <c r="K260" s="2" t="s">
        <v>331</v>
      </c>
      <c r="L260" s="2">
        <v>1.6503699999999999</v>
      </c>
    </row>
    <row r="261" spans="1:12" x14ac:dyDescent="0.2">
      <c r="A261" s="2" t="s">
        <v>1574</v>
      </c>
      <c r="B261" s="2" t="s">
        <v>3015</v>
      </c>
      <c r="C261" s="2" t="s">
        <v>2731</v>
      </c>
      <c r="D261" s="2" t="s">
        <v>1839</v>
      </c>
      <c r="E261" s="2" t="s">
        <v>1841</v>
      </c>
      <c r="F261" s="2">
        <v>1.40825</v>
      </c>
      <c r="G261" s="2">
        <v>3.8596699999999999</v>
      </c>
      <c r="H261" s="2">
        <v>1.45458</v>
      </c>
      <c r="I261" s="2">
        <v>1</v>
      </c>
      <c r="K261" s="2" t="s">
        <v>1243</v>
      </c>
      <c r="L261" s="2">
        <v>-1.20228</v>
      </c>
    </row>
    <row r="262" spans="1:12" x14ac:dyDescent="0.2">
      <c r="A262" s="2" t="s">
        <v>1575</v>
      </c>
      <c r="B262" s="2" t="s">
        <v>3146</v>
      </c>
      <c r="C262" s="2" t="s">
        <v>2732</v>
      </c>
      <c r="D262" s="2" t="s">
        <v>1839</v>
      </c>
      <c r="E262" s="2" t="s">
        <v>1841</v>
      </c>
      <c r="F262" s="2">
        <v>0.74914700000000001</v>
      </c>
      <c r="G262" s="2">
        <v>1.5165900000000001</v>
      </c>
      <c r="H262" s="2">
        <v>1.0175099999999999</v>
      </c>
      <c r="I262" s="2">
        <v>1</v>
      </c>
      <c r="K262" s="2" t="s">
        <v>332</v>
      </c>
      <c r="L262" s="2">
        <v>-3.1566299999999998</v>
      </c>
    </row>
    <row r="263" spans="1:12" x14ac:dyDescent="0.2">
      <c r="A263" s="2" t="s">
        <v>1242</v>
      </c>
      <c r="B263" s="2" t="s">
        <v>3300</v>
      </c>
      <c r="C263" s="2" t="s">
        <v>2450</v>
      </c>
      <c r="D263" s="2" t="s">
        <v>1839</v>
      </c>
      <c r="E263" s="2" t="s">
        <v>1841</v>
      </c>
      <c r="F263" s="2">
        <v>0.81349899999999997</v>
      </c>
      <c r="G263" s="2">
        <v>4.5639700000000003</v>
      </c>
      <c r="H263" s="2">
        <v>2.4880800000000001</v>
      </c>
      <c r="I263" s="2">
        <v>1</v>
      </c>
      <c r="K263" s="2" t="s">
        <v>335</v>
      </c>
      <c r="L263" s="2">
        <v>1.32795</v>
      </c>
    </row>
    <row r="264" spans="1:12" x14ac:dyDescent="0.2">
      <c r="A264" s="2" t="s">
        <v>331</v>
      </c>
      <c r="B264" s="2" t="s">
        <v>3117</v>
      </c>
      <c r="C264" s="2" t="s">
        <v>1999</v>
      </c>
      <c r="D264" s="2" t="s">
        <v>1839</v>
      </c>
      <c r="E264" s="2" t="s">
        <v>1841</v>
      </c>
      <c r="F264" s="2">
        <v>4.7731000000000003</v>
      </c>
      <c r="G264" s="2">
        <v>14.983499999999999</v>
      </c>
      <c r="H264" s="2">
        <v>1.6503699999999999</v>
      </c>
      <c r="I264" s="2">
        <v>1</v>
      </c>
      <c r="K264" s="2" t="s">
        <v>1576</v>
      </c>
      <c r="L264" s="2">
        <v>-1.34649</v>
      </c>
    </row>
    <row r="265" spans="1:12" x14ac:dyDescent="0.2">
      <c r="A265" s="2" t="s">
        <v>1243</v>
      </c>
      <c r="B265" s="2" t="s">
        <v>3015</v>
      </c>
      <c r="C265" s="2" t="s">
        <v>2451</v>
      </c>
      <c r="D265" s="2" t="s">
        <v>1839</v>
      </c>
      <c r="E265" s="2" t="s">
        <v>1841</v>
      </c>
      <c r="F265" s="2">
        <v>8.1935099999999998</v>
      </c>
      <c r="G265" s="2">
        <v>3.5608</v>
      </c>
      <c r="H265" s="2">
        <v>-1.20228</v>
      </c>
      <c r="I265" s="2">
        <v>1</v>
      </c>
      <c r="K265" s="2" t="s">
        <v>1577</v>
      </c>
      <c r="L265" s="2">
        <v>1.15896</v>
      </c>
    </row>
    <row r="266" spans="1:12" x14ac:dyDescent="0.2">
      <c r="A266" s="2" t="s">
        <v>332</v>
      </c>
      <c r="B266" s="2" t="s">
        <v>3118</v>
      </c>
      <c r="C266" s="2" t="s">
        <v>3015</v>
      </c>
      <c r="D266" s="2" t="s">
        <v>1839</v>
      </c>
      <c r="E266" s="2" t="s">
        <v>1841</v>
      </c>
      <c r="F266" s="2">
        <v>8.9441500000000005</v>
      </c>
      <c r="G266" s="2">
        <v>1.00299</v>
      </c>
      <c r="H266" s="2">
        <v>-3.1566299999999998</v>
      </c>
      <c r="I266" s="2">
        <v>1</v>
      </c>
      <c r="K266" s="2" t="s">
        <v>336</v>
      </c>
      <c r="L266" s="2">
        <v>-1.3176099999999999</v>
      </c>
    </row>
    <row r="267" spans="1:12" x14ac:dyDescent="0.2">
      <c r="A267" s="2" t="s">
        <v>335</v>
      </c>
      <c r="B267" s="2" t="s">
        <v>3015</v>
      </c>
      <c r="C267" s="2" t="s">
        <v>2002</v>
      </c>
      <c r="D267" s="2" t="s">
        <v>1839</v>
      </c>
      <c r="E267" s="2" t="s">
        <v>1841</v>
      </c>
      <c r="F267" s="2">
        <v>1.7890600000000001</v>
      </c>
      <c r="G267" s="2">
        <v>4.4913800000000004</v>
      </c>
      <c r="H267" s="2">
        <v>1.32795</v>
      </c>
      <c r="I267" s="2">
        <v>1</v>
      </c>
      <c r="K267" s="2" t="s">
        <v>1245</v>
      </c>
      <c r="L267" s="2">
        <v>1.1898299999999999</v>
      </c>
    </row>
    <row r="268" spans="1:12" x14ac:dyDescent="0.2">
      <c r="A268" s="2" t="s">
        <v>1576</v>
      </c>
      <c r="B268" s="2" t="s">
        <v>3045</v>
      </c>
      <c r="C268" s="2" t="s">
        <v>2733</v>
      </c>
      <c r="D268" s="2" t="s">
        <v>1839</v>
      </c>
      <c r="E268" s="2" t="s">
        <v>1841</v>
      </c>
      <c r="F268" s="2">
        <v>2.4527399999999999</v>
      </c>
      <c r="G268" s="2">
        <v>0.96453100000000003</v>
      </c>
      <c r="H268" s="2">
        <v>-1.34649</v>
      </c>
      <c r="I268" s="2">
        <v>1</v>
      </c>
      <c r="K268" s="2" t="s">
        <v>339</v>
      </c>
      <c r="L268" s="2">
        <v>2.81819</v>
      </c>
    </row>
    <row r="269" spans="1:12" x14ac:dyDescent="0.2">
      <c r="A269" s="2" t="s">
        <v>1577</v>
      </c>
      <c r="B269" s="2" t="s">
        <v>3015</v>
      </c>
      <c r="C269" s="2" t="s">
        <v>1847</v>
      </c>
      <c r="D269" s="2" t="s">
        <v>1839</v>
      </c>
      <c r="E269" s="2" t="s">
        <v>1841</v>
      </c>
      <c r="F269" s="2">
        <v>1.33785</v>
      </c>
      <c r="G269" s="2">
        <v>2.9873599999999998</v>
      </c>
      <c r="H269" s="2">
        <v>1.15896</v>
      </c>
      <c r="I269" s="2">
        <v>1</v>
      </c>
      <c r="K269" s="2" t="s">
        <v>1578</v>
      </c>
      <c r="L269" s="2">
        <v>1.2813699999999999</v>
      </c>
    </row>
    <row r="270" spans="1:12" x14ac:dyDescent="0.2">
      <c r="A270" s="2" t="s">
        <v>336</v>
      </c>
      <c r="B270" s="2" t="s">
        <v>3100</v>
      </c>
      <c r="C270" s="2" t="s">
        <v>1948</v>
      </c>
      <c r="D270" s="2" t="s">
        <v>1839</v>
      </c>
      <c r="E270" s="2" t="s">
        <v>1841</v>
      </c>
      <c r="F270" s="2">
        <v>31.6296</v>
      </c>
      <c r="G270" s="2">
        <v>12.6897</v>
      </c>
      <c r="H270" s="2">
        <v>-1.3176099999999999</v>
      </c>
      <c r="I270" s="2">
        <v>1</v>
      </c>
      <c r="K270" s="2" t="s">
        <v>341</v>
      </c>
      <c r="L270" s="2">
        <v>-1.00007</v>
      </c>
    </row>
    <row r="271" spans="1:12" x14ac:dyDescent="0.2">
      <c r="A271" s="2" t="s">
        <v>1245</v>
      </c>
      <c r="B271" s="2" t="s">
        <v>3058</v>
      </c>
      <c r="C271" s="2" t="s">
        <v>1908</v>
      </c>
      <c r="D271" s="2" t="s">
        <v>1839</v>
      </c>
      <c r="E271" s="2" t="s">
        <v>1841</v>
      </c>
      <c r="F271" s="2">
        <v>5.6033999999999997</v>
      </c>
      <c r="G271" s="2">
        <v>12.7828</v>
      </c>
      <c r="H271" s="2">
        <v>1.1898299999999999</v>
      </c>
      <c r="I271" s="2">
        <v>1</v>
      </c>
      <c r="K271" s="2" t="s">
        <v>1246</v>
      </c>
      <c r="L271" s="2">
        <v>-1.0200400000000001</v>
      </c>
    </row>
    <row r="272" spans="1:12" x14ac:dyDescent="0.2">
      <c r="A272" s="2" t="s">
        <v>339</v>
      </c>
      <c r="B272" s="2" t="s">
        <v>3109</v>
      </c>
      <c r="C272" s="2" t="s">
        <v>2734</v>
      </c>
      <c r="D272" s="2" t="s">
        <v>1839</v>
      </c>
      <c r="E272" s="2" t="s">
        <v>1841</v>
      </c>
      <c r="F272" s="2">
        <v>1.31606</v>
      </c>
      <c r="G272" s="2">
        <v>9.2818699999999996</v>
      </c>
      <c r="H272" s="2">
        <v>2.81819</v>
      </c>
      <c r="I272" s="2">
        <v>1</v>
      </c>
      <c r="K272" s="2" t="s">
        <v>1579</v>
      </c>
      <c r="L272" s="2">
        <v>-1.10595</v>
      </c>
    </row>
    <row r="273" spans="1:12" x14ac:dyDescent="0.2">
      <c r="A273" s="2" t="s">
        <v>1578</v>
      </c>
      <c r="B273" s="2" t="s">
        <v>3015</v>
      </c>
      <c r="C273" s="2" t="s">
        <v>2735</v>
      </c>
      <c r="D273" s="2" t="s">
        <v>1839</v>
      </c>
      <c r="E273" s="2" t="s">
        <v>1841</v>
      </c>
      <c r="F273" s="2">
        <v>1.0672200000000001</v>
      </c>
      <c r="G273" s="2">
        <v>2.5940799999999999</v>
      </c>
      <c r="H273" s="2">
        <v>1.2813699999999999</v>
      </c>
      <c r="I273" s="2">
        <v>1</v>
      </c>
      <c r="K273" s="2" t="s">
        <v>1247</v>
      </c>
      <c r="L273" s="2">
        <v>-1.04382</v>
      </c>
    </row>
    <row r="274" spans="1:12" x14ac:dyDescent="0.2">
      <c r="A274" s="2" t="s">
        <v>341</v>
      </c>
      <c r="B274" s="2" t="s">
        <v>3015</v>
      </c>
      <c r="C274" s="2" t="s">
        <v>3015</v>
      </c>
      <c r="D274" s="2" t="s">
        <v>1839</v>
      </c>
      <c r="E274" s="2" t="s">
        <v>1841</v>
      </c>
      <c r="F274" s="2">
        <v>4.0306899999999999</v>
      </c>
      <c r="G274" s="2">
        <v>2.0152399999999999</v>
      </c>
      <c r="H274" s="2">
        <v>-1.00007</v>
      </c>
      <c r="I274" s="2">
        <v>1</v>
      </c>
      <c r="K274" s="2" t="s">
        <v>1580</v>
      </c>
      <c r="L274" s="2">
        <v>1.0010600000000001</v>
      </c>
    </row>
    <row r="275" spans="1:12" x14ac:dyDescent="0.2">
      <c r="A275" s="2" t="s">
        <v>1246</v>
      </c>
      <c r="B275" s="2" t="s">
        <v>3015</v>
      </c>
      <c r="C275" s="2" t="s">
        <v>2454</v>
      </c>
      <c r="D275" s="2" t="s">
        <v>1839</v>
      </c>
      <c r="E275" s="2" t="s">
        <v>1841</v>
      </c>
      <c r="F275" s="2">
        <v>0.99059399999999997</v>
      </c>
      <c r="G275" s="2">
        <v>0.48846400000000001</v>
      </c>
      <c r="H275" s="2">
        <v>-1.0200400000000001</v>
      </c>
      <c r="I275" s="2">
        <v>1</v>
      </c>
      <c r="K275" s="2" t="s">
        <v>1581</v>
      </c>
      <c r="L275" s="2">
        <v>-1.4180299999999999</v>
      </c>
    </row>
    <row r="276" spans="1:12" x14ac:dyDescent="0.2">
      <c r="A276" s="2" t="s">
        <v>1579</v>
      </c>
      <c r="B276" s="2" t="s">
        <v>3015</v>
      </c>
      <c r="C276" s="2" t="s">
        <v>2454</v>
      </c>
      <c r="D276" s="2" t="s">
        <v>1839</v>
      </c>
      <c r="E276" s="2" t="s">
        <v>1841</v>
      </c>
      <c r="F276" s="2">
        <v>1.3416999999999999</v>
      </c>
      <c r="G276" s="2">
        <v>0.62334500000000004</v>
      </c>
      <c r="H276" s="2">
        <v>-1.10595</v>
      </c>
      <c r="I276" s="2">
        <v>1</v>
      </c>
      <c r="K276" s="2" t="s">
        <v>350</v>
      </c>
      <c r="L276" s="2">
        <v>1.3750899999999999</v>
      </c>
    </row>
    <row r="277" spans="1:12" x14ac:dyDescent="0.2">
      <c r="A277" s="2" t="s">
        <v>1247</v>
      </c>
      <c r="B277" s="2" t="s">
        <v>3033</v>
      </c>
      <c r="C277" s="2" t="s">
        <v>1971</v>
      </c>
      <c r="D277" s="2" t="s">
        <v>1839</v>
      </c>
      <c r="E277" s="2" t="s">
        <v>1841</v>
      </c>
      <c r="F277" s="2">
        <v>82.582099999999997</v>
      </c>
      <c r="G277" s="2">
        <v>40.055700000000002</v>
      </c>
      <c r="H277" s="2">
        <v>-1.04382</v>
      </c>
      <c r="I277" s="2">
        <v>1</v>
      </c>
      <c r="K277" s="2" t="s">
        <v>355</v>
      </c>
      <c r="L277" s="2">
        <v>1.0029399999999999</v>
      </c>
    </row>
    <row r="278" spans="1:12" x14ac:dyDescent="0.2">
      <c r="A278" s="2" t="s">
        <v>1580</v>
      </c>
      <c r="B278" s="2" t="s">
        <v>3015</v>
      </c>
      <c r="C278" s="2" t="s">
        <v>2736</v>
      </c>
      <c r="D278" s="2" t="s">
        <v>1839</v>
      </c>
      <c r="E278" s="2" t="s">
        <v>1841</v>
      </c>
      <c r="F278" s="2">
        <v>0.508189</v>
      </c>
      <c r="G278" s="2">
        <v>1.01712</v>
      </c>
      <c r="H278" s="2">
        <v>1.0010600000000001</v>
      </c>
      <c r="I278" s="2">
        <v>1</v>
      </c>
      <c r="K278" s="2" t="s">
        <v>356</v>
      </c>
      <c r="L278" s="2">
        <v>-1.1891799999999999</v>
      </c>
    </row>
    <row r="279" spans="1:12" x14ac:dyDescent="0.2">
      <c r="A279" s="2" t="s">
        <v>1581</v>
      </c>
      <c r="B279" s="2" t="s">
        <v>3301</v>
      </c>
      <c r="C279" s="2" t="s">
        <v>2737</v>
      </c>
      <c r="D279" s="2" t="s">
        <v>1839</v>
      </c>
      <c r="E279" s="2" t="s">
        <v>1841</v>
      </c>
      <c r="F279" s="2">
        <v>1.28501</v>
      </c>
      <c r="G279" s="2">
        <v>0.480881</v>
      </c>
      <c r="H279" s="2">
        <v>-1.4180299999999999</v>
      </c>
      <c r="I279" s="2">
        <v>1</v>
      </c>
      <c r="K279" s="2" t="s">
        <v>1582</v>
      </c>
      <c r="L279" s="2">
        <v>-1.1315599999999999</v>
      </c>
    </row>
    <row r="280" spans="1:12" x14ac:dyDescent="0.2">
      <c r="A280" s="2" t="s">
        <v>350</v>
      </c>
      <c r="B280" s="2" t="s">
        <v>3419</v>
      </c>
      <c r="C280" s="2" t="s">
        <v>2738</v>
      </c>
      <c r="D280" s="2" t="s">
        <v>1839</v>
      </c>
      <c r="E280" s="2" t="s">
        <v>1841</v>
      </c>
      <c r="F280" s="2">
        <v>2.7732299999999999</v>
      </c>
      <c r="G280" s="2">
        <v>7.1933100000000003</v>
      </c>
      <c r="H280" s="2">
        <v>1.3750899999999999</v>
      </c>
      <c r="I280" s="2">
        <v>1</v>
      </c>
      <c r="K280" s="2" t="s">
        <v>1583</v>
      </c>
      <c r="L280" s="2">
        <v>-1.3623499999999999</v>
      </c>
    </row>
    <row r="281" spans="1:12" x14ac:dyDescent="0.2">
      <c r="A281" s="2" t="s">
        <v>355</v>
      </c>
      <c r="B281" s="2" t="s">
        <v>3027</v>
      </c>
      <c r="C281" s="2" t="s">
        <v>2739</v>
      </c>
      <c r="D281" s="2" t="s">
        <v>1839</v>
      </c>
      <c r="E281" s="2" t="s">
        <v>1841</v>
      </c>
      <c r="F281" s="2">
        <v>7.1759000000000004</v>
      </c>
      <c r="G281" s="2">
        <v>14.3811</v>
      </c>
      <c r="H281" s="2">
        <v>1.0029399999999999</v>
      </c>
      <c r="I281" s="2">
        <v>1</v>
      </c>
      <c r="K281" s="2" t="s">
        <v>359</v>
      </c>
      <c r="L281" s="2">
        <v>1.2598400000000001</v>
      </c>
    </row>
    <row r="282" spans="1:12" x14ac:dyDescent="0.2">
      <c r="A282" s="2" t="s">
        <v>356</v>
      </c>
      <c r="B282" s="2" t="s">
        <v>3320</v>
      </c>
      <c r="C282" s="2" t="s">
        <v>3015</v>
      </c>
      <c r="D282" s="2" t="s">
        <v>1839</v>
      </c>
      <c r="E282" s="2" t="s">
        <v>1841</v>
      </c>
      <c r="F282" s="2">
        <v>64.375699999999995</v>
      </c>
      <c r="G282" s="2">
        <v>28.232199999999999</v>
      </c>
      <c r="H282" s="2">
        <v>-1.1891799999999999</v>
      </c>
      <c r="I282" s="2">
        <v>1</v>
      </c>
      <c r="K282" s="2" t="s">
        <v>360</v>
      </c>
      <c r="L282" s="2">
        <v>3.6976599999999999</v>
      </c>
    </row>
    <row r="283" spans="1:12" x14ac:dyDescent="0.2">
      <c r="A283" s="2" t="s">
        <v>1582</v>
      </c>
      <c r="B283" s="2" t="s">
        <v>3027</v>
      </c>
      <c r="C283" s="2" t="s">
        <v>2740</v>
      </c>
      <c r="D283" s="2" t="s">
        <v>1839</v>
      </c>
      <c r="E283" s="2" t="s">
        <v>1841</v>
      </c>
      <c r="F283" s="2">
        <v>0.856738</v>
      </c>
      <c r="G283" s="2">
        <v>0.39103300000000002</v>
      </c>
      <c r="H283" s="2">
        <v>-1.1315599999999999</v>
      </c>
      <c r="I283" s="2">
        <v>1</v>
      </c>
      <c r="K283" s="2" t="s">
        <v>1253</v>
      </c>
      <c r="L283" s="2">
        <v>1.95828</v>
      </c>
    </row>
    <row r="284" spans="1:12" x14ac:dyDescent="0.2">
      <c r="A284" s="2" t="s">
        <v>1583</v>
      </c>
      <c r="B284" s="2" t="s">
        <v>3420</v>
      </c>
      <c r="C284" s="2" t="s">
        <v>2741</v>
      </c>
      <c r="D284" s="2" t="s">
        <v>1839</v>
      </c>
      <c r="E284" s="2" t="s">
        <v>1841</v>
      </c>
      <c r="F284" s="2">
        <v>2.9475099999999999</v>
      </c>
      <c r="G284" s="2">
        <v>1.1464300000000001</v>
      </c>
      <c r="H284" s="2">
        <v>-1.3623499999999999</v>
      </c>
      <c r="I284" s="2">
        <v>1</v>
      </c>
      <c r="K284" s="2" t="s">
        <v>1254</v>
      </c>
      <c r="L284" s="2">
        <v>2.0587</v>
      </c>
    </row>
    <row r="285" spans="1:12" x14ac:dyDescent="0.2">
      <c r="A285" s="2" t="s">
        <v>359</v>
      </c>
      <c r="B285" s="2" t="s">
        <v>3045</v>
      </c>
      <c r="C285" s="2" t="s">
        <v>1923</v>
      </c>
      <c r="D285" s="2" t="s">
        <v>1839</v>
      </c>
      <c r="E285" s="2" t="s">
        <v>1841</v>
      </c>
      <c r="F285" s="2">
        <v>30.4953</v>
      </c>
      <c r="G285" s="2">
        <v>73.027000000000001</v>
      </c>
      <c r="H285" s="2">
        <v>1.2598400000000001</v>
      </c>
      <c r="I285" s="2">
        <v>1</v>
      </c>
      <c r="K285" s="2" t="s">
        <v>363</v>
      </c>
      <c r="L285" s="2">
        <v>-1.32684</v>
      </c>
    </row>
    <row r="286" spans="1:12" x14ac:dyDescent="0.2">
      <c r="A286" s="2" t="s">
        <v>360</v>
      </c>
      <c r="B286" s="2" t="s">
        <v>3124</v>
      </c>
      <c r="C286" s="2" t="s">
        <v>3015</v>
      </c>
      <c r="D286" s="2" t="s">
        <v>1839</v>
      </c>
      <c r="E286" s="2" t="s">
        <v>1841</v>
      </c>
      <c r="F286" s="2">
        <v>0.32437300000000002</v>
      </c>
      <c r="G286" s="2">
        <v>4.2087300000000001</v>
      </c>
      <c r="H286" s="2">
        <v>3.6976599999999999</v>
      </c>
      <c r="I286" s="2">
        <v>1</v>
      </c>
      <c r="K286" s="2" t="s">
        <v>364</v>
      </c>
      <c r="L286" s="2">
        <v>-2.0214699999999999</v>
      </c>
    </row>
    <row r="287" spans="1:12" x14ac:dyDescent="0.2">
      <c r="A287" s="2" t="s">
        <v>1253</v>
      </c>
      <c r="B287" s="2" t="s">
        <v>3321</v>
      </c>
      <c r="C287" s="2" t="s">
        <v>2461</v>
      </c>
      <c r="D287" s="2" t="s">
        <v>1839</v>
      </c>
      <c r="E287" s="2" t="s">
        <v>1841</v>
      </c>
      <c r="F287" s="2">
        <v>1.15072</v>
      </c>
      <c r="G287" s="2">
        <v>4.4716699999999996</v>
      </c>
      <c r="H287" s="2">
        <v>1.95828</v>
      </c>
      <c r="I287" s="2">
        <v>1</v>
      </c>
      <c r="K287" s="2" t="s">
        <v>1256</v>
      </c>
      <c r="L287" s="2">
        <v>1.1266700000000001</v>
      </c>
    </row>
    <row r="288" spans="1:12" x14ac:dyDescent="0.2">
      <c r="A288" s="2" t="s">
        <v>1254</v>
      </c>
      <c r="B288" s="2" t="s">
        <v>3038</v>
      </c>
      <c r="C288" s="2" t="s">
        <v>2742</v>
      </c>
      <c r="D288" s="2" t="s">
        <v>1839</v>
      </c>
      <c r="E288" s="2" t="s">
        <v>1841</v>
      </c>
      <c r="F288" s="2">
        <v>0.23902599999999999</v>
      </c>
      <c r="G288" s="2">
        <v>0.99580800000000003</v>
      </c>
      <c r="H288" s="2">
        <v>2.0587</v>
      </c>
      <c r="I288" s="2">
        <v>1</v>
      </c>
      <c r="K288" s="2" t="s">
        <v>1584</v>
      </c>
      <c r="L288" s="2">
        <v>2.42537</v>
      </c>
    </row>
    <row r="289" spans="1:12" x14ac:dyDescent="0.2">
      <c r="A289" s="2" t="s">
        <v>363</v>
      </c>
      <c r="B289" s="2" t="s">
        <v>3125</v>
      </c>
      <c r="C289" s="2" t="s">
        <v>3015</v>
      </c>
      <c r="D289" s="2" t="s">
        <v>1839</v>
      </c>
      <c r="E289" s="2" t="s">
        <v>1841</v>
      </c>
      <c r="F289" s="2">
        <v>2.5592700000000002</v>
      </c>
      <c r="G289" s="2">
        <v>1.02023</v>
      </c>
      <c r="H289" s="2">
        <v>-1.32684</v>
      </c>
      <c r="I289" s="2">
        <v>1</v>
      </c>
      <c r="K289" s="2" t="s">
        <v>1585</v>
      </c>
      <c r="L289" s="2">
        <v>-1.05738</v>
      </c>
    </row>
    <row r="290" spans="1:12" x14ac:dyDescent="0.2">
      <c r="A290" s="2" t="s">
        <v>364</v>
      </c>
      <c r="B290" s="2" t="s">
        <v>3015</v>
      </c>
      <c r="C290" s="2" t="s">
        <v>2010</v>
      </c>
      <c r="D290" s="2" t="s">
        <v>1839</v>
      </c>
      <c r="E290" s="2" t="s">
        <v>1841</v>
      </c>
      <c r="F290" s="2">
        <v>1.4238599999999999</v>
      </c>
      <c r="G290" s="2">
        <v>0.35070899999999999</v>
      </c>
      <c r="H290" s="2">
        <v>-2.0214699999999999</v>
      </c>
      <c r="I290" s="2">
        <v>1</v>
      </c>
      <c r="K290" s="2" t="s">
        <v>1258</v>
      </c>
      <c r="L290" s="2">
        <v>1.76864</v>
      </c>
    </row>
    <row r="291" spans="1:12" x14ac:dyDescent="0.2">
      <c r="A291" s="2" t="s">
        <v>1256</v>
      </c>
      <c r="B291" s="2" t="s">
        <v>3421</v>
      </c>
      <c r="C291" s="2" t="s">
        <v>2743</v>
      </c>
      <c r="D291" s="2" t="s">
        <v>1839</v>
      </c>
      <c r="E291" s="2" t="s">
        <v>1841</v>
      </c>
      <c r="F291" s="2">
        <v>9.58202</v>
      </c>
      <c r="G291" s="2">
        <v>20.922799999999999</v>
      </c>
      <c r="H291" s="2">
        <v>1.1266700000000001</v>
      </c>
      <c r="I291" s="2">
        <v>1</v>
      </c>
      <c r="K291" s="2" t="s">
        <v>1259</v>
      </c>
      <c r="L291" s="2">
        <v>3.4827900000000001</v>
      </c>
    </row>
    <row r="292" spans="1:12" x14ac:dyDescent="0.2">
      <c r="A292" s="2" t="s">
        <v>1584</v>
      </c>
      <c r="B292" s="2" t="s">
        <v>3094</v>
      </c>
      <c r="C292" s="2" t="s">
        <v>2304</v>
      </c>
      <c r="D292" s="2" t="s">
        <v>1839</v>
      </c>
      <c r="E292" s="2" t="s">
        <v>1841</v>
      </c>
      <c r="F292" s="2">
        <v>0.442056</v>
      </c>
      <c r="G292" s="2">
        <v>2.3745799999999999</v>
      </c>
      <c r="H292" s="2">
        <v>2.42537</v>
      </c>
      <c r="I292" s="2">
        <v>1</v>
      </c>
      <c r="K292" s="2" t="s">
        <v>1586</v>
      </c>
      <c r="L292" s="2">
        <v>-2.1522899999999998</v>
      </c>
    </row>
    <row r="293" spans="1:12" x14ac:dyDescent="0.2">
      <c r="A293" s="2" t="s">
        <v>1585</v>
      </c>
      <c r="B293" s="2" t="s">
        <v>3422</v>
      </c>
      <c r="C293" s="2" t="s">
        <v>2744</v>
      </c>
      <c r="D293" s="2" t="s">
        <v>1839</v>
      </c>
      <c r="E293" s="2" t="s">
        <v>1841</v>
      </c>
      <c r="F293" s="2">
        <v>2.3448199999999999</v>
      </c>
      <c r="G293" s="2">
        <v>1.1267</v>
      </c>
      <c r="H293" s="2">
        <v>-1.05738</v>
      </c>
      <c r="I293" s="2">
        <v>1</v>
      </c>
      <c r="K293" s="2" t="s">
        <v>370</v>
      </c>
      <c r="L293" s="2">
        <v>-1.0835699999999999</v>
      </c>
    </row>
    <row r="294" spans="1:12" x14ac:dyDescent="0.2">
      <c r="A294" s="2" t="s">
        <v>1258</v>
      </c>
      <c r="B294" s="2" t="s">
        <v>3153</v>
      </c>
      <c r="C294" s="2" t="s">
        <v>2462</v>
      </c>
      <c r="D294" s="2" t="s">
        <v>1839</v>
      </c>
      <c r="E294" s="2" t="s">
        <v>1841</v>
      </c>
      <c r="F294" s="2">
        <v>5.0748800000000003</v>
      </c>
      <c r="G294" s="2">
        <v>17.291799999999999</v>
      </c>
      <c r="H294" s="2">
        <v>1.76864</v>
      </c>
      <c r="I294" s="2">
        <v>1</v>
      </c>
      <c r="K294" s="2" t="s">
        <v>1588</v>
      </c>
      <c r="L294" s="2">
        <v>-1.2119599999999999</v>
      </c>
    </row>
    <row r="295" spans="1:12" x14ac:dyDescent="0.2">
      <c r="A295" s="2" t="s">
        <v>1259</v>
      </c>
      <c r="B295" s="2" t="s">
        <v>3015</v>
      </c>
      <c r="C295" s="2" t="s">
        <v>3015</v>
      </c>
      <c r="D295" s="2" t="s">
        <v>1839</v>
      </c>
      <c r="E295" s="2" t="s">
        <v>1841</v>
      </c>
      <c r="F295" s="2">
        <v>0.92873600000000001</v>
      </c>
      <c r="G295" s="2">
        <v>10.382899999999999</v>
      </c>
      <c r="H295" s="2">
        <v>3.4827900000000001</v>
      </c>
      <c r="I295" s="2">
        <v>1</v>
      </c>
      <c r="K295" s="2" t="s">
        <v>1589</v>
      </c>
      <c r="L295" s="2">
        <v>-1.3103499999999999</v>
      </c>
    </row>
    <row r="296" spans="1:12" x14ac:dyDescent="0.2">
      <c r="A296" s="2" t="s">
        <v>1586</v>
      </c>
      <c r="B296" s="2" t="s">
        <v>3015</v>
      </c>
      <c r="C296" s="2" t="s">
        <v>2745</v>
      </c>
      <c r="D296" s="2" t="s">
        <v>1839</v>
      </c>
      <c r="E296" s="2" t="s">
        <v>1841</v>
      </c>
      <c r="F296" s="2">
        <v>0.96471899999999999</v>
      </c>
      <c r="G296" s="2">
        <v>0.21701899999999999</v>
      </c>
      <c r="H296" s="2">
        <v>-2.1522899999999998</v>
      </c>
      <c r="I296" s="2">
        <v>1</v>
      </c>
      <c r="K296" s="2" t="s">
        <v>1590</v>
      </c>
      <c r="L296" s="2">
        <v>1.09232</v>
      </c>
    </row>
    <row r="297" spans="1:12" x14ac:dyDescent="0.2">
      <c r="A297" s="2" t="s">
        <v>370</v>
      </c>
      <c r="B297" s="2" t="s">
        <v>3100</v>
      </c>
      <c r="C297" s="2" t="s">
        <v>2015</v>
      </c>
      <c r="D297" s="2" t="s">
        <v>1839</v>
      </c>
      <c r="E297" s="2" t="s">
        <v>1841</v>
      </c>
      <c r="F297" s="2">
        <v>5.4963699999999998</v>
      </c>
      <c r="G297" s="2">
        <v>2.5935100000000002</v>
      </c>
      <c r="H297" s="2">
        <v>-1.0835699999999999</v>
      </c>
      <c r="I297" s="2">
        <v>1</v>
      </c>
      <c r="K297" s="2" t="s">
        <v>375</v>
      </c>
      <c r="L297" s="2">
        <v>-1.0092300000000001</v>
      </c>
    </row>
    <row r="298" spans="1:12" x14ac:dyDescent="0.2">
      <c r="A298" s="2" t="s">
        <v>1587</v>
      </c>
      <c r="B298" s="2" t="s">
        <v>3015</v>
      </c>
      <c r="C298" s="2" t="s">
        <v>3015</v>
      </c>
      <c r="D298" s="2" t="s">
        <v>1839</v>
      </c>
      <c r="E298" s="2" t="s">
        <v>1841</v>
      </c>
      <c r="F298" s="2">
        <v>0</v>
      </c>
      <c r="G298" s="2">
        <v>1.4136899999999999</v>
      </c>
      <c r="H298" s="2" t="s">
        <v>3021</v>
      </c>
      <c r="I298" s="2" t="s">
        <v>3021</v>
      </c>
      <c r="K298" s="2" t="s">
        <v>1264</v>
      </c>
      <c r="L298" s="2">
        <v>1.4851099999999999</v>
      </c>
    </row>
    <row r="299" spans="1:12" x14ac:dyDescent="0.2">
      <c r="A299" s="2" t="s">
        <v>1588</v>
      </c>
      <c r="B299" s="2" t="s">
        <v>3191</v>
      </c>
      <c r="C299" s="2" t="s">
        <v>3015</v>
      </c>
      <c r="D299" s="2" t="s">
        <v>1839</v>
      </c>
      <c r="E299" s="2" t="s">
        <v>1841</v>
      </c>
      <c r="F299" s="2">
        <v>13.160600000000001</v>
      </c>
      <c r="G299" s="2">
        <v>5.6811800000000003</v>
      </c>
      <c r="H299" s="2">
        <v>-1.2119599999999999</v>
      </c>
      <c r="I299" s="2">
        <v>1</v>
      </c>
      <c r="K299" s="2" t="s">
        <v>377</v>
      </c>
      <c r="L299" s="2">
        <v>-1.11748</v>
      </c>
    </row>
    <row r="300" spans="1:12" x14ac:dyDescent="0.2">
      <c r="A300" s="2" t="s">
        <v>1589</v>
      </c>
      <c r="B300" s="2" t="s">
        <v>3015</v>
      </c>
      <c r="C300" s="2" t="s">
        <v>2746</v>
      </c>
      <c r="D300" s="2" t="s">
        <v>1839</v>
      </c>
      <c r="E300" s="2" t="s">
        <v>1841</v>
      </c>
      <c r="F300" s="2">
        <v>5.7364699999999997</v>
      </c>
      <c r="G300" s="2">
        <v>2.3130799999999998</v>
      </c>
      <c r="H300" s="2">
        <v>-1.3103499999999999</v>
      </c>
      <c r="I300" s="2">
        <v>1</v>
      </c>
      <c r="K300" s="2" t="s">
        <v>378</v>
      </c>
      <c r="L300" s="2">
        <v>1.53678</v>
      </c>
    </row>
    <row r="301" spans="1:12" x14ac:dyDescent="0.2">
      <c r="A301" s="2" t="s">
        <v>1590</v>
      </c>
      <c r="B301" s="2" t="s">
        <v>3273</v>
      </c>
      <c r="C301" s="2" t="s">
        <v>2747</v>
      </c>
      <c r="D301" s="2" t="s">
        <v>1839</v>
      </c>
      <c r="E301" s="2" t="s">
        <v>1841</v>
      </c>
      <c r="F301" s="2">
        <v>0.39851799999999998</v>
      </c>
      <c r="G301" s="2">
        <v>0.84970900000000005</v>
      </c>
      <c r="H301" s="2">
        <v>1.09232</v>
      </c>
      <c r="I301" s="2">
        <v>1</v>
      </c>
      <c r="K301" s="2" t="s">
        <v>380</v>
      </c>
      <c r="L301" s="2">
        <v>-2.0305200000000001</v>
      </c>
    </row>
    <row r="302" spans="1:12" x14ac:dyDescent="0.2">
      <c r="A302" s="2" t="s">
        <v>375</v>
      </c>
      <c r="B302" s="2" t="s">
        <v>3047</v>
      </c>
      <c r="C302" s="2" t="s">
        <v>2277</v>
      </c>
      <c r="D302" s="2" t="s">
        <v>1839</v>
      </c>
      <c r="E302" s="2" t="s">
        <v>1841</v>
      </c>
      <c r="F302" s="2">
        <v>2.81433</v>
      </c>
      <c r="G302" s="2">
        <v>1.39819</v>
      </c>
      <c r="H302" s="2">
        <v>-1.0092300000000001</v>
      </c>
      <c r="I302" s="2">
        <v>1</v>
      </c>
      <c r="K302" s="2" t="s">
        <v>381</v>
      </c>
      <c r="L302" s="2">
        <v>1.0793699999999999</v>
      </c>
    </row>
    <row r="303" spans="1:12" x14ac:dyDescent="0.2">
      <c r="A303" s="2" t="s">
        <v>1264</v>
      </c>
      <c r="B303" s="2" t="s">
        <v>3015</v>
      </c>
      <c r="C303" s="2" t="s">
        <v>2748</v>
      </c>
      <c r="D303" s="2" t="s">
        <v>1839</v>
      </c>
      <c r="E303" s="2" t="s">
        <v>1841</v>
      </c>
      <c r="F303" s="2">
        <v>1.1138399999999999</v>
      </c>
      <c r="G303" s="2">
        <v>3.1180599999999998</v>
      </c>
      <c r="H303" s="2">
        <v>1.4851099999999999</v>
      </c>
      <c r="I303" s="2">
        <v>1</v>
      </c>
      <c r="K303" s="2" t="s">
        <v>383</v>
      </c>
      <c r="L303" s="2">
        <v>2.0002</v>
      </c>
    </row>
    <row r="304" spans="1:12" x14ac:dyDescent="0.2">
      <c r="A304" s="2" t="s">
        <v>377</v>
      </c>
      <c r="B304" s="2" t="s">
        <v>3015</v>
      </c>
      <c r="C304" s="2" t="s">
        <v>1880</v>
      </c>
      <c r="D304" s="2" t="s">
        <v>1839</v>
      </c>
      <c r="E304" s="2" t="s">
        <v>1841</v>
      </c>
      <c r="F304" s="2">
        <v>3.8254000000000001</v>
      </c>
      <c r="G304" s="2">
        <v>1.76312</v>
      </c>
      <c r="H304" s="2">
        <v>-1.11748</v>
      </c>
      <c r="I304" s="2">
        <v>1</v>
      </c>
      <c r="K304" s="2" t="s">
        <v>385</v>
      </c>
      <c r="L304" s="2">
        <v>-1.14408</v>
      </c>
    </row>
    <row r="305" spans="1:12" x14ac:dyDescent="0.2">
      <c r="A305" s="2" t="s">
        <v>378</v>
      </c>
      <c r="B305" s="2" t="s">
        <v>3030</v>
      </c>
      <c r="C305" s="2" t="s">
        <v>2749</v>
      </c>
      <c r="D305" s="2" t="s">
        <v>1839</v>
      </c>
      <c r="E305" s="2" t="s">
        <v>1841</v>
      </c>
      <c r="F305" s="2">
        <v>2.7991700000000002</v>
      </c>
      <c r="G305" s="2">
        <v>8.1217000000000006</v>
      </c>
      <c r="H305" s="2">
        <v>1.53678</v>
      </c>
      <c r="I305" s="2">
        <v>1</v>
      </c>
      <c r="K305" s="2" t="s">
        <v>1591</v>
      </c>
      <c r="L305" s="2">
        <v>1.1186499999999999</v>
      </c>
    </row>
    <row r="306" spans="1:12" x14ac:dyDescent="0.2">
      <c r="A306" s="2" t="s">
        <v>380</v>
      </c>
      <c r="B306" s="2" t="s">
        <v>3121</v>
      </c>
      <c r="C306" s="2" t="s">
        <v>2750</v>
      </c>
      <c r="D306" s="2" t="s">
        <v>1839</v>
      </c>
      <c r="E306" s="2" t="s">
        <v>1841</v>
      </c>
      <c r="F306" s="2">
        <v>8.7213799999999999</v>
      </c>
      <c r="G306" s="2">
        <v>2.1347</v>
      </c>
      <c r="H306" s="2">
        <v>-2.0305200000000001</v>
      </c>
      <c r="I306" s="2">
        <v>1</v>
      </c>
      <c r="K306" s="2" t="s">
        <v>388</v>
      </c>
      <c r="L306" s="2">
        <v>1.3150999999999999</v>
      </c>
    </row>
    <row r="307" spans="1:12" x14ac:dyDescent="0.2">
      <c r="A307" s="2" t="s">
        <v>381</v>
      </c>
      <c r="B307" s="2" t="s">
        <v>3058</v>
      </c>
      <c r="C307" s="2" t="s">
        <v>3015</v>
      </c>
      <c r="D307" s="2" t="s">
        <v>1839</v>
      </c>
      <c r="E307" s="2" t="s">
        <v>1841</v>
      </c>
      <c r="F307" s="2">
        <v>2.82795</v>
      </c>
      <c r="G307" s="2">
        <v>5.9757800000000003</v>
      </c>
      <c r="H307" s="2">
        <v>1.0793699999999999</v>
      </c>
      <c r="I307" s="2">
        <v>1</v>
      </c>
      <c r="K307" s="2" t="s">
        <v>1592</v>
      </c>
      <c r="L307" s="2">
        <v>-1.0146900000000001</v>
      </c>
    </row>
    <row r="308" spans="1:12" x14ac:dyDescent="0.2">
      <c r="A308" s="2" t="s">
        <v>383</v>
      </c>
      <c r="B308" s="2" t="s">
        <v>3015</v>
      </c>
      <c r="C308" s="2" t="s">
        <v>3015</v>
      </c>
      <c r="D308" s="2" t="s">
        <v>1839</v>
      </c>
      <c r="E308" s="2" t="s">
        <v>1841</v>
      </c>
      <c r="F308" s="2">
        <v>1.82996</v>
      </c>
      <c r="G308" s="2">
        <v>7.3208299999999999</v>
      </c>
      <c r="H308" s="2">
        <v>2.0002</v>
      </c>
      <c r="I308" s="2">
        <v>1</v>
      </c>
      <c r="K308" s="2" t="s">
        <v>1593</v>
      </c>
      <c r="L308" s="2">
        <v>1.44313</v>
      </c>
    </row>
    <row r="309" spans="1:12" x14ac:dyDescent="0.2">
      <c r="A309" s="2" t="s">
        <v>385</v>
      </c>
      <c r="B309" s="2" t="s">
        <v>3015</v>
      </c>
      <c r="C309" s="2" t="s">
        <v>2020</v>
      </c>
      <c r="D309" s="2" t="s">
        <v>1839</v>
      </c>
      <c r="E309" s="2" t="s">
        <v>1841</v>
      </c>
      <c r="F309" s="2">
        <v>1.10083</v>
      </c>
      <c r="G309" s="2">
        <v>0.49810199999999999</v>
      </c>
      <c r="H309" s="2">
        <v>-1.14408</v>
      </c>
      <c r="I309" s="2">
        <v>1</v>
      </c>
      <c r="K309" s="2" t="s">
        <v>389</v>
      </c>
      <c r="L309" s="2">
        <v>2.26492</v>
      </c>
    </row>
    <row r="310" spans="1:12" x14ac:dyDescent="0.2">
      <c r="A310" s="2" t="s">
        <v>1591</v>
      </c>
      <c r="B310" s="2" t="s">
        <v>3015</v>
      </c>
      <c r="C310" s="2" t="s">
        <v>1847</v>
      </c>
      <c r="D310" s="2" t="s">
        <v>1839</v>
      </c>
      <c r="E310" s="2" t="s">
        <v>1841</v>
      </c>
      <c r="F310" s="2">
        <v>1.95821</v>
      </c>
      <c r="G310" s="2">
        <v>4.2521399999999998</v>
      </c>
      <c r="H310" s="2">
        <v>1.1186499999999999</v>
      </c>
      <c r="I310" s="2">
        <v>1</v>
      </c>
      <c r="K310" s="2" t="s">
        <v>1265</v>
      </c>
      <c r="L310" s="2">
        <v>-1.3460000000000001</v>
      </c>
    </row>
    <row r="311" spans="1:12" x14ac:dyDescent="0.2">
      <c r="A311" s="2" t="s">
        <v>386</v>
      </c>
      <c r="B311" s="2" t="s">
        <v>3130</v>
      </c>
      <c r="C311" s="2" t="s">
        <v>2021</v>
      </c>
      <c r="D311" s="2" t="s">
        <v>1839</v>
      </c>
      <c r="E311" s="2" t="s">
        <v>1841</v>
      </c>
      <c r="F311" s="2">
        <v>0</v>
      </c>
      <c r="G311" s="2">
        <v>2.3992900000000001</v>
      </c>
      <c r="H311" s="2" t="s">
        <v>3021</v>
      </c>
      <c r="I311" s="2" t="s">
        <v>3021</v>
      </c>
      <c r="K311" s="2" t="s">
        <v>390</v>
      </c>
      <c r="L311" s="2">
        <v>1.0108999999999999</v>
      </c>
    </row>
    <row r="312" spans="1:12" x14ac:dyDescent="0.2">
      <c r="A312" s="2" t="s">
        <v>388</v>
      </c>
      <c r="B312" s="2" t="s">
        <v>3015</v>
      </c>
      <c r="C312" s="2" t="s">
        <v>2023</v>
      </c>
      <c r="D312" s="2" t="s">
        <v>1839</v>
      </c>
      <c r="E312" s="2" t="s">
        <v>1841</v>
      </c>
      <c r="F312" s="2">
        <v>2.80626</v>
      </c>
      <c r="G312" s="2">
        <v>6.9825200000000001</v>
      </c>
      <c r="H312" s="2">
        <v>1.3150999999999999</v>
      </c>
      <c r="I312" s="2">
        <v>1</v>
      </c>
      <c r="K312" s="2" t="s">
        <v>393</v>
      </c>
      <c r="L312" s="2">
        <v>-1.08094</v>
      </c>
    </row>
    <row r="313" spans="1:12" x14ac:dyDescent="0.2">
      <c r="A313" s="2" t="s">
        <v>1592</v>
      </c>
      <c r="B313" s="2" t="s">
        <v>3423</v>
      </c>
      <c r="C313" s="2" t="s">
        <v>2751</v>
      </c>
      <c r="D313" s="2" t="s">
        <v>1839</v>
      </c>
      <c r="E313" s="2" t="s">
        <v>1841</v>
      </c>
      <c r="F313" s="2">
        <v>4.6430300000000004</v>
      </c>
      <c r="G313" s="2">
        <v>2.298</v>
      </c>
      <c r="H313" s="2">
        <v>-1.0146900000000001</v>
      </c>
      <c r="I313" s="2">
        <v>1</v>
      </c>
      <c r="K313" s="2" t="s">
        <v>1594</v>
      </c>
      <c r="L313" s="2">
        <v>1.2718700000000001</v>
      </c>
    </row>
    <row r="314" spans="1:12" x14ac:dyDescent="0.2">
      <c r="A314" s="2" t="s">
        <v>1593</v>
      </c>
      <c r="B314" s="2" t="s">
        <v>3015</v>
      </c>
      <c r="C314" s="2" t="s">
        <v>2752</v>
      </c>
      <c r="D314" s="2" t="s">
        <v>1839</v>
      </c>
      <c r="E314" s="2" t="s">
        <v>1841</v>
      </c>
      <c r="F314" s="2">
        <v>0.31079000000000001</v>
      </c>
      <c r="G314" s="2">
        <v>0.84506700000000001</v>
      </c>
      <c r="H314" s="2">
        <v>1.44313</v>
      </c>
      <c r="I314" s="2">
        <v>1</v>
      </c>
      <c r="K314" s="2" t="s">
        <v>400</v>
      </c>
      <c r="L314" s="2">
        <v>1.0944100000000001</v>
      </c>
    </row>
    <row r="315" spans="1:12" x14ac:dyDescent="0.2">
      <c r="A315" s="2" t="s">
        <v>389</v>
      </c>
      <c r="B315" s="2" t="s">
        <v>3015</v>
      </c>
      <c r="C315" s="2" t="s">
        <v>2024</v>
      </c>
      <c r="D315" s="2" t="s">
        <v>1839</v>
      </c>
      <c r="E315" s="2" t="s">
        <v>1841</v>
      </c>
      <c r="F315" s="2">
        <v>0.82890799999999998</v>
      </c>
      <c r="G315" s="2">
        <v>3.9839600000000002</v>
      </c>
      <c r="H315" s="2">
        <v>2.26492</v>
      </c>
      <c r="I315" s="2">
        <v>1</v>
      </c>
      <c r="K315" s="2" t="s">
        <v>403</v>
      </c>
      <c r="L315" s="2">
        <v>1.1619900000000001</v>
      </c>
    </row>
    <row r="316" spans="1:12" x14ac:dyDescent="0.2">
      <c r="A316" s="2" t="s">
        <v>1265</v>
      </c>
      <c r="B316" s="2" t="s">
        <v>3324</v>
      </c>
      <c r="C316" s="2" t="s">
        <v>2468</v>
      </c>
      <c r="D316" s="2" t="s">
        <v>1839</v>
      </c>
      <c r="E316" s="2" t="s">
        <v>1841</v>
      </c>
      <c r="F316" s="2">
        <v>1.6583600000000001</v>
      </c>
      <c r="G316" s="2">
        <v>0.65236799999999995</v>
      </c>
      <c r="H316" s="2">
        <v>-1.3460000000000001</v>
      </c>
      <c r="I316" s="2">
        <v>1</v>
      </c>
      <c r="K316" s="2" t="s">
        <v>406</v>
      </c>
      <c r="L316" s="2">
        <v>3.6793100000000001</v>
      </c>
    </row>
    <row r="317" spans="1:12" x14ac:dyDescent="0.2">
      <c r="A317" s="2" t="s">
        <v>390</v>
      </c>
      <c r="B317" s="2" t="s">
        <v>3057</v>
      </c>
      <c r="C317" s="2" t="s">
        <v>2753</v>
      </c>
      <c r="D317" s="2" t="s">
        <v>1839</v>
      </c>
      <c r="E317" s="2" t="s">
        <v>1841</v>
      </c>
      <c r="F317" s="2">
        <v>4.4337900000000001</v>
      </c>
      <c r="G317" s="2">
        <v>8.9348399999999994</v>
      </c>
      <c r="H317" s="2">
        <v>1.0108999999999999</v>
      </c>
      <c r="I317" s="2">
        <v>1</v>
      </c>
      <c r="K317" s="2" t="s">
        <v>408</v>
      </c>
      <c r="L317" s="2">
        <v>1.5587899999999999</v>
      </c>
    </row>
    <row r="318" spans="1:12" x14ac:dyDescent="0.2">
      <c r="A318" s="2" t="s">
        <v>393</v>
      </c>
      <c r="B318" s="2" t="s">
        <v>3015</v>
      </c>
      <c r="C318" s="2" t="s">
        <v>2754</v>
      </c>
      <c r="D318" s="2" t="s">
        <v>1839</v>
      </c>
      <c r="E318" s="2" t="s">
        <v>1841</v>
      </c>
      <c r="F318" s="2">
        <v>36.6633</v>
      </c>
      <c r="G318" s="2">
        <v>17.331499999999998</v>
      </c>
      <c r="H318" s="2">
        <v>-1.08094</v>
      </c>
      <c r="I318" s="2">
        <v>1</v>
      </c>
      <c r="K318" s="2" t="s">
        <v>409</v>
      </c>
      <c r="L318" s="2">
        <v>-1.32348</v>
      </c>
    </row>
    <row r="319" spans="1:12" x14ac:dyDescent="0.2">
      <c r="A319" s="2" t="s">
        <v>1594</v>
      </c>
      <c r="B319" s="2" t="s">
        <v>3015</v>
      </c>
      <c r="C319" s="2" t="s">
        <v>2202</v>
      </c>
      <c r="D319" s="2" t="s">
        <v>1839</v>
      </c>
      <c r="E319" s="2" t="s">
        <v>1841</v>
      </c>
      <c r="F319" s="2">
        <v>1.60328</v>
      </c>
      <c r="G319" s="2">
        <v>3.8715099999999998</v>
      </c>
      <c r="H319" s="2">
        <v>1.2718700000000001</v>
      </c>
      <c r="I319" s="2">
        <v>1</v>
      </c>
      <c r="K319" s="2" t="s">
        <v>1595</v>
      </c>
      <c r="L319" s="2">
        <v>-1.4468099999999999</v>
      </c>
    </row>
    <row r="320" spans="1:12" x14ac:dyDescent="0.2">
      <c r="A320" s="2" t="s">
        <v>400</v>
      </c>
      <c r="B320" s="2" t="s">
        <v>3015</v>
      </c>
      <c r="C320" s="2" t="s">
        <v>2028</v>
      </c>
      <c r="D320" s="2" t="s">
        <v>1839</v>
      </c>
      <c r="E320" s="2" t="s">
        <v>1841</v>
      </c>
      <c r="F320" s="2">
        <v>0.70577100000000004</v>
      </c>
      <c r="G320" s="2">
        <v>1.50701</v>
      </c>
      <c r="H320" s="2">
        <v>1.0944100000000001</v>
      </c>
      <c r="I320" s="2">
        <v>1</v>
      </c>
      <c r="K320" s="2" t="s">
        <v>410</v>
      </c>
      <c r="L320" s="2">
        <v>-1.70095</v>
      </c>
    </row>
    <row r="321" spans="1:12" x14ac:dyDescent="0.2">
      <c r="A321" s="2" t="s">
        <v>403</v>
      </c>
      <c r="B321" s="2" t="s">
        <v>3035</v>
      </c>
      <c r="C321" s="2" t="s">
        <v>1892</v>
      </c>
      <c r="D321" s="2" t="s">
        <v>1839</v>
      </c>
      <c r="E321" s="2" t="s">
        <v>1841</v>
      </c>
      <c r="F321" s="2">
        <v>5.3833000000000002</v>
      </c>
      <c r="G321" s="2">
        <v>12.045999999999999</v>
      </c>
      <c r="H321" s="2">
        <v>1.1619900000000001</v>
      </c>
      <c r="I321" s="2">
        <v>1</v>
      </c>
      <c r="K321" s="2" t="s">
        <v>412</v>
      </c>
      <c r="L321" s="2">
        <v>1.03447</v>
      </c>
    </row>
    <row r="322" spans="1:12" x14ac:dyDescent="0.2">
      <c r="A322" s="2" t="s">
        <v>406</v>
      </c>
      <c r="B322" s="2" t="s">
        <v>3326</v>
      </c>
      <c r="C322" s="2" t="s">
        <v>2473</v>
      </c>
      <c r="D322" s="2" t="s">
        <v>1839</v>
      </c>
      <c r="E322" s="2" t="s">
        <v>1841</v>
      </c>
      <c r="F322" s="2">
        <v>4.2021199999999999</v>
      </c>
      <c r="G322" s="2">
        <v>53.833199999999998</v>
      </c>
      <c r="H322" s="2">
        <v>3.6793100000000001</v>
      </c>
      <c r="I322" s="2">
        <v>1</v>
      </c>
      <c r="K322" s="2" t="s">
        <v>1596</v>
      </c>
      <c r="L322" s="2">
        <v>2.63198</v>
      </c>
    </row>
    <row r="323" spans="1:12" x14ac:dyDescent="0.2">
      <c r="A323" s="2" t="s">
        <v>408</v>
      </c>
      <c r="B323" s="2" t="s">
        <v>3015</v>
      </c>
      <c r="C323" s="2" t="s">
        <v>2755</v>
      </c>
      <c r="D323" s="2" t="s">
        <v>1839</v>
      </c>
      <c r="E323" s="2" t="s">
        <v>1841</v>
      </c>
      <c r="F323" s="2">
        <v>1.3965799999999999</v>
      </c>
      <c r="G323" s="2">
        <v>4.1144100000000003</v>
      </c>
      <c r="H323" s="2">
        <v>1.5587899999999999</v>
      </c>
      <c r="I323" s="2">
        <v>1</v>
      </c>
      <c r="K323" s="2" t="s">
        <v>1597</v>
      </c>
      <c r="L323" s="2">
        <v>1.35107</v>
      </c>
    </row>
    <row r="324" spans="1:12" x14ac:dyDescent="0.2">
      <c r="A324" s="2" t="s">
        <v>409</v>
      </c>
      <c r="B324" s="2" t="s">
        <v>3015</v>
      </c>
      <c r="C324" s="2" t="s">
        <v>2756</v>
      </c>
      <c r="D324" s="2" t="s">
        <v>1839</v>
      </c>
      <c r="E324" s="2" t="s">
        <v>1841</v>
      </c>
      <c r="F324" s="2">
        <v>24.292999999999999</v>
      </c>
      <c r="G324" s="2">
        <v>9.7067899999999998</v>
      </c>
      <c r="H324" s="2">
        <v>-1.32348</v>
      </c>
      <c r="I324" s="2">
        <v>1</v>
      </c>
      <c r="K324" s="2" t="s">
        <v>1598</v>
      </c>
      <c r="L324" s="2">
        <v>1.08165</v>
      </c>
    </row>
    <row r="325" spans="1:12" x14ac:dyDescent="0.2">
      <c r="A325" s="2" t="s">
        <v>1595</v>
      </c>
      <c r="B325" s="2" t="s">
        <v>3015</v>
      </c>
      <c r="C325" s="2" t="s">
        <v>2757</v>
      </c>
      <c r="D325" s="2" t="s">
        <v>1839</v>
      </c>
      <c r="E325" s="2" t="s">
        <v>1841</v>
      </c>
      <c r="F325" s="2">
        <v>0.92048600000000003</v>
      </c>
      <c r="G325" s="2">
        <v>0.33766299999999999</v>
      </c>
      <c r="H325" s="2">
        <v>-1.4468099999999999</v>
      </c>
      <c r="I325" s="2">
        <v>1</v>
      </c>
      <c r="K325" s="2" t="s">
        <v>1599</v>
      </c>
      <c r="L325" s="2">
        <v>-1.05332</v>
      </c>
    </row>
    <row r="326" spans="1:12" x14ac:dyDescent="0.2">
      <c r="A326" s="2" t="s">
        <v>410</v>
      </c>
      <c r="B326" s="2" t="s">
        <v>3015</v>
      </c>
      <c r="C326" s="2" t="s">
        <v>3015</v>
      </c>
      <c r="D326" s="2" t="s">
        <v>1839</v>
      </c>
      <c r="E326" s="2" t="s">
        <v>1841</v>
      </c>
      <c r="F326" s="2">
        <v>6.8853600000000004</v>
      </c>
      <c r="G326" s="2">
        <v>2.11782</v>
      </c>
      <c r="H326" s="2">
        <v>-1.70095</v>
      </c>
      <c r="I326" s="2">
        <v>1</v>
      </c>
      <c r="K326" s="2" t="s">
        <v>422</v>
      </c>
      <c r="L326" s="2">
        <v>1.68588</v>
      </c>
    </row>
    <row r="327" spans="1:12" x14ac:dyDescent="0.2">
      <c r="A327" s="2" t="s">
        <v>412</v>
      </c>
      <c r="B327" s="2" t="s">
        <v>3015</v>
      </c>
      <c r="C327" s="2" t="s">
        <v>2758</v>
      </c>
      <c r="D327" s="2" t="s">
        <v>1839</v>
      </c>
      <c r="E327" s="2" t="s">
        <v>1841</v>
      </c>
      <c r="F327" s="2">
        <v>1.27841</v>
      </c>
      <c r="G327" s="2">
        <v>2.6186500000000001</v>
      </c>
      <c r="H327" s="2">
        <v>1.03447</v>
      </c>
      <c r="I327" s="2">
        <v>1</v>
      </c>
      <c r="K327" s="2" t="s">
        <v>425</v>
      </c>
      <c r="L327" s="2">
        <v>1.7931699999999999</v>
      </c>
    </row>
    <row r="328" spans="1:12" x14ac:dyDescent="0.2">
      <c r="A328" s="2" t="s">
        <v>1596</v>
      </c>
      <c r="B328" s="2" t="s">
        <v>3424</v>
      </c>
      <c r="C328" s="2" t="s">
        <v>3015</v>
      </c>
      <c r="D328" s="2" t="s">
        <v>1839</v>
      </c>
      <c r="E328" s="2" t="s">
        <v>1841</v>
      </c>
      <c r="F328" s="2">
        <v>0.15182799999999999</v>
      </c>
      <c r="G328" s="2">
        <v>0.94114600000000004</v>
      </c>
      <c r="H328" s="2">
        <v>2.63198</v>
      </c>
      <c r="I328" s="2">
        <v>1</v>
      </c>
      <c r="K328" s="2" t="s">
        <v>1600</v>
      </c>
      <c r="L328" s="2">
        <v>1.27159</v>
      </c>
    </row>
    <row r="329" spans="1:12" x14ac:dyDescent="0.2">
      <c r="A329" s="2" t="s">
        <v>1597</v>
      </c>
      <c r="B329" s="2" t="s">
        <v>3049</v>
      </c>
      <c r="C329" s="2" t="s">
        <v>2759</v>
      </c>
      <c r="D329" s="2" t="s">
        <v>1839</v>
      </c>
      <c r="E329" s="2" t="s">
        <v>1841</v>
      </c>
      <c r="F329" s="2">
        <v>1.4579800000000001</v>
      </c>
      <c r="G329" s="2">
        <v>3.7193299999999998</v>
      </c>
      <c r="H329" s="2">
        <v>1.35107</v>
      </c>
      <c r="I329" s="2">
        <v>1</v>
      </c>
      <c r="K329" s="2" t="s">
        <v>427</v>
      </c>
      <c r="L329" s="2">
        <v>1.4929600000000001</v>
      </c>
    </row>
    <row r="330" spans="1:12" x14ac:dyDescent="0.2">
      <c r="A330" s="2" t="s">
        <v>1598</v>
      </c>
      <c r="B330" s="2" t="s">
        <v>3425</v>
      </c>
      <c r="C330" s="2" t="s">
        <v>1847</v>
      </c>
      <c r="D330" s="2" t="s">
        <v>1839</v>
      </c>
      <c r="E330" s="2" t="s">
        <v>1841</v>
      </c>
      <c r="F330" s="2">
        <v>1.4422299999999999</v>
      </c>
      <c r="G330" s="2">
        <v>3.0524200000000001</v>
      </c>
      <c r="H330" s="2">
        <v>1.08165</v>
      </c>
      <c r="I330" s="2">
        <v>1</v>
      </c>
      <c r="K330" s="2" t="s">
        <v>433</v>
      </c>
      <c r="L330" s="2">
        <v>1.5016499999999999</v>
      </c>
    </row>
    <row r="331" spans="1:12" x14ac:dyDescent="0.2">
      <c r="A331" s="2" t="s">
        <v>1599</v>
      </c>
      <c r="B331" s="2" t="s">
        <v>3015</v>
      </c>
      <c r="C331" s="2" t="s">
        <v>3015</v>
      </c>
      <c r="D331" s="2" t="s">
        <v>1839</v>
      </c>
      <c r="E331" s="2" t="s">
        <v>1841</v>
      </c>
      <c r="F331" s="2">
        <v>1.74356</v>
      </c>
      <c r="G331" s="2">
        <v>0.84015200000000001</v>
      </c>
      <c r="H331" s="2">
        <v>-1.05332</v>
      </c>
      <c r="I331" s="2">
        <v>1</v>
      </c>
      <c r="K331" s="2" t="s">
        <v>436</v>
      </c>
      <c r="L331" s="2">
        <v>1.79735</v>
      </c>
    </row>
    <row r="332" spans="1:12" x14ac:dyDescent="0.2">
      <c r="A332" s="2" t="s">
        <v>422</v>
      </c>
      <c r="B332" s="2" t="s">
        <v>3136</v>
      </c>
      <c r="C332" s="2" t="s">
        <v>2039</v>
      </c>
      <c r="D332" s="2" t="s">
        <v>1839</v>
      </c>
      <c r="E332" s="2" t="s">
        <v>1841</v>
      </c>
      <c r="F332" s="2">
        <v>0.24396300000000001</v>
      </c>
      <c r="G332" s="2">
        <v>0.78491599999999995</v>
      </c>
      <c r="H332" s="2">
        <v>1.68588</v>
      </c>
      <c r="I332" s="2">
        <v>1</v>
      </c>
      <c r="K332" s="2" t="s">
        <v>442</v>
      </c>
      <c r="L332" s="2">
        <v>-1.6879299999999999</v>
      </c>
    </row>
    <row r="333" spans="1:12" x14ac:dyDescent="0.2">
      <c r="A333" s="2" t="s">
        <v>425</v>
      </c>
      <c r="B333" s="2" t="s">
        <v>3015</v>
      </c>
      <c r="C333" s="2" t="s">
        <v>2040</v>
      </c>
      <c r="D333" s="2" t="s">
        <v>1839</v>
      </c>
      <c r="E333" s="2" t="s">
        <v>1841</v>
      </c>
      <c r="F333" s="2">
        <v>0.50812999999999997</v>
      </c>
      <c r="G333" s="2">
        <v>1.7610600000000001</v>
      </c>
      <c r="H333" s="2">
        <v>1.7931699999999999</v>
      </c>
      <c r="I333" s="2">
        <v>1</v>
      </c>
      <c r="K333" s="2" t="s">
        <v>1274</v>
      </c>
      <c r="L333" s="2">
        <v>1.24712</v>
      </c>
    </row>
    <row r="334" spans="1:12" x14ac:dyDescent="0.2">
      <c r="A334" s="2" t="s">
        <v>1600</v>
      </c>
      <c r="B334" s="2" t="s">
        <v>3015</v>
      </c>
      <c r="C334" s="2" t="s">
        <v>3015</v>
      </c>
      <c r="D334" s="2" t="s">
        <v>1839</v>
      </c>
      <c r="E334" s="2" t="s">
        <v>1841</v>
      </c>
      <c r="F334" s="2">
        <v>0.65798100000000004</v>
      </c>
      <c r="G334" s="2">
        <v>1.5885400000000001</v>
      </c>
      <c r="H334" s="2">
        <v>1.27159</v>
      </c>
      <c r="I334" s="2">
        <v>1</v>
      </c>
      <c r="K334" s="2" t="s">
        <v>449</v>
      </c>
      <c r="L334" s="2">
        <v>1.57734</v>
      </c>
    </row>
    <row r="335" spans="1:12" x14ac:dyDescent="0.2">
      <c r="A335" s="2" t="s">
        <v>427</v>
      </c>
      <c r="B335" s="2" t="s">
        <v>3015</v>
      </c>
      <c r="C335" s="2" t="s">
        <v>2477</v>
      </c>
      <c r="D335" s="2" t="s">
        <v>1839</v>
      </c>
      <c r="E335" s="2" t="s">
        <v>1841</v>
      </c>
      <c r="F335" s="2">
        <v>1.16214</v>
      </c>
      <c r="G335" s="2">
        <v>3.27102</v>
      </c>
      <c r="H335" s="2">
        <v>1.4929600000000001</v>
      </c>
      <c r="I335" s="2">
        <v>1</v>
      </c>
      <c r="K335" s="2" t="s">
        <v>1601</v>
      </c>
      <c r="L335" s="2">
        <v>2.0040200000000001</v>
      </c>
    </row>
    <row r="336" spans="1:12" x14ac:dyDescent="0.2">
      <c r="A336" s="2" t="s">
        <v>433</v>
      </c>
      <c r="B336" s="2" t="s">
        <v>3015</v>
      </c>
      <c r="C336" s="2" t="s">
        <v>2045</v>
      </c>
      <c r="D336" s="2" t="s">
        <v>1839</v>
      </c>
      <c r="E336" s="2" t="s">
        <v>1841</v>
      </c>
      <c r="F336" s="2">
        <v>2.0567600000000001</v>
      </c>
      <c r="G336" s="2">
        <v>5.8240299999999996</v>
      </c>
      <c r="H336" s="2">
        <v>1.5016499999999999</v>
      </c>
      <c r="I336" s="2">
        <v>1</v>
      </c>
      <c r="K336" s="2" t="s">
        <v>452</v>
      </c>
      <c r="L336" s="2">
        <v>-1.2853600000000001</v>
      </c>
    </row>
    <row r="337" spans="1:12" x14ac:dyDescent="0.2">
      <c r="A337" s="2" t="s">
        <v>436</v>
      </c>
      <c r="B337" s="2" t="s">
        <v>3323</v>
      </c>
      <c r="C337" s="2" t="s">
        <v>2760</v>
      </c>
      <c r="D337" s="2" t="s">
        <v>1839</v>
      </c>
      <c r="E337" s="2" t="s">
        <v>1841</v>
      </c>
      <c r="F337" s="2">
        <v>2.0226899999999999</v>
      </c>
      <c r="G337" s="2">
        <v>7.0304599999999997</v>
      </c>
      <c r="H337" s="2">
        <v>1.79735</v>
      </c>
      <c r="I337" s="2">
        <v>1</v>
      </c>
      <c r="K337" s="2" t="s">
        <v>1602</v>
      </c>
      <c r="L337" s="2">
        <v>1.1898299999999999</v>
      </c>
    </row>
    <row r="338" spans="1:12" x14ac:dyDescent="0.2">
      <c r="A338" s="2" t="s">
        <v>442</v>
      </c>
      <c r="B338" s="2" t="s">
        <v>3015</v>
      </c>
      <c r="C338" s="2" t="s">
        <v>1862</v>
      </c>
      <c r="D338" s="2" t="s">
        <v>1839</v>
      </c>
      <c r="E338" s="2" t="s">
        <v>1841</v>
      </c>
      <c r="F338" s="2">
        <v>28.128</v>
      </c>
      <c r="G338" s="2">
        <v>8.7301199999999994</v>
      </c>
      <c r="H338" s="2">
        <v>-1.6879299999999999</v>
      </c>
      <c r="I338" s="2">
        <v>1</v>
      </c>
      <c r="K338" s="2" t="s">
        <v>1603</v>
      </c>
      <c r="L338" s="2">
        <v>1.35517</v>
      </c>
    </row>
    <row r="339" spans="1:12" x14ac:dyDescent="0.2">
      <c r="A339" s="2" t="s">
        <v>1274</v>
      </c>
      <c r="B339" s="2" t="s">
        <v>3189</v>
      </c>
      <c r="C339" s="2" t="s">
        <v>2761</v>
      </c>
      <c r="D339" s="2" t="s">
        <v>1839</v>
      </c>
      <c r="E339" s="2" t="s">
        <v>1841</v>
      </c>
      <c r="F339" s="2">
        <v>6.1191800000000001</v>
      </c>
      <c r="G339" s="2">
        <v>14.524900000000001</v>
      </c>
      <c r="H339" s="2">
        <v>1.24712</v>
      </c>
      <c r="I339" s="2">
        <v>1</v>
      </c>
      <c r="K339" s="2" t="s">
        <v>459</v>
      </c>
      <c r="L339" s="2">
        <v>1.2839100000000001</v>
      </c>
    </row>
    <row r="340" spans="1:12" x14ac:dyDescent="0.2">
      <c r="A340" s="2" t="s">
        <v>449</v>
      </c>
      <c r="B340" s="2" t="s">
        <v>3024</v>
      </c>
      <c r="C340" s="2" t="s">
        <v>2053</v>
      </c>
      <c r="D340" s="2" t="s">
        <v>1839</v>
      </c>
      <c r="E340" s="2" t="s">
        <v>1841</v>
      </c>
      <c r="F340" s="2">
        <v>0.63944900000000005</v>
      </c>
      <c r="G340" s="2">
        <v>1.9082399999999999</v>
      </c>
      <c r="H340" s="2">
        <v>1.57734</v>
      </c>
      <c r="I340" s="2">
        <v>1</v>
      </c>
      <c r="K340" s="2" t="s">
        <v>461</v>
      </c>
      <c r="L340" s="2">
        <v>1.00231</v>
      </c>
    </row>
    <row r="341" spans="1:12" x14ac:dyDescent="0.2">
      <c r="A341" s="2" t="s">
        <v>1601</v>
      </c>
      <c r="B341" s="2" t="s">
        <v>3047</v>
      </c>
      <c r="C341" s="2" t="s">
        <v>2762</v>
      </c>
      <c r="D341" s="2" t="s">
        <v>1839</v>
      </c>
      <c r="E341" s="2" t="s">
        <v>1841</v>
      </c>
      <c r="F341" s="2">
        <v>0.19380500000000001</v>
      </c>
      <c r="G341" s="2">
        <v>0.77738600000000002</v>
      </c>
      <c r="H341" s="2">
        <v>2.0040200000000001</v>
      </c>
      <c r="I341" s="2">
        <v>1</v>
      </c>
      <c r="K341" s="2" t="s">
        <v>463</v>
      </c>
      <c r="L341" s="2">
        <v>1.4201900000000001</v>
      </c>
    </row>
    <row r="342" spans="1:12" x14ac:dyDescent="0.2">
      <c r="A342" s="2" t="s">
        <v>452</v>
      </c>
      <c r="B342" s="2" t="s">
        <v>3015</v>
      </c>
      <c r="C342" s="2" t="s">
        <v>2763</v>
      </c>
      <c r="D342" s="2" t="s">
        <v>1839</v>
      </c>
      <c r="E342" s="2" t="s">
        <v>1841</v>
      </c>
      <c r="F342" s="2">
        <v>47.367199999999997</v>
      </c>
      <c r="G342" s="2">
        <v>19.433199999999999</v>
      </c>
      <c r="H342" s="2">
        <v>-1.2853600000000001</v>
      </c>
      <c r="I342" s="2">
        <v>1</v>
      </c>
      <c r="K342" s="2" t="s">
        <v>1276</v>
      </c>
      <c r="L342" s="2">
        <v>-1.39181</v>
      </c>
    </row>
    <row r="343" spans="1:12" x14ac:dyDescent="0.2">
      <c r="A343" s="2" t="s">
        <v>1602</v>
      </c>
      <c r="B343" s="2" t="s">
        <v>3015</v>
      </c>
      <c r="C343" s="2" t="s">
        <v>2764</v>
      </c>
      <c r="D343" s="2" t="s">
        <v>1839</v>
      </c>
      <c r="E343" s="2" t="s">
        <v>1841</v>
      </c>
      <c r="F343" s="2">
        <v>1.2925</v>
      </c>
      <c r="G343" s="2">
        <v>2.9485399999999999</v>
      </c>
      <c r="H343" s="2">
        <v>1.1898299999999999</v>
      </c>
      <c r="I343" s="2">
        <v>1</v>
      </c>
      <c r="K343" s="2" t="s">
        <v>1604</v>
      </c>
      <c r="L343" s="2">
        <v>1.0108200000000001</v>
      </c>
    </row>
    <row r="344" spans="1:12" x14ac:dyDescent="0.2">
      <c r="A344" s="2" t="s">
        <v>1603</v>
      </c>
      <c r="B344" s="2" t="s">
        <v>3426</v>
      </c>
      <c r="C344" s="2" t="s">
        <v>1847</v>
      </c>
      <c r="D344" s="2" t="s">
        <v>1839</v>
      </c>
      <c r="E344" s="2" t="s">
        <v>1841</v>
      </c>
      <c r="F344" s="2">
        <v>1.02538</v>
      </c>
      <c r="G344" s="2">
        <v>2.6231900000000001</v>
      </c>
      <c r="H344" s="2">
        <v>1.35517</v>
      </c>
      <c r="I344" s="2">
        <v>1</v>
      </c>
      <c r="K344" s="2" t="s">
        <v>1605</v>
      </c>
      <c r="L344" s="2">
        <v>1.03403</v>
      </c>
    </row>
    <row r="345" spans="1:12" x14ac:dyDescent="0.2">
      <c r="A345" s="2" t="s">
        <v>459</v>
      </c>
      <c r="B345" s="2" t="s">
        <v>3015</v>
      </c>
      <c r="C345" s="2" t="s">
        <v>2765</v>
      </c>
      <c r="D345" s="2" t="s">
        <v>1839</v>
      </c>
      <c r="E345" s="2" t="s">
        <v>1841</v>
      </c>
      <c r="F345" s="2">
        <v>0.56391100000000005</v>
      </c>
      <c r="G345" s="2">
        <v>1.3731100000000001</v>
      </c>
      <c r="H345" s="2">
        <v>1.2839100000000001</v>
      </c>
      <c r="I345" s="2">
        <v>1</v>
      </c>
      <c r="K345" s="2" t="s">
        <v>1606</v>
      </c>
      <c r="L345" s="2">
        <v>1.01986</v>
      </c>
    </row>
    <row r="346" spans="1:12" x14ac:dyDescent="0.2">
      <c r="A346" s="2" t="s">
        <v>461</v>
      </c>
      <c r="B346" s="2" t="s">
        <v>3015</v>
      </c>
      <c r="C346" s="2" t="s">
        <v>2060</v>
      </c>
      <c r="D346" s="2" t="s">
        <v>1839</v>
      </c>
      <c r="E346" s="2" t="s">
        <v>1841</v>
      </c>
      <c r="F346" s="2">
        <v>2.9764499999999998</v>
      </c>
      <c r="G346" s="2">
        <v>5.9624499999999996</v>
      </c>
      <c r="H346" s="2">
        <v>1.00231</v>
      </c>
      <c r="I346" s="2">
        <v>1</v>
      </c>
      <c r="K346" s="2" t="s">
        <v>469</v>
      </c>
      <c r="L346" s="2">
        <v>-1.12504</v>
      </c>
    </row>
    <row r="347" spans="1:12" x14ac:dyDescent="0.2">
      <c r="A347" s="2" t="s">
        <v>463</v>
      </c>
      <c r="B347" s="2" t="s">
        <v>3015</v>
      </c>
      <c r="C347" s="2" t="s">
        <v>2482</v>
      </c>
      <c r="D347" s="2" t="s">
        <v>1839</v>
      </c>
      <c r="E347" s="2" t="s">
        <v>1841</v>
      </c>
      <c r="F347" s="2">
        <v>1.1751799999999999</v>
      </c>
      <c r="G347" s="2">
        <v>3.1450200000000001</v>
      </c>
      <c r="H347" s="2">
        <v>1.4201900000000001</v>
      </c>
      <c r="I347" s="2">
        <v>1</v>
      </c>
      <c r="K347" s="2" t="s">
        <v>1607</v>
      </c>
      <c r="L347" s="2">
        <v>1.3396699999999999</v>
      </c>
    </row>
    <row r="348" spans="1:12" x14ac:dyDescent="0.2">
      <c r="A348" s="2" t="s">
        <v>1276</v>
      </c>
      <c r="B348" s="2" t="s">
        <v>3049</v>
      </c>
      <c r="C348" s="2" t="s">
        <v>2766</v>
      </c>
      <c r="D348" s="2" t="s">
        <v>1839</v>
      </c>
      <c r="E348" s="2" t="s">
        <v>1841</v>
      </c>
      <c r="F348" s="2">
        <v>6.7696800000000001</v>
      </c>
      <c r="G348" s="2">
        <v>2.5798299999999998</v>
      </c>
      <c r="H348" s="2">
        <v>-1.39181</v>
      </c>
      <c r="I348" s="2">
        <v>1</v>
      </c>
      <c r="K348" s="2" t="s">
        <v>470</v>
      </c>
      <c r="L348" s="2">
        <v>1.88531</v>
      </c>
    </row>
    <row r="349" spans="1:12" x14ac:dyDescent="0.2">
      <c r="A349" s="2" t="s">
        <v>1604</v>
      </c>
      <c r="B349" s="2" t="s">
        <v>3015</v>
      </c>
      <c r="C349" s="2" t="s">
        <v>1880</v>
      </c>
      <c r="D349" s="2" t="s">
        <v>1839</v>
      </c>
      <c r="E349" s="2" t="s">
        <v>1841</v>
      </c>
      <c r="F349" s="2">
        <v>2.2065600000000001</v>
      </c>
      <c r="G349" s="2">
        <v>4.4463699999999999</v>
      </c>
      <c r="H349" s="2">
        <v>1.0108200000000001</v>
      </c>
      <c r="I349" s="2">
        <v>1</v>
      </c>
      <c r="K349" s="2" t="s">
        <v>1608</v>
      </c>
      <c r="L349" s="2">
        <v>1.33694</v>
      </c>
    </row>
    <row r="350" spans="1:12" x14ac:dyDescent="0.2">
      <c r="A350" s="2" t="s">
        <v>1605</v>
      </c>
      <c r="B350" s="2" t="s">
        <v>3046</v>
      </c>
      <c r="C350" s="2" t="s">
        <v>2767</v>
      </c>
      <c r="D350" s="2" t="s">
        <v>1839</v>
      </c>
      <c r="E350" s="2" t="s">
        <v>1841</v>
      </c>
      <c r="F350" s="2">
        <v>0.429566</v>
      </c>
      <c r="G350" s="2">
        <v>0.87963400000000003</v>
      </c>
      <c r="H350" s="2">
        <v>1.03403</v>
      </c>
      <c r="I350" s="2">
        <v>1</v>
      </c>
      <c r="K350" s="2" t="s">
        <v>1609</v>
      </c>
      <c r="L350" s="2">
        <v>-2.1101000000000001</v>
      </c>
    </row>
    <row r="351" spans="1:12" x14ac:dyDescent="0.2">
      <c r="A351" s="2" t="s">
        <v>1606</v>
      </c>
      <c r="B351" s="2" t="s">
        <v>3301</v>
      </c>
      <c r="C351" s="2" t="s">
        <v>1901</v>
      </c>
      <c r="D351" s="2" t="s">
        <v>1839</v>
      </c>
      <c r="E351" s="2" t="s">
        <v>1841</v>
      </c>
      <c r="F351" s="2">
        <v>0.98056699999999997</v>
      </c>
      <c r="G351" s="2">
        <v>1.9883200000000001</v>
      </c>
      <c r="H351" s="2">
        <v>1.01986</v>
      </c>
      <c r="I351" s="2">
        <v>1</v>
      </c>
      <c r="K351" s="2" t="s">
        <v>1610</v>
      </c>
      <c r="L351" s="2">
        <v>2.6778200000000001</v>
      </c>
    </row>
    <row r="352" spans="1:12" x14ac:dyDescent="0.2">
      <c r="A352" s="2" t="s">
        <v>469</v>
      </c>
      <c r="B352" s="2" t="s">
        <v>3427</v>
      </c>
      <c r="C352" s="2" t="s">
        <v>2768</v>
      </c>
      <c r="D352" s="2" t="s">
        <v>1839</v>
      </c>
      <c r="E352" s="2" t="s">
        <v>1841</v>
      </c>
      <c r="F352" s="2">
        <v>392.82499999999999</v>
      </c>
      <c r="G352" s="2">
        <v>180.10599999999999</v>
      </c>
      <c r="H352" s="2">
        <v>-1.12504</v>
      </c>
      <c r="I352" s="2">
        <v>1</v>
      </c>
      <c r="K352" s="2" t="s">
        <v>477</v>
      </c>
      <c r="L352" s="2">
        <v>-1.06887</v>
      </c>
    </row>
    <row r="353" spans="1:12" x14ac:dyDescent="0.2">
      <c r="A353" s="2" t="s">
        <v>1607</v>
      </c>
      <c r="B353" s="2" t="s">
        <v>3015</v>
      </c>
      <c r="C353" s="2" t="s">
        <v>1847</v>
      </c>
      <c r="D353" s="2" t="s">
        <v>1839</v>
      </c>
      <c r="E353" s="2" t="s">
        <v>1841</v>
      </c>
      <c r="F353" s="2">
        <v>0.32757199999999997</v>
      </c>
      <c r="G353" s="2">
        <v>0.82906500000000005</v>
      </c>
      <c r="H353" s="2">
        <v>1.3396699999999999</v>
      </c>
      <c r="I353" s="2">
        <v>1</v>
      </c>
      <c r="K353" s="2" t="s">
        <v>1611</v>
      </c>
      <c r="L353" s="2">
        <v>1.9108499999999999</v>
      </c>
    </row>
    <row r="354" spans="1:12" x14ac:dyDescent="0.2">
      <c r="A354" s="2" t="s">
        <v>470</v>
      </c>
      <c r="B354" s="2" t="s">
        <v>3015</v>
      </c>
      <c r="C354" s="2" t="s">
        <v>2769</v>
      </c>
      <c r="D354" s="2" t="s">
        <v>1839</v>
      </c>
      <c r="E354" s="2" t="s">
        <v>1841</v>
      </c>
      <c r="F354" s="2">
        <v>60.847099999999998</v>
      </c>
      <c r="G354" s="2">
        <v>224.78800000000001</v>
      </c>
      <c r="H354" s="2">
        <v>1.88531</v>
      </c>
      <c r="I354" s="2">
        <v>1</v>
      </c>
      <c r="K354" s="2" t="s">
        <v>1612</v>
      </c>
      <c r="L354" s="2">
        <v>1.2398800000000001</v>
      </c>
    </row>
    <row r="355" spans="1:12" x14ac:dyDescent="0.2">
      <c r="A355" s="2" t="s">
        <v>1608</v>
      </c>
      <c r="B355" s="2" t="s">
        <v>3015</v>
      </c>
      <c r="C355" s="2" t="s">
        <v>3015</v>
      </c>
      <c r="D355" s="2" t="s">
        <v>1839</v>
      </c>
      <c r="E355" s="2" t="s">
        <v>1841</v>
      </c>
      <c r="F355" s="2">
        <v>2.8765800000000001</v>
      </c>
      <c r="G355" s="2">
        <v>7.26668</v>
      </c>
      <c r="H355" s="2">
        <v>1.33694</v>
      </c>
      <c r="I355" s="2">
        <v>1</v>
      </c>
      <c r="K355" s="2" t="s">
        <v>478</v>
      </c>
      <c r="L355" s="2">
        <v>1.0526800000000001</v>
      </c>
    </row>
    <row r="356" spans="1:12" x14ac:dyDescent="0.2">
      <c r="A356" s="2" t="s">
        <v>1609</v>
      </c>
      <c r="B356" s="2" t="s">
        <v>3093</v>
      </c>
      <c r="C356" s="2" t="s">
        <v>2770</v>
      </c>
      <c r="D356" s="2" t="s">
        <v>1839</v>
      </c>
      <c r="E356" s="2" t="s">
        <v>1841</v>
      </c>
      <c r="F356" s="2">
        <v>0.99762700000000004</v>
      </c>
      <c r="G356" s="2">
        <v>0.23108200000000001</v>
      </c>
      <c r="H356" s="2">
        <v>-2.1101000000000001</v>
      </c>
      <c r="I356" s="2">
        <v>1</v>
      </c>
      <c r="K356" s="2" t="s">
        <v>1280</v>
      </c>
      <c r="L356" s="2">
        <v>-1.75597</v>
      </c>
    </row>
    <row r="357" spans="1:12" x14ac:dyDescent="0.2">
      <c r="A357" s="2" t="s">
        <v>1610</v>
      </c>
      <c r="B357" s="2" t="s">
        <v>3087</v>
      </c>
      <c r="C357" s="2" t="s">
        <v>2771</v>
      </c>
      <c r="D357" s="2" t="s">
        <v>1839</v>
      </c>
      <c r="E357" s="2" t="s">
        <v>1841</v>
      </c>
      <c r="F357" s="2">
        <v>0.29669000000000001</v>
      </c>
      <c r="G357" s="2">
        <v>1.8984799999999999</v>
      </c>
      <c r="H357" s="2">
        <v>2.6778200000000001</v>
      </c>
      <c r="I357" s="2">
        <v>1</v>
      </c>
      <c r="K357" s="2" t="s">
        <v>482</v>
      </c>
      <c r="L357" s="2">
        <v>1.4976700000000001</v>
      </c>
    </row>
    <row r="358" spans="1:12" x14ac:dyDescent="0.2">
      <c r="A358" s="2" t="s">
        <v>477</v>
      </c>
      <c r="B358" s="2" t="s">
        <v>3015</v>
      </c>
      <c r="C358" s="2" t="s">
        <v>2772</v>
      </c>
      <c r="D358" s="2" t="s">
        <v>1839</v>
      </c>
      <c r="E358" s="2" t="s">
        <v>1841</v>
      </c>
      <c r="F358" s="2">
        <v>9.6292299999999997</v>
      </c>
      <c r="G358" s="2">
        <v>4.5901899999999998</v>
      </c>
      <c r="H358" s="2">
        <v>-1.06887</v>
      </c>
      <c r="I358" s="2">
        <v>1</v>
      </c>
      <c r="K358" s="2" t="s">
        <v>483</v>
      </c>
      <c r="L358" s="2">
        <v>1.1249100000000001</v>
      </c>
    </row>
    <row r="359" spans="1:12" x14ac:dyDescent="0.2">
      <c r="A359" s="2" t="s">
        <v>1611</v>
      </c>
      <c r="B359" s="2" t="s">
        <v>3428</v>
      </c>
      <c r="C359" s="2" t="s">
        <v>2773</v>
      </c>
      <c r="D359" s="2" t="s">
        <v>1839</v>
      </c>
      <c r="E359" s="2" t="s">
        <v>1841</v>
      </c>
      <c r="F359" s="2">
        <v>0.29382799999999998</v>
      </c>
      <c r="G359" s="2">
        <v>1.1048800000000001</v>
      </c>
      <c r="H359" s="2">
        <v>1.9108499999999999</v>
      </c>
      <c r="I359" s="2">
        <v>1</v>
      </c>
      <c r="K359" s="2" t="s">
        <v>1613</v>
      </c>
      <c r="L359" s="2">
        <v>-1.3513900000000001</v>
      </c>
    </row>
    <row r="360" spans="1:12" x14ac:dyDescent="0.2">
      <c r="A360" s="2" t="s">
        <v>1612</v>
      </c>
      <c r="B360" s="2" t="s">
        <v>3015</v>
      </c>
      <c r="C360" s="2" t="s">
        <v>2774</v>
      </c>
      <c r="D360" s="2" t="s">
        <v>1839</v>
      </c>
      <c r="E360" s="2" t="s">
        <v>1841</v>
      </c>
      <c r="F360" s="2">
        <v>0.53267799999999998</v>
      </c>
      <c r="G360" s="2">
        <v>1.25807</v>
      </c>
      <c r="H360" s="2">
        <v>1.2398800000000001</v>
      </c>
      <c r="I360" s="2">
        <v>1</v>
      </c>
      <c r="K360" s="2" t="s">
        <v>1614</v>
      </c>
      <c r="L360" s="2">
        <v>1.02657</v>
      </c>
    </row>
    <row r="361" spans="1:12" x14ac:dyDescent="0.2">
      <c r="A361" s="2" t="s">
        <v>478</v>
      </c>
      <c r="B361" s="2" t="s">
        <v>3089</v>
      </c>
      <c r="C361" s="2" t="s">
        <v>2775</v>
      </c>
      <c r="D361" s="2" t="s">
        <v>1839</v>
      </c>
      <c r="E361" s="2" t="s">
        <v>1841</v>
      </c>
      <c r="F361" s="2">
        <v>6.7660900000000002</v>
      </c>
      <c r="G361" s="2">
        <v>14.035500000000001</v>
      </c>
      <c r="H361" s="2">
        <v>1.0526800000000001</v>
      </c>
      <c r="I361" s="2">
        <v>1</v>
      </c>
      <c r="K361" s="2" t="s">
        <v>1282</v>
      </c>
      <c r="L361" s="2">
        <v>2.2383199999999999</v>
      </c>
    </row>
    <row r="362" spans="1:12" x14ac:dyDescent="0.2">
      <c r="A362" s="2" t="s">
        <v>1280</v>
      </c>
      <c r="B362" s="2" t="s">
        <v>3030</v>
      </c>
      <c r="C362" s="2" t="s">
        <v>2776</v>
      </c>
      <c r="D362" s="2" t="s">
        <v>1839</v>
      </c>
      <c r="E362" s="2" t="s">
        <v>1841</v>
      </c>
      <c r="F362" s="2">
        <v>121.669</v>
      </c>
      <c r="G362" s="2">
        <v>36.0229</v>
      </c>
      <c r="H362" s="2">
        <v>-1.75597</v>
      </c>
      <c r="I362" s="2">
        <v>1</v>
      </c>
      <c r="K362" s="2" t="s">
        <v>486</v>
      </c>
      <c r="L362" s="2">
        <v>1.8369599999999999</v>
      </c>
    </row>
    <row r="363" spans="1:12" x14ac:dyDescent="0.2">
      <c r="A363" s="2" t="s">
        <v>482</v>
      </c>
      <c r="B363" s="2" t="s">
        <v>3015</v>
      </c>
      <c r="C363" s="2" t="s">
        <v>2069</v>
      </c>
      <c r="D363" s="2" t="s">
        <v>1839</v>
      </c>
      <c r="E363" s="2" t="s">
        <v>1841</v>
      </c>
      <c r="F363" s="2">
        <v>1.67394</v>
      </c>
      <c r="G363" s="2">
        <v>4.7269800000000002</v>
      </c>
      <c r="H363" s="2">
        <v>1.4976700000000001</v>
      </c>
      <c r="I363" s="2">
        <v>1</v>
      </c>
      <c r="K363" s="2" t="s">
        <v>487</v>
      </c>
      <c r="L363" s="2">
        <v>1.55433</v>
      </c>
    </row>
    <row r="364" spans="1:12" x14ac:dyDescent="0.2">
      <c r="A364" s="2" t="s">
        <v>483</v>
      </c>
      <c r="B364" s="2" t="s">
        <v>3429</v>
      </c>
      <c r="C364" s="2" t="s">
        <v>2777</v>
      </c>
      <c r="D364" s="2" t="s">
        <v>1839</v>
      </c>
      <c r="E364" s="2" t="s">
        <v>1841</v>
      </c>
      <c r="F364" s="2">
        <v>17.624400000000001</v>
      </c>
      <c r="G364" s="2">
        <v>38.436599999999999</v>
      </c>
      <c r="H364" s="2">
        <v>1.1249100000000001</v>
      </c>
      <c r="I364" s="2">
        <v>1</v>
      </c>
      <c r="K364" s="2" t="s">
        <v>494</v>
      </c>
      <c r="L364" s="2">
        <v>1.3523799999999999</v>
      </c>
    </row>
    <row r="365" spans="1:12" x14ac:dyDescent="0.2">
      <c r="A365" s="2" t="s">
        <v>1613</v>
      </c>
      <c r="B365" s="2" t="s">
        <v>3015</v>
      </c>
      <c r="C365" s="2" t="s">
        <v>3015</v>
      </c>
      <c r="D365" s="2" t="s">
        <v>1839</v>
      </c>
      <c r="E365" s="2" t="s">
        <v>1841</v>
      </c>
      <c r="F365" s="2">
        <v>9.7957300000000007</v>
      </c>
      <c r="G365" s="2">
        <v>3.83907</v>
      </c>
      <c r="H365" s="2">
        <v>-1.3513900000000001</v>
      </c>
      <c r="I365" s="2">
        <v>1</v>
      </c>
      <c r="K365" s="2" t="s">
        <v>497</v>
      </c>
      <c r="L365" s="2">
        <v>1.22285</v>
      </c>
    </row>
    <row r="366" spans="1:12" x14ac:dyDescent="0.2">
      <c r="A366" s="2" t="s">
        <v>1614</v>
      </c>
      <c r="B366" s="2" t="s">
        <v>3156</v>
      </c>
      <c r="C366" s="2" t="s">
        <v>2529</v>
      </c>
      <c r="D366" s="2" t="s">
        <v>1839</v>
      </c>
      <c r="E366" s="2" t="s">
        <v>1841</v>
      </c>
      <c r="F366" s="2">
        <v>0.59873900000000002</v>
      </c>
      <c r="G366" s="2">
        <v>1.21973</v>
      </c>
      <c r="H366" s="2">
        <v>1.02657</v>
      </c>
      <c r="I366" s="2">
        <v>1</v>
      </c>
      <c r="K366" s="2" t="s">
        <v>1615</v>
      </c>
      <c r="L366" s="2">
        <v>-1.1388799999999999</v>
      </c>
    </row>
    <row r="367" spans="1:12" x14ac:dyDescent="0.2">
      <c r="A367" s="2" t="s">
        <v>1282</v>
      </c>
      <c r="B367" s="2" t="s">
        <v>3047</v>
      </c>
      <c r="C367" s="2" t="s">
        <v>1879</v>
      </c>
      <c r="D367" s="2" t="s">
        <v>1839</v>
      </c>
      <c r="E367" s="2" t="s">
        <v>1841</v>
      </c>
      <c r="F367" s="2">
        <v>0.170211</v>
      </c>
      <c r="G367" s="2">
        <v>0.80313500000000004</v>
      </c>
      <c r="H367" s="2">
        <v>2.2383199999999999</v>
      </c>
      <c r="I367" s="2">
        <v>1</v>
      </c>
      <c r="K367" s="2" t="s">
        <v>498</v>
      </c>
      <c r="L367" s="2">
        <v>5.1839500000000003</v>
      </c>
    </row>
    <row r="368" spans="1:12" x14ac:dyDescent="0.2">
      <c r="A368" s="2" t="s">
        <v>486</v>
      </c>
      <c r="B368" s="2" t="s">
        <v>3015</v>
      </c>
      <c r="C368" s="2" t="s">
        <v>1847</v>
      </c>
      <c r="D368" s="2" t="s">
        <v>1839</v>
      </c>
      <c r="E368" s="2" t="s">
        <v>1841</v>
      </c>
      <c r="F368" s="2">
        <v>27.205400000000001</v>
      </c>
      <c r="G368" s="2">
        <v>97.192999999999998</v>
      </c>
      <c r="H368" s="2">
        <v>1.8369599999999999</v>
      </c>
      <c r="I368" s="2">
        <v>1</v>
      </c>
      <c r="K368" s="2" t="s">
        <v>499</v>
      </c>
      <c r="L368" s="2">
        <v>-1.72159</v>
      </c>
    </row>
    <row r="369" spans="1:12" x14ac:dyDescent="0.2">
      <c r="A369" s="2" t="s">
        <v>487</v>
      </c>
      <c r="B369" s="2" t="s">
        <v>3015</v>
      </c>
      <c r="C369" s="2" t="s">
        <v>2071</v>
      </c>
      <c r="D369" s="2" t="s">
        <v>1839</v>
      </c>
      <c r="E369" s="2" t="s">
        <v>1841</v>
      </c>
      <c r="F369" s="2">
        <v>1.4330700000000001</v>
      </c>
      <c r="G369" s="2">
        <v>4.2088799999999997</v>
      </c>
      <c r="H369" s="2">
        <v>1.55433</v>
      </c>
      <c r="I369" s="2">
        <v>1</v>
      </c>
      <c r="K369" s="2" t="s">
        <v>500</v>
      </c>
      <c r="L369" s="2">
        <v>-1.8283100000000001</v>
      </c>
    </row>
    <row r="370" spans="1:12" x14ac:dyDescent="0.2">
      <c r="A370" s="2" t="s">
        <v>494</v>
      </c>
      <c r="B370" s="2" t="s">
        <v>3089</v>
      </c>
      <c r="C370" s="2" t="s">
        <v>2077</v>
      </c>
      <c r="D370" s="2" t="s">
        <v>1839</v>
      </c>
      <c r="E370" s="2" t="s">
        <v>1841</v>
      </c>
      <c r="F370" s="2">
        <v>1.06881</v>
      </c>
      <c r="G370" s="2">
        <v>2.7290100000000002</v>
      </c>
      <c r="H370" s="2">
        <v>1.3523799999999999</v>
      </c>
      <c r="I370" s="2">
        <v>1</v>
      </c>
      <c r="K370" s="2" t="s">
        <v>501</v>
      </c>
      <c r="L370" s="2">
        <v>1.3449800000000001</v>
      </c>
    </row>
    <row r="371" spans="1:12" x14ac:dyDescent="0.2">
      <c r="A371" s="2" t="s">
        <v>497</v>
      </c>
      <c r="B371" s="2" t="s">
        <v>3030</v>
      </c>
      <c r="C371" s="2" t="s">
        <v>2017</v>
      </c>
      <c r="D371" s="2" t="s">
        <v>1839</v>
      </c>
      <c r="E371" s="2" t="s">
        <v>1841</v>
      </c>
      <c r="F371" s="2">
        <v>1.67099</v>
      </c>
      <c r="G371" s="2">
        <v>3.90021</v>
      </c>
      <c r="H371" s="2">
        <v>1.22285</v>
      </c>
      <c r="I371" s="2">
        <v>1</v>
      </c>
      <c r="K371" s="2" t="s">
        <v>1616</v>
      </c>
      <c r="L371" s="2">
        <v>1.5918600000000001</v>
      </c>
    </row>
    <row r="372" spans="1:12" x14ac:dyDescent="0.2">
      <c r="A372" s="2" t="s">
        <v>1615</v>
      </c>
      <c r="B372" s="2" t="s">
        <v>3182</v>
      </c>
      <c r="C372" s="2" t="s">
        <v>2778</v>
      </c>
      <c r="D372" s="2" t="s">
        <v>1839</v>
      </c>
      <c r="E372" s="2" t="s">
        <v>1841</v>
      </c>
      <c r="F372" s="2">
        <v>2.6263000000000001</v>
      </c>
      <c r="G372" s="2">
        <v>1.1926300000000001</v>
      </c>
      <c r="H372" s="2">
        <v>-1.1388799999999999</v>
      </c>
      <c r="I372" s="2">
        <v>1</v>
      </c>
      <c r="K372" s="2" t="s">
        <v>504</v>
      </c>
      <c r="L372" s="2">
        <v>2.1645500000000002</v>
      </c>
    </row>
    <row r="373" spans="1:12" x14ac:dyDescent="0.2">
      <c r="A373" s="2" t="s">
        <v>498</v>
      </c>
      <c r="B373" s="2" t="s">
        <v>3015</v>
      </c>
      <c r="C373" s="2" t="s">
        <v>2078</v>
      </c>
      <c r="D373" s="2" t="s">
        <v>1839</v>
      </c>
      <c r="E373" s="2" t="s">
        <v>1841</v>
      </c>
      <c r="F373" s="2">
        <v>1.70723</v>
      </c>
      <c r="G373" s="2">
        <v>62.0608</v>
      </c>
      <c r="H373" s="2">
        <v>5.1839500000000003</v>
      </c>
      <c r="I373" s="2">
        <v>1</v>
      </c>
      <c r="K373" s="2" t="s">
        <v>506</v>
      </c>
      <c r="L373" s="2">
        <v>1.3051600000000001</v>
      </c>
    </row>
    <row r="374" spans="1:12" x14ac:dyDescent="0.2">
      <c r="A374" s="2" t="s">
        <v>499</v>
      </c>
      <c r="B374" s="2" t="s">
        <v>3015</v>
      </c>
      <c r="C374" s="2" t="s">
        <v>2079</v>
      </c>
      <c r="D374" s="2" t="s">
        <v>1839</v>
      </c>
      <c r="E374" s="2" t="s">
        <v>1841</v>
      </c>
      <c r="F374" s="2">
        <v>19.516300000000001</v>
      </c>
      <c r="G374" s="2">
        <v>5.9176200000000003</v>
      </c>
      <c r="H374" s="2">
        <v>-1.72159</v>
      </c>
      <c r="I374" s="2">
        <v>1</v>
      </c>
      <c r="K374" s="2" t="s">
        <v>507</v>
      </c>
      <c r="L374" s="2">
        <v>1.88439</v>
      </c>
    </row>
    <row r="375" spans="1:12" x14ac:dyDescent="0.2">
      <c r="A375" s="2" t="s">
        <v>500</v>
      </c>
      <c r="B375" s="2" t="s">
        <v>3015</v>
      </c>
      <c r="C375" s="2" t="s">
        <v>3015</v>
      </c>
      <c r="D375" s="2" t="s">
        <v>1839</v>
      </c>
      <c r="E375" s="2" t="s">
        <v>1841</v>
      </c>
      <c r="F375" s="2">
        <v>19.98</v>
      </c>
      <c r="G375" s="2">
        <v>5.6262699999999999</v>
      </c>
      <c r="H375" s="2">
        <v>-1.8283100000000001</v>
      </c>
      <c r="I375" s="2">
        <v>1</v>
      </c>
      <c r="K375" s="2" t="s">
        <v>1617</v>
      </c>
      <c r="L375" s="2">
        <v>1.0940099999999999</v>
      </c>
    </row>
    <row r="376" spans="1:12" x14ac:dyDescent="0.2">
      <c r="A376" s="2" t="s">
        <v>501</v>
      </c>
      <c r="B376" s="2" t="s">
        <v>3015</v>
      </c>
      <c r="C376" s="2" t="s">
        <v>2488</v>
      </c>
      <c r="D376" s="2" t="s">
        <v>1839</v>
      </c>
      <c r="E376" s="2" t="s">
        <v>1841</v>
      </c>
      <c r="F376" s="2">
        <v>4.2759799999999997</v>
      </c>
      <c r="G376" s="2">
        <v>10.8622</v>
      </c>
      <c r="H376" s="2">
        <v>1.3449800000000001</v>
      </c>
      <c r="I376" s="2">
        <v>1</v>
      </c>
      <c r="K376" s="2" t="s">
        <v>509</v>
      </c>
      <c r="L376" s="2">
        <v>2.2679499999999999</v>
      </c>
    </row>
    <row r="377" spans="1:12" x14ac:dyDescent="0.2">
      <c r="A377" s="2" t="s">
        <v>1616</v>
      </c>
      <c r="B377" s="2" t="s">
        <v>3015</v>
      </c>
      <c r="C377" s="2" t="s">
        <v>3015</v>
      </c>
      <c r="D377" s="2" t="s">
        <v>1839</v>
      </c>
      <c r="E377" s="2" t="s">
        <v>1841</v>
      </c>
      <c r="F377" s="2">
        <v>0.33174199999999998</v>
      </c>
      <c r="G377" s="2">
        <v>0.99999800000000005</v>
      </c>
      <c r="H377" s="2">
        <v>1.5918600000000001</v>
      </c>
      <c r="I377" s="2">
        <v>1</v>
      </c>
      <c r="K377" s="2" t="s">
        <v>1618</v>
      </c>
      <c r="L377" s="2">
        <v>-1.19407</v>
      </c>
    </row>
    <row r="378" spans="1:12" x14ac:dyDescent="0.2">
      <c r="A378" s="2" t="s">
        <v>504</v>
      </c>
      <c r="B378" s="2" t="s">
        <v>3253</v>
      </c>
      <c r="C378" s="2" t="s">
        <v>3015</v>
      </c>
      <c r="D378" s="2" t="s">
        <v>1839</v>
      </c>
      <c r="E378" s="2" t="s">
        <v>1841</v>
      </c>
      <c r="F378" s="2">
        <v>0.21365000000000001</v>
      </c>
      <c r="G378" s="2">
        <v>0.95785299999999995</v>
      </c>
      <c r="H378" s="2">
        <v>2.1645500000000002</v>
      </c>
      <c r="I378" s="2">
        <v>1</v>
      </c>
      <c r="K378" s="2" t="s">
        <v>513</v>
      </c>
      <c r="L378" s="2">
        <v>1.3208800000000001</v>
      </c>
    </row>
    <row r="379" spans="1:12" x14ac:dyDescent="0.2">
      <c r="A379" s="2" t="s">
        <v>506</v>
      </c>
      <c r="B379" s="2" t="s">
        <v>3015</v>
      </c>
      <c r="C379" s="2" t="s">
        <v>2779</v>
      </c>
      <c r="D379" s="2" t="s">
        <v>1839</v>
      </c>
      <c r="E379" s="2" t="s">
        <v>1841</v>
      </c>
      <c r="F379" s="2">
        <v>2.5784600000000002</v>
      </c>
      <c r="G379" s="2">
        <v>6.3716799999999996</v>
      </c>
      <c r="H379" s="2">
        <v>1.3051600000000001</v>
      </c>
      <c r="I379" s="2">
        <v>1</v>
      </c>
      <c r="K379" s="2" t="s">
        <v>514</v>
      </c>
      <c r="L379" s="2">
        <v>2.5898599999999998</v>
      </c>
    </row>
    <row r="380" spans="1:12" x14ac:dyDescent="0.2">
      <c r="A380" s="2" t="s">
        <v>507</v>
      </c>
      <c r="B380" s="2" t="s">
        <v>3015</v>
      </c>
      <c r="C380" s="2" t="s">
        <v>2082</v>
      </c>
      <c r="D380" s="2" t="s">
        <v>1839</v>
      </c>
      <c r="E380" s="2" t="s">
        <v>1841</v>
      </c>
      <c r="F380" s="2">
        <v>0.61633300000000002</v>
      </c>
      <c r="G380" s="2">
        <v>2.2754799999999999</v>
      </c>
      <c r="H380" s="2">
        <v>1.88439</v>
      </c>
      <c r="I380" s="2">
        <v>1</v>
      </c>
      <c r="K380" s="2" t="s">
        <v>515</v>
      </c>
      <c r="L380" s="2">
        <v>1.3361400000000001</v>
      </c>
    </row>
    <row r="381" spans="1:12" x14ac:dyDescent="0.2">
      <c r="A381" s="2" t="s">
        <v>1617</v>
      </c>
      <c r="B381" s="2" t="s">
        <v>3430</v>
      </c>
      <c r="C381" s="2" t="s">
        <v>2780</v>
      </c>
      <c r="D381" s="2" t="s">
        <v>1839</v>
      </c>
      <c r="E381" s="2" t="s">
        <v>1841</v>
      </c>
      <c r="F381" s="2">
        <v>1.6963200000000001</v>
      </c>
      <c r="G381" s="2">
        <v>3.6210800000000001</v>
      </c>
      <c r="H381" s="2">
        <v>1.0940099999999999</v>
      </c>
      <c r="I381" s="2">
        <v>1</v>
      </c>
      <c r="K381" s="2" t="s">
        <v>1619</v>
      </c>
      <c r="L381" s="2">
        <v>2.4035899999999999</v>
      </c>
    </row>
    <row r="382" spans="1:12" x14ac:dyDescent="0.2">
      <c r="A382" s="2" t="s">
        <v>509</v>
      </c>
      <c r="B382" s="2" t="s">
        <v>3043</v>
      </c>
      <c r="C382" s="2" t="s">
        <v>2781</v>
      </c>
      <c r="D382" s="2" t="s">
        <v>1839</v>
      </c>
      <c r="E382" s="2" t="s">
        <v>1841</v>
      </c>
      <c r="F382" s="2">
        <v>18.654299999999999</v>
      </c>
      <c r="G382" s="2">
        <v>89.846400000000003</v>
      </c>
      <c r="H382" s="2">
        <v>2.2679499999999999</v>
      </c>
      <c r="I382" s="2">
        <v>1</v>
      </c>
      <c r="K382" s="2" t="s">
        <v>519</v>
      </c>
      <c r="L382" s="2">
        <v>1.4440900000000001</v>
      </c>
    </row>
    <row r="383" spans="1:12" x14ac:dyDescent="0.2">
      <c r="A383" s="2" t="s">
        <v>1618</v>
      </c>
      <c r="B383" s="2" t="s">
        <v>3015</v>
      </c>
      <c r="C383" s="2" t="s">
        <v>2782</v>
      </c>
      <c r="D383" s="2" t="s">
        <v>1839</v>
      </c>
      <c r="E383" s="2" t="s">
        <v>1841</v>
      </c>
      <c r="F383" s="2">
        <v>3.4591400000000001</v>
      </c>
      <c r="G383" s="2">
        <v>1.5118799999999999</v>
      </c>
      <c r="H383" s="2">
        <v>-1.19407</v>
      </c>
      <c r="I383" s="2">
        <v>1</v>
      </c>
      <c r="K383" s="2" t="s">
        <v>1620</v>
      </c>
      <c r="L383" s="2">
        <v>-1.4324399999999999</v>
      </c>
    </row>
    <row r="384" spans="1:12" x14ac:dyDescent="0.2">
      <c r="A384" s="2" t="s">
        <v>513</v>
      </c>
      <c r="B384" s="2" t="s">
        <v>3431</v>
      </c>
      <c r="C384" s="2" t="s">
        <v>2783</v>
      </c>
      <c r="D384" s="2" t="s">
        <v>1839</v>
      </c>
      <c r="E384" s="2" t="s">
        <v>1841</v>
      </c>
      <c r="F384" s="2">
        <v>6.2676499999999997</v>
      </c>
      <c r="G384" s="2">
        <v>15.6577</v>
      </c>
      <c r="H384" s="2">
        <v>1.3208800000000001</v>
      </c>
      <c r="I384" s="2">
        <v>1</v>
      </c>
      <c r="K384" s="2" t="s">
        <v>521</v>
      </c>
      <c r="L384" s="2">
        <v>1.03165</v>
      </c>
    </row>
    <row r="385" spans="1:12" x14ac:dyDescent="0.2">
      <c r="A385" s="2" t="s">
        <v>514</v>
      </c>
      <c r="B385" s="2" t="s">
        <v>3045</v>
      </c>
      <c r="C385" s="2" t="s">
        <v>2491</v>
      </c>
      <c r="D385" s="2" t="s">
        <v>1839</v>
      </c>
      <c r="E385" s="2" t="s">
        <v>1841</v>
      </c>
      <c r="F385" s="2">
        <v>1.5641799999999999</v>
      </c>
      <c r="G385" s="2">
        <v>9.4170499999999997</v>
      </c>
      <c r="H385" s="2">
        <v>2.5898599999999998</v>
      </c>
      <c r="I385" s="2">
        <v>1</v>
      </c>
      <c r="K385" s="2" t="s">
        <v>526</v>
      </c>
      <c r="L385" s="2">
        <v>-1.15618</v>
      </c>
    </row>
    <row r="386" spans="1:12" x14ac:dyDescent="0.2">
      <c r="A386" s="2" t="s">
        <v>515</v>
      </c>
      <c r="B386" s="2" t="s">
        <v>3045</v>
      </c>
      <c r="C386" s="2" t="s">
        <v>2492</v>
      </c>
      <c r="D386" s="2" t="s">
        <v>1839</v>
      </c>
      <c r="E386" s="2" t="s">
        <v>1841</v>
      </c>
      <c r="F386" s="2">
        <v>10.161300000000001</v>
      </c>
      <c r="G386" s="2">
        <v>25.654699999999998</v>
      </c>
      <c r="H386" s="2">
        <v>1.3361400000000001</v>
      </c>
      <c r="I386" s="2">
        <v>1</v>
      </c>
      <c r="K386" s="2" t="s">
        <v>528</v>
      </c>
      <c r="L386" s="2">
        <v>3.2860399999999998</v>
      </c>
    </row>
    <row r="387" spans="1:12" x14ac:dyDescent="0.2">
      <c r="A387" s="2" t="s">
        <v>1619</v>
      </c>
      <c r="B387" s="2" t="s">
        <v>3432</v>
      </c>
      <c r="C387" s="2" t="s">
        <v>1972</v>
      </c>
      <c r="D387" s="2" t="s">
        <v>1839</v>
      </c>
      <c r="E387" s="2" t="s">
        <v>1841</v>
      </c>
      <c r="F387" s="2">
        <v>0.145126</v>
      </c>
      <c r="G387" s="2">
        <v>0.76788500000000004</v>
      </c>
      <c r="H387" s="2">
        <v>2.4035899999999999</v>
      </c>
      <c r="I387" s="2">
        <v>1</v>
      </c>
      <c r="K387" s="2" t="s">
        <v>1621</v>
      </c>
      <c r="L387" s="2">
        <v>1.8508599999999999</v>
      </c>
    </row>
    <row r="388" spans="1:12" x14ac:dyDescent="0.2">
      <c r="A388" s="2" t="s">
        <v>519</v>
      </c>
      <c r="B388" s="2" t="s">
        <v>3433</v>
      </c>
      <c r="C388" s="2" t="s">
        <v>2784</v>
      </c>
      <c r="D388" s="2" t="s">
        <v>1839</v>
      </c>
      <c r="E388" s="2" t="s">
        <v>1841</v>
      </c>
      <c r="F388" s="2">
        <v>0.319575</v>
      </c>
      <c r="G388" s="2">
        <v>0.86953499999999995</v>
      </c>
      <c r="H388" s="2">
        <v>1.4440900000000001</v>
      </c>
      <c r="I388" s="2">
        <v>1</v>
      </c>
      <c r="K388" s="2" t="s">
        <v>531</v>
      </c>
      <c r="L388" s="2">
        <v>-1.96871</v>
      </c>
    </row>
    <row r="389" spans="1:12" x14ac:dyDescent="0.2">
      <c r="A389" s="2" t="s">
        <v>1620</v>
      </c>
      <c r="B389" s="2" t="s">
        <v>3015</v>
      </c>
      <c r="C389" s="2" t="s">
        <v>2785</v>
      </c>
      <c r="D389" s="2" t="s">
        <v>1839</v>
      </c>
      <c r="E389" s="2" t="s">
        <v>1841</v>
      </c>
      <c r="F389" s="2">
        <v>1.26274</v>
      </c>
      <c r="G389" s="2">
        <v>0.46785100000000002</v>
      </c>
      <c r="H389" s="2">
        <v>-1.4324399999999999</v>
      </c>
      <c r="I389" s="2">
        <v>1</v>
      </c>
      <c r="K389" s="2" t="s">
        <v>1290</v>
      </c>
      <c r="L389" s="2">
        <v>2.8980399999999999</v>
      </c>
    </row>
    <row r="390" spans="1:12" x14ac:dyDescent="0.2">
      <c r="A390" s="2" t="s">
        <v>521</v>
      </c>
      <c r="B390" s="2" t="s">
        <v>3152</v>
      </c>
      <c r="C390" s="2" t="s">
        <v>2089</v>
      </c>
      <c r="D390" s="2" t="s">
        <v>1839</v>
      </c>
      <c r="E390" s="2" t="s">
        <v>1841</v>
      </c>
      <c r="F390" s="2">
        <v>0.79144700000000001</v>
      </c>
      <c r="G390" s="2">
        <v>1.6180099999999999</v>
      </c>
      <c r="H390" s="2">
        <v>1.03165</v>
      </c>
      <c r="I390" s="2">
        <v>1</v>
      </c>
      <c r="K390" s="2" t="s">
        <v>532</v>
      </c>
      <c r="L390" s="2">
        <v>1.9561200000000001</v>
      </c>
    </row>
    <row r="391" spans="1:12" x14ac:dyDescent="0.2">
      <c r="A391" s="2" t="s">
        <v>526</v>
      </c>
      <c r="B391" s="2" t="s">
        <v>3185</v>
      </c>
      <c r="C391" s="2" t="s">
        <v>2786</v>
      </c>
      <c r="D391" s="2" t="s">
        <v>1839</v>
      </c>
      <c r="E391" s="2" t="s">
        <v>1841</v>
      </c>
      <c r="F391" s="2">
        <v>5.89053</v>
      </c>
      <c r="G391" s="2">
        <v>2.6430699999999998</v>
      </c>
      <c r="H391" s="2">
        <v>-1.15618</v>
      </c>
      <c r="I391" s="2">
        <v>1</v>
      </c>
      <c r="K391" s="2" t="s">
        <v>1622</v>
      </c>
      <c r="L391" s="2">
        <v>-1.2452399999999999</v>
      </c>
    </row>
    <row r="392" spans="1:12" x14ac:dyDescent="0.2">
      <c r="A392" s="2" t="s">
        <v>528</v>
      </c>
      <c r="B392" s="2" t="s">
        <v>3015</v>
      </c>
      <c r="C392" s="2" t="s">
        <v>1844</v>
      </c>
      <c r="D392" s="2" t="s">
        <v>1839</v>
      </c>
      <c r="E392" s="2" t="s">
        <v>1841</v>
      </c>
      <c r="F392" s="2">
        <v>1.0430699999999999</v>
      </c>
      <c r="G392" s="2">
        <v>10.1744</v>
      </c>
      <c r="H392" s="2">
        <v>3.2860399999999998</v>
      </c>
      <c r="I392" s="2">
        <v>1</v>
      </c>
      <c r="K392" s="2" t="s">
        <v>1624</v>
      </c>
      <c r="L392" s="2">
        <v>1.6721299999999999</v>
      </c>
    </row>
    <row r="393" spans="1:12" x14ac:dyDescent="0.2">
      <c r="A393" s="2" t="s">
        <v>1621</v>
      </c>
      <c r="B393" s="2" t="s">
        <v>3434</v>
      </c>
      <c r="C393" s="2" t="s">
        <v>2787</v>
      </c>
      <c r="D393" s="2" t="s">
        <v>1839</v>
      </c>
      <c r="E393" s="2" t="s">
        <v>1841</v>
      </c>
      <c r="F393" s="2">
        <v>0.38133099999999998</v>
      </c>
      <c r="G393" s="2">
        <v>1.3755200000000001</v>
      </c>
      <c r="H393" s="2">
        <v>1.8508599999999999</v>
      </c>
      <c r="I393" s="2">
        <v>1</v>
      </c>
      <c r="K393" s="2" t="s">
        <v>1291</v>
      </c>
      <c r="L393" s="2">
        <v>1.79308</v>
      </c>
    </row>
    <row r="394" spans="1:12" x14ac:dyDescent="0.2">
      <c r="A394" s="2" t="s">
        <v>531</v>
      </c>
      <c r="B394" s="2" t="s">
        <v>3093</v>
      </c>
      <c r="C394" s="2" t="s">
        <v>2094</v>
      </c>
      <c r="D394" s="2" t="s">
        <v>1839</v>
      </c>
      <c r="E394" s="2" t="s">
        <v>1841</v>
      </c>
      <c r="F394" s="2">
        <v>0.78532199999999996</v>
      </c>
      <c r="G394" s="2">
        <v>0.20063500000000001</v>
      </c>
      <c r="H394" s="2">
        <v>-1.96871</v>
      </c>
      <c r="I394" s="2">
        <v>1</v>
      </c>
      <c r="K394" s="2" t="s">
        <v>1625</v>
      </c>
      <c r="L394" s="2">
        <v>1.09006</v>
      </c>
    </row>
    <row r="395" spans="1:12" x14ac:dyDescent="0.2">
      <c r="A395" s="2" t="s">
        <v>1290</v>
      </c>
      <c r="B395" s="2" t="s">
        <v>3336</v>
      </c>
      <c r="C395" s="2" t="s">
        <v>2498</v>
      </c>
      <c r="D395" s="2" t="s">
        <v>1839</v>
      </c>
      <c r="E395" s="2" t="s">
        <v>1841</v>
      </c>
      <c r="F395" s="2">
        <v>13.4184</v>
      </c>
      <c r="G395" s="2">
        <v>100.02200000000001</v>
      </c>
      <c r="H395" s="2">
        <v>2.8980399999999999</v>
      </c>
      <c r="I395" s="2">
        <v>1</v>
      </c>
      <c r="K395" s="2" t="s">
        <v>535</v>
      </c>
      <c r="L395" s="2">
        <v>1.5937600000000001</v>
      </c>
    </row>
    <row r="396" spans="1:12" x14ac:dyDescent="0.2">
      <c r="A396" s="2" t="s">
        <v>532</v>
      </c>
      <c r="B396" s="2" t="s">
        <v>3043</v>
      </c>
      <c r="C396" s="2" t="s">
        <v>2095</v>
      </c>
      <c r="D396" s="2" t="s">
        <v>1839</v>
      </c>
      <c r="E396" s="2" t="s">
        <v>1841</v>
      </c>
      <c r="F396" s="2">
        <v>4.3198600000000003</v>
      </c>
      <c r="G396" s="2">
        <v>16.761800000000001</v>
      </c>
      <c r="H396" s="2">
        <v>1.9561200000000001</v>
      </c>
      <c r="I396" s="2">
        <v>1</v>
      </c>
      <c r="K396" s="2" t="s">
        <v>1626</v>
      </c>
      <c r="L396" s="2">
        <v>1.30888</v>
      </c>
    </row>
    <row r="397" spans="1:12" x14ac:dyDescent="0.2">
      <c r="A397" s="2" t="s">
        <v>1622</v>
      </c>
      <c r="B397" s="2" t="s">
        <v>3435</v>
      </c>
      <c r="C397" s="2" t="s">
        <v>2246</v>
      </c>
      <c r="D397" s="2" t="s">
        <v>1839</v>
      </c>
      <c r="E397" s="2" t="s">
        <v>1841</v>
      </c>
      <c r="F397" s="2">
        <v>4.5105899999999997</v>
      </c>
      <c r="G397" s="2">
        <v>1.9027400000000001</v>
      </c>
      <c r="H397" s="2">
        <v>-1.2452399999999999</v>
      </c>
      <c r="I397" s="2">
        <v>1</v>
      </c>
      <c r="K397" s="2" t="s">
        <v>1627</v>
      </c>
      <c r="L397" s="2">
        <v>1.2560500000000001</v>
      </c>
    </row>
    <row r="398" spans="1:12" x14ac:dyDescent="0.2">
      <c r="A398" s="2" t="s">
        <v>1624</v>
      </c>
      <c r="B398" s="2" t="s">
        <v>3015</v>
      </c>
      <c r="C398" s="2" t="s">
        <v>2788</v>
      </c>
      <c r="D398" s="2" t="s">
        <v>1839</v>
      </c>
      <c r="E398" s="2" t="s">
        <v>1841</v>
      </c>
      <c r="F398" s="2">
        <v>1.4815799999999999</v>
      </c>
      <c r="G398" s="2">
        <v>4.7215600000000002</v>
      </c>
      <c r="H398" s="2">
        <v>1.6721299999999999</v>
      </c>
      <c r="I398" s="2">
        <v>1</v>
      </c>
      <c r="K398" s="2" t="s">
        <v>1628</v>
      </c>
      <c r="L398" s="2">
        <v>1.4559299999999999</v>
      </c>
    </row>
    <row r="399" spans="1:12" x14ac:dyDescent="0.2">
      <c r="A399" s="2" t="s">
        <v>1291</v>
      </c>
      <c r="B399" s="2" t="s">
        <v>3015</v>
      </c>
      <c r="C399" s="2" t="s">
        <v>2499</v>
      </c>
      <c r="D399" s="2" t="s">
        <v>1839</v>
      </c>
      <c r="E399" s="2" t="s">
        <v>1841</v>
      </c>
      <c r="F399" s="2">
        <v>6.3823800000000004</v>
      </c>
      <c r="G399" s="2">
        <v>22.118400000000001</v>
      </c>
      <c r="H399" s="2">
        <v>1.79308</v>
      </c>
      <c r="I399" s="2">
        <v>1</v>
      </c>
      <c r="K399" s="2" t="s">
        <v>1629</v>
      </c>
      <c r="L399" s="2">
        <v>1.09754</v>
      </c>
    </row>
    <row r="400" spans="1:12" x14ac:dyDescent="0.2">
      <c r="A400" s="2" t="s">
        <v>1625</v>
      </c>
      <c r="B400" s="2" t="s">
        <v>3015</v>
      </c>
      <c r="C400" s="2" t="s">
        <v>2789</v>
      </c>
      <c r="D400" s="2" t="s">
        <v>1839</v>
      </c>
      <c r="E400" s="2" t="s">
        <v>1841</v>
      </c>
      <c r="F400" s="2">
        <v>1.2562</v>
      </c>
      <c r="G400" s="2">
        <v>2.6742300000000001</v>
      </c>
      <c r="H400" s="2">
        <v>1.09006</v>
      </c>
      <c r="I400" s="2">
        <v>1</v>
      </c>
      <c r="K400" s="2" t="s">
        <v>536</v>
      </c>
      <c r="L400" s="2">
        <v>1.2106699999999999</v>
      </c>
    </row>
    <row r="401" spans="1:12" x14ac:dyDescent="0.2">
      <c r="A401" s="2" t="s">
        <v>535</v>
      </c>
      <c r="B401" s="2" t="s">
        <v>3100</v>
      </c>
      <c r="C401" s="2" t="s">
        <v>1847</v>
      </c>
      <c r="D401" s="2" t="s">
        <v>1839</v>
      </c>
      <c r="E401" s="2" t="s">
        <v>1841</v>
      </c>
      <c r="F401" s="2">
        <v>0.781802</v>
      </c>
      <c r="G401" s="2">
        <v>2.35975</v>
      </c>
      <c r="H401" s="2">
        <v>1.5937600000000001</v>
      </c>
      <c r="I401" s="2">
        <v>1</v>
      </c>
      <c r="K401" s="2" t="s">
        <v>1630</v>
      </c>
      <c r="L401" s="2">
        <v>1.1768799999999999</v>
      </c>
    </row>
    <row r="402" spans="1:12" x14ac:dyDescent="0.2">
      <c r="A402" s="2" t="s">
        <v>1626</v>
      </c>
      <c r="B402" s="2" t="s">
        <v>3015</v>
      </c>
      <c r="C402" s="2" t="s">
        <v>2790</v>
      </c>
      <c r="D402" s="2" t="s">
        <v>1839</v>
      </c>
      <c r="E402" s="2" t="s">
        <v>1841</v>
      </c>
      <c r="F402" s="2">
        <v>6.2104999999999997</v>
      </c>
      <c r="G402" s="2">
        <v>15.3865</v>
      </c>
      <c r="H402" s="2">
        <v>1.30888</v>
      </c>
      <c r="I402" s="2">
        <v>1</v>
      </c>
      <c r="K402" s="2" t="s">
        <v>537</v>
      </c>
      <c r="L402" s="2">
        <v>1.1773400000000001</v>
      </c>
    </row>
    <row r="403" spans="1:12" x14ac:dyDescent="0.2">
      <c r="A403" s="2" t="s">
        <v>1627</v>
      </c>
      <c r="B403" s="2" t="s">
        <v>3189</v>
      </c>
      <c r="C403" s="2" t="s">
        <v>2791</v>
      </c>
      <c r="D403" s="2" t="s">
        <v>1839</v>
      </c>
      <c r="E403" s="2" t="s">
        <v>1841</v>
      </c>
      <c r="F403" s="2">
        <v>0.33396700000000001</v>
      </c>
      <c r="G403" s="2">
        <v>0.79764900000000005</v>
      </c>
      <c r="H403" s="2">
        <v>1.2560500000000001</v>
      </c>
      <c r="I403" s="2">
        <v>1</v>
      </c>
      <c r="K403" s="2" t="s">
        <v>539</v>
      </c>
      <c r="L403" s="2">
        <v>1.74804</v>
      </c>
    </row>
    <row r="404" spans="1:12" x14ac:dyDescent="0.2">
      <c r="A404" s="2" t="s">
        <v>1628</v>
      </c>
      <c r="B404" s="2" t="s">
        <v>3436</v>
      </c>
      <c r="C404" s="2" t="s">
        <v>3015</v>
      </c>
      <c r="D404" s="2" t="s">
        <v>1839</v>
      </c>
      <c r="E404" s="2" t="s">
        <v>1841</v>
      </c>
      <c r="F404" s="2">
        <v>0.68365500000000001</v>
      </c>
      <c r="G404" s="2">
        <v>1.8754900000000001</v>
      </c>
      <c r="H404" s="2">
        <v>1.4559299999999999</v>
      </c>
      <c r="I404" s="2">
        <v>1</v>
      </c>
      <c r="K404" s="2" t="s">
        <v>544</v>
      </c>
      <c r="L404" s="2">
        <v>1.4618199999999999</v>
      </c>
    </row>
    <row r="405" spans="1:12" x14ac:dyDescent="0.2">
      <c r="A405" s="2" t="s">
        <v>1629</v>
      </c>
      <c r="B405" s="2" t="s">
        <v>3015</v>
      </c>
      <c r="C405" s="2" t="s">
        <v>3015</v>
      </c>
      <c r="D405" s="2" t="s">
        <v>1839</v>
      </c>
      <c r="E405" s="2" t="s">
        <v>1841</v>
      </c>
      <c r="F405" s="2">
        <v>7.4179599999999999</v>
      </c>
      <c r="G405" s="2">
        <v>15.8736</v>
      </c>
      <c r="H405" s="2">
        <v>1.09754</v>
      </c>
      <c r="I405" s="2">
        <v>1</v>
      </c>
      <c r="K405" s="2" t="s">
        <v>1631</v>
      </c>
      <c r="L405" s="2">
        <v>-1.29223</v>
      </c>
    </row>
    <row r="406" spans="1:12" x14ac:dyDescent="0.2">
      <c r="A406" s="2" t="s">
        <v>536</v>
      </c>
      <c r="B406" s="2" t="s">
        <v>3094</v>
      </c>
      <c r="C406" s="2" t="s">
        <v>2792</v>
      </c>
      <c r="D406" s="2" t="s">
        <v>1839</v>
      </c>
      <c r="E406" s="2" t="s">
        <v>1841</v>
      </c>
      <c r="F406" s="2">
        <v>3.5234299999999998</v>
      </c>
      <c r="G406" s="2">
        <v>8.1548099999999994</v>
      </c>
      <c r="H406" s="2">
        <v>1.2106699999999999</v>
      </c>
      <c r="I406" s="2">
        <v>1</v>
      </c>
      <c r="K406" s="2" t="s">
        <v>1632</v>
      </c>
      <c r="L406" s="2">
        <v>-1.1183399999999999</v>
      </c>
    </row>
    <row r="407" spans="1:12" x14ac:dyDescent="0.2">
      <c r="A407" s="2" t="s">
        <v>1630</v>
      </c>
      <c r="B407" s="2" t="s">
        <v>3437</v>
      </c>
      <c r="C407" s="2" t="s">
        <v>1847</v>
      </c>
      <c r="D407" s="2" t="s">
        <v>1839</v>
      </c>
      <c r="E407" s="2" t="s">
        <v>1841</v>
      </c>
      <c r="F407" s="2">
        <v>1.69774</v>
      </c>
      <c r="G407" s="2">
        <v>3.8383699999999998</v>
      </c>
      <c r="H407" s="2">
        <v>1.1768799999999999</v>
      </c>
      <c r="I407" s="2">
        <v>1</v>
      </c>
      <c r="K407" s="2" t="s">
        <v>546</v>
      </c>
      <c r="L407" s="2">
        <v>-1.02122</v>
      </c>
    </row>
    <row r="408" spans="1:12" x14ac:dyDescent="0.2">
      <c r="A408" s="2" t="s">
        <v>537</v>
      </c>
      <c r="B408" s="2" t="s">
        <v>3352</v>
      </c>
      <c r="C408" s="2" t="s">
        <v>2793</v>
      </c>
      <c r="D408" s="2" t="s">
        <v>1839</v>
      </c>
      <c r="E408" s="2" t="s">
        <v>1841</v>
      </c>
      <c r="F408" s="2">
        <v>21.1876</v>
      </c>
      <c r="G408" s="2">
        <v>47.917700000000004</v>
      </c>
      <c r="H408" s="2">
        <v>1.1773400000000001</v>
      </c>
      <c r="I408" s="2">
        <v>1</v>
      </c>
      <c r="K408" s="2" t="s">
        <v>1633</v>
      </c>
      <c r="L408" s="2">
        <v>-1.1766099999999999</v>
      </c>
    </row>
    <row r="409" spans="1:12" x14ac:dyDescent="0.2">
      <c r="A409" s="2" t="s">
        <v>539</v>
      </c>
      <c r="B409" s="2" t="s">
        <v>3015</v>
      </c>
      <c r="C409" s="2" t="s">
        <v>2098</v>
      </c>
      <c r="D409" s="2" t="s">
        <v>1839</v>
      </c>
      <c r="E409" s="2" t="s">
        <v>1841</v>
      </c>
      <c r="F409" s="2">
        <v>42.533700000000003</v>
      </c>
      <c r="G409" s="2">
        <v>142.87100000000001</v>
      </c>
      <c r="H409" s="2">
        <v>1.74804</v>
      </c>
      <c r="I409" s="2">
        <v>1</v>
      </c>
      <c r="K409" s="2" t="s">
        <v>1634</v>
      </c>
      <c r="L409" s="2">
        <v>1.0697099999999999</v>
      </c>
    </row>
    <row r="410" spans="1:12" x14ac:dyDescent="0.2">
      <c r="A410" s="2" t="s">
        <v>544</v>
      </c>
      <c r="B410" s="2" t="s">
        <v>3063</v>
      </c>
      <c r="C410" s="2" t="s">
        <v>2794</v>
      </c>
      <c r="D410" s="2" t="s">
        <v>1839</v>
      </c>
      <c r="E410" s="2" t="s">
        <v>1841</v>
      </c>
      <c r="F410" s="2">
        <v>2.6823899999999998</v>
      </c>
      <c r="G410" s="2">
        <v>7.3887799999999997</v>
      </c>
      <c r="H410" s="2">
        <v>1.4618199999999999</v>
      </c>
      <c r="I410" s="2">
        <v>1</v>
      </c>
      <c r="K410" s="2" t="s">
        <v>547</v>
      </c>
      <c r="L410" s="2">
        <v>-1.18045</v>
      </c>
    </row>
    <row r="411" spans="1:12" x14ac:dyDescent="0.2">
      <c r="A411" s="2" t="s">
        <v>1631</v>
      </c>
      <c r="B411" s="2" t="s">
        <v>3438</v>
      </c>
      <c r="C411" s="2" t="s">
        <v>2795</v>
      </c>
      <c r="D411" s="2" t="s">
        <v>1839</v>
      </c>
      <c r="E411" s="2" t="s">
        <v>1841</v>
      </c>
      <c r="F411" s="2">
        <v>1.0659099999999999</v>
      </c>
      <c r="G411" s="2">
        <v>0.43523400000000001</v>
      </c>
      <c r="H411" s="2">
        <v>-1.29223</v>
      </c>
      <c r="I411" s="2">
        <v>1</v>
      </c>
      <c r="K411" s="2" t="s">
        <v>1298</v>
      </c>
      <c r="L411" s="2">
        <v>1.60931</v>
      </c>
    </row>
    <row r="412" spans="1:12" x14ac:dyDescent="0.2">
      <c r="A412" s="2" t="s">
        <v>1632</v>
      </c>
      <c r="B412" s="2" t="s">
        <v>3015</v>
      </c>
      <c r="C412" s="2" t="s">
        <v>3015</v>
      </c>
      <c r="D412" s="2" t="s">
        <v>1839</v>
      </c>
      <c r="E412" s="2" t="s">
        <v>1841</v>
      </c>
      <c r="F412" s="2">
        <v>34.038499999999999</v>
      </c>
      <c r="G412" s="2">
        <v>15.678900000000001</v>
      </c>
      <c r="H412" s="2">
        <v>-1.1183399999999999</v>
      </c>
      <c r="I412" s="2">
        <v>1</v>
      </c>
      <c r="K412" s="2" t="s">
        <v>548</v>
      </c>
      <c r="L412" s="2">
        <v>-1.00701</v>
      </c>
    </row>
    <row r="413" spans="1:12" x14ac:dyDescent="0.2">
      <c r="A413" s="2" t="s">
        <v>546</v>
      </c>
      <c r="B413" s="2" t="s">
        <v>3015</v>
      </c>
      <c r="C413" s="2" t="s">
        <v>2796</v>
      </c>
      <c r="D413" s="2" t="s">
        <v>1839</v>
      </c>
      <c r="E413" s="2" t="s">
        <v>1841</v>
      </c>
      <c r="F413" s="2">
        <v>17.5959</v>
      </c>
      <c r="G413" s="2">
        <v>8.6695100000000007</v>
      </c>
      <c r="H413" s="2">
        <v>-1.02122</v>
      </c>
      <c r="I413" s="2">
        <v>1</v>
      </c>
      <c r="K413" s="2" t="s">
        <v>552</v>
      </c>
      <c r="L413" s="2">
        <v>1.4378200000000001</v>
      </c>
    </row>
    <row r="414" spans="1:12" x14ac:dyDescent="0.2">
      <c r="A414" s="2" t="s">
        <v>1633</v>
      </c>
      <c r="B414" s="2" t="s">
        <v>3015</v>
      </c>
      <c r="C414" s="2" t="s">
        <v>3015</v>
      </c>
      <c r="D414" s="2" t="s">
        <v>1839</v>
      </c>
      <c r="E414" s="2" t="s">
        <v>1841</v>
      </c>
      <c r="F414" s="2">
        <v>207.49299999999999</v>
      </c>
      <c r="G414" s="2">
        <v>91.792900000000003</v>
      </c>
      <c r="H414" s="2">
        <v>-1.1766099999999999</v>
      </c>
      <c r="I414" s="2">
        <v>1</v>
      </c>
      <c r="K414" s="2" t="s">
        <v>1635</v>
      </c>
      <c r="L414" s="2">
        <v>-1.0331900000000001</v>
      </c>
    </row>
    <row r="415" spans="1:12" x14ac:dyDescent="0.2">
      <c r="A415" s="2" t="s">
        <v>1634</v>
      </c>
      <c r="B415" s="2" t="s">
        <v>3129</v>
      </c>
      <c r="C415" s="2" t="s">
        <v>2797</v>
      </c>
      <c r="D415" s="2" t="s">
        <v>1839</v>
      </c>
      <c r="E415" s="2" t="s">
        <v>1841</v>
      </c>
      <c r="F415" s="2">
        <v>4.5910000000000002</v>
      </c>
      <c r="G415" s="2">
        <v>9.6365499999999997</v>
      </c>
      <c r="H415" s="2">
        <v>1.0697099999999999</v>
      </c>
      <c r="I415" s="2">
        <v>1</v>
      </c>
      <c r="K415" s="2" t="s">
        <v>1636</v>
      </c>
      <c r="L415" s="2">
        <v>-1.92438</v>
      </c>
    </row>
    <row r="416" spans="1:12" x14ac:dyDescent="0.2">
      <c r="A416" s="2" t="s">
        <v>547</v>
      </c>
      <c r="B416" s="2" t="s">
        <v>3015</v>
      </c>
      <c r="C416" s="2" t="s">
        <v>2798</v>
      </c>
      <c r="D416" s="2" t="s">
        <v>1839</v>
      </c>
      <c r="E416" s="2" t="s">
        <v>1841</v>
      </c>
      <c r="F416" s="2">
        <v>7.3368500000000001</v>
      </c>
      <c r="G416" s="2">
        <v>3.23712</v>
      </c>
      <c r="H416" s="2">
        <v>-1.18045</v>
      </c>
      <c r="I416" s="2">
        <v>1</v>
      </c>
      <c r="K416" s="2" t="s">
        <v>1299</v>
      </c>
      <c r="L416" s="2">
        <v>-1.87991</v>
      </c>
    </row>
    <row r="417" spans="1:12" x14ac:dyDescent="0.2">
      <c r="A417" s="2" t="s">
        <v>1298</v>
      </c>
      <c r="B417" s="2" t="s">
        <v>3068</v>
      </c>
      <c r="C417" s="2" t="s">
        <v>2799</v>
      </c>
      <c r="D417" s="2" t="s">
        <v>1839</v>
      </c>
      <c r="E417" s="2" t="s">
        <v>1841</v>
      </c>
      <c r="F417" s="2">
        <v>0.70306900000000006</v>
      </c>
      <c r="G417" s="2">
        <v>2.1451099999999999</v>
      </c>
      <c r="H417" s="2">
        <v>1.60931</v>
      </c>
      <c r="I417" s="2">
        <v>1</v>
      </c>
      <c r="K417" s="2" t="s">
        <v>559</v>
      </c>
      <c r="L417" s="2">
        <v>1.38832</v>
      </c>
    </row>
    <row r="418" spans="1:12" x14ac:dyDescent="0.2">
      <c r="A418" s="2" t="s">
        <v>548</v>
      </c>
      <c r="B418" s="2" t="s">
        <v>3015</v>
      </c>
      <c r="C418" s="2" t="s">
        <v>2102</v>
      </c>
      <c r="D418" s="2" t="s">
        <v>1839</v>
      </c>
      <c r="E418" s="2" t="s">
        <v>1841</v>
      </c>
      <c r="F418" s="2">
        <v>250.36600000000001</v>
      </c>
      <c r="G418" s="2">
        <v>124.57599999999999</v>
      </c>
      <c r="H418" s="2">
        <v>-1.00701</v>
      </c>
      <c r="I418" s="2">
        <v>1</v>
      </c>
      <c r="K418" s="2" t="s">
        <v>562</v>
      </c>
      <c r="L418" s="2">
        <v>1.70675</v>
      </c>
    </row>
    <row r="419" spans="1:12" x14ac:dyDescent="0.2">
      <c r="A419" s="2" t="s">
        <v>552</v>
      </c>
      <c r="B419" s="2" t="s">
        <v>3015</v>
      </c>
      <c r="C419" s="2" t="s">
        <v>2800</v>
      </c>
      <c r="D419" s="2" t="s">
        <v>1839</v>
      </c>
      <c r="E419" s="2" t="s">
        <v>1841</v>
      </c>
      <c r="F419" s="2">
        <v>0.52746800000000005</v>
      </c>
      <c r="G419" s="2">
        <v>1.4289700000000001</v>
      </c>
      <c r="H419" s="2">
        <v>1.4378200000000001</v>
      </c>
      <c r="I419" s="2">
        <v>1</v>
      </c>
      <c r="K419" s="2" t="s">
        <v>1637</v>
      </c>
      <c r="L419" s="2">
        <v>-1.03112</v>
      </c>
    </row>
    <row r="420" spans="1:12" x14ac:dyDescent="0.2">
      <c r="A420" s="2" t="s">
        <v>1635</v>
      </c>
      <c r="B420" s="2" t="s">
        <v>3081</v>
      </c>
      <c r="C420" s="2" t="s">
        <v>1915</v>
      </c>
      <c r="D420" s="2" t="s">
        <v>1839</v>
      </c>
      <c r="E420" s="2" t="s">
        <v>1841</v>
      </c>
      <c r="F420" s="2">
        <v>2.3724400000000001</v>
      </c>
      <c r="G420" s="2">
        <v>1.15924</v>
      </c>
      <c r="H420" s="2">
        <v>-1.0331900000000001</v>
      </c>
      <c r="I420" s="2">
        <v>1</v>
      </c>
      <c r="K420" s="2" t="s">
        <v>1300</v>
      </c>
      <c r="L420" s="2">
        <v>-1.1389100000000001</v>
      </c>
    </row>
    <row r="421" spans="1:12" x14ac:dyDescent="0.2">
      <c r="A421" s="2" t="s">
        <v>1636</v>
      </c>
      <c r="B421" s="2" t="s">
        <v>3015</v>
      </c>
      <c r="C421" s="2" t="s">
        <v>3015</v>
      </c>
      <c r="D421" s="2" t="s">
        <v>1839</v>
      </c>
      <c r="E421" s="2" t="s">
        <v>1841</v>
      </c>
      <c r="F421" s="2">
        <v>4.0718699999999997</v>
      </c>
      <c r="G421" s="2">
        <v>1.0727500000000001</v>
      </c>
      <c r="H421" s="2">
        <v>-1.92438</v>
      </c>
      <c r="I421" s="2">
        <v>1</v>
      </c>
      <c r="K421" s="2" t="s">
        <v>1638</v>
      </c>
      <c r="L421" s="2">
        <v>-1.16415</v>
      </c>
    </row>
    <row r="422" spans="1:12" x14ac:dyDescent="0.2">
      <c r="A422" s="2" t="s">
        <v>1299</v>
      </c>
      <c r="B422" s="2" t="s">
        <v>3201</v>
      </c>
      <c r="C422" s="2" t="s">
        <v>2216</v>
      </c>
      <c r="D422" s="2" t="s">
        <v>1839</v>
      </c>
      <c r="E422" s="2" t="s">
        <v>1841</v>
      </c>
      <c r="F422" s="2">
        <v>9.6729800000000008</v>
      </c>
      <c r="G422" s="2">
        <v>2.6281500000000002</v>
      </c>
      <c r="H422" s="2">
        <v>-1.87991</v>
      </c>
      <c r="I422" s="2">
        <v>1</v>
      </c>
      <c r="K422" s="2" t="s">
        <v>567</v>
      </c>
      <c r="L422" s="2">
        <v>1.4790099999999999</v>
      </c>
    </row>
    <row r="423" spans="1:12" x14ac:dyDescent="0.2">
      <c r="A423" s="2" t="s">
        <v>559</v>
      </c>
      <c r="B423" s="2" t="s">
        <v>3189</v>
      </c>
      <c r="C423" s="2" t="s">
        <v>2761</v>
      </c>
      <c r="D423" s="2" t="s">
        <v>1839</v>
      </c>
      <c r="E423" s="2" t="s">
        <v>1841</v>
      </c>
      <c r="F423" s="2">
        <v>12.8048</v>
      </c>
      <c r="G423" s="2">
        <v>33.519599999999997</v>
      </c>
      <c r="H423" s="2">
        <v>1.38832</v>
      </c>
      <c r="I423" s="2">
        <v>1</v>
      </c>
      <c r="K423" s="2" t="s">
        <v>568</v>
      </c>
      <c r="L423" s="2">
        <v>1.44675</v>
      </c>
    </row>
    <row r="424" spans="1:12" x14ac:dyDescent="0.2">
      <c r="A424" s="2" t="s">
        <v>562</v>
      </c>
      <c r="B424" s="2" t="s">
        <v>3160</v>
      </c>
      <c r="C424" s="2" t="s">
        <v>2098</v>
      </c>
      <c r="D424" s="2" t="s">
        <v>1839</v>
      </c>
      <c r="E424" s="2" t="s">
        <v>1841</v>
      </c>
      <c r="F424" s="2">
        <v>1.7665</v>
      </c>
      <c r="G424" s="2">
        <v>5.7663200000000003</v>
      </c>
      <c r="H424" s="2">
        <v>1.70675</v>
      </c>
      <c r="I424" s="2">
        <v>1</v>
      </c>
      <c r="K424" s="2" t="s">
        <v>1301</v>
      </c>
      <c r="L424" s="2">
        <v>-3.3753899999999999</v>
      </c>
    </row>
    <row r="425" spans="1:12" x14ac:dyDescent="0.2">
      <c r="A425" s="2" t="s">
        <v>1637</v>
      </c>
      <c r="B425" s="2" t="s">
        <v>3015</v>
      </c>
      <c r="C425" s="2" t="s">
        <v>2801</v>
      </c>
      <c r="D425" s="2" t="s">
        <v>1839</v>
      </c>
      <c r="E425" s="2" t="s">
        <v>1841</v>
      </c>
      <c r="F425" s="2">
        <v>1.10226</v>
      </c>
      <c r="G425" s="2">
        <v>0.53936799999999996</v>
      </c>
      <c r="H425" s="2">
        <v>-1.03112</v>
      </c>
      <c r="I425" s="2">
        <v>1</v>
      </c>
      <c r="K425" s="2" t="s">
        <v>571</v>
      </c>
      <c r="L425" s="2">
        <v>1.0130300000000001</v>
      </c>
    </row>
    <row r="426" spans="1:12" x14ac:dyDescent="0.2">
      <c r="A426" s="2" t="s">
        <v>1300</v>
      </c>
      <c r="B426" s="2" t="s">
        <v>3050</v>
      </c>
      <c r="C426" s="2" t="s">
        <v>2033</v>
      </c>
      <c r="D426" s="2" t="s">
        <v>1839</v>
      </c>
      <c r="E426" s="2" t="s">
        <v>1841</v>
      </c>
      <c r="F426" s="2">
        <v>2.9058199999999998</v>
      </c>
      <c r="G426" s="2">
        <v>1.3195399999999999</v>
      </c>
      <c r="H426" s="2">
        <v>-1.1389100000000001</v>
      </c>
      <c r="I426" s="2">
        <v>1</v>
      </c>
      <c r="K426" s="2" t="s">
        <v>572</v>
      </c>
      <c r="L426" s="2">
        <v>-1.32952</v>
      </c>
    </row>
    <row r="427" spans="1:12" x14ac:dyDescent="0.2">
      <c r="A427" s="2" t="s">
        <v>1638</v>
      </c>
      <c r="B427" s="2" t="s">
        <v>3155</v>
      </c>
      <c r="C427" s="2" t="s">
        <v>2802</v>
      </c>
      <c r="D427" s="2" t="s">
        <v>1839</v>
      </c>
      <c r="E427" s="2" t="s">
        <v>1841</v>
      </c>
      <c r="F427" s="2">
        <v>5.3278400000000001</v>
      </c>
      <c r="G427" s="2">
        <v>2.3774199999999999</v>
      </c>
      <c r="H427" s="2">
        <v>-1.16415</v>
      </c>
      <c r="I427" s="2">
        <v>1</v>
      </c>
      <c r="K427" s="2" t="s">
        <v>573</v>
      </c>
      <c r="L427" s="2">
        <v>2.2136200000000001</v>
      </c>
    </row>
    <row r="428" spans="1:12" x14ac:dyDescent="0.2">
      <c r="A428" s="2" t="s">
        <v>567</v>
      </c>
      <c r="B428" s="2" t="s">
        <v>3162</v>
      </c>
      <c r="C428" s="2" t="s">
        <v>2110</v>
      </c>
      <c r="D428" s="2" t="s">
        <v>1839</v>
      </c>
      <c r="E428" s="2" t="s">
        <v>1841</v>
      </c>
      <c r="F428" s="2">
        <v>5.0034799999999997</v>
      </c>
      <c r="G428" s="2">
        <v>13.9476</v>
      </c>
      <c r="H428" s="2">
        <v>1.4790099999999999</v>
      </c>
      <c r="I428" s="2">
        <v>1</v>
      </c>
      <c r="K428" s="2" t="s">
        <v>574</v>
      </c>
      <c r="L428" s="2">
        <v>1.56097</v>
      </c>
    </row>
    <row r="429" spans="1:12" x14ac:dyDescent="0.2">
      <c r="A429" s="2" t="s">
        <v>568</v>
      </c>
      <c r="B429" s="2" t="s">
        <v>3163</v>
      </c>
      <c r="C429" s="2" t="s">
        <v>2111</v>
      </c>
      <c r="D429" s="2" t="s">
        <v>1839</v>
      </c>
      <c r="E429" s="2" t="s">
        <v>1841</v>
      </c>
      <c r="F429" s="2">
        <v>11.287599999999999</v>
      </c>
      <c r="G429" s="2">
        <v>30.769400000000001</v>
      </c>
      <c r="H429" s="2">
        <v>1.44675</v>
      </c>
      <c r="I429" s="2">
        <v>1</v>
      </c>
      <c r="K429" s="2" t="s">
        <v>1639</v>
      </c>
      <c r="L429" s="2">
        <v>1.2269000000000001</v>
      </c>
    </row>
    <row r="430" spans="1:12" x14ac:dyDescent="0.2">
      <c r="A430" s="2" t="s">
        <v>1301</v>
      </c>
      <c r="B430" s="2" t="s">
        <v>3193</v>
      </c>
      <c r="C430" s="2" t="s">
        <v>2803</v>
      </c>
      <c r="D430" s="2" t="s">
        <v>1839</v>
      </c>
      <c r="E430" s="2" t="s">
        <v>1841</v>
      </c>
      <c r="F430" s="2">
        <v>6.21685</v>
      </c>
      <c r="G430" s="2">
        <v>0.59907100000000002</v>
      </c>
      <c r="H430" s="2">
        <v>-3.3753899999999999</v>
      </c>
      <c r="I430" s="2">
        <v>1</v>
      </c>
      <c r="K430" s="2" t="s">
        <v>577</v>
      </c>
      <c r="L430" s="2">
        <v>-1.0847500000000001</v>
      </c>
    </row>
    <row r="431" spans="1:12" x14ac:dyDescent="0.2">
      <c r="A431" s="2" t="s">
        <v>571</v>
      </c>
      <c r="B431" s="2" t="s">
        <v>3015</v>
      </c>
      <c r="C431" s="2" t="s">
        <v>3015</v>
      </c>
      <c r="D431" s="2" t="s">
        <v>1839</v>
      </c>
      <c r="E431" s="2" t="s">
        <v>1841</v>
      </c>
      <c r="F431" s="2">
        <v>0.668597</v>
      </c>
      <c r="G431" s="2">
        <v>1.3493200000000001</v>
      </c>
      <c r="H431" s="2">
        <v>1.0130300000000001</v>
      </c>
      <c r="I431" s="2">
        <v>1</v>
      </c>
      <c r="K431" s="2" t="s">
        <v>579</v>
      </c>
      <c r="L431" s="2">
        <v>4.3421900000000004</v>
      </c>
    </row>
    <row r="432" spans="1:12" x14ac:dyDescent="0.2">
      <c r="A432" s="2" t="s">
        <v>572</v>
      </c>
      <c r="B432" s="2" t="s">
        <v>3299</v>
      </c>
      <c r="C432" s="2" t="s">
        <v>2804</v>
      </c>
      <c r="D432" s="2" t="s">
        <v>1839</v>
      </c>
      <c r="E432" s="2" t="s">
        <v>1841</v>
      </c>
      <c r="F432" s="2">
        <v>6.3428800000000001</v>
      </c>
      <c r="G432" s="2">
        <v>2.5238399999999999</v>
      </c>
      <c r="H432" s="2">
        <v>-1.32952</v>
      </c>
      <c r="I432" s="2">
        <v>1</v>
      </c>
      <c r="K432" s="2" t="s">
        <v>581</v>
      </c>
      <c r="L432" s="2">
        <v>4.9921100000000003</v>
      </c>
    </row>
    <row r="433" spans="1:12" x14ac:dyDescent="0.2">
      <c r="A433" s="2" t="s">
        <v>573</v>
      </c>
      <c r="B433" s="2" t="s">
        <v>3164</v>
      </c>
      <c r="C433" s="2" t="s">
        <v>2112</v>
      </c>
      <c r="D433" s="2" t="s">
        <v>1839</v>
      </c>
      <c r="E433" s="2" t="s">
        <v>1841</v>
      </c>
      <c r="F433" s="2">
        <v>9.1393500000000003</v>
      </c>
      <c r="G433" s="2">
        <v>42.3917</v>
      </c>
      <c r="H433" s="2">
        <v>2.2136200000000001</v>
      </c>
      <c r="I433" s="2">
        <v>1</v>
      </c>
      <c r="K433" s="2" t="s">
        <v>1306</v>
      </c>
      <c r="L433" s="2">
        <v>1.8791199999999999</v>
      </c>
    </row>
    <row r="434" spans="1:12" x14ac:dyDescent="0.2">
      <c r="A434" s="2" t="s">
        <v>574</v>
      </c>
      <c r="B434" s="2" t="s">
        <v>3439</v>
      </c>
      <c r="C434" s="2" t="s">
        <v>1847</v>
      </c>
      <c r="D434" s="2" t="s">
        <v>1839</v>
      </c>
      <c r="E434" s="2" t="s">
        <v>1841</v>
      </c>
      <c r="F434" s="2">
        <v>4.7276600000000002</v>
      </c>
      <c r="G434" s="2">
        <v>13.949</v>
      </c>
      <c r="H434" s="2">
        <v>1.56097</v>
      </c>
      <c r="I434" s="2">
        <v>1</v>
      </c>
      <c r="K434" s="2" t="s">
        <v>584</v>
      </c>
      <c r="L434" s="2">
        <v>1.1099000000000001</v>
      </c>
    </row>
    <row r="435" spans="1:12" x14ac:dyDescent="0.2">
      <c r="A435" s="2" t="s">
        <v>1639</v>
      </c>
      <c r="B435" s="2" t="s">
        <v>3025</v>
      </c>
      <c r="C435" s="2" t="s">
        <v>2805</v>
      </c>
      <c r="D435" s="2" t="s">
        <v>1839</v>
      </c>
      <c r="E435" s="2" t="s">
        <v>1841</v>
      </c>
      <c r="F435" s="2">
        <v>0.66335900000000003</v>
      </c>
      <c r="G435" s="2">
        <v>1.5526800000000001</v>
      </c>
      <c r="H435" s="2">
        <v>1.2269000000000001</v>
      </c>
      <c r="I435" s="2">
        <v>1</v>
      </c>
      <c r="K435" s="2" t="s">
        <v>1307</v>
      </c>
      <c r="L435" s="2">
        <v>2.9593799999999999</v>
      </c>
    </row>
    <row r="436" spans="1:12" x14ac:dyDescent="0.2">
      <c r="A436" s="2" t="s">
        <v>577</v>
      </c>
      <c r="B436" s="2" t="s">
        <v>3015</v>
      </c>
      <c r="C436" s="2" t="s">
        <v>2115</v>
      </c>
      <c r="D436" s="2" t="s">
        <v>1839</v>
      </c>
      <c r="E436" s="2" t="s">
        <v>1841</v>
      </c>
      <c r="F436" s="2">
        <v>0.88331800000000005</v>
      </c>
      <c r="G436" s="2">
        <v>0.416462</v>
      </c>
      <c r="H436" s="2">
        <v>-1.0847500000000001</v>
      </c>
      <c r="I436" s="2">
        <v>1</v>
      </c>
      <c r="K436" s="2" t="s">
        <v>1640</v>
      </c>
      <c r="L436" s="2">
        <v>1.13097</v>
      </c>
    </row>
    <row r="437" spans="1:12" x14ac:dyDescent="0.2">
      <c r="A437" s="2" t="s">
        <v>579</v>
      </c>
      <c r="B437" s="2" t="s">
        <v>3341</v>
      </c>
      <c r="C437" s="2" t="s">
        <v>2509</v>
      </c>
      <c r="D437" s="2" t="s">
        <v>1839</v>
      </c>
      <c r="E437" s="2" t="s">
        <v>1841</v>
      </c>
      <c r="F437" s="2">
        <v>0.404387</v>
      </c>
      <c r="G437" s="2">
        <v>8.2021099999999993</v>
      </c>
      <c r="H437" s="2">
        <v>4.3421900000000004</v>
      </c>
      <c r="I437" s="2">
        <v>1</v>
      </c>
      <c r="K437" s="2" t="s">
        <v>587</v>
      </c>
      <c r="L437" s="2">
        <v>-1.0194399999999999</v>
      </c>
    </row>
    <row r="438" spans="1:12" x14ac:dyDescent="0.2">
      <c r="A438" s="2" t="s">
        <v>581</v>
      </c>
      <c r="B438" s="2" t="s">
        <v>3167</v>
      </c>
      <c r="C438" s="2" t="s">
        <v>2117</v>
      </c>
      <c r="D438" s="2" t="s">
        <v>1839</v>
      </c>
      <c r="E438" s="2" t="s">
        <v>1841</v>
      </c>
      <c r="F438" s="2">
        <v>6.3385999999999996</v>
      </c>
      <c r="G438" s="2">
        <v>201.72900000000001</v>
      </c>
      <c r="H438" s="2">
        <v>4.9921100000000003</v>
      </c>
      <c r="I438" s="2">
        <v>1</v>
      </c>
      <c r="K438" s="2" t="s">
        <v>1641</v>
      </c>
      <c r="L438" s="2">
        <v>1.0232600000000001</v>
      </c>
    </row>
    <row r="439" spans="1:12" x14ac:dyDescent="0.2">
      <c r="A439" s="2" t="s">
        <v>1306</v>
      </c>
      <c r="B439" s="2" t="s">
        <v>3015</v>
      </c>
      <c r="C439" s="2" t="s">
        <v>2806</v>
      </c>
      <c r="D439" s="2" t="s">
        <v>1839</v>
      </c>
      <c r="E439" s="2" t="s">
        <v>1841</v>
      </c>
      <c r="F439" s="2">
        <v>0.834148</v>
      </c>
      <c r="G439" s="2">
        <v>3.0684300000000002</v>
      </c>
      <c r="H439" s="2">
        <v>1.8791199999999999</v>
      </c>
      <c r="I439" s="2">
        <v>1</v>
      </c>
      <c r="K439" s="2" t="s">
        <v>1310</v>
      </c>
      <c r="L439" s="2">
        <v>1.29864</v>
      </c>
    </row>
    <row r="440" spans="1:12" x14ac:dyDescent="0.2">
      <c r="A440" s="2" t="s">
        <v>584</v>
      </c>
      <c r="B440" s="2" t="s">
        <v>3168</v>
      </c>
      <c r="C440" s="2" t="s">
        <v>2118</v>
      </c>
      <c r="D440" s="2" t="s">
        <v>1839</v>
      </c>
      <c r="E440" s="2" t="s">
        <v>1841</v>
      </c>
      <c r="F440" s="2">
        <v>13.6313</v>
      </c>
      <c r="G440" s="2">
        <v>29.420400000000001</v>
      </c>
      <c r="H440" s="2">
        <v>1.1099000000000001</v>
      </c>
      <c r="I440" s="2">
        <v>1</v>
      </c>
      <c r="K440" s="2" t="s">
        <v>1642</v>
      </c>
      <c r="L440" s="2">
        <v>1.0356099999999999</v>
      </c>
    </row>
    <row r="441" spans="1:12" x14ac:dyDescent="0.2">
      <c r="A441" s="2" t="s">
        <v>1307</v>
      </c>
      <c r="B441" s="2" t="s">
        <v>3336</v>
      </c>
      <c r="C441" s="2" t="s">
        <v>2498</v>
      </c>
      <c r="D441" s="2" t="s">
        <v>1839</v>
      </c>
      <c r="E441" s="2" t="s">
        <v>1841</v>
      </c>
      <c r="F441" s="2">
        <v>19.782</v>
      </c>
      <c r="G441" s="2">
        <v>153.86199999999999</v>
      </c>
      <c r="H441" s="2">
        <v>2.9593799999999999</v>
      </c>
      <c r="I441" s="2">
        <v>1</v>
      </c>
      <c r="K441" s="2" t="s">
        <v>593</v>
      </c>
      <c r="L441" s="2">
        <v>1.3027299999999999</v>
      </c>
    </row>
    <row r="442" spans="1:12" x14ac:dyDescent="0.2">
      <c r="A442" s="2" t="s">
        <v>1640</v>
      </c>
      <c r="B442" s="2" t="s">
        <v>3015</v>
      </c>
      <c r="C442" s="2" t="s">
        <v>3015</v>
      </c>
      <c r="D442" s="2" t="s">
        <v>1839</v>
      </c>
      <c r="E442" s="2" t="s">
        <v>1841</v>
      </c>
      <c r="F442" s="2">
        <v>0.47049099999999999</v>
      </c>
      <c r="G442" s="2">
        <v>1.0304</v>
      </c>
      <c r="H442" s="2">
        <v>1.13097</v>
      </c>
      <c r="I442" s="2">
        <v>1</v>
      </c>
      <c r="K442" s="2" t="s">
        <v>1643</v>
      </c>
      <c r="L442" s="2">
        <v>1.2088300000000001</v>
      </c>
    </row>
    <row r="443" spans="1:12" x14ac:dyDescent="0.2">
      <c r="A443" s="2" t="s">
        <v>587</v>
      </c>
      <c r="B443" s="2" t="s">
        <v>3015</v>
      </c>
      <c r="C443" s="2" t="s">
        <v>3015</v>
      </c>
      <c r="D443" s="2" t="s">
        <v>1839</v>
      </c>
      <c r="E443" s="2" t="s">
        <v>1841</v>
      </c>
      <c r="F443" s="2">
        <v>2.36022</v>
      </c>
      <c r="G443" s="2">
        <v>1.16431</v>
      </c>
      <c r="H443" s="2">
        <v>-1.0194399999999999</v>
      </c>
      <c r="I443" s="2">
        <v>1</v>
      </c>
      <c r="K443" s="2" t="s">
        <v>1644</v>
      </c>
      <c r="L443" s="2">
        <v>-1.1472599999999999</v>
      </c>
    </row>
    <row r="444" spans="1:12" x14ac:dyDescent="0.2">
      <c r="A444" s="2" t="s">
        <v>1641</v>
      </c>
      <c r="B444" s="2" t="s">
        <v>3045</v>
      </c>
      <c r="C444" s="2" t="s">
        <v>2807</v>
      </c>
      <c r="D444" s="2" t="s">
        <v>1839</v>
      </c>
      <c r="E444" s="2" t="s">
        <v>1841</v>
      </c>
      <c r="F444" s="2">
        <v>1.6821900000000001</v>
      </c>
      <c r="G444" s="2">
        <v>3.4190700000000001</v>
      </c>
      <c r="H444" s="2">
        <v>1.0232600000000001</v>
      </c>
      <c r="I444" s="2">
        <v>1</v>
      </c>
      <c r="K444" s="2" t="s">
        <v>594</v>
      </c>
      <c r="L444" s="2">
        <v>1.24152</v>
      </c>
    </row>
    <row r="445" spans="1:12" x14ac:dyDescent="0.2">
      <c r="A445" s="2" t="s">
        <v>1310</v>
      </c>
      <c r="B445" s="2" t="s">
        <v>3015</v>
      </c>
      <c r="C445" s="2" t="s">
        <v>2808</v>
      </c>
      <c r="D445" s="2" t="s">
        <v>1839</v>
      </c>
      <c r="E445" s="2" t="s">
        <v>1841</v>
      </c>
      <c r="F445" s="2">
        <v>6.4358700000000004</v>
      </c>
      <c r="G445" s="2">
        <v>15.832100000000001</v>
      </c>
      <c r="H445" s="2">
        <v>1.29864</v>
      </c>
      <c r="I445" s="2">
        <v>1</v>
      </c>
      <c r="K445" s="2" t="s">
        <v>1313</v>
      </c>
      <c r="L445" s="2">
        <v>1.60982</v>
      </c>
    </row>
    <row r="446" spans="1:12" x14ac:dyDescent="0.2">
      <c r="A446" s="2" t="s">
        <v>1642</v>
      </c>
      <c r="B446" s="2" t="s">
        <v>3189</v>
      </c>
      <c r="C446" s="2" t="s">
        <v>2809</v>
      </c>
      <c r="D446" s="2" t="s">
        <v>1839</v>
      </c>
      <c r="E446" s="2" t="s">
        <v>1841</v>
      </c>
      <c r="F446" s="2">
        <v>1.82629</v>
      </c>
      <c r="G446" s="2">
        <v>3.7438699999999998</v>
      </c>
      <c r="H446" s="2">
        <v>1.0356099999999999</v>
      </c>
      <c r="I446" s="2">
        <v>1</v>
      </c>
      <c r="K446" s="2" t="s">
        <v>596</v>
      </c>
      <c r="L446" s="2">
        <v>1.26797</v>
      </c>
    </row>
    <row r="447" spans="1:12" x14ac:dyDescent="0.2">
      <c r="A447" s="2" t="s">
        <v>593</v>
      </c>
      <c r="B447" s="2" t="s">
        <v>3015</v>
      </c>
      <c r="C447" s="2" t="s">
        <v>2810</v>
      </c>
      <c r="D447" s="2" t="s">
        <v>1839</v>
      </c>
      <c r="E447" s="2" t="s">
        <v>1841</v>
      </c>
      <c r="F447" s="2">
        <v>2.2961800000000001</v>
      </c>
      <c r="G447" s="2">
        <v>5.6645700000000003</v>
      </c>
      <c r="H447" s="2">
        <v>1.3027299999999999</v>
      </c>
      <c r="I447" s="2">
        <v>1</v>
      </c>
      <c r="K447" s="2" t="s">
        <v>1645</v>
      </c>
      <c r="L447" s="2">
        <v>1.05494</v>
      </c>
    </row>
    <row r="448" spans="1:12" x14ac:dyDescent="0.2">
      <c r="A448" s="2" t="s">
        <v>1643</v>
      </c>
      <c r="B448" s="2" t="s">
        <v>3256</v>
      </c>
      <c r="C448" s="2" t="s">
        <v>2811</v>
      </c>
      <c r="D448" s="2" t="s">
        <v>1839</v>
      </c>
      <c r="E448" s="2" t="s">
        <v>1841</v>
      </c>
      <c r="F448" s="2">
        <v>1.3195300000000001</v>
      </c>
      <c r="G448" s="2">
        <v>3.05009</v>
      </c>
      <c r="H448" s="2">
        <v>1.2088300000000001</v>
      </c>
      <c r="I448" s="2">
        <v>1</v>
      </c>
      <c r="K448" s="2" t="s">
        <v>598</v>
      </c>
      <c r="L448" s="2">
        <v>1.341</v>
      </c>
    </row>
    <row r="449" spans="1:12" x14ac:dyDescent="0.2">
      <c r="A449" s="2" t="s">
        <v>1644</v>
      </c>
      <c r="B449" s="2" t="s">
        <v>3440</v>
      </c>
      <c r="C449" s="2" t="s">
        <v>1847</v>
      </c>
      <c r="D449" s="2" t="s">
        <v>1839</v>
      </c>
      <c r="E449" s="2" t="s">
        <v>1841</v>
      </c>
      <c r="F449" s="2">
        <v>4.4730800000000004</v>
      </c>
      <c r="G449" s="2">
        <v>2.01952</v>
      </c>
      <c r="H449" s="2">
        <v>-1.1472599999999999</v>
      </c>
      <c r="I449" s="2">
        <v>1</v>
      </c>
      <c r="K449" s="2" t="s">
        <v>1314</v>
      </c>
      <c r="L449" s="2">
        <v>1.06681</v>
      </c>
    </row>
    <row r="450" spans="1:12" x14ac:dyDescent="0.2">
      <c r="A450" s="2" t="s">
        <v>594</v>
      </c>
      <c r="B450" s="2" t="s">
        <v>3015</v>
      </c>
      <c r="C450" s="2" t="s">
        <v>3015</v>
      </c>
      <c r="D450" s="2" t="s">
        <v>1839</v>
      </c>
      <c r="E450" s="2" t="s">
        <v>1841</v>
      </c>
      <c r="F450" s="2">
        <v>0.76069600000000004</v>
      </c>
      <c r="G450" s="2">
        <v>1.7986500000000001</v>
      </c>
      <c r="H450" s="2">
        <v>1.24152</v>
      </c>
      <c r="I450" s="2">
        <v>1</v>
      </c>
      <c r="K450" s="2" t="s">
        <v>1646</v>
      </c>
      <c r="L450" s="2">
        <v>-1.0217700000000001</v>
      </c>
    </row>
    <row r="451" spans="1:12" x14ac:dyDescent="0.2">
      <c r="A451" s="2" t="s">
        <v>1313</v>
      </c>
      <c r="B451" s="2" t="s">
        <v>3441</v>
      </c>
      <c r="C451" s="2" t="s">
        <v>3015</v>
      </c>
      <c r="D451" s="2" t="s">
        <v>1839</v>
      </c>
      <c r="E451" s="2" t="s">
        <v>1841</v>
      </c>
      <c r="F451" s="2">
        <v>0.44244800000000001</v>
      </c>
      <c r="G451" s="2">
        <v>1.3504100000000001</v>
      </c>
      <c r="H451" s="2">
        <v>1.60982</v>
      </c>
      <c r="I451" s="2">
        <v>1</v>
      </c>
      <c r="K451" s="2" t="s">
        <v>602</v>
      </c>
      <c r="L451" s="2">
        <v>-1.11232</v>
      </c>
    </row>
    <row r="452" spans="1:12" x14ac:dyDescent="0.2">
      <c r="A452" s="2" t="s">
        <v>596</v>
      </c>
      <c r="B452" s="2" t="s">
        <v>3015</v>
      </c>
      <c r="C452" s="2" t="s">
        <v>2124</v>
      </c>
      <c r="D452" s="2" t="s">
        <v>1839</v>
      </c>
      <c r="E452" s="2" t="s">
        <v>1841</v>
      </c>
      <c r="F452" s="2">
        <v>21.138500000000001</v>
      </c>
      <c r="G452" s="2">
        <v>50.905999999999999</v>
      </c>
      <c r="H452" s="2">
        <v>1.26797</v>
      </c>
      <c r="I452" s="2">
        <v>1</v>
      </c>
      <c r="K452" s="2" t="s">
        <v>1317</v>
      </c>
      <c r="L452" s="2">
        <v>1.8275600000000001</v>
      </c>
    </row>
    <row r="453" spans="1:12" x14ac:dyDescent="0.2">
      <c r="A453" s="2" t="s">
        <v>1645</v>
      </c>
      <c r="B453" s="2" t="s">
        <v>3442</v>
      </c>
      <c r="C453" s="2" t="s">
        <v>2812</v>
      </c>
      <c r="D453" s="2" t="s">
        <v>1839</v>
      </c>
      <c r="E453" s="2" t="s">
        <v>1841</v>
      </c>
      <c r="F453" s="2">
        <v>0.55517899999999998</v>
      </c>
      <c r="G453" s="2">
        <v>1.1534599999999999</v>
      </c>
      <c r="H453" s="2">
        <v>1.05494</v>
      </c>
      <c r="I453" s="2">
        <v>1</v>
      </c>
      <c r="K453" s="2" t="s">
        <v>606</v>
      </c>
      <c r="L453" s="2">
        <v>-1.0232699999999999</v>
      </c>
    </row>
    <row r="454" spans="1:12" x14ac:dyDescent="0.2">
      <c r="A454" s="2" t="s">
        <v>598</v>
      </c>
      <c r="B454" s="2" t="s">
        <v>3038</v>
      </c>
      <c r="C454" s="2" t="s">
        <v>2514</v>
      </c>
      <c r="D454" s="2" t="s">
        <v>1839</v>
      </c>
      <c r="E454" s="2" t="s">
        <v>1841</v>
      </c>
      <c r="F454" s="2">
        <v>0.98475000000000001</v>
      </c>
      <c r="G454" s="2">
        <v>2.4946299999999999</v>
      </c>
      <c r="H454" s="2">
        <v>1.341</v>
      </c>
      <c r="I454" s="2">
        <v>1</v>
      </c>
      <c r="K454" s="2" t="s">
        <v>607</v>
      </c>
      <c r="L454" s="2">
        <v>1.15021</v>
      </c>
    </row>
    <row r="455" spans="1:12" x14ac:dyDescent="0.2">
      <c r="A455" s="2" t="s">
        <v>1314</v>
      </c>
      <c r="B455" s="2" t="s">
        <v>3015</v>
      </c>
      <c r="C455" s="2" t="s">
        <v>2813</v>
      </c>
      <c r="D455" s="2" t="s">
        <v>1839</v>
      </c>
      <c r="E455" s="2" t="s">
        <v>1841</v>
      </c>
      <c r="F455" s="2">
        <v>1.83457</v>
      </c>
      <c r="G455" s="2">
        <v>3.84307</v>
      </c>
      <c r="H455" s="2">
        <v>1.06681</v>
      </c>
      <c r="I455" s="2">
        <v>1</v>
      </c>
      <c r="K455" s="2" t="s">
        <v>608</v>
      </c>
      <c r="L455" s="2">
        <v>-1.2248000000000001</v>
      </c>
    </row>
    <row r="456" spans="1:12" x14ac:dyDescent="0.2">
      <c r="A456" s="2" t="s">
        <v>1646</v>
      </c>
      <c r="B456" s="2" t="s">
        <v>3015</v>
      </c>
      <c r="C456" s="2" t="s">
        <v>3015</v>
      </c>
      <c r="D456" s="2" t="s">
        <v>1839</v>
      </c>
      <c r="E456" s="2" t="s">
        <v>1841</v>
      </c>
      <c r="F456" s="2">
        <v>14.721500000000001</v>
      </c>
      <c r="G456" s="2">
        <v>7.2505499999999996</v>
      </c>
      <c r="H456" s="2">
        <v>-1.0217700000000001</v>
      </c>
      <c r="I456" s="2">
        <v>1</v>
      </c>
      <c r="K456" s="2" t="s">
        <v>1318</v>
      </c>
      <c r="L456" s="2">
        <v>1.0371600000000001</v>
      </c>
    </row>
    <row r="457" spans="1:12" x14ac:dyDescent="0.2">
      <c r="A457" s="2" t="s">
        <v>1647</v>
      </c>
      <c r="B457" s="2" t="s">
        <v>3015</v>
      </c>
      <c r="C457" s="2" t="s">
        <v>3015</v>
      </c>
      <c r="D457" s="2" t="s">
        <v>1839</v>
      </c>
      <c r="E457" s="2" t="s">
        <v>1841</v>
      </c>
      <c r="F457" s="2">
        <v>0</v>
      </c>
      <c r="G457" s="2">
        <v>3.4809399999999999</v>
      </c>
      <c r="H457" s="2" t="s">
        <v>3021</v>
      </c>
      <c r="I457" s="2" t="s">
        <v>3021</v>
      </c>
      <c r="K457" s="2" t="s">
        <v>1649</v>
      </c>
      <c r="L457" s="2">
        <v>-1.0375099999999999</v>
      </c>
    </row>
    <row r="458" spans="1:12" x14ac:dyDescent="0.2">
      <c r="A458" s="2" t="s">
        <v>602</v>
      </c>
      <c r="B458" s="2" t="s">
        <v>3015</v>
      </c>
      <c r="C458" s="2" t="s">
        <v>3015</v>
      </c>
      <c r="D458" s="2" t="s">
        <v>1839</v>
      </c>
      <c r="E458" s="2" t="s">
        <v>1841</v>
      </c>
      <c r="F458" s="2">
        <v>7.0156099999999997</v>
      </c>
      <c r="G458" s="2">
        <v>3.2450600000000001</v>
      </c>
      <c r="H458" s="2">
        <v>-1.11232</v>
      </c>
      <c r="I458" s="2">
        <v>1</v>
      </c>
      <c r="K458" s="2" t="s">
        <v>1650</v>
      </c>
      <c r="L458" s="2">
        <v>-1.7289099999999999</v>
      </c>
    </row>
    <row r="459" spans="1:12" x14ac:dyDescent="0.2">
      <c r="A459" s="2" t="s">
        <v>1317</v>
      </c>
      <c r="B459" s="2" t="s">
        <v>3197</v>
      </c>
      <c r="C459" s="2" t="s">
        <v>2179</v>
      </c>
      <c r="D459" s="2" t="s">
        <v>1839</v>
      </c>
      <c r="E459" s="2" t="s">
        <v>1841</v>
      </c>
      <c r="F459" s="2">
        <v>5.4893999999999998</v>
      </c>
      <c r="G459" s="2">
        <v>19.483899999999998</v>
      </c>
      <c r="H459" s="2">
        <v>1.8275600000000001</v>
      </c>
      <c r="I459" s="2">
        <v>1</v>
      </c>
      <c r="K459" s="2" t="s">
        <v>614</v>
      </c>
      <c r="L459" s="2">
        <v>-1.2392099999999999</v>
      </c>
    </row>
    <row r="460" spans="1:12" x14ac:dyDescent="0.2">
      <c r="A460" s="2" t="s">
        <v>606</v>
      </c>
      <c r="B460" s="2" t="s">
        <v>3015</v>
      </c>
      <c r="C460" s="2" t="s">
        <v>3015</v>
      </c>
      <c r="D460" s="2" t="s">
        <v>1839</v>
      </c>
      <c r="E460" s="2" t="s">
        <v>1841</v>
      </c>
      <c r="F460" s="2">
        <v>14.9101</v>
      </c>
      <c r="G460" s="2">
        <v>7.3357700000000001</v>
      </c>
      <c r="H460" s="2">
        <v>-1.0232699999999999</v>
      </c>
      <c r="I460" s="2">
        <v>1</v>
      </c>
      <c r="K460" s="2" t="s">
        <v>615</v>
      </c>
      <c r="L460" s="2">
        <v>-1.46502</v>
      </c>
    </row>
    <row r="461" spans="1:12" x14ac:dyDescent="0.2">
      <c r="A461" s="2" t="s">
        <v>607</v>
      </c>
      <c r="B461" s="2" t="s">
        <v>3175</v>
      </c>
      <c r="C461" s="2" t="s">
        <v>2127</v>
      </c>
      <c r="D461" s="2" t="s">
        <v>1839</v>
      </c>
      <c r="E461" s="2" t="s">
        <v>1841</v>
      </c>
      <c r="F461" s="2">
        <v>1.6270100000000001</v>
      </c>
      <c r="G461" s="2">
        <v>3.6110699999999998</v>
      </c>
      <c r="H461" s="2">
        <v>1.15021</v>
      </c>
      <c r="I461" s="2">
        <v>1</v>
      </c>
      <c r="K461" s="2" t="s">
        <v>618</v>
      </c>
      <c r="L461" s="2">
        <v>1.0510299999999999</v>
      </c>
    </row>
    <row r="462" spans="1:12" x14ac:dyDescent="0.2">
      <c r="A462" s="2" t="s">
        <v>608</v>
      </c>
      <c r="B462" s="2" t="s">
        <v>3030</v>
      </c>
      <c r="C462" s="2" t="s">
        <v>2128</v>
      </c>
      <c r="D462" s="2" t="s">
        <v>1839</v>
      </c>
      <c r="E462" s="2" t="s">
        <v>1841</v>
      </c>
      <c r="F462" s="2">
        <v>6.6764400000000004</v>
      </c>
      <c r="G462" s="2">
        <v>2.85656</v>
      </c>
      <c r="H462" s="2">
        <v>-1.2248000000000001</v>
      </c>
      <c r="I462" s="2">
        <v>1</v>
      </c>
      <c r="K462" s="2" t="s">
        <v>619</v>
      </c>
      <c r="L462" s="2">
        <v>-3.0972400000000002</v>
      </c>
    </row>
    <row r="463" spans="1:12" x14ac:dyDescent="0.2">
      <c r="A463" s="2" t="s">
        <v>1318</v>
      </c>
      <c r="B463" s="2" t="s">
        <v>3443</v>
      </c>
      <c r="C463" s="2" t="s">
        <v>2814</v>
      </c>
      <c r="D463" s="2" t="s">
        <v>1839</v>
      </c>
      <c r="E463" s="2" t="s">
        <v>1841</v>
      </c>
      <c r="F463" s="2">
        <v>5.5639700000000003</v>
      </c>
      <c r="G463" s="2">
        <v>11.4183</v>
      </c>
      <c r="H463" s="2">
        <v>1.0371600000000001</v>
      </c>
      <c r="I463" s="2">
        <v>1</v>
      </c>
      <c r="K463" s="2" t="s">
        <v>622</v>
      </c>
      <c r="L463" s="2">
        <v>1.0506200000000001</v>
      </c>
    </row>
    <row r="464" spans="1:12" x14ac:dyDescent="0.2">
      <c r="A464" s="2" t="s">
        <v>1649</v>
      </c>
      <c r="B464" s="2" t="s">
        <v>3109</v>
      </c>
      <c r="C464" s="2" t="s">
        <v>2815</v>
      </c>
      <c r="D464" s="2" t="s">
        <v>1839</v>
      </c>
      <c r="E464" s="2" t="s">
        <v>1841</v>
      </c>
      <c r="F464" s="2">
        <v>1.3928700000000001</v>
      </c>
      <c r="G464" s="2">
        <v>0.67856300000000003</v>
      </c>
      <c r="H464" s="2">
        <v>-1.0375099999999999</v>
      </c>
      <c r="I464" s="2">
        <v>1</v>
      </c>
      <c r="K464" s="2" t="s">
        <v>623</v>
      </c>
      <c r="L464" s="2">
        <v>-2.5248400000000002</v>
      </c>
    </row>
    <row r="465" spans="1:12" x14ac:dyDescent="0.2">
      <c r="A465" s="2" t="s">
        <v>1650</v>
      </c>
      <c r="B465" s="2" t="s">
        <v>3166</v>
      </c>
      <c r="C465" s="2" t="s">
        <v>2114</v>
      </c>
      <c r="D465" s="2" t="s">
        <v>1839</v>
      </c>
      <c r="E465" s="2" t="s">
        <v>1841</v>
      </c>
      <c r="F465" s="2">
        <v>1.03796</v>
      </c>
      <c r="G465" s="2">
        <v>0.31313200000000002</v>
      </c>
      <c r="H465" s="2">
        <v>-1.7289099999999999</v>
      </c>
      <c r="I465" s="2">
        <v>1</v>
      </c>
      <c r="K465" s="2" t="s">
        <v>624</v>
      </c>
      <c r="L465" s="2">
        <v>1.2242599999999999</v>
      </c>
    </row>
    <row r="466" spans="1:12" x14ac:dyDescent="0.2">
      <c r="A466" s="2" t="s">
        <v>614</v>
      </c>
      <c r="B466" s="2" t="s">
        <v>3015</v>
      </c>
      <c r="C466" s="2" t="s">
        <v>2816</v>
      </c>
      <c r="D466" s="2" t="s">
        <v>1839</v>
      </c>
      <c r="E466" s="2" t="s">
        <v>1841</v>
      </c>
      <c r="F466" s="2">
        <v>2.2815799999999999</v>
      </c>
      <c r="G466" s="2">
        <v>0.96648999999999996</v>
      </c>
      <c r="H466" s="2">
        <v>-1.2392099999999999</v>
      </c>
      <c r="I466" s="2">
        <v>1</v>
      </c>
      <c r="K466" s="2" t="s">
        <v>1651</v>
      </c>
      <c r="L466" s="2">
        <v>2.2604000000000002</v>
      </c>
    </row>
    <row r="467" spans="1:12" x14ac:dyDescent="0.2">
      <c r="A467" s="2" t="s">
        <v>615</v>
      </c>
      <c r="B467" s="2" t="s">
        <v>3100</v>
      </c>
      <c r="C467" s="2" t="s">
        <v>1948</v>
      </c>
      <c r="D467" s="2" t="s">
        <v>1839</v>
      </c>
      <c r="E467" s="2" t="s">
        <v>1841</v>
      </c>
      <c r="F467" s="2">
        <v>1.58294</v>
      </c>
      <c r="G467" s="2">
        <v>0.57338800000000001</v>
      </c>
      <c r="H467" s="2">
        <v>-1.46502</v>
      </c>
      <c r="I467" s="2">
        <v>1</v>
      </c>
      <c r="K467" s="2" t="s">
        <v>1652</v>
      </c>
      <c r="L467" s="2">
        <v>-1.0456099999999999</v>
      </c>
    </row>
    <row r="468" spans="1:12" x14ac:dyDescent="0.2">
      <c r="A468" s="2" t="s">
        <v>618</v>
      </c>
      <c r="B468" s="2" t="s">
        <v>3015</v>
      </c>
      <c r="C468" s="2" t="s">
        <v>2817</v>
      </c>
      <c r="D468" s="2" t="s">
        <v>1839</v>
      </c>
      <c r="E468" s="2" t="s">
        <v>1841</v>
      </c>
      <c r="F468" s="2">
        <v>1.7155100000000001</v>
      </c>
      <c r="G468" s="2">
        <v>3.5545599999999999</v>
      </c>
      <c r="H468" s="2">
        <v>1.0510299999999999</v>
      </c>
      <c r="I468" s="2">
        <v>1</v>
      </c>
      <c r="K468" s="2" t="s">
        <v>1653</v>
      </c>
      <c r="L468" s="2">
        <v>1.68977</v>
      </c>
    </row>
    <row r="469" spans="1:12" x14ac:dyDescent="0.2">
      <c r="A469" s="2" t="s">
        <v>619</v>
      </c>
      <c r="B469" s="2" t="s">
        <v>3015</v>
      </c>
      <c r="C469" s="2" t="s">
        <v>2132</v>
      </c>
      <c r="D469" s="2" t="s">
        <v>1839</v>
      </c>
      <c r="E469" s="2" t="s">
        <v>1841</v>
      </c>
      <c r="F469" s="2">
        <v>3.4230200000000002</v>
      </c>
      <c r="G469" s="2">
        <v>0.39998899999999998</v>
      </c>
      <c r="H469" s="2">
        <v>-3.0972400000000002</v>
      </c>
      <c r="I469" s="2">
        <v>1</v>
      </c>
      <c r="K469" s="2" t="s">
        <v>1654</v>
      </c>
      <c r="L469" s="2">
        <v>-1.72485</v>
      </c>
    </row>
    <row r="470" spans="1:12" x14ac:dyDescent="0.2">
      <c r="A470" s="2" t="s">
        <v>622</v>
      </c>
      <c r="B470" s="2" t="s">
        <v>3015</v>
      </c>
      <c r="C470" s="2" t="s">
        <v>2818</v>
      </c>
      <c r="D470" s="2" t="s">
        <v>1839</v>
      </c>
      <c r="E470" s="2" t="s">
        <v>1841</v>
      </c>
      <c r="F470" s="2">
        <v>0.59664300000000003</v>
      </c>
      <c r="G470" s="2">
        <v>1.2359</v>
      </c>
      <c r="H470" s="2">
        <v>1.0506200000000001</v>
      </c>
      <c r="I470" s="2">
        <v>1</v>
      </c>
      <c r="K470" s="2" t="s">
        <v>626</v>
      </c>
      <c r="L470" s="2">
        <v>1.04674</v>
      </c>
    </row>
    <row r="471" spans="1:12" x14ac:dyDescent="0.2">
      <c r="A471" s="2" t="s">
        <v>623</v>
      </c>
      <c r="B471" s="2" t="s">
        <v>3015</v>
      </c>
      <c r="C471" s="2" t="s">
        <v>1862</v>
      </c>
      <c r="D471" s="2" t="s">
        <v>1839</v>
      </c>
      <c r="E471" s="2" t="s">
        <v>1841</v>
      </c>
      <c r="F471" s="2">
        <v>1.1394500000000001</v>
      </c>
      <c r="G471" s="2">
        <v>0.197989</v>
      </c>
      <c r="H471" s="2">
        <v>-2.5248400000000002</v>
      </c>
      <c r="I471" s="2">
        <v>1</v>
      </c>
      <c r="K471" s="2" t="s">
        <v>1655</v>
      </c>
      <c r="L471" s="2">
        <v>1.2318899999999999</v>
      </c>
    </row>
    <row r="472" spans="1:12" x14ac:dyDescent="0.2">
      <c r="A472" s="2" t="s">
        <v>624</v>
      </c>
      <c r="B472" s="2" t="s">
        <v>3158</v>
      </c>
      <c r="C472" s="2" t="s">
        <v>2520</v>
      </c>
      <c r="D472" s="2" t="s">
        <v>1839</v>
      </c>
      <c r="E472" s="2" t="s">
        <v>1841</v>
      </c>
      <c r="F472" s="2">
        <v>4.3082799999999999</v>
      </c>
      <c r="G472" s="2">
        <v>10.0657</v>
      </c>
      <c r="H472" s="2">
        <v>1.2242599999999999</v>
      </c>
      <c r="I472" s="2">
        <v>1</v>
      </c>
      <c r="K472" s="2" t="s">
        <v>1656</v>
      </c>
      <c r="L472" s="2">
        <v>1.3869499999999999</v>
      </c>
    </row>
    <row r="473" spans="1:12" x14ac:dyDescent="0.2">
      <c r="A473" s="2" t="s">
        <v>1651</v>
      </c>
      <c r="B473" s="2" t="s">
        <v>3158</v>
      </c>
      <c r="C473" s="2" t="s">
        <v>2819</v>
      </c>
      <c r="D473" s="2" t="s">
        <v>1839</v>
      </c>
      <c r="E473" s="2" t="s">
        <v>1841</v>
      </c>
      <c r="F473" s="2">
        <v>1.2241899999999999</v>
      </c>
      <c r="G473" s="2">
        <v>5.8654200000000003</v>
      </c>
      <c r="H473" s="2">
        <v>2.2604000000000002</v>
      </c>
      <c r="I473" s="2">
        <v>1</v>
      </c>
      <c r="K473" s="2" t="s">
        <v>627</v>
      </c>
      <c r="L473" s="2">
        <v>-1.1803699999999999</v>
      </c>
    </row>
    <row r="474" spans="1:12" x14ac:dyDescent="0.2">
      <c r="A474" s="2" t="s">
        <v>1652</v>
      </c>
      <c r="B474" s="2" t="s">
        <v>3015</v>
      </c>
      <c r="C474" s="2" t="s">
        <v>3015</v>
      </c>
      <c r="D474" s="2" t="s">
        <v>1839</v>
      </c>
      <c r="E474" s="2" t="s">
        <v>1841</v>
      </c>
      <c r="F474" s="2">
        <v>121.642</v>
      </c>
      <c r="G474" s="2">
        <v>58.9283</v>
      </c>
      <c r="H474" s="2">
        <v>-1.0456099999999999</v>
      </c>
      <c r="I474" s="2">
        <v>1</v>
      </c>
      <c r="K474" s="2" t="s">
        <v>628</v>
      </c>
      <c r="L474" s="2">
        <v>3.2413400000000001</v>
      </c>
    </row>
    <row r="475" spans="1:12" x14ac:dyDescent="0.2">
      <c r="A475" s="2" t="s">
        <v>1653</v>
      </c>
      <c r="B475" s="2" t="s">
        <v>3038</v>
      </c>
      <c r="C475" s="2" t="s">
        <v>2820</v>
      </c>
      <c r="D475" s="2" t="s">
        <v>1839</v>
      </c>
      <c r="E475" s="2" t="s">
        <v>1841</v>
      </c>
      <c r="F475" s="2">
        <v>0.48227799999999998</v>
      </c>
      <c r="G475" s="2">
        <v>1.55585</v>
      </c>
      <c r="H475" s="2">
        <v>1.68977</v>
      </c>
      <c r="I475" s="2">
        <v>1</v>
      </c>
      <c r="K475" s="2" t="s">
        <v>1323</v>
      </c>
      <c r="L475" s="2">
        <v>1.23203</v>
      </c>
    </row>
    <row r="476" spans="1:12" x14ac:dyDescent="0.2">
      <c r="A476" s="2" t="s">
        <v>1654</v>
      </c>
      <c r="B476" s="2" t="s">
        <v>3015</v>
      </c>
      <c r="C476" s="2" t="s">
        <v>3444</v>
      </c>
      <c r="D476" s="2" t="s">
        <v>1839</v>
      </c>
      <c r="E476" s="2" t="s">
        <v>1841</v>
      </c>
      <c r="F476" s="2">
        <v>1.13381</v>
      </c>
      <c r="G476" s="2">
        <v>0.34300900000000001</v>
      </c>
      <c r="H476" s="2">
        <v>-1.72485</v>
      </c>
      <c r="I476" s="2">
        <v>1</v>
      </c>
      <c r="K476" s="2" t="s">
        <v>630</v>
      </c>
      <c r="L476" s="2">
        <v>5.1199899999999996</v>
      </c>
    </row>
    <row r="477" spans="1:12" x14ac:dyDescent="0.2">
      <c r="A477" s="2" t="s">
        <v>626</v>
      </c>
      <c r="B477" s="2" t="s">
        <v>3030</v>
      </c>
      <c r="C477" s="2" t="s">
        <v>2135</v>
      </c>
      <c r="D477" s="2" t="s">
        <v>1839</v>
      </c>
      <c r="E477" s="2" t="s">
        <v>1841</v>
      </c>
      <c r="F477" s="2">
        <v>1.1389800000000001</v>
      </c>
      <c r="G477" s="2">
        <v>2.3529800000000001</v>
      </c>
      <c r="H477" s="2">
        <v>1.04674</v>
      </c>
      <c r="I477" s="2">
        <v>1</v>
      </c>
      <c r="K477" s="2" t="s">
        <v>1657</v>
      </c>
      <c r="L477" s="2">
        <v>1.67997</v>
      </c>
    </row>
    <row r="478" spans="1:12" x14ac:dyDescent="0.2">
      <c r="A478" s="2" t="s">
        <v>1655</v>
      </c>
      <c r="B478" s="2" t="s">
        <v>3095</v>
      </c>
      <c r="C478" s="2" t="s">
        <v>2822</v>
      </c>
      <c r="D478" s="2" t="s">
        <v>1839</v>
      </c>
      <c r="E478" s="2" t="s">
        <v>1841</v>
      </c>
      <c r="F478" s="2">
        <v>0.60057799999999995</v>
      </c>
      <c r="G478" s="2">
        <v>1.4106000000000001</v>
      </c>
      <c r="H478" s="2">
        <v>1.2318899999999999</v>
      </c>
      <c r="I478" s="2">
        <v>1</v>
      </c>
      <c r="K478" s="2" t="s">
        <v>1658</v>
      </c>
      <c r="L478" s="2">
        <v>1.0170399999999999</v>
      </c>
    </row>
    <row r="479" spans="1:12" x14ac:dyDescent="0.2">
      <c r="A479" s="2" t="s">
        <v>1656</v>
      </c>
      <c r="B479" s="2" t="s">
        <v>3015</v>
      </c>
      <c r="C479" s="2" t="s">
        <v>2823</v>
      </c>
      <c r="D479" s="2" t="s">
        <v>1839</v>
      </c>
      <c r="E479" s="2" t="s">
        <v>1841</v>
      </c>
      <c r="F479" s="2">
        <v>0.69017099999999998</v>
      </c>
      <c r="G479" s="2">
        <v>1.80497</v>
      </c>
      <c r="H479" s="2">
        <v>1.3869499999999999</v>
      </c>
      <c r="I479" s="2">
        <v>1</v>
      </c>
      <c r="K479" s="2" t="s">
        <v>632</v>
      </c>
      <c r="L479" s="2">
        <v>1.26935</v>
      </c>
    </row>
    <row r="480" spans="1:12" x14ac:dyDescent="0.2">
      <c r="A480" s="2" t="s">
        <v>627</v>
      </c>
      <c r="B480" s="2" t="s">
        <v>3301</v>
      </c>
      <c r="C480" s="2" t="s">
        <v>2824</v>
      </c>
      <c r="D480" s="2" t="s">
        <v>1839</v>
      </c>
      <c r="E480" s="2" t="s">
        <v>1841</v>
      </c>
      <c r="F480" s="2">
        <v>60.5792</v>
      </c>
      <c r="G480" s="2">
        <v>26.729800000000001</v>
      </c>
      <c r="H480" s="2">
        <v>-1.1803699999999999</v>
      </c>
      <c r="I480" s="2">
        <v>1</v>
      </c>
      <c r="K480" s="2" t="s">
        <v>1659</v>
      </c>
      <c r="L480" s="2">
        <v>-1.26702</v>
      </c>
    </row>
    <row r="481" spans="1:12" x14ac:dyDescent="0.2">
      <c r="A481" s="2" t="s">
        <v>628</v>
      </c>
      <c r="B481" s="2" t="s">
        <v>3178</v>
      </c>
      <c r="C481" s="2" t="s">
        <v>2087</v>
      </c>
      <c r="D481" s="2" t="s">
        <v>1839</v>
      </c>
      <c r="E481" s="2" t="s">
        <v>1841</v>
      </c>
      <c r="F481" s="2">
        <v>0.51327699999999998</v>
      </c>
      <c r="G481" s="2">
        <v>4.8539099999999999</v>
      </c>
      <c r="H481" s="2">
        <v>3.2413400000000001</v>
      </c>
      <c r="I481" s="2">
        <v>1</v>
      </c>
      <c r="K481" s="2" t="s">
        <v>1660</v>
      </c>
      <c r="L481" s="2">
        <v>-1.0263</v>
      </c>
    </row>
    <row r="482" spans="1:12" x14ac:dyDescent="0.2">
      <c r="A482" s="2" t="s">
        <v>1323</v>
      </c>
      <c r="B482" s="2" t="s">
        <v>3093</v>
      </c>
      <c r="C482" s="2" t="s">
        <v>2473</v>
      </c>
      <c r="D482" s="2" t="s">
        <v>1839</v>
      </c>
      <c r="E482" s="2" t="s">
        <v>1841</v>
      </c>
      <c r="F482" s="2">
        <v>0.41998000000000002</v>
      </c>
      <c r="G482" s="2">
        <v>0.98652399999999996</v>
      </c>
      <c r="H482" s="2">
        <v>1.23203</v>
      </c>
      <c r="I482" s="2">
        <v>1</v>
      </c>
      <c r="K482" s="2" t="s">
        <v>1661</v>
      </c>
      <c r="L482" s="2">
        <v>1.0463100000000001</v>
      </c>
    </row>
    <row r="483" spans="1:12" x14ac:dyDescent="0.2">
      <c r="A483" s="2" t="s">
        <v>630</v>
      </c>
      <c r="B483" s="2" t="s">
        <v>3179</v>
      </c>
      <c r="C483" s="2" t="s">
        <v>2137</v>
      </c>
      <c r="D483" s="2" t="s">
        <v>1839</v>
      </c>
      <c r="E483" s="2" t="s">
        <v>1841</v>
      </c>
      <c r="F483" s="2">
        <v>1.19113</v>
      </c>
      <c r="G483" s="2">
        <v>41.421999999999997</v>
      </c>
      <c r="H483" s="2">
        <v>5.1199899999999996</v>
      </c>
      <c r="I483" s="2">
        <v>1</v>
      </c>
      <c r="K483" s="2" t="s">
        <v>635</v>
      </c>
      <c r="L483" s="2">
        <v>-1.20764</v>
      </c>
    </row>
    <row r="484" spans="1:12" x14ac:dyDescent="0.2">
      <c r="A484" s="2" t="s">
        <v>1657</v>
      </c>
      <c r="B484" s="2" t="s">
        <v>3015</v>
      </c>
      <c r="C484" s="2" t="s">
        <v>2825</v>
      </c>
      <c r="D484" s="2" t="s">
        <v>1839</v>
      </c>
      <c r="E484" s="2" t="s">
        <v>1841</v>
      </c>
      <c r="F484" s="2">
        <v>0.95603800000000005</v>
      </c>
      <c r="G484" s="2">
        <v>3.0633499999999998</v>
      </c>
      <c r="H484" s="2">
        <v>1.67997</v>
      </c>
      <c r="I484" s="2">
        <v>1</v>
      </c>
      <c r="K484" s="2" t="s">
        <v>1662</v>
      </c>
      <c r="L484" s="2">
        <v>1.4359200000000001</v>
      </c>
    </row>
    <row r="485" spans="1:12" x14ac:dyDescent="0.2">
      <c r="A485" s="2" t="s">
        <v>1658</v>
      </c>
      <c r="B485" s="2" t="s">
        <v>3015</v>
      </c>
      <c r="C485" s="2" t="s">
        <v>3015</v>
      </c>
      <c r="D485" s="2" t="s">
        <v>1839</v>
      </c>
      <c r="E485" s="2" t="s">
        <v>1841</v>
      </c>
      <c r="F485" s="2">
        <v>1.7488600000000001</v>
      </c>
      <c r="G485" s="2">
        <v>3.5392800000000002</v>
      </c>
      <c r="H485" s="2">
        <v>1.0170399999999999</v>
      </c>
      <c r="I485" s="2">
        <v>1</v>
      </c>
      <c r="K485" s="2" t="s">
        <v>1330</v>
      </c>
      <c r="L485" s="2">
        <v>1.2770699999999999</v>
      </c>
    </row>
    <row r="486" spans="1:12" x14ac:dyDescent="0.2">
      <c r="A486" s="2" t="s">
        <v>632</v>
      </c>
      <c r="B486" s="2" t="s">
        <v>3015</v>
      </c>
      <c r="C486" s="2" t="s">
        <v>3015</v>
      </c>
      <c r="D486" s="2" t="s">
        <v>1839</v>
      </c>
      <c r="E486" s="2" t="s">
        <v>1841</v>
      </c>
      <c r="F486" s="2">
        <v>14.6378</v>
      </c>
      <c r="G486" s="2">
        <v>35.284799999999997</v>
      </c>
      <c r="H486" s="2">
        <v>1.26935</v>
      </c>
      <c r="I486" s="2">
        <v>1</v>
      </c>
      <c r="K486" s="2" t="s">
        <v>1663</v>
      </c>
      <c r="L486" s="2">
        <v>1.4859899999999999</v>
      </c>
    </row>
    <row r="487" spans="1:12" x14ac:dyDescent="0.2">
      <c r="A487" s="2" t="s">
        <v>1659</v>
      </c>
      <c r="B487" s="2" t="s">
        <v>3103</v>
      </c>
      <c r="C487" s="2" t="s">
        <v>3015</v>
      </c>
      <c r="D487" s="2" t="s">
        <v>1839</v>
      </c>
      <c r="E487" s="2" t="s">
        <v>1841</v>
      </c>
      <c r="F487" s="2">
        <v>7.88626</v>
      </c>
      <c r="G487" s="2">
        <v>3.2768700000000002</v>
      </c>
      <c r="H487" s="2">
        <v>-1.26702</v>
      </c>
      <c r="I487" s="2">
        <v>1</v>
      </c>
      <c r="K487" s="2" t="s">
        <v>642</v>
      </c>
      <c r="L487" s="2">
        <v>-1.0883400000000001</v>
      </c>
    </row>
    <row r="488" spans="1:12" x14ac:dyDescent="0.2">
      <c r="A488" s="2" t="s">
        <v>1660</v>
      </c>
      <c r="B488" s="2" t="s">
        <v>3445</v>
      </c>
      <c r="C488" s="2" t="s">
        <v>3015</v>
      </c>
      <c r="D488" s="2" t="s">
        <v>1839</v>
      </c>
      <c r="E488" s="2" t="s">
        <v>1841</v>
      </c>
      <c r="F488" s="2">
        <v>0.89339299999999999</v>
      </c>
      <c r="G488" s="2">
        <v>0.43862600000000002</v>
      </c>
      <c r="H488" s="2">
        <v>-1.0263</v>
      </c>
      <c r="I488" s="2">
        <v>1</v>
      </c>
      <c r="K488" s="2" t="s">
        <v>1664</v>
      </c>
      <c r="L488" s="2">
        <v>1.02911</v>
      </c>
    </row>
    <row r="489" spans="1:12" x14ac:dyDescent="0.2">
      <c r="A489" s="2" t="s">
        <v>1661</v>
      </c>
      <c r="B489" s="2" t="s">
        <v>3015</v>
      </c>
      <c r="C489" s="2" t="s">
        <v>2826</v>
      </c>
      <c r="D489" s="2" t="s">
        <v>1839</v>
      </c>
      <c r="E489" s="2" t="s">
        <v>1841</v>
      </c>
      <c r="F489" s="2">
        <v>1.55752</v>
      </c>
      <c r="G489" s="2">
        <v>3.2166399999999999</v>
      </c>
      <c r="H489" s="2">
        <v>1.0463100000000001</v>
      </c>
      <c r="I489" s="2">
        <v>1</v>
      </c>
      <c r="K489" s="2" t="s">
        <v>644</v>
      </c>
      <c r="L489" s="2">
        <v>-1.3384199999999999</v>
      </c>
    </row>
    <row r="490" spans="1:12" x14ac:dyDescent="0.2">
      <c r="A490" s="2" t="s">
        <v>635</v>
      </c>
      <c r="B490" s="2" t="s">
        <v>3068</v>
      </c>
      <c r="C490" s="2" t="s">
        <v>2827</v>
      </c>
      <c r="D490" s="2" t="s">
        <v>1839</v>
      </c>
      <c r="E490" s="2" t="s">
        <v>1841</v>
      </c>
      <c r="F490" s="2">
        <v>11.3964</v>
      </c>
      <c r="G490" s="2">
        <v>4.9343500000000002</v>
      </c>
      <c r="H490" s="2">
        <v>-1.20764</v>
      </c>
      <c r="I490" s="2">
        <v>1</v>
      </c>
      <c r="K490" s="2" t="s">
        <v>1331</v>
      </c>
      <c r="L490" s="2">
        <v>1.00254</v>
      </c>
    </row>
    <row r="491" spans="1:12" x14ac:dyDescent="0.2">
      <c r="A491" s="2" t="s">
        <v>1662</v>
      </c>
      <c r="B491" s="2" t="s">
        <v>3038</v>
      </c>
      <c r="C491" s="2" t="s">
        <v>2828</v>
      </c>
      <c r="D491" s="2" t="s">
        <v>1839</v>
      </c>
      <c r="E491" s="2" t="s">
        <v>1841</v>
      </c>
      <c r="F491" s="2">
        <v>1.68712</v>
      </c>
      <c r="G491" s="2">
        <v>4.5646000000000004</v>
      </c>
      <c r="H491" s="2">
        <v>1.4359200000000001</v>
      </c>
      <c r="I491" s="2">
        <v>1</v>
      </c>
      <c r="K491" s="2" t="s">
        <v>645</v>
      </c>
      <c r="L491" s="2">
        <v>-1.0909500000000001</v>
      </c>
    </row>
    <row r="492" spans="1:12" x14ac:dyDescent="0.2">
      <c r="A492" s="2" t="s">
        <v>1330</v>
      </c>
      <c r="B492" s="2" t="s">
        <v>3042</v>
      </c>
      <c r="C492" s="2" t="s">
        <v>1870</v>
      </c>
      <c r="D492" s="2" t="s">
        <v>1839</v>
      </c>
      <c r="E492" s="2" t="s">
        <v>1841</v>
      </c>
      <c r="F492" s="2">
        <v>20.258900000000001</v>
      </c>
      <c r="G492" s="2">
        <v>49.096699999999998</v>
      </c>
      <c r="H492" s="2">
        <v>1.2770699999999999</v>
      </c>
      <c r="I492" s="2">
        <v>1</v>
      </c>
      <c r="K492" s="2" t="s">
        <v>1666</v>
      </c>
      <c r="L492" s="2">
        <v>2.29759</v>
      </c>
    </row>
    <row r="493" spans="1:12" x14ac:dyDescent="0.2">
      <c r="A493" s="2" t="s">
        <v>1663</v>
      </c>
      <c r="B493" s="2" t="s">
        <v>3015</v>
      </c>
      <c r="C493" s="2" t="s">
        <v>1914</v>
      </c>
      <c r="D493" s="2" t="s">
        <v>1839</v>
      </c>
      <c r="E493" s="2" t="s">
        <v>1841</v>
      </c>
      <c r="F493" s="2">
        <v>1.6556900000000001</v>
      </c>
      <c r="G493" s="2">
        <v>4.63774</v>
      </c>
      <c r="H493" s="2">
        <v>1.4859899999999999</v>
      </c>
      <c r="I493" s="2">
        <v>1</v>
      </c>
      <c r="K493" s="2" t="s">
        <v>1667</v>
      </c>
      <c r="L493" s="2">
        <v>-1.3825099999999999</v>
      </c>
    </row>
    <row r="494" spans="1:12" x14ac:dyDescent="0.2">
      <c r="A494" s="2" t="s">
        <v>642</v>
      </c>
      <c r="B494" s="2" t="s">
        <v>3446</v>
      </c>
      <c r="C494" s="2" t="s">
        <v>2829</v>
      </c>
      <c r="D494" s="2" t="s">
        <v>1839</v>
      </c>
      <c r="E494" s="2" t="s">
        <v>1841</v>
      </c>
      <c r="F494" s="2">
        <v>64.821799999999996</v>
      </c>
      <c r="G494" s="2">
        <v>30.485700000000001</v>
      </c>
      <c r="H494" s="2">
        <v>-1.0883400000000001</v>
      </c>
      <c r="I494" s="2">
        <v>1</v>
      </c>
      <c r="K494" s="2" t="s">
        <v>648</v>
      </c>
      <c r="L494" s="2">
        <v>1.51813</v>
      </c>
    </row>
    <row r="495" spans="1:12" x14ac:dyDescent="0.2">
      <c r="A495" s="2" t="s">
        <v>1664</v>
      </c>
      <c r="B495" s="2" t="s">
        <v>3015</v>
      </c>
      <c r="C495" s="2" t="s">
        <v>2830</v>
      </c>
      <c r="D495" s="2" t="s">
        <v>1839</v>
      </c>
      <c r="E495" s="2" t="s">
        <v>1841</v>
      </c>
      <c r="F495" s="2">
        <v>5.83744</v>
      </c>
      <c r="G495" s="2">
        <v>11.9129</v>
      </c>
      <c r="H495" s="2">
        <v>1.02911</v>
      </c>
      <c r="I495" s="2">
        <v>1</v>
      </c>
      <c r="K495" s="2" t="s">
        <v>652</v>
      </c>
      <c r="L495" s="2">
        <v>1.8937900000000001</v>
      </c>
    </row>
    <row r="496" spans="1:12" x14ac:dyDescent="0.2">
      <c r="A496" s="2" t="s">
        <v>644</v>
      </c>
      <c r="B496" s="2" t="s">
        <v>3193</v>
      </c>
      <c r="C496" s="2" t="s">
        <v>2166</v>
      </c>
      <c r="D496" s="2" t="s">
        <v>1839</v>
      </c>
      <c r="E496" s="2" t="s">
        <v>1841</v>
      </c>
      <c r="F496" s="2">
        <v>561.09699999999998</v>
      </c>
      <c r="G496" s="2">
        <v>221.88800000000001</v>
      </c>
      <c r="H496" s="2">
        <v>-1.3384199999999999</v>
      </c>
      <c r="I496" s="2">
        <v>1</v>
      </c>
      <c r="K496" s="2" t="s">
        <v>653</v>
      </c>
      <c r="L496" s="2">
        <v>-1.4409400000000001</v>
      </c>
    </row>
    <row r="497" spans="1:12" x14ac:dyDescent="0.2">
      <c r="A497" s="2" t="s">
        <v>1331</v>
      </c>
      <c r="B497" s="2" t="s">
        <v>3191</v>
      </c>
      <c r="C497" s="2" t="s">
        <v>2526</v>
      </c>
      <c r="D497" s="2" t="s">
        <v>1839</v>
      </c>
      <c r="E497" s="2" t="s">
        <v>1841</v>
      </c>
      <c r="F497" s="2">
        <v>1.6052500000000001</v>
      </c>
      <c r="G497" s="2">
        <v>3.2161499999999998</v>
      </c>
      <c r="H497" s="2">
        <v>1.00254</v>
      </c>
      <c r="I497" s="2">
        <v>1</v>
      </c>
      <c r="K497" s="2" t="s">
        <v>1669</v>
      </c>
      <c r="L497" s="2">
        <v>-1.09656</v>
      </c>
    </row>
    <row r="498" spans="1:12" x14ac:dyDescent="0.2">
      <c r="A498" s="2" t="s">
        <v>645</v>
      </c>
      <c r="B498" s="2" t="s">
        <v>3181</v>
      </c>
      <c r="C498" s="2" t="s">
        <v>2143</v>
      </c>
      <c r="D498" s="2" t="s">
        <v>1839</v>
      </c>
      <c r="E498" s="2" t="s">
        <v>1841</v>
      </c>
      <c r="F498" s="2">
        <v>12.673</v>
      </c>
      <c r="G498" s="2">
        <v>5.9493600000000004</v>
      </c>
      <c r="H498" s="2">
        <v>-1.0909500000000001</v>
      </c>
      <c r="I498" s="2">
        <v>1</v>
      </c>
      <c r="K498" s="2" t="s">
        <v>1670</v>
      </c>
      <c r="L498" s="2">
        <v>1.6110800000000001</v>
      </c>
    </row>
    <row r="499" spans="1:12" x14ac:dyDescent="0.2">
      <c r="A499" s="2" t="s">
        <v>1666</v>
      </c>
      <c r="B499" s="2" t="s">
        <v>3031</v>
      </c>
      <c r="C499" s="2" t="s">
        <v>2831</v>
      </c>
      <c r="D499" s="2" t="s">
        <v>1839</v>
      </c>
      <c r="E499" s="2" t="s">
        <v>1841</v>
      </c>
      <c r="F499" s="2">
        <v>0.30907800000000002</v>
      </c>
      <c r="G499" s="2">
        <v>1.51953</v>
      </c>
      <c r="H499" s="2">
        <v>2.29759</v>
      </c>
      <c r="I499" s="2">
        <v>1</v>
      </c>
      <c r="K499" s="2" t="s">
        <v>1671</v>
      </c>
      <c r="L499" s="2">
        <v>-1.2605200000000001</v>
      </c>
    </row>
    <row r="500" spans="1:12" x14ac:dyDescent="0.2">
      <c r="A500" s="2" t="s">
        <v>1667</v>
      </c>
      <c r="B500" s="2" t="s">
        <v>3015</v>
      </c>
      <c r="C500" s="2" t="s">
        <v>2832</v>
      </c>
      <c r="D500" s="2" t="s">
        <v>1839</v>
      </c>
      <c r="E500" s="2" t="s">
        <v>1841</v>
      </c>
      <c r="F500" s="2">
        <v>1.335</v>
      </c>
      <c r="G500" s="2">
        <v>0.51204099999999997</v>
      </c>
      <c r="H500" s="2">
        <v>-1.3825099999999999</v>
      </c>
      <c r="I500" s="2">
        <v>1</v>
      </c>
      <c r="K500" s="2" t="s">
        <v>656</v>
      </c>
      <c r="L500" s="2">
        <v>1.6656500000000001</v>
      </c>
    </row>
    <row r="501" spans="1:12" x14ac:dyDescent="0.2">
      <c r="A501" s="2" t="s">
        <v>648</v>
      </c>
      <c r="B501" s="2" t="s">
        <v>3015</v>
      </c>
      <c r="C501" s="2" t="s">
        <v>2145</v>
      </c>
      <c r="D501" s="2" t="s">
        <v>1839</v>
      </c>
      <c r="E501" s="2" t="s">
        <v>1841</v>
      </c>
      <c r="F501" s="2">
        <v>4.2740600000000004</v>
      </c>
      <c r="G501" s="2">
        <v>12.2417</v>
      </c>
      <c r="H501" s="2">
        <v>1.51813</v>
      </c>
      <c r="I501" s="2">
        <v>1</v>
      </c>
      <c r="K501" s="2" t="s">
        <v>658</v>
      </c>
      <c r="L501" s="2">
        <v>-1.15486</v>
      </c>
    </row>
    <row r="502" spans="1:12" x14ac:dyDescent="0.2">
      <c r="A502" s="2" t="s">
        <v>652</v>
      </c>
      <c r="B502" s="2" t="s">
        <v>3183</v>
      </c>
      <c r="C502" s="2" t="s">
        <v>2148</v>
      </c>
      <c r="D502" s="2" t="s">
        <v>1839</v>
      </c>
      <c r="E502" s="2" t="s">
        <v>1841</v>
      </c>
      <c r="F502" s="2">
        <v>12.494300000000001</v>
      </c>
      <c r="G502" s="2">
        <v>46.430199999999999</v>
      </c>
      <c r="H502" s="2">
        <v>1.8937900000000001</v>
      </c>
      <c r="I502" s="2">
        <v>1</v>
      </c>
      <c r="K502" s="2" t="s">
        <v>1672</v>
      </c>
      <c r="L502" s="2">
        <v>1.2533799999999999</v>
      </c>
    </row>
    <row r="503" spans="1:12" x14ac:dyDescent="0.2">
      <c r="A503" s="2" t="s">
        <v>653</v>
      </c>
      <c r="B503" s="2" t="s">
        <v>3015</v>
      </c>
      <c r="C503" s="2" t="s">
        <v>3015</v>
      </c>
      <c r="D503" s="2" t="s">
        <v>1839</v>
      </c>
      <c r="E503" s="2" t="s">
        <v>1841</v>
      </c>
      <c r="F503" s="2">
        <v>22.782800000000002</v>
      </c>
      <c r="G503" s="2">
        <v>8.3915299999999995</v>
      </c>
      <c r="H503" s="2">
        <v>-1.4409400000000001</v>
      </c>
      <c r="I503" s="2">
        <v>1</v>
      </c>
      <c r="K503" s="2" t="s">
        <v>659</v>
      </c>
      <c r="L503" s="2">
        <v>1.21844</v>
      </c>
    </row>
    <row r="504" spans="1:12" x14ac:dyDescent="0.2">
      <c r="A504" s="2" t="s">
        <v>1669</v>
      </c>
      <c r="B504" s="2" t="s">
        <v>3015</v>
      </c>
      <c r="C504" s="2" t="s">
        <v>3015</v>
      </c>
      <c r="D504" s="2" t="s">
        <v>1839</v>
      </c>
      <c r="E504" s="2" t="s">
        <v>1841</v>
      </c>
      <c r="F504" s="2">
        <v>29.863900000000001</v>
      </c>
      <c r="G504" s="2">
        <v>13.965299999999999</v>
      </c>
      <c r="H504" s="2">
        <v>-1.09656</v>
      </c>
      <c r="I504" s="2">
        <v>1</v>
      </c>
      <c r="K504" s="2" t="s">
        <v>660</v>
      </c>
      <c r="L504" s="2">
        <v>1.56793</v>
      </c>
    </row>
    <row r="505" spans="1:12" x14ac:dyDescent="0.2">
      <c r="A505" s="2" t="s">
        <v>1670</v>
      </c>
      <c r="B505" s="2" t="s">
        <v>3015</v>
      </c>
      <c r="C505" s="2" t="s">
        <v>3015</v>
      </c>
      <c r="D505" s="2" t="s">
        <v>1839</v>
      </c>
      <c r="E505" s="2" t="s">
        <v>1841</v>
      </c>
      <c r="F505" s="2">
        <v>4.8124200000000004</v>
      </c>
      <c r="G505" s="2">
        <v>14.701000000000001</v>
      </c>
      <c r="H505" s="2">
        <v>1.6110800000000001</v>
      </c>
      <c r="I505" s="2">
        <v>1</v>
      </c>
      <c r="K505" s="2" t="s">
        <v>661</v>
      </c>
      <c r="L505" s="2">
        <v>2.35609</v>
      </c>
    </row>
    <row r="506" spans="1:12" x14ac:dyDescent="0.2">
      <c r="A506" s="2" t="s">
        <v>1671</v>
      </c>
      <c r="B506" s="2" t="s">
        <v>3432</v>
      </c>
      <c r="C506" s="2" t="s">
        <v>2833</v>
      </c>
      <c r="D506" s="2" t="s">
        <v>1839</v>
      </c>
      <c r="E506" s="2" t="s">
        <v>1841</v>
      </c>
      <c r="F506" s="2">
        <v>2.4337300000000002</v>
      </c>
      <c r="G506" s="2">
        <v>1.0158199999999999</v>
      </c>
      <c r="H506" s="2">
        <v>-1.2605200000000001</v>
      </c>
      <c r="I506" s="2">
        <v>1</v>
      </c>
      <c r="K506" s="2" t="s">
        <v>663</v>
      </c>
      <c r="L506" s="2">
        <v>1.4481200000000001</v>
      </c>
    </row>
    <row r="507" spans="1:12" x14ac:dyDescent="0.2">
      <c r="A507" s="2" t="s">
        <v>656</v>
      </c>
      <c r="B507" s="2" t="s">
        <v>3015</v>
      </c>
      <c r="C507" s="2" t="s">
        <v>3015</v>
      </c>
      <c r="D507" s="2" t="s">
        <v>1839</v>
      </c>
      <c r="E507" s="2" t="s">
        <v>1841</v>
      </c>
      <c r="F507" s="2">
        <v>1.2096899999999999</v>
      </c>
      <c r="G507" s="2">
        <v>3.8378100000000002</v>
      </c>
      <c r="H507" s="2">
        <v>1.6656500000000001</v>
      </c>
      <c r="I507" s="2">
        <v>1</v>
      </c>
      <c r="K507" s="2" t="s">
        <v>664</v>
      </c>
      <c r="L507" s="2">
        <v>1.95947</v>
      </c>
    </row>
    <row r="508" spans="1:12" x14ac:dyDescent="0.2">
      <c r="A508" s="2" t="s">
        <v>658</v>
      </c>
      <c r="B508" s="2" t="s">
        <v>3015</v>
      </c>
      <c r="C508" s="2" t="s">
        <v>2151</v>
      </c>
      <c r="D508" s="2" t="s">
        <v>1839</v>
      </c>
      <c r="E508" s="2" t="s">
        <v>1841</v>
      </c>
      <c r="F508" s="2">
        <v>21.075299999999999</v>
      </c>
      <c r="G508" s="2">
        <v>9.4651399999999999</v>
      </c>
      <c r="H508" s="2">
        <v>-1.15486</v>
      </c>
      <c r="I508" s="2">
        <v>1</v>
      </c>
      <c r="K508" s="2" t="s">
        <v>666</v>
      </c>
      <c r="L508" s="2">
        <v>1.24498</v>
      </c>
    </row>
    <row r="509" spans="1:12" x14ac:dyDescent="0.2">
      <c r="A509" s="2" t="s">
        <v>1672</v>
      </c>
      <c r="B509" s="2" t="s">
        <v>3015</v>
      </c>
      <c r="C509" s="2" t="s">
        <v>1847</v>
      </c>
      <c r="D509" s="2" t="s">
        <v>1839</v>
      </c>
      <c r="E509" s="2" t="s">
        <v>1841</v>
      </c>
      <c r="F509" s="2">
        <v>2.3948900000000002</v>
      </c>
      <c r="G509" s="2">
        <v>5.70939</v>
      </c>
      <c r="H509" s="2">
        <v>1.2533799999999999</v>
      </c>
      <c r="I509" s="2">
        <v>1</v>
      </c>
      <c r="K509" s="2" t="s">
        <v>667</v>
      </c>
      <c r="L509" s="2">
        <v>-1.05853</v>
      </c>
    </row>
    <row r="510" spans="1:12" x14ac:dyDescent="0.2">
      <c r="A510" s="2" t="s">
        <v>659</v>
      </c>
      <c r="B510" s="2" t="s">
        <v>3301</v>
      </c>
      <c r="C510" s="2" t="s">
        <v>2269</v>
      </c>
      <c r="D510" s="2" t="s">
        <v>1839</v>
      </c>
      <c r="E510" s="2" t="s">
        <v>1841</v>
      </c>
      <c r="F510" s="2">
        <v>0.57785600000000004</v>
      </c>
      <c r="G510" s="2">
        <v>1.3446400000000001</v>
      </c>
      <c r="H510" s="2">
        <v>1.21844</v>
      </c>
      <c r="I510" s="2">
        <v>1</v>
      </c>
      <c r="K510" s="2" t="s">
        <v>668</v>
      </c>
      <c r="L510" s="2">
        <v>1.02833</v>
      </c>
    </row>
    <row r="511" spans="1:12" x14ac:dyDescent="0.2">
      <c r="A511" s="2" t="s">
        <v>660</v>
      </c>
      <c r="B511" s="2" t="s">
        <v>3015</v>
      </c>
      <c r="C511" s="2" t="s">
        <v>2152</v>
      </c>
      <c r="D511" s="2" t="s">
        <v>1839</v>
      </c>
      <c r="E511" s="2" t="s">
        <v>1841</v>
      </c>
      <c r="F511" s="2">
        <v>0.74981500000000001</v>
      </c>
      <c r="G511" s="2">
        <v>2.2230400000000001</v>
      </c>
      <c r="H511" s="2">
        <v>1.56793</v>
      </c>
      <c r="I511" s="2">
        <v>1</v>
      </c>
      <c r="K511" s="2" t="s">
        <v>669</v>
      </c>
      <c r="L511" s="2">
        <v>2.27996</v>
      </c>
    </row>
    <row r="512" spans="1:12" x14ac:dyDescent="0.2">
      <c r="A512" s="2" t="s">
        <v>661</v>
      </c>
      <c r="B512" s="2" t="s">
        <v>3015</v>
      </c>
      <c r="C512" s="2" t="s">
        <v>2834</v>
      </c>
      <c r="D512" s="2" t="s">
        <v>1839</v>
      </c>
      <c r="E512" s="2" t="s">
        <v>1841</v>
      </c>
      <c r="F512" s="2">
        <v>14.642799999999999</v>
      </c>
      <c r="G512" s="2">
        <v>74.968400000000003</v>
      </c>
      <c r="H512" s="2">
        <v>2.35609</v>
      </c>
      <c r="I512" s="2">
        <v>1</v>
      </c>
      <c r="K512" s="2" t="s">
        <v>1673</v>
      </c>
      <c r="L512" s="2">
        <v>-1.45862</v>
      </c>
    </row>
    <row r="513" spans="1:12" x14ac:dyDescent="0.2">
      <c r="A513" s="2" t="s">
        <v>663</v>
      </c>
      <c r="B513" s="2" t="s">
        <v>3186</v>
      </c>
      <c r="C513" s="2" t="s">
        <v>2153</v>
      </c>
      <c r="D513" s="2" t="s">
        <v>1839</v>
      </c>
      <c r="E513" s="2" t="s">
        <v>1841</v>
      </c>
      <c r="F513" s="2">
        <v>1.1287400000000001</v>
      </c>
      <c r="G513" s="2">
        <v>3.07979</v>
      </c>
      <c r="H513" s="2">
        <v>1.4481200000000001</v>
      </c>
      <c r="I513" s="2">
        <v>1</v>
      </c>
      <c r="K513" s="2" t="s">
        <v>670</v>
      </c>
      <c r="L513" s="2">
        <v>-1.5371300000000001</v>
      </c>
    </row>
    <row r="514" spans="1:12" x14ac:dyDescent="0.2">
      <c r="A514" s="2" t="s">
        <v>664</v>
      </c>
      <c r="B514" s="2" t="s">
        <v>3243</v>
      </c>
      <c r="C514" s="2" t="s">
        <v>2835</v>
      </c>
      <c r="D514" s="2" t="s">
        <v>1839</v>
      </c>
      <c r="E514" s="2" t="s">
        <v>1841</v>
      </c>
      <c r="F514" s="2">
        <v>6.0672199999999998</v>
      </c>
      <c r="G514" s="2">
        <v>23.596599999999999</v>
      </c>
      <c r="H514" s="2">
        <v>1.95947</v>
      </c>
      <c r="I514" s="2">
        <v>1</v>
      </c>
      <c r="K514" s="2" t="s">
        <v>672</v>
      </c>
      <c r="L514" s="2">
        <v>1.00488</v>
      </c>
    </row>
    <row r="515" spans="1:12" x14ac:dyDescent="0.2">
      <c r="A515" s="2" t="s">
        <v>666</v>
      </c>
      <c r="B515" s="2" t="s">
        <v>3344</v>
      </c>
      <c r="C515" s="2" t="s">
        <v>2536</v>
      </c>
      <c r="D515" s="2" t="s">
        <v>1839</v>
      </c>
      <c r="E515" s="2" t="s">
        <v>1841</v>
      </c>
      <c r="F515" s="2">
        <v>0.34978199999999998</v>
      </c>
      <c r="G515" s="2">
        <v>0.82903800000000005</v>
      </c>
      <c r="H515" s="2">
        <v>1.24498</v>
      </c>
      <c r="I515" s="2">
        <v>1</v>
      </c>
      <c r="K515" s="2" t="s">
        <v>673</v>
      </c>
      <c r="L515" s="2">
        <v>1.6767399999999999</v>
      </c>
    </row>
    <row r="516" spans="1:12" x14ac:dyDescent="0.2">
      <c r="A516" s="2" t="s">
        <v>667</v>
      </c>
      <c r="B516" s="2" t="s">
        <v>3015</v>
      </c>
      <c r="C516" s="2" t="s">
        <v>3015</v>
      </c>
      <c r="D516" s="2" t="s">
        <v>1839</v>
      </c>
      <c r="E516" s="2" t="s">
        <v>1841</v>
      </c>
      <c r="F516" s="2">
        <v>20.572700000000001</v>
      </c>
      <c r="G516" s="2">
        <v>9.8773999999999997</v>
      </c>
      <c r="H516" s="2">
        <v>-1.05853</v>
      </c>
      <c r="I516" s="2">
        <v>1</v>
      </c>
      <c r="K516" s="2" t="s">
        <v>675</v>
      </c>
      <c r="L516" s="2">
        <v>-1.3687199999999999</v>
      </c>
    </row>
    <row r="517" spans="1:12" x14ac:dyDescent="0.2">
      <c r="A517" s="2" t="s">
        <v>668</v>
      </c>
      <c r="B517" s="2" t="s">
        <v>3015</v>
      </c>
      <c r="C517" s="2" t="s">
        <v>3015</v>
      </c>
      <c r="D517" s="2" t="s">
        <v>1839</v>
      </c>
      <c r="E517" s="2" t="s">
        <v>1841</v>
      </c>
      <c r="F517" s="2">
        <v>1.1084499999999999</v>
      </c>
      <c r="G517" s="2">
        <v>2.2608700000000002</v>
      </c>
      <c r="H517" s="2">
        <v>1.02833</v>
      </c>
      <c r="I517" s="2">
        <v>1</v>
      </c>
      <c r="K517" s="2" t="s">
        <v>1342</v>
      </c>
      <c r="L517" s="2">
        <v>1.11778</v>
      </c>
    </row>
    <row r="518" spans="1:12" x14ac:dyDescent="0.2">
      <c r="A518" s="2" t="s">
        <v>669</v>
      </c>
      <c r="B518" s="2" t="s">
        <v>3015</v>
      </c>
      <c r="C518" s="2" t="s">
        <v>2154</v>
      </c>
      <c r="D518" s="2" t="s">
        <v>1839</v>
      </c>
      <c r="E518" s="2" t="s">
        <v>1841</v>
      </c>
      <c r="F518" s="2">
        <v>138.417</v>
      </c>
      <c r="G518" s="2">
        <v>672.24199999999996</v>
      </c>
      <c r="H518" s="2">
        <v>2.27996</v>
      </c>
      <c r="I518" s="2">
        <v>1</v>
      </c>
      <c r="K518" s="2" t="s">
        <v>678</v>
      </c>
      <c r="L518" s="2">
        <v>-1.5816600000000001</v>
      </c>
    </row>
    <row r="519" spans="1:12" x14ac:dyDescent="0.2">
      <c r="A519" s="2" t="s">
        <v>1673</v>
      </c>
      <c r="B519" s="2" t="s">
        <v>3201</v>
      </c>
      <c r="C519" s="2" t="s">
        <v>2216</v>
      </c>
      <c r="D519" s="2" t="s">
        <v>1839</v>
      </c>
      <c r="E519" s="2" t="s">
        <v>1841</v>
      </c>
      <c r="F519" s="2">
        <v>2.08229</v>
      </c>
      <c r="G519" s="2">
        <v>0.75761999999999996</v>
      </c>
      <c r="H519" s="2">
        <v>-1.45862</v>
      </c>
      <c r="I519" s="2">
        <v>1</v>
      </c>
      <c r="K519" s="2" t="s">
        <v>679</v>
      </c>
      <c r="L519" s="2">
        <v>-1.30088</v>
      </c>
    </row>
    <row r="520" spans="1:12" x14ac:dyDescent="0.2">
      <c r="A520" s="2" t="s">
        <v>670</v>
      </c>
      <c r="B520" s="2" t="s">
        <v>3447</v>
      </c>
      <c r="C520" s="2" t="s">
        <v>2836</v>
      </c>
      <c r="D520" s="2" t="s">
        <v>1839</v>
      </c>
      <c r="E520" s="2" t="s">
        <v>1841</v>
      </c>
      <c r="F520" s="2">
        <v>18.606000000000002</v>
      </c>
      <c r="G520" s="2">
        <v>6.4110699999999996</v>
      </c>
      <c r="H520" s="2">
        <v>-1.5371300000000001</v>
      </c>
      <c r="I520" s="2">
        <v>1</v>
      </c>
      <c r="K520" s="2" t="s">
        <v>1674</v>
      </c>
      <c r="L520" s="2">
        <v>-1.0711200000000001</v>
      </c>
    </row>
    <row r="521" spans="1:12" x14ac:dyDescent="0.2">
      <c r="A521" s="2" t="s">
        <v>672</v>
      </c>
      <c r="B521" s="2" t="s">
        <v>3015</v>
      </c>
      <c r="C521" s="2" t="s">
        <v>2837</v>
      </c>
      <c r="D521" s="2" t="s">
        <v>1839</v>
      </c>
      <c r="E521" s="2" t="s">
        <v>1841</v>
      </c>
      <c r="F521" s="2">
        <v>1.33152</v>
      </c>
      <c r="G521" s="2">
        <v>2.6720700000000002</v>
      </c>
      <c r="H521" s="2">
        <v>1.00488</v>
      </c>
      <c r="I521" s="2">
        <v>1</v>
      </c>
      <c r="K521" s="2" t="s">
        <v>1345</v>
      </c>
      <c r="L521" s="2">
        <v>2.01579</v>
      </c>
    </row>
    <row r="522" spans="1:12" x14ac:dyDescent="0.2">
      <c r="A522" s="2" t="s">
        <v>673</v>
      </c>
      <c r="B522" s="2" t="s">
        <v>3188</v>
      </c>
      <c r="C522" s="2" t="s">
        <v>2156</v>
      </c>
      <c r="D522" s="2" t="s">
        <v>1839</v>
      </c>
      <c r="E522" s="2" t="s">
        <v>1841</v>
      </c>
      <c r="F522" s="2">
        <v>1.6027400000000001</v>
      </c>
      <c r="G522" s="2">
        <v>5.1239999999999997</v>
      </c>
      <c r="H522" s="2">
        <v>1.6767399999999999</v>
      </c>
      <c r="I522" s="2">
        <v>1</v>
      </c>
      <c r="K522" s="2" t="s">
        <v>685</v>
      </c>
      <c r="L522" s="2">
        <v>1.6408700000000001</v>
      </c>
    </row>
    <row r="523" spans="1:12" x14ac:dyDescent="0.2">
      <c r="A523" s="2" t="s">
        <v>675</v>
      </c>
      <c r="B523" s="2" t="s">
        <v>3189</v>
      </c>
      <c r="C523" s="2" t="s">
        <v>2157</v>
      </c>
      <c r="D523" s="2" t="s">
        <v>1839</v>
      </c>
      <c r="E523" s="2" t="s">
        <v>1841</v>
      </c>
      <c r="F523" s="2">
        <v>21.8018</v>
      </c>
      <c r="G523" s="2">
        <v>8.4424200000000003</v>
      </c>
      <c r="H523" s="2">
        <v>-1.3687199999999999</v>
      </c>
      <c r="I523" s="2">
        <v>1</v>
      </c>
      <c r="K523" s="2" t="s">
        <v>1675</v>
      </c>
      <c r="L523" s="2">
        <v>1.23726</v>
      </c>
    </row>
    <row r="524" spans="1:12" x14ac:dyDescent="0.2">
      <c r="A524" s="2" t="s">
        <v>1342</v>
      </c>
      <c r="B524" s="2" t="s">
        <v>3024</v>
      </c>
      <c r="C524" s="2" t="s">
        <v>2838</v>
      </c>
      <c r="D524" s="2" t="s">
        <v>1839</v>
      </c>
      <c r="E524" s="2" t="s">
        <v>1841</v>
      </c>
      <c r="F524" s="2">
        <v>5.1620499999999998</v>
      </c>
      <c r="G524" s="2">
        <v>11.202299999999999</v>
      </c>
      <c r="H524" s="2">
        <v>1.11778</v>
      </c>
      <c r="I524" s="2">
        <v>1</v>
      </c>
      <c r="K524" s="2" t="s">
        <v>1347</v>
      </c>
      <c r="L524" s="2">
        <v>1.2935000000000001</v>
      </c>
    </row>
    <row r="525" spans="1:12" x14ac:dyDescent="0.2">
      <c r="A525" s="2" t="s">
        <v>678</v>
      </c>
      <c r="B525" s="2" t="s">
        <v>3015</v>
      </c>
      <c r="C525" s="2" t="s">
        <v>3015</v>
      </c>
      <c r="D525" s="2" t="s">
        <v>1839</v>
      </c>
      <c r="E525" s="2" t="s">
        <v>1841</v>
      </c>
      <c r="F525" s="2">
        <v>12.1343</v>
      </c>
      <c r="G525" s="2">
        <v>4.0540399999999996</v>
      </c>
      <c r="H525" s="2">
        <v>-1.5816600000000001</v>
      </c>
      <c r="I525" s="2">
        <v>1</v>
      </c>
      <c r="K525" s="2" t="s">
        <v>1348</v>
      </c>
      <c r="L525" s="2">
        <v>1.2861100000000001</v>
      </c>
    </row>
    <row r="526" spans="1:12" x14ac:dyDescent="0.2">
      <c r="A526" s="2" t="s">
        <v>679</v>
      </c>
      <c r="B526" s="2" t="s">
        <v>3448</v>
      </c>
      <c r="C526" s="2" t="s">
        <v>2839</v>
      </c>
      <c r="D526" s="2" t="s">
        <v>1839</v>
      </c>
      <c r="E526" s="2" t="s">
        <v>1841</v>
      </c>
      <c r="F526" s="2">
        <v>137.56100000000001</v>
      </c>
      <c r="G526" s="2">
        <v>55.832799999999999</v>
      </c>
      <c r="H526" s="2">
        <v>-1.30088</v>
      </c>
      <c r="I526" s="2">
        <v>1</v>
      </c>
      <c r="K526" s="2" t="s">
        <v>1676</v>
      </c>
      <c r="L526" s="2">
        <v>1.75919</v>
      </c>
    </row>
    <row r="527" spans="1:12" x14ac:dyDescent="0.2">
      <c r="A527" s="2" t="s">
        <v>1674</v>
      </c>
      <c r="B527" s="2" t="s">
        <v>3015</v>
      </c>
      <c r="C527" s="2" t="s">
        <v>1862</v>
      </c>
      <c r="D527" s="2" t="s">
        <v>1839</v>
      </c>
      <c r="E527" s="2" t="s">
        <v>1841</v>
      </c>
      <c r="F527" s="2">
        <v>0.91466199999999998</v>
      </c>
      <c r="G527" s="2">
        <v>0.43533300000000003</v>
      </c>
      <c r="H527" s="2">
        <v>-1.0711200000000001</v>
      </c>
      <c r="I527" s="2">
        <v>1</v>
      </c>
      <c r="K527" s="2" t="s">
        <v>1677</v>
      </c>
      <c r="L527" s="2">
        <v>1.3413999999999999</v>
      </c>
    </row>
    <row r="528" spans="1:12" x14ac:dyDescent="0.2">
      <c r="A528" s="2" t="s">
        <v>1345</v>
      </c>
      <c r="B528" s="2" t="s">
        <v>3015</v>
      </c>
      <c r="C528" s="2" t="s">
        <v>2539</v>
      </c>
      <c r="D528" s="2" t="s">
        <v>1839</v>
      </c>
      <c r="E528" s="2" t="s">
        <v>1841</v>
      </c>
      <c r="F528" s="2">
        <v>0.43188900000000002</v>
      </c>
      <c r="G528" s="2">
        <v>1.74657</v>
      </c>
      <c r="H528" s="2">
        <v>2.01579</v>
      </c>
      <c r="I528" s="2">
        <v>1</v>
      </c>
      <c r="K528" s="2" t="s">
        <v>1678</v>
      </c>
      <c r="L528" s="2">
        <v>1.13811</v>
      </c>
    </row>
    <row r="529" spans="1:12" x14ac:dyDescent="0.2">
      <c r="A529" s="2" t="s">
        <v>685</v>
      </c>
      <c r="B529" s="2" t="s">
        <v>3015</v>
      </c>
      <c r="C529" s="2" t="s">
        <v>2161</v>
      </c>
      <c r="D529" s="2" t="s">
        <v>1839</v>
      </c>
      <c r="E529" s="2" t="s">
        <v>1841</v>
      </c>
      <c r="F529" s="2">
        <v>9.2467400000000008</v>
      </c>
      <c r="G529" s="2">
        <v>28.836400000000001</v>
      </c>
      <c r="H529" s="2">
        <v>1.6408700000000001</v>
      </c>
      <c r="I529" s="2">
        <v>1</v>
      </c>
      <c r="K529" s="2" t="s">
        <v>1679</v>
      </c>
      <c r="L529" s="2">
        <v>1.3316300000000001</v>
      </c>
    </row>
    <row r="530" spans="1:12" x14ac:dyDescent="0.2">
      <c r="A530" s="2" t="s">
        <v>1675</v>
      </c>
      <c r="B530" s="2" t="s">
        <v>3449</v>
      </c>
      <c r="C530" s="2" t="s">
        <v>2840</v>
      </c>
      <c r="D530" s="2" t="s">
        <v>1839</v>
      </c>
      <c r="E530" s="2" t="s">
        <v>1841</v>
      </c>
      <c r="F530" s="2">
        <v>0.39154499999999998</v>
      </c>
      <c r="G530" s="2">
        <v>0.92306699999999997</v>
      </c>
      <c r="H530" s="2">
        <v>1.23726</v>
      </c>
      <c r="I530" s="2">
        <v>1</v>
      </c>
      <c r="K530" s="2" t="s">
        <v>691</v>
      </c>
      <c r="L530" s="2">
        <v>1.65686</v>
      </c>
    </row>
    <row r="531" spans="1:12" x14ac:dyDescent="0.2">
      <c r="A531" s="2" t="s">
        <v>1347</v>
      </c>
      <c r="B531" s="2" t="s">
        <v>3450</v>
      </c>
      <c r="C531" s="2" t="s">
        <v>2841</v>
      </c>
      <c r="D531" s="2" t="s">
        <v>1839</v>
      </c>
      <c r="E531" s="2" t="s">
        <v>1841</v>
      </c>
      <c r="F531" s="2">
        <v>10.7033</v>
      </c>
      <c r="G531" s="2">
        <v>26.236000000000001</v>
      </c>
      <c r="H531" s="2">
        <v>1.2935000000000001</v>
      </c>
      <c r="I531" s="2">
        <v>1</v>
      </c>
      <c r="K531" s="2" t="s">
        <v>1350</v>
      </c>
      <c r="L531" s="2">
        <v>1.31812</v>
      </c>
    </row>
    <row r="532" spans="1:12" x14ac:dyDescent="0.2">
      <c r="A532" s="2" t="s">
        <v>1348</v>
      </c>
      <c r="B532" s="2" t="s">
        <v>3451</v>
      </c>
      <c r="C532" s="2" t="s">
        <v>2842</v>
      </c>
      <c r="D532" s="2" t="s">
        <v>1839</v>
      </c>
      <c r="E532" s="2" t="s">
        <v>1841</v>
      </c>
      <c r="F532" s="2">
        <v>0.52523900000000001</v>
      </c>
      <c r="G532" s="2">
        <v>1.2808999999999999</v>
      </c>
      <c r="H532" s="2">
        <v>1.2861100000000001</v>
      </c>
      <c r="I532" s="2">
        <v>1</v>
      </c>
      <c r="K532" s="2" t="s">
        <v>1680</v>
      </c>
      <c r="L532" s="2">
        <v>1.26349</v>
      </c>
    </row>
    <row r="533" spans="1:12" x14ac:dyDescent="0.2">
      <c r="A533" s="2" t="s">
        <v>1676</v>
      </c>
      <c r="B533" s="2" t="s">
        <v>3015</v>
      </c>
      <c r="C533" s="2" t="s">
        <v>2843</v>
      </c>
      <c r="D533" s="2" t="s">
        <v>1839</v>
      </c>
      <c r="E533" s="2" t="s">
        <v>1841</v>
      </c>
      <c r="F533" s="2">
        <v>0.81266099999999997</v>
      </c>
      <c r="G533" s="2">
        <v>2.7509299999999999</v>
      </c>
      <c r="H533" s="2">
        <v>1.75919</v>
      </c>
      <c r="I533" s="2">
        <v>1</v>
      </c>
      <c r="K533" s="2" t="s">
        <v>692</v>
      </c>
      <c r="L533" s="2">
        <v>-1.26664</v>
      </c>
    </row>
    <row r="534" spans="1:12" x14ac:dyDescent="0.2">
      <c r="A534" s="2" t="s">
        <v>1677</v>
      </c>
      <c r="B534" s="2" t="s">
        <v>3015</v>
      </c>
      <c r="C534" s="2" t="s">
        <v>2844</v>
      </c>
      <c r="D534" s="2" t="s">
        <v>1839</v>
      </c>
      <c r="E534" s="2" t="s">
        <v>1841</v>
      </c>
      <c r="F534" s="2">
        <v>0.435002</v>
      </c>
      <c r="G534" s="2">
        <v>1.10229</v>
      </c>
      <c r="H534" s="2">
        <v>1.3413999999999999</v>
      </c>
      <c r="I534" s="2">
        <v>1</v>
      </c>
      <c r="K534" s="2" t="s">
        <v>693</v>
      </c>
      <c r="L534" s="2">
        <v>1.0527500000000001</v>
      </c>
    </row>
    <row r="535" spans="1:12" x14ac:dyDescent="0.2">
      <c r="A535" s="2" t="s">
        <v>1678</v>
      </c>
      <c r="B535" s="2" t="s">
        <v>3015</v>
      </c>
      <c r="C535" s="2" t="s">
        <v>2092</v>
      </c>
      <c r="D535" s="2" t="s">
        <v>1839</v>
      </c>
      <c r="E535" s="2" t="s">
        <v>1841</v>
      </c>
      <c r="F535" s="2">
        <v>0.91045100000000001</v>
      </c>
      <c r="G535" s="2">
        <v>2.0038399999999998</v>
      </c>
      <c r="H535" s="2">
        <v>1.13811</v>
      </c>
      <c r="I535" s="2">
        <v>1</v>
      </c>
      <c r="K535" s="2" t="s">
        <v>1681</v>
      </c>
      <c r="L535" s="2">
        <v>1.8897200000000001</v>
      </c>
    </row>
    <row r="536" spans="1:12" x14ac:dyDescent="0.2">
      <c r="A536" s="2" t="s">
        <v>1679</v>
      </c>
      <c r="B536" s="2" t="s">
        <v>3452</v>
      </c>
      <c r="C536" s="2" t="s">
        <v>1981</v>
      </c>
      <c r="D536" s="2" t="s">
        <v>1839</v>
      </c>
      <c r="E536" s="2" t="s">
        <v>1841</v>
      </c>
      <c r="F536" s="2">
        <v>0.33635900000000002</v>
      </c>
      <c r="G536" s="2">
        <v>0.84657099999999996</v>
      </c>
      <c r="H536" s="2">
        <v>1.3316300000000001</v>
      </c>
      <c r="I536" s="2">
        <v>1</v>
      </c>
      <c r="K536" s="2" t="s">
        <v>694</v>
      </c>
      <c r="L536" s="2">
        <v>1.2343200000000001</v>
      </c>
    </row>
    <row r="537" spans="1:12" x14ac:dyDescent="0.2">
      <c r="A537" s="2" t="s">
        <v>691</v>
      </c>
      <c r="B537" s="2" t="s">
        <v>3015</v>
      </c>
      <c r="C537" s="2" t="s">
        <v>2164</v>
      </c>
      <c r="D537" s="2" t="s">
        <v>1839</v>
      </c>
      <c r="E537" s="2" t="s">
        <v>1841</v>
      </c>
      <c r="F537" s="2">
        <v>0.30870500000000001</v>
      </c>
      <c r="G537" s="2">
        <v>0.97344200000000003</v>
      </c>
      <c r="H537" s="2">
        <v>1.65686</v>
      </c>
      <c r="I537" s="2">
        <v>1</v>
      </c>
      <c r="K537" s="2" t="s">
        <v>696</v>
      </c>
      <c r="L537" s="2">
        <v>-2.6308199999999999</v>
      </c>
    </row>
    <row r="538" spans="1:12" x14ac:dyDescent="0.2">
      <c r="A538" s="2" t="s">
        <v>1350</v>
      </c>
      <c r="B538" s="2" t="s">
        <v>3030</v>
      </c>
      <c r="C538" s="2" t="s">
        <v>2540</v>
      </c>
      <c r="D538" s="2" t="s">
        <v>1839</v>
      </c>
      <c r="E538" s="2" t="s">
        <v>1841</v>
      </c>
      <c r="F538" s="2">
        <v>5.3435300000000003</v>
      </c>
      <c r="G538" s="2">
        <v>13.323600000000001</v>
      </c>
      <c r="H538" s="2">
        <v>1.31812</v>
      </c>
      <c r="I538" s="2">
        <v>1</v>
      </c>
      <c r="K538" s="2" t="s">
        <v>1682</v>
      </c>
      <c r="L538" s="2">
        <v>-2.9171</v>
      </c>
    </row>
    <row r="539" spans="1:12" x14ac:dyDescent="0.2">
      <c r="A539" s="2" t="s">
        <v>1680</v>
      </c>
      <c r="B539" s="2" t="s">
        <v>3053</v>
      </c>
      <c r="C539" s="2" t="s">
        <v>2845</v>
      </c>
      <c r="D539" s="2" t="s">
        <v>1839</v>
      </c>
      <c r="E539" s="2" t="s">
        <v>1841</v>
      </c>
      <c r="F539" s="2">
        <v>0.34714400000000001</v>
      </c>
      <c r="G539" s="2">
        <v>0.83340700000000001</v>
      </c>
      <c r="H539" s="2">
        <v>1.26349</v>
      </c>
      <c r="I539" s="2">
        <v>1</v>
      </c>
      <c r="K539" s="2" t="s">
        <v>1683</v>
      </c>
      <c r="L539" s="2">
        <v>1.1916800000000001</v>
      </c>
    </row>
    <row r="540" spans="1:12" x14ac:dyDescent="0.2">
      <c r="A540" s="2" t="s">
        <v>692</v>
      </c>
      <c r="B540" s="2" t="s">
        <v>3209</v>
      </c>
      <c r="C540" s="2" t="s">
        <v>3015</v>
      </c>
      <c r="D540" s="2" t="s">
        <v>1839</v>
      </c>
      <c r="E540" s="2" t="s">
        <v>1841</v>
      </c>
      <c r="F540" s="2">
        <v>23.0016</v>
      </c>
      <c r="G540" s="2">
        <v>9.5601000000000003</v>
      </c>
      <c r="H540" s="2">
        <v>-1.26664</v>
      </c>
      <c r="I540" s="2">
        <v>1</v>
      </c>
      <c r="K540" s="2" t="s">
        <v>697</v>
      </c>
      <c r="L540" s="2">
        <v>1.4902</v>
      </c>
    </row>
    <row r="541" spans="1:12" x14ac:dyDescent="0.2">
      <c r="A541" s="2" t="s">
        <v>693</v>
      </c>
      <c r="B541" s="2" t="s">
        <v>3015</v>
      </c>
      <c r="C541" s="2" t="s">
        <v>2846</v>
      </c>
      <c r="D541" s="2" t="s">
        <v>1839</v>
      </c>
      <c r="E541" s="2" t="s">
        <v>1841</v>
      </c>
      <c r="F541" s="2">
        <v>2.2431100000000002</v>
      </c>
      <c r="G541" s="2">
        <v>4.6532999999999998</v>
      </c>
      <c r="H541" s="2">
        <v>1.0527500000000001</v>
      </c>
      <c r="I541" s="2">
        <v>1</v>
      </c>
      <c r="K541" s="2" t="s">
        <v>1684</v>
      </c>
      <c r="L541" s="2">
        <v>1.52715</v>
      </c>
    </row>
    <row r="542" spans="1:12" x14ac:dyDescent="0.2">
      <c r="A542" s="2" t="s">
        <v>1681</v>
      </c>
      <c r="B542" s="2" t="s">
        <v>3453</v>
      </c>
      <c r="C542" s="2" t="s">
        <v>2847</v>
      </c>
      <c r="D542" s="2" t="s">
        <v>1839</v>
      </c>
      <c r="E542" s="2" t="s">
        <v>1841</v>
      </c>
      <c r="F542" s="2">
        <v>0.37701000000000001</v>
      </c>
      <c r="G542" s="2">
        <v>1.39706</v>
      </c>
      <c r="H542" s="2">
        <v>1.8897200000000001</v>
      </c>
      <c r="I542" s="2">
        <v>1</v>
      </c>
      <c r="K542" s="2" t="s">
        <v>698</v>
      </c>
      <c r="L542" s="2">
        <v>-1.5574699999999999</v>
      </c>
    </row>
    <row r="543" spans="1:12" x14ac:dyDescent="0.2">
      <c r="A543" s="2" t="s">
        <v>694</v>
      </c>
      <c r="B543" s="2" t="s">
        <v>3062</v>
      </c>
      <c r="C543" s="2" t="s">
        <v>2188</v>
      </c>
      <c r="D543" s="2" t="s">
        <v>1839</v>
      </c>
      <c r="E543" s="2" t="s">
        <v>1841</v>
      </c>
      <c r="F543" s="2">
        <v>3.1656900000000001</v>
      </c>
      <c r="G543" s="2">
        <v>7.4479600000000001</v>
      </c>
      <c r="H543" s="2">
        <v>1.2343200000000001</v>
      </c>
      <c r="I543" s="2">
        <v>1</v>
      </c>
      <c r="K543" s="2" t="s">
        <v>1351</v>
      </c>
      <c r="L543" s="2">
        <v>2.5817399999999999</v>
      </c>
    </row>
    <row r="544" spans="1:12" x14ac:dyDescent="0.2">
      <c r="A544" s="2" t="s">
        <v>696</v>
      </c>
      <c r="B544" s="2" t="s">
        <v>3193</v>
      </c>
      <c r="C544" s="2" t="s">
        <v>2166</v>
      </c>
      <c r="D544" s="2" t="s">
        <v>1839</v>
      </c>
      <c r="E544" s="2" t="s">
        <v>1841</v>
      </c>
      <c r="F544" s="2">
        <v>14.323700000000001</v>
      </c>
      <c r="G544" s="2">
        <v>2.3126000000000002</v>
      </c>
      <c r="H544" s="2">
        <v>-2.6308199999999999</v>
      </c>
      <c r="I544" s="2">
        <v>1</v>
      </c>
      <c r="K544" s="2" t="s">
        <v>702</v>
      </c>
      <c r="L544" s="2">
        <v>1.6005499999999999</v>
      </c>
    </row>
    <row r="545" spans="1:12" x14ac:dyDescent="0.2">
      <c r="A545" s="2" t="s">
        <v>1682</v>
      </c>
      <c r="B545" s="2" t="s">
        <v>3015</v>
      </c>
      <c r="C545" s="2" t="s">
        <v>2848</v>
      </c>
      <c r="D545" s="2" t="s">
        <v>1839</v>
      </c>
      <c r="E545" s="2" t="s">
        <v>1841</v>
      </c>
      <c r="F545" s="2">
        <v>1.9821200000000001</v>
      </c>
      <c r="G545" s="2">
        <v>0.26241999999999999</v>
      </c>
      <c r="H545" s="2">
        <v>-2.9171</v>
      </c>
      <c r="I545" s="2">
        <v>1</v>
      </c>
      <c r="K545" s="2" t="s">
        <v>704</v>
      </c>
      <c r="L545" s="2">
        <v>-1.2567299999999999</v>
      </c>
    </row>
    <row r="546" spans="1:12" x14ac:dyDescent="0.2">
      <c r="A546" s="2" t="s">
        <v>1683</v>
      </c>
      <c r="B546" s="2" t="s">
        <v>3454</v>
      </c>
      <c r="C546" s="2" t="s">
        <v>2849</v>
      </c>
      <c r="D546" s="2" t="s">
        <v>1839</v>
      </c>
      <c r="E546" s="2" t="s">
        <v>1841</v>
      </c>
      <c r="F546" s="2">
        <v>0.38610899999999998</v>
      </c>
      <c r="G546" s="2">
        <v>0.881942</v>
      </c>
      <c r="H546" s="2">
        <v>1.1916800000000001</v>
      </c>
      <c r="I546" s="2">
        <v>1</v>
      </c>
      <c r="K546" s="2" t="s">
        <v>1685</v>
      </c>
      <c r="L546" s="2">
        <v>1.1665099999999999</v>
      </c>
    </row>
    <row r="547" spans="1:12" x14ac:dyDescent="0.2">
      <c r="A547" s="2" t="s">
        <v>697</v>
      </c>
      <c r="B547" s="2" t="s">
        <v>3058</v>
      </c>
      <c r="C547" s="2" t="s">
        <v>2167</v>
      </c>
      <c r="D547" s="2" t="s">
        <v>1839</v>
      </c>
      <c r="E547" s="2" t="s">
        <v>1841</v>
      </c>
      <c r="F547" s="2">
        <v>0.91968000000000005</v>
      </c>
      <c r="G547" s="2">
        <v>2.5836299999999999</v>
      </c>
      <c r="H547" s="2">
        <v>1.4902</v>
      </c>
      <c r="I547" s="2">
        <v>1</v>
      </c>
      <c r="K547" s="2" t="s">
        <v>1686</v>
      </c>
      <c r="L547" s="2">
        <v>-2.0089899999999998</v>
      </c>
    </row>
    <row r="548" spans="1:12" x14ac:dyDescent="0.2">
      <c r="A548" s="2" t="s">
        <v>1684</v>
      </c>
      <c r="B548" s="2" t="s">
        <v>3041</v>
      </c>
      <c r="C548" s="2" t="s">
        <v>2850</v>
      </c>
      <c r="D548" s="2" t="s">
        <v>1839</v>
      </c>
      <c r="E548" s="2" t="s">
        <v>1841</v>
      </c>
      <c r="F548" s="2">
        <v>0.41499999999999998</v>
      </c>
      <c r="G548" s="2">
        <v>1.1960900000000001</v>
      </c>
      <c r="H548" s="2">
        <v>1.52715</v>
      </c>
      <c r="I548" s="2">
        <v>1</v>
      </c>
      <c r="K548" s="2" t="s">
        <v>708</v>
      </c>
      <c r="L548" s="2">
        <v>1.0872299999999999</v>
      </c>
    </row>
    <row r="549" spans="1:12" x14ac:dyDescent="0.2">
      <c r="A549" s="2" t="s">
        <v>698</v>
      </c>
      <c r="B549" s="2" t="s">
        <v>3081</v>
      </c>
      <c r="C549" s="2" t="s">
        <v>2851</v>
      </c>
      <c r="D549" s="2" t="s">
        <v>1839</v>
      </c>
      <c r="E549" s="2" t="s">
        <v>1841</v>
      </c>
      <c r="F549" s="2">
        <v>28.2943</v>
      </c>
      <c r="G549" s="2">
        <v>9.6128599999999995</v>
      </c>
      <c r="H549" s="2">
        <v>-1.5574699999999999</v>
      </c>
      <c r="I549" s="2">
        <v>1</v>
      </c>
      <c r="K549" s="2" t="s">
        <v>1687</v>
      </c>
      <c r="L549" s="2">
        <v>1.06511</v>
      </c>
    </row>
    <row r="550" spans="1:12" x14ac:dyDescent="0.2">
      <c r="A550" s="2" t="s">
        <v>1351</v>
      </c>
      <c r="B550" s="2" t="s">
        <v>3031</v>
      </c>
      <c r="C550" s="2" t="s">
        <v>2831</v>
      </c>
      <c r="D550" s="2" t="s">
        <v>1839</v>
      </c>
      <c r="E550" s="2" t="s">
        <v>1841</v>
      </c>
      <c r="F550" s="2">
        <v>1.4604900000000001</v>
      </c>
      <c r="G550" s="2">
        <v>8.7434100000000008</v>
      </c>
      <c r="H550" s="2">
        <v>2.5817399999999999</v>
      </c>
      <c r="I550" s="2">
        <v>1</v>
      </c>
      <c r="K550" s="2" t="s">
        <v>716</v>
      </c>
      <c r="L550" s="2">
        <v>1.2663899999999999</v>
      </c>
    </row>
    <row r="551" spans="1:12" x14ac:dyDescent="0.2">
      <c r="A551" s="2" t="s">
        <v>702</v>
      </c>
      <c r="B551" s="2" t="s">
        <v>3015</v>
      </c>
      <c r="C551" s="2" t="s">
        <v>2852</v>
      </c>
      <c r="D551" s="2" t="s">
        <v>1839</v>
      </c>
      <c r="E551" s="2" t="s">
        <v>1841</v>
      </c>
      <c r="F551" s="2">
        <v>3.8462800000000001</v>
      </c>
      <c r="G551" s="2">
        <v>11.664199999999999</v>
      </c>
      <c r="H551" s="2">
        <v>1.6005499999999999</v>
      </c>
      <c r="I551" s="2">
        <v>1</v>
      </c>
      <c r="K551" s="2" t="s">
        <v>717</v>
      </c>
      <c r="L551" s="2">
        <v>-1.0792299999999999</v>
      </c>
    </row>
    <row r="552" spans="1:12" x14ac:dyDescent="0.2">
      <c r="A552" s="2" t="s">
        <v>704</v>
      </c>
      <c r="B552" s="2" t="s">
        <v>3015</v>
      </c>
      <c r="C552" s="2" t="s">
        <v>2853</v>
      </c>
      <c r="D552" s="2" t="s">
        <v>1839</v>
      </c>
      <c r="E552" s="2" t="s">
        <v>1841</v>
      </c>
      <c r="F552" s="2">
        <v>3.5814599999999999</v>
      </c>
      <c r="G552" s="2">
        <v>1.49881</v>
      </c>
      <c r="H552" s="2">
        <v>-1.2567299999999999</v>
      </c>
      <c r="I552" s="2">
        <v>1</v>
      </c>
      <c r="K552" s="2" t="s">
        <v>1688</v>
      </c>
      <c r="L552" s="2">
        <v>1.03972</v>
      </c>
    </row>
    <row r="553" spans="1:12" x14ac:dyDescent="0.2">
      <c r="A553" s="2" t="s">
        <v>1685</v>
      </c>
      <c r="B553" s="2" t="s">
        <v>3015</v>
      </c>
      <c r="C553" s="2" t="s">
        <v>2854</v>
      </c>
      <c r="D553" s="2" t="s">
        <v>1839</v>
      </c>
      <c r="E553" s="2" t="s">
        <v>1841</v>
      </c>
      <c r="F553" s="2">
        <v>0.83279300000000001</v>
      </c>
      <c r="G553" s="2">
        <v>1.8693599999999999</v>
      </c>
      <c r="H553" s="2">
        <v>1.1665099999999999</v>
      </c>
      <c r="I553" s="2">
        <v>1</v>
      </c>
      <c r="K553" s="2" t="s">
        <v>1689</v>
      </c>
      <c r="L553" s="2">
        <v>1.4500299999999999</v>
      </c>
    </row>
    <row r="554" spans="1:12" x14ac:dyDescent="0.2">
      <c r="A554" s="2" t="s">
        <v>1686</v>
      </c>
      <c r="B554" s="2" t="s">
        <v>3049</v>
      </c>
      <c r="C554" s="2" t="s">
        <v>2855</v>
      </c>
      <c r="D554" s="2" t="s">
        <v>1839</v>
      </c>
      <c r="E554" s="2" t="s">
        <v>1841</v>
      </c>
      <c r="F554" s="2">
        <v>1.0301499999999999</v>
      </c>
      <c r="G554" s="2">
        <v>0.255938</v>
      </c>
      <c r="H554" s="2">
        <v>-2.0089899999999998</v>
      </c>
      <c r="I554" s="2">
        <v>1</v>
      </c>
      <c r="K554" s="2" t="s">
        <v>1690</v>
      </c>
      <c r="L554" s="2">
        <v>1.0256400000000001</v>
      </c>
    </row>
    <row r="555" spans="1:12" x14ac:dyDescent="0.2">
      <c r="A555" s="2" t="s">
        <v>708</v>
      </c>
      <c r="B555" s="2" t="s">
        <v>3015</v>
      </c>
      <c r="C555" s="2" t="s">
        <v>2856</v>
      </c>
      <c r="D555" s="2" t="s">
        <v>1839</v>
      </c>
      <c r="E555" s="2" t="s">
        <v>1841</v>
      </c>
      <c r="F555" s="2">
        <v>0.72157800000000005</v>
      </c>
      <c r="G555" s="2">
        <v>1.5330999999999999</v>
      </c>
      <c r="H555" s="2">
        <v>1.0872299999999999</v>
      </c>
      <c r="I555" s="2">
        <v>1</v>
      </c>
      <c r="K555" s="2" t="s">
        <v>720</v>
      </c>
      <c r="L555" s="2">
        <v>1.1349</v>
      </c>
    </row>
    <row r="556" spans="1:12" x14ac:dyDescent="0.2">
      <c r="A556" s="2" t="s">
        <v>1687</v>
      </c>
      <c r="B556" s="2" t="s">
        <v>3455</v>
      </c>
      <c r="C556" s="2" t="s">
        <v>1948</v>
      </c>
      <c r="D556" s="2" t="s">
        <v>1839</v>
      </c>
      <c r="E556" s="2" t="s">
        <v>1841</v>
      </c>
      <c r="F556" s="2">
        <v>1.66523</v>
      </c>
      <c r="G556" s="2">
        <v>3.48421</v>
      </c>
      <c r="H556" s="2">
        <v>1.06511</v>
      </c>
      <c r="I556" s="2">
        <v>1</v>
      </c>
      <c r="K556" s="2" t="s">
        <v>1362</v>
      </c>
      <c r="L556" s="2">
        <v>3.4611700000000001</v>
      </c>
    </row>
    <row r="557" spans="1:12" x14ac:dyDescent="0.2">
      <c r="A557" s="2" t="s">
        <v>716</v>
      </c>
      <c r="B557" s="2" t="s">
        <v>3083</v>
      </c>
      <c r="C557" s="2" t="s">
        <v>2546</v>
      </c>
      <c r="D557" s="2" t="s">
        <v>1839</v>
      </c>
      <c r="E557" s="2" t="s">
        <v>1841</v>
      </c>
      <c r="F557" s="2">
        <v>5.02677</v>
      </c>
      <c r="G557" s="2">
        <v>12.0924</v>
      </c>
      <c r="H557" s="2">
        <v>1.2663899999999999</v>
      </c>
      <c r="I557" s="2">
        <v>1</v>
      </c>
      <c r="K557" s="2" t="s">
        <v>722</v>
      </c>
      <c r="L557" s="2">
        <v>1.1253899999999999</v>
      </c>
    </row>
    <row r="558" spans="1:12" x14ac:dyDescent="0.2">
      <c r="A558" s="2" t="s">
        <v>717</v>
      </c>
      <c r="B558" s="2" t="s">
        <v>3104</v>
      </c>
      <c r="C558" s="2" t="s">
        <v>2177</v>
      </c>
      <c r="D558" s="2" t="s">
        <v>1839</v>
      </c>
      <c r="E558" s="2" t="s">
        <v>1841</v>
      </c>
      <c r="F558" s="2">
        <v>1.2848999999999999</v>
      </c>
      <c r="G558" s="2">
        <v>0.60812200000000005</v>
      </c>
      <c r="H558" s="2">
        <v>-1.0792299999999999</v>
      </c>
      <c r="I558" s="2">
        <v>1</v>
      </c>
      <c r="K558" s="2" t="s">
        <v>723</v>
      </c>
      <c r="L558" s="2">
        <v>1.04244</v>
      </c>
    </row>
    <row r="559" spans="1:12" x14ac:dyDescent="0.2">
      <c r="A559" s="2" t="s">
        <v>1688</v>
      </c>
      <c r="B559" s="2" t="s">
        <v>3456</v>
      </c>
      <c r="C559" s="2" t="s">
        <v>2857</v>
      </c>
      <c r="D559" s="2" t="s">
        <v>1839</v>
      </c>
      <c r="E559" s="2" t="s">
        <v>1841</v>
      </c>
      <c r="F559" s="2">
        <v>2.6911800000000001</v>
      </c>
      <c r="G559" s="2">
        <v>5.5325899999999999</v>
      </c>
      <c r="H559" s="2">
        <v>1.03972</v>
      </c>
      <c r="I559" s="2">
        <v>1</v>
      </c>
      <c r="K559" s="2" t="s">
        <v>1363</v>
      </c>
      <c r="L559" s="2">
        <v>1.3361400000000001</v>
      </c>
    </row>
    <row r="560" spans="1:12" x14ac:dyDescent="0.2">
      <c r="A560" s="2" t="s">
        <v>1689</v>
      </c>
      <c r="B560" s="2" t="s">
        <v>3015</v>
      </c>
      <c r="C560" s="2" t="s">
        <v>2858</v>
      </c>
      <c r="D560" s="2" t="s">
        <v>1839</v>
      </c>
      <c r="E560" s="2" t="s">
        <v>1841</v>
      </c>
      <c r="F560" s="2">
        <v>0.40572999999999998</v>
      </c>
      <c r="G560" s="2">
        <v>1.1085100000000001</v>
      </c>
      <c r="H560" s="2">
        <v>1.4500299999999999</v>
      </c>
      <c r="I560" s="2">
        <v>1</v>
      </c>
      <c r="K560" s="2" t="s">
        <v>724</v>
      </c>
      <c r="L560" s="2">
        <v>2.2046100000000002</v>
      </c>
    </row>
    <row r="561" spans="1:12" x14ac:dyDescent="0.2">
      <c r="A561" s="2" t="s">
        <v>1690</v>
      </c>
      <c r="B561" s="2" t="s">
        <v>3056</v>
      </c>
      <c r="C561" s="2" t="s">
        <v>2799</v>
      </c>
      <c r="D561" s="2" t="s">
        <v>1839</v>
      </c>
      <c r="E561" s="2" t="s">
        <v>1841</v>
      </c>
      <c r="F561" s="2">
        <v>1.7600100000000001</v>
      </c>
      <c r="G561" s="2">
        <v>3.5831400000000002</v>
      </c>
      <c r="H561" s="2">
        <v>1.0256400000000001</v>
      </c>
      <c r="I561" s="2">
        <v>1</v>
      </c>
      <c r="K561" s="2" t="s">
        <v>1365</v>
      </c>
      <c r="L561" s="2">
        <v>1.6135200000000001</v>
      </c>
    </row>
    <row r="562" spans="1:12" x14ac:dyDescent="0.2">
      <c r="A562" s="2" t="s">
        <v>720</v>
      </c>
      <c r="B562" s="2" t="s">
        <v>3037</v>
      </c>
      <c r="C562" s="2" t="s">
        <v>2216</v>
      </c>
      <c r="D562" s="2" t="s">
        <v>1839</v>
      </c>
      <c r="E562" s="2" t="s">
        <v>1841</v>
      </c>
      <c r="F562" s="2">
        <v>0.68738100000000002</v>
      </c>
      <c r="G562" s="2">
        <v>1.50952</v>
      </c>
      <c r="H562" s="2">
        <v>1.1349</v>
      </c>
      <c r="I562" s="2">
        <v>1</v>
      </c>
      <c r="K562" s="2" t="s">
        <v>727</v>
      </c>
      <c r="L562" s="2">
        <v>-1.1990000000000001</v>
      </c>
    </row>
    <row r="563" spans="1:12" x14ac:dyDescent="0.2">
      <c r="A563" s="2" t="s">
        <v>1362</v>
      </c>
      <c r="B563" s="2" t="s">
        <v>3353</v>
      </c>
      <c r="C563" s="2" t="s">
        <v>2548</v>
      </c>
      <c r="D563" s="2" t="s">
        <v>1839</v>
      </c>
      <c r="E563" s="2" t="s">
        <v>1841</v>
      </c>
      <c r="F563" s="2">
        <v>0.39604699999999998</v>
      </c>
      <c r="G563" s="2">
        <v>4.3617699999999999</v>
      </c>
      <c r="H563" s="2">
        <v>3.4611700000000001</v>
      </c>
      <c r="I563" s="2">
        <v>1</v>
      </c>
      <c r="K563" s="2" t="s">
        <v>1691</v>
      </c>
      <c r="L563" s="2">
        <v>2.9712800000000001</v>
      </c>
    </row>
    <row r="564" spans="1:12" x14ac:dyDescent="0.2">
      <c r="A564" s="2" t="s">
        <v>722</v>
      </c>
      <c r="B564" s="2" t="s">
        <v>3015</v>
      </c>
      <c r="C564" s="2" t="s">
        <v>3015</v>
      </c>
      <c r="D564" s="2" t="s">
        <v>1839</v>
      </c>
      <c r="E564" s="2" t="s">
        <v>1841</v>
      </c>
      <c r="F564" s="2">
        <v>1.2039800000000001</v>
      </c>
      <c r="G564" s="2">
        <v>2.62662</v>
      </c>
      <c r="H564" s="2">
        <v>1.1253899999999999</v>
      </c>
      <c r="I564" s="2">
        <v>1</v>
      </c>
      <c r="K564" s="2" t="s">
        <v>1692</v>
      </c>
      <c r="L564" s="2">
        <v>-1.01657</v>
      </c>
    </row>
    <row r="565" spans="1:12" x14ac:dyDescent="0.2">
      <c r="A565" s="2" t="s">
        <v>723</v>
      </c>
      <c r="B565" s="2" t="s">
        <v>3457</v>
      </c>
      <c r="C565" s="2" t="s">
        <v>2859</v>
      </c>
      <c r="D565" s="2" t="s">
        <v>1839</v>
      </c>
      <c r="E565" s="2" t="s">
        <v>1841</v>
      </c>
      <c r="F565" s="2">
        <v>1.9646300000000001</v>
      </c>
      <c r="G565" s="2">
        <v>4.04657</v>
      </c>
      <c r="H565" s="2">
        <v>1.04244</v>
      </c>
      <c r="I565" s="2">
        <v>1</v>
      </c>
      <c r="K565" s="2" t="s">
        <v>1693</v>
      </c>
      <c r="L565" s="2">
        <v>-2.4675600000000002</v>
      </c>
    </row>
    <row r="566" spans="1:12" x14ac:dyDescent="0.2">
      <c r="A566" s="2" t="s">
        <v>1363</v>
      </c>
      <c r="B566" s="2" t="s">
        <v>3201</v>
      </c>
      <c r="C566" s="2" t="s">
        <v>2860</v>
      </c>
      <c r="D566" s="2" t="s">
        <v>1839</v>
      </c>
      <c r="E566" s="2" t="s">
        <v>1841</v>
      </c>
      <c r="F566" s="2">
        <v>1.9721599999999999</v>
      </c>
      <c r="G566" s="2">
        <v>4.9792100000000001</v>
      </c>
      <c r="H566" s="2">
        <v>1.3361400000000001</v>
      </c>
      <c r="I566" s="2">
        <v>1</v>
      </c>
      <c r="K566" s="2" t="s">
        <v>732</v>
      </c>
      <c r="L566" s="2">
        <v>-1.3070600000000001</v>
      </c>
    </row>
    <row r="567" spans="1:12" x14ac:dyDescent="0.2">
      <c r="A567" s="2" t="s">
        <v>724</v>
      </c>
      <c r="B567" s="2" t="s">
        <v>3037</v>
      </c>
      <c r="C567" s="2" t="s">
        <v>2180</v>
      </c>
      <c r="D567" s="2" t="s">
        <v>1839</v>
      </c>
      <c r="E567" s="2" t="s">
        <v>1841</v>
      </c>
      <c r="F567" s="2">
        <v>0.78131499999999998</v>
      </c>
      <c r="G567" s="2">
        <v>3.6014699999999999</v>
      </c>
      <c r="H567" s="2">
        <v>2.2046100000000002</v>
      </c>
      <c r="I567" s="2">
        <v>1</v>
      </c>
      <c r="K567" s="2" t="s">
        <v>1694</v>
      </c>
      <c r="L567" s="2">
        <v>-1.3625799999999999</v>
      </c>
    </row>
    <row r="568" spans="1:12" x14ac:dyDescent="0.2">
      <c r="A568" s="2" t="s">
        <v>1365</v>
      </c>
      <c r="B568" s="2" t="s">
        <v>3081</v>
      </c>
      <c r="C568" s="2" t="s">
        <v>1965</v>
      </c>
      <c r="D568" s="2" t="s">
        <v>1839</v>
      </c>
      <c r="E568" s="2" t="s">
        <v>1841</v>
      </c>
      <c r="F568" s="2">
        <v>0.33297500000000002</v>
      </c>
      <c r="G568" s="2">
        <v>1.0188900000000001</v>
      </c>
      <c r="H568" s="2">
        <v>1.6135200000000001</v>
      </c>
      <c r="I568" s="2">
        <v>1</v>
      </c>
      <c r="K568" s="2" t="s">
        <v>733</v>
      </c>
      <c r="L568" s="2">
        <v>1.40669</v>
      </c>
    </row>
    <row r="569" spans="1:12" x14ac:dyDescent="0.2">
      <c r="A569" s="2" t="s">
        <v>727</v>
      </c>
      <c r="B569" s="2" t="s">
        <v>3015</v>
      </c>
      <c r="C569" s="2" t="s">
        <v>1862</v>
      </c>
      <c r="D569" s="2" t="s">
        <v>1839</v>
      </c>
      <c r="E569" s="2" t="s">
        <v>1841</v>
      </c>
      <c r="F569" s="2">
        <v>271.16199999999998</v>
      </c>
      <c r="G569" s="2">
        <v>118.11199999999999</v>
      </c>
      <c r="H569" s="2">
        <v>-1.1990000000000001</v>
      </c>
      <c r="I569" s="2">
        <v>1</v>
      </c>
      <c r="K569" s="2" t="s">
        <v>1695</v>
      </c>
      <c r="L569" s="2">
        <v>1.5058800000000001</v>
      </c>
    </row>
    <row r="570" spans="1:12" x14ac:dyDescent="0.2">
      <c r="A570" s="2" t="s">
        <v>1691</v>
      </c>
      <c r="B570" s="2" t="s">
        <v>3015</v>
      </c>
      <c r="C570" s="2" t="s">
        <v>3015</v>
      </c>
      <c r="D570" s="2" t="s">
        <v>1839</v>
      </c>
      <c r="E570" s="2" t="s">
        <v>1841</v>
      </c>
      <c r="F570" s="2">
        <v>0.51646899999999996</v>
      </c>
      <c r="G570" s="2">
        <v>4.0503099999999996</v>
      </c>
      <c r="H570" s="2">
        <v>2.9712800000000001</v>
      </c>
      <c r="I570" s="2">
        <v>1</v>
      </c>
      <c r="K570" s="2" t="s">
        <v>734</v>
      </c>
      <c r="L570" s="2">
        <v>-1.6043700000000001</v>
      </c>
    </row>
    <row r="571" spans="1:12" x14ac:dyDescent="0.2">
      <c r="A571" s="2" t="s">
        <v>1692</v>
      </c>
      <c r="B571" s="2" t="s">
        <v>3015</v>
      </c>
      <c r="C571" s="2" t="s">
        <v>2861</v>
      </c>
      <c r="D571" s="2" t="s">
        <v>1839</v>
      </c>
      <c r="E571" s="2" t="s">
        <v>1841</v>
      </c>
      <c r="F571" s="2">
        <v>2.9653999999999998</v>
      </c>
      <c r="G571" s="2">
        <v>1.46576</v>
      </c>
      <c r="H571" s="2">
        <v>-1.01657</v>
      </c>
      <c r="I571" s="2">
        <v>1</v>
      </c>
      <c r="K571" s="2" t="s">
        <v>735</v>
      </c>
      <c r="L571" s="2">
        <v>-1.1771400000000001</v>
      </c>
    </row>
    <row r="572" spans="1:12" x14ac:dyDescent="0.2">
      <c r="A572" s="2" t="s">
        <v>1693</v>
      </c>
      <c r="B572" s="2" t="s">
        <v>3030</v>
      </c>
      <c r="C572" s="2" t="s">
        <v>3015</v>
      </c>
      <c r="D572" s="2" t="s">
        <v>1839</v>
      </c>
      <c r="E572" s="2" t="s">
        <v>1841</v>
      </c>
      <c r="F572" s="2">
        <v>1.78399</v>
      </c>
      <c r="G572" s="2">
        <v>0.32253900000000002</v>
      </c>
      <c r="H572" s="2">
        <v>-2.4675600000000002</v>
      </c>
      <c r="I572" s="2">
        <v>1</v>
      </c>
      <c r="K572" s="2" t="s">
        <v>1373</v>
      </c>
      <c r="L572" s="2">
        <v>1.2493700000000001</v>
      </c>
    </row>
    <row r="573" spans="1:12" x14ac:dyDescent="0.2">
      <c r="A573" s="2" t="s">
        <v>732</v>
      </c>
      <c r="B573" s="2" t="s">
        <v>3015</v>
      </c>
      <c r="C573" s="2" t="s">
        <v>2816</v>
      </c>
      <c r="D573" s="2" t="s">
        <v>1839</v>
      </c>
      <c r="E573" s="2" t="s">
        <v>1841</v>
      </c>
      <c r="F573" s="2">
        <v>28.801100000000002</v>
      </c>
      <c r="G573" s="2">
        <v>11.639799999999999</v>
      </c>
      <c r="H573" s="2">
        <v>-1.3070600000000001</v>
      </c>
      <c r="I573" s="2">
        <v>1</v>
      </c>
      <c r="K573" s="2" t="s">
        <v>1374</v>
      </c>
      <c r="L573" s="2">
        <v>1.4305000000000001</v>
      </c>
    </row>
    <row r="574" spans="1:12" x14ac:dyDescent="0.2">
      <c r="A574" s="2" t="s">
        <v>1694</v>
      </c>
      <c r="B574" s="2" t="s">
        <v>3015</v>
      </c>
      <c r="C574" s="2" t="s">
        <v>2862</v>
      </c>
      <c r="D574" s="2" t="s">
        <v>1839</v>
      </c>
      <c r="E574" s="2" t="s">
        <v>1841</v>
      </c>
      <c r="F574" s="2">
        <v>8.7159300000000002</v>
      </c>
      <c r="G574" s="2">
        <v>3.38951</v>
      </c>
      <c r="H574" s="2">
        <v>-1.3625799999999999</v>
      </c>
      <c r="I574" s="2">
        <v>1</v>
      </c>
      <c r="K574" s="2" t="s">
        <v>738</v>
      </c>
      <c r="L574" s="2">
        <v>3.40754</v>
      </c>
    </row>
    <row r="575" spans="1:12" x14ac:dyDescent="0.2">
      <c r="A575" s="2" t="s">
        <v>733</v>
      </c>
      <c r="B575" s="2" t="s">
        <v>3015</v>
      </c>
      <c r="C575" s="2" t="s">
        <v>2098</v>
      </c>
      <c r="D575" s="2" t="s">
        <v>1839</v>
      </c>
      <c r="E575" s="2" t="s">
        <v>1841</v>
      </c>
      <c r="F575" s="2">
        <v>2.6822900000000001</v>
      </c>
      <c r="G575" s="2">
        <v>7.1115300000000001</v>
      </c>
      <c r="H575" s="2">
        <v>1.40669</v>
      </c>
      <c r="I575" s="2">
        <v>1</v>
      </c>
      <c r="K575" s="2" t="s">
        <v>1696</v>
      </c>
      <c r="L575" s="2">
        <v>-1.36846</v>
      </c>
    </row>
    <row r="576" spans="1:12" x14ac:dyDescent="0.2">
      <c r="A576" s="2" t="s">
        <v>1695</v>
      </c>
      <c r="B576" s="2" t="s">
        <v>3015</v>
      </c>
      <c r="C576" s="2" t="s">
        <v>3015</v>
      </c>
      <c r="D576" s="2" t="s">
        <v>1839</v>
      </c>
      <c r="E576" s="2" t="s">
        <v>1841</v>
      </c>
      <c r="F576" s="2">
        <v>2.5118200000000002</v>
      </c>
      <c r="G576" s="2">
        <v>7.13354</v>
      </c>
      <c r="H576" s="2">
        <v>1.5058800000000001</v>
      </c>
      <c r="I576" s="2">
        <v>1</v>
      </c>
      <c r="K576" s="2" t="s">
        <v>1697</v>
      </c>
      <c r="L576" s="2">
        <v>-1.05125</v>
      </c>
    </row>
    <row r="577" spans="1:12" x14ac:dyDescent="0.2">
      <c r="A577" s="2" t="s">
        <v>734</v>
      </c>
      <c r="B577" s="2" t="s">
        <v>3081</v>
      </c>
      <c r="C577" s="2" t="s">
        <v>2489</v>
      </c>
      <c r="D577" s="2" t="s">
        <v>1839</v>
      </c>
      <c r="E577" s="2" t="s">
        <v>1841</v>
      </c>
      <c r="F577" s="2">
        <v>52.354300000000002</v>
      </c>
      <c r="G577" s="2">
        <v>17.218299999999999</v>
      </c>
      <c r="H577" s="2">
        <v>-1.6043700000000001</v>
      </c>
      <c r="I577" s="2">
        <v>1</v>
      </c>
      <c r="K577" s="2" t="s">
        <v>741</v>
      </c>
      <c r="L577" s="2">
        <v>-1.03166</v>
      </c>
    </row>
    <row r="578" spans="1:12" x14ac:dyDescent="0.2">
      <c r="A578" s="2" t="s">
        <v>735</v>
      </c>
      <c r="B578" s="2" t="s">
        <v>3171</v>
      </c>
      <c r="C578" s="2" t="s">
        <v>2123</v>
      </c>
      <c r="D578" s="2" t="s">
        <v>1839</v>
      </c>
      <c r="E578" s="2" t="s">
        <v>1841</v>
      </c>
      <c r="F578" s="2">
        <v>3.6709499999999999</v>
      </c>
      <c r="G578" s="2">
        <v>1.6233900000000001</v>
      </c>
      <c r="H578" s="2">
        <v>-1.1771400000000001</v>
      </c>
      <c r="I578" s="2">
        <v>1</v>
      </c>
      <c r="K578" s="2" t="s">
        <v>742</v>
      </c>
      <c r="L578" s="2">
        <v>1.3104499999999999</v>
      </c>
    </row>
    <row r="579" spans="1:12" x14ac:dyDescent="0.2">
      <c r="A579" s="2" t="s">
        <v>1373</v>
      </c>
      <c r="B579" s="2" t="s">
        <v>3355</v>
      </c>
      <c r="C579" s="2" t="s">
        <v>2552</v>
      </c>
      <c r="D579" s="2" t="s">
        <v>1839</v>
      </c>
      <c r="E579" s="2" t="s">
        <v>1841</v>
      </c>
      <c r="F579" s="2">
        <v>0.87867499999999998</v>
      </c>
      <c r="G579" s="2">
        <v>2.08894</v>
      </c>
      <c r="H579" s="2">
        <v>1.2493700000000001</v>
      </c>
      <c r="I579" s="2">
        <v>1</v>
      </c>
      <c r="K579" s="2" t="s">
        <v>1376</v>
      </c>
      <c r="L579" s="2">
        <v>-1.0101500000000001</v>
      </c>
    </row>
    <row r="580" spans="1:12" x14ac:dyDescent="0.2">
      <c r="A580" s="2" t="s">
        <v>1374</v>
      </c>
      <c r="B580" s="2" t="s">
        <v>3015</v>
      </c>
      <c r="C580" s="2" t="s">
        <v>1847</v>
      </c>
      <c r="D580" s="2" t="s">
        <v>1839</v>
      </c>
      <c r="E580" s="2" t="s">
        <v>1841</v>
      </c>
      <c r="F580" s="2">
        <v>2.72722</v>
      </c>
      <c r="G580" s="2">
        <v>7.3509200000000003</v>
      </c>
      <c r="H580" s="2">
        <v>1.4305000000000001</v>
      </c>
      <c r="I580" s="2">
        <v>1</v>
      </c>
      <c r="K580" s="2" t="s">
        <v>1698</v>
      </c>
      <c r="L580" s="2">
        <v>1.03495</v>
      </c>
    </row>
    <row r="581" spans="1:12" x14ac:dyDescent="0.2">
      <c r="A581" s="2" t="s">
        <v>738</v>
      </c>
      <c r="B581" s="2" t="s">
        <v>3015</v>
      </c>
      <c r="C581" s="2" t="s">
        <v>1847</v>
      </c>
      <c r="D581" s="2" t="s">
        <v>1839</v>
      </c>
      <c r="E581" s="2" t="s">
        <v>1841</v>
      </c>
      <c r="F581" s="2">
        <v>0.96927700000000006</v>
      </c>
      <c r="G581" s="2">
        <v>10.285399999999999</v>
      </c>
      <c r="H581" s="2">
        <v>3.40754</v>
      </c>
      <c r="I581" s="2">
        <v>1</v>
      </c>
      <c r="K581" s="2" t="s">
        <v>745</v>
      </c>
      <c r="L581" s="2">
        <v>-1.14652</v>
      </c>
    </row>
    <row r="582" spans="1:12" x14ac:dyDescent="0.2">
      <c r="A582" s="2" t="s">
        <v>1696</v>
      </c>
      <c r="B582" s="2" t="s">
        <v>3015</v>
      </c>
      <c r="C582" s="2" t="s">
        <v>2863</v>
      </c>
      <c r="D582" s="2" t="s">
        <v>1839</v>
      </c>
      <c r="E582" s="2" t="s">
        <v>1841</v>
      </c>
      <c r="F582" s="2">
        <v>18.302399999999999</v>
      </c>
      <c r="G582" s="2">
        <v>7.0885699999999998</v>
      </c>
      <c r="H582" s="2">
        <v>-1.36846</v>
      </c>
      <c r="I582" s="2">
        <v>1</v>
      </c>
      <c r="K582" s="2" t="s">
        <v>746</v>
      </c>
      <c r="L582" s="2">
        <v>1.67462</v>
      </c>
    </row>
    <row r="583" spans="1:12" x14ac:dyDescent="0.2">
      <c r="A583" s="2" t="s">
        <v>1697</v>
      </c>
      <c r="B583" s="2" t="s">
        <v>3015</v>
      </c>
      <c r="C583" s="2" t="s">
        <v>2863</v>
      </c>
      <c r="D583" s="2" t="s">
        <v>1839</v>
      </c>
      <c r="E583" s="2" t="s">
        <v>1841</v>
      </c>
      <c r="F583" s="2">
        <v>9.2090300000000003</v>
      </c>
      <c r="G583" s="2">
        <v>4.4438199999999997</v>
      </c>
      <c r="H583" s="2">
        <v>-1.05125</v>
      </c>
      <c r="I583" s="2">
        <v>1</v>
      </c>
      <c r="K583" s="2" t="s">
        <v>1699</v>
      </c>
      <c r="L583" s="2">
        <v>-1.1745699999999999</v>
      </c>
    </row>
    <row r="584" spans="1:12" x14ac:dyDescent="0.2">
      <c r="A584" s="2" t="s">
        <v>741</v>
      </c>
      <c r="B584" s="2" t="s">
        <v>3015</v>
      </c>
      <c r="C584" s="2" t="s">
        <v>3015</v>
      </c>
      <c r="D584" s="2" t="s">
        <v>1839</v>
      </c>
      <c r="E584" s="2" t="s">
        <v>1841</v>
      </c>
      <c r="F584" s="2">
        <v>12.086399999999999</v>
      </c>
      <c r="G584" s="2">
        <v>5.9120400000000002</v>
      </c>
      <c r="H584" s="2">
        <v>-1.03166</v>
      </c>
      <c r="I584" s="2">
        <v>1</v>
      </c>
      <c r="K584" s="2" t="s">
        <v>1700</v>
      </c>
      <c r="L584" s="2">
        <v>2.0104500000000001</v>
      </c>
    </row>
    <row r="585" spans="1:12" x14ac:dyDescent="0.2">
      <c r="A585" s="2" t="s">
        <v>742</v>
      </c>
      <c r="B585" s="2" t="s">
        <v>3058</v>
      </c>
      <c r="C585" s="2" t="s">
        <v>2185</v>
      </c>
      <c r="D585" s="2" t="s">
        <v>1839</v>
      </c>
      <c r="E585" s="2" t="s">
        <v>1841</v>
      </c>
      <c r="F585" s="2">
        <v>0.49836200000000003</v>
      </c>
      <c r="G585" s="2">
        <v>1.23603</v>
      </c>
      <c r="H585" s="2">
        <v>1.3104499999999999</v>
      </c>
      <c r="I585" s="2">
        <v>1</v>
      </c>
      <c r="K585" s="2" t="s">
        <v>1701</v>
      </c>
      <c r="L585" s="2">
        <v>-1.18276</v>
      </c>
    </row>
    <row r="586" spans="1:12" x14ac:dyDescent="0.2">
      <c r="A586" s="2" t="s">
        <v>1376</v>
      </c>
      <c r="B586" s="2" t="s">
        <v>3356</v>
      </c>
      <c r="C586" s="2" t="s">
        <v>2554</v>
      </c>
      <c r="D586" s="2" t="s">
        <v>1839</v>
      </c>
      <c r="E586" s="2" t="s">
        <v>1841</v>
      </c>
      <c r="F586" s="2">
        <v>1.9173</v>
      </c>
      <c r="G586" s="2">
        <v>0.951932</v>
      </c>
      <c r="H586" s="2">
        <v>-1.0101500000000001</v>
      </c>
      <c r="I586" s="2">
        <v>1</v>
      </c>
      <c r="K586" s="2" t="s">
        <v>1377</v>
      </c>
      <c r="L586" s="2">
        <v>1.9897400000000001</v>
      </c>
    </row>
    <row r="587" spans="1:12" x14ac:dyDescent="0.2">
      <c r="A587" s="2" t="s">
        <v>1698</v>
      </c>
      <c r="B587" s="2" t="s">
        <v>3038</v>
      </c>
      <c r="C587" s="2" t="s">
        <v>2626</v>
      </c>
      <c r="D587" s="2" t="s">
        <v>1839</v>
      </c>
      <c r="E587" s="2" t="s">
        <v>1841</v>
      </c>
      <c r="F587" s="2">
        <v>2.8909199999999999</v>
      </c>
      <c r="G587" s="2">
        <v>5.9236399999999998</v>
      </c>
      <c r="H587" s="2">
        <v>1.03495</v>
      </c>
      <c r="I587" s="2">
        <v>1</v>
      </c>
      <c r="K587" s="2" t="s">
        <v>1702</v>
      </c>
      <c r="L587" s="2">
        <v>-1.52437</v>
      </c>
    </row>
    <row r="588" spans="1:12" x14ac:dyDescent="0.2">
      <c r="A588" s="2" t="s">
        <v>745</v>
      </c>
      <c r="B588" s="2" t="s">
        <v>3458</v>
      </c>
      <c r="C588" s="2" t="s">
        <v>2864</v>
      </c>
      <c r="D588" s="2" t="s">
        <v>1839</v>
      </c>
      <c r="E588" s="2" t="s">
        <v>1841</v>
      </c>
      <c r="F588" s="2">
        <v>2.75488</v>
      </c>
      <c r="G588" s="2">
        <v>1.2444200000000001</v>
      </c>
      <c r="H588" s="2">
        <v>-1.14652</v>
      </c>
      <c r="I588" s="2">
        <v>1</v>
      </c>
      <c r="K588" s="2" t="s">
        <v>1379</v>
      </c>
      <c r="L588" s="2">
        <v>1.17008</v>
      </c>
    </row>
    <row r="589" spans="1:12" x14ac:dyDescent="0.2">
      <c r="A589" s="2" t="s">
        <v>746</v>
      </c>
      <c r="B589" s="2" t="s">
        <v>3062</v>
      </c>
      <c r="C589" s="2" t="s">
        <v>2865</v>
      </c>
      <c r="D589" s="2" t="s">
        <v>1839</v>
      </c>
      <c r="E589" s="2" t="s">
        <v>1841</v>
      </c>
      <c r="F589" s="2">
        <v>9.2404299999999999</v>
      </c>
      <c r="G589" s="2">
        <v>29.498699999999999</v>
      </c>
      <c r="H589" s="2">
        <v>1.67462</v>
      </c>
      <c r="I589" s="2">
        <v>1</v>
      </c>
      <c r="K589" s="2" t="s">
        <v>747</v>
      </c>
      <c r="L589" s="2">
        <v>1.0475399999999999</v>
      </c>
    </row>
    <row r="590" spans="1:12" x14ac:dyDescent="0.2">
      <c r="A590" s="2" t="s">
        <v>1699</v>
      </c>
      <c r="B590" s="2" t="s">
        <v>3015</v>
      </c>
      <c r="C590" s="2" t="s">
        <v>3015</v>
      </c>
      <c r="D590" s="2" t="s">
        <v>1839</v>
      </c>
      <c r="E590" s="2" t="s">
        <v>1841</v>
      </c>
      <c r="F590" s="2">
        <v>4.4765600000000001</v>
      </c>
      <c r="G590" s="2">
        <v>1.98319</v>
      </c>
      <c r="H590" s="2">
        <v>-1.1745699999999999</v>
      </c>
      <c r="I590" s="2">
        <v>1</v>
      </c>
      <c r="K590" s="2" t="s">
        <v>749</v>
      </c>
      <c r="L590" s="2">
        <v>-2.0371000000000001</v>
      </c>
    </row>
    <row r="591" spans="1:12" x14ac:dyDescent="0.2">
      <c r="A591" s="2" t="s">
        <v>1700</v>
      </c>
      <c r="B591" s="2" t="s">
        <v>3015</v>
      </c>
      <c r="C591" s="2" t="s">
        <v>2188</v>
      </c>
      <c r="D591" s="2" t="s">
        <v>1839</v>
      </c>
      <c r="E591" s="2" t="s">
        <v>1841</v>
      </c>
      <c r="F591" s="2">
        <v>0.23753199999999999</v>
      </c>
      <c r="G591" s="2">
        <v>0.95703400000000005</v>
      </c>
      <c r="H591" s="2">
        <v>2.0104500000000001</v>
      </c>
      <c r="I591" s="2">
        <v>1</v>
      </c>
      <c r="K591" s="2" t="s">
        <v>1380</v>
      </c>
      <c r="L591" s="2">
        <v>1.2449699999999999</v>
      </c>
    </row>
    <row r="592" spans="1:12" x14ac:dyDescent="0.2">
      <c r="A592" s="2" t="s">
        <v>1701</v>
      </c>
      <c r="B592" s="2" t="s">
        <v>3015</v>
      </c>
      <c r="C592" s="2" t="s">
        <v>1847</v>
      </c>
      <c r="D592" s="2" t="s">
        <v>1839</v>
      </c>
      <c r="E592" s="2" t="s">
        <v>1841</v>
      </c>
      <c r="F592" s="2">
        <v>2.8120400000000001</v>
      </c>
      <c r="G592" s="2">
        <v>1.23872</v>
      </c>
      <c r="H592" s="2">
        <v>-1.18276</v>
      </c>
      <c r="I592" s="2">
        <v>1</v>
      </c>
      <c r="K592" s="2" t="s">
        <v>750</v>
      </c>
      <c r="L592" s="2">
        <v>1.2720199999999999</v>
      </c>
    </row>
    <row r="593" spans="1:12" x14ac:dyDescent="0.2">
      <c r="A593" s="2" t="s">
        <v>1377</v>
      </c>
      <c r="B593" s="2" t="s">
        <v>3080</v>
      </c>
      <c r="C593" s="2" t="s">
        <v>2866</v>
      </c>
      <c r="D593" s="2" t="s">
        <v>1839</v>
      </c>
      <c r="E593" s="2" t="s">
        <v>1841</v>
      </c>
      <c r="F593" s="2">
        <v>0.60714400000000002</v>
      </c>
      <c r="G593" s="2">
        <v>2.4113600000000002</v>
      </c>
      <c r="H593" s="2">
        <v>1.9897400000000001</v>
      </c>
      <c r="I593" s="2">
        <v>1</v>
      </c>
      <c r="K593" s="2" t="s">
        <v>1381</v>
      </c>
      <c r="L593" s="2">
        <v>1.40587</v>
      </c>
    </row>
    <row r="594" spans="1:12" x14ac:dyDescent="0.2">
      <c r="A594" s="2" t="s">
        <v>1702</v>
      </c>
      <c r="B594" s="2" t="s">
        <v>3243</v>
      </c>
      <c r="C594" s="2" t="s">
        <v>1953</v>
      </c>
      <c r="D594" s="2" t="s">
        <v>1839</v>
      </c>
      <c r="E594" s="2" t="s">
        <v>1841</v>
      </c>
      <c r="F594" s="2">
        <v>0.95299900000000004</v>
      </c>
      <c r="G594" s="2">
        <v>0.331293</v>
      </c>
      <c r="H594" s="2">
        <v>-1.52437</v>
      </c>
      <c r="I594" s="2">
        <v>1</v>
      </c>
      <c r="K594" s="2" t="s">
        <v>1703</v>
      </c>
      <c r="L594" s="2">
        <v>1.14788</v>
      </c>
    </row>
    <row r="595" spans="1:12" x14ac:dyDescent="0.2">
      <c r="A595" s="2" t="s">
        <v>1379</v>
      </c>
      <c r="B595" s="2" t="s">
        <v>3403</v>
      </c>
      <c r="C595" s="2" t="s">
        <v>2867</v>
      </c>
      <c r="D595" s="2" t="s">
        <v>1839</v>
      </c>
      <c r="E595" s="2" t="s">
        <v>1841</v>
      </c>
      <c r="F595" s="2">
        <v>6.1627099999999997</v>
      </c>
      <c r="G595" s="2">
        <v>13.867599999999999</v>
      </c>
      <c r="H595" s="2">
        <v>1.17008</v>
      </c>
      <c r="I595" s="2">
        <v>1</v>
      </c>
      <c r="K595" s="2" t="s">
        <v>1704</v>
      </c>
      <c r="L595" s="2">
        <v>1.0176799999999999</v>
      </c>
    </row>
    <row r="596" spans="1:12" x14ac:dyDescent="0.2">
      <c r="A596" s="2" t="s">
        <v>747</v>
      </c>
      <c r="B596" s="2" t="s">
        <v>3015</v>
      </c>
      <c r="C596" s="2" t="s">
        <v>2129</v>
      </c>
      <c r="D596" s="2" t="s">
        <v>1839</v>
      </c>
      <c r="E596" s="2" t="s">
        <v>1841</v>
      </c>
      <c r="F596" s="2">
        <v>7.0339700000000001</v>
      </c>
      <c r="G596" s="2">
        <v>14.539199999999999</v>
      </c>
      <c r="H596" s="2">
        <v>1.0475399999999999</v>
      </c>
      <c r="I596" s="2">
        <v>1</v>
      </c>
      <c r="K596" s="2" t="s">
        <v>1705</v>
      </c>
      <c r="L596" s="2">
        <v>1.0205500000000001</v>
      </c>
    </row>
    <row r="597" spans="1:12" x14ac:dyDescent="0.2">
      <c r="A597" s="2" t="s">
        <v>749</v>
      </c>
      <c r="B597" s="2" t="s">
        <v>3015</v>
      </c>
      <c r="C597" s="2" t="s">
        <v>3015</v>
      </c>
      <c r="D597" s="2" t="s">
        <v>1839</v>
      </c>
      <c r="E597" s="2" t="s">
        <v>1841</v>
      </c>
      <c r="F597" s="2">
        <v>39.369199999999999</v>
      </c>
      <c r="G597" s="2">
        <v>9.5924200000000006</v>
      </c>
      <c r="H597" s="2">
        <v>-2.0371000000000001</v>
      </c>
      <c r="I597" s="2">
        <v>1</v>
      </c>
      <c r="K597" s="2" t="s">
        <v>1706</v>
      </c>
      <c r="L597" s="2">
        <v>-1.4519899999999999</v>
      </c>
    </row>
    <row r="598" spans="1:12" x14ac:dyDescent="0.2">
      <c r="A598" s="2" t="s">
        <v>1380</v>
      </c>
      <c r="B598" s="2" t="s">
        <v>3024</v>
      </c>
      <c r="C598" s="2" t="s">
        <v>2556</v>
      </c>
      <c r="D598" s="2" t="s">
        <v>1839</v>
      </c>
      <c r="E598" s="2" t="s">
        <v>1841</v>
      </c>
      <c r="F598" s="2">
        <v>0.88056500000000004</v>
      </c>
      <c r="G598" s="2">
        <v>2.0870600000000001</v>
      </c>
      <c r="H598" s="2">
        <v>1.2449699999999999</v>
      </c>
      <c r="I598" s="2">
        <v>1</v>
      </c>
      <c r="K598" s="2" t="s">
        <v>753</v>
      </c>
      <c r="L598" s="2">
        <v>-1.4014200000000001</v>
      </c>
    </row>
    <row r="599" spans="1:12" x14ac:dyDescent="0.2">
      <c r="A599" s="2" t="s">
        <v>750</v>
      </c>
      <c r="B599" s="2" t="s">
        <v>3047</v>
      </c>
      <c r="C599" s="2" t="s">
        <v>3015</v>
      </c>
      <c r="D599" s="2" t="s">
        <v>1839</v>
      </c>
      <c r="E599" s="2" t="s">
        <v>1841</v>
      </c>
      <c r="F599" s="2">
        <v>0.47537499999999999</v>
      </c>
      <c r="G599" s="2">
        <v>1.14802</v>
      </c>
      <c r="H599" s="2">
        <v>1.2720199999999999</v>
      </c>
      <c r="I599" s="2">
        <v>1</v>
      </c>
      <c r="K599" s="2" t="s">
        <v>1707</v>
      </c>
      <c r="L599" s="2">
        <v>-1.1227100000000001</v>
      </c>
    </row>
    <row r="600" spans="1:12" x14ac:dyDescent="0.2">
      <c r="A600" s="2" t="s">
        <v>1381</v>
      </c>
      <c r="B600" s="2" t="s">
        <v>3175</v>
      </c>
      <c r="C600" s="2" t="s">
        <v>2557</v>
      </c>
      <c r="D600" s="2" t="s">
        <v>1839</v>
      </c>
      <c r="E600" s="2" t="s">
        <v>1841</v>
      </c>
      <c r="F600" s="2">
        <v>0.32317499999999999</v>
      </c>
      <c r="G600" s="2">
        <v>0.85633999999999999</v>
      </c>
      <c r="H600" s="2">
        <v>1.40587</v>
      </c>
      <c r="I600" s="2">
        <v>1</v>
      </c>
      <c r="K600" s="2" t="s">
        <v>756</v>
      </c>
      <c r="L600" s="2">
        <v>-1.39341</v>
      </c>
    </row>
    <row r="601" spans="1:12" x14ac:dyDescent="0.2">
      <c r="A601" s="2" t="s">
        <v>1703</v>
      </c>
      <c r="B601" s="2" t="s">
        <v>3276</v>
      </c>
      <c r="C601" s="2" t="s">
        <v>2868</v>
      </c>
      <c r="D601" s="2" t="s">
        <v>1839</v>
      </c>
      <c r="E601" s="2" t="s">
        <v>1841</v>
      </c>
      <c r="F601" s="2">
        <v>0.71282599999999996</v>
      </c>
      <c r="G601" s="2">
        <v>1.5795399999999999</v>
      </c>
      <c r="H601" s="2">
        <v>1.14788</v>
      </c>
      <c r="I601" s="2">
        <v>1</v>
      </c>
      <c r="K601" s="2" t="s">
        <v>757</v>
      </c>
      <c r="L601" s="2">
        <v>-1.3100700000000001</v>
      </c>
    </row>
    <row r="602" spans="1:12" x14ac:dyDescent="0.2">
      <c r="A602" s="2" t="s">
        <v>1704</v>
      </c>
      <c r="B602" s="2" t="s">
        <v>3459</v>
      </c>
      <c r="C602" s="2" t="s">
        <v>2869</v>
      </c>
      <c r="D602" s="2" t="s">
        <v>1839</v>
      </c>
      <c r="E602" s="2" t="s">
        <v>1841</v>
      </c>
      <c r="F602" s="2">
        <v>1.15276</v>
      </c>
      <c r="G602" s="2">
        <v>2.3339500000000002</v>
      </c>
      <c r="H602" s="2">
        <v>1.0176799999999999</v>
      </c>
      <c r="I602" s="2">
        <v>1</v>
      </c>
      <c r="K602" s="2" t="s">
        <v>1708</v>
      </c>
      <c r="L602" s="2">
        <v>-1.0242100000000001</v>
      </c>
    </row>
    <row r="603" spans="1:12" x14ac:dyDescent="0.2">
      <c r="A603" s="2" t="s">
        <v>1705</v>
      </c>
      <c r="B603" s="2" t="s">
        <v>3015</v>
      </c>
      <c r="C603" s="2" t="s">
        <v>2034</v>
      </c>
      <c r="D603" s="2" t="s">
        <v>1839</v>
      </c>
      <c r="E603" s="2" t="s">
        <v>1841</v>
      </c>
      <c r="F603" s="2">
        <v>1.85189</v>
      </c>
      <c r="G603" s="2">
        <v>3.7568999999999999</v>
      </c>
      <c r="H603" s="2">
        <v>1.0205500000000001</v>
      </c>
      <c r="I603" s="2">
        <v>1</v>
      </c>
      <c r="K603" s="2" t="s">
        <v>761</v>
      </c>
      <c r="L603" s="2">
        <v>-1.66927</v>
      </c>
    </row>
    <row r="604" spans="1:12" x14ac:dyDescent="0.2">
      <c r="A604" s="2" t="s">
        <v>1706</v>
      </c>
      <c r="B604" s="2" t="s">
        <v>3015</v>
      </c>
      <c r="C604" s="2" t="s">
        <v>2870</v>
      </c>
      <c r="D604" s="2" t="s">
        <v>1839</v>
      </c>
      <c r="E604" s="2" t="s">
        <v>1841</v>
      </c>
      <c r="F604" s="2">
        <v>2.5070199999999998</v>
      </c>
      <c r="G604" s="2">
        <v>0.91635800000000001</v>
      </c>
      <c r="H604" s="2">
        <v>-1.4519899999999999</v>
      </c>
      <c r="I604" s="2">
        <v>1</v>
      </c>
      <c r="K604" s="2" t="s">
        <v>765</v>
      </c>
      <c r="L604" s="2">
        <v>1.12642</v>
      </c>
    </row>
    <row r="605" spans="1:12" x14ac:dyDescent="0.2">
      <c r="A605" s="2" t="s">
        <v>753</v>
      </c>
      <c r="B605" s="2" t="s">
        <v>3015</v>
      </c>
      <c r="C605" s="2" t="s">
        <v>2871</v>
      </c>
      <c r="D605" s="2" t="s">
        <v>1839</v>
      </c>
      <c r="E605" s="2" t="s">
        <v>1841</v>
      </c>
      <c r="F605" s="2">
        <v>8.2241199999999992</v>
      </c>
      <c r="G605" s="2">
        <v>3.1132900000000001</v>
      </c>
      <c r="H605" s="2">
        <v>-1.4014200000000001</v>
      </c>
      <c r="I605" s="2">
        <v>1</v>
      </c>
      <c r="K605" s="2" t="s">
        <v>1384</v>
      </c>
      <c r="L605" s="2">
        <v>1.1490499999999999</v>
      </c>
    </row>
    <row r="606" spans="1:12" x14ac:dyDescent="0.2">
      <c r="A606" s="2" t="s">
        <v>1707</v>
      </c>
      <c r="B606" s="2" t="s">
        <v>3015</v>
      </c>
      <c r="C606" s="2" t="s">
        <v>3015</v>
      </c>
      <c r="D606" s="2" t="s">
        <v>1839</v>
      </c>
      <c r="E606" s="2" t="s">
        <v>1841</v>
      </c>
      <c r="F606" s="2">
        <v>14.2477</v>
      </c>
      <c r="G606" s="2">
        <v>6.54298</v>
      </c>
      <c r="H606" s="2">
        <v>-1.1227100000000001</v>
      </c>
      <c r="I606" s="2">
        <v>1</v>
      </c>
      <c r="K606" s="2" t="s">
        <v>1709</v>
      </c>
      <c r="L606" s="2">
        <v>2.4834000000000001</v>
      </c>
    </row>
    <row r="607" spans="1:12" x14ac:dyDescent="0.2">
      <c r="A607" s="2" t="s">
        <v>756</v>
      </c>
      <c r="B607" s="2" t="s">
        <v>3015</v>
      </c>
      <c r="C607" s="2" t="s">
        <v>2872</v>
      </c>
      <c r="D607" s="2" t="s">
        <v>1839</v>
      </c>
      <c r="E607" s="2" t="s">
        <v>1841</v>
      </c>
      <c r="F607" s="2">
        <v>264.815</v>
      </c>
      <c r="G607" s="2">
        <v>100.806</v>
      </c>
      <c r="H607" s="2">
        <v>-1.39341</v>
      </c>
      <c r="I607" s="2">
        <v>1</v>
      </c>
      <c r="K607" s="2" t="s">
        <v>768</v>
      </c>
      <c r="L607" s="2">
        <v>3.0949</v>
      </c>
    </row>
    <row r="608" spans="1:12" x14ac:dyDescent="0.2">
      <c r="A608" s="2" t="s">
        <v>757</v>
      </c>
      <c r="B608" s="2" t="s">
        <v>3015</v>
      </c>
      <c r="C608" s="2" t="s">
        <v>1880</v>
      </c>
      <c r="D608" s="2" t="s">
        <v>1839</v>
      </c>
      <c r="E608" s="2" t="s">
        <v>1841</v>
      </c>
      <c r="F608" s="2">
        <v>155.86799999999999</v>
      </c>
      <c r="G608" s="2">
        <v>62.861600000000003</v>
      </c>
      <c r="H608" s="2">
        <v>-1.3100700000000001</v>
      </c>
      <c r="I608" s="2">
        <v>1</v>
      </c>
      <c r="K608" s="2" t="s">
        <v>1710</v>
      </c>
      <c r="L608" s="2">
        <v>-1.4</v>
      </c>
    </row>
    <row r="609" spans="1:12" x14ac:dyDescent="0.2">
      <c r="A609" s="2" t="s">
        <v>1708</v>
      </c>
      <c r="B609" s="2" t="s">
        <v>3328</v>
      </c>
      <c r="C609" s="2" t="s">
        <v>2077</v>
      </c>
      <c r="D609" s="2" t="s">
        <v>1839</v>
      </c>
      <c r="E609" s="2" t="s">
        <v>1841</v>
      </c>
      <c r="F609" s="2">
        <v>5.4539799999999996</v>
      </c>
      <c r="G609" s="2">
        <v>2.68161</v>
      </c>
      <c r="H609" s="2">
        <v>-1.0242100000000001</v>
      </c>
      <c r="I609" s="2">
        <v>1</v>
      </c>
      <c r="K609" s="2" t="s">
        <v>770</v>
      </c>
      <c r="L609" s="2">
        <v>1.8331900000000001</v>
      </c>
    </row>
    <row r="610" spans="1:12" x14ac:dyDescent="0.2">
      <c r="A610" s="2" t="s">
        <v>761</v>
      </c>
      <c r="B610" s="2" t="s">
        <v>3015</v>
      </c>
      <c r="C610" s="2" t="s">
        <v>2191</v>
      </c>
      <c r="D610" s="2" t="s">
        <v>1839</v>
      </c>
      <c r="E610" s="2" t="s">
        <v>1841</v>
      </c>
      <c r="F610" s="2">
        <v>4.4885799999999998</v>
      </c>
      <c r="G610" s="2">
        <v>1.41126</v>
      </c>
      <c r="H610" s="2">
        <v>-1.66927</v>
      </c>
      <c r="I610" s="2">
        <v>1</v>
      </c>
      <c r="K610" s="2" t="s">
        <v>1711</v>
      </c>
      <c r="L610" s="2">
        <v>1.4818499999999999</v>
      </c>
    </row>
    <row r="611" spans="1:12" x14ac:dyDescent="0.2">
      <c r="A611" s="2" t="s">
        <v>765</v>
      </c>
      <c r="B611" s="2" t="s">
        <v>3081</v>
      </c>
      <c r="C611" s="2" t="s">
        <v>2353</v>
      </c>
      <c r="D611" s="2" t="s">
        <v>1839</v>
      </c>
      <c r="E611" s="2" t="s">
        <v>1841</v>
      </c>
      <c r="F611" s="2">
        <v>2.0183</v>
      </c>
      <c r="G611" s="2">
        <v>4.4062799999999998</v>
      </c>
      <c r="H611" s="2">
        <v>1.12642</v>
      </c>
      <c r="I611" s="2">
        <v>1</v>
      </c>
      <c r="K611" s="2" t="s">
        <v>1712</v>
      </c>
      <c r="L611" s="2">
        <v>1.8253900000000001</v>
      </c>
    </row>
    <row r="612" spans="1:12" x14ac:dyDescent="0.2">
      <c r="A612" s="2" t="s">
        <v>1384</v>
      </c>
      <c r="B612" s="2" t="s">
        <v>3095</v>
      </c>
      <c r="C612" s="2" t="s">
        <v>2560</v>
      </c>
      <c r="D612" s="2" t="s">
        <v>1839</v>
      </c>
      <c r="E612" s="2" t="s">
        <v>1841</v>
      </c>
      <c r="F612" s="2">
        <v>0.45470500000000003</v>
      </c>
      <c r="G612" s="2">
        <v>1.0083899999999999</v>
      </c>
      <c r="H612" s="2">
        <v>1.1490499999999999</v>
      </c>
      <c r="I612" s="2">
        <v>1</v>
      </c>
      <c r="K612" s="2" t="s">
        <v>772</v>
      </c>
      <c r="L612" s="2">
        <v>-1.22461</v>
      </c>
    </row>
    <row r="613" spans="1:12" x14ac:dyDescent="0.2">
      <c r="A613" s="2" t="s">
        <v>1709</v>
      </c>
      <c r="B613" s="2" t="s">
        <v>3129</v>
      </c>
      <c r="C613" s="2" t="s">
        <v>2595</v>
      </c>
      <c r="D613" s="2" t="s">
        <v>1839</v>
      </c>
      <c r="E613" s="2" t="s">
        <v>1841</v>
      </c>
      <c r="F613" s="2">
        <v>0.46269300000000002</v>
      </c>
      <c r="G613" s="2">
        <v>2.58744</v>
      </c>
      <c r="H613" s="2">
        <v>2.4834000000000001</v>
      </c>
      <c r="I613" s="2">
        <v>1</v>
      </c>
      <c r="K613" s="2" t="s">
        <v>774</v>
      </c>
      <c r="L613" s="2">
        <v>1.08802</v>
      </c>
    </row>
    <row r="614" spans="1:12" x14ac:dyDescent="0.2">
      <c r="A614" s="2" t="s">
        <v>768</v>
      </c>
      <c r="B614" s="2" t="s">
        <v>3460</v>
      </c>
      <c r="C614" s="2" t="s">
        <v>3015</v>
      </c>
      <c r="D614" s="2" t="s">
        <v>1839</v>
      </c>
      <c r="E614" s="2" t="s">
        <v>1841</v>
      </c>
      <c r="F614" s="2">
        <v>0.20096900000000001</v>
      </c>
      <c r="G614" s="2">
        <v>1.71706</v>
      </c>
      <c r="H614" s="2">
        <v>3.0949</v>
      </c>
      <c r="I614" s="2">
        <v>1</v>
      </c>
      <c r="K614" s="2" t="s">
        <v>1713</v>
      </c>
      <c r="L614" s="2">
        <v>1.23681</v>
      </c>
    </row>
    <row r="615" spans="1:12" x14ac:dyDescent="0.2">
      <c r="A615" s="2" t="s">
        <v>1710</v>
      </c>
      <c r="B615" s="2" t="s">
        <v>3015</v>
      </c>
      <c r="C615" s="2" t="s">
        <v>2873</v>
      </c>
      <c r="D615" s="2" t="s">
        <v>1839</v>
      </c>
      <c r="E615" s="2" t="s">
        <v>1841</v>
      </c>
      <c r="F615" s="2">
        <v>0.81485300000000005</v>
      </c>
      <c r="G615" s="2">
        <v>0.30877100000000002</v>
      </c>
      <c r="H615" s="2">
        <v>-1.4</v>
      </c>
      <c r="I615" s="2">
        <v>1</v>
      </c>
      <c r="K615" s="2" t="s">
        <v>776</v>
      </c>
      <c r="L615" s="2">
        <v>1.2138199999999999</v>
      </c>
    </row>
    <row r="616" spans="1:12" x14ac:dyDescent="0.2">
      <c r="A616" s="2" t="s">
        <v>770</v>
      </c>
      <c r="B616" s="2" t="s">
        <v>3189</v>
      </c>
      <c r="C616" s="2" t="s">
        <v>2761</v>
      </c>
      <c r="D616" s="2" t="s">
        <v>1839</v>
      </c>
      <c r="E616" s="2" t="s">
        <v>1841</v>
      </c>
      <c r="F616" s="2">
        <v>0.41989100000000001</v>
      </c>
      <c r="G616" s="2">
        <v>1.49617</v>
      </c>
      <c r="H616" s="2">
        <v>1.8331900000000001</v>
      </c>
      <c r="I616" s="2">
        <v>1</v>
      </c>
      <c r="K616" s="2" t="s">
        <v>1386</v>
      </c>
      <c r="L616" s="2">
        <v>1.35419</v>
      </c>
    </row>
    <row r="617" spans="1:12" x14ac:dyDescent="0.2">
      <c r="A617" s="2" t="s">
        <v>1711</v>
      </c>
      <c r="B617" s="2" t="s">
        <v>3461</v>
      </c>
      <c r="C617" s="2" t="s">
        <v>3015</v>
      </c>
      <c r="D617" s="2" t="s">
        <v>1839</v>
      </c>
      <c r="E617" s="2" t="s">
        <v>1841</v>
      </c>
      <c r="F617" s="2">
        <v>0.53763899999999998</v>
      </c>
      <c r="G617" s="2">
        <v>1.50166</v>
      </c>
      <c r="H617" s="2">
        <v>1.4818499999999999</v>
      </c>
      <c r="I617" s="2">
        <v>1</v>
      </c>
      <c r="K617" s="2" t="s">
        <v>778</v>
      </c>
      <c r="L617" s="2">
        <v>1.2711600000000001</v>
      </c>
    </row>
    <row r="618" spans="1:12" x14ac:dyDescent="0.2">
      <c r="A618" s="2" t="s">
        <v>1712</v>
      </c>
      <c r="B618" s="2" t="s">
        <v>3131</v>
      </c>
      <c r="C618" s="2" t="s">
        <v>2874</v>
      </c>
      <c r="D618" s="2" t="s">
        <v>1839</v>
      </c>
      <c r="E618" s="2" t="s">
        <v>1841</v>
      </c>
      <c r="F618" s="2">
        <v>0.54596299999999998</v>
      </c>
      <c r="G618" s="2">
        <v>1.9349099999999999</v>
      </c>
      <c r="H618" s="2">
        <v>1.8253900000000001</v>
      </c>
      <c r="I618" s="2">
        <v>1</v>
      </c>
      <c r="K618" s="2" t="s">
        <v>1714</v>
      </c>
      <c r="L618" s="2">
        <v>1.50031</v>
      </c>
    </row>
    <row r="619" spans="1:12" x14ac:dyDescent="0.2">
      <c r="A619" s="2" t="s">
        <v>772</v>
      </c>
      <c r="B619" s="2" t="s">
        <v>3015</v>
      </c>
      <c r="C619" s="2" t="s">
        <v>1880</v>
      </c>
      <c r="D619" s="2" t="s">
        <v>1839</v>
      </c>
      <c r="E619" s="2" t="s">
        <v>1841</v>
      </c>
      <c r="F619" s="2">
        <v>173.828</v>
      </c>
      <c r="G619" s="2">
        <v>74.383499999999998</v>
      </c>
      <c r="H619" s="2">
        <v>-1.22461</v>
      </c>
      <c r="I619" s="2">
        <v>1</v>
      </c>
      <c r="K619" s="2" t="s">
        <v>780</v>
      </c>
      <c r="L619" s="2">
        <v>-1.09104</v>
      </c>
    </row>
    <row r="620" spans="1:12" x14ac:dyDescent="0.2">
      <c r="A620" s="2" t="s">
        <v>774</v>
      </c>
      <c r="B620" s="2" t="s">
        <v>3045</v>
      </c>
      <c r="C620" s="2" t="s">
        <v>1923</v>
      </c>
      <c r="D620" s="2" t="s">
        <v>1839</v>
      </c>
      <c r="E620" s="2" t="s">
        <v>1841</v>
      </c>
      <c r="F620" s="2">
        <v>2.2259799999999998</v>
      </c>
      <c r="G620" s="2">
        <v>4.7320399999999996</v>
      </c>
      <c r="H620" s="2">
        <v>1.08802</v>
      </c>
      <c r="I620" s="2">
        <v>1</v>
      </c>
      <c r="K620" s="2" t="s">
        <v>782</v>
      </c>
      <c r="L620" s="2">
        <v>1.5655699999999999</v>
      </c>
    </row>
    <row r="621" spans="1:12" x14ac:dyDescent="0.2">
      <c r="A621" s="2" t="s">
        <v>1713</v>
      </c>
      <c r="B621" s="2" t="s">
        <v>3015</v>
      </c>
      <c r="C621" s="2" t="s">
        <v>2875</v>
      </c>
      <c r="D621" s="2" t="s">
        <v>1839</v>
      </c>
      <c r="E621" s="2" t="s">
        <v>1841</v>
      </c>
      <c r="F621" s="2">
        <v>1.0409200000000001</v>
      </c>
      <c r="G621" s="2">
        <v>2.4532099999999999</v>
      </c>
      <c r="H621" s="2">
        <v>1.23681</v>
      </c>
      <c r="I621" s="2">
        <v>1</v>
      </c>
      <c r="K621" s="2" t="s">
        <v>783</v>
      </c>
      <c r="L621" s="2">
        <v>1.08362</v>
      </c>
    </row>
    <row r="622" spans="1:12" x14ac:dyDescent="0.2">
      <c r="A622" s="2" t="s">
        <v>776</v>
      </c>
      <c r="B622" s="2" t="s">
        <v>3015</v>
      </c>
      <c r="C622" s="2" t="s">
        <v>2876</v>
      </c>
      <c r="D622" s="2" t="s">
        <v>1839</v>
      </c>
      <c r="E622" s="2" t="s">
        <v>1841</v>
      </c>
      <c r="F622" s="2">
        <v>2.4123600000000001</v>
      </c>
      <c r="G622" s="2">
        <v>5.59551</v>
      </c>
      <c r="H622" s="2">
        <v>1.2138199999999999</v>
      </c>
      <c r="I622" s="2">
        <v>1</v>
      </c>
      <c r="K622" s="2" t="s">
        <v>788</v>
      </c>
      <c r="L622" s="2">
        <v>1.4257599999999999</v>
      </c>
    </row>
    <row r="623" spans="1:12" x14ac:dyDescent="0.2">
      <c r="A623" s="2" t="s">
        <v>1385</v>
      </c>
      <c r="B623" s="2" t="s">
        <v>3015</v>
      </c>
      <c r="C623" s="2" t="s">
        <v>3015</v>
      </c>
      <c r="D623" s="2" t="s">
        <v>1839</v>
      </c>
      <c r="E623" s="2" t="s">
        <v>1841</v>
      </c>
      <c r="F623" s="2">
        <v>0</v>
      </c>
      <c r="G623" s="2">
        <v>1.87524</v>
      </c>
      <c r="H623" s="2" t="s">
        <v>3021</v>
      </c>
      <c r="I623" s="2" t="s">
        <v>3021</v>
      </c>
      <c r="K623" s="2" t="s">
        <v>1716</v>
      </c>
      <c r="L623" s="2">
        <v>-1.7717499999999999</v>
      </c>
    </row>
    <row r="624" spans="1:12" x14ac:dyDescent="0.2">
      <c r="A624" s="2" t="s">
        <v>1386</v>
      </c>
      <c r="B624" s="2" t="s">
        <v>3068</v>
      </c>
      <c r="C624" s="2" t="s">
        <v>2562</v>
      </c>
      <c r="D624" s="2" t="s">
        <v>1839</v>
      </c>
      <c r="E624" s="2" t="s">
        <v>1841</v>
      </c>
      <c r="F624" s="2">
        <v>1.14445</v>
      </c>
      <c r="G624" s="2">
        <v>2.9258299999999999</v>
      </c>
      <c r="H624" s="2">
        <v>1.35419</v>
      </c>
      <c r="I624" s="2">
        <v>1</v>
      </c>
      <c r="K624" s="2" t="s">
        <v>790</v>
      </c>
      <c r="L624" s="2">
        <v>1.60808</v>
      </c>
    </row>
    <row r="625" spans="1:12" x14ac:dyDescent="0.2">
      <c r="A625" s="2" t="s">
        <v>778</v>
      </c>
      <c r="B625" s="2" t="s">
        <v>3094</v>
      </c>
      <c r="C625" s="2" t="s">
        <v>2321</v>
      </c>
      <c r="D625" s="2" t="s">
        <v>1839</v>
      </c>
      <c r="E625" s="2" t="s">
        <v>1841</v>
      </c>
      <c r="F625" s="2">
        <v>1.22292</v>
      </c>
      <c r="G625" s="2">
        <v>2.9515799999999999</v>
      </c>
      <c r="H625" s="2">
        <v>1.2711600000000001</v>
      </c>
      <c r="I625" s="2">
        <v>1</v>
      </c>
      <c r="K625" s="2" t="s">
        <v>1390</v>
      </c>
      <c r="L625" s="2">
        <v>1.34928</v>
      </c>
    </row>
    <row r="626" spans="1:12" x14ac:dyDescent="0.2">
      <c r="A626" s="2" t="s">
        <v>1714</v>
      </c>
      <c r="B626" s="2" t="s">
        <v>3038</v>
      </c>
      <c r="C626" s="2" t="s">
        <v>2877</v>
      </c>
      <c r="D626" s="2" t="s">
        <v>1839</v>
      </c>
      <c r="E626" s="2" t="s">
        <v>1841</v>
      </c>
      <c r="F626" s="2">
        <v>0.500023</v>
      </c>
      <c r="G626" s="2">
        <v>1.4145799999999999</v>
      </c>
      <c r="H626" s="2">
        <v>1.50031</v>
      </c>
      <c r="I626" s="2">
        <v>1</v>
      </c>
      <c r="K626" s="2" t="s">
        <v>1717</v>
      </c>
      <c r="L626" s="2">
        <v>1.1785099999999999</v>
      </c>
    </row>
    <row r="627" spans="1:12" x14ac:dyDescent="0.2">
      <c r="A627" s="2" t="s">
        <v>780</v>
      </c>
      <c r="B627" s="2" t="s">
        <v>3015</v>
      </c>
      <c r="C627" s="2" t="s">
        <v>2878</v>
      </c>
      <c r="D627" s="2" t="s">
        <v>1839</v>
      </c>
      <c r="E627" s="2" t="s">
        <v>1841</v>
      </c>
      <c r="F627" s="2">
        <v>10.437099999999999</v>
      </c>
      <c r="G627" s="2">
        <v>4.8994200000000001</v>
      </c>
      <c r="H627" s="2">
        <v>-1.09104</v>
      </c>
      <c r="I627" s="2">
        <v>1</v>
      </c>
      <c r="K627" s="2" t="s">
        <v>1718</v>
      </c>
      <c r="L627" s="2">
        <v>-1.1656899999999999</v>
      </c>
    </row>
    <row r="628" spans="1:12" x14ac:dyDescent="0.2">
      <c r="A628" s="2" t="s">
        <v>1715</v>
      </c>
      <c r="B628" s="2" t="s">
        <v>3030</v>
      </c>
      <c r="C628" s="2" t="s">
        <v>2879</v>
      </c>
      <c r="D628" s="2" t="s">
        <v>1839</v>
      </c>
      <c r="E628" s="2" t="s">
        <v>1841</v>
      </c>
      <c r="F628" s="2">
        <v>0</v>
      </c>
      <c r="G628" s="2">
        <v>0.89891799999999999</v>
      </c>
      <c r="H628" s="2" t="s">
        <v>3021</v>
      </c>
      <c r="I628" s="2" t="s">
        <v>3021</v>
      </c>
      <c r="K628" s="2" t="s">
        <v>792</v>
      </c>
      <c r="L628" s="2">
        <v>2.27122</v>
      </c>
    </row>
    <row r="629" spans="1:12" x14ac:dyDescent="0.2">
      <c r="A629" s="2" t="s">
        <v>782</v>
      </c>
      <c r="B629" s="2" t="s">
        <v>3208</v>
      </c>
      <c r="C629" s="2" t="s">
        <v>2199</v>
      </c>
      <c r="D629" s="2" t="s">
        <v>1839</v>
      </c>
      <c r="E629" s="2" t="s">
        <v>1841</v>
      </c>
      <c r="F629" s="2">
        <v>0.47748299999999999</v>
      </c>
      <c r="G629" s="2">
        <v>1.4133199999999999</v>
      </c>
      <c r="H629" s="2">
        <v>1.5655699999999999</v>
      </c>
      <c r="I629" s="2">
        <v>1</v>
      </c>
      <c r="K629" s="2" t="s">
        <v>793</v>
      </c>
      <c r="L629" s="2">
        <v>-1.12768</v>
      </c>
    </row>
    <row r="630" spans="1:12" x14ac:dyDescent="0.2">
      <c r="A630" s="2" t="s">
        <v>783</v>
      </c>
      <c r="B630" s="2" t="s">
        <v>3015</v>
      </c>
      <c r="C630" s="2" t="s">
        <v>2017</v>
      </c>
      <c r="D630" s="2" t="s">
        <v>1839</v>
      </c>
      <c r="E630" s="2" t="s">
        <v>1841</v>
      </c>
      <c r="F630" s="2">
        <v>3.1243599999999998</v>
      </c>
      <c r="G630" s="2">
        <v>6.6216100000000004</v>
      </c>
      <c r="H630" s="2">
        <v>1.08362</v>
      </c>
      <c r="I630" s="2">
        <v>1</v>
      </c>
      <c r="K630" s="2" t="s">
        <v>794</v>
      </c>
      <c r="L630" s="2">
        <v>-1.0948100000000001</v>
      </c>
    </row>
    <row r="631" spans="1:12" x14ac:dyDescent="0.2">
      <c r="A631" s="2" t="s">
        <v>788</v>
      </c>
      <c r="B631" s="2" t="s">
        <v>3301</v>
      </c>
      <c r="C631" s="2" t="s">
        <v>2567</v>
      </c>
      <c r="D631" s="2" t="s">
        <v>1839</v>
      </c>
      <c r="E631" s="2" t="s">
        <v>1841</v>
      </c>
      <c r="F631" s="2">
        <v>22.408300000000001</v>
      </c>
      <c r="G631" s="2">
        <v>60.201300000000003</v>
      </c>
      <c r="H631" s="2">
        <v>1.4257599999999999</v>
      </c>
      <c r="I631" s="2">
        <v>1</v>
      </c>
      <c r="K631" s="2" t="s">
        <v>1394</v>
      </c>
      <c r="L631" s="2">
        <v>1.23909</v>
      </c>
    </row>
    <row r="632" spans="1:12" x14ac:dyDescent="0.2">
      <c r="A632" s="2" t="s">
        <v>1716</v>
      </c>
      <c r="B632" s="2" t="s">
        <v>3015</v>
      </c>
      <c r="C632" s="2" t="s">
        <v>2202</v>
      </c>
      <c r="D632" s="2" t="s">
        <v>1839</v>
      </c>
      <c r="E632" s="2" t="s">
        <v>1841</v>
      </c>
      <c r="F632" s="2">
        <v>10.684799999999999</v>
      </c>
      <c r="G632" s="2">
        <v>3.12906</v>
      </c>
      <c r="H632" s="2">
        <v>-1.7717499999999999</v>
      </c>
      <c r="I632" s="2">
        <v>1</v>
      </c>
      <c r="K632" s="2" t="s">
        <v>797</v>
      </c>
      <c r="L632" s="2">
        <v>1.57368</v>
      </c>
    </row>
    <row r="633" spans="1:12" x14ac:dyDescent="0.2">
      <c r="A633" s="2" t="s">
        <v>790</v>
      </c>
      <c r="B633" s="2" t="s">
        <v>3015</v>
      </c>
      <c r="C633" s="2" t="s">
        <v>2202</v>
      </c>
      <c r="D633" s="2" t="s">
        <v>1839</v>
      </c>
      <c r="E633" s="2" t="s">
        <v>1841</v>
      </c>
      <c r="F633" s="2">
        <v>0.54452599999999995</v>
      </c>
      <c r="G633" s="2">
        <v>1.6599699999999999</v>
      </c>
      <c r="H633" s="2">
        <v>1.60808</v>
      </c>
      <c r="I633" s="2">
        <v>1</v>
      </c>
      <c r="K633" s="2" t="s">
        <v>1395</v>
      </c>
      <c r="L633" s="2">
        <v>-1.1597999999999999</v>
      </c>
    </row>
    <row r="634" spans="1:12" x14ac:dyDescent="0.2">
      <c r="A634" s="2" t="s">
        <v>1390</v>
      </c>
      <c r="B634" s="2" t="s">
        <v>3362</v>
      </c>
      <c r="C634" s="2" t="s">
        <v>2569</v>
      </c>
      <c r="D634" s="2" t="s">
        <v>1839</v>
      </c>
      <c r="E634" s="2" t="s">
        <v>1841</v>
      </c>
      <c r="F634" s="2">
        <v>0.70224500000000001</v>
      </c>
      <c r="G634" s="2">
        <v>1.78921</v>
      </c>
      <c r="H634" s="2">
        <v>1.34928</v>
      </c>
      <c r="I634" s="2">
        <v>1</v>
      </c>
      <c r="K634" s="2" t="s">
        <v>802</v>
      </c>
      <c r="L634" s="2">
        <v>-1.2888900000000001</v>
      </c>
    </row>
    <row r="635" spans="1:12" x14ac:dyDescent="0.2">
      <c r="A635" s="2" t="s">
        <v>1717</v>
      </c>
      <c r="B635" s="2" t="s">
        <v>3015</v>
      </c>
      <c r="C635" s="2" t="s">
        <v>2880</v>
      </c>
      <c r="D635" s="2" t="s">
        <v>1839</v>
      </c>
      <c r="E635" s="2" t="s">
        <v>1841</v>
      </c>
      <c r="F635" s="2">
        <v>1.2552000000000001</v>
      </c>
      <c r="G635" s="2">
        <v>2.84104</v>
      </c>
      <c r="H635" s="2">
        <v>1.1785099999999999</v>
      </c>
      <c r="I635" s="2">
        <v>1</v>
      </c>
      <c r="K635" s="2" t="s">
        <v>803</v>
      </c>
      <c r="L635" s="2">
        <v>-2.9747699999999999</v>
      </c>
    </row>
    <row r="636" spans="1:12" x14ac:dyDescent="0.2">
      <c r="A636" s="2" t="s">
        <v>1718</v>
      </c>
      <c r="B636" s="2" t="s">
        <v>3015</v>
      </c>
      <c r="C636" s="2" t="s">
        <v>2881</v>
      </c>
      <c r="D636" s="2" t="s">
        <v>1839</v>
      </c>
      <c r="E636" s="2" t="s">
        <v>1841</v>
      </c>
      <c r="F636" s="2">
        <v>4.1208799999999997</v>
      </c>
      <c r="G636" s="2">
        <v>1.8368899999999999</v>
      </c>
      <c r="H636" s="2">
        <v>-1.1656899999999999</v>
      </c>
      <c r="I636" s="2">
        <v>1</v>
      </c>
      <c r="K636" s="2" t="s">
        <v>807</v>
      </c>
      <c r="L636" s="2">
        <v>2.4608300000000001</v>
      </c>
    </row>
    <row r="637" spans="1:12" x14ac:dyDescent="0.2">
      <c r="A637" s="2" t="s">
        <v>792</v>
      </c>
      <c r="B637" s="2" t="s">
        <v>3015</v>
      </c>
      <c r="C637" s="2" t="s">
        <v>2882</v>
      </c>
      <c r="D637" s="2" t="s">
        <v>1839</v>
      </c>
      <c r="E637" s="2" t="s">
        <v>1841</v>
      </c>
      <c r="F637" s="2">
        <v>0.77653799999999995</v>
      </c>
      <c r="G637" s="2">
        <v>3.7486000000000002</v>
      </c>
      <c r="H637" s="2">
        <v>2.27122</v>
      </c>
      <c r="I637" s="2">
        <v>1</v>
      </c>
      <c r="K637" s="2" t="s">
        <v>1719</v>
      </c>
      <c r="L637" s="2">
        <v>1.38412</v>
      </c>
    </row>
    <row r="638" spans="1:12" x14ac:dyDescent="0.2">
      <c r="A638" s="2" t="s">
        <v>793</v>
      </c>
      <c r="B638" s="2" t="s">
        <v>3015</v>
      </c>
      <c r="C638" s="2" t="s">
        <v>1862</v>
      </c>
      <c r="D638" s="2" t="s">
        <v>1839</v>
      </c>
      <c r="E638" s="2" t="s">
        <v>1841</v>
      </c>
      <c r="F638" s="2">
        <v>11.791499999999999</v>
      </c>
      <c r="G638" s="2">
        <v>5.39642</v>
      </c>
      <c r="H638" s="2">
        <v>-1.12768</v>
      </c>
      <c r="I638" s="2">
        <v>1</v>
      </c>
      <c r="K638" s="2" t="s">
        <v>1397</v>
      </c>
      <c r="L638" s="2">
        <v>1.01746</v>
      </c>
    </row>
    <row r="639" spans="1:12" x14ac:dyDescent="0.2">
      <c r="A639" s="2" t="s">
        <v>794</v>
      </c>
      <c r="B639" s="2" t="s">
        <v>3015</v>
      </c>
      <c r="C639" s="2" t="s">
        <v>2197</v>
      </c>
      <c r="D639" s="2" t="s">
        <v>1839</v>
      </c>
      <c r="E639" s="2" t="s">
        <v>1841</v>
      </c>
      <c r="F639" s="2">
        <v>7.4331100000000001</v>
      </c>
      <c r="G639" s="2">
        <v>3.4801799999999998</v>
      </c>
      <c r="H639" s="2">
        <v>-1.0948100000000001</v>
      </c>
      <c r="I639" s="2">
        <v>1</v>
      </c>
      <c r="K639" s="2" t="s">
        <v>1720</v>
      </c>
      <c r="L639" s="2">
        <v>1.3326100000000001</v>
      </c>
    </row>
    <row r="640" spans="1:12" x14ac:dyDescent="0.2">
      <c r="A640" s="2" t="s">
        <v>1394</v>
      </c>
      <c r="B640" s="2" t="s">
        <v>3443</v>
      </c>
      <c r="C640" s="2" t="s">
        <v>2883</v>
      </c>
      <c r="D640" s="2" t="s">
        <v>1839</v>
      </c>
      <c r="E640" s="2" t="s">
        <v>1841</v>
      </c>
      <c r="F640" s="2">
        <v>4.7904</v>
      </c>
      <c r="G640" s="2">
        <v>11.307700000000001</v>
      </c>
      <c r="H640" s="2">
        <v>1.23909</v>
      </c>
      <c r="I640" s="2">
        <v>1</v>
      </c>
      <c r="K640" s="2" t="s">
        <v>1721</v>
      </c>
      <c r="L640" s="2">
        <v>1.05724</v>
      </c>
    </row>
    <row r="641" spans="1:12" x14ac:dyDescent="0.2">
      <c r="A641" s="2" t="s">
        <v>797</v>
      </c>
      <c r="B641" s="2" t="s">
        <v>3209</v>
      </c>
      <c r="C641" s="2" t="s">
        <v>2205</v>
      </c>
      <c r="D641" s="2" t="s">
        <v>1839</v>
      </c>
      <c r="E641" s="2" t="s">
        <v>1841</v>
      </c>
      <c r="F641" s="2">
        <v>4.9151699999999998</v>
      </c>
      <c r="G641" s="2">
        <v>14.630599999999999</v>
      </c>
      <c r="H641" s="2">
        <v>1.57368</v>
      </c>
      <c r="I641" s="2">
        <v>1</v>
      </c>
      <c r="K641" s="2" t="s">
        <v>811</v>
      </c>
      <c r="L641" s="2">
        <v>2.65394</v>
      </c>
    </row>
    <row r="642" spans="1:12" x14ac:dyDescent="0.2">
      <c r="A642" s="2" t="s">
        <v>1395</v>
      </c>
      <c r="B642" s="2" t="s">
        <v>3087</v>
      </c>
      <c r="C642" s="2" t="s">
        <v>2572</v>
      </c>
      <c r="D642" s="2" t="s">
        <v>1839</v>
      </c>
      <c r="E642" s="2" t="s">
        <v>1841</v>
      </c>
      <c r="F642" s="2">
        <v>299.43299999999999</v>
      </c>
      <c r="G642" s="2">
        <v>134.01900000000001</v>
      </c>
      <c r="H642" s="2">
        <v>-1.1597999999999999</v>
      </c>
      <c r="I642" s="2">
        <v>1</v>
      </c>
      <c r="K642" s="2" t="s">
        <v>1722</v>
      </c>
      <c r="L642" s="2">
        <v>1.74674</v>
      </c>
    </row>
    <row r="643" spans="1:12" x14ac:dyDescent="0.2">
      <c r="A643" s="2" t="s">
        <v>802</v>
      </c>
      <c r="B643" s="2" t="s">
        <v>3015</v>
      </c>
      <c r="C643" s="2" t="s">
        <v>3015</v>
      </c>
      <c r="D643" s="2" t="s">
        <v>1839</v>
      </c>
      <c r="E643" s="2" t="s">
        <v>1841</v>
      </c>
      <c r="F643" s="2">
        <v>18.704999999999998</v>
      </c>
      <c r="G643" s="2">
        <v>7.6552899999999999</v>
      </c>
      <c r="H643" s="2">
        <v>-1.2888900000000001</v>
      </c>
      <c r="I643" s="2">
        <v>1</v>
      </c>
      <c r="K643" s="2" t="s">
        <v>816</v>
      </c>
      <c r="L643" s="2">
        <v>1.1050899999999999</v>
      </c>
    </row>
    <row r="644" spans="1:12" x14ac:dyDescent="0.2">
      <c r="A644" s="2" t="s">
        <v>803</v>
      </c>
      <c r="B644" s="2" t="s">
        <v>3093</v>
      </c>
      <c r="C644" s="2" t="s">
        <v>2209</v>
      </c>
      <c r="D644" s="2" t="s">
        <v>1839</v>
      </c>
      <c r="E644" s="2" t="s">
        <v>1841</v>
      </c>
      <c r="F644" s="2">
        <v>147.08500000000001</v>
      </c>
      <c r="G644" s="2">
        <v>18.71</v>
      </c>
      <c r="H644" s="2">
        <v>-2.9747699999999999</v>
      </c>
      <c r="I644" s="2">
        <v>1</v>
      </c>
      <c r="K644" s="2" t="s">
        <v>1723</v>
      </c>
      <c r="L644" s="2">
        <v>1.8423499999999999</v>
      </c>
    </row>
    <row r="645" spans="1:12" x14ac:dyDescent="0.2">
      <c r="A645" s="2" t="s">
        <v>807</v>
      </c>
      <c r="B645" s="2" t="s">
        <v>3212</v>
      </c>
      <c r="C645" s="2" t="s">
        <v>2211</v>
      </c>
      <c r="D645" s="2" t="s">
        <v>1839</v>
      </c>
      <c r="E645" s="2" t="s">
        <v>1841</v>
      </c>
      <c r="F645" s="2">
        <v>1.7720499999999999</v>
      </c>
      <c r="G645" s="2">
        <v>9.7557700000000001</v>
      </c>
      <c r="H645" s="2">
        <v>2.4608300000000001</v>
      </c>
      <c r="I645" s="2">
        <v>1</v>
      </c>
      <c r="K645" s="2" t="s">
        <v>817</v>
      </c>
      <c r="L645" s="2">
        <v>1.4459200000000001</v>
      </c>
    </row>
    <row r="646" spans="1:12" x14ac:dyDescent="0.2">
      <c r="A646" s="2" t="s">
        <v>1719</v>
      </c>
      <c r="B646" s="2" t="s">
        <v>3015</v>
      </c>
      <c r="C646" s="2" t="s">
        <v>2884</v>
      </c>
      <c r="D646" s="2" t="s">
        <v>1839</v>
      </c>
      <c r="E646" s="2" t="s">
        <v>1841</v>
      </c>
      <c r="F646" s="2">
        <v>0.400281</v>
      </c>
      <c r="G646" s="2">
        <v>1.04478</v>
      </c>
      <c r="H646" s="2">
        <v>1.38412</v>
      </c>
      <c r="I646" s="2">
        <v>1</v>
      </c>
      <c r="K646" s="2" t="s">
        <v>819</v>
      </c>
      <c r="L646" s="2">
        <v>-2.8625500000000001</v>
      </c>
    </row>
    <row r="647" spans="1:12" x14ac:dyDescent="0.2">
      <c r="A647" s="2" t="s">
        <v>1397</v>
      </c>
      <c r="B647" s="2" t="s">
        <v>3462</v>
      </c>
      <c r="C647" s="2" t="s">
        <v>2885</v>
      </c>
      <c r="D647" s="2" t="s">
        <v>1839</v>
      </c>
      <c r="E647" s="2" t="s">
        <v>1841</v>
      </c>
      <c r="F647" s="2">
        <v>5.5134699999999999</v>
      </c>
      <c r="G647" s="2">
        <v>11.161199999999999</v>
      </c>
      <c r="H647" s="2">
        <v>1.01746</v>
      </c>
      <c r="I647" s="2">
        <v>1</v>
      </c>
      <c r="K647" s="2" t="s">
        <v>1724</v>
      </c>
      <c r="L647" s="2">
        <v>-1.34169</v>
      </c>
    </row>
    <row r="648" spans="1:12" x14ac:dyDescent="0.2">
      <c r="A648" s="2" t="s">
        <v>1720</v>
      </c>
      <c r="B648" s="2" t="s">
        <v>3463</v>
      </c>
      <c r="C648" s="2" t="s">
        <v>1847</v>
      </c>
      <c r="D648" s="2" t="s">
        <v>1839</v>
      </c>
      <c r="E648" s="2" t="s">
        <v>1841</v>
      </c>
      <c r="F648" s="2">
        <v>1.34111</v>
      </c>
      <c r="G648" s="2">
        <v>3.3776899999999999</v>
      </c>
      <c r="H648" s="2">
        <v>1.3326100000000001</v>
      </c>
      <c r="I648" s="2">
        <v>1</v>
      </c>
      <c r="K648" s="2" t="s">
        <v>821</v>
      </c>
      <c r="L648" s="2">
        <v>2.70878</v>
      </c>
    </row>
    <row r="649" spans="1:12" x14ac:dyDescent="0.2">
      <c r="A649" s="2" t="s">
        <v>1721</v>
      </c>
      <c r="B649" s="2" t="s">
        <v>3015</v>
      </c>
      <c r="C649" s="2" t="s">
        <v>1862</v>
      </c>
      <c r="D649" s="2" t="s">
        <v>1839</v>
      </c>
      <c r="E649" s="2" t="s">
        <v>1841</v>
      </c>
      <c r="F649" s="2">
        <v>1.7065999999999999</v>
      </c>
      <c r="G649" s="2">
        <v>3.5513599999999999</v>
      </c>
      <c r="H649" s="2">
        <v>1.05724</v>
      </c>
      <c r="I649" s="2">
        <v>1</v>
      </c>
      <c r="K649" s="2" t="s">
        <v>822</v>
      </c>
      <c r="L649" s="2">
        <v>1.2647900000000001</v>
      </c>
    </row>
    <row r="650" spans="1:12" x14ac:dyDescent="0.2">
      <c r="A650" s="2" t="s">
        <v>811</v>
      </c>
      <c r="B650" s="2" t="s">
        <v>3464</v>
      </c>
      <c r="C650" s="2" t="s">
        <v>2886</v>
      </c>
      <c r="D650" s="2" t="s">
        <v>1839</v>
      </c>
      <c r="E650" s="2" t="s">
        <v>1841</v>
      </c>
      <c r="F650" s="2">
        <v>0.179226</v>
      </c>
      <c r="G650" s="2">
        <v>1.12802</v>
      </c>
      <c r="H650" s="2">
        <v>2.65394</v>
      </c>
      <c r="I650" s="2">
        <v>1</v>
      </c>
      <c r="K650" s="2" t="s">
        <v>823</v>
      </c>
      <c r="L650" s="2">
        <v>6.3775399999999998</v>
      </c>
    </row>
    <row r="651" spans="1:12" x14ac:dyDescent="0.2">
      <c r="A651" s="2" t="s">
        <v>1722</v>
      </c>
      <c r="B651" s="2" t="s">
        <v>3015</v>
      </c>
      <c r="C651" s="2" t="s">
        <v>3408</v>
      </c>
      <c r="D651" s="2" t="s">
        <v>1839</v>
      </c>
      <c r="E651" s="2" t="s">
        <v>1841</v>
      </c>
      <c r="F651" s="2">
        <v>1.63693</v>
      </c>
      <c r="G651" s="2">
        <v>5.4935099999999997</v>
      </c>
      <c r="H651" s="2">
        <v>1.74674</v>
      </c>
      <c r="I651" s="2">
        <v>1</v>
      </c>
      <c r="K651" s="2" t="s">
        <v>825</v>
      </c>
      <c r="L651" s="2">
        <v>3.8425600000000002</v>
      </c>
    </row>
    <row r="652" spans="1:12" x14ac:dyDescent="0.2">
      <c r="A652" s="2" t="s">
        <v>816</v>
      </c>
      <c r="B652" s="2" t="s">
        <v>3214</v>
      </c>
      <c r="C652" s="2" t="s">
        <v>2212</v>
      </c>
      <c r="D652" s="2" t="s">
        <v>1839</v>
      </c>
      <c r="E652" s="2" t="s">
        <v>1841</v>
      </c>
      <c r="F652" s="2">
        <v>46.926099999999998</v>
      </c>
      <c r="G652" s="2">
        <v>100.944</v>
      </c>
      <c r="H652" s="2">
        <v>1.1050899999999999</v>
      </c>
      <c r="I652" s="2">
        <v>1</v>
      </c>
      <c r="K652" s="2" t="s">
        <v>1725</v>
      </c>
      <c r="L652" s="2">
        <v>1.28247</v>
      </c>
    </row>
    <row r="653" spans="1:12" x14ac:dyDescent="0.2">
      <c r="A653" s="2" t="s">
        <v>1723</v>
      </c>
      <c r="B653" s="2" t="s">
        <v>3015</v>
      </c>
      <c r="C653" s="2" t="s">
        <v>2887</v>
      </c>
      <c r="D653" s="2" t="s">
        <v>1839</v>
      </c>
      <c r="E653" s="2" t="s">
        <v>1841</v>
      </c>
      <c r="F653" s="2">
        <v>0.77668300000000001</v>
      </c>
      <c r="G653" s="2">
        <v>2.7851300000000001</v>
      </c>
      <c r="H653" s="2">
        <v>1.8423499999999999</v>
      </c>
      <c r="I653" s="2">
        <v>1</v>
      </c>
      <c r="K653" s="2" t="s">
        <v>1726</v>
      </c>
      <c r="L653" s="2">
        <v>-1.2116199999999999</v>
      </c>
    </row>
    <row r="654" spans="1:12" x14ac:dyDescent="0.2">
      <c r="A654" s="2" t="s">
        <v>817</v>
      </c>
      <c r="B654" s="2" t="s">
        <v>3015</v>
      </c>
      <c r="C654" s="2" t="s">
        <v>2575</v>
      </c>
      <c r="D654" s="2" t="s">
        <v>1839</v>
      </c>
      <c r="E654" s="2" t="s">
        <v>1841</v>
      </c>
      <c r="F654" s="2">
        <v>1.07145</v>
      </c>
      <c r="G654" s="2">
        <v>2.9190200000000002</v>
      </c>
      <c r="H654" s="2">
        <v>1.4459200000000001</v>
      </c>
      <c r="I654" s="2">
        <v>1</v>
      </c>
      <c r="K654" s="2" t="s">
        <v>1402</v>
      </c>
      <c r="L654" s="2">
        <v>1.5705</v>
      </c>
    </row>
    <row r="655" spans="1:12" x14ac:dyDescent="0.2">
      <c r="A655" s="2" t="s">
        <v>819</v>
      </c>
      <c r="B655" s="2" t="s">
        <v>3015</v>
      </c>
      <c r="C655" s="2" t="s">
        <v>2214</v>
      </c>
      <c r="D655" s="2" t="s">
        <v>1839</v>
      </c>
      <c r="E655" s="2" t="s">
        <v>1841</v>
      </c>
      <c r="F655" s="2">
        <v>5.6794099999999998</v>
      </c>
      <c r="G655" s="2">
        <v>0.78088999999999997</v>
      </c>
      <c r="H655" s="2">
        <v>-2.8625500000000001</v>
      </c>
      <c r="I655" s="2">
        <v>1</v>
      </c>
      <c r="K655" s="2" t="s">
        <v>831</v>
      </c>
      <c r="L655" s="2">
        <v>-1.34293</v>
      </c>
    </row>
    <row r="656" spans="1:12" x14ac:dyDescent="0.2">
      <c r="A656" s="2" t="s">
        <v>1724</v>
      </c>
      <c r="B656" s="2" t="s">
        <v>3073</v>
      </c>
      <c r="C656" s="2" t="s">
        <v>2888</v>
      </c>
      <c r="D656" s="2" t="s">
        <v>1839</v>
      </c>
      <c r="E656" s="2" t="s">
        <v>1841</v>
      </c>
      <c r="F656" s="2">
        <v>0.97533000000000003</v>
      </c>
      <c r="G656" s="2">
        <v>0.38482499999999997</v>
      </c>
      <c r="H656" s="2">
        <v>-1.34169</v>
      </c>
      <c r="I656" s="2">
        <v>1</v>
      </c>
      <c r="K656" s="2" t="s">
        <v>832</v>
      </c>
      <c r="L656" s="2">
        <v>-1.1429</v>
      </c>
    </row>
    <row r="657" spans="1:12" x14ac:dyDescent="0.2">
      <c r="A657" s="2" t="s">
        <v>821</v>
      </c>
      <c r="B657" s="2" t="s">
        <v>3015</v>
      </c>
      <c r="C657" s="2" t="s">
        <v>2216</v>
      </c>
      <c r="D657" s="2" t="s">
        <v>1839</v>
      </c>
      <c r="E657" s="2" t="s">
        <v>1841</v>
      </c>
      <c r="F657" s="2">
        <v>0.26499899999999998</v>
      </c>
      <c r="G657" s="2">
        <v>1.73248</v>
      </c>
      <c r="H657" s="2">
        <v>2.70878</v>
      </c>
      <c r="I657" s="2">
        <v>1</v>
      </c>
      <c r="K657" s="2" t="s">
        <v>1404</v>
      </c>
      <c r="L657" s="2">
        <v>1.8756699999999999</v>
      </c>
    </row>
    <row r="658" spans="1:12" x14ac:dyDescent="0.2">
      <c r="A658" s="2" t="s">
        <v>822</v>
      </c>
      <c r="B658" s="2" t="s">
        <v>3217</v>
      </c>
      <c r="C658" s="2" t="s">
        <v>2217</v>
      </c>
      <c r="D658" s="2" t="s">
        <v>1839</v>
      </c>
      <c r="E658" s="2" t="s">
        <v>1841</v>
      </c>
      <c r="F658" s="2">
        <v>1.76353</v>
      </c>
      <c r="G658" s="2">
        <v>4.2376300000000002</v>
      </c>
      <c r="H658" s="2">
        <v>1.2647900000000001</v>
      </c>
      <c r="I658" s="2">
        <v>1</v>
      </c>
      <c r="K658" s="2" t="s">
        <v>1727</v>
      </c>
      <c r="L658" s="2">
        <v>1.33606</v>
      </c>
    </row>
    <row r="659" spans="1:12" x14ac:dyDescent="0.2">
      <c r="A659" s="2" t="s">
        <v>823</v>
      </c>
      <c r="B659" s="2" t="s">
        <v>3015</v>
      </c>
      <c r="C659" s="2" t="s">
        <v>2218</v>
      </c>
      <c r="D659" s="2" t="s">
        <v>1839</v>
      </c>
      <c r="E659" s="2" t="s">
        <v>1841</v>
      </c>
      <c r="F659" s="2">
        <v>0.13825399999999999</v>
      </c>
      <c r="G659" s="2">
        <v>11.494999999999999</v>
      </c>
      <c r="H659" s="2">
        <v>6.3775399999999998</v>
      </c>
      <c r="I659" s="2">
        <v>1</v>
      </c>
      <c r="K659" s="2" t="s">
        <v>1406</v>
      </c>
      <c r="L659" s="2">
        <v>1.4063300000000001</v>
      </c>
    </row>
    <row r="660" spans="1:12" x14ac:dyDescent="0.2">
      <c r="A660" s="2" t="s">
        <v>825</v>
      </c>
      <c r="B660" s="2" t="s">
        <v>3015</v>
      </c>
      <c r="C660" s="2" t="s">
        <v>2579</v>
      </c>
      <c r="D660" s="2" t="s">
        <v>1839</v>
      </c>
      <c r="E660" s="2" t="s">
        <v>1841</v>
      </c>
      <c r="F660" s="2">
        <v>1.14524</v>
      </c>
      <c r="G660" s="2">
        <v>16.429500000000001</v>
      </c>
      <c r="H660" s="2">
        <v>3.8425600000000002</v>
      </c>
      <c r="I660" s="2">
        <v>1</v>
      </c>
      <c r="K660" s="2" t="s">
        <v>838</v>
      </c>
      <c r="L660" s="2">
        <v>-1.01353</v>
      </c>
    </row>
    <row r="661" spans="1:12" x14ac:dyDescent="0.2">
      <c r="A661" s="2" t="s">
        <v>1725</v>
      </c>
      <c r="B661" s="2" t="s">
        <v>3396</v>
      </c>
      <c r="C661" s="2" t="s">
        <v>2889</v>
      </c>
      <c r="D661" s="2" t="s">
        <v>1839</v>
      </c>
      <c r="E661" s="2" t="s">
        <v>1841</v>
      </c>
      <c r="F661" s="2">
        <v>3.1679300000000001</v>
      </c>
      <c r="G661" s="2">
        <v>7.7061400000000004</v>
      </c>
      <c r="H661" s="2">
        <v>1.28247</v>
      </c>
      <c r="I661" s="2">
        <v>1</v>
      </c>
      <c r="K661" s="2" t="s">
        <v>1728</v>
      </c>
      <c r="L661" s="2">
        <v>1.34531</v>
      </c>
    </row>
    <row r="662" spans="1:12" x14ac:dyDescent="0.2">
      <c r="A662" s="2" t="s">
        <v>1726</v>
      </c>
      <c r="B662" s="2" t="s">
        <v>3015</v>
      </c>
      <c r="C662" s="2" t="s">
        <v>2890</v>
      </c>
      <c r="D662" s="2" t="s">
        <v>1839</v>
      </c>
      <c r="E662" s="2" t="s">
        <v>1841</v>
      </c>
      <c r="F662" s="2">
        <v>1.05138</v>
      </c>
      <c r="G662" s="2">
        <v>0.45396900000000001</v>
      </c>
      <c r="H662" s="2">
        <v>-1.2116199999999999</v>
      </c>
      <c r="I662" s="2">
        <v>1</v>
      </c>
      <c r="K662" s="2" t="s">
        <v>1729</v>
      </c>
      <c r="L662" s="2">
        <v>1.2416700000000001</v>
      </c>
    </row>
    <row r="663" spans="1:12" x14ac:dyDescent="0.2">
      <c r="A663" s="2" t="s">
        <v>1402</v>
      </c>
      <c r="B663" s="2" t="s">
        <v>3015</v>
      </c>
      <c r="C663" s="2" t="s">
        <v>2891</v>
      </c>
      <c r="D663" s="2" t="s">
        <v>1839</v>
      </c>
      <c r="E663" s="2" t="s">
        <v>1841</v>
      </c>
      <c r="F663" s="2">
        <v>1.9628399999999999</v>
      </c>
      <c r="G663" s="2">
        <v>5.8297800000000004</v>
      </c>
      <c r="H663" s="2">
        <v>1.5705</v>
      </c>
      <c r="I663" s="2">
        <v>1</v>
      </c>
      <c r="K663" s="2" t="s">
        <v>847</v>
      </c>
      <c r="L663" s="2">
        <v>2.0366900000000001</v>
      </c>
    </row>
    <row r="664" spans="1:12" x14ac:dyDescent="0.2">
      <c r="A664" s="2" t="s">
        <v>831</v>
      </c>
      <c r="B664" s="2" t="s">
        <v>3015</v>
      </c>
      <c r="C664" s="2" t="s">
        <v>3015</v>
      </c>
      <c r="D664" s="2" t="s">
        <v>1839</v>
      </c>
      <c r="E664" s="2" t="s">
        <v>1841</v>
      </c>
      <c r="F664" s="2">
        <v>29.063800000000001</v>
      </c>
      <c r="G664" s="2">
        <v>11.4575</v>
      </c>
      <c r="H664" s="2">
        <v>-1.34293</v>
      </c>
      <c r="I664" s="2">
        <v>1</v>
      </c>
      <c r="K664" s="2" t="s">
        <v>848</v>
      </c>
      <c r="L664" s="2">
        <v>2.2688000000000001</v>
      </c>
    </row>
    <row r="665" spans="1:12" x14ac:dyDescent="0.2">
      <c r="A665" s="2" t="s">
        <v>832</v>
      </c>
      <c r="B665" s="2" t="s">
        <v>3015</v>
      </c>
      <c r="C665" s="2" t="s">
        <v>2892</v>
      </c>
      <c r="D665" s="2" t="s">
        <v>1839</v>
      </c>
      <c r="E665" s="2" t="s">
        <v>1841</v>
      </c>
      <c r="F665" s="2">
        <v>47.9833</v>
      </c>
      <c r="G665" s="2">
        <v>21.729099999999999</v>
      </c>
      <c r="H665" s="2">
        <v>-1.1429</v>
      </c>
      <c r="I665" s="2">
        <v>1</v>
      </c>
      <c r="K665" s="2" t="s">
        <v>1730</v>
      </c>
      <c r="L665" s="2">
        <v>1.0845899999999999</v>
      </c>
    </row>
    <row r="666" spans="1:12" x14ac:dyDescent="0.2">
      <c r="A666" s="2" t="s">
        <v>1404</v>
      </c>
      <c r="B666" s="2" t="s">
        <v>3015</v>
      </c>
      <c r="C666" s="2" t="s">
        <v>2893</v>
      </c>
      <c r="D666" s="2" t="s">
        <v>1839</v>
      </c>
      <c r="E666" s="2" t="s">
        <v>1841</v>
      </c>
      <c r="F666" s="2">
        <v>0.32739800000000002</v>
      </c>
      <c r="G666" s="2">
        <v>1.20146</v>
      </c>
      <c r="H666" s="2">
        <v>1.8756699999999999</v>
      </c>
      <c r="I666" s="2">
        <v>1</v>
      </c>
      <c r="K666" s="2" t="s">
        <v>1731</v>
      </c>
      <c r="L666" s="2">
        <v>1.23987</v>
      </c>
    </row>
    <row r="667" spans="1:12" x14ac:dyDescent="0.2">
      <c r="A667" s="2" t="s">
        <v>1727</v>
      </c>
      <c r="B667" s="2" t="s">
        <v>3015</v>
      </c>
      <c r="C667" s="2" t="s">
        <v>2894</v>
      </c>
      <c r="D667" s="2" t="s">
        <v>1839</v>
      </c>
      <c r="E667" s="2" t="s">
        <v>1841</v>
      </c>
      <c r="F667" s="2">
        <v>0.355991</v>
      </c>
      <c r="G667" s="2">
        <v>0.89873599999999998</v>
      </c>
      <c r="H667" s="2">
        <v>1.33606</v>
      </c>
      <c r="I667" s="2">
        <v>1</v>
      </c>
      <c r="K667" s="2" t="s">
        <v>850</v>
      </c>
      <c r="L667" s="2">
        <v>1.3027500000000001</v>
      </c>
    </row>
    <row r="668" spans="1:12" x14ac:dyDescent="0.2">
      <c r="A668" s="2" t="s">
        <v>1406</v>
      </c>
      <c r="B668" s="2" t="s">
        <v>3209</v>
      </c>
      <c r="C668" s="2" t="s">
        <v>2580</v>
      </c>
      <c r="D668" s="2" t="s">
        <v>1839</v>
      </c>
      <c r="E668" s="2" t="s">
        <v>1841</v>
      </c>
      <c r="F668" s="2">
        <v>1.94476</v>
      </c>
      <c r="G668" s="2">
        <v>5.1548400000000001</v>
      </c>
      <c r="H668" s="2">
        <v>1.4063300000000001</v>
      </c>
      <c r="I668" s="2">
        <v>1</v>
      </c>
      <c r="K668" s="2" t="s">
        <v>1408</v>
      </c>
      <c r="L668" s="2">
        <v>1.0209600000000001</v>
      </c>
    </row>
    <row r="669" spans="1:12" x14ac:dyDescent="0.2">
      <c r="A669" s="2" t="s">
        <v>838</v>
      </c>
      <c r="B669" s="2" t="s">
        <v>3015</v>
      </c>
      <c r="C669" s="2" t="s">
        <v>3015</v>
      </c>
      <c r="D669" s="2" t="s">
        <v>1839</v>
      </c>
      <c r="E669" s="2" t="s">
        <v>1841</v>
      </c>
      <c r="F669" s="2">
        <v>5.8734599999999997</v>
      </c>
      <c r="G669" s="2">
        <v>2.9093200000000001</v>
      </c>
      <c r="H669" s="2">
        <v>-1.01353</v>
      </c>
      <c r="I669" s="2">
        <v>1</v>
      </c>
      <c r="K669" s="2" t="s">
        <v>1733</v>
      </c>
      <c r="L669" s="2">
        <v>1.2654099999999999</v>
      </c>
    </row>
    <row r="670" spans="1:12" x14ac:dyDescent="0.2">
      <c r="A670" s="2" t="s">
        <v>1728</v>
      </c>
      <c r="B670" s="2" t="s">
        <v>3038</v>
      </c>
      <c r="C670" s="2" t="s">
        <v>2895</v>
      </c>
      <c r="D670" s="2" t="s">
        <v>1839</v>
      </c>
      <c r="E670" s="2" t="s">
        <v>1841</v>
      </c>
      <c r="F670" s="2">
        <v>1.41951</v>
      </c>
      <c r="G670" s="2">
        <v>3.60676</v>
      </c>
      <c r="H670" s="2">
        <v>1.34531</v>
      </c>
      <c r="I670" s="2">
        <v>1</v>
      </c>
      <c r="K670" s="2" t="s">
        <v>1734</v>
      </c>
      <c r="L670" s="2">
        <v>1.58128</v>
      </c>
    </row>
    <row r="671" spans="1:12" x14ac:dyDescent="0.2">
      <c r="A671" s="2" t="s">
        <v>1729</v>
      </c>
      <c r="B671" s="2" t="s">
        <v>3015</v>
      </c>
      <c r="C671" s="2" t="s">
        <v>2896</v>
      </c>
      <c r="D671" s="2" t="s">
        <v>1839</v>
      </c>
      <c r="E671" s="2" t="s">
        <v>1841</v>
      </c>
      <c r="F671" s="2">
        <v>2.5253899999999998</v>
      </c>
      <c r="G671" s="2">
        <v>5.9718299999999997</v>
      </c>
      <c r="H671" s="2">
        <v>1.2416700000000001</v>
      </c>
      <c r="I671" s="2">
        <v>1</v>
      </c>
      <c r="K671" s="2" t="s">
        <v>856</v>
      </c>
      <c r="L671" s="2">
        <v>1.13571</v>
      </c>
    </row>
    <row r="672" spans="1:12" x14ac:dyDescent="0.2">
      <c r="A672" s="2" t="s">
        <v>847</v>
      </c>
      <c r="B672" s="2" t="s">
        <v>3045</v>
      </c>
      <c r="C672" s="2" t="s">
        <v>1986</v>
      </c>
      <c r="D672" s="2" t="s">
        <v>1839</v>
      </c>
      <c r="E672" s="2" t="s">
        <v>1841</v>
      </c>
      <c r="F672" s="2">
        <v>3.3915799999999998</v>
      </c>
      <c r="G672" s="2">
        <v>13.915800000000001</v>
      </c>
      <c r="H672" s="2">
        <v>2.0366900000000001</v>
      </c>
      <c r="I672" s="2">
        <v>1</v>
      </c>
      <c r="K672" s="2" t="s">
        <v>1409</v>
      </c>
      <c r="L672" s="2">
        <v>-1.06721</v>
      </c>
    </row>
    <row r="673" spans="1:12" x14ac:dyDescent="0.2">
      <c r="A673" s="2" t="s">
        <v>848</v>
      </c>
      <c r="B673" s="2" t="s">
        <v>3015</v>
      </c>
      <c r="C673" s="2" t="s">
        <v>2234</v>
      </c>
      <c r="D673" s="2" t="s">
        <v>1839</v>
      </c>
      <c r="E673" s="2" t="s">
        <v>1841</v>
      </c>
      <c r="F673" s="2">
        <v>0.214089</v>
      </c>
      <c r="G673" s="2">
        <v>1.0317499999999999</v>
      </c>
      <c r="H673" s="2">
        <v>2.2688000000000001</v>
      </c>
      <c r="I673" s="2">
        <v>1</v>
      </c>
      <c r="K673" s="2" t="s">
        <v>858</v>
      </c>
      <c r="L673" s="2">
        <v>2.79555</v>
      </c>
    </row>
    <row r="674" spans="1:12" x14ac:dyDescent="0.2">
      <c r="A674" s="2" t="s">
        <v>1730</v>
      </c>
      <c r="B674" s="2" t="s">
        <v>3465</v>
      </c>
      <c r="C674" s="2" t="s">
        <v>2897</v>
      </c>
      <c r="D674" s="2" t="s">
        <v>1839</v>
      </c>
      <c r="E674" s="2" t="s">
        <v>1841</v>
      </c>
      <c r="F674" s="2">
        <v>0.63943399999999995</v>
      </c>
      <c r="G674" s="2">
        <v>1.35609</v>
      </c>
      <c r="H674" s="2">
        <v>1.0845899999999999</v>
      </c>
      <c r="I674" s="2">
        <v>1</v>
      </c>
      <c r="K674" s="2" t="s">
        <v>1736</v>
      </c>
      <c r="L674" s="2">
        <v>1.1657900000000001</v>
      </c>
    </row>
    <row r="675" spans="1:12" x14ac:dyDescent="0.2">
      <c r="A675" s="2" t="s">
        <v>1731</v>
      </c>
      <c r="B675" s="2" t="s">
        <v>3295</v>
      </c>
      <c r="C675" s="2" t="s">
        <v>2898</v>
      </c>
      <c r="D675" s="2" t="s">
        <v>1839</v>
      </c>
      <c r="E675" s="2" t="s">
        <v>1841</v>
      </c>
      <c r="F675" s="2">
        <v>0.49774800000000002</v>
      </c>
      <c r="G675" s="2">
        <v>1.1755599999999999</v>
      </c>
      <c r="H675" s="2">
        <v>1.23987</v>
      </c>
      <c r="I675" s="2">
        <v>1</v>
      </c>
      <c r="K675" s="2" t="s">
        <v>859</v>
      </c>
      <c r="L675" s="2">
        <v>1.63504</v>
      </c>
    </row>
    <row r="676" spans="1:12" x14ac:dyDescent="0.2">
      <c r="A676" s="2" t="s">
        <v>850</v>
      </c>
      <c r="B676" s="2" t="s">
        <v>3015</v>
      </c>
      <c r="C676" s="2" t="s">
        <v>2899</v>
      </c>
      <c r="D676" s="2" t="s">
        <v>1839</v>
      </c>
      <c r="E676" s="2" t="s">
        <v>1841</v>
      </c>
      <c r="F676" s="2">
        <v>1.10076</v>
      </c>
      <c r="G676" s="2">
        <v>2.7155499999999999</v>
      </c>
      <c r="H676" s="2">
        <v>1.3027500000000001</v>
      </c>
      <c r="I676" s="2">
        <v>1</v>
      </c>
      <c r="K676" s="2" t="s">
        <v>1410</v>
      </c>
      <c r="L676" s="2">
        <v>-1.0555600000000001</v>
      </c>
    </row>
    <row r="677" spans="1:12" x14ac:dyDescent="0.2">
      <c r="A677" s="2" t="s">
        <v>1408</v>
      </c>
      <c r="B677" s="2" t="s">
        <v>3242</v>
      </c>
      <c r="C677" s="2" t="s">
        <v>2282</v>
      </c>
      <c r="D677" s="2" t="s">
        <v>1839</v>
      </c>
      <c r="E677" s="2" t="s">
        <v>1841</v>
      </c>
      <c r="F677" s="2">
        <v>6.8091600000000003</v>
      </c>
      <c r="G677" s="2">
        <v>13.817600000000001</v>
      </c>
      <c r="H677" s="2">
        <v>1.0209600000000001</v>
      </c>
      <c r="I677" s="2">
        <v>1</v>
      </c>
      <c r="K677" s="2" t="s">
        <v>1411</v>
      </c>
      <c r="L677" s="2">
        <v>-1.2914000000000001</v>
      </c>
    </row>
    <row r="678" spans="1:12" x14ac:dyDescent="0.2">
      <c r="A678" s="2" t="s">
        <v>1733</v>
      </c>
      <c r="B678" s="2" t="s">
        <v>3015</v>
      </c>
      <c r="C678" s="2" t="s">
        <v>2900</v>
      </c>
      <c r="D678" s="2" t="s">
        <v>1839</v>
      </c>
      <c r="E678" s="2" t="s">
        <v>1841</v>
      </c>
      <c r="F678" s="2">
        <v>0.364674</v>
      </c>
      <c r="G678" s="2">
        <v>0.87666100000000002</v>
      </c>
      <c r="H678" s="2">
        <v>1.2654099999999999</v>
      </c>
      <c r="I678" s="2">
        <v>1</v>
      </c>
      <c r="K678" s="2" t="s">
        <v>1413</v>
      </c>
      <c r="L678" s="2">
        <v>1.7017800000000001</v>
      </c>
    </row>
    <row r="679" spans="1:12" x14ac:dyDescent="0.2">
      <c r="A679" s="2" t="s">
        <v>1734</v>
      </c>
      <c r="B679" s="2" t="s">
        <v>3015</v>
      </c>
      <c r="C679" s="2" t="s">
        <v>2160</v>
      </c>
      <c r="D679" s="2" t="s">
        <v>1839</v>
      </c>
      <c r="E679" s="2" t="s">
        <v>1841</v>
      </c>
      <c r="F679" s="2">
        <v>0.31065199999999998</v>
      </c>
      <c r="G679" s="2">
        <v>0.92958200000000002</v>
      </c>
      <c r="H679" s="2">
        <v>1.58128</v>
      </c>
      <c r="I679" s="2">
        <v>1</v>
      </c>
      <c r="K679" s="2" t="s">
        <v>1737</v>
      </c>
      <c r="L679" s="2">
        <v>-1.0319799999999999</v>
      </c>
    </row>
    <row r="680" spans="1:12" x14ac:dyDescent="0.2">
      <c r="A680" s="2" t="s">
        <v>1735</v>
      </c>
      <c r="B680" s="2" t="s">
        <v>3015</v>
      </c>
      <c r="C680" s="2" t="s">
        <v>3015</v>
      </c>
      <c r="D680" s="2" t="s">
        <v>1839</v>
      </c>
      <c r="E680" s="2" t="s">
        <v>1841</v>
      </c>
      <c r="F680" s="2">
        <v>0</v>
      </c>
      <c r="G680" s="2">
        <v>1.50499</v>
      </c>
      <c r="H680" s="2" t="s">
        <v>3021</v>
      </c>
      <c r="I680" s="2" t="s">
        <v>3021</v>
      </c>
      <c r="K680" s="2" t="s">
        <v>867</v>
      </c>
      <c r="L680" s="2">
        <v>1.0280100000000001</v>
      </c>
    </row>
    <row r="681" spans="1:12" x14ac:dyDescent="0.2">
      <c r="A681" s="2" t="s">
        <v>8</v>
      </c>
      <c r="B681" s="2" t="s">
        <v>3015</v>
      </c>
      <c r="C681" s="2" t="s">
        <v>3015</v>
      </c>
      <c r="D681" s="2" t="s">
        <v>1839</v>
      </c>
      <c r="E681" s="2" t="s">
        <v>1841</v>
      </c>
      <c r="F681" s="2">
        <v>1.7303500000000001</v>
      </c>
      <c r="G681" s="2">
        <v>0</v>
      </c>
      <c r="H681" s="2" t="s">
        <v>3021</v>
      </c>
      <c r="I681" s="2" t="s">
        <v>3021</v>
      </c>
      <c r="K681" s="2" t="s">
        <v>870</v>
      </c>
      <c r="L681" s="2">
        <v>2.1253099999999998</v>
      </c>
    </row>
    <row r="682" spans="1:12" x14ac:dyDescent="0.2">
      <c r="A682" s="2" t="s">
        <v>856</v>
      </c>
      <c r="B682" s="2" t="s">
        <v>3443</v>
      </c>
      <c r="C682" s="2" t="s">
        <v>2901</v>
      </c>
      <c r="D682" s="2" t="s">
        <v>1839</v>
      </c>
      <c r="E682" s="2" t="s">
        <v>1841</v>
      </c>
      <c r="F682" s="2">
        <v>13.021100000000001</v>
      </c>
      <c r="G682" s="2">
        <v>28.611000000000001</v>
      </c>
      <c r="H682" s="2">
        <v>1.13571</v>
      </c>
      <c r="I682" s="2">
        <v>1</v>
      </c>
      <c r="K682" s="2" t="s">
        <v>874</v>
      </c>
      <c r="L682" s="2">
        <v>-1.1960200000000001</v>
      </c>
    </row>
    <row r="683" spans="1:12" x14ac:dyDescent="0.2">
      <c r="A683" s="2" t="s">
        <v>1409</v>
      </c>
      <c r="B683" s="2" t="s">
        <v>3015</v>
      </c>
      <c r="C683" s="2" t="s">
        <v>2902</v>
      </c>
      <c r="D683" s="2" t="s">
        <v>1839</v>
      </c>
      <c r="E683" s="2" t="s">
        <v>1841</v>
      </c>
      <c r="F683" s="2">
        <v>14.251099999999999</v>
      </c>
      <c r="G683" s="2">
        <v>6.8012199999999998</v>
      </c>
      <c r="H683" s="2">
        <v>-1.06721</v>
      </c>
      <c r="I683" s="2">
        <v>1</v>
      </c>
      <c r="K683" s="2" t="s">
        <v>1738</v>
      </c>
      <c r="L683" s="2">
        <v>1.20462</v>
      </c>
    </row>
    <row r="684" spans="1:12" x14ac:dyDescent="0.2">
      <c r="A684" s="2" t="s">
        <v>858</v>
      </c>
      <c r="B684" s="2" t="s">
        <v>3224</v>
      </c>
      <c r="C684" s="2" t="s">
        <v>2240</v>
      </c>
      <c r="D684" s="2" t="s">
        <v>1839</v>
      </c>
      <c r="E684" s="2" t="s">
        <v>1841</v>
      </c>
      <c r="F684" s="2">
        <v>1.2313700000000001</v>
      </c>
      <c r="G684" s="2">
        <v>8.5493500000000004</v>
      </c>
      <c r="H684" s="2">
        <v>2.79555</v>
      </c>
      <c r="I684" s="2">
        <v>1</v>
      </c>
      <c r="K684" s="2" t="s">
        <v>1739</v>
      </c>
      <c r="L684" s="2">
        <v>1.3526199999999999</v>
      </c>
    </row>
    <row r="685" spans="1:12" x14ac:dyDescent="0.2">
      <c r="A685" s="2" t="s">
        <v>1736</v>
      </c>
      <c r="B685" s="2" t="s">
        <v>3015</v>
      </c>
      <c r="C685" s="2" t="s">
        <v>2903</v>
      </c>
      <c r="D685" s="2" t="s">
        <v>1839</v>
      </c>
      <c r="E685" s="2" t="s">
        <v>1841</v>
      </c>
      <c r="F685" s="2">
        <v>0.893648</v>
      </c>
      <c r="G685" s="2">
        <v>2.00495</v>
      </c>
      <c r="H685" s="2">
        <v>1.1657900000000001</v>
      </c>
      <c r="I685" s="2">
        <v>1</v>
      </c>
      <c r="K685" s="2" t="s">
        <v>876</v>
      </c>
      <c r="L685" s="2">
        <v>2.1430600000000002</v>
      </c>
    </row>
    <row r="686" spans="1:12" x14ac:dyDescent="0.2">
      <c r="A686" s="2" t="s">
        <v>859</v>
      </c>
      <c r="B686" s="2" t="s">
        <v>3015</v>
      </c>
      <c r="C686" s="2" t="s">
        <v>2241</v>
      </c>
      <c r="D686" s="2" t="s">
        <v>1839</v>
      </c>
      <c r="E686" s="2" t="s">
        <v>1841</v>
      </c>
      <c r="F686" s="2">
        <v>0.56196800000000002</v>
      </c>
      <c r="G686" s="2">
        <v>1.7454499999999999</v>
      </c>
      <c r="H686" s="2">
        <v>1.63504</v>
      </c>
      <c r="I686" s="2">
        <v>1</v>
      </c>
      <c r="K686" s="2" t="s">
        <v>880</v>
      </c>
      <c r="L686" s="2">
        <v>-1.4319299999999999</v>
      </c>
    </row>
    <row r="687" spans="1:12" x14ac:dyDescent="0.2">
      <c r="A687" s="2" t="s">
        <v>1410</v>
      </c>
      <c r="B687" s="2" t="s">
        <v>3193</v>
      </c>
      <c r="C687" s="2" t="s">
        <v>2904</v>
      </c>
      <c r="D687" s="2" t="s">
        <v>1839</v>
      </c>
      <c r="E687" s="2" t="s">
        <v>1841</v>
      </c>
      <c r="F687" s="2">
        <v>2.90916</v>
      </c>
      <c r="G687" s="2">
        <v>1.3996299999999999</v>
      </c>
      <c r="H687" s="2">
        <v>-1.0555600000000001</v>
      </c>
      <c r="I687" s="2">
        <v>1</v>
      </c>
      <c r="K687" s="2" t="s">
        <v>881</v>
      </c>
      <c r="L687" s="2">
        <v>1.6664300000000001</v>
      </c>
    </row>
    <row r="688" spans="1:12" x14ac:dyDescent="0.2">
      <c r="A688" s="2" t="s">
        <v>1411</v>
      </c>
      <c r="B688" s="2" t="s">
        <v>3452</v>
      </c>
      <c r="C688" s="2" t="s">
        <v>1981</v>
      </c>
      <c r="D688" s="2" t="s">
        <v>1839</v>
      </c>
      <c r="E688" s="2" t="s">
        <v>1841</v>
      </c>
      <c r="F688" s="2">
        <v>17.732399999999998</v>
      </c>
      <c r="G688" s="2">
        <v>7.2446599999999997</v>
      </c>
      <c r="H688" s="2">
        <v>-1.2914000000000001</v>
      </c>
      <c r="I688" s="2">
        <v>1</v>
      </c>
      <c r="K688" s="2" t="s">
        <v>1740</v>
      </c>
      <c r="L688" s="2">
        <v>-1.0248299999999999</v>
      </c>
    </row>
    <row r="689" spans="1:12" x14ac:dyDescent="0.2">
      <c r="A689" s="2" t="s">
        <v>1413</v>
      </c>
      <c r="B689" s="2" t="s">
        <v>3466</v>
      </c>
      <c r="C689" s="2" t="s">
        <v>2720</v>
      </c>
      <c r="D689" s="2" t="s">
        <v>1839</v>
      </c>
      <c r="E689" s="2" t="s">
        <v>1841</v>
      </c>
      <c r="F689" s="2">
        <v>1.31369</v>
      </c>
      <c r="G689" s="2">
        <v>4.2734699999999997</v>
      </c>
      <c r="H689" s="2">
        <v>1.7017800000000001</v>
      </c>
      <c r="I689" s="2">
        <v>1</v>
      </c>
      <c r="K689" s="2" t="s">
        <v>1741</v>
      </c>
      <c r="L689" s="2">
        <v>-1.20746</v>
      </c>
    </row>
    <row r="690" spans="1:12" x14ac:dyDescent="0.2">
      <c r="A690" s="2" t="s">
        <v>1737</v>
      </c>
      <c r="B690" s="2" t="s">
        <v>3182</v>
      </c>
      <c r="C690" s="2" t="s">
        <v>2905</v>
      </c>
      <c r="D690" s="2" t="s">
        <v>1839</v>
      </c>
      <c r="E690" s="2" t="s">
        <v>1841</v>
      </c>
      <c r="F690" s="2">
        <v>12.4674</v>
      </c>
      <c r="G690" s="2">
        <v>6.09701</v>
      </c>
      <c r="H690" s="2">
        <v>-1.0319799999999999</v>
      </c>
      <c r="I690" s="2">
        <v>1</v>
      </c>
      <c r="K690" s="2" t="s">
        <v>884</v>
      </c>
      <c r="L690" s="2">
        <v>1.0861099999999999</v>
      </c>
    </row>
    <row r="691" spans="1:12" x14ac:dyDescent="0.2">
      <c r="A691" s="2" t="s">
        <v>867</v>
      </c>
      <c r="B691" s="2" t="s">
        <v>3073</v>
      </c>
      <c r="C691" s="2" t="s">
        <v>2906</v>
      </c>
      <c r="D691" s="2" t="s">
        <v>1839</v>
      </c>
      <c r="E691" s="2" t="s">
        <v>1841</v>
      </c>
      <c r="F691" s="2">
        <v>2.2814899999999998</v>
      </c>
      <c r="G691" s="2">
        <v>4.6524299999999998</v>
      </c>
      <c r="H691" s="2">
        <v>1.0280100000000001</v>
      </c>
      <c r="I691" s="2">
        <v>1</v>
      </c>
      <c r="K691" s="2" t="s">
        <v>885</v>
      </c>
      <c r="L691" s="2">
        <v>-1.43167</v>
      </c>
    </row>
    <row r="692" spans="1:12" x14ac:dyDescent="0.2">
      <c r="A692" s="2" t="s">
        <v>870</v>
      </c>
      <c r="B692" s="2" t="s">
        <v>3015</v>
      </c>
      <c r="C692" s="2" t="s">
        <v>1847</v>
      </c>
      <c r="D692" s="2" t="s">
        <v>1839</v>
      </c>
      <c r="E692" s="2" t="s">
        <v>1841</v>
      </c>
      <c r="F692" s="2">
        <v>8.5692299999999992</v>
      </c>
      <c r="G692" s="2">
        <v>37.3872</v>
      </c>
      <c r="H692" s="2">
        <v>2.1253099999999998</v>
      </c>
      <c r="I692" s="2">
        <v>1</v>
      </c>
      <c r="K692" s="2" t="s">
        <v>886</v>
      </c>
      <c r="L692" s="2">
        <v>1.53321</v>
      </c>
    </row>
    <row r="693" spans="1:12" x14ac:dyDescent="0.2">
      <c r="A693" s="2" t="s">
        <v>874</v>
      </c>
      <c r="B693" s="2" t="s">
        <v>3448</v>
      </c>
      <c r="C693" s="2" t="s">
        <v>2907</v>
      </c>
      <c r="D693" s="2" t="s">
        <v>1839</v>
      </c>
      <c r="E693" s="2" t="s">
        <v>1841</v>
      </c>
      <c r="F693" s="2">
        <v>114.291</v>
      </c>
      <c r="G693" s="2">
        <v>49.885599999999997</v>
      </c>
      <c r="H693" s="2">
        <v>-1.1960200000000001</v>
      </c>
      <c r="I693" s="2">
        <v>1</v>
      </c>
      <c r="K693" s="2" t="s">
        <v>887</v>
      </c>
      <c r="L693" s="2">
        <v>2.21577</v>
      </c>
    </row>
    <row r="694" spans="1:12" x14ac:dyDescent="0.2">
      <c r="A694" s="2" t="s">
        <v>1738</v>
      </c>
      <c r="B694" s="2" t="s">
        <v>3467</v>
      </c>
      <c r="C694" s="2" t="s">
        <v>2908</v>
      </c>
      <c r="D694" s="2" t="s">
        <v>1839</v>
      </c>
      <c r="E694" s="2" t="s">
        <v>1841</v>
      </c>
      <c r="F694" s="2">
        <v>1.65524</v>
      </c>
      <c r="G694" s="2">
        <v>3.8149500000000001</v>
      </c>
      <c r="H694" s="2">
        <v>1.20462</v>
      </c>
      <c r="I694" s="2">
        <v>1</v>
      </c>
      <c r="K694" s="2" t="s">
        <v>3022</v>
      </c>
      <c r="L694" s="2">
        <v>1.7115100000000001</v>
      </c>
    </row>
    <row r="695" spans="1:12" x14ac:dyDescent="0.2">
      <c r="A695" s="2" t="s">
        <v>1739</v>
      </c>
      <c r="B695" s="2" t="s">
        <v>3468</v>
      </c>
      <c r="C695" s="2" t="s">
        <v>2909</v>
      </c>
      <c r="D695" s="2" t="s">
        <v>1839</v>
      </c>
      <c r="E695" s="2" t="s">
        <v>1841</v>
      </c>
      <c r="F695" s="2">
        <v>0.69711299999999998</v>
      </c>
      <c r="G695" s="2">
        <v>1.7802500000000001</v>
      </c>
      <c r="H695" s="2">
        <v>1.3526199999999999</v>
      </c>
      <c r="I695" s="2">
        <v>1</v>
      </c>
      <c r="K695" s="2" t="s">
        <v>888</v>
      </c>
      <c r="L695" s="2">
        <v>-1.7730900000000001</v>
      </c>
    </row>
    <row r="696" spans="1:12" x14ac:dyDescent="0.2">
      <c r="A696" s="2" t="s">
        <v>876</v>
      </c>
      <c r="B696" s="2" t="s">
        <v>3191</v>
      </c>
      <c r="C696" s="2" t="s">
        <v>2248</v>
      </c>
      <c r="D696" s="2" t="s">
        <v>1839</v>
      </c>
      <c r="E696" s="2" t="s">
        <v>1841</v>
      </c>
      <c r="F696" s="2">
        <v>3.03437</v>
      </c>
      <c r="G696" s="2">
        <v>13.402699999999999</v>
      </c>
      <c r="H696" s="2">
        <v>2.1430600000000002</v>
      </c>
      <c r="I696" s="2">
        <v>1</v>
      </c>
      <c r="K696" s="2" t="s">
        <v>1742</v>
      </c>
      <c r="L696" s="2">
        <v>1.3526499999999999</v>
      </c>
    </row>
    <row r="697" spans="1:12" x14ac:dyDescent="0.2">
      <c r="A697" s="2" t="s">
        <v>880</v>
      </c>
      <c r="B697" s="2" t="s">
        <v>3015</v>
      </c>
      <c r="C697" s="2" t="s">
        <v>2251</v>
      </c>
      <c r="D697" s="2" t="s">
        <v>1839</v>
      </c>
      <c r="E697" s="2" t="s">
        <v>1841</v>
      </c>
      <c r="F697" s="2">
        <v>2.0710199999999999</v>
      </c>
      <c r="G697" s="2">
        <v>0.767594</v>
      </c>
      <c r="H697" s="2">
        <v>-1.4319299999999999</v>
      </c>
      <c r="I697" s="2">
        <v>1</v>
      </c>
      <c r="K697" s="2" t="s">
        <v>1415</v>
      </c>
      <c r="L697" s="2">
        <v>1.8312299999999999</v>
      </c>
    </row>
    <row r="698" spans="1:12" x14ac:dyDescent="0.2">
      <c r="A698" s="2" t="s">
        <v>881</v>
      </c>
      <c r="B698" s="2" t="s">
        <v>3045</v>
      </c>
      <c r="C698" s="2" t="s">
        <v>1986</v>
      </c>
      <c r="D698" s="2" t="s">
        <v>1839</v>
      </c>
      <c r="E698" s="2" t="s">
        <v>1841</v>
      </c>
      <c r="F698" s="2">
        <v>4.1311</v>
      </c>
      <c r="G698" s="2">
        <v>13.113300000000001</v>
      </c>
      <c r="H698" s="2">
        <v>1.6664300000000001</v>
      </c>
      <c r="I698" s="2">
        <v>1</v>
      </c>
      <c r="K698" s="2" t="s">
        <v>1743</v>
      </c>
      <c r="L698" s="2">
        <v>-1.0589500000000001</v>
      </c>
    </row>
    <row r="699" spans="1:12" x14ac:dyDescent="0.2">
      <c r="A699" s="2" t="s">
        <v>1740</v>
      </c>
      <c r="B699" s="2" t="s">
        <v>3015</v>
      </c>
      <c r="C699" s="2" t="s">
        <v>3015</v>
      </c>
      <c r="D699" s="2" t="s">
        <v>1839</v>
      </c>
      <c r="E699" s="2" t="s">
        <v>1841</v>
      </c>
      <c r="F699" s="2">
        <v>45.418700000000001</v>
      </c>
      <c r="G699" s="2">
        <v>22.321899999999999</v>
      </c>
      <c r="H699" s="2">
        <v>-1.0248299999999999</v>
      </c>
      <c r="I699" s="2">
        <v>1</v>
      </c>
      <c r="K699" s="2" t="s">
        <v>1744</v>
      </c>
      <c r="L699" s="2">
        <v>1.04033</v>
      </c>
    </row>
    <row r="700" spans="1:12" x14ac:dyDescent="0.2">
      <c r="A700" s="2" t="s">
        <v>1741</v>
      </c>
      <c r="B700" s="2" t="s">
        <v>3015</v>
      </c>
      <c r="C700" s="2" t="s">
        <v>2910</v>
      </c>
      <c r="D700" s="2" t="s">
        <v>1839</v>
      </c>
      <c r="E700" s="2" t="s">
        <v>1841</v>
      </c>
      <c r="F700" s="2">
        <v>21.600100000000001</v>
      </c>
      <c r="G700" s="2">
        <v>9.3534600000000001</v>
      </c>
      <c r="H700" s="2">
        <v>-1.20746</v>
      </c>
      <c r="I700" s="2">
        <v>1</v>
      </c>
      <c r="K700" s="2" t="s">
        <v>897</v>
      </c>
      <c r="L700" s="2">
        <v>-1.43293</v>
      </c>
    </row>
    <row r="701" spans="1:12" x14ac:dyDescent="0.2">
      <c r="A701" s="2" t="s">
        <v>884</v>
      </c>
      <c r="B701" s="2" t="s">
        <v>3067</v>
      </c>
      <c r="C701" s="2" t="s">
        <v>2254</v>
      </c>
      <c r="D701" s="2" t="s">
        <v>1839</v>
      </c>
      <c r="E701" s="2" t="s">
        <v>1841</v>
      </c>
      <c r="F701" s="2">
        <v>1.6393899999999999</v>
      </c>
      <c r="G701" s="2">
        <v>3.4804400000000002</v>
      </c>
      <c r="H701" s="2">
        <v>1.0861099999999999</v>
      </c>
      <c r="I701" s="2">
        <v>1</v>
      </c>
      <c r="K701" s="2" t="s">
        <v>898</v>
      </c>
      <c r="L701" s="2">
        <v>1.9773000000000001</v>
      </c>
    </row>
    <row r="702" spans="1:12" x14ac:dyDescent="0.2">
      <c r="A702" s="2" t="s">
        <v>885</v>
      </c>
      <c r="B702" s="2" t="s">
        <v>3015</v>
      </c>
      <c r="C702" s="2" t="s">
        <v>2455</v>
      </c>
      <c r="D702" s="2" t="s">
        <v>1839</v>
      </c>
      <c r="E702" s="2" t="s">
        <v>1841</v>
      </c>
      <c r="F702" s="2">
        <v>27.026499999999999</v>
      </c>
      <c r="G702" s="2">
        <v>10.018800000000001</v>
      </c>
      <c r="H702" s="2">
        <v>-1.43167</v>
      </c>
      <c r="I702" s="2">
        <v>1</v>
      </c>
      <c r="K702" s="2" t="s">
        <v>1745</v>
      </c>
      <c r="L702" s="2">
        <v>1.1360399999999999</v>
      </c>
    </row>
    <row r="703" spans="1:12" x14ac:dyDescent="0.2">
      <c r="A703" s="2" t="s">
        <v>886</v>
      </c>
      <c r="B703" s="2" t="s">
        <v>3469</v>
      </c>
      <c r="C703" s="2" t="s">
        <v>2302</v>
      </c>
      <c r="D703" s="2" t="s">
        <v>1839</v>
      </c>
      <c r="E703" s="2" t="s">
        <v>1841</v>
      </c>
      <c r="F703" s="2">
        <v>1.405</v>
      </c>
      <c r="G703" s="2">
        <v>4.0664999999999996</v>
      </c>
      <c r="H703" s="2">
        <v>1.53321</v>
      </c>
      <c r="I703" s="2">
        <v>1</v>
      </c>
      <c r="K703" s="2" t="s">
        <v>1417</v>
      </c>
      <c r="L703" s="2">
        <v>-1.2336800000000001</v>
      </c>
    </row>
    <row r="704" spans="1:12" x14ac:dyDescent="0.2">
      <c r="A704" s="2" t="s">
        <v>887</v>
      </c>
      <c r="B704" s="2" t="s">
        <v>3015</v>
      </c>
      <c r="C704" s="2" t="s">
        <v>3015</v>
      </c>
      <c r="D704" s="2" t="s">
        <v>1839</v>
      </c>
      <c r="E704" s="2" t="s">
        <v>1841</v>
      </c>
      <c r="F704" s="2">
        <v>0.517127</v>
      </c>
      <c r="G704" s="2">
        <v>2.4022100000000002</v>
      </c>
      <c r="H704" s="2">
        <v>2.21577</v>
      </c>
      <c r="I704" s="2">
        <v>1</v>
      </c>
      <c r="K704" s="2" t="s">
        <v>1747</v>
      </c>
      <c r="L704" s="2">
        <v>-1.0581400000000001</v>
      </c>
    </row>
    <row r="705" spans="1:12" x14ac:dyDescent="0.2">
      <c r="A705" s="2" t="s">
        <v>3022</v>
      </c>
      <c r="B705" s="2" t="s">
        <v>3015</v>
      </c>
      <c r="C705" s="2" t="s">
        <v>3015</v>
      </c>
      <c r="D705" s="2" t="s">
        <v>1839</v>
      </c>
      <c r="E705" s="2" t="s">
        <v>1841</v>
      </c>
      <c r="F705" s="2">
        <v>0.64634400000000003</v>
      </c>
      <c r="G705" s="2">
        <v>2.1168100000000001</v>
      </c>
      <c r="H705" s="2">
        <v>1.7115100000000001</v>
      </c>
      <c r="I705" s="2">
        <v>1</v>
      </c>
      <c r="K705" s="2" t="s">
        <v>901</v>
      </c>
      <c r="L705" s="2">
        <v>-1.0589900000000001</v>
      </c>
    </row>
    <row r="706" spans="1:12" x14ac:dyDescent="0.2">
      <c r="A706" s="2" t="s">
        <v>888</v>
      </c>
      <c r="B706" s="2" t="s">
        <v>3015</v>
      </c>
      <c r="C706" s="2" t="s">
        <v>3015</v>
      </c>
      <c r="D706" s="2" t="s">
        <v>1839</v>
      </c>
      <c r="E706" s="2" t="s">
        <v>1841</v>
      </c>
      <c r="F706" s="2">
        <v>1.62503</v>
      </c>
      <c r="G706" s="2">
        <v>0.47545399999999999</v>
      </c>
      <c r="H706" s="2">
        <v>-1.7730900000000001</v>
      </c>
      <c r="I706" s="2">
        <v>1</v>
      </c>
      <c r="K706" s="2" t="s">
        <v>1748</v>
      </c>
      <c r="L706" s="2">
        <v>-1.38147</v>
      </c>
    </row>
    <row r="707" spans="1:12" x14ac:dyDescent="0.2">
      <c r="A707" s="2" t="s">
        <v>1742</v>
      </c>
      <c r="B707" s="2" t="s">
        <v>3038</v>
      </c>
      <c r="C707" s="2" t="s">
        <v>2487</v>
      </c>
      <c r="D707" s="2" t="s">
        <v>1839</v>
      </c>
      <c r="E707" s="2" t="s">
        <v>1841</v>
      </c>
      <c r="F707" s="2">
        <v>0.775922</v>
      </c>
      <c r="G707" s="2">
        <v>1.98156</v>
      </c>
      <c r="H707" s="2">
        <v>1.3526499999999999</v>
      </c>
      <c r="I707" s="2">
        <v>1</v>
      </c>
      <c r="K707" s="2" t="s">
        <v>1419</v>
      </c>
      <c r="L707" s="2">
        <v>1.47821</v>
      </c>
    </row>
    <row r="708" spans="1:12" x14ac:dyDescent="0.2">
      <c r="A708" s="2" t="s">
        <v>1415</v>
      </c>
      <c r="B708" s="2" t="s">
        <v>3047</v>
      </c>
      <c r="C708" s="2" t="s">
        <v>2585</v>
      </c>
      <c r="D708" s="2" t="s">
        <v>1839</v>
      </c>
      <c r="E708" s="2" t="s">
        <v>1841</v>
      </c>
      <c r="F708" s="2">
        <v>1.0212699999999999</v>
      </c>
      <c r="G708" s="2">
        <v>3.63408</v>
      </c>
      <c r="H708" s="2">
        <v>1.8312299999999999</v>
      </c>
      <c r="I708" s="2">
        <v>1</v>
      </c>
      <c r="K708" s="2" t="s">
        <v>1420</v>
      </c>
      <c r="L708" s="2">
        <v>1.08721</v>
      </c>
    </row>
    <row r="709" spans="1:12" x14ac:dyDescent="0.2">
      <c r="A709" s="2" t="s">
        <v>1743</v>
      </c>
      <c r="B709" s="2" t="s">
        <v>3015</v>
      </c>
      <c r="C709" s="2" t="s">
        <v>2911</v>
      </c>
      <c r="D709" s="2" t="s">
        <v>1839</v>
      </c>
      <c r="E709" s="2" t="s">
        <v>1841</v>
      </c>
      <c r="F709" s="2">
        <v>6.3510999999999997</v>
      </c>
      <c r="G709" s="2">
        <v>3.0484100000000001</v>
      </c>
      <c r="H709" s="2">
        <v>-1.0589500000000001</v>
      </c>
      <c r="I709" s="2">
        <v>1</v>
      </c>
      <c r="K709" s="2" t="s">
        <v>1750</v>
      </c>
      <c r="L709" s="2">
        <v>1.2371000000000001</v>
      </c>
    </row>
    <row r="710" spans="1:12" x14ac:dyDescent="0.2">
      <c r="A710" s="2" t="s">
        <v>1744</v>
      </c>
      <c r="B710" s="2" t="s">
        <v>3045</v>
      </c>
      <c r="C710" s="2" t="s">
        <v>2912</v>
      </c>
      <c r="D710" s="2" t="s">
        <v>1839</v>
      </c>
      <c r="E710" s="2" t="s">
        <v>1841</v>
      </c>
      <c r="F710" s="2">
        <v>2.8133400000000002</v>
      </c>
      <c r="G710" s="2">
        <v>5.7861799999999999</v>
      </c>
      <c r="H710" s="2">
        <v>1.04033</v>
      </c>
      <c r="I710" s="2">
        <v>1</v>
      </c>
      <c r="K710" s="2" t="s">
        <v>908</v>
      </c>
      <c r="L710" s="2">
        <v>1.34537</v>
      </c>
    </row>
    <row r="711" spans="1:12" x14ac:dyDescent="0.2">
      <c r="A711" s="2" t="s">
        <v>897</v>
      </c>
      <c r="B711" s="2" t="s">
        <v>3015</v>
      </c>
      <c r="C711" s="2" t="s">
        <v>2259</v>
      </c>
      <c r="D711" s="2" t="s">
        <v>1839</v>
      </c>
      <c r="E711" s="2" t="s">
        <v>1841</v>
      </c>
      <c r="F711" s="2">
        <v>21.8584</v>
      </c>
      <c r="G711" s="2">
        <v>8.0958699999999997</v>
      </c>
      <c r="H711" s="2">
        <v>-1.43293</v>
      </c>
      <c r="I711" s="2">
        <v>1</v>
      </c>
      <c r="K711" s="2" t="s">
        <v>1751</v>
      </c>
      <c r="L711" s="2">
        <v>-1.09517</v>
      </c>
    </row>
    <row r="712" spans="1:12" x14ac:dyDescent="0.2">
      <c r="A712" s="2" t="s">
        <v>898</v>
      </c>
      <c r="B712" s="2" t="s">
        <v>3015</v>
      </c>
      <c r="C712" s="2" t="s">
        <v>1847</v>
      </c>
      <c r="D712" s="2" t="s">
        <v>1839</v>
      </c>
      <c r="E712" s="2" t="s">
        <v>1841</v>
      </c>
      <c r="F712" s="2">
        <v>1.7448900000000001</v>
      </c>
      <c r="G712" s="2">
        <v>6.8705800000000004</v>
      </c>
      <c r="H712" s="2">
        <v>1.9773000000000001</v>
      </c>
      <c r="I712" s="2">
        <v>1</v>
      </c>
      <c r="K712" s="2" t="s">
        <v>1421</v>
      </c>
      <c r="L712" s="2">
        <v>1.02129</v>
      </c>
    </row>
    <row r="713" spans="1:12" x14ac:dyDescent="0.2">
      <c r="A713" s="2" t="s">
        <v>1745</v>
      </c>
      <c r="B713" s="2" t="s">
        <v>3015</v>
      </c>
      <c r="C713" s="2" t="s">
        <v>2129</v>
      </c>
      <c r="D713" s="2" t="s">
        <v>1839</v>
      </c>
      <c r="E713" s="2" t="s">
        <v>1841</v>
      </c>
      <c r="F713" s="2">
        <v>0.79022199999999998</v>
      </c>
      <c r="G713" s="2">
        <v>1.73672</v>
      </c>
      <c r="H713" s="2">
        <v>1.1360399999999999</v>
      </c>
      <c r="I713" s="2">
        <v>1</v>
      </c>
      <c r="K713" s="2" t="s">
        <v>911</v>
      </c>
      <c r="L713" s="2">
        <v>1.24081</v>
      </c>
    </row>
    <row r="714" spans="1:12" x14ac:dyDescent="0.2">
      <c r="A714" s="2" t="s">
        <v>1746</v>
      </c>
      <c r="B714" s="2" t="s">
        <v>3015</v>
      </c>
      <c r="C714" s="2" t="s">
        <v>2913</v>
      </c>
      <c r="D714" s="2" t="s">
        <v>1839</v>
      </c>
      <c r="E714" s="2" t="s">
        <v>1841</v>
      </c>
      <c r="F714" s="2">
        <v>0.84472000000000003</v>
      </c>
      <c r="G714" s="2">
        <v>0</v>
      </c>
      <c r="H714" s="2" t="s">
        <v>3021</v>
      </c>
      <c r="I714" s="2" t="s">
        <v>3021</v>
      </c>
      <c r="K714" s="2" t="s">
        <v>912</v>
      </c>
      <c r="L714" s="2">
        <v>1.0172399999999999</v>
      </c>
    </row>
    <row r="715" spans="1:12" x14ac:dyDescent="0.2">
      <c r="A715" s="2" t="s">
        <v>1417</v>
      </c>
      <c r="B715" s="2" t="s">
        <v>3015</v>
      </c>
      <c r="C715" s="2" t="s">
        <v>2914</v>
      </c>
      <c r="D715" s="2" t="s">
        <v>1839</v>
      </c>
      <c r="E715" s="2" t="s">
        <v>1841</v>
      </c>
      <c r="F715" s="2">
        <v>1.5181199999999999</v>
      </c>
      <c r="G715" s="2">
        <v>0.64555200000000001</v>
      </c>
      <c r="H715" s="2">
        <v>-1.2336800000000001</v>
      </c>
      <c r="I715" s="2">
        <v>1</v>
      </c>
      <c r="K715" s="2" t="s">
        <v>1752</v>
      </c>
      <c r="L715" s="2">
        <v>1.47089</v>
      </c>
    </row>
    <row r="716" spans="1:12" x14ac:dyDescent="0.2">
      <c r="A716" s="2" t="s">
        <v>1747</v>
      </c>
      <c r="B716" s="2" t="s">
        <v>3037</v>
      </c>
      <c r="C716" s="2" t="s">
        <v>2915</v>
      </c>
      <c r="D716" s="2" t="s">
        <v>1839</v>
      </c>
      <c r="E716" s="2" t="s">
        <v>1841</v>
      </c>
      <c r="F716" s="2">
        <v>3.1029399999999998</v>
      </c>
      <c r="G716" s="2">
        <v>1.4901899999999999</v>
      </c>
      <c r="H716" s="2">
        <v>-1.0581400000000001</v>
      </c>
      <c r="I716" s="2">
        <v>1</v>
      </c>
      <c r="K716" s="2" t="s">
        <v>915</v>
      </c>
      <c r="L716" s="2">
        <v>1.0264500000000001</v>
      </c>
    </row>
    <row r="717" spans="1:12" x14ac:dyDescent="0.2">
      <c r="A717" s="2" t="s">
        <v>901</v>
      </c>
      <c r="B717" s="2" t="s">
        <v>3015</v>
      </c>
      <c r="C717" s="2" t="s">
        <v>1880</v>
      </c>
      <c r="D717" s="2" t="s">
        <v>1839</v>
      </c>
      <c r="E717" s="2" t="s">
        <v>1841</v>
      </c>
      <c r="F717" s="2">
        <v>20.748999999999999</v>
      </c>
      <c r="G717" s="2">
        <v>9.95885</v>
      </c>
      <c r="H717" s="2">
        <v>-1.0589900000000001</v>
      </c>
      <c r="I717" s="2">
        <v>1</v>
      </c>
      <c r="K717" s="2" t="s">
        <v>916</v>
      </c>
      <c r="L717" s="2">
        <v>1.12005</v>
      </c>
    </row>
    <row r="718" spans="1:12" x14ac:dyDescent="0.2">
      <c r="A718" s="2" t="s">
        <v>1748</v>
      </c>
      <c r="B718" s="2" t="s">
        <v>3015</v>
      </c>
      <c r="C718" s="2" t="s">
        <v>3015</v>
      </c>
      <c r="D718" s="2" t="s">
        <v>1839</v>
      </c>
      <c r="E718" s="2" t="s">
        <v>1841</v>
      </c>
      <c r="F718" s="2">
        <v>1.5960300000000001</v>
      </c>
      <c r="G718" s="2">
        <v>0.612599</v>
      </c>
      <c r="H718" s="2">
        <v>-1.38147</v>
      </c>
      <c r="I718" s="2">
        <v>1</v>
      </c>
      <c r="K718" s="2" t="s">
        <v>1753</v>
      </c>
      <c r="L718" s="2">
        <v>1.50844</v>
      </c>
    </row>
    <row r="719" spans="1:12" x14ac:dyDescent="0.2">
      <c r="A719" s="2" t="s">
        <v>1419</v>
      </c>
      <c r="B719" s="2" t="s">
        <v>3200</v>
      </c>
      <c r="C719" s="2" t="s">
        <v>2812</v>
      </c>
      <c r="D719" s="2" t="s">
        <v>1839</v>
      </c>
      <c r="E719" s="2" t="s">
        <v>1841</v>
      </c>
      <c r="F719" s="2">
        <v>0.420429</v>
      </c>
      <c r="G719" s="2">
        <v>1.1713199999999999</v>
      </c>
      <c r="H719" s="2">
        <v>1.47821</v>
      </c>
      <c r="I719" s="2">
        <v>1</v>
      </c>
      <c r="K719" s="2" t="s">
        <v>919</v>
      </c>
      <c r="L719" s="2">
        <v>1.3707199999999999</v>
      </c>
    </row>
    <row r="720" spans="1:12" x14ac:dyDescent="0.2">
      <c r="A720" s="2" t="s">
        <v>1420</v>
      </c>
      <c r="B720" s="2" t="s">
        <v>3470</v>
      </c>
      <c r="C720" s="2" t="s">
        <v>2742</v>
      </c>
      <c r="D720" s="2" t="s">
        <v>1839</v>
      </c>
      <c r="E720" s="2" t="s">
        <v>1841</v>
      </c>
      <c r="F720" s="2">
        <v>1.0811500000000001</v>
      </c>
      <c r="G720" s="2">
        <v>2.2970600000000001</v>
      </c>
      <c r="H720" s="2">
        <v>1.08721</v>
      </c>
      <c r="I720" s="2">
        <v>1</v>
      </c>
      <c r="K720" s="2" t="s">
        <v>1755</v>
      </c>
      <c r="L720" s="2">
        <v>3.5853899999999999</v>
      </c>
    </row>
    <row r="721" spans="1:12" x14ac:dyDescent="0.2">
      <c r="A721" s="2" t="s">
        <v>1750</v>
      </c>
      <c r="B721" s="2" t="s">
        <v>3287</v>
      </c>
      <c r="C721" s="2" t="s">
        <v>2045</v>
      </c>
      <c r="D721" s="2" t="s">
        <v>1839</v>
      </c>
      <c r="E721" s="2" t="s">
        <v>1841</v>
      </c>
      <c r="F721" s="2">
        <v>1.4910000000000001</v>
      </c>
      <c r="G721" s="2">
        <v>3.5146600000000001</v>
      </c>
      <c r="H721" s="2">
        <v>1.2371000000000001</v>
      </c>
      <c r="I721" s="2">
        <v>1</v>
      </c>
      <c r="K721" s="2" t="s">
        <v>920</v>
      </c>
      <c r="L721" s="2">
        <v>1.2239500000000001</v>
      </c>
    </row>
    <row r="722" spans="1:12" x14ac:dyDescent="0.2">
      <c r="A722" s="2" t="s">
        <v>908</v>
      </c>
      <c r="B722" s="2" t="s">
        <v>3015</v>
      </c>
      <c r="C722" s="2" t="s">
        <v>2916</v>
      </c>
      <c r="D722" s="2" t="s">
        <v>1839</v>
      </c>
      <c r="E722" s="2" t="s">
        <v>1841</v>
      </c>
      <c r="F722" s="2">
        <v>2.0800700000000001</v>
      </c>
      <c r="G722" s="2">
        <v>5.2853599999999998</v>
      </c>
      <c r="H722" s="2">
        <v>1.34537</v>
      </c>
      <c r="I722" s="2">
        <v>1</v>
      </c>
      <c r="K722" s="2" t="s">
        <v>923</v>
      </c>
      <c r="L722" s="2">
        <v>1.3028599999999999</v>
      </c>
    </row>
    <row r="723" spans="1:12" x14ac:dyDescent="0.2">
      <c r="A723" s="2" t="s">
        <v>1751</v>
      </c>
      <c r="B723" s="2" t="s">
        <v>3015</v>
      </c>
      <c r="C723" s="2" t="s">
        <v>2917</v>
      </c>
      <c r="D723" s="2" t="s">
        <v>1839</v>
      </c>
      <c r="E723" s="2" t="s">
        <v>1841</v>
      </c>
      <c r="F723" s="2">
        <v>2.3465699999999998</v>
      </c>
      <c r="G723" s="2">
        <v>1.09839</v>
      </c>
      <c r="H723" s="2">
        <v>-1.09517</v>
      </c>
      <c r="I723" s="2">
        <v>1</v>
      </c>
      <c r="K723" s="2" t="s">
        <v>1756</v>
      </c>
      <c r="L723" s="2">
        <v>1.85057</v>
      </c>
    </row>
    <row r="724" spans="1:12" x14ac:dyDescent="0.2">
      <c r="A724" s="2" t="s">
        <v>1421</v>
      </c>
      <c r="B724" s="2" t="s">
        <v>3471</v>
      </c>
      <c r="C724" s="2" t="s">
        <v>2918</v>
      </c>
      <c r="D724" s="2" t="s">
        <v>1839</v>
      </c>
      <c r="E724" s="2" t="s">
        <v>1841</v>
      </c>
      <c r="F724" s="2">
        <v>5.2362399999999996</v>
      </c>
      <c r="G724" s="2">
        <v>10.6282</v>
      </c>
      <c r="H724" s="2">
        <v>1.02129</v>
      </c>
      <c r="I724" s="2">
        <v>1</v>
      </c>
      <c r="K724" s="2" t="s">
        <v>934</v>
      </c>
      <c r="L724" s="2">
        <v>-1.03078</v>
      </c>
    </row>
    <row r="725" spans="1:12" x14ac:dyDescent="0.2">
      <c r="A725" s="2" t="s">
        <v>911</v>
      </c>
      <c r="B725" s="2" t="s">
        <v>3472</v>
      </c>
      <c r="C725" s="2" t="s">
        <v>2919</v>
      </c>
      <c r="D725" s="2" t="s">
        <v>1839</v>
      </c>
      <c r="E725" s="2" t="s">
        <v>1841</v>
      </c>
      <c r="F725" s="2">
        <v>2.5417000000000001</v>
      </c>
      <c r="G725" s="2">
        <v>6.0068599999999996</v>
      </c>
      <c r="H725" s="2">
        <v>1.24081</v>
      </c>
      <c r="I725" s="2">
        <v>1</v>
      </c>
      <c r="K725" s="2" t="s">
        <v>937</v>
      </c>
      <c r="L725" s="2">
        <v>2.08717</v>
      </c>
    </row>
    <row r="726" spans="1:12" x14ac:dyDescent="0.2">
      <c r="A726" s="2" t="s">
        <v>912</v>
      </c>
      <c r="B726" s="2" t="s">
        <v>3015</v>
      </c>
      <c r="C726" s="2" t="s">
        <v>2920</v>
      </c>
      <c r="D726" s="2" t="s">
        <v>1839</v>
      </c>
      <c r="E726" s="2" t="s">
        <v>1841</v>
      </c>
      <c r="F726" s="2">
        <v>4.8750499999999999</v>
      </c>
      <c r="G726" s="2">
        <v>9.8673199999999994</v>
      </c>
      <c r="H726" s="2">
        <v>1.0172399999999999</v>
      </c>
      <c r="I726" s="2">
        <v>1</v>
      </c>
      <c r="K726" s="2" t="s">
        <v>1425</v>
      </c>
      <c r="L726" s="2">
        <v>2.4627599999999998</v>
      </c>
    </row>
    <row r="727" spans="1:12" x14ac:dyDescent="0.2">
      <c r="A727" s="2" t="s">
        <v>1752</v>
      </c>
      <c r="B727" s="2" t="s">
        <v>3026</v>
      </c>
      <c r="C727" s="2" t="s">
        <v>2921</v>
      </c>
      <c r="D727" s="2" t="s">
        <v>1839</v>
      </c>
      <c r="E727" s="2" t="s">
        <v>1841</v>
      </c>
      <c r="F727" s="2">
        <v>0.33645799999999998</v>
      </c>
      <c r="G727" s="2">
        <v>0.93263399999999996</v>
      </c>
      <c r="H727" s="2">
        <v>1.47089</v>
      </c>
      <c r="I727" s="2">
        <v>1</v>
      </c>
      <c r="K727" s="2" t="s">
        <v>938</v>
      </c>
      <c r="L727" s="2">
        <v>1.6721200000000001</v>
      </c>
    </row>
    <row r="728" spans="1:12" x14ac:dyDescent="0.2">
      <c r="A728" s="2" t="s">
        <v>915</v>
      </c>
      <c r="B728" s="2" t="s">
        <v>3154</v>
      </c>
      <c r="C728" s="2" t="s">
        <v>2922</v>
      </c>
      <c r="D728" s="2" t="s">
        <v>1839</v>
      </c>
      <c r="E728" s="2" t="s">
        <v>1841</v>
      </c>
      <c r="F728" s="2">
        <v>5.1390599999999997</v>
      </c>
      <c r="G728" s="2">
        <v>10.468299999999999</v>
      </c>
      <c r="H728" s="2">
        <v>1.0264500000000001</v>
      </c>
      <c r="I728" s="2">
        <v>1</v>
      </c>
      <c r="K728" s="2" t="s">
        <v>1757</v>
      </c>
      <c r="L728" s="2">
        <v>-1.5471200000000001</v>
      </c>
    </row>
    <row r="729" spans="1:12" x14ac:dyDescent="0.2">
      <c r="A729" s="2" t="s">
        <v>916</v>
      </c>
      <c r="B729" s="2" t="s">
        <v>3025</v>
      </c>
      <c r="C729" s="2" t="s">
        <v>2269</v>
      </c>
      <c r="D729" s="2" t="s">
        <v>1839</v>
      </c>
      <c r="E729" s="2" t="s">
        <v>1841</v>
      </c>
      <c r="F729" s="2">
        <v>10.5304</v>
      </c>
      <c r="G729" s="2">
        <v>22.888300000000001</v>
      </c>
      <c r="H729" s="2">
        <v>1.12005</v>
      </c>
      <c r="I729" s="2">
        <v>1</v>
      </c>
      <c r="K729" s="2" t="s">
        <v>1426</v>
      </c>
      <c r="L729" s="2">
        <v>1.1007199999999999</v>
      </c>
    </row>
    <row r="730" spans="1:12" x14ac:dyDescent="0.2">
      <c r="A730" s="2" t="s">
        <v>1753</v>
      </c>
      <c r="B730" s="2" t="s">
        <v>3293</v>
      </c>
      <c r="C730" s="2" t="s">
        <v>2923</v>
      </c>
      <c r="D730" s="2" t="s">
        <v>1839</v>
      </c>
      <c r="E730" s="2" t="s">
        <v>1841</v>
      </c>
      <c r="F730" s="2">
        <v>1.4831399999999999</v>
      </c>
      <c r="G730" s="2">
        <v>4.2195600000000004</v>
      </c>
      <c r="H730" s="2">
        <v>1.50844</v>
      </c>
      <c r="I730" s="2">
        <v>1</v>
      </c>
      <c r="K730" s="2" t="s">
        <v>944</v>
      </c>
      <c r="L730" s="2">
        <v>1.0641799999999999</v>
      </c>
    </row>
    <row r="731" spans="1:12" x14ac:dyDescent="0.2">
      <c r="A731" s="2" t="s">
        <v>919</v>
      </c>
      <c r="B731" s="2" t="s">
        <v>3015</v>
      </c>
      <c r="C731" s="2" t="s">
        <v>1862</v>
      </c>
      <c r="D731" s="2" t="s">
        <v>1839</v>
      </c>
      <c r="E731" s="2" t="s">
        <v>1841</v>
      </c>
      <c r="F731" s="2">
        <v>0.52248799999999995</v>
      </c>
      <c r="G731" s="2">
        <v>1.3511500000000001</v>
      </c>
      <c r="H731" s="2">
        <v>1.3707199999999999</v>
      </c>
      <c r="I731" s="2">
        <v>1</v>
      </c>
      <c r="K731" s="2" t="s">
        <v>947</v>
      </c>
      <c r="L731" s="2">
        <v>1.458</v>
      </c>
    </row>
    <row r="732" spans="1:12" x14ac:dyDescent="0.2">
      <c r="A732" s="2" t="s">
        <v>1755</v>
      </c>
      <c r="B732" s="2" t="s">
        <v>3015</v>
      </c>
      <c r="C732" s="2" t="s">
        <v>2924</v>
      </c>
      <c r="D732" s="2" t="s">
        <v>1839</v>
      </c>
      <c r="E732" s="2" t="s">
        <v>1841</v>
      </c>
      <c r="F732" s="2">
        <v>0.23058999999999999</v>
      </c>
      <c r="G732" s="2">
        <v>2.76789</v>
      </c>
      <c r="H732" s="2">
        <v>3.5853899999999999</v>
      </c>
      <c r="I732" s="2">
        <v>1</v>
      </c>
      <c r="K732" s="2" t="s">
        <v>1429</v>
      </c>
      <c r="L732" s="2">
        <v>2.0828099999999998</v>
      </c>
    </row>
    <row r="733" spans="1:12" x14ac:dyDescent="0.2">
      <c r="A733" s="2" t="s">
        <v>920</v>
      </c>
      <c r="B733" s="2" t="s">
        <v>3237</v>
      </c>
      <c r="C733" s="2" t="s">
        <v>2271</v>
      </c>
      <c r="D733" s="2" t="s">
        <v>1839</v>
      </c>
      <c r="E733" s="2" t="s">
        <v>1841</v>
      </c>
      <c r="F733" s="2">
        <v>15.658099999999999</v>
      </c>
      <c r="G733" s="2">
        <v>36.575099999999999</v>
      </c>
      <c r="H733" s="2">
        <v>1.2239500000000001</v>
      </c>
      <c r="I733" s="2">
        <v>1</v>
      </c>
      <c r="K733" s="2" t="s">
        <v>949</v>
      </c>
      <c r="L733" s="2">
        <v>1.5354300000000001</v>
      </c>
    </row>
    <row r="734" spans="1:12" x14ac:dyDescent="0.2">
      <c r="A734" s="2" t="s">
        <v>923</v>
      </c>
      <c r="B734" s="2" t="s">
        <v>3473</v>
      </c>
      <c r="C734" s="2" t="s">
        <v>2925</v>
      </c>
      <c r="D734" s="2" t="s">
        <v>1839</v>
      </c>
      <c r="E734" s="2" t="s">
        <v>1841</v>
      </c>
      <c r="F734" s="2">
        <v>4.2315100000000001</v>
      </c>
      <c r="G734" s="2">
        <v>10.4399</v>
      </c>
      <c r="H734" s="2">
        <v>1.3028599999999999</v>
      </c>
      <c r="I734" s="2">
        <v>1</v>
      </c>
      <c r="K734" s="2" t="s">
        <v>952</v>
      </c>
      <c r="L734" s="2">
        <v>2.14636</v>
      </c>
    </row>
    <row r="735" spans="1:12" x14ac:dyDescent="0.2">
      <c r="A735" s="2" t="s">
        <v>1756</v>
      </c>
      <c r="B735" s="2" t="s">
        <v>3245</v>
      </c>
      <c r="C735" s="2" t="s">
        <v>2590</v>
      </c>
      <c r="D735" s="2" t="s">
        <v>1839</v>
      </c>
      <c r="E735" s="2" t="s">
        <v>1841</v>
      </c>
      <c r="F735" s="2">
        <v>0.361294</v>
      </c>
      <c r="G735" s="2">
        <v>1.30298</v>
      </c>
      <c r="H735" s="2">
        <v>1.85057</v>
      </c>
      <c r="I735" s="2">
        <v>1</v>
      </c>
      <c r="K735" s="2" t="s">
        <v>1430</v>
      </c>
      <c r="L735" s="2">
        <v>1.2264900000000001</v>
      </c>
    </row>
    <row r="736" spans="1:12" x14ac:dyDescent="0.2">
      <c r="A736" s="2" t="s">
        <v>934</v>
      </c>
      <c r="B736" s="2" t="s">
        <v>3015</v>
      </c>
      <c r="C736" s="2" t="s">
        <v>2926</v>
      </c>
      <c r="D736" s="2" t="s">
        <v>1839</v>
      </c>
      <c r="E736" s="2" t="s">
        <v>1841</v>
      </c>
      <c r="F736" s="2">
        <v>18.581399999999999</v>
      </c>
      <c r="G736" s="2">
        <v>9.0945999999999998</v>
      </c>
      <c r="H736" s="2">
        <v>-1.03078</v>
      </c>
      <c r="I736" s="2">
        <v>1</v>
      </c>
      <c r="K736" s="2" t="s">
        <v>1759</v>
      </c>
      <c r="L736" s="2">
        <v>-1.03999</v>
      </c>
    </row>
    <row r="737" spans="1:12" x14ac:dyDescent="0.2">
      <c r="A737" s="2" t="s">
        <v>937</v>
      </c>
      <c r="B737" s="2" t="s">
        <v>3137</v>
      </c>
      <c r="C737" s="2" t="s">
        <v>2280</v>
      </c>
      <c r="D737" s="2" t="s">
        <v>1839</v>
      </c>
      <c r="E737" s="2" t="s">
        <v>1841</v>
      </c>
      <c r="F737" s="2">
        <v>1.85599</v>
      </c>
      <c r="G737" s="2">
        <v>7.8863500000000002</v>
      </c>
      <c r="H737" s="2">
        <v>2.08717</v>
      </c>
      <c r="I737" s="2">
        <v>1</v>
      </c>
      <c r="K737" s="2" t="s">
        <v>958</v>
      </c>
      <c r="L737" s="2">
        <v>-1.4216800000000001</v>
      </c>
    </row>
    <row r="738" spans="1:12" x14ac:dyDescent="0.2">
      <c r="A738" s="2" t="s">
        <v>1425</v>
      </c>
      <c r="B738" s="2" t="s">
        <v>3081</v>
      </c>
      <c r="C738" s="2" t="s">
        <v>1965</v>
      </c>
      <c r="D738" s="2" t="s">
        <v>1839</v>
      </c>
      <c r="E738" s="2" t="s">
        <v>1841</v>
      </c>
      <c r="F738" s="2">
        <v>0.75607899999999995</v>
      </c>
      <c r="G738" s="2">
        <v>4.1680299999999999</v>
      </c>
      <c r="H738" s="2">
        <v>2.4627599999999998</v>
      </c>
      <c r="I738" s="2">
        <v>1</v>
      </c>
      <c r="K738" s="2" t="s">
        <v>960</v>
      </c>
      <c r="L738" s="2">
        <v>-1.58727</v>
      </c>
    </row>
    <row r="739" spans="1:12" x14ac:dyDescent="0.2">
      <c r="A739" s="2" t="s">
        <v>938</v>
      </c>
      <c r="B739" s="2" t="s">
        <v>3015</v>
      </c>
      <c r="C739" s="2" t="s">
        <v>2281</v>
      </c>
      <c r="D739" s="2" t="s">
        <v>1839</v>
      </c>
      <c r="E739" s="2" t="s">
        <v>1841</v>
      </c>
      <c r="F739" s="2">
        <v>2.2892700000000001</v>
      </c>
      <c r="G739" s="2">
        <v>7.2955199999999998</v>
      </c>
      <c r="H739" s="2">
        <v>1.6721200000000001</v>
      </c>
      <c r="I739" s="2">
        <v>1</v>
      </c>
      <c r="K739" s="2" t="s">
        <v>962</v>
      </c>
      <c r="L739" s="2">
        <v>1.0739099999999999</v>
      </c>
    </row>
    <row r="740" spans="1:12" x14ac:dyDescent="0.2">
      <c r="A740" s="2" t="s">
        <v>1757</v>
      </c>
      <c r="B740" s="2" t="s">
        <v>3105</v>
      </c>
      <c r="C740" s="2" t="s">
        <v>2927</v>
      </c>
      <c r="D740" s="2" t="s">
        <v>1839</v>
      </c>
      <c r="E740" s="2" t="s">
        <v>1841</v>
      </c>
      <c r="F740" s="2">
        <v>13.1935</v>
      </c>
      <c r="G740" s="2">
        <v>4.5147300000000001</v>
      </c>
      <c r="H740" s="2">
        <v>-1.5471200000000001</v>
      </c>
      <c r="I740" s="2">
        <v>1</v>
      </c>
      <c r="K740" s="2" t="s">
        <v>964</v>
      </c>
      <c r="L740" s="2">
        <v>-1.6897599999999999</v>
      </c>
    </row>
    <row r="741" spans="1:12" x14ac:dyDescent="0.2">
      <c r="A741" s="2" t="s">
        <v>1426</v>
      </c>
      <c r="B741" s="2" t="s">
        <v>3182</v>
      </c>
      <c r="C741" s="2" t="s">
        <v>2587</v>
      </c>
      <c r="D741" s="2" t="s">
        <v>1839</v>
      </c>
      <c r="E741" s="2" t="s">
        <v>1841</v>
      </c>
      <c r="F741" s="2">
        <v>0.59368600000000005</v>
      </c>
      <c r="G741" s="2">
        <v>1.27322</v>
      </c>
      <c r="H741" s="2">
        <v>1.1007199999999999</v>
      </c>
      <c r="I741" s="2">
        <v>1</v>
      </c>
      <c r="K741" s="2" t="s">
        <v>1760</v>
      </c>
      <c r="L741" s="2">
        <v>1.0572299999999999</v>
      </c>
    </row>
    <row r="742" spans="1:12" x14ac:dyDescent="0.2">
      <c r="A742" s="2" t="s">
        <v>944</v>
      </c>
      <c r="B742" s="2" t="s">
        <v>3093</v>
      </c>
      <c r="C742" s="2" t="s">
        <v>2928</v>
      </c>
      <c r="D742" s="2" t="s">
        <v>1839</v>
      </c>
      <c r="E742" s="2" t="s">
        <v>1841</v>
      </c>
      <c r="F742" s="2">
        <v>3.78843</v>
      </c>
      <c r="G742" s="2">
        <v>7.9215499999999999</v>
      </c>
      <c r="H742" s="2">
        <v>1.0641799999999999</v>
      </c>
      <c r="I742" s="2">
        <v>1</v>
      </c>
      <c r="K742" s="2" t="s">
        <v>1761</v>
      </c>
      <c r="L742" s="2">
        <v>1.5452399999999999</v>
      </c>
    </row>
    <row r="743" spans="1:12" x14ac:dyDescent="0.2">
      <c r="A743" s="2" t="s">
        <v>947</v>
      </c>
      <c r="B743" s="2" t="s">
        <v>3015</v>
      </c>
      <c r="C743" s="2" t="s">
        <v>3015</v>
      </c>
      <c r="D743" s="2" t="s">
        <v>1839</v>
      </c>
      <c r="E743" s="2" t="s">
        <v>1841</v>
      </c>
      <c r="F743" s="2">
        <v>2.4474</v>
      </c>
      <c r="G743" s="2">
        <v>6.7236500000000001</v>
      </c>
      <c r="H743" s="2">
        <v>1.458</v>
      </c>
      <c r="I743" s="2">
        <v>1</v>
      </c>
      <c r="K743" s="2" t="s">
        <v>1762</v>
      </c>
      <c r="L743" s="2">
        <v>-1.4658899999999999</v>
      </c>
    </row>
    <row r="744" spans="1:12" x14ac:dyDescent="0.2">
      <c r="A744" s="2" t="s">
        <v>1429</v>
      </c>
      <c r="B744" s="2" t="s">
        <v>3093</v>
      </c>
      <c r="C744" s="2" t="s">
        <v>2589</v>
      </c>
      <c r="D744" s="2" t="s">
        <v>1839</v>
      </c>
      <c r="E744" s="2" t="s">
        <v>1841</v>
      </c>
      <c r="F744" s="2">
        <v>0.30116199999999999</v>
      </c>
      <c r="G744" s="2">
        <v>1.2758100000000001</v>
      </c>
      <c r="H744" s="2">
        <v>2.0828099999999998</v>
      </c>
      <c r="I744" s="2">
        <v>1</v>
      </c>
      <c r="K744" s="2" t="s">
        <v>967</v>
      </c>
      <c r="L744" s="2">
        <v>-1.1768700000000001</v>
      </c>
    </row>
    <row r="745" spans="1:12" x14ac:dyDescent="0.2">
      <c r="A745" s="2" t="s">
        <v>949</v>
      </c>
      <c r="B745" s="2" t="s">
        <v>3015</v>
      </c>
      <c r="C745" s="2" t="s">
        <v>2929</v>
      </c>
      <c r="D745" s="2" t="s">
        <v>1839</v>
      </c>
      <c r="E745" s="2" t="s">
        <v>1841</v>
      </c>
      <c r="F745" s="2">
        <v>2.8840499999999998</v>
      </c>
      <c r="G745" s="2">
        <v>8.3601100000000006</v>
      </c>
      <c r="H745" s="2">
        <v>1.5354300000000001</v>
      </c>
      <c r="I745" s="2">
        <v>1</v>
      </c>
      <c r="K745" s="2" t="s">
        <v>1763</v>
      </c>
      <c r="L745" s="2">
        <v>1.5401400000000001</v>
      </c>
    </row>
    <row r="746" spans="1:12" x14ac:dyDescent="0.2">
      <c r="A746" s="2" t="s">
        <v>952</v>
      </c>
      <c r="B746" s="2" t="s">
        <v>3256</v>
      </c>
      <c r="C746" s="2" t="s">
        <v>2316</v>
      </c>
      <c r="D746" s="2" t="s">
        <v>1839</v>
      </c>
      <c r="E746" s="2" t="s">
        <v>1841</v>
      </c>
      <c r="F746" s="2">
        <v>0.29367100000000002</v>
      </c>
      <c r="G746" s="2">
        <v>1.3001100000000001</v>
      </c>
      <c r="H746" s="2">
        <v>2.14636</v>
      </c>
      <c r="I746" s="2">
        <v>1</v>
      </c>
      <c r="K746" s="2" t="s">
        <v>1764</v>
      </c>
      <c r="L746" s="2">
        <v>1.1571100000000001</v>
      </c>
    </row>
    <row r="747" spans="1:12" x14ac:dyDescent="0.2">
      <c r="A747" s="2" t="s">
        <v>1430</v>
      </c>
      <c r="B747" s="2" t="s">
        <v>3474</v>
      </c>
      <c r="C747" s="2" t="s">
        <v>2930</v>
      </c>
      <c r="D747" s="2" t="s">
        <v>1839</v>
      </c>
      <c r="E747" s="2" t="s">
        <v>1841</v>
      </c>
      <c r="F747" s="2">
        <v>45.774299999999997</v>
      </c>
      <c r="G747" s="2">
        <v>107.11</v>
      </c>
      <c r="H747" s="2">
        <v>1.2264900000000001</v>
      </c>
      <c r="I747" s="2">
        <v>1</v>
      </c>
      <c r="K747" s="2" t="s">
        <v>1765</v>
      </c>
      <c r="L747" s="2">
        <v>-1.25318</v>
      </c>
    </row>
    <row r="748" spans="1:12" x14ac:dyDescent="0.2">
      <c r="A748" s="2" t="s">
        <v>1759</v>
      </c>
      <c r="B748" s="2" t="s">
        <v>3301</v>
      </c>
      <c r="C748" s="2" t="s">
        <v>1934</v>
      </c>
      <c r="D748" s="2" t="s">
        <v>1839</v>
      </c>
      <c r="E748" s="2" t="s">
        <v>1841</v>
      </c>
      <c r="F748" s="2">
        <v>6.5976900000000001</v>
      </c>
      <c r="G748" s="2">
        <v>3.20865</v>
      </c>
      <c r="H748" s="2">
        <v>-1.03999</v>
      </c>
      <c r="I748" s="2">
        <v>1</v>
      </c>
      <c r="K748" s="2" t="s">
        <v>1437</v>
      </c>
      <c r="L748" s="2">
        <v>2.6666799999999999</v>
      </c>
    </row>
    <row r="749" spans="1:12" x14ac:dyDescent="0.2">
      <c r="A749" s="2" t="s">
        <v>958</v>
      </c>
      <c r="B749" s="2" t="s">
        <v>3475</v>
      </c>
      <c r="C749" s="2" t="s">
        <v>2931</v>
      </c>
      <c r="D749" s="2" t="s">
        <v>1839</v>
      </c>
      <c r="E749" s="2" t="s">
        <v>1841</v>
      </c>
      <c r="F749" s="2">
        <v>17.875800000000002</v>
      </c>
      <c r="G749" s="2">
        <v>6.6726400000000003</v>
      </c>
      <c r="H749" s="2">
        <v>-1.4216800000000001</v>
      </c>
      <c r="I749" s="2">
        <v>1</v>
      </c>
      <c r="K749" s="2" t="s">
        <v>1766</v>
      </c>
      <c r="L749" s="2">
        <v>-1.0431999999999999</v>
      </c>
    </row>
    <row r="750" spans="1:12" x14ac:dyDescent="0.2">
      <c r="A750" s="2" t="s">
        <v>960</v>
      </c>
      <c r="B750" s="2" t="s">
        <v>3038</v>
      </c>
      <c r="C750" s="2" t="s">
        <v>2293</v>
      </c>
      <c r="D750" s="2" t="s">
        <v>1839</v>
      </c>
      <c r="E750" s="2" t="s">
        <v>1841</v>
      </c>
      <c r="F750" s="2">
        <v>7.5668699999999998</v>
      </c>
      <c r="G750" s="2">
        <v>2.5182600000000002</v>
      </c>
      <c r="H750" s="2">
        <v>-1.58727</v>
      </c>
      <c r="I750" s="2">
        <v>1</v>
      </c>
      <c r="K750" s="2" t="s">
        <v>976</v>
      </c>
      <c r="L750" s="2">
        <v>1.0088699999999999</v>
      </c>
    </row>
    <row r="751" spans="1:12" x14ac:dyDescent="0.2">
      <c r="A751" s="2" t="s">
        <v>962</v>
      </c>
      <c r="B751" s="2" t="s">
        <v>3245</v>
      </c>
      <c r="C751" s="2" t="s">
        <v>2590</v>
      </c>
      <c r="D751" s="2" t="s">
        <v>1839</v>
      </c>
      <c r="E751" s="2" t="s">
        <v>1841</v>
      </c>
      <c r="F751" s="2">
        <v>3.03356</v>
      </c>
      <c r="G751" s="2">
        <v>6.3860599999999996</v>
      </c>
      <c r="H751" s="2">
        <v>1.0739099999999999</v>
      </c>
      <c r="I751" s="2">
        <v>1</v>
      </c>
      <c r="K751" s="2" t="s">
        <v>1767</v>
      </c>
      <c r="L751" s="2">
        <v>-1.6147199999999999</v>
      </c>
    </row>
    <row r="752" spans="1:12" x14ac:dyDescent="0.2">
      <c r="A752" s="2" t="s">
        <v>964</v>
      </c>
      <c r="B752" s="2" t="s">
        <v>3015</v>
      </c>
      <c r="C752" s="2" t="s">
        <v>2296</v>
      </c>
      <c r="D752" s="2" t="s">
        <v>1839</v>
      </c>
      <c r="E752" s="2" t="s">
        <v>1841</v>
      </c>
      <c r="F752" s="2">
        <v>5.8461299999999996</v>
      </c>
      <c r="G752" s="2">
        <v>1.8121700000000001</v>
      </c>
      <c r="H752" s="2">
        <v>-1.6897599999999999</v>
      </c>
      <c r="I752" s="2">
        <v>1</v>
      </c>
      <c r="K752" s="2" t="s">
        <v>1768</v>
      </c>
      <c r="L752" s="2">
        <v>-1.2313700000000001</v>
      </c>
    </row>
    <row r="753" spans="1:12" x14ac:dyDescent="0.2">
      <c r="A753" s="2" t="s">
        <v>1760</v>
      </c>
      <c r="B753" s="2" t="s">
        <v>3015</v>
      </c>
      <c r="C753" s="2" t="s">
        <v>3015</v>
      </c>
      <c r="D753" s="2" t="s">
        <v>1839</v>
      </c>
      <c r="E753" s="2" t="s">
        <v>1841</v>
      </c>
      <c r="F753" s="2">
        <v>0.83521000000000001</v>
      </c>
      <c r="G753" s="2">
        <v>1.7380100000000001</v>
      </c>
      <c r="H753" s="2">
        <v>1.0572299999999999</v>
      </c>
      <c r="I753" s="2">
        <v>1</v>
      </c>
      <c r="K753" s="2" t="s">
        <v>1769</v>
      </c>
      <c r="L753" s="2">
        <v>1.11747</v>
      </c>
    </row>
    <row r="754" spans="1:12" x14ac:dyDescent="0.2">
      <c r="A754" s="2" t="s">
        <v>1761</v>
      </c>
      <c r="B754" s="2" t="s">
        <v>3476</v>
      </c>
      <c r="C754" s="2" t="s">
        <v>2932</v>
      </c>
      <c r="D754" s="2" t="s">
        <v>1839</v>
      </c>
      <c r="E754" s="2" t="s">
        <v>1841</v>
      </c>
      <c r="F754" s="2">
        <v>0.50963599999999998</v>
      </c>
      <c r="G754" s="2">
        <v>1.4873799999999999</v>
      </c>
      <c r="H754" s="2">
        <v>1.5452399999999999</v>
      </c>
      <c r="I754" s="2">
        <v>1</v>
      </c>
      <c r="K754" s="2" t="s">
        <v>1770</v>
      </c>
      <c r="L754" s="2">
        <v>1.4578</v>
      </c>
    </row>
    <row r="755" spans="1:12" x14ac:dyDescent="0.2">
      <c r="A755" s="2" t="s">
        <v>1762</v>
      </c>
      <c r="B755" s="2" t="s">
        <v>3015</v>
      </c>
      <c r="C755" s="2" t="s">
        <v>2933</v>
      </c>
      <c r="D755" s="2" t="s">
        <v>1839</v>
      </c>
      <c r="E755" s="2" t="s">
        <v>1841</v>
      </c>
      <c r="F755" s="2">
        <v>1.1585799999999999</v>
      </c>
      <c r="G755" s="2">
        <v>0.41941899999999999</v>
      </c>
      <c r="H755" s="2">
        <v>-1.4658899999999999</v>
      </c>
      <c r="I755" s="2">
        <v>1</v>
      </c>
      <c r="K755" s="2" t="s">
        <v>981</v>
      </c>
      <c r="L755" s="2">
        <v>1.75956</v>
      </c>
    </row>
    <row r="756" spans="1:12" x14ac:dyDescent="0.2">
      <c r="A756" s="2" t="s">
        <v>967</v>
      </c>
      <c r="B756" s="2" t="s">
        <v>3030</v>
      </c>
      <c r="C756" s="2" t="s">
        <v>2934</v>
      </c>
      <c r="D756" s="2" t="s">
        <v>1839</v>
      </c>
      <c r="E756" s="2" t="s">
        <v>1841</v>
      </c>
      <c r="F756" s="2">
        <v>10.0556</v>
      </c>
      <c r="G756" s="2">
        <v>4.4477200000000003</v>
      </c>
      <c r="H756" s="2">
        <v>-1.1768700000000001</v>
      </c>
      <c r="I756" s="2">
        <v>1</v>
      </c>
      <c r="K756" s="2" t="s">
        <v>982</v>
      </c>
      <c r="L756" s="2">
        <v>-1.3263199999999999</v>
      </c>
    </row>
    <row r="757" spans="1:12" x14ac:dyDescent="0.2">
      <c r="A757" s="2" t="s">
        <v>1763</v>
      </c>
      <c r="B757" s="2" t="s">
        <v>3058</v>
      </c>
      <c r="C757" s="2" t="s">
        <v>2935</v>
      </c>
      <c r="D757" s="2" t="s">
        <v>1839</v>
      </c>
      <c r="E757" s="2" t="s">
        <v>1841</v>
      </c>
      <c r="F757" s="2">
        <v>0.62070499999999995</v>
      </c>
      <c r="G757" s="2">
        <v>1.80515</v>
      </c>
      <c r="H757" s="2">
        <v>1.5401400000000001</v>
      </c>
      <c r="I757" s="2">
        <v>1</v>
      </c>
      <c r="K757" s="2" t="s">
        <v>988</v>
      </c>
      <c r="L757" s="2">
        <v>2.9302800000000002</v>
      </c>
    </row>
    <row r="758" spans="1:12" x14ac:dyDescent="0.2">
      <c r="A758" s="2" t="s">
        <v>1764</v>
      </c>
      <c r="B758" s="2" t="s">
        <v>3015</v>
      </c>
      <c r="C758" s="2" t="s">
        <v>2936</v>
      </c>
      <c r="D758" s="2" t="s">
        <v>1839</v>
      </c>
      <c r="E758" s="2" t="s">
        <v>1841</v>
      </c>
      <c r="F758" s="2">
        <v>1.6423300000000001</v>
      </c>
      <c r="G758" s="2">
        <v>3.6625700000000001</v>
      </c>
      <c r="H758" s="2">
        <v>1.1571100000000001</v>
      </c>
      <c r="I758" s="2">
        <v>1</v>
      </c>
      <c r="K758" s="2" t="s">
        <v>990</v>
      </c>
      <c r="L758" s="2">
        <v>-1.62175</v>
      </c>
    </row>
    <row r="759" spans="1:12" x14ac:dyDescent="0.2">
      <c r="A759" s="2" t="s">
        <v>1765</v>
      </c>
      <c r="B759" s="2" t="s">
        <v>3015</v>
      </c>
      <c r="C759" s="2" t="s">
        <v>2937</v>
      </c>
      <c r="D759" s="2" t="s">
        <v>1839</v>
      </c>
      <c r="E759" s="2" t="s">
        <v>1841</v>
      </c>
      <c r="F759" s="2">
        <v>0.84363200000000005</v>
      </c>
      <c r="G759" s="2">
        <v>0.35392299999999999</v>
      </c>
      <c r="H759" s="2">
        <v>-1.25318</v>
      </c>
      <c r="I759" s="2">
        <v>1</v>
      </c>
      <c r="K759" s="2" t="s">
        <v>1771</v>
      </c>
      <c r="L759" s="2">
        <v>-1.2276199999999999</v>
      </c>
    </row>
    <row r="760" spans="1:12" x14ac:dyDescent="0.2">
      <c r="A760" s="2" t="s">
        <v>1437</v>
      </c>
      <c r="B760" s="2" t="s">
        <v>3015</v>
      </c>
      <c r="C760" s="2" t="s">
        <v>1847</v>
      </c>
      <c r="D760" s="2" t="s">
        <v>1839</v>
      </c>
      <c r="E760" s="2" t="s">
        <v>1841</v>
      </c>
      <c r="F760" s="2">
        <v>0.459756</v>
      </c>
      <c r="G760" s="2">
        <v>2.9192900000000002</v>
      </c>
      <c r="H760" s="2">
        <v>2.6666799999999999</v>
      </c>
      <c r="I760" s="2">
        <v>1</v>
      </c>
      <c r="K760" s="2" t="s">
        <v>996</v>
      </c>
      <c r="L760" s="2">
        <v>1.38714</v>
      </c>
    </row>
    <row r="761" spans="1:12" x14ac:dyDescent="0.2">
      <c r="A761" s="2" t="s">
        <v>1766</v>
      </c>
      <c r="B761" s="2" t="s">
        <v>3015</v>
      </c>
      <c r="C761" s="2" t="s">
        <v>2938</v>
      </c>
      <c r="D761" s="2" t="s">
        <v>1839</v>
      </c>
      <c r="E761" s="2" t="s">
        <v>1841</v>
      </c>
      <c r="F761" s="2">
        <v>9.2154299999999996</v>
      </c>
      <c r="G761" s="2">
        <v>4.4717900000000004</v>
      </c>
      <c r="H761" s="2">
        <v>-1.0431999999999999</v>
      </c>
      <c r="I761" s="2">
        <v>1</v>
      </c>
      <c r="K761" s="2" t="s">
        <v>997</v>
      </c>
      <c r="L761" s="2">
        <v>-1.7796700000000001</v>
      </c>
    </row>
    <row r="762" spans="1:12" x14ac:dyDescent="0.2">
      <c r="A762" s="2" t="s">
        <v>976</v>
      </c>
      <c r="B762" s="2" t="s">
        <v>3477</v>
      </c>
      <c r="C762" s="2" t="s">
        <v>2939</v>
      </c>
      <c r="D762" s="2" t="s">
        <v>1839</v>
      </c>
      <c r="E762" s="2" t="s">
        <v>1841</v>
      </c>
      <c r="F762" s="2">
        <v>3.23447</v>
      </c>
      <c r="G762" s="2">
        <v>6.5088400000000002</v>
      </c>
      <c r="H762" s="2">
        <v>1.0088699999999999</v>
      </c>
      <c r="I762" s="2">
        <v>1</v>
      </c>
      <c r="K762" s="2" t="s">
        <v>998</v>
      </c>
      <c r="L762" s="2">
        <v>-1.3107500000000001</v>
      </c>
    </row>
    <row r="763" spans="1:12" x14ac:dyDescent="0.2">
      <c r="A763" s="2" t="s">
        <v>1767</v>
      </c>
      <c r="B763" s="2" t="s">
        <v>3030</v>
      </c>
      <c r="C763" s="2" t="s">
        <v>2940</v>
      </c>
      <c r="D763" s="2" t="s">
        <v>1839</v>
      </c>
      <c r="E763" s="2" t="s">
        <v>1841</v>
      </c>
      <c r="F763" s="2">
        <v>2.8555799999999998</v>
      </c>
      <c r="G763" s="2">
        <v>0.93242899999999995</v>
      </c>
      <c r="H763" s="2">
        <v>-1.6147199999999999</v>
      </c>
      <c r="I763" s="2">
        <v>1</v>
      </c>
      <c r="K763" s="2" t="s">
        <v>999</v>
      </c>
      <c r="L763" s="2">
        <v>1.67994</v>
      </c>
    </row>
    <row r="764" spans="1:12" x14ac:dyDescent="0.2">
      <c r="A764" s="2" t="s">
        <v>1768</v>
      </c>
      <c r="B764" s="2" t="s">
        <v>3015</v>
      </c>
      <c r="C764" s="2" t="s">
        <v>1847</v>
      </c>
      <c r="D764" s="2" t="s">
        <v>1839</v>
      </c>
      <c r="E764" s="2" t="s">
        <v>1841</v>
      </c>
      <c r="F764" s="2">
        <v>1.9741500000000001</v>
      </c>
      <c r="G764" s="2">
        <v>0.84081300000000003</v>
      </c>
      <c r="H764" s="2">
        <v>-1.2313700000000001</v>
      </c>
      <c r="I764" s="2">
        <v>1</v>
      </c>
      <c r="K764" s="2" t="s">
        <v>1439</v>
      </c>
      <c r="L764" s="2">
        <v>1.6200699999999999</v>
      </c>
    </row>
    <row r="765" spans="1:12" x14ac:dyDescent="0.2">
      <c r="A765" s="2" t="s">
        <v>1769</v>
      </c>
      <c r="B765" s="2" t="s">
        <v>3168</v>
      </c>
      <c r="C765" s="2" t="s">
        <v>2941</v>
      </c>
      <c r="D765" s="2" t="s">
        <v>1839</v>
      </c>
      <c r="E765" s="2" t="s">
        <v>1841</v>
      </c>
      <c r="F765" s="2">
        <v>0.83296000000000003</v>
      </c>
      <c r="G765" s="2">
        <v>1.80724</v>
      </c>
      <c r="H765" s="2">
        <v>1.11747</v>
      </c>
      <c r="I765" s="2">
        <v>1</v>
      </c>
      <c r="K765" s="2" t="s">
        <v>1000</v>
      </c>
      <c r="L765" s="2">
        <v>1.9117900000000001</v>
      </c>
    </row>
    <row r="766" spans="1:12" x14ac:dyDescent="0.2">
      <c r="A766" s="2" t="s">
        <v>1770</v>
      </c>
      <c r="B766" s="2" t="s">
        <v>3037</v>
      </c>
      <c r="C766" s="2" t="s">
        <v>2216</v>
      </c>
      <c r="D766" s="2" t="s">
        <v>1839</v>
      </c>
      <c r="E766" s="2" t="s">
        <v>1841</v>
      </c>
      <c r="F766" s="2">
        <v>0.37495400000000001</v>
      </c>
      <c r="G766" s="2">
        <v>1.02996</v>
      </c>
      <c r="H766" s="2">
        <v>1.4578</v>
      </c>
      <c r="I766" s="2">
        <v>1</v>
      </c>
      <c r="K766" s="2" t="s">
        <v>1001</v>
      </c>
      <c r="L766" s="2">
        <v>-1.7774300000000001</v>
      </c>
    </row>
    <row r="767" spans="1:12" x14ac:dyDescent="0.2">
      <c r="A767" s="2" t="s">
        <v>981</v>
      </c>
      <c r="B767" s="2" t="s">
        <v>3015</v>
      </c>
      <c r="C767" s="2" t="s">
        <v>2942</v>
      </c>
      <c r="D767" s="2" t="s">
        <v>1839</v>
      </c>
      <c r="E767" s="2" t="s">
        <v>1841</v>
      </c>
      <c r="F767" s="2">
        <v>0.95325400000000005</v>
      </c>
      <c r="G767" s="2">
        <v>3.2276699999999998</v>
      </c>
      <c r="H767" s="2">
        <v>1.75956</v>
      </c>
      <c r="I767" s="2">
        <v>1</v>
      </c>
      <c r="K767" s="2" t="s">
        <v>1772</v>
      </c>
      <c r="L767" s="2">
        <v>1.27197</v>
      </c>
    </row>
    <row r="768" spans="1:12" x14ac:dyDescent="0.2">
      <c r="A768" s="2" t="s">
        <v>982</v>
      </c>
      <c r="B768" s="2" t="s">
        <v>3015</v>
      </c>
      <c r="C768" s="2" t="s">
        <v>3015</v>
      </c>
      <c r="D768" s="2" t="s">
        <v>1839</v>
      </c>
      <c r="E768" s="2" t="s">
        <v>1841</v>
      </c>
      <c r="F768" s="2">
        <v>2.2590699999999999</v>
      </c>
      <c r="G768" s="2">
        <v>0.90088199999999996</v>
      </c>
      <c r="H768" s="2">
        <v>-1.3263199999999999</v>
      </c>
      <c r="I768" s="2">
        <v>1</v>
      </c>
      <c r="K768" s="2" t="s">
        <v>1443</v>
      </c>
      <c r="L768" s="2">
        <v>1.0011099999999999</v>
      </c>
    </row>
    <row r="769" spans="1:12" x14ac:dyDescent="0.2">
      <c r="A769" s="2" t="s">
        <v>988</v>
      </c>
      <c r="B769" s="2" t="s">
        <v>3047</v>
      </c>
      <c r="C769" s="2" t="s">
        <v>2277</v>
      </c>
      <c r="D769" s="2" t="s">
        <v>1839</v>
      </c>
      <c r="E769" s="2" t="s">
        <v>1841</v>
      </c>
      <c r="F769" s="2">
        <v>0.210979</v>
      </c>
      <c r="G769" s="2">
        <v>1.6082099999999999</v>
      </c>
      <c r="H769" s="2">
        <v>2.9302800000000002</v>
      </c>
      <c r="I769" s="2">
        <v>1</v>
      </c>
      <c r="K769" s="2" t="s">
        <v>1773</v>
      </c>
      <c r="L769" s="2">
        <v>1.1785399999999999</v>
      </c>
    </row>
    <row r="770" spans="1:12" x14ac:dyDescent="0.2">
      <c r="A770" s="2" t="s">
        <v>990</v>
      </c>
      <c r="B770" s="2" t="s">
        <v>3015</v>
      </c>
      <c r="C770" s="2" t="s">
        <v>2309</v>
      </c>
      <c r="D770" s="2" t="s">
        <v>1839</v>
      </c>
      <c r="E770" s="2" t="s">
        <v>1841</v>
      </c>
      <c r="F770" s="2">
        <v>1.2685299999999999</v>
      </c>
      <c r="G770" s="2">
        <v>0.41219800000000001</v>
      </c>
      <c r="H770" s="2">
        <v>-1.62175</v>
      </c>
      <c r="I770" s="2">
        <v>1</v>
      </c>
      <c r="K770" s="2" t="s">
        <v>1006</v>
      </c>
      <c r="L770" s="2">
        <v>-1.1274900000000001</v>
      </c>
    </row>
    <row r="771" spans="1:12" x14ac:dyDescent="0.2">
      <c r="A771" s="2" t="s">
        <v>1771</v>
      </c>
      <c r="B771" s="2" t="s">
        <v>3155</v>
      </c>
      <c r="C771" s="2" t="s">
        <v>3015</v>
      </c>
      <c r="D771" s="2" t="s">
        <v>1839</v>
      </c>
      <c r="E771" s="2" t="s">
        <v>1841</v>
      </c>
      <c r="F771" s="2">
        <v>1.76576</v>
      </c>
      <c r="G771" s="2">
        <v>0.75401799999999997</v>
      </c>
      <c r="H771" s="2">
        <v>-1.2276199999999999</v>
      </c>
      <c r="I771" s="2">
        <v>1</v>
      </c>
      <c r="K771" s="2" t="s">
        <v>1444</v>
      </c>
      <c r="L771" s="2">
        <v>1.04427</v>
      </c>
    </row>
    <row r="772" spans="1:12" x14ac:dyDescent="0.2">
      <c r="A772" s="2" t="s">
        <v>996</v>
      </c>
      <c r="B772" s="2" t="s">
        <v>3047</v>
      </c>
      <c r="C772" s="2" t="s">
        <v>2277</v>
      </c>
      <c r="D772" s="2" t="s">
        <v>1839</v>
      </c>
      <c r="E772" s="2" t="s">
        <v>1841</v>
      </c>
      <c r="F772" s="2">
        <v>1.44367</v>
      </c>
      <c r="G772" s="2">
        <v>3.7760500000000001</v>
      </c>
      <c r="H772" s="2">
        <v>1.38714</v>
      </c>
      <c r="I772" s="2">
        <v>1</v>
      </c>
      <c r="K772" s="2" t="s">
        <v>1012</v>
      </c>
      <c r="L772" s="2">
        <v>1.1982900000000001</v>
      </c>
    </row>
    <row r="773" spans="1:12" x14ac:dyDescent="0.2">
      <c r="A773" s="2" t="s">
        <v>997</v>
      </c>
      <c r="B773" s="2" t="s">
        <v>3254</v>
      </c>
      <c r="C773" s="2" t="s">
        <v>1847</v>
      </c>
      <c r="D773" s="2" t="s">
        <v>1839</v>
      </c>
      <c r="E773" s="2" t="s">
        <v>1841</v>
      </c>
      <c r="F773" s="2">
        <v>30.1279</v>
      </c>
      <c r="G773" s="2">
        <v>8.7747100000000007</v>
      </c>
      <c r="H773" s="2">
        <v>-1.7796700000000001</v>
      </c>
      <c r="I773" s="2">
        <v>1</v>
      </c>
      <c r="K773" s="2" t="s">
        <v>1020</v>
      </c>
      <c r="L773" s="2">
        <v>-1.77433</v>
      </c>
    </row>
    <row r="774" spans="1:12" x14ac:dyDescent="0.2">
      <c r="A774" s="2" t="s">
        <v>998</v>
      </c>
      <c r="B774" s="2" t="s">
        <v>3015</v>
      </c>
      <c r="C774" s="2" t="s">
        <v>3015</v>
      </c>
      <c r="D774" s="2" t="s">
        <v>1839</v>
      </c>
      <c r="E774" s="2" t="s">
        <v>1841</v>
      </c>
      <c r="F774" s="2">
        <v>21.988299999999999</v>
      </c>
      <c r="G774" s="2">
        <v>8.8636999999999997</v>
      </c>
      <c r="H774" s="2">
        <v>-1.3107500000000001</v>
      </c>
      <c r="I774" s="2">
        <v>1</v>
      </c>
      <c r="K774" s="2" t="s">
        <v>1023</v>
      </c>
      <c r="L774" s="2">
        <v>1.11968</v>
      </c>
    </row>
    <row r="775" spans="1:12" x14ac:dyDescent="0.2">
      <c r="A775" s="2" t="s">
        <v>999</v>
      </c>
      <c r="B775" s="2" t="s">
        <v>3478</v>
      </c>
      <c r="C775" s="2" t="s">
        <v>2943</v>
      </c>
      <c r="D775" s="2" t="s">
        <v>1839</v>
      </c>
      <c r="E775" s="2" t="s">
        <v>1841</v>
      </c>
      <c r="F775" s="2">
        <v>0.60204199999999997</v>
      </c>
      <c r="G775" s="2">
        <v>1.9290400000000001</v>
      </c>
      <c r="H775" s="2">
        <v>1.67994</v>
      </c>
      <c r="I775" s="2">
        <v>1</v>
      </c>
      <c r="K775" s="2" t="s">
        <v>1026</v>
      </c>
      <c r="L775" s="2">
        <v>-1.02643</v>
      </c>
    </row>
    <row r="776" spans="1:12" x14ac:dyDescent="0.2">
      <c r="A776" s="2" t="s">
        <v>1439</v>
      </c>
      <c r="B776" s="2" t="s">
        <v>3129</v>
      </c>
      <c r="C776" s="2" t="s">
        <v>2595</v>
      </c>
      <c r="D776" s="2" t="s">
        <v>1839</v>
      </c>
      <c r="E776" s="2" t="s">
        <v>1841</v>
      </c>
      <c r="F776" s="2">
        <v>0.46313100000000001</v>
      </c>
      <c r="G776" s="2">
        <v>1.4236200000000001</v>
      </c>
      <c r="H776" s="2">
        <v>1.6200699999999999</v>
      </c>
      <c r="I776" s="2">
        <v>1</v>
      </c>
      <c r="K776" s="2" t="s">
        <v>1028</v>
      </c>
      <c r="L776" s="2">
        <v>1.93242</v>
      </c>
    </row>
    <row r="777" spans="1:12" x14ac:dyDescent="0.2">
      <c r="A777" s="2" t="s">
        <v>1000</v>
      </c>
      <c r="B777" s="2" t="s">
        <v>3015</v>
      </c>
      <c r="C777" s="2" t="s">
        <v>3015</v>
      </c>
      <c r="D777" s="2" t="s">
        <v>1839</v>
      </c>
      <c r="E777" s="2" t="s">
        <v>1841</v>
      </c>
      <c r="F777" s="2">
        <v>0.38102799999999998</v>
      </c>
      <c r="G777" s="2">
        <v>1.43371</v>
      </c>
      <c r="H777" s="2">
        <v>1.9117900000000001</v>
      </c>
      <c r="I777" s="2">
        <v>1</v>
      </c>
      <c r="K777" s="2" t="s">
        <v>1448</v>
      </c>
      <c r="L777" s="2">
        <v>1.02281</v>
      </c>
    </row>
    <row r="778" spans="1:12" x14ac:dyDescent="0.2">
      <c r="A778" s="2" t="s">
        <v>1001</v>
      </c>
      <c r="B778" s="2" t="s">
        <v>3015</v>
      </c>
      <c r="C778" s="2" t="s">
        <v>2312</v>
      </c>
      <c r="D778" s="2" t="s">
        <v>1839</v>
      </c>
      <c r="E778" s="2" t="s">
        <v>1841</v>
      </c>
      <c r="F778" s="2">
        <v>2.9210500000000001</v>
      </c>
      <c r="G778" s="2">
        <v>0.85207599999999994</v>
      </c>
      <c r="H778" s="2">
        <v>-1.7774300000000001</v>
      </c>
      <c r="I778" s="2">
        <v>1</v>
      </c>
      <c r="K778" s="2" t="s">
        <v>1032</v>
      </c>
      <c r="L778" s="2">
        <v>1.00386</v>
      </c>
    </row>
    <row r="779" spans="1:12" x14ac:dyDescent="0.2">
      <c r="A779" s="2" t="s">
        <v>1772</v>
      </c>
      <c r="B779" s="2" t="s">
        <v>3015</v>
      </c>
      <c r="C779" s="2" t="s">
        <v>2944</v>
      </c>
      <c r="D779" s="2" t="s">
        <v>1839</v>
      </c>
      <c r="E779" s="2" t="s">
        <v>1841</v>
      </c>
      <c r="F779" s="2">
        <v>0.64837500000000003</v>
      </c>
      <c r="G779" s="2">
        <v>1.5657700000000001</v>
      </c>
      <c r="H779" s="2">
        <v>1.27197</v>
      </c>
      <c r="I779" s="2">
        <v>1</v>
      </c>
      <c r="K779" s="2" t="s">
        <v>1774</v>
      </c>
      <c r="L779" s="2">
        <v>-1.0058</v>
      </c>
    </row>
    <row r="780" spans="1:12" x14ac:dyDescent="0.2">
      <c r="A780" s="2" t="s">
        <v>1443</v>
      </c>
      <c r="B780" s="2" t="s">
        <v>3463</v>
      </c>
      <c r="C780" s="2" t="s">
        <v>2945</v>
      </c>
      <c r="D780" s="2" t="s">
        <v>1839</v>
      </c>
      <c r="E780" s="2" t="s">
        <v>1841</v>
      </c>
      <c r="F780" s="2">
        <v>5.5547000000000004</v>
      </c>
      <c r="G780" s="2">
        <v>11.117900000000001</v>
      </c>
      <c r="H780" s="2">
        <v>1.0011099999999999</v>
      </c>
      <c r="I780" s="2">
        <v>1</v>
      </c>
      <c r="K780" s="2" t="s">
        <v>1775</v>
      </c>
      <c r="L780" s="2">
        <v>-1.2513399999999999</v>
      </c>
    </row>
    <row r="781" spans="1:12" x14ac:dyDescent="0.2">
      <c r="A781" s="2" t="s">
        <v>1773</v>
      </c>
      <c r="B781" s="2" t="s">
        <v>3038</v>
      </c>
      <c r="C781" s="2" t="s">
        <v>2946</v>
      </c>
      <c r="D781" s="2" t="s">
        <v>1839</v>
      </c>
      <c r="E781" s="2" t="s">
        <v>1841</v>
      </c>
      <c r="F781" s="2">
        <v>0.70381199999999999</v>
      </c>
      <c r="G781" s="2">
        <v>1.5930599999999999</v>
      </c>
      <c r="H781" s="2">
        <v>1.1785399999999999</v>
      </c>
      <c r="I781" s="2">
        <v>1</v>
      </c>
      <c r="K781" s="2" t="s">
        <v>1034</v>
      </c>
      <c r="L781" s="2">
        <v>1.79558</v>
      </c>
    </row>
    <row r="782" spans="1:12" x14ac:dyDescent="0.2">
      <c r="A782" s="2" t="s">
        <v>1006</v>
      </c>
      <c r="B782" s="2" t="s">
        <v>3319</v>
      </c>
      <c r="C782" s="2" t="s">
        <v>1862</v>
      </c>
      <c r="D782" s="2" t="s">
        <v>1839</v>
      </c>
      <c r="E782" s="2" t="s">
        <v>1841</v>
      </c>
      <c r="F782" s="2">
        <v>8.3578700000000001</v>
      </c>
      <c r="G782" s="2">
        <v>3.8254999999999999</v>
      </c>
      <c r="H782" s="2">
        <v>-1.1274900000000001</v>
      </c>
      <c r="I782" s="2">
        <v>1</v>
      </c>
      <c r="K782" s="2" t="s">
        <v>1776</v>
      </c>
      <c r="L782" s="2">
        <v>-1.01688</v>
      </c>
    </row>
    <row r="783" spans="1:12" x14ac:dyDescent="0.2">
      <c r="A783" s="2" t="s">
        <v>1444</v>
      </c>
      <c r="B783" s="2" t="s">
        <v>3189</v>
      </c>
      <c r="C783" s="2" t="s">
        <v>2761</v>
      </c>
      <c r="D783" s="2" t="s">
        <v>1839</v>
      </c>
      <c r="E783" s="2" t="s">
        <v>1841</v>
      </c>
      <c r="F783" s="2">
        <v>19.242000000000001</v>
      </c>
      <c r="G783" s="2">
        <v>39.683100000000003</v>
      </c>
      <c r="H783" s="2">
        <v>1.04427</v>
      </c>
      <c r="I783" s="2">
        <v>1</v>
      </c>
      <c r="K783" s="2" t="s">
        <v>1035</v>
      </c>
      <c r="L783" s="2">
        <v>1.7414700000000001</v>
      </c>
    </row>
    <row r="784" spans="1:12" x14ac:dyDescent="0.2">
      <c r="A784" s="2" t="s">
        <v>1012</v>
      </c>
      <c r="B784" s="2" t="s">
        <v>3015</v>
      </c>
      <c r="C784" s="2" t="s">
        <v>2317</v>
      </c>
      <c r="D784" s="2" t="s">
        <v>1839</v>
      </c>
      <c r="E784" s="2" t="s">
        <v>1841</v>
      </c>
      <c r="F784" s="2">
        <v>0.33588400000000002</v>
      </c>
      <c r="G784" s="2">
        <v>0.77074299999999996</v>
      </c>
      <c r="H784" s="2">
        <v>1.1982900000000001</v>
      </c>
      <c r="I784" s="2">
        <v>1</v>
      </c>
      <c r="K784" s="2" t="s">
        <v>1037</v>
      </c>
      <c r="L784" s="2">
        <v>-1.01257</v>
      </c>
    </row>
    <row r="785" spans="1:12" x14ac:dyDescent="0.2">
      <c r="A785" s="2" t="s">
        <v>1020</v>
      </c>
      <c r="B785" s="2" t="s">
        <v>3015</v>
      </c>
      <c r="C785" s="2" t="s">
        <v>2322</v>
      </c>
      <c r="D785" s="2" t="s">
        <v>1839</v>
      </c>
      <c r="E785" s="2" t="s">
        <v>1841</v>
      </c>
      <c r="F785" s="2">
        <v>94.046199999999999</v>
      </c>
      <c r="G785" s="2">
        <v>27.4924</v>
      </c>
      <c r="H785" s="2">
        <v>-1.77433</v>
      </c>
      <c r="I785" s="2">
        <v>1</v>
      </c>
      <c r="K785" s="2" t="s">
        <v>1039</v>
      </c>
      <c r="L785" s="2">
        <v>1.1115900000000001</v>
      </c>
    </row>
    <row r="786" spans="1:12" x14ac:dyDescent="0.2">
      <c r="A786" s="2" t="s">
        <v>1023</v>
      </c>
      <c r="B786" s="2" t="s">
        <v>3089</v>
      </c>
      <c r="C786" s="2" t="s">
        <v>2775</v>
      </c>
      <c r="D786" s="2" t="s">
        <v>1839</v>
      </c>
      <c r="E786" s="2" t="s">
        <v>1841</v>
      </c>
      <c r="F786" s="2">
        <v>7.5493800000000002</v>
      </c>
      <c r="G786" s="2">
        <v>16.404699999999998</v>
      </c>
      <c r="H786" s="2">
        <v>1.11968</v>
      </c>
      <c r="I786" s="2">
        <v>1</v>
      </c>
      <c r="K786" s="2" t="s">
        <v>1777</v>
      </c>
      <c r="L786" s="2">
        <v>-1.0966199999999999</v>
      </c>
    </row>
    <row r="787" spans="1:12" x14ac:dyDescent="0.2">
      <c r="A787" s="2" t="s">
        <v>1026</v>
      </c>
      <c r="B787" s="2" t="s">
        <v>3259</v>
      </c>
      <c r="C787" s="2" t="s">
        <v>1847</v>
      </c>
      <c r="D787" s="2" t="s">
        <v>1839</v>
      </c>
      <c r="E787" s="2" t="s">
        <v>1841</v>
      </c>
      <c r="F787" s="2">
        <v>2.8478699999999999</v>
      </c>
      <c r="G787" s="2">
        <v>1.3980900000000001</v>
      </c>
      <c r="H787" s="2">
        <v>-1.02643</v>
      </c>
      <c r="I787" s="2">
        <v>1</v>
      </c>
      <c r="K787" s="2" t="s">
        <v>1778</v>
      </c>
      <c r="L787" s="2">
        <v>1.0491699999999999</v>
      </c>
    </row>
    <row r="788" spans="1:12" x14ac:dyDescent="0.2">
      <c r="A788" s="2" t="s">
        <v>1028</v>
      </c>
      <c r="B788" s="2" t="s">
        <v>3015</v>
      </c>
      <c r="C788" s="2" t="s">
        <v>2326</v>
      </c>
      <c r="D788" s="2" t="s">
        <v>1839</v>
      </c>
      <c r="E788" s="2" t="s">
        <v>1841</v>
      </c>
      <c r="F788" s="2">
        <v>6.3791099999999998</v>
      </c>
      <c r="G788" s="2">
        <v>24.348800000000001</v>
      </c>
      <c r="H788" s="2">
        <v>1.93242</v>
      </c>
      <c r="I788" s="2">
        <v>1</v>
      </c>
      <c r="K788" s="2" t="s">
        <v>1779</v>
      </c>
      <c r="L788" s="2">
        <v>1.19326</v>
      </c>
    </row>
    <row r="789" spans="1:12" x14ac:dyDescent="0.2">
      <c r="A789" s="2" t="s">
        <v>1448</v>
      </c>
      <c r="B789" s="2" t="s">
        <v>3015</v>
      </c>
      <c r="C789" s="2" t="s">
        <v>3015</v>
      </c>
      <c r="D789" s="2" t="s">
        <v>1839</v>
      </c>
      <c r="E789" s="2" t="s">
        <v>1841</v>
      </c>
      <c r="F789" s="2">
        <v>1.34402</v>
      </c>
      <c r="G789" s="2">
        <v>2.73088</v>
      </c>
      <c r="H789" s="2">
        <v>1.02281</v>
      </c>
      <c r="I789" s="2">
        <v>1</v>
      </c>
      <c r="K789" s="2" t="s">
        <v>1048</v>
      </c>
      <c r="L789" s="2">
        <v>1.2878000000000001</v>
      </c>
    </row>
    <row r="790" spans="1:12" x14ac:dyDescent="0.2">
      <c r="A790" s="2" t="s">
        <v>1032</v>
      </c>
      <c r="B790" s="2" t="s">
        <v>3201</v>
      </c>
      <c r="C790" s="2" t="s">
        <v>2677</v>
      </c>
      <c r="D790" s="2" t="s">
        <v>1839</v>
      </c>
      <c r="E790" s="2" t="s">
        <v>1841</v>
      </c>
      <c r="F790" s="2">
        <v>3.1874600000000002</v>
      </c>
      <c r="G790" s="2">
        <v>6.3919800000000002</v>
      </c>
      <c r="H790" s="2">
        <v>1.00386</v>
      </c>
      <c r="I790" s="2">
        <v>1</v>
      </c>
      <c r="K790" s="2" t="s">
        <v>1049</v>
      </c>
      <c r="L790" s="2">
        <v>-1.1036600000000001</v>
      </c>
    </row>
    <row r="791" spans="1:12" x14ac:dyDescent="0.2">
      <c r="A791" s="2" t="s">
        <v>1774</v>
      </c>
      <c r="B791" s="2" t="s">
        <v>3015</v>
      </c>
      <c r="C791" s="2" t="s">
        <v>2947</v>
      </c>
      <c r="D791" s="2" t="s">
        <v>1839</v>
      </c>
      <c r="E791" s="2" t="s">
        <v>1841</v>
      </c>
      <c r="F791" s="2">
        <v>2.59056</v>
      </c>
      <c r="G791" s="2">
        <v>1.29009</v>
      </c>
      <c r="H791" s="2">
        <v>-1.0058</v>
      </c>
      <c r="I791" s="2">
        <v>1</v>
      </c>
      <c r="K791" s="2" t="s">
        <v>1780</v>
      </c>
      <c r="L791" s="2">
        <v>-1.3410599999999999</v>
      </c>
    </row>
    <row r="792" spans="1:12" x14ac:dyDescent="0.2">
      <c r="A792" s="2" t="s">
        <v>1775</v>
      </c>
      <c r="B792" s="2" t="s">
        <v>3100</v>
      </c>
      <c r="C792" s="2" t="s">
        <v>2948</v>
      </c>
      <c r="D792" s="2" t="s">
        <v>1839</v>
      </c>
      <c r="E792" s="2" t="s">
        <v>1841</v>
      </c>
      <c r="F792" s="2">
        <v>1.1756500000000001</v>
      </c>
      <c r="G792" s="2">
        <v>0.493842</v>
      </c>
      <c r="H792" s="2">
        <v>-1.2513399999999999</v>
      </c>
      <c r="I792" s="2">
        <v>1</v>
      </c>
      <c r="K792" s="2" t="s">
        <v>1781</v>
      </c>
      <c r="L792" s="2">
        <v>2.2837100000000001</v>
      </c>
    </row>
    <row r="793" spans="1:12" x14ac:dyDescent="0.2">
      <c r="A793" s="2" t="s">
        <v>1034</v>
      </c>
      <c r="B793" s="2" t="s">
        <v>3015</v>
      </c>
      <c r="C793" s="2" t="s">
        <v>2949</v>
      </c>
      <c r="D793" s="2" t="s">
        <v>1839</v>
      </c>
      <c r="E793" s="2" t="s">
        <v>1841</v>
      </c>
      <c r="F793" s="2">
        <v>1.6415200000000001</v>
      </c>
      <c r="G793" s="2">
        <v>5.6986100000000004</v>
      </c>
      <c r="H793" s="2">
        <v>1.79558</v>
      </c>
      <c r="I793" s="2">
        <v>1</v>
      </c>
      <c r="K793" s="2" t="s">
        <v>1450</v>
      </c>
      <c r="L793" s="2">
        <v>2.9317899999999999</v>
      </c>
    </row>
    <row r="794" spans="1:12" x14ac:dyDescent="0.2">
      <c r="A794" s="2" t="s">
        <v>1776</v>
      </c>
      <c r="B794" s="2" t="s">
        <v>3015</v>
      </c>
      <c r="C794" s="2" t="s">
        <v>2950</v>
      </c>
      <c r="D794" s="2" t="s">
        <v>1839</v>
      </c>
      <c r="E794" s="2" t="s">
        <v>1841</v>
      </c>
      <c r="F794" s="2">
        <v>5.2659799999999999</v>
      </c>
      <c r="G794" s="2">
        <v>2.6023700000000001</v>
      </c>
      <c r="H794" s="2">
        <v>-1.01688</v>
      </c>
      <c r="I794" s="2">
        <v>1</v>
      </c>
      <c r="K794" s="2" t="s">
        <v>1782</v>
      </c>
      <c r="L794" s="2">
        <v>1.04884</v>
      </c>
    </row>
    <row r="795" spans="1:12" x14ac:dyDescent="0.2">
      <c r="A795" s="2" t="s">
        <v>1035</v>
      </c>
      <c r="B795" s="2" t="s">
        <v>3015</v>
      </c>
      <c r="C795" s="2" t="s">
        <v>2951</v>
      </c>
      <c r="D795" s="2" t="s">
        <v>1839</v>
      </c>
      <c r="E795" s="2" t="s">
        <v>1841</v>
      </c>
      <c r="F795" s="2">
        <v>1.56921</v>
      </c>
      <c r="G795" s="2">
        <v>5.2470699999999999</v>
      </c>
      <c r="H795" s="2">
        <v>1.7414700000000001</v>
      </c>
      <c r="I795" s="2">
        <v>1</v>
      </c>
      <c r="K795" s="2" t="s">
        <v>1054</v>
      </c>
      <c r="L795" s="2">
        <v>-1.1250599999999999</v>
      </c>
    </row>
    <row r="796" spans="1:12" x14ac:dyDescent="0.2">
      <c r="A796" s="2" t="s">
        <v>1037</v>
      </c>
      <c r="B796" s="2" t="s">
        <v>3015</v>
      </c>
      <c r="C796" s="2" t="s">
        <v>3015</v>
      </c>
      <c r="D796" s="2" t="s">
        <v>1839</v>
      </c>
      <c r="E796" s="2" t="s">
        <v>1841</v>
      </c>
      <c r="F796" s="2">
        <v>1.9810300000000001</v>
      </c>
      <c r="G796" s="2">
        <v>0.98192299999999999</v>
      </c>
      <c r="H796" s="2">
        <v>-1.01257</v>
      </c>
      <c r="I796" s="2">
        <v>1</v>
      </c>
      <c r="K796" s="2" t="s">
        <v>1055</v>
      </c>
      <c r="L796" s="2">
        <v>-1.0482</v>
      </c>
    </row>
    <row r="797" spans="1:12" x14ac:dyDescent="0.2">
      <c r="A797" s="2" t="s">
        <v>1039</v>
      </c>
      <c r="B797" s="2" t="s">
        <v>3015</v>
      </c>
      <c r="C797" s="2" t="s">
        <v>2952</v>
      </c>
      <c r="D797" s="2" t="s">
        <v>1839</v>
      </c>
      <c r="E797" s="2" t="s">
        <v>1841</v>
      </c>
      <c r="F797" s="2">
        <v>1.22424</v>
      </c>
      <c r="G797" s="2">
        <v>2.6453700000000002</v>
      </c>
      <c r="H797" s="2">
        <v>1.1115900000000001</v>
      </c>
      <c r="I797" s="2">
        <v>1</v>
      </c>
      <c r="K797" s="2" t="s">
        <v>1057</v>
      </c>
      <c r="L797" s="2">
        <v>3.16188</v>
      </c>
    </row>
    <row r="798" spans="1:12" x14ac:dyDescent="0.2">
      <c r="A798" s="2" t="s">
        <v>1777</v>
      </c>
      <c r="B798" s="2" t="s">
        <v>3479</v>
      </c>
      <c r="C798" s="2" t="s">
        <v>2953</v>
      </c>
      <c r="D798" s="2" t="s">
        <v>1839</v>
      </c>
      <c r="E798" s="2" t="s">
        <v>1841</v>
      </c>
      <c r="F798" s="2">
        <v>4.0515600000000003</v>
      </c>
      <c r="G798" s="2">
        <v>1.89455</v>
      </c>
      <c r="H798" s="2">
        <v>-1.0966199999999999</v>
      </c>
      <c r="I798" s="2">
        <v>1</v>
      </c>
      <c r="K798" s="2" t="s">
        <v>1783</v>
      </c>
      <c r="L798" s="2">
        <v>-1.2428300000000001</v>
      </c>
    </row>
    <row r="799" spans="1:12" x14ac:dyDescent="0.2">
      <c r="A799" s="2" t="s">
        <v>1778</v>
      </c>
      <c r="B799" s="2" t="s">
        <v>3480</v>
      </c>
      <c r="C799" s="2" t="s">
        <v>2954</v>
      </c>
      <c r="D799" s="2" t="s">
        <v>1839</v>
      </c>
      <c r="E799" s="2" t="s">
        <v>1841</v>
      </c>
      <c r="F799" s="2">
        <v>0.49374499999999999</v>
      </c>
      <c r="G799" s="2">
        <v>1.02172</v>
      </c>
      <c r="H799" s="2">
        <v>1.0491699999999999</v>
      </c>
      <c r="I799" s="2">
        <v>1</v>
      </c>
      <c r="K799" s="2" t="s">
        <v>1453</v>
      </c>
      <c r="L799" s="2">
        <v>1.02172</v>
      </c>
    </row>
    <row r="800" spans="1:12" x14ac:dyDescent="0.2">
      <c r="A800" s="2" t="s">
        <v>1779</v>
      </c>
      <c r="B800" s="2" t="s">
        <v>3015</v>
      </c>
      <c r="C800" s="2" t="s">
        <v>1862</v>
      </c>
      <c r="D800" s="2" t="s">
        <v>1839</v>
      </c>
      <c r="E800" s="2" t="s">
        <v>1841</v>
      </c>
      <c r="F800" s="2">
        <v>3.2970199999999998</v>
      </c>
      <c r="G800" s="2">
        <v>7.5392400000000004</v>
      </c>
      <c r="H800" s="2">
        <v>1.19326</v>
      </c>
      <c r="I800" s="2">
        <v>1</v>
      </c>
      <c r="K800" s="2" t="s">
        <v>1784</v>
      </c>
      <c r="L800" s="2">
        <v>-1.05335</v>
      </c>
    </row>
    <row r="801" spans="1:12" x14ac:dyDescent="0.2">
      <c r="A801" s="2" t="s">
        <v>1048</v>
      </c>
      <c r="B801" s="2" t="s">
        <v>3481</v>
      </c>
      <c r="C801" s="2" t="s">
        <v>2955</v>
      </c>
      <c r="D801" s="2" t="s">
        <v>1839</v>
      </c>
      <c r="E801" s="2" t="s">
        <v>1841</v>
      </c>
      <c r="F801" s="2">
        <v>1.02586</v>
      </c>
      <c r="G801" s="2">
        <v>2.5047000000000001</v>
      </c>
      <c r="H801" s="2">
        <v>1.2878000000000001</v>
      </c>
      <c r="I801" s="2">
        <v>1</v>
      </c>
      <c r="K801" s="2" t="s">
        <v>1785</v>
      </c>
      <c r="L801" s="2">
        <v>1.43919</v>
      </c>
    </row>
    <row r="802" spans="1:12" x14ac:dyDescent="0.2">
      <c r="A802" s="2" t="s">
        <v>1049</v>
      </c>
      <c r="B802" s="2" t="s">
        <v>3262</v>
      </c>
      <c r="C802" s="2" t="s">
        <v>2335</v>
      </c>
      <c r="D802" s="2" t="s">
        <v>1839</v>
      </c>
      <c r="E802" s="2" t="s">
        <v>1841</v>
      </c>
      <c r="F802" s="2">
        <v>48.994700000000002</v>
      </c>
      <c r="G802" s="2">
        <v>22.7989</v>
      </c>
      <c r="H802" s="2">
        <v>-1.1036600000000001</v>
      </c>
      <c r="I802" s="2">
        <v>1</v>
      </c>
      <c r="K802" s="2" t="s">
        <v>1058</v>
      </c>
      <c r="L802" s="2">
        <v>-1.4995499999999999</v>
      </c>
    </row>
    <row r="803" spans="1:12" x14ac:dyDescent="0.2">
      <c r="A803" s="2" t="s">
        <v>1780</v>
      </c>
      <c r="B803" s="2" t="s">
        <v>3015</v>
      </c>
      <c r="C803" s="2" t="s">
        <v>2956</v>
      </c>
      <c r="D803" s="2" t="s">
        <v>1839</v>
      </c>
      <c r="E803" s="2" t="s">
        <v>1841</v>
      </c>
      <c r="F803" s="2">
        <v>2.1651500000000001</v>
      </c>
      <c r="G803" s="2">
        <v>0.85464700000000005</v>
      </c>
      <c r="H803" s="2">
        <v>-1.3410599999999999</v>
      </c>
      <c r="I803" s="2">
        <v>1</v>
      </c>
      <c r="K803" s="2" t="s">
        <v>1786</v>
      </c>
      <c r="L803" s="2">
        <v>-1.3412299999999999</v>
      </c>
    </row>
    <row r="804" spans="1:12" x14ac:dyDescent="0.2">
      <c r="A804" s="2" t="s">
        <v>1781</v>
      </c>
      <c r="B804" s="2" t="s">
        <v>3015</v>
      </c>
      <c r="C804" s="2" t="s">
        <v>2231</v>
      </c>
      <c r="D804" s="2" t="s">
        <v>1839</v>
      </c>
      <c r="E804" s="2" t="s">
        <v>1841</v>
      </c>
      <c r="F804" s="2">
        <v>0.204984</v>
      </c>
      <c r="G804" s="2">
        <v>0.99812699999999999</v>
      </c>
      <c r="H804" s="2">
        <v>2.2837100000000001</v>
      </c>
      <c r="I804" s="2">
        <v>1</v>
      </c>
      <c r="K804" s="2" t="s">
        <v>1787</v>
      </c>
      <c r="L804" s="2">
        <v>1.2381599999999999</v>
      </c>
    </row>
    <row r="805" spans="1:12" x14ac:dyDescent="0.2">
      <c r="A805" s="2" t="s">
        <v>1450</v>
      </c>
      <c r="B805" s="2" t="s">
        <v>3175</v>
      </c>
      <c r="C805" s="2" t="s">
        <v>2557</v>
      </c>
      <c r="D805" s="2" t="s">
        <v>1839</v>
      </c>
      <c r="E805" s="2" t="s">
        <v>1841</v>
      </c>
      <c r="F805" s="2">
        <v>0.23741799999999999</v>
      </c>
      <c r="G805" s="2">
        <v>1.8116300000000001</v>
      </c>
      <c r="H805" s="2">
        <v>2.9317899999999999</v>
      </c>
      <c r="I805" s="2">
        <v>1</v>
      </c>
      <c r="K805" s="2" t="s">
        <v>1060</v>
      </c>
      <c r="L805" s="2">
        <v>1.01637</v>
      </c>
    </row>
    <row r="806" spans="1:12" x14ac:dyDescent="0.2">
      <c r="A806" s="2" t="s">
        <v>1782</v>
      </c>
      <c r="B806" s="2" t="s">
        <v>3482</v>
      </c>
      <c r="C806" s="2" t="s">
        <v>2957</v>
      </c>
      <c r="D806" s="2" t="s">
        <v>1839</v>
      </c>
      <c r="E806" s="2" t="s">
        <v>1841</v>
      </c>
      <c r="F806" s="2">
        <v>3.9728599999999998</v>
      </c>
      <c r="G806" s="2">
        <v>8.2193299999999994</v>
      </c>
      <c r="H806" s="2">
        <v>1.04884</v>
      </c>
      <c r="I806" s="2">
        <v>1</v>
      </c>
      <c r="K806" s="2" t="s">
        <v>1788</v>
      </c>
      <c r="L806" s="2">
        <v>-1.0646199999999999</v>
      </c>
    </row>
    <row r="807" spans="1:12" x14ac:dyDescent="0.2">
      <c r="A807" s="2" t="s">
        <v>1054</v>
      </c>
      <c r="B807" s="2" t="s">
        <v>3015</v>
      </c>
      <c r="C807" s="2" t="s">
        <v>3015</v>
      </c>
      <c r="D807" s="2" t="s">
        <v>1839</v>
      </c>
      <c r="E807" s="2" t="s">
        <v>1841</v>
      </c>
      <c r="F807" s="2">
        <v>9.58127</v>
      </c>
      <c r="G807" s="2">
        <v>4.3928399999999996</v>
      </c>
      <c r="H807" s="2">
        <v>-1.1250599999999999</v>
      </c>
      <c r="I807" s="2">
        <v>1</v>
      </c>
      <c r="K807" s="2" t="s">
        <v>1789</v>
      </c>
      <c r="L807" s="2">
        <v>1.1582600000000001</v>
      </c>
    </row>
    <row r="808" spans="1:12" x14ac:dyDescent="0.2">
      <c r="A808" s="2" t="s">
        <v>1055</v>
      </c>
      <c r="B808" s="2" t="s">
        <v>3015</v>
      </c>
      <c r="C808" s="2" t="s">
        <v>1917</v>
      </c>
      <c r="D808" s="2" t="s">
        <v>1839</v>
      </c>
      <c r="E808" s="2" t="s">
        <v>1841</v>
      </c>
      <c r="F808" s="2">
        <v>6.21767</v>
      </c>
      <c r="G808" s="2">
        <v>3.0066799999999998</v>
      </c>
      <c r="H808" s="2">
        <v>-1.0482</v>
      </c>
      <c r="I808" s="2">
        <v>1</v>
      </c>
      <c r="K808" s="2" t="s">
        <v>1454</v>
      </c>
      <c r="L808" s="2">
        <v>1.2726900000000001</v>
      </c>
    </row>
    <row r="809" spans="1:12" x14ac:dyDescent="0.2">
      <c r="A809" s="2" t="s">
        <v>1057</v>
      </c>
      <c r="B809" s="2" t="s">
        <v>3183</v>
      </c>
      <c r="C809" s="2" t="s">
        <v>2958</v>
      </c>
      <c r="D809" s="2" t="s">
        <v>1839</v>
      </c>
      <c r="E809" s="2" t="s">
        <v>1841</v>
      </c>
      <c r="F809" s="2">
        <v>2.9749599999999998</v>
      </c>
      <c r="G809" s="2">
        <v>26.625800000000002</v>
      </c>
      <c r="H809" s="2">
        <v>3.16188</v>
      </c>
      <c r="I809" s="2">
        <v>1</v>
      </c>
      <c r="K809" s="2" t="s">
        <v>1067</v>
      </c>
      <c r="L809" s="2">
        <v>1.3586499999999999</v>
      </c>
    </row>
    <row r="810" spans="1:12" x14ac:dyDescent="0.2">
      <c r="A810" s="2" t="s">
        <v>1783</v>
      </c>
      <c r="B810" s="2" t="s">
        <v>3015</v>
      </c>
      <c r="C810" s="2" t="s">
        <v>2959</v>
      </c>
      <c r="D810" s="2" t="s">
        <v>1839</v>
      </c>
      <c r="E810" s="2" t="s">
        <v>1841</v>
      </c>
      <c r="F810" s="2">
        <v>0.82741100000000001</v>
      </c>
      <c r="G810" s="2">
        <v>0.34961599999999998</v>
      </c>
      <c r="H810" s="2">
        <v>-1.2428300000000001</v>
      </c>
      <c r="I810" s="2">
        <v>1</v>
      </c>
      <c r="K810" s="2" t="s">
        <v>1070</v>
      </c>
      <c r="L810" s="2">
        <v>2.1915300000000002</v>
      </c>
    </row>
    <row r="811" spans="1:12" x14ac:dyDescent="0.2">
      <c r="A811" s="2" t="s">
        <v>1453</v>
      </c>
      <c r="B811" s="2" t="s">
        <v>3258</v>
      </c>
      <c r="C811" s="2" t="s">
        <v>2960</v>
      </c>
      <c r="D811" s="2" t="s">
        <v>1839</v>
      </c>
      <c r="E811" s="2" t="s">
        <v>1841</v>
      </c>
      <c r="F811" s="2">
        <v>3.7033700000000001</v>
      </c>
      <c r="G811" s="2">
        <v>7.5190900000000003</v>
      </c>
      <c r="H811" s="2">
        <v>1.02172</v>
      </c>
      <c r="I811" s="2">
        <v>1</v>
      </c>
      <c r="K811" s="2" t="s">
        <v>1457</v>
      </c>
      <c r="L811" s="2">
        <v>2.2201399999999998</v>
      </c>
    </row>
    <row r="812" spans="1:12" x14ac:dyDescent="0.2">
      <c r="A812" s="2" t="s">
        <v>1784</v>
      </c>
      <c r="B812" s="2" t="s">
        <v>3015</v>
      </c>
      <c r="C812" s="2" t="s">
        <v>2961</v>
      </c>
      <c r="D812" s="2" t="s">
        <v>1839</v>
      </c>
      <c r="E812" s="2" t="s">
        <v>1841</v>
      </c>
      <c r="F812" s="2">
        <v>4.6003299999999996</v>
      </c>
      <c r="G812" s="2">
        <v>2.2166600000000001</v>
      </c>
      <c r="H812" s="2">
        <v>-1.05335</v>
      </c>
      <c r="I812" s="2">
        <v>1</v>
      </c>
      <c r="K812" s="2" t="s">
        <v>1790</v>
      </c>
      <c r="L812" s="2">
        <v>1.12243</v>
      </c>
    </row>
    <row r="813" spans="1:12" x14ac:dyDescent="0.2">
      <c r="A813" s="2" t="s">
        <v>1785</v>
      </c>
      <c r="B813" s="2" t="s">
        <v>3299</v>
      </c>
      <c r="C813" s="2" t="s">
        <v>2962</v>
      </c>
      <c r="D813" s="2" t="s">
        <v>1839</v>
      </c>
      <c r="E813" s="2" t="s">
        <v>1841</v>
      </c>
      <c r="F813" s="2">
        <v>0.299373</v>
      </c>
      <c r="G813" s="2">
        <v>0.81180200000000002</v>
      </c>
      <c r="H813" s="2">
        <v>1.43919</v>
      </c>
      <c r="I813" s="2">
        <v>1</v>
      </c>
      <c r="K813" s="2" t="s">
        <v>1074</v>
      </c>
      <c r="L813" s="2">
        <v>1.42452</v>
      </c>
    </row>
    <row r="814" spans="1:12" x14ac:dyDescent="0.2">
      <c r="A814" s="2" t="s">
        <v>1058</v>
      </c>
      <c r="B814" s="2" t="s">
        <v>3015</v>
      </c>
      <c r="C814" s="2" t="s">
        <v>1880</v>
      </c>
      <c r="D814" s="2" t="s">
        <v>1839</v>
      </c>
      <c r="E814" s="2" t="s">
        <v>1841</v>
      </c>
      <c r="F814" s="2">
        <v>10.881500000000001</v>
      </c>
      <c r="G814" s="2">
        <v>3.8483800000000001</v>
      </c>
      <c r="H814" s="2">
        <v>-1.4995499999999999</v>
      </c>
      <c r="I814" s="2">
        <v>1</v>
      </c>
      <c r="K814" s="2" t="s">
        <v>1791</v>
      </c>
      <c r="L814" s="2">
        <v>-1.2536400000000001</v>
      </c>
    </row>
    <row r="815" spans="1:12" x14ac:dyDescent="0.2">
      <c r="A815" s="2" t="s">
        <v>1786</v>
      </c>
      <c r="B815" s="2" t="s">
        <v>3015</v>
      </c>
      <c r="C815" s="2" t="s">
        <v>1880</v>
      </c>
      <c r="D815" s="2" t="s">
        <v>1839</v>
      </c>
      <c r="E815" s="2" t="s">
        <v>1841</v>
      </c>
      <c r="F815" s="2">
        <v>5.6065899999999997</v>
      </c>
      <c r="G815" s="2">
        <v>2.2128199999999998</v>
      </c>
      <c r="H815" s="2">
        <v>-1.3412299999999999</v>
      </c>
      <c r="I815" s="2">
        <v>1</v>
      </c>
      <c r="K815" s="2" t="s">
        <v>1077</v>
      </c>
      <c r="L815" s="2">
        <v>1.21231</v>
      </c>
    </row>
    <row r="816" spans="1:12" x14ac:dyDescent="0.2">
      <c r="A816" s="2" t="s">
        <v>1787</v>
      </c>
      <c r="B816" s="2" t="s">
        <v>3302</v>
      </c>
      <c r="C816" s="2" t="s">
        <v>2963</v>
      </c>
      <c r="D816" s="2" t="s">
        <v>1839</v>
      </c>
      <c r="E816" s="2" t="s">
        <v>1841</v>
      </c>
      <c r="F816" s="2">
        <v>1.82846</v>
      </c>
      <c r="G816" s="2">
        <v>4.3132900000000003</v>
      </c>
      <c r="H816" s="2">
        <v>1.2381599999999999</v>
      </c>
      <c r="I816" s="2">
        <v>1</v>
      </c>
      <c r="K816" s="2" t="s">
        <v>1078</v>
      </c>
      <c r="L816" s="2">
        <v>1.08328</v>
      </c>
    </row>
    <row r="817" spans="1:12" x14ac:dyDescent="0.2">
      <c r="A817" s="2" t="s">
        <v>1060</v>
      </c>
      <c r="B817" s="2" t="s">
        <v>3015</v>
      </c>
      <c r="C817" s="2" t="s">
        <v>2338</v>
      </c>
      <c r="D817" s="2" t="s">
        <v>1839</v>
      </c>
      <c r="E817" s="2" t="s">
        <v>1841</v>
      </c>
      <c r="F817" s="2">
        <v>6.2891300000000001</v>
      </c>
      <c r="G817" s="2">
        <v>12.7218</v>
      </c>
      <c r="H817" s="2">
        <v>1.01637</v>
      </c>
      <c r="I817" s="2">
        <v>1</v>
      </c>
      <c r="K817" s="2" t="s">
        <v>1079</v>
      </c>
      <c r="L817" s="2">
        <v>1.35029</v>
      </c>
    </row>
    <row r="818" spans="1:12" x14ac:dyDescent="0.2">
      <c r="A818" s="2" t="s">
        <v>1788</v>
      </c>
      <c r="B818" s="2" t="s">
        <v>3015</v>
      </c>
      <c r="C818" s="2" t="s">
        <v>2964</v>
      </c>
      <c r="D818" s="2" t="s">
        <v>1839</v>
      </c>
      <c r="E818" s="2" t="s">
        <v>1841</v>
      </c>
      <c r="F818" s="2">
        <v>3.86673</v>
      </c>
      <c r="G818" s="2">
        <v>1.8486800000000001</v>
      </c>
      <c r="H818" s="2">
        <v>-1.0646199999999999</v>
      </c>
      <c r="I818" s="2">
        <v>1</v>
      </c>
      <c r="K818" s="2" t="s">
        <v>1081</v>
      </c>
      <c r="L818" s="2">
        <v>1.21841</v>
      </c>
    </row>
    <row r="819" spans="1:12" x14ac:dyDescent="0.2">
      <c r="A819" s="2" t="s">
        <v>1789</v>
      </c>
      <c r="B819" s="2" t="s">
        <v>3483</v>
      </c>
      <c r="C819" s="2" t="s">
        <v>2965</v>
      </c>
      <c r="D819" s="2" t="s">
        <v>1839</v>
      </c>
      <c r="E819" s="2" t="s">
        <v>1841</v>
      </c>
      <c r="F819" s="2">
        <v>0.37468699999999999</v>
      </c>
      <c r="G819" s="2">
        <v>0.836256</v>
      </c>
      <c r="H819" s="2">
        <v>1.1582600000000001</v>
      </c>
      <c r="I819" s="2">
        <v>1</v>
      </c>
      <c r="K819" s="2" t="s">
        <v>1082</v>
      </c>
      <c r="L819" s="2">
        <v>2.39499</v>
      </c>
    </row>
    <row r="820" spans="1:12" x14ac:dyDescent="0.2">
      <c r="A820" s="2" t="s">
        <v>1454</v>
      </c>
      <c r="B820" s="2" t="s">
        <v>3391</v>
      </c>
      <c r="C820" s="2" t="s">
        <v>2966</v>
      </c>
      <c r="D820" s="2" t="s">
        <v>1839</v>
      </c>
      <c r="E820" s="2" t="s">
        <v>1841</v>
      </c>
      <c r="F820" s="2">
        <v>3.53843</v>
      </c>
      <c r="G820" s="2">
        <v>8.5492600000000003</v>
      </c>
      <c r="H820" s="2">
        <v>1.2726900000000001</v>
      </c>
      <c r="I820" s="2">
        <v>1</v>
      </c>
      <c r="K820" s="2" t="s">
        <v>1792</v>
      </c>
      <c r="L820" s="2">
        <v>-4.8311500000000001</v>
      </c>
    </row>
    <row r="821" spans="1:12" x14ac:dyDescent="0.2">
      <c r="A821" s="2" t="s">
        <v>1067</v>
      </c>
      <c r="B821" s="2" t="s">
        <v>3030</v>
      </c>
      <c r="C821" s="2" t="s">
        <v>2967</v>
      </c>
      <c r="D821" s="2" t="s">
        <v>1839</v>
      </c>
      <c r="E821" s="2" t="s">
        <v>1841</v>
      </c>
      <c r="F821" s="2">
        <v>1.2996300000000001</v>
      </c>
      <c r="G821" s="2">
        <v>3.33284</v>
      </c>
      <c r="H821" s="2">
        <v>1.3586499999999999</v>
      </c>
      <c r="I821" s="2">
        <v>1</v>
      </c>
      <c r="K821" s="2" t="s">
        <v>1083</v>
      </c>
      <c r="L821" s="2">
        <v>1.14005</v>
      </c>
    </row>
    <row r="822" spans="1:12" x14ac:dyDescent="0.2">
      <c r="A822" s="2" t="s">
        <v>1070</v>
      </c>
      <c r="B822" s="2" t="s">
        <v>3037</v>
      </c>
      <c r="C822" s="2" t="s">
        <v>2343</v>
      </c>
      <c r="D822" s="2" t="s">
        <v>1839</v>
      </c>
      <c r="E822" s="2" t="s">
        <v>1841</v>
      </c>
      <c r="F822" s="2">
        <v>3.4451800000000001</v>
      </c>
      <c r="G822" s="2">
        <v>15.7372</v>
      </c>
      <c r="H822" s="2">
        <v>2.1915300000000002</v>
      </c>
      <c r="I822" s="2">
        <v>1</v>
      </c>
      <c r="K822" s="2" t="s">
        <v>1793</v>
      </c>
      <c r="L822" s="2">
        <v>1.1894800000000001</v>
      </c>
    </row>
    <row r="823" spans="1:12" x14ac:dyDescent="0.2">
      <c r="A823" s="2" t="s">
        <v>1457</v>
      </c>
      <c r="B823" s="2" t="s">
        <v>3015</v>
      </c>
      <c r="C823" s="2" t="s">
        <v>3015</v>
      </c>
      <c r="D823" s="2" t="s">
        <v>1839</v>
      </c>
      <c r="E823" s="2" t="s">
        <v>1841</v>
      </c>
      <c r="F823" s="2">
        <v>0.18639900000000001</v>
      </c>
      <c r="G823" s="2">
        <v>0.86850899999999998</v>
      </c>
      <c r="H823" s="2">
        <v>2.2201399999999998</v>
      </c>
      <c r="I823" s="2">
        <v>1</v>
      </c>
      <c r="K823" s="2" t="s">
        <v>1089</v>
      </c>
      <c r="L823" s="2">
        <v>1.5488900000000001</v>
      </c>
    </row>
    <row r="824" spans="1:12" x14ac:dyDescent="0.2">
      <c r="A824" s="2" t="s">
        <v>1790</v>
      </c>
      <c r="B824" s="2" t="s">
        <v>3015</v>
      </c>
      <c r="C824" s="2" t="s">
        <v>1860</v>
      </c>
      <c r="D824" s="2" t="s">
        <v>1839</v>
      </c>
      <c r="E824" s="2" t="s">
        <v>1841</v>
      </c>
      <c r="F824" s="2">
        <v>2.52827</v>
      </c>
      <c r="G824" s="2">
        <v>5.5043699999999998</v>
      </c>
      <c r="H824" s="2">
        <v>1.12243</v>
      </c>
      <c r="I824" s="2">
        <v>1</v>
      </c>
      <c r="K824" s="2" t="s">
        <v>1090</v>
      </c>
      <c r="L824" s="2">
        <v>-1.29301</v>
      </c>
    </row>
    <row r="825" spans="1:12" x14ac:dyDescent="0.2">
      <c r="A825" s="2" t="s">
        <v>1074</v>
      </c>
      <c r="B825" s="2" t="s">
        <v>3015</v>
      </c>
      <c r="C825" s="2" t="s">
        <v>2345</v>
      </c>
      <c r="D825" s="2" t="s">
        <v>1839</v>
      </c>
      <c r="E825" s="2" t="s">
        <v>1841</v>
      </c>
      <c r="F825" s="2">
        <v>13.383599999999999</v>
      </c>
      <c r="G825" s="2">
        <v>35.924999999999997</v>
      </c>
      <c r="H825" s="2">
        <v>1.42452</v>
      </c>
      <c r="I825" s="2">
        <v>1</v>
      </c>
      <c r="K825" s="2" t="s">
        <v>1095</v>
      </c>
      <c r="L825" s="2">
        <v>2.65754</v>
      </c>
    </row>
    <row r="826" spans="1:12" x14ac:dyDescent="0.2">
      <c r="A826" s="2" t="s">
        <v>1791</v>
      </c>
      <c r="B826" s="2" t="s">
        <v>3015</v>
      </c>
      <c r="C826" s="2" t="s">
        <v>1880</v>
      </c>
      <c r="D826" s="2" t="s">
        <v>1839</v>
      </c>
      <c r="E826" s="2" t="s">
        <v>1841</v>
      </c>
      <c r="F826" s="2">
        <v>4.4081200000000003</v>
      </c>
      <c r="G826" s="2">
        <v>1.8487199999999999</v>
      </c>
      <c r="H826" s="2">
        <v>-1.2536400000000001</v>
      </c>
      <c r="I826" s="2">
        <v>1</v>
      </c>
      <c r="K826" s="2" t="s">
        <v>1096</v>
      </c>
      <c r="L826" s="2">
        <v>3.12113</v>
      </c>
    </row>
    <row r="827" spans="1:12" x14ac:dyDescent="0.2">
      <c r="A827" s="2" t="s">
        <v>1077</v>
      </c>
      <c r="B827" s="2" t="s">
        <v>3159</v>
      </c>
      <c r="C827" s="2" t="s">
        <v>2107</v>
      </c>
      <c r="D827" s="2" t="s">
        <v>1839</v>
      </c>
      <c r="E827" s="2" t="s">
        <v>1841</v>
      </c>
      <c r="F827" s="2">
        <v>24.973500000000001</v>
      </c>
      <c r="G827" s="2">
        <v>57.8658</v>
      </c>
      <c r="H827" s="2">
        <v>1.21231</v>
      </c>
      <c r="I827" s="2">
        <v>1</v>
      </c>
      <c r="K827" s="2" t="s">
        <v>1464</v>
      </c>
      <c r="L827" s="2">
        <v>-1.0544500000000001</v>
      </c>
    </row>
    <row r="828" spans="1:12" x14ac:dyDescent="0.2">
      <c r="A828" s="2" t="s">
        <v>1078</v>
      </c>
      <c r="B828" s="2" t="s">
        <v>3267</v>
      </c>
      <c r="C828" s="2" t="s">
        <v>2348</v>
      </c>
      <c r="D828" s="2" t="s">
        <v>1839</v>
      </c>
      <c r="E828" s="2" t="s">
        <v>1841</v>
      </c>
      <c r="F828" s="2">
        <v>2.11565</v>
      </c>
      <c r="G828" s="2">
        <v>4.4827399999999997</v>
      </c>
      <c r="H828" s="2">
        <v>1.08328</v>
      </c>
      <c r="I828" s="2">
        <v>1</v>
      </c>
      <c r="K828" s="2" t="s">
        <v>1102</v>
      </c>
      <c r="L828" s="2">
        <v>1.34297</v>
      </c>
    </row>
    <row r="829" spans="1:12" x14ac:dyDescent="0.2">
      <c r="A829" s="2" t="s">
        <v>1079</v>
      </c>
      <c r="B829" s="2" t="s">
        <v>3081</v>
      </c>
      <c r="C829" s="2" t="s">
        <v>2968</v>
      </c>
      <c r="D829" s="2" t="s">
        <v>1839</v>
      </c>
      <c r="E829" s="2" t="s">
        <v>1841</v>
      </c>
      <c r="F829" s="2">
        <v>1.0480100000000001</v>
      </c>
      <c r="G829" s="2">
        <v>2.67205</v>
      </c>
      <c r="H829" s="2">
        <v>1.35029</v>
      </c>
      <c r="I829" s="2">
        <v>1</v>
      </c>
      <c r="K829" s="2" t="s">
        <v>1104</v>
      </c>
      <c r="L829" s="2">
        <v>1.1217200000000001</v>
      </c>
    </row>
    <row r="830" spans="1:12" x14ac:dyDescent="0.2">
      <c r="A830" s="2" t="s">
        <v>1081</v>
      </c>
      <c r="B830" s="2" t="s">
        <v>3158</v>
      </c>
      <c r="C830" s="2" t="s">
        <v>2607</v>
      </c>
      <c r="D830" s="2" t="s">
        <v>1839</v>
      </c>
      <c r="E830" s="2" t="s">
        <v>1841</v>
      </c>
      <c r="F830" s="2">
        <v>4.2150699999999999</v>
      </c>
      <c r="G830" s="2">
        <v>9.8080400000000001</v>
      </c>
      <c r="H830" s="2">
        <v>1.21841</v>
      </c>
      <c r="I830" s="2">
        <v>1</v>
      </c>
      <c r="K830" s="2" t="s">
        <v>1106</v>
      </c>
      <c r="L830" s="2">
        <v>-1.1293800000000001</v>
      </c>
    </row>
    <row r="831" spans="1:12" x14ac:dyDescent="0.2">
      <c r="A831" s="2" t="s">
        <v>1082</v>
      </c>
      <c r="B831" s="2" t="s">
        <v>3015</v>
      </c>
      <c r="C831" s="2" t="s">
        <v>2349</v>
      </c>
      <c r="D831" s="2" t="s">
        <v>1839</v>
      </c>
      <c r="E831" s="2" t="s">
        <v>1841</v>
      </c>
      <c r="F831" s="2">
        <v>1.1978800000000001</v>
      </c>
      <c r="G831" s="2">
        <v>6.3005100000000001</v>
      </c>
      <c r="H831" s="2">
        <v>2.39499</v>
      </c>
      <c r="I831" s="2">
        <v>1</v>
      </c>
      <c r="K831" s="2" t="s">
        <v>1466</v>
      </c>
      <c r="L831" s="2">
        <v>3.09999</v>
      </c>
    </row>
    <row r="832" spans="1:12" x14ac:dyDescent="0.2">
      <c r="A832" s="2" t="s">
        <v>1792</v>
      </c>
      <c r="B832" s="2" t="s">
        <v>3484</v>
      </c>
      <c r="C832" s="2" t="s">
        <v>2969</v>
      </c>
      <c r="D832" s="2" t="s">
        <v>1839</v>
      </c>
      <c r="E832" s="2" t="s">
        <v>1841</v>
      </c>
      <c r="F832" s="2">
        <v>1.3093699999999999</v>
      </c>
      <c r="G832" s="2">
        <v>4.5998400000000002E-2</v>
      </c>
      <c r="H832" s="2">
        <v>-4.8311500000000001</v>
      </c>
      <c r="I832" s="2">
        <v>1</v>
      </c>
      <c r="K832" s="2" t="s">
        <v>1108</v>
      </c>
      <c r="L832" s="2">
        <v>1.29922</v>
      </c>
    </row>
    <row r="833" spans="1:12" x14ac:dyDescent="0.2">
      <c r="A833" s="2" t="s">
        <v>1083</v>
      </c>
      <c r="B833" s="2" t="s">
        <v>3080</v>
      </c>
      <c r="C833" s="2" t="s">
        <v>2350</v>
      </c>
      <c r="D833" s="2" t="s">
        <v>1839</v>
      </c>
      <c r="E833" s="2" t="s">
        <v>1841</v>
      </c>
      <c r="F833" s="2">
        <v>1.18364</v>
      </c>
      <c r="G833" s="2">
        <v>2.6086100000000001</v>
      </c>
      <c r="H833" s="2">
        <v>1.14005</v>
      </c>
      <c r="I833" s="2">
        <v>1</v>
      </c>
      <c r="K833" s="2" t="s">
        <v>1468</v>
      </c>
      <c r="L833" s="2">
        <v>1.1557599999999999</v>
      </c>
    </row>
    <row r="834" spans="1:12" x14ac:dyDescent="0.2">
      <c r="A834" s="2" t="s">
        <v>1793</v>
      </c>
      <c r="B834" s="2" t="s">
        <v>3015</v>
      </c>
      <c r="C834" s="2" t="s">
        <v>2970</v>
      </c>
      <c r="D834" s="2" t="s">
        <v>1839</v>
      </c>
      <c r="E834" s="2" t="s">
        <v>1841</v>
      </c>
      <c r="F834" s="2">
        <v>0.85757099999999997</v>
      </c>
      <c r="G834" s="2">
        <v>1.95587</v>
      </c>
      <c r="H834" s="2">
        <v>1.1894800000000001</v>
      </c>
      <c r="I834" s="2">
        <v>1</v>
      </c>
      <c r="K834" s="2" t="s">
        <v>1109</v>
      </c>
      <c r="L834" s="2">
        <v>-1.2020200000000001</v>
      </c>
    </row>
    <row r="835" spans="1:12" x14ac:dyDescent="0.2">
      <c r="A835" s="2" t="s">
        <v>1089</v>
      </c>
      <c r="B835" s="2" t="s">
        <v>3015</v>
      </c>
      <c r="C835" s="2" t="s">
        <v>1917</v>
      </c>
      <c r="D835" s="2" t="s">
        <v>1839</v>
      </c>
      <c r="E835" s="2" t="s">
        <v>1841</v>
      </c>
      <c r="F835" s="2">
        <v>0.76492800000000005</v>
      </c>
      <c r="G835" s="2">
        <v>2.2381199999999999</v>
      </c>
      <c r="H835" s="2">
        <v>1.5488900000000001</v>
      </c>
      <c r="I835" s="2">
        <v>1</v>
      </c>
      <c r="K835" s="2" t="s">
        <v>1114</v>
      </c>
      <c r="L835" s="2">
        <v>1.42452</v>
      </c>
    </row>
    <row r="836" spans="1:12" x14ac:dyDescent="0.2">
      <c r="A836" s="2" t="s">
        <v>1090</v>
      </c>
      <c r="B836" s="2" t="s">
        <v>3015</v>
      </c>
      <c r="C836" s="2" t="s">
        <v>2354</v>
      </c>
      <c r="D836" s="2" t="s">
        <v>1839</v>
      </c>
      <c r="E836" s="2" t="s">
        <v>1841</v>
      </c>
      <c r="F836" s="2">
        <v>5.0093100000000002</v>
      </c>
      <c r="G836" s="2">
        <v>2.0442900000000002</v>
      </c>
      <c r="H836" s="2">
        <v>-1.29301</v>
      </c>
      <c r="I836" s="2">
        <v>1</v>
      </c>
      <c r="K836" s="2" t="s">
        <v>1795</v>
      </c>
      <c r="L836" s="2">
        <v>2.2658399999999999</v>
      </c>
    </row>
    <row r="837" spans="1:12" x14ac:dyDescent="0.2">
      <c r="A837" s="2" t="s">
        <v>1095</v>
      </c>
      <c r="B837" s="2" t="s">
        <v>3015</v>
      </c>
      <c r="C837" s="2" t="s">
        <v>1880</v>
      </c>
      <c r="D837" s="2" t="s">
        <v>1839</v>
      </c>
      <c r="E837" s="2" t="s">
        <v>1841</v>
      </c>
      <c r="F837" s="2">
        <v>1.5256700000000001</v>
      </c>
      <c r="G837" s="2">
        <v>9.6262799999999995</v>
      </c>
      <c r="H837" s="2">
        <v>2.65754</v>
      </c>
      <c r="I837" s="2">
        <v>1</v>
      </c>
      <c r="K837" s="2" t="s">
        <v>1115</v>
      </c>
      <c r="L837" s="2">
        <v>-1.0487500000000001</v>
      </c>
    </row>
    <row r="838" spans="1:12" x14ac:dyDescent="0.2">
      <c r="A838" s="2" t="s">
        <v>1096</v>
      </c>
      <c r="B838" s="2" t="s">
        <v>3015</v>
      </c>
      <c r="C838" s="2" t="s">
        <v>1880</v>
      </c>
      <c r="D838" s="2" t="s">
        <v>1839</v>
      </c>
      <c r="E838" s="2" t="s">
        <v>1841</v>
      </c>
      <c r="F838" s="2">
        <v>0.56859899999999997</v>
      </c>
      <c r="G838" s="2">
        <v>4.9472199999999997</v>
      </c>
      <c r="H838" s="2">
        <v>3.12113</v>
      </c>
      <c r="I838" s="2">
        <v>1</v>
      </c>
      <c r="K838" s="2" t="s">
        <v>1796</v>
      </c>
      <c r="L838" s="2">
        <v>1.05131</v>
      </c>
    </row>
    <row r="839" spans="1:12" x14ac:dyDescent="0.2">
      <c r="A839" s="2" t="s">
        <v>1464</v>
      </c>
      <c r="B839" s="2" t="s">
        <v>3485</v>
      </c>
      <c r="C839" s="2" t="s">
        <v>2971</v>
      </c>
      <c r="D839" s="2" t="s">
        <v>1839</v>
      </c>
      <c r="E839" s="2" t="s">
        <v>1841</v>
      </c>
      <c r="F839" s="2">
        <v>18.168500000000002</v>
      </c>
      <c r="G839" s="2">
        <v>8.7477999999999998</v>
      </c>
      <c r="H839" s="2">
        <v>-1.0544500000000001</v>
      </c>
      <c r="I839" s="2">
        <v>1</v>
      </c>
      <c r="K839" s="2" t="s">
        <v>1797</v>
      </c>
      <c r="L839" s="2">
        <v>-1.46852</v>
      </c>
    </row>
    <row r="840" spans="1:12" x14ac:dyDescent="0.2">
      <c r="A840" s="2" t="s">
        <v>1102</v>
      </c>
      <c r="B840" s="2" t="s">
        <v>3015</v>
      </c>
      <c r="C840" s="2" t="s">
        <v>2972</v>
      </c>
      <c r="D840" s="2" t="s">
        <v>1839</v>
      </c>
      <c r="E840" s="2" t="s">
        <v>1841</v>
      </c>
      <c r="F840" s="2">
        <v>1.7233400000000001</v>
      </c>
      <c r="G840" s="2">
        <v>4.3716699999999999</v>
      </c>
      <c r="H840" s="2">
        <v>1.34297</v>
      </c>
      <c r="I840" s="2">
        <v>1</v>
      </c>
      <c r="K840" s="2" t="s">
        <v>1469</v>
      </c>
      <c r="L840" s="2">
        <v>2.31223</v>
      </c>
    </row>
    <row r="841" spans="1:12" x14ac:dyDescent="0.2">
      <c r="A841" s="2" t="s">
        <v>1104</v>
      </c>
      <c r="B841" s="2" t="s">
        <v>3015</v>
      </c>
      <c r="C841" s="2" t="s">
        <v>3015</v>
      </c>
      <c r="D841" s="2" t="s">
        <v>1839</v>
      </c>
      <c r="E841" s="2" t="s">
        <v>1841</v>
      </c>
      <c r="F841" s="2">
        <v>10.9194</v>
      </c>
      <c r="G841" s="2">
        <v>23.761399999999998</v>
      </c>
      <c r="H841" s="2">
        <v>1.1217200000000001</v>
      </c>
      <c r="I841" s="2">
        <v>1</v>
      </c>
      <c r="K841" s="2" t="s">
        <v>1117</v>
      </c>
      <c r="L841" s="2">
        <v>1.48214</v>
      </c>
    </row>
    <row r="842" spans="1:12" x14ac:dyDescent="0.2">
      <c r="A842" s="2" t="s">
        <v>1106</v>
      </c>
      <c r="B842" s="2" t="s">
        <v>3093</v>
      </c>
      <c r="C842" s="2" t="s">
        <v>1847</v>
      </c>
      <c r="D842" s="2" t="s">
        <v>1839</v>
      </c>
      <c r="E842" s="2" t="s">
        <v>1841</v>
      </c>
      <c r="F842" s="2">
        <v>10.563499999999999</v>
      </c>
      <c r="G842" s="2">
        <v>4.8287100000000001</v>
      </c>
      <c r="H842" s="2">
        <v>-1.1293800000000001</v>
      </c>
      <c r="I842" s="2">
        <v>1</v>
      </c>
      <c r="K842" s="2" t="s">
        <v>1121</v>
      </c>
      <c r="L842" s="2">
        <v>-1.6138600000000001</v>
      </c>
    </row>
    <row r="843" spans="1:12" x14ac:dyDescent="0.2">
      <c r="A843" s="2" t="s">
        <v>1466</v>
      </c>
      <c r="B843" s="2" t="s">
        <v>3313</v>
      </c>
      <c r="C843" s="2" t="s">
        <v>2479</v>
      </c>
      <c r="D843" s="2" t="s">
        <v>1839</v>
      </c>
      <c r="E843" s="2" t="s">
        <v>1841</v>
      </c>
      <c r="F843" s="2">
        <v>1.80616</v>
      </c>
      <c r="G843" s="2">
        <v>15.4863</v>
      </c>
      <c r="H843" s="2">
        <v>3.09999</v>
      </c>
      <c r="I843" s="2">
        <v>1</v>
      </c>
      <c r="K843" s="2" t="s">
        <v>1122</v>
      </c>
      <c r="L843" s="2">
        <v>-1.27915</v>
      </c>
    </row>
    <row r="844" spans="1:12" x14ac:dyDescent="0.2">
      <c r="A844" s="2" t="s">
        <v>1108</v>
      </c>
      <c r="B844" s="2" t="s">
        <v>3258</v>
      </c>
      <c r="C844" s="2" t="s">
        <v>2973</v>
      </c>
      <c r="D844" s="2" t="s">
        <v>1839</v>
      </c>
      <c r="E844" s="2" t="s">
        <v>1841</v>
      </c>
      <c r="F844" s="2">
        <v>14.395200000000001</v>
      </c>
      <c r="G844" s="2">
        <v>35.425899999999999</v>
      </c>
      <c r="H844" s="2">
        <v>1.29922</v>
      </c>
      <c r="I844" s="2">
        <v>1</v>
      </c>
      <c r="K844" s="2" t="s">
        <v>1125</v>
      </c>
      <c r="L844" s="2">
        <v>-1.03783</v>
      </c>
    </row>
    <row r="845" spans="1:12" x14ac:dyDescent="0.2">
      <c r="A845" s="2" t="s">
        <v>1468</v>
      </c>
      <c r="B845" s="2" t="s">
        <v>3015</v>
      </c>
      <c r="C845" s="2" t="s">
        <v>3015</v>
      </c>
      <c r="D845" s="2" t="s">
        <v>1839</v>
      </c>
      <c r="E845" s="2" t="s">
        <v>1841</v>
      </c>
      <c r="F845" s="2">
        <v>0.67998400000000003</v>
      </c>
      <c r="G845" s="2">
        <v>1.51502</v>
      </c>
      <c r="H845" s="2">
        <v>1.1557599999999999</v>
      </c>
      <c r="I845" s="2">
        <v>1</v>
      </c>
    </row>
    <row r="846" spans="1:12" x14ac:dyDescent="0.2">
      <c r="A846" s="2" t="s">
        <v>1109</v>
      </c>
      <c r="B846" s="2" t="s">
        <v>3271</v>
      </c>
      <c r="C846" s="2" t="s">
        <v>1847</v>
      </c>
      <c r="D846" s="2" t="s">
        <v>1839</v>
      </c>
      <c r="E846" s="2" t="s">
        <v>1841</v>
      </c>
      <c r="F846" s="2">
        <v>2.28071</v>
      </c>
      <c r="G846" s="2">
        <v>0.99134900000000004</v>
      </c>
      <c r="H846" s="2">
        <v>-1.2020200000000001</v>
      </c>
      <c r="I846" s="2">
        <v>1</v>
      </c>
    </row>
    <row r="847" spans="1:12" x14ac:dyDescent="0.2">
      <c r="A847" s="2" t="s">
        <v>1114</v>
      </c>
      <c r="B847" s="2" t="s">
        <v>3015</v>
      </c>
      <c r="C847" s="2" t="s">
        <v>2974</v>
      </c>
      <c r="D847" s="2" t="s">
        <v>1839</v>
      </c>
      <c r="E847" s="2" t="s">
        <v>1841</v>
      </c>
      <c r="F847" s="2">
        <v>0.34355400000000003</v>
      </c>
      <c r="G847" s="2">
        <v>0.92218599999999995</v>
      </c>
      <c r="H847" s="2">
        <v>1.42452</v>
      </c>
      <c r="I847" s="2">
        <v>1</v>
      </c>
    </row>
    <row r="848" spans="1:12" x14ac:dyDescent="0.2">
      <c r="A848" s="2" t="s">
        <v>1795</v>
      </c>
      <c r="B848" s="2" t="s">
        <v>3261</v>
      </c>
      <c r="C848" s="2" t="s">
        <v>2975</v>
      </c>
      <c r="D848" s="2" t="s">
        <v>1839</v>
      </c>
      <c r="E848" s="2" t="s">
        <v>1841</v>
      </c>
      <c r="F848" s="2">
        <v>0.262797</v>
      </c>
      <c r="G848" s="2">
        <v>1.2638799999999999</v>
      </c>
      <c r="H848" s="2">
        <v>2.2658399999999999</v>
      </c>
      <c r="I848" s="2">
        <v>1</v>
      </c>
    </row>
    <row r="849" spans="1:9" x14ac:dyDescent="0.2">
      <c r="A849" s="2" t="s">
        <v>1115</v>
      </c>
      <c r="B849" s="2" t="s">
        <v>3015</v>
      </c>
      <c r="C849" s="2" t="s">
        <v>1898</v>
      </c>
      <c r="D849" s="2" t="s">
        <v>1839</v>
      </c>
      <c r="E849" s="2" t="s">
        <v>1841</v>
      </c>
      <c r="F849" s="2">
        <v>2.24702</v>
      </c>
      <c r="G849" s="2">
        <v>1.0861799999999999</v>
      </c>
      <c r="H849" s="2">
        <v>-1.0487500000000001</v>
      </c>
      <c r="I849" s="2">
        <v>1</v>
      </c>
    </row>
    <row r="850" spans="1:9" x14ac:dyDescent="0.2">
      <c r="A850" s="2" t="s">
        <v>1796</v>
      </c>
      <c r="B850" s="2" t="s">
        <v>3015</v>
      </c>
      <c r="C850" s="2" t="s">
        <v>1914</v>
      </c>
      <c r="D850" s="2" t="s">
        <v>1839</v>
      </c>
      <c r="E850" s="2" t="s">
        <v>1841</v>
      </c>
      <c r="F850" s="2">
        <v>1.15368</v>
      </c>
      <c r="G850" s="2">
        <v>2.3908999999999998</v>
      </c>
      <c r="H850" s="2">
        <v>1.05131</v>
      </c>
      <c r="I850" s="2">
        <v>1</v>
      </c>
    </row>
    <row r="851" spans="1:9" x14ac:dyDescent="0.2">
      <c r="A851" s="2" t="s">
        <v>1797</v>
      </c>
      <c r="B851" s="2" t="s">
        <v>3015</v>
      </c>
      <c r="C851" s="2" t="s">
        <v>3015</v>
      </c>
      <c r="D851" s="2" t="s">
        <v>1839</v>
      </c>
      <c r="E851" s="2" t="s">
        <v>1841</v>
      </c>
      <c r="F851" s="2">
        <v>23.221800000000002</v>
      </c>
      <c r="G851" s="2">
        <v>8.3912700000000005</v>
      </c>
      <c r="H851" s="2">
        <v>-1.46852</v>
      </c>
      <c r="I851" s="2">
        <v>1</v>
      </c>
    </row>
    <row r="852" spans="1:9" x14ac:dyDescent="0.2">
      <c r="A852" s="2" t="s">
        <v>1469</v>
      </c>
      <c r="B852" s="2" t="s">
        <v>3253</v>
      </c>
      <c r="C852" s="2" t="s">
        <v>2611</v>
      </c>
      <c r="D852" s="2" t="s">
        <v>1839</v>
      </c>
      <c r="E852" s="2" t="s">
        <v>1841</v>
      </c>
      <c r="F852" s="2">
        <v>0.27337699999999998</v>
      </c>
      <c r="G852" s="2">
        <v>1.3577300000000001</v>
      </c>
      <c r="H852" s="2">
        <v>2.31223</v>
      </c>
      <c r="I852" s="2">
        <v>1</v>
      </c>
    </row>
    <row r="853" spans="1:9" x14ac:dyDescent="0.2">
      <c r="A853" s="2" t="s">
        <v>1117</v>
      </c>
      <c r="B853" s="2" t="s">
        <v>3486</v>
      </c>
      <c r="C853" s="2" t="s">
        <v>2976</v>
      </c>
      <c r="D853" s="2" t="s">
        <v>1839</v>
      </c>
      <c r="E853" s="2" t="s">
        <v>1841</v>
      </c>
      <c r="F853" s="2">
        <v>1.8320399999999999</v>
      </c>
      <c r="G853" s="2">
        <v>5.1180399999999997</v>
      </c>
      <c r="H853" s="2">
        <v>1.48214</v>
      </c>
      <c r="I853" s="2">
        <v>1</v>
      </c>
    </row>
    <row r="854" spans="1:9" x14ac:dyDescent="0.2">
      <c r="A854" s="2" t="s">
        <v>1121</v>
      </c>
      <c r="B854" s="2" t="s">
        <v>3015</v>
      </c>
      <c r="C854" s="2" t="s">
        <v>3015</v>
      </c>
      <c r="D854" s="2" t="s">
        <v>1839</v>
      </c>
      <c r="E854" s="2" t="s">
        <v>1841</v>
      </c>
      <c r="F854" s="2">
        <v>31.9072</v>
      </c>
      <c r="G854" s="2">
        <v>10.424799999999999</v>
      </c>
      <c r="H854" s="2">
        <v>-1.6138600000000001</v>
      </c>
      <c r="I854" s="2">
        <v>1</v>
      </c>
    </row>
    <row r="855" spans="1:9" x14ac:dyDescent="0.2">
      <c r="A855" s="2" t="s">
        <v>1122</v>
      </c>
      <c r="B855" s="2" t="s">
        <v>3015</v>
      </c>
      <c r="C855" s="2" t="s">
        <v>3015</v>
      </c>
      <c r="D855" s="2" t="s">
        <v>1839</v>
      </c>
      <c r="E855" s="2" t="s">
        <v>1841</v>
      </c>
      <c r="F855" s="2">
        <v>7.2976900000000002</v>
      </c>
      <c r="G855" s="2">
        <v>3.00692</v>
      </c>
      <c r="H855" s="2">
        <v>-1.27915</v>
      </c>
      <c r="I855" s="2">
        <v>1</v>
      </c>
    </row>
    <row r="856" spans="1:9" x14ac:dyDescent="0.2">
      <c r="A856" s="2" t="s">
        <v>1125</v>
      </c>
      <c r="B856" s="2" t="s">
        <v>3015</v>
      </c>
      <c r="C856" s="2" t="s">
        <v>3015</v>
      </c>
      <c r="D856" s="2" t="s">
        <v>1839</v>
      </c>
      <c r="E856" s="2" t="s">
        <v>1841</v>
      </c>
      <c r="F856" s="2">
        <v>115.628</v>
      </c>
      <c r="G856" s="2">
        <v>56.317900000000002</v>
      </c>
      <c r="H856" s="2">
        <v>-1.03783</v>
      </c>
      <c r="I856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workbookViewId="0"/>
  </sheetViews>
  <sheetFormatPr defaultColWidth="8.875" defaultRowHeight="15" x14ac:dyDescent="0.2"/>
  <cols>
    <col min="1" max="1" width="19.125" style="2" customWidth="1"/>
    <col min="2" max="2" width="29.5" style="2" customWidth="1"/>
    <col min="3" max="3" width="55.375" style="2" customWidth="1"/>
    <col min="4" max="16384" width="8.875" style="2"/>
  </cols>
  <sheetData>
    <row r="1" spans="1:12" ht="20.25" x14ac:dyDescent="0.2">
      <c r="A1" s="11" t="s">
        <v>3532</v>
      </c>
      <c r="B1" s="29"/>
      <c r="C1" s="29"/>
      <c r="D1" s="25"/>
      <c r="E1" s="25"/>
      <c r="F1" s="25"/>
      <c r="G1" s="25"/>
      <c r="H1" s="25"/>
      <c r="I1" s="25"/>
      <c r="L1" s="2" t="s">
        <v>4</v>
      </c>
    </row>
    <row r="2" spans="1:12" ht="18.75" x14ac:dyDescent="0.2">
      <c r="A2" s="25" t="s">
        <v>3537</v>
      </c>
      <c r="B2" s="29"/>
      <c r="C2" s="29"/>
      <c r="D2" s="25"/>
      <c r="E2" s="25"/>
      <c r="F2" s="25"/>
      <c r="G2" s="25"/>
      <c r="H2" s="25"/>
      <c r="I2" s="25"/>
      <c r="K2" s="2" t="s">
        <v>10</v>
      </c>
      <c r="L2" s="2">
        <v>1.0957699999999999</v>
      </c>
    </row>
    <row r="3" spans="1:12" ht="18" x14ac:dyDescent="0.2">
      <c r="A3" s="25" t="s">
        <v>3020</v>
      </c>
      <c r="B3" s="25" t="s">
        <v>3495</v>
      </c>
      <c r="C3" s="25" t="s">
        <v>1843</v>
      </c>
      <c r="D3" s="25" t="s">
        <v>0</v>
      </c>
      <c r="E3" s="25" t="s">
        <v>1</v>
      </c>
      <c r="F3" s="25" t="s">
        <v>2</v>
      </c>
      <c r="G3" s="25" t="s">
        <v>3</v>
      </c>
      <c r="H3" s="25" t="s">
        <v>4</v>
      </c>
      <c r="I3" s="25"/>
      <c r="K3" s="2" t="s">
        <v>11</v>
      </c>
      <c r="L3" s="2">
        <v>1.5603100000000001</v>
      </c>
    </row>
    <row r="4" spans="1:12" x14ac:dyDescent="0.2">
      <c r="A4" s="2" t="s">
        <v>10</v>
      </c>
      <c r="B4" s="2" t="s">
        <v>3278</v>
      </c>
      <c r="C4" s="2" t="s">
        <v>2361</v>
      </c>
      <c r="D4" s="2" t="s">
        <v>3384</v>
      </c>
      <c r="E4" s="2" t="s">
        <v>3487</v>
      </c>
      <c r="F4" s="2">
        <v>5.2357500000000003</v>
      </c>
      <c r="G4" s="2">
        <v>11.190200000000001</v>
      </c>
      <c r="H4" s="2">
        <v>1.0957699999999999</v>
      </c>
      <c r="I4" s="2">
        <v>1</v>
      </c>
      <c r="K4" s="2" t="s">
        <v>12</v>
      </c>
      <c r="L4" s="2">
        <v>1.0240800000000001</v>
      </c>
    </row>
    <row r="5" spans="1:12" x14ac:dyDescent="0.2">
      <c r="A5" s="2" t="s">
        <v>11</v>
      </c>
      <c r="B5" s="2" t="s">
        <v>3385</v>
      </c>
      <c r="C5" s="2" t="s">
        <v>2613</v>
      </c>
      <c r="D5" s="2" t="s">
        <v>3384</v>
      </c>
      <c r="E5" s="2" t="s">
        <v>3487</v>
      </c>
      <c r="F5" s="2">
        <v>1.6253299999999999</v>
      </c>
      <c r="G5" s="2">
        <v>4.7933700000000004</v>
      </c>
      <c r="H5" s="2">
        <v>1.5603100000000001</v>
      </c>
      <c r="I5" s="2">
        <v>1</v>
      </c>
      <c r="K5" s="2" t="s">
        <v>13</v>
      </c>
      <c r="L5" s="2">
        <v>-1.0362800000000001</v>
      </c>
    </row>
    <row r="6" spans="1:12" x14ac:dyDescent="0.2">
      <c r="A6" s="2" t="s">
        <v>12</v>
      </c>
      <c r="B6" s="2" t="s">
        <v>3015</v>
      </c>
      <c r="C6" s="2" t="s">
        <v>1847</v>
      </c>
      <c r="D6" s="2" t="s">
        <v>3384</v>
      </c>
      <c r="E6" s="2" t="s">
        <v>3487</v>
      </c>
      <c r="F6" s="2">
        <v>15.9681</v>
      </c>
      <c r="G6" s="2">
        <v>32.473799999999997</v>
      </c>
      <c r="H6" s="2">
        <v>1.0240800000000001</v>
      </c>
      <c r="I6" s="2">
        <v>1</v>
      </c>
      <c r="K6" s="2" t="s">
        <v>1128</v>
      </c>
      <c r="L6" s="2">
        <v>-1.2310099999999999</v>
      </c>
    </row>
    <row r="7" spans="1:12" x14ac:dyDescent="0.2">
      <c r="A7" s="2" t="s">
        <v>13</v>
      </c>
      <c r="B7" s="2" t="s">
        <v>3391</v>
      </c>
      <c r="C7" s="2" t="s">
        <v>2977</v>
      </c>
      <c r="D7" s="2" t="s">
        <v>3384</v>
      </c>
      <c r="E7" s="2" t="s">
        <v>3487</v>
      </c>
      <c r="F7" s="2">
        <v>12.4711</v>
      </c>
      <c r="G7" s="2">
        <v>6.0807200000000003</v>
      </c>
      <c r="H7" s="2">
        <v>-1.0362800000000001</v>
      </c>
      <c r="I7" s="2">
        <v>1</v>
      </c>
      <c r="K7" s="2" t="s">
        <v>22</v>
      </c>
      <c r="L7" s="2">
        <v>-1.2924899999999999</v>
      </c>
    </row>
    <row r="8" spans="1:12" x14ac:dyDescent="0.2">
      <c r="A8" s="2" t="s">
        <v>1128</v>
      </c>
      <c r="B8" s="2" t="s">
        <v>3279</v>
      </c>
      <c r="C8" s="2" t="s">
        <v>3015</v>
      </c>
      <c r="D8" s="2" t="s">
        <v>3384</v>
      </c>
      <c r="E8" s="2" t="s">
        <v>3487</v>
      </c>
      <c r="F8" s="2">
        <v>11.676</v>
      </c>
      <c r="G8" s="2">
        <v>4.9741999999999997</v>
      </c>
      <c r="H8" s="2">
        <v>-1.2310099999999999</v>
      </c>
      <c r="I8" s="2">
        <v>1</v>
      </c>
      <c r="K8" s="2" t="s">
        <v>24</v>
      </c>
      <c r="L8" s="2">
        <v>1.5245500000000001</v>
      </c>
    </row>
    <row r="9" spans="1:12" x14ac:dyDescent="0.2">
      <c r="A9" s="2" t="s">
        <v>22</v>
      </c>
      <c r="B9" s="2" t="s">
        <v>3015</v>
      </c>
      <c r="C9" s="2" t="s">
        <v>3015</v>
      </c>
      <c r="D9" s="2" t="s">
        <v>3384</v>
      </c>
      <c r="E9" s="2" t="s">
        <v>3487</v>
      </c>
      <c r="F9" s="2">
        <v>1.4095</v>
      </c>
      <c r="G9" s="2">
        <v>0.57542199999999999</v>
      </c>
      <c r="H9" s="2">
        <v>-1.2924899999999999</v>
      </c>
      <c r="I9" s="2">
        <v>1</v>
      </c>
      <c r="K9" s="2" t="s">
        <v>1132</v>
      </c>
      <c r="L9" s="2">
        <v>-1.41743</v>
      </c>
    </row>
    <row r="10" spans="1:12" x14ac:dyDescent="0.2">
      <c r="A10" s="2" t="s">
        <v>24</v>
      </c>
      <c r="B10" s="2" t="s">
        <v>3015</v>
      </c>
      <c r="C10" s="2" t="s">
        <v>3015</v>
      </c>
      <c r="D10" s="2" t="s">
        <v>3384</v>
      </c>
      <c r="E10" s="2" t="s">
        <v>3487</v>
      </c>
      <c r="F10" s="2">
        <v>1.0167200000000001</v>
      </c>
      <c r="G10" s="2">
        <v>2.9250799999999999</v>
      </c>
      <c r="H10" s="2">
        <v>1.5245500000000001</v>
      </c>
      <c r="I10" s="2">
        <v>1</v>
      </c>
      <c r="K10" s="2" t="s">
        <v>36</v>
      </c>
      <c r="L10" s="2">
        <v>-1.1301300000000001</v>
      </c>
    </row>
    <row r="11" spans="1:12" x14ac:dyDescent="0.2">
      <c r="A11" s="2" t="s">
        <v>1132</v>
      </c>
      <c r="B11" s="2" t="s">
        <v>3015</v>
      </c>
      <c r="C11" s="2" t="s">
        <v>2368</v>
      </c>
      <c r="D11" s="2" t="s">
        <v>3384</v>
      </c>
      <c r="E11" s="2" t="s">
        <v>3487</v>
      </c>
      <c r="F11" s="2">
        <v>0.75709499999999996</v>
      </c>
      <c r="G11" s="2">
        <v>0.28344000000000003</v>
      </c>
      <c r="H11" s="2">
        <v>-1.41743</v>
      </c>
      <c r="I11" s="2">
        <v>1</v>
      </c>
      <c r="K11" s="2" t="s">
        <v>1134</v>
      </c>
      <c r="L11" s="2">
        <v>2.1272899999999999</v>
      </c>
    </row>
    <row r="12" spans="1:12" x14ac:dyDescent="0.2">
      <c r="A12" s="2" t="s">
        <v>36</v>
      </c>
      <c r="B12" s="2" t="s">
        <v>3024</v>
      </c>
      <c r="C12" s="2" t="s">
        <v>1844</v>
      </c>
      <c r="D12" s="2" t="s">
        <v>3384</v>
      </c>
      <c r="E12" s="2" t="s">
        <v>3487</v>
      </c>
      <c r="F12" s="2">
        <v>1.0588200000000001</v>
      </c>
      <c r="G12" s="2">
        <v>0.48374600000000001</v>
      </c>
      <c r="H12" s="2">
        <v>-1.1301300000000001</v>
      </c>
      <c r="I12" s="2">
        <v>1</v>
      </c>
      <c r="K12" s="2" t="s">
        <v>47</v>
      </c>
      <c r="L12" s="2">
        <v>-1.0330299999999999</v>
      </c>
    </row>
    <row r="13" spans="1:12" x14ac:dyDescent="0.2">
      <c r="A13" s="2" t="s">
        <v>1134</v>
      </c>
      <c r="B13" s="2" t="s">
        <v>3089</v>
      </c>
      <c r="C13" s="2" t="s">
        <v>2622</v>
      </c>
      <c r="D13" s="2" t="s">
        <v>3384</v>
      </c>
      <c r="E13" s="2" t="s">
        <v>3487</v>
      </c>
      <c r="F13" s="2">
        <v>1.7720800000000001</v>
      </c>
      <c r="G13" s="2">
        <v>7.7421800000000003</v>
      </c>
      <c r="H13" s="2">
        <v>2.1272899999999999</v>
      </c>
      <c r="I13" s="2">
        <v>1</v>
      </c>
      <c r="K13" s="2" t="s">
        <v>49</v>
      </c>
      <c r="L13" s="2">
        <v>1.20157</v>
      </c>
    </row>
    <row r="14" spans="1:12" x14ac:dyDescent="0.2">
      <c r="A14" s="2" t="s">
        <v>1798</v>
      </c>
      <c r="B14" s="2" t="s">
        <v>3474</v>
      </c>
      <c r="C14" s="2" t="s">
        <v>3015</v>
      </c>
      <c r="D14" s="2" t="s">
        <v>3384</v>
      </c>
      <c r="E14" s="2" t="s">
        <v>3487</v>
      </c>
      <c r="F14" s="2">
        <v>1.8737999999999999</v>
      </c>
      <c r="G14" s="2">
        <v>0</v>
      </c>
      <c r="H14" s="2" t="s">
        <v>3021</v>
      </c>
      <c r="I14" s="2" t="s">
        <v>3021</v>
      </c>
      <c r="K14" s="2" t="s">
        <v>1489</v>
      </c>
      <c r="L14" s="2">
        <v>-1.04695</v>
      </c>
    </row>
    <row r="15" spans="1:12" x14ac:dyDescent="0.2">
      <c r="A15" s="2" t="s">
        <v>47</v>
      </c>
      <c r="B15" s="2" t="s">
        <v>3015</v>
      </c>
      <c r="C15" s="2" t="s">
        <v>1865</v>
      </c>
      <c r="D15" s="2" t="s">
        <v>3384</v>
      </c>
      <c r="E15" s="2" t="s">
        <v>3487</v>
      </c>
      <c r="F15" s="2">
        <v>66.780900000000003</v>
      </c>
      <c r="G15" s="2">
        <v>32.634700000000002</v>
      </c>
      <c r="H15" s="2">
        <v>-1.0330299999999999</v>
      </c>
      <c r="I15" s="2">
        <v>1</v>
      </c>
      <c r="K15" s="2" t="s">
        <v>1490</v>
      </c>
      <c r="L15" s="2">
        <v>1.58046</v>
      </c>
    </row>
    <row r="16" spans="1:12" x14ac:dyDescent="0.2">
      <c r="A16" s="2" t="s">
        <v>49</v>
      </c>
      <c r="B16" s="2" t="s">
        <v>3195</v>
      </c>
      <c r="C16" s="2" t="s">
        <v>2630</v>
      </c>
      <c r="D16" s="2" t="s">
        <v>3384</v>
      </c>
      <c r="E16" s="2" t="s">
        <v>3487</v>
      </c>
      <c r="F16" s="2">
        <v>2.1010300000000002</v>
      </c>
      <c r="G16" s="2">
        <v>4.8321699999999996</v>
      </c>
      <c r="H16" s="2">
        <v>1.20157</v>
      </c>
      <c r="I16" s="2">
        <v>1</v>
      </c>
      <c r="K16" s="2" t="s">
        <v>1492</v>
      </c>
      <c r="L16" s="2">
        <v>1.73831</v>
      </c>
    </row>
    <row r="17" spans="1:12" x14ac:dyDescent="0.2">
      <c r="A17" s="2" t="s">
        <v>1489</v>
      </c>
      <c r="B17" s="2" t="s">
        <v>3344</v>
      </c>
      <c r="C17" s="2" t="s">
        <v>2633</v>
      </c>
      <c r="D17" s="2" t="s">
        <v>3384</v>
      </c>
      <c r="E17" s="2" t="s">
        <v>3487</v>
      </c>
      <c r="F17" s="2">
        <v>1.74996</v>
      </c>
      <c r="G17" s="2">
        <v>0.84696499999999997</v>
      </c>
      <c r="H17" s="2">
        <v>-1.04695</v>
      </c>
      <c r="I17" s="2">
        <v>1</v>
      </c>
      <c r="K17" s="2" t="s">
        <v>61</v>
      </c>
      <c r="L17" s="2">
        <v>1.34372</v>
      </c>
    </row>
    <row r="18" spans="1:12" x14ac:dyDescent="0.2">
      <c r="A18" s="2" t="s">
        <v>1490</v>
      </c>
      <c r="B18" s="2" t="s">
        <v>3047</v>
      </c>
      <c r="C18" s="2" t="s">
        <v>2634</v>
      </c>
      <c r="D18" s="2" t="s">
        <v>3384</v>
      </c>
      <c r="E18" s="2" t="s">
        <v>3487</v>
      </c>
      <c r="F18" s="2">
        <v>0.34293400000000002</v>
      </c>
      <c r="G18" s="2">
        <v>1.02559</v>
      </c>
      <c r="H18" s="2">
        <v>1.58046</v>
      </c>
      <c r="I18" s="2">
        <v>1</v>
      </c>
      <c r="K18" s="2" t="s">
        <v>1151</v>
      </c>
      <c r="L18" s="2">
        <v>1.0990200000000001</v>
      </c>
    </row>
    <row r="19" spans="1:12" x14ac:dyDescent="0.2">
      <c r="A19" s="2" t="s">
        <v>1492</v>
      </c>
      <c r="B19" s="2" t="s">
        <v>3049</v>
      </c>
      <c r="C19" s="2" t="s">
        <v>1884</v>
      </c>
      <c r="D19" s="2" t="s">
        <v>3384</v>
      </c>
      <c r="E19" s="2" t="s">
        <v>3487</v>
      </c>
      <c r="F19" s="2">
        <v>0.37637599999999999</v>
      </c>
      <c r="G19" s="2">
        <v>1.25576</v>
      </c>
      <c r="H19" s="2">
        <v>1.73831</v>
      </c>
      <c r="I19" s="2">
        <v>1</v>
      </c>
      <c r="K19" s="2" t="s">
        <v>1493</v>
      </c>
      <c r="L19" s="2">
        <v>1.19608</v>
      </c>
    </row>
    <row r="20" spans="1:12" x14ac:dyDescent="0.2">
      <c r="A20" s="2" t="s">
        <v>61</v>
      </c>
      <c r="B20" s="2" t="s">
        <v>3043</v>
      </c>
      <c r="C20" s="2" t="s">
        <v>1872</v>
      </c>
      <c r="D20" s="2" t="s">
        <v>3384</v>
      </c>
      <c r="E20" s="2" t="s">
        <v>3487</v>
      </c>
      <c r="F20" s="2">
        <v>0.49207600000000001</v>
      </c>
      <c r="G20" s="2">
        <v>1.24891</v>
      </c>
      <c r="H20" s="2">
        <v>1.34372</v>
      </c>
      <c r="I20" s="2">
        <v>1</v>
      </c>
      <c r="K20" s="2" t="s">
        <v>1495</v>
      </c>
      <c r="L20" s="2">
        <v>1.0862099999999999</v>
      </c>
    </row>
    <row r="21" spans="1:12" x14ac:dyDescent="0.2">
      <c r="A21" s="2" t="s">
        <v>1151</v>
      </c>
      <c r="B21" s="2" t="s">
        <v>3015</v>
      </c>
      <c r="C21" s="2" t="s">
        <v>2636</v>
      </c>
      <c r="D21" s="2" t="s">
        <v>3384</v>
      </c>
      <c r="E21" s="2" t="s">
        <v>3487</v>
      </c>
      <c r="F21" s="2">
        <v>0.53334999999999999</v>
      </c>
      <c r="G21" s="2">
        <v>1.1424799999999999</v>
      </c>
      <c r="H21" s="2">
        <v>1.0990200000000001</v>
      </c>
      <c r="I21" s="2">
        <v>1</v>
      </c>
      <c r="K21" s="2" t="s">
        <v>73</v>
      </c>
      <c r="L21" s="2">
        <v>1.2382299999999999</v>
      </c>
    </row>
    <row r="22" spans="1:12" x14ac:dyDescent="0.2">
      <c r="A22" s="2" t="s">
        <v>1493</v>
      </c>
      <c r="B22" s="2" t="s">
        <v>3095</v>
      </c>
      <c r="C22" s="2" t="s">
        <v>2637</v>
      </c>
      <c r="D22" s="2" t="s">
        <v>3384</v>
      </c>
      <c r="E22" s="2" t="s">
        <v>3487</v>
      </c>
      <c r="F22" s="2">
        <v>0.421456</v>
      </c>
      <c r="G22" s="2">
        <v>0.96562499999999996</v>
      </c>
      <c r="H22" s="2">
        <v>1.19608</v>
      </c>
      <c r="I22" s="2">
        <v>1</v>
      </c>
      <c r="K22" s="2" t="s">
        <v>74</v>
      </c>
      <c r="L22" s="2">
        <v>1.1413500000000001</v>
      </c>
    </row>
    <row r="23" spans="1:12" x14ac:dyDescent="0.2">
      <c r="A23" s="2" t="s">
        <v>1495</v>
      </c>
      <c r="B23" s="2" t="s">
        <v>3015</v>
      </c>
      <c r="C23" s="2" t="s">
        <v>2639</v>
      </c>
      <c r="D23" s="2" t="s">
        <v>3384</v>
      </c>
      <c r="E23" s="2" t="s">
        <v>3487</v>
      </c>
      <c r="F23" s="2">
        <v>4.1367599999999998</v>
      </c>
      <c r="G23" s="2">
        <v>8.7829899999999999</v>
      </c>
      <c r="H23" s="2">
        <v>1.0862099999999999</v>
      </c>
      <c r="I23" s="2">
        <v>1</v>
      </c>
      <c r="K23" s="2" t="s">
        <v>80</v>
      </c>
      <c r="L23" s="2">
        <v>1.11486</v>
      </c>
    </row>
    <row r="24" spans="1:12" x14ac:dyDescent="0.2">
      <c r="A24" s="2" t="s">
        <v>73</v>
      </c>
      <c r="B24" s="2" t="s">
        <v>3015</v>
      </c>
      <c r="C24" s="2" t="s">
        <v>1880</v>
      </c>
      <c r="D24" s="2" t="s">
        <v>3384</v>
      </c>
      <c r="E24" s="2" t="s">
        <v>3487</v>
      </c>
      <c r="F24" s="2">
        <v>1.0872599999999999</v>
      </c>
      <c r="G24" s="2">
        <v>2.5649299999999999</v>
      </c>
      <c r="H24" s="2">
        <v>1.2382299999999999</v>
      </c>
      <c r="I24" s="2">
        <v>1</v>
      </c>
      <c r="K24" s="2" t="s">
        <v>1799</v>
      </c>
      <c r="L24" s="2">
        <v>2.0706600000000002</v>
      </c>
    </row>
    <row r="25" spans="1:12" x14ac:dyDescent="0.2">
      <c r="A25" s="2" t="s">
        <v>74</v>
      </c>
      <c r="B25" s="2" t="s">
        <v>3027</v>
      </c>
      <c r="C25" s="2" t="s">
        <v>2640</v>
      </c>
      <c r="D25" s="2" t="s">
        <v>3384</v>
      </c>
      <c r="E25" s="2" t="s">
        <v>3487</v>
      </c>
      <c r="F25" s="2">
        <v>1.57118</v>
      </c>
      <c r="G25" s="2">
        <v>3.4658199999999999</v>
      </c>
      <c r="H25" s="2">
        <v>1.1413500000000001</v>
      </c>
      <c r="I25" s="2">
        <v>1</v>
      </c>
      <c r="K25" s="2" t="s">
        <v>1800</v>
      </c>
      <c r="L25" s="2">
        <v>1.2951900000000001</v>
      </c>
    </row>
    <row r="26" spans="1:12" x14ac:dyDescent="0.2">
      <c r="A26" s="2" t="s">
        <v>80</v>
      </c>
      <c r="B26" s="2" t="s">
        <v>3287</v>
      </c>
      <c r="C26" s="2" t="s">
        <v>2045</v>
      </c>
      <c r="D26" s="2" t="s">
        <v>3384</v>
      </c>
      <c r="E26" s="2" t="s">
        <v>3487</v>
      </c>
      <c r="F26" s="2">
        <v>2.2064900000000001</v>
      </c>
      <c r="G26" s="2">
        <v>4.7786799999999996</v>
      </c>
      <c r="H26" s="2">
        <v>1.11486</v>
      </c>
      <c r="I26" s="2">
        <v>1</v>
      </c>
      <c r="K26" s="2" t="s">
        <v>1157</v>
      </c>
      <c r="L26" s="2">
        <v>1.0042899999999999</v>
      </c>
    </row>
    <row r="27" spans="1:12" x14ac:dyDescent="0.2">
      <c r="A27" s="2" t="s">
        <v>1799</v>
      </c>
      <c r="B27" s="2" t="s">
        <v>3488</v>
      </c>
      <c r="C27" s="2" t="s">
        <v>1847</v>
      </c>
      <c r="D27" s="2" t="s">
        <v>3384</v>
      </c>
      <c r="E27" s="2" t="s">
        <v>3487</v>
      </c>
      <c r="F27" s="2">
        <v>0.41630699999999998</v>
      </c>
      <c r="G27" s="2">
        <v>1.74882</v>
      </c>
      <c r="H27" s="2">
        <v>2.0706600000000002</v>
      </c>
      <c r="I27" s="2">
        <v>1</v>
      </c>
      <c r="K27" s="2" t="s">
        <v>1801</v>
      </c>
      <c r="L27" s="2">
        <v>-1.75518</v>
      </c>
    </row>
    <row r="28" spans="1:12" x14ac:dyDescent="0.2">
      <c r="A28" s="2" t="s">
        <v>1800</v>
      </c>
      <c r="B28" s="2" t="s">
        <v>3015</v>
      </c>
      <c r="C28" s="2" t="s">
        <v>2978</v>
      </c>
      <c r="D28" s="2" t="s">
        <v>3384</v>
      </c>
      <c r="E28" s="2" t="s">
        <v>3487</v>
      </c>
      <c r="F28" s="2">
        <v>0.36792599999999998</v>
      </c>
      <c r="G28" s="2">
        <v>0.90292499999999998</v>
      </c>
      <c r="H28" s="2">
        <v>1.2951900000000001</v>
      </c>
      <c r="I28" s="2">
        <v>1</v>
      </c>
      <c r="K28" s="2" t="s">
        <v>103</v>
      </c>
      <c r="L28" s="2">
        <v>1.6117900000000001</v>
      </c>
    </row>
    <row r="29" spans="1:12" x14ac:dyDescent="0.2">
      <c r="A29" s="2" t="s">
        <v>1157</v>
      </c>
      <c r="B29" s="2" t="s">
        <v>3286</v>
      </c>
      <c r="C29" s="2" t="s">
        <v>2391</v>
      </c>
      <c r="D29" s="2" t="s">
        <v>3384</v>
      </c>
      <c r="E29" s="2" t="s">
        <v>3487</v>
      </c>
      <c r="F29" s="2">
        <v>1.6700600000000001</v>
      </c>
      <c r="G29" s="2">
        <v>3.35006</v>
      </c>
      <c r="H29" s="2">
        <v>1.0042899999999999</v>
      </c>
      <c r="I29" s="2">
        <v>1</v>
      </c>
      <c r="K29" s="2" t="s">
        <v>1802</v>
      </c>
      <c r="L29" s="2">
        <v>1.0189699999999999</v>
      </c>
    </row>
    <row r="30" spans="1:12" x14ac:dyDescent="0.2">
      <c r="A30" s="2" t="s">
        <v>1801</v>
      </c>
      <c r="B30" s="2" t="s">
        <v>3026</v>
      </c>
      <c r="C30" s="2" t="s">
        <v>2979</v>
      </c>
      <c r="D30" s="2" t="s">
        <v>3384</v>
      </c>
      <c r="E30" s="2" t="s">
        <v>3487</v>
      </c>
      <c r="F30" s="2">
        <v>1.05522</v>
      </c>
      <c r="G30" s="2">
        <v>0.31259700000000001</v>
      </c>
      <c r="H30" s="2">
        <v>-1.75518</v>
      </c>
      <c r="I30" s="2">
        <v>1</v>
      </c>
      <c r="K30" s="2" t="s">
        <v>1803</v>
      </c>
      <c r="L30" s="2">
        <v>-1.3108900000000001</v>
      </c>
    </row>
    <row r="31" spans="1:12" x14ac:dyDescent="0.2">
      <c r="A31" s="2" t="s">
        <v>103</v>
      </c>
      <c r="B31" s="2" t="s">
        <v>3015</v>
      </c>
      <c r="C31" s="2" t="s">
        <v>1887</v>
      </c>
      <c r="D31" s="2" t="s">
        <v>3384</v>
      </c>
      <c r="E31" s="2" t="s">
        <v>3487</v>
      </c>
      <c r="F31" s="2">
        <v>0.67612799999999995</v>
      </c>
      <c r="G31" s="2">
        <v>2.0664600000000002</v>
      </c>
      <c r="H31" s="2">
        <v>1.6117900000000001</v>
      </c>
      <c r="I31" s="2">
        <v>1</v>
      </c>
      <c r="K31" s="2" t="s">
        <v>1509</v>
      </c>
      <c r="L31" s="2">
        <v>1.9354199999999999</v>
      </c>
    </row>
    <row r="32" spans="1:12" x14ac:dyDescent="0.2">
      <c r="A32" s="2" t="s">
        <v>1802</v>
      </c>
      <c r="B32" s="2" t="s">
        <v>3024</v>
      </c>
      <c r="C32" s="2" t="s">
        <v>2980</v>
      </c>
      <c r="D32" s="2" t="s">
        <v>3384</v>
      </c>
      <c r="E32" s="2" t="s">
        <v>3487</v>
      </c>
      <c r="F32" s="2">
        <v>1.58091</v>
      </c>
      <c r="G32" s="2">
        <v>3.2036600000000002</v>
      </c>
      <c r="H32" s="2">
        <v>1.0189699999999999</v>
      </c>
      <c r="I32" s="2">
        <v>1</v>
      </c>
      <c r="K32" s="2" t="s">
        <v>125</v>
      </c>
      <c r="L32" s="2">
        <v>1.24122</v>
      </c>
    </row>
    <row r="33" spans="1:12" x14ac:dyDescent="0.2">
      <c r="A33" s="2" t="s">
        <v>1803</v>
      </c>
      <c r="B33" s="2" t="s">
        <v>3015</v>
      </c>
      <c r="C33" s="2" t="s">
        <v>3015</v>
      </c>
      <c r="D33" s="2" t="s">
        <v>3384</v>
      </c>
      <c r="E33" s="2" t="s">
        <v>3487</v>
      </c>
      <c r="F33" s="2">
        <v>6.6737599999999997</v>
      </c>
      <c r="G33" s="2">
        <v>2.69</v>
      </c>
      <c r="H33" s="2">
        <v>-1.3108900000000001</v>
      </c>
      <c r="I33" s="2">
        <v>1</v>
      </c>
      <c r="K33" s="2" t="s">
        <v>127</v>
      </c>
      <c r="L33" s="2">
        <v>1.65194</v>
      </c>
    </row>
    <row r="34" spans="1:12" x14ac:dyDescent="0.2">
      <c r="A34" s="2" t="s">
        <v>1509</v>
      </c>
      <c r="B34" s="2" t="s">
        <v>3396</v>
      </c>
      <c r="C34" s="2" t="s">
        <v>2662</v>
      </c>
      <c r="D34" s="2" t="s">
        <v>3384</v>
      </c>
      <c r="E34" s="2" t="s">
        <v>3487</v>
      </c>
      <c r="F34" s="2">
        <v>0.58434699999999995</v>
      </c>
      <c r="G34" s="2">
        <v>2.2350699999999999</v>
      </c>
      <c r="H34" s="2">
        <v>1.9354199999999999</v>
      </c>
      <c r="I34" s="2">
        <v>1</v>
      </c>
      <c r="K34" s="2" t="s">
        <v>131</v>
      </c>
      <c r="L34" s="2">
        <v>-1.0017499999999999</v>
      </c>
    </row>
    <row r="35" spans="1:12" x14ac:dyDescent="0.2">
      <c r="A35" s="2" t="s">
        <v>125</v>
      </c>
      <c r="B35" s="2" t="s">
        <v>3015</v>
      </c>
      <c r="C35" s="2" t="s">
        <v>2400</v>
      </c>
      <c r="D35" s="2" t="s">
        <v>3384</v>
      </c>
      <c r="E35" s="2" t="s">
        <v>3487</v>
      </c>
      <c r="F35" s="2">
        <v>125.63200000000001</v>
      </c>
      <c r="G35" s="2">
        <v>296.99200000000002</v>
      </c>
      <c r="H35" s="2">
        <v>1.24122</v>
      </c>
      <c r="I35" s="2">
        <v>1</v>
      </c>
      <c r="K35" s="2" t="s">
        <v>1513</v>
      </c>
      <c r="L35" s="2">
        <v>-1.4534899999999999</v>
      </c>
    </row>
    <row r="36" spans="1:12" x14ac:dyDescent="0.2">
      <c r="A36" s="2" t="s">
        <v>127</v>
      </c>
      <c r="B36" s="2" t="s">
        <v>3015</v>
      </c>
      <c r="C36" s="2" t="s">
        <v>1902</v>
      </c>
      <c r="D36" s="2" t="s">
        <v>3384</v>
      </c>
      <c r="E36" s="2" t="s">
        <v>3487</v>
      </c>
      <c r="F36" s="2">
        <v>0.425844</v>
      </c>
      <c r="G36" s="2">
        <v>1.3382400000000001</v>
      </c>
      <c r="H36" s="2">
        <v>1.65194</v>
      </c>
      <c r="I36" s="2">
        <v>1</v>
      </c>
      <c r="K36" s="2" t="s">
        <v>136</v>
      </c>
      <c r="L36" s="2">
        <v>1.52518</v>
      </c>
    </row>
    <row r="37" spans="1:12" x14ac:dyDescent="0.2">
      <c r="A37" s="2" t="s">
        <v>131</v>
      </c>
      <c r="B37" s="2" t="s">
        <v>3049</v>
      </c>
      <c r="C37" s="2" t="s">
        <v>2666</v>
      </c>
      <c r="D37" s="2" t="s">
        <v>3384</v>
      </c>
      <c r="E37" s="2" t="s">
        <v>3487</v>
      </c>
      <c r="F37" s="2">
        <v>10.3287</v>
      </c>
      <c r="G37" s="2">
        <v>5.1581099999999998</v>
      </c>
      <c r="H37" s="2">
        <v>-1.0017499999999999</v>
      </c>
      <c r="I37" s="2">
        <v>1</v>
      </c>
      <c r="K37" s="2" t="s">
        <v>1515</v>
      </c>
      <c r="L37" s="2">
        <v>1.2012499999999999</v>
      </c>
    </row>
    <row r="38" spans="1:12" x14ac:dyDescent="0.2">
      <c r="A38" s="2" t="s">
        <v>1513</v>
      </c>
      <c r="B38" s="2" t="s">
        <v>3015</v>
      </c>
      <c r="C38" s="2" t="s">
        <v>1904</v>
      </c>
      <c r="D38" s="2" t="s">
        <v>3384</v>
      </c>
      <c r="E38" s="2" t="s">
        <v>3487</v>
      </c>
      <c r="F38" s="2">
        <v>2.9752900000000002</v>
      </c>
      <c r="G38" s="2">
        <v>1.08639</v>
      </c>
      <c r="H38" s="2">
        <v>-1.4534899999999999</v>
      </c>
      <c r="I38" s="2">
        <v>1</v>
      </c>
      <c r="K38" s="2" t="s">
        <v>1516</v>
      </c>
      <c r="L38" s="2">
        <v>-1.0473699999999999</v>
      </c>
    </row>
    <row r="39" spans="1:12" x14ac:dyDescent="0.2">
      <c r="A39" s="2" t="s">
        <v>136</v>
      </c>
      <c r="B39" s="2" t="s">
        <v>3037</v>
      </c>
      <c r="C39" s="2" t="s">
        <v>2232</v>
      </c>
      <c r="D39" s="2" t="s">
        <v>3384</v>
      </c>
      <c r="E39" s="2" t="s">
        <v>3487</v>
      </c>
      <c r="F39" s="2">
        <v>0.93967500000000004</v>
      </c>
      <c r="G39" s="2">
        <v>2.70459</v>
      </c>
      <c r="H39" s="2">
        <v>1.52518</v>
      </c>
      <c r="I39" s="2">
        <v>1</v>
      </c>
      <c r="K39" s="2" t="s">
        <v>143</v>
      </c>
      <c r="L39" s="2">
        <v>1.7978799999999999</v>
      </c>
    </row>
    <row r="40" spans="1:12" x14ac:dyDescent="0.2">
      <c r="A40" s="2" t="s">
        <v>1515</v>
      </c>
      <c r="B40" s="2" t="s">
        <v>3015</v>
      </c>
      <c r="C40" s="2" t="s">
        <v>2667</v>
      </c>
      <c r="D40" s="2" t="s">
        <v>3384</v>
      </c>
      <c r="E40" s="2" t="s">
        <v>3487</v>
      </c>
      <c r="F40" s="2">
        <v>2.4035199999999999</v>
      </c>
      <c r="G40" s="2">
        <v>5.5266000000000002</v>
      </c>
      <c r="H40" s="2">
        <v>1.2012499999999999</v>
      </c>
      <c r="I40" s="2">
        <v>1</v>
      </c>
      <c r="K40" s="2" t="s">
        <v>149</v>
      </c>
      <c r="L40" s="2">
        <v>1.33551</v>
      </c>
    </row>
    <row r="41" spans="1:12" x14ac:dyDescent="0.2">
      <c r="A41" s="2" t="s">
        <v>1516</v>
      </c>
      <c r="B41" s="2" t="s">
        <v>3049</v>
      </c>
      <c r="C41" s="2" t="s">
        <v>1847</v>
      </c>
      <c r="D41" s="2" t="s">
        <v>3384</v>
      </c>
      <c r="E41" s="2" t="s">
        <v>3487</v>
      </c>
      <c r="F41" s="2">
        <v>4.2119200000000001</v>
      </c>
      <c r="G41" s="2">
        <v>2.0379399999999999</v>
      </c>
      <c r="H41" s="2">
        <v>-1.0473699999999999</v>
      </c>
      <c r="I41" s="2">
        <v>1</v>
      </c>
      <c r="K41" s="2" t="s">
        <v>150</v>
      </c>
      <c r="L41" s="2">
        <v>1.07673</v>
      </c>
    </row>
    <row r="42" spans="1:12" x14ac:dyDescent="0.2">
      <c r="A42" s="2" t="s">
        <v>143</v>
      </c>
      <c r="B42" s="2" t="s">
        <v>3294</v>
      </c>
      <c r="C42" s="2" t="s">
        <v>2407</v>
      </c>
      <c r="D42" s="2" t="s">
        <v>3384</v>
      </c>
      <c r="E42" s="2" t="s">
        <v>3487</v>
      </c>
      <c r="F42" s="2">
        <v>1.6326099999999999</v>
      </c>
      <c r="G42" s="2">
        <v>5.6767300000000001</v>
      </c>
      <c r="H42" s="2">
        <v>1.7978799999999999</v>
      </c>
      <c r="I42" s="2">
        <v>1</v>
      </c>
      <c r="K42" s="2" t="s">
        <v>1189</v>
      </c>
      <c r="L42" s="2">
        <v>-1.4860100000000001</v>
      </c>
    </row>
    <row r="43" spans="1:12" x14ac:dyDescent="0.2">
      <c r="A43" s="2" t="s">
        <v>149</v>
      </c>
      <c r="B43" s="2" t="s">
        <v>3015</v>
      </c>
      <c r="C43" s="2" t="s">
        <v>1914</v>
      </c>
      <c r="D43" s="2" t="s">
        <v>3384</v>
      </c>
      <c r="E43" s="2" t="s">
        <v>3487</v>
      </c>
      <c r="F43" s="2">
        <v>1.03277</v>
      </c>
      <c r="G43" s="2">
        <v>2.6063399999999999</v>
      </c>
      <c r="H43" s="2">
        <v>1.33551</v>
      </c>
      <c r="I43" s="2">
        <v>1</v>
      </c>
      <c r="K43" s="2" t="s">
        <v>1520</v>
      </c>
      <c r="L43" s="2">
        <v>1.45336</v>
      </c>
    </row>
    <row r="44" spans="1:12" x14ac:dyDescent="0.2">
      <c r="A44" s="2" t="s">
        <v>150</v>
      </c>
      <c r="B44" s="2" t="s">
        <v>3015</v>
      </c>
      <c r="C44" s="2" t="s">
        <v>2409</v>
      </c>
      <c r="D44" s="2" t="s">
        <v>3384</v>
      </c>
      <c r="E44" s="2" t="s">
        <v>3487</v>
      </c>
      <c r="F44" s="2">
        <v>0.62633300000000003</v>
      </c>
      <c r="G44" s="2">
        <v>1.3210900000000001</v>
      </c>
      <c r="H44" s="2">
        <v>1.07673</v>
      </c>
      <c r="I44" s="2">
        <v>1</v>
      </c>
      <c r="K44" s="2" t="s">
        <v>1804</v>
      </c>
      <c r="L44" s="2">
        <v>1.5075700000000001</v>
      </c>
    </row>
    <row r="45" spans="1:12" x14ac:dyDescent="0.2">
      <c r="A45" s="2" t="s">
        <v>1189</v>
      </c>
      <c r="B45" s="2" t="s">
        <v>3269</v>
      </c>
      <c r="C45" s="2" t="s">
        <v>2981</v>
      </c>
      <c r="D45" s="2" t="s">
        <v>3384</v>
      </c>
      <c r="E45" s="2" t="s">
        <v>3487</v>
      </c>
      <c r="F45" s="2">
        <v>0.82891800000000004</v>
      </c>
      <c r="G45" s="2">
        <v>0.29592200000000002</v>
      </c>
      <c r="H45" s="2">
        <v>-1.4860100000000001</v>
      </c>
      <c r="I45" s="2">
        <v>1</v>
      </c>
      <c r="K45" s="2" t="s">
        <v>1521</v>
      </c>
      <c r="L45" s="2">
        <v>1.01935</v>
      </c>
    </row>
    <row r="46" spans="1:12" x14ac:dyDescent="0.2">
      <c r="A46" s="2" t="s">
        <v>1520</v>
      </c>
      <c r="B46" s="2" t="s">
        <v>3015</v>
      </c>
      <c r="C46" s="2" t="s">
        <v>2673</v>
      </c>
      <c r="D46" s="2" t="s">
        <v>3384</v>
      </c>
      <c r="E46" s="2" t="s">
        <v>3487</v>
      </c>
      <c r="F46" s="2">
        <v>0.39066600000000001</v>
      </c>
      <c r="G46" s="2">
        <v>1.06982</v>
      </c>
      <c r="H46" s="2">
        <v>1.45336</v>
      </c>
      <c r="I46" s="2">
        <v>1</v>
      </c>
      <c r="K46" s="2" t="s">
        <v>188</v>
      </c>
      <c r="L46" s="2">
        <v>1.4255800000000001</v>
      </c>
    </row>
    <row r="47" spans="1:12" x14ac:dyDescent="0.2">
      <c r="A47" s="2" t="s">
        <v>1804</v>
      </c>
      <c r="B47" s="2" t="s">
        <v>3015</v>
      </c>
      <c r="C47" s="2" t="s">
        <v>1847</v>
      </c>
      <c r="D47" s="2" t="s">
        <v>3384</v>
      </c>
      <c r="E47" s="2" t="s">
        <v>3487</v>
      </c>
      <c r="F47" s="2">
        <v>0.56521299999999997</v>
      </c>
      <c r="G47" s="2">
        <v>1.60707</v>
      </c>
      <c r="H47" s="2">
        <v>1.5075700000000001</v>
      </c>
      <c r="I47" s="2">
        <v>1</v>
      </c>
      <c r="K47" s="2" t="s">
        <v>1193</v>
      </c>
      <c r="L47" s="2">
        <v>1.2920700000000001</v>
      </c>
    </row>
    <row r="48" spans="1:12" x14ac:dyDescent="0.2">
      <c r="A48" s="2" t="s">
        <v>1521</v>
      </c>
      <c r="B48" s="2" t="s">
        <v>3015</v>
      </c>
      <c r="C48" s="2" t="s">
        <v>2674</v>
      </c>
      <c r="D48" s="2" t="s">
        <v>3384</v>
      </c>
      <c r="E48" s="2" t="s">
        <v>3487</v>
      </c>
      <c r="F48" s="2">
        <v>0.435699</v>
      </c>
      <c r="G48" s="2">
        <v>0.88316700000000004</v>
      </c>
      <c r="H48" s="2">
        <v>1.01935</v>
      </c>
      <c r="I48" s="2">
        <v>1</v>
      </c>
      <c r="K48" s="2" t="s">
        <v>201</v>
      </c>
      <c r="L48" s="2">
        <v>1.09917</v>
      </c>
    </row>
    <row r="49" spans="1:12" x14ac:dyDescent="0.2">
      <c r="A49" s="2" t="s">
        <v>188</v>
      </c>
      <c r="B49" s="2" t="s">
        <v>3037</v>
      </c>
      <c r="C49" s="2" t="s">
        <v>2677</v>
      </c>
      <c r="D49" s="2" t="s">
        <v>3384</v>
      </c>
      <c r="E49" s="2" t="s">
        <v>3487</v>
      </c>
      <c r="F49" s="2">
        <v>0.72560400000000003</v>
      </c>
      <c r="G49" s="2">
        <v>1.9491400000000001</v>
      </c>
      <c r="H49" s="2">
        <v>1.4255800000000001</v>
      </c>
      <c r="I49" s="2">
        <v>1</v>
      </c>
      <c r="K49" s="2" t="s">
        <v>206</v>
      </c>
      <c r="L49" s="2">
        <v>1.0559799999999999</v>
      </c>
    </row>
    <row r="50" spans="1:12" x14ac:dyDescent="0.2">
      <c r="A50" s="2" t="s">
        <v>1193</v>
      </c>
      <c r="B50" s="2" t="s">
        <v>3399</v>
      </c>
      <c r="C50" s="2" t="s">
        <v>2003</v>
      </c>
      <c r="D50" s="2" t="s">
        <v>3384</v>
      </c>
      <c r="E50" s="2" t="s">
        <v>3487</v>
      </c>
      <c r="F50" s="2">
        <v>0.42597400000000002</v>
      </c>
      <c r="G50" s="2">
        <v>1.04312</v>
      </c>
      <c r="H50" s="2">
        <v>1.2920700000000001</v>
      </c>
      <c r="I50" s="2">
        <v>1</v>
      </c>
      <c r="K50" s="2" t="s">
        <v>210</v>
      </c>
      <c r="L50" s="2">
        <v>-1.3990499999999999</v>
      </c>
    </row>
    <row r="51" spans="1:12" x14ac:dyDescent="0.2">
      <c r="A51" s="2" t="s">
        <v>201</v>
      </c>
      <c r="B51" s="2" t="s">
        <v>3081</v>
      </c>
      <c r="C51" s="2" t="s">
        <v>1938</v>
      </c>
      <c r="D51" s="2" t="s">
        <v>3384</v>
      </c>
      <c r="E51" s="2" t="s">
        <v>3487</v>
      </c>
      <c r="F51" s="2">
        <v>0.63522900000000004</v>
      </c>
      <c r="G51" s="2">
        <v>1.36086</v>
      </c>
      <c r="H51" s="2">
        <v>1.09917</v>
      </c>
      <c r="I51" s="2">
        <v>1</v>
      </c>
      <c r="K51" s="2" t="s">
        <v>1197</v>
      </c>
      <c r="L51" s="2">
        <v>1.18781</v>
      </c>
    </row>
    <row r="52" spans="1:12" x14ac:dyDescent="0.2">
      <c r="A52" s="2" t="s">
        <v>206</v>
      </c>
      <c r="B52" s="2" t="s">
        <v>3084</v>
      </c>
      <c r="C52" s="2" t="s">
        <v>1941</v>
      </c>
      <c r="D52" s="2" t="s">
        <v>3384</v>
      </c>
      <c r="E52" s="2" t="s">
        <v>3487</v>
      </c>
      <c r="F52" s="2">
        <v>2.09002</v>
      </c>
      <c r="G52" s="2">
        <v>4.3453999999999997</v>
      </c>
      <c r="H52" s="2">
        <v>1.0559799999999999</v>
      </c>
      <c r="I52" s="2">
        <v>1</v>
      </c>
      <c r="K52" s="2" t="s">
        <v>217</v>
      </c>
      <c r="L52" s="2">
        <v>-1.34592</v>
      </c>
    </row>
    <row r="53" spans="1:12" x14ac:dyDescent="0.2">
      <c r="A53" s="2" t="s">
        <v>210</v>
      </c>
      <c r="B53" s="2" t="s">
        <v>3015</v>
      </c>
      <c r="C53" s="2" t="s">
        <v>2681</v>
      </c>
      <c r="D53" s="2" t="s">
        <v>3384</v>
      </c>
      <c r="E53" s="2" t="s">
        <v>3487</v>
      </c>
      <c r="F53" s="2">
        <v>2.04576</v>
      </c>
      <c r="G53" s="2">
        <v>0.77570899999999998</v>
      </c>
      <c r="H53" s="2">
        <v>-1.3990499999999999</v>
      </c>
      <c r="I53" s="2">
        <v>1</v>
      </c>
      <c r="K53" s="2" t="s">
        <v>1805</v>
      </c>
      <c r="L53" s="2">
        <v>1.46801</v>
      </c>
    </row>
    <row r="54" spans="1:12" x14ac:dyDescent="0.2">
      <c r="A54" s="2" t="s">
        <v>1197</v>
      </c>
      <c r="B54" s="2" t="s">
        <v>3015</v>
      </c>
      <c r="C54" s="2" t="s">
        <v>1907</v>
      </c>
      <c r="D54" s="2" t="s">
        <v>3384</v>
      </c>
      <c r="E54" s="2" t="s">
        <v>3487</v>
      </c>
      <c r="F54" s="2">
        <v>0.41559800000000002</v>
      </c>
      <c r="G54" s="2">
        <v>0.94675799999999999</v>
      </c>
      <c r="H54" s="2">
        <v>1.18781</v>
      </c>
      <c r="I54" s="2">
        <v>1</v>
      </c>
      <c r="K54" s="2" t="s">
        <v>1534</v>
      </c>
      <c r="L54" s="2">
        <v>1.1615599999999999</v>
      </c>
    </row>
    <row r="55" spans="1:12" x14ac:dyDescent="0.2">
      <c r="A55" s="2" t="s">
        <v>217</v>
      </c>
      <c r="B55" s="2" t="s">
        <v>3189</v>
      </c>
      <c r="C55" s="2" t="s">
        <v>2683</v>
      </c>
      <c r="D55" s="2" t="s">
        <v>3384</v>
      </c>
      <c r="E55" s="2" t="s">
        <v>3487</v>
      </c>
      <c r="F55" s="2">
        <v>18.111999999999998</v>
      </c>
      <c r="G55" s="2">
        <v>7.1253399999999996</v>
      </c>
      <c r="H55" s="2">
        <v>-1.34592</v>
      </c>
      <c r="I55" s="2">
        <v>1</v>
      </c>
      <c r="K55" s="2" t="s">
        <v>1806</v>
      </c>
      <c r="L55" s="2">
        <v>1.2125699999999999</v>
      </c>
    </row>
    <row r="56" spans="1:12" x14ac:dyDescent="0.2">
      <c r="A56" s="2" t="s">
        <v>1805</v>
      </c>
      <c r="B56" s="2" t="s">
        <v>3031</v>
      </c>
      <c r="C56" s="2" t="e">
        <v>#NAME?</v>
      </c>
      <c r="D56" s="2" t="s">
        <v>3384</v>
      </c>
      <c r="E56" s="2" t="s">
        <v>3487</v>
      </c>
      <c r="F56" s="2">
        <v>0.50095699999999999</v>
      </c>
      <c r="G56" s="2">
        <v>1.38585</v>
      </c>
      <c r="H56" s="2">
        <v>1.46801</v>
      </c>
      <c r="I56" s="2">
        <v>1</v>
      </c>
      <c r="K56" s="2" t="s">
        <v>229</v>
      </c>
      <c r="L56" s="2">
        <v>1.4651700000000001</v>
      </c>
    </row>
    <row r="57" spans="1:12" x14ac:dyDescent="0.2">
      <c r="A57" s="2" t="s">
        <v>1534</v>
      </c>
      <c r="B57" s="2" t="s">
        <v>3015</v>
      </c>
      <c r="C57" s="2" t="s">
        <v>2685</v>
      </c>
      <c r="D57" s="2" t="s">
        <v>3384</v>
      </c>
      <c r="E57" s="2" t="s">
        <v>3487</v>
      </c>
      <c r="F57" s="2">
        <v>1.5906100000000001</v>
      </c>
      <c r="G57" s="2">
        <v>3.5581800000000001</v>
      </c>
      <c r="H57" s="2">
        <v>1.1615599999999999</v>
      </c>
      <c r="I57" s="2">
        <v>1</v>
      </c>
      <c r="K57" s="2" t="s">
        <v>1807</v>
      </c>
      <c r="L57" s="2">
        <v>1.0759700000000001</v>
      </c>
    </row>
    <row r="58" spans="1:12" x14ac:dyDescent="0.2">
      <c r="A58" s="2" t="s">
        <v>1806</v>
      </c>
      <c r="B58" s="2" t="s">
        <v>3015</v>
      </c>
      <c r="C58" s="2" t="s">
        <v>2982</v>
      </c>
      <c r="D58" s="2" t="s">
        <v>3384</v>
      </c>
      <c r="E58" s="2" t="s">
        <v>3487</v>
      </c>
      <c r="F58" s="2">
        <v>1.59565</v>
      </c>
      <c r="G58" s="2">
        <v>3.6979199999999999</v>
      </c>
      <c r="H58" s="2">
        <v>1.2125699999999999</v>
      </c>
      <c r="I58" s="2">
        <v>1</v>
      </c>
      <c r="K58" s="2" t="s">
        <v>1536</v>
      </c>
      <c r="L58" s="2">
        <v>1.0528999999999999</v>
      </c>
    </row>
    <row r="59" spans="1:12" x14ac:dyDescent="0.2">
      <c r="A59" s="2" t="s">
        <v>229</v>
      </c>
      <c r="B59" s="2" t="s">
        <v>3038</v>
      </c>
      <c r="C59" s="2" t="s">
        <v>1933</v>
      </c>
      <c r="D59" s="2" t="s">
        <v>3384</v>
      </c>
      <c r="E59" s="2" t="s">
        <v>3487</v>
      </c>
      <c r="F59" s="2">
        <v>2.6414900000000001</v>
      </c>
      <c r="G59" s="2">
        <v>7.2930200000000003</v>
      </c>
      <c r="H59" s="2">
        <v>1.4651700000000001</v>
      </c>
      <c r="I59" s="2">
        <v>1</v>
      </c>
      <c r="K59" s="2" t="s">
        <v>1537</v>
      </c>
      <c r="L59" s="2">
        <v>-1.3884399999999999</v>
      </c>
    </row>
    <row r="60" spans="1:12" x14ac:dyDescent="0.2">
      <c r="A60" s="2" t="s">
        <v>1807</v>
      </c>
      <c r="B60" s="2" t="s">
        <v>3027</v>
      </c>
      <c r="C60" s="2" t="s">
        <v>2983</v>
      </c>
      <c r="D60" s="2" t="s">
        <v>3384</v>
      </c>
      <c r="E60" s="2" t="s">
        <v>3487</v>
      </c>
      <c r="F60" s="2">
        <v>1.9926699999999999</v>
      </c>
      <c r="G60" s="2">
        <v>4.2008099999999997</v>
      </c>
      <c r="H60" s="2">
        <v>1.0759700000000001</v>
      </c>
      <c r="I60" s="2">
        <v>1</v>
      </c>
      <c r="K60" s="2" t="s">
        <v>239</v>
      </c>
      <c r="L60" s="2">
        <v>1.06213</v>
      </c>
    </row>
    <row r="61" spans="1:12" x14ac:dyDescent="0.2">
      <c r="A61" s="2" t="s">
        <v>1536</v>
      </c>
      <c r="B61" s="2" t="s">
        <v>3015</v>
      </c>
      <c r="C61" s="2" t="s">
        <v>2697</v>
      </c>
      <c r="D61" s="2" t="s">
        <v>3384</v>
      </c>
      <c r="E61" s="2" t="s">
        <v>3487</v>
      </c>
      <c r="F61" s="2">
        <v>0.65427900000000005</v>
      </c>
      <c r="G61" s="2">
        <v>1.3574299999999999</v>
      </c>
      <c r="H61" s="2">
        <v>1.0528999999999999</v>
      </c>
      <c r="I61" s="2">
        <v>1</v>
      </c>
      <c r="K61" s="2" t="s">
        <v>1808</v>
      </c>
      <c r="L61" s="2">
        <v>-1.1180099999999999</v>
      </c>
    </row>
    <row r="62" spans="1:12" x14ac:dyDescent="0.2">
      <c r="A62" s="2" t="s">
        <v>1537</v>
      </c>
      <c r="B62" s="2" t="s">
        <v>3015</v>
      </c>
      <c r="C62" s="2" t="s">
        <v>2639</v>
      </c>
      <c r="D62" s="2" t="s">
        <v>3384</v>
      </c>
      <c r="E62" s="2" t="s">
        <v>3487</v>
      </c>
      <c r="F62" s="2">
        <v>4.9717500000000001</v>
      </c>
      <c r="G62" s="2">
        <v>1.8991</v>
      </c>
      <c r="H62" s="2">
        <v>-1.3884399999999999</v>
      </c>
      <c r="I62" s="2">
        <v>1</v>
      </c>
      <c r="K62" s="2" t="s">
        <v>242</v>
      </c>
      <c r="L62" s="2">
        <v>1.0942700000000001</v>
      </c>
    </row>
    <row r="63" spans="1:12" x14ac:dyDescent="0.2">
      <c r="A63" s="2" t="s">
        <v>239</v>
      </c>
      <c r="B63" s="2" t="s">
        <v>3489</v>
      </c>
      <c r="C63" s="2" t="s">
        <v>2984</v>
      </c>
      <c r="D63" s="2" t="s">
        <v>3384</v>
      </c>
      <c r="E63" s="2" t="s">
        <v>3487</v>
      </c>
      <c r="F63" s="2">
        <v>0.42350199999999999</v>
      </c>
      <c r="G63" s="2">
        <v>0.88427800000000001</v>
      </c>
      <c r="H63" s="2">
        <v>1.06213</v>
      </c>
      <c r="I63" s="2">
        <v>1</v>
      </c>
      <c r="K63" s="2" t="s">
        <v>244</v>
      </c>
      <c r="L63" s="2">
        <v>-1.1603600000000001</v>
      </c>
    </row>
    <row r="64" spans="1:12" x14ac:dyDescent="0.2">
      <c r="A64" s="2" t="s">
        <v>1808</v>
      </c>
      <c r="B64" s="2" t="s">
        <v>3027</v>
      </c>
      <c r="C64" s="2" t="s">
        <v>2985</v>
      </c>
      <c r="D64" s="2" t="s">
        <v>3384</v>
      </c>
      <c r="E64" s="2" t="s">
        <v>3487</v>
      </c>
      <c r="F64" s="2">
        <v>1.42134</v>
      </c>
      <c r="G64" s="2">
        <v>0.65485099999999996</v>
      </c>
      <c r="H64" s="2">
        <v>-1.1180099999999999</v>
      </c>
      <c r="I64" s="2">
        <v>1</v>
      </c>
      <c r="K64" s="2" t="s">
        <v>1209</v>
      </c>
      <c r="L64" s="2">
        <v>1.0885199999999999</v>
      </c>
    </row>
    <row r="65" spans="1:12" x14ac:dyDescent="0.2">
      <c r="A65" s="2" t="s">
        <v>242</v>
      </c>
      <c r="B65" s="2" t="s">
        <v>3303</v>
      </c>
      <c r="C65" s="2" t="s">
        <v>2428</v>
      </c>
      <c r="D65" s="2" t="s">
        <v>3384</v>
      </c>
      <c r="E65" s="2" t="s">
        <v>3487</v>
      </c>
      <c r="F65" s="2">
        <v>0.72439699999999996</v>
      </c>
      <c r="G65" s="2">
        <v>1.5466200000000001</v>
      </c>
      <c r="H65" s="2">
        <v>1.0942700000000001</v>
      </c>
      <c r="I65" s="2">
        <v>1</v>
      </c>
      <c r="K65" s="2" t="s">
        <v>1210</v>
      </c>
      <c r="L65" s="2">
        <v>1.22411</v>
      </c>
    </row>
    <row r="66" spans="1:12" x14ac:dyDescent="0.2">
      <c r="A66" s="2" t="s">
        <v>244</v>
      </c>
      <c r="B66" s="2" t="s">
        <v>3027</v>
      </c>
      <c r="C66" s="2" t="s">
        <v>2986</v>
      </c>
      <c r="D66" s="2" t="s">
        <v>3384</v>
      </c>
      <c r="E66" s="2" t="s">
        <v>3487</v>
      </c>
      <c r="F66" s="2">
        <v>18.9876</v>
      </c>
      <c r="G66" s="2">
        <v>8.4951000000000008</v>
      </c>
      <c r="H66" s="2">
        <v>-1.1603600000000001</v>
      </c>
      <c r="I66" s="2">
        <v>1</v>
      </c>
      <c r="K66" s="2" t="s">
        <v>259</v>
      </c>
      <c r="L66" s="2">
        <v>1.15787</v>
      </c>
    </row>
    <row r="67" spans="1:12" x14ac:dyDescent="0.2">
      <c r="A67" s="2" t="s">
        <v>1209</v>
      </c>
      <c r="B67" s="2" t="s">
        <v>3364</v>
      </c>
      <c r="C67" s="2" t="s">
        <v>2004</v>
      </c>
      <c r="D67" s="2" t="s">
        <v>3384</v>
      </c>
      <c r="E67" s="2" t="s">
        <v>3487</v>
      </c>
      <c r="F67" s="2">
        <v>10.4535</v>
      </c>
      <c r="G67" s="2">
        <v>22.229900000000001</v>
      </c>
      <c r="H67" s="2">
        <v>1.0885199999999999</v>
      </c>
      <c r="I67" s="2">
        <v>1</v>
      </c>
      <c r="K67" s="2" t="s">
        <v>1551</v>
      </c>
      <c r="L67" s="2">
        <v>-1.46288</v>
      </c>
    </row>
    <row r="68" spans="1:12" x14ac:dyDescent="0.2">
      <c r="A68" s="2" t="s">
        <v>1210</v>
      </c>
      <c r="B68" s="2" t="s">
        <v>3081</v>
      </c>
      <c r="C68" s="2" t="s">
        <v>2353</v>
      </c>
      <c r="D68" s="2" t="s">
        <v>3384</v>
      </c>
      <c r="E68" s="2" t="s">
        <v>3487</v>
      </c>
      <c r="F68" s="2">
        <v>2.10982</v>
      </c>
      <c r="G68" s="2">
        <v>4.9287999999999998</v>
      </c>
      <c r="H68" s="2">
        <v>1.22411</v>
      </c>
      <c r="I68" s="2">
        <v>1</v>
      </c>
      <c r="K68" s="2" t="s">
        <v>1213</v>
      </c>
      <c r="L68" s="2">
        <v>1.49532</v>
      </c>
    </row>
    <row r="69" spans="1:12" x14ac:dyDescent="0.2">
      <c r="A69" s="2" t="s">
        <v>259</v>
      </c>
      <c r="B69" s="2" t="s">
        <v>3197</v>
      </c>
      <c r="C69" s="2" t="s">
        <v>2179</v>
      </c>
      <c r="D69" s="2" t="s">
        <v>3384</v>
      </c>
      <c r="E69" s="2" t="s">
        <v>3487</v>
      </c>
      <c r="F69" s="2">
        <v>0.39105699999999999</v>
      </c>
      <c r="G69" s="2">
        <v>0.87256</v>
      </c>
      <c r="H69" s="2">
        <v>1.15787</v>
      </c>
      <c r="I69" s="2">
        <v>1</v>
      </c>
      <c r="K69" s="2" t="s">
        <v>1553</v>
      </c>
      <c r="L69" s="2">
        <v>-1.1436500000000001</v>
      </c>
    </row>
    <row r="70" spans="1:12" x14ac:dyDescent="0.2">
      <c r="A70" s="2" t="s">
        <v>1551</v>
      </c>
      <c r="B70" s="2" t="s">
        <v>3015</v>
      </c>
      <c r="C70" s="2" t="s">
        <v>3015</v>
      </c>
      <c r="D70" s="2" t="s">
        <v>3384</v>
      </c>
      <c r="E70" s="2" t="s">
        <v>3487</v>
      </c>
      <c r="F70" s="2">
        <v>7.89316</v>
      </c>
      <c r="G70" s="2">
        <v>2.8633899999999999</v>
      </c>
      <c r="H70" s="2">
        <v>-1.46288</v>
      </c>
      <c r="I70" s="2">
        <v>1</v>
      </c>
      <c r="K70" s="2" t="s">
        <v>1809</v>
      </c>
      <c r="L70" s="2">
        <v>1.3761300000000001</v>
      </c>
    </row>
    <row r="71" spans="1:12" x14ac:dyDescent="0.2">
      <c r="A71" s="2" t="s">
        <v>1213</v>
      </c>
      <c r="B71" s="2" t="s">
        <v>3015</v>
      </c>
      <c r="C71" s="2" t="s">
        <v>2431</v>
      </c>
      <c r="D71" s="2" t="s">
        <v>3384</v>
      </c>
      <c r="E71" s="2" t="s">
        <v>3487</v>
      </c>
      <c r="F71" s="2">
        <v>5.5097300000000002</v>
      </c>
      <c r="G71" s="2">
        <v>15.5334</v>
      </c>
      <c r="H71" s="2">
        <v>1.49532</v>
      </c>
      <c r="I71" s="2">
        <v>1</v>
      </c>
      <c r="K71" s="2" t="s">
        <v>272</v>
      </c>
      <c r="L71" s="2">
        <v>1.0766500000000001</v>
      </c>
    </row>
    <row r="72" spans="1:12" x14ac:dyDescent="0.2">
      <c r="A72" s="2" t="s">
        <v>1553</v>
      </c>
      <c r="B72" s="2" t="s">
        <v>3015</v>
      </c>
      <c r="C72" s="2" t="s">
        <v>2705</v>
      </c>
      <c r="D72" s="2" t="s">
        <v>3384</v>
      </c>
      <c r="E72" s="2" t="s">
        <v>3487</v>
      </c>
      <c r="F72" s="2">
        <v>5.8144799999999996</v>
      </c>
      <c r="G72" s="2">
        <v>2.63171</v>
      </c>
      <c r="H72" s="2">
        <v>-1.1436500000000001</v>
      </c>
      <c r="I72" s="2">
        <v>1</v>
      </c>
      <c r="K72" s="2" t="s">
        <v>276</v>
      </c>
      <c r="L72" s="2">
        <v>1.3022899999999999</v>
      </c>
    </row>
    <row r="73" spans="1:12" x14ac:dyDescent="0.2">
      <c r="A73" s="2" t="s">
        <v>1809</v>
      </c>
      <c r="B73" s="2" t="s">
        <v>3015</v>
      </c>
      <c r="C73" s="2" t="s">
        <v>2987</v>
      </c>
      <c r="D73" s="2" t="s">
        <v>3384</v>
      </c>
      <c r="E73" s="2" t="s">
        <v>3487</v>
      </c>
      <c r="F73" s="2">
        <v>0.29505599999999998</v>
      </c>
      <c r="G73" s="2">
        <v>0.76588000000000001</v>
      </c>
      <c r="H73" s="2">
        <v>1.3761300000000001</v>
      </c>
      <c r="I73" s="2">
        <v>1</v>
      </c>
      <c r="K73" s="2" t="s">
        <v>1811</v>
      </c>
      <c r="L73" s="2">
        <v>1.2696799999999999</v>
      </c>
    </row>
    <row r="74" spans="1:12" x14ac:dyDescent="0.2">
      <c r="A74" s="2" t="s">
        <v>272</v>
      </c>
      <c r="B74" s="2" t="s">
        <v>3307</v>
      </c>
      <c r="C74" s="2" t="s">
        <v>2433</v>
      </c>
      <c r="D74" s="2" t="s">
        <v>3384</v>
      </c>
      <c r="E74" s="2" t="s">
        <v>3487</v>
      </c>
      <c r="F74" s="2">
        <v>4.5541499999999999</v>
      </c>
      <c r="G74" s="2">
        <v>9.6052999999999997</v>
      </c>
      <c r="H74" s="2">
        <v>1.0766500000000001</v>
      </c>
      <c r="I74" s="2">
        <v>1</v>
      </c>
      <c r="K74" s="2" t="s">
        <v>288</v>
      </c>
      <c r="L74" s="2">
        <v>1.07386</v>
      </c>
    </row>
    <row r="75" spans="1:12" x14ac:dyDescent="0.2">
      <c r="A75" s="2" t="s">
        <v>276</v>
      </c>
      <c r="B75" s="2" t="s">
        <v>3081</v>
      </c>
      <c r="C75" s="2" t="s">
        <v>1847</v>
      </c>
      <c r="D75" s="2" t="s">
        <v>3384</v>
      </c>
      <c r="E75" s="2" t="s">
        <v>3487</v>
      </c>
      <c r="F75" s="2">
        <v>1.6157300000000001</v>
      </c>
      <c r="G75" s="2">
        <v>3.9847000000000001</v>
      </c>
      <c r="H75" s="2">
        <v>1.3022899999999999</v>
      </c>
      <c r="I75" s="2">
        <v>1</v>
      </c>
      <c r="K75" s="2" t="s">
        <v>289</v>
      </c>
      <c r="L75" s="2">
        <v>1.4574</v>
      </c>
    </row>
    <row r="76" spans="1:12" x14ac:dyDescent="0.2">
      <c r="A76" s="2" t="s">
        <v>1810</v>
      </c>
      <c r="B76" s="2" t="s">
        <v>3015</v>
      </c>
      <c r="C76" s="2" t="s">
        <v>1862</v>
      </c>
      <c r="D76" s="2" t="s">
        <v>3384</v>
      </c>
      <c r="E76" s="2" t="s">
        <v>3487</v>
      </c>
      <c r="F76" s="2">
        <v>5.2130200000000002</v>
      </c>
      <c r="G76" s="2">
        <v>0</v>
      </c>
      <c r="H76" s="2" t="s">
        <v>3021</v>
      </c>
      <c r="I76" s="2" t="s">
        <v>3021</v>
      </c>
      <c r="K76" s="2" t="s">
        <v>290</v>
      </c>
      <c r="L76" s="2">
        <v>2.2080099999999998</v>
      </c>
    </row>
    <row r="77" spans="1:12" x14ac:dyDescent="0.2">
      <c r="A77" s="2" t="s">
        <v>1811</v>
      </c>
      <c r="B77" s="2" t="s">
        <v>3068</v>
      </c>
      <c r="C77" s="2" t="s">
        <v>3015</v>
      </c>
      <c r="D77" s="2" t="s">
        <v>3384</v>
      </c>
      <c r="E77" s="2" t="s">
        <v>3487</v>
      </c>
      <c r="F77" s="2">
        <v>0.36410500000000001</v>
      </c>
      <c r="G77" s="2">
        <v>0.87788500000000003</v>
      </c>
      <c r="H77" s="2">
        <v>1.2696799999999999</v>
      </c>
      <c r="I77" s="2">
        <v>1</v>
      </c>
      <c r="K77" s="2" t="s">
        <v>1566</v>
      </c>
      <c r="L77" s="2">
        <v>1.7152799999999999</v>
      </c>
    </row>
    <row r="78" spans="1:12" x14ac:dyDescent="0.2">
      <c r="A78" s="2" t="s">
        <v>288</v>
      </c>
      <c r="B78" s="2" t="s">
        <v>3410</v>
      </c>
      <c r="C78" s="2" t="s">
        <v>2717</v>
      </c>
      <c r="D78" s="2" t="s">
        <v>3384</v>
      </c>
      <c r="E78" s="2" t="s">
        <v>3487</v>
      </c>
      <c r="F78" s="2">
        <v>2.1268799999999999</v>
      </c>
      <c r="G78" s="2">
        <v>4.47722</v>
      </c>
      <c r="H78" s="2">
        <v>1.07386</v>
      </c>
      <c r="I78" s="2">
        <v>1</v>
      </c>
      <c r="K78" s="2" t="s">
        <v>1567</v>
      </c>
      <c r="L78" s="2">
        <v>-1.4052</v>
      </c>
    </row>
    <row r="79" spans="1:12" x14ac:dyDescent="0.2">
      <c r="A79" s="2" t="s">
        <v>289</v>
      </c>
      <c r="B79" s="2" t="s">
        <v>3258</v>
      </c>
      <c r="C79" s="2" t="s">
        <v>2718</v>
      </c>
      <c r="D79" s="2" t="s">
        <v>3384</v>
      </c>
      <c r="E79" s="2" t="s">
        <v>3487</v>
      </c>
      <c r="F79" s="2">
        <v>2.0773899999999998</v>
      </c>
      <c r="G79" s="2">
        <v>5.7048100000000002</v>
      </c>
      <c r="H79" s="2">
        <v>1.4574</v>
      </c>
      <c r="I79" s="2">
        <v>1</v>
      </c>
      <c r="K79" s="2" t="s">
        <v>1237</v>
      </c>
      <c r="L79" s="2">
        <v>1.5647800000000001</v>
      </c>
    </row>
    <row r="80" spans="1:12" x14ac:dyDescent="0.2">
      <c r="A80" s="2" t="s">
        <v>290</v>
      </c>
      <c r="B80" s="2" t="s">
        <v>3015</v>
      </c>
      <c r="C80" s="2" t="s">
        <v>1986</v>
      </c>
      <c r="D80" s="2" t="s">
        <v>3384</v>
      </c>
      <c r="E80" s="2" t="s">
        <v>3487</v>
      </c>
      <c r="F80" s="2">
        <v>0.68375399999999997</v>
      </c>
      <c r="G80" s="2">
        <v>3.1591999999999998</v>
      </c>
      <c r="H80" s="2">
        <v>2.2080099999999998</v>
      </c>
      <c r="I80" s="2">
        <v>1</v>
      </c>
      <c r="K80" s="2" t="s">
        <v>305</v>
      </c>
      <c r="L80" s="2">
        <v>1.92126</v>
      </c>
    </row>
    <row r="81" spans="1:12" x14ac:dyDescent="0.2">
      <c r="A81" s="2" t="s">
        <v>1566</v>
      </c>
      <c r="B81" s="2" t="s">
        <v>3258</v>
      </c>
      <c r="C81" s="2" t="s">
        <v>2720</v>
      </c>
      <c r="D81" s="2" t="s">
        <v>3384</v>
      </c>
      <c r="E81" s="2" t="s">
        <v>3487</v>
      </c>
      <c r="F81" s="2">
        <v>0.46696199999999999</v>
      </c>
      <c r="G81" s="2">
        <v>1.53332</v>
      </c>
      <c r="H81" s="2">
        <v>1.7152799999999999</v>
      </c>
      <c r="I81" s="2">
        <v>1</v>
      </c>
      <c r="K81" s="2" t="s">
        <v>309</v>
      </c>
      <c r="L81" s="2">
        <v>1.1898500000000001</v>
      </c>
    </row>
    <row r="82" spans="1:12" x14ac:dyDescent="0.2">
      <c r="A82" s="2" t="s">
        <v>1567</v>
      </c>
      <c r="B82" s="2" t="s">
        <v>3155</v>
      </c>
      <c r="C82" s="2" t="s">
        <v>2723</v>
      </c>
      <c r="D82" s="2" t="s">
        <v>3384</v>
      </c>
      <c r="E82" s="2" t="s">
        <v>3487</v>
      </c>
      <c r="F82" s="2">
        <v>3.49817</v>
      </c>
      <c r="G82" s="2">
        <v>1.3207899999999999</v>
      </c>
      <c r="H82" s="2">
        <v>-1.4052</v>
      </c>
      <c r="I82" s="2">
        <v>1</v>
      </c>
      <c r="K82" s="2" t="s">
        <v>311</v>
      </c>
      <c r="L82" s="2">
        <v>1.0956300000000001</v>
      </c>
    </row>
    <row r="83" spans="1:12" x14ac:dyDescent="0.2">
      <c r="A83" s="2" t="s">
        <v>1237</v>
      </c>
      <c r="B83" s="2" t="s">
        <v>3313</v>
      </c>
      <c r="C83" s="2" t="s">
        <v>2445</v>
      </c>
      <c r="D83" s="2" t="s">
        <v>3384</v>
      </c>
      <c r="E83" s="2" t="s">
        <v>3487</v>
      </c>
      <c r="F83" s="2">
        <v>0.46317900000000001</v>
      </c>
      <c r="G83" s="2">
        <v>1.3702300000000001</v>
      </c>
      <c r="H83" s="2">
        <v>1.5647800000000001</v>
      </c>
      <c r="I83" s="2">
        <v>1</v>
      </c>
      <c r="K83" s="2" t="s">
        <v>312</v>
      </c>
      <c r="L83" s="2">
        <v>1.0160899999999999</v>
      </c>
    </row>
    <row r="84" spans="1:12" x14ac:dyDescent="0.2">
      <c r="A84" s="2" t="s">
        <v>305</v>
      </c>
      <c r="B84" s="2" t="s">
        <v>3138</v>
      </c>
      <c r="C84" s="2" t="s">
        <v>2220</v>
      </c>
      <c r="D84" s="2" t="s">
        <v>3384</v>
      </c>
      <c r="E84" s="2" t="s">
        <v>3487</v>
      </c>
      <c r="F84" s="2">
        <v>3.0793900000000001</v>
      </c>
      <c r="G84" s="2">
        <v>11.6633</v>
      </c>
      <c r="H84" s="2">
        <v>1.92126</v>
      </c>
      <c r="I84" s="2">
        <v>1</v>
      </c>
      <c r="K84" s="2" t="s">
        <v>327</v>
      </c>
      <c r="L84" s="2">
        <v>1.2761899999999999</v>
      </c>
    </row>
    <row r="85" spans="1:12" x14ac:dyDescent="0.2">
      <c r="A85" s="2" t="s">
        <v>309</v>
      </c>
      <c r="B85" s="2" t="s">
        <v>3063</v>
      </c>
      <c r="C85" s="2" t="s">
        <v>2726</v>
      </c>
      <c r="D85" s="2" t="s">
        <v>3384</v>
      </c>
      <c r="E85" s="2" t="s">
        <v>3487</v>
      </c>
      <c r="F85" s="2">
        <v>2.2638600000000002</v>
      </c>
      <c r="G85" s="2">
        <v>5.1645300000000001</v>
      </c>
      <c r="H85" s="2">
        <v>1.1898500000000001</v>
      </c>
      <c r="I85" s="2">
        <v>1</v>
      </c>
      <c r="K85" s="2" t="s">
        <v>1573</v>
      </c>
      <c r="L85" s="2">
        <v>-1.0327299999999999</v>
      </c>
    </row>
    <row r="86" spans="1:12" x14ac:dyDescent="0.2">
      <c r="A86" s="2" t="s">
        <v>311</v>
      </c>
      <c r="B86" s="2" t="s">
        <v>3111</v>
      </c>
      <c r="C86" s="2" t="s">
        <v>1988</v>
      </c>
      <c r="D86" s="2" t="s">
        <v>3384</v>
      </c>
      <c r="E86" s="2" t="s">
        <v>3487</v>
      </c>
      <c r="F86" s="2">
        <v>0.44609300000000002</v>
      </c>
      <c r="G86" s="2">
        <v>0.95333000000000001</v>
      </c>
      <c r="H86" s="2">
        <v>1.0956300000000001</v>
      </c>
      <c r="I86" s="2">
        <v>1</v>
      </c>
      <c r="K86" s="2" t="s">
        <v>1242</v>
      </c>
      <c r="L86" s="2">
        <v>1.44686</v>
      </c>
    </row>
    <row r="87" spans="1:12" x14ac:dyDescent="0.2">
      <c r="A87" s="2" t="s">
        <v>312</v>
      </c>
      <c r="B87" s="2" t="s">
        <v>3135</v>
      </c>
      <c r="C87" s="2" t="s">
        <v>2447</v>
      </c>
      <c r="D87" s="2" t="s">
        <v>3384</v>
      </c>
      <c r="E87" s="2" t="s">
        <v>3487</v>
      </c>
      <c r="F87" s="2">
        <v>1.1326400000000001</v>
      </c>
      <c r="G87" s="2">
        <v>2.2907000000000002</v>
      </c>
      <c r="H87" s="2">
        <v>1.0160899999999999</v>
      </c>
      <c r="I87" s="2">
        <v>1</v>
      </c>
      <c r="K87" s="2" t="s">
        <v>1243</v>
      </c>
      <c r="L87" s="2">
        <v>-1.0915699999999999</v>
      </c>
    </row>
    <row r="88" spans="1:12" x14ac:dyDescent="0.2">
      <c r="A88" s="2" t="s">
        <v>327</v>
      </c>
      <c r="B88" s="2" t="s">
        <v>3315</v>
      </c>
      <c r="C88" s="2" t="s">
        <v>2421</v>
      </c>
      <c r="D88" s="2" t="s">
        <v>3384</v>
      </c>
      <c r="E88" s="2" t="s">
        <v>3487</v>
      </c>
      <c r="F88" s="2">
        <v>0.690662</v>
      </c>
      <c r="G88" s="2">
        <v>1.6727700000000001</v>
      </c>
      <c r="H88" s="2">
        <v>1.2761899999999999</v>
      </c>
      <c r="I88" s="2">
        <v>1</v>
      </c>
      <c r="K88" s="2" t="s">
        <v>339</v>
      </c>
      <c r="L88" s="2">
        <v>2.3412999999999999</v>
      </c>
    </row>
    <row r="89" spans="1:12" x14ac:dyDescent="0.2">
      <c r="A89" s="2" t="s">
        <v>1573</v>
      </c>
      <c r="B89" s="2" t="s">
        <v>3015</v>
      </c>
      <c r="C89" s="2" t="s">
        <v>2988</v>
      </c>
      <c r="D89" s="2" t="s">
        <v>3384</v>
      </c>
      <c r="E89" s="2" t="s">
        <v>3487</v>
      </c>
      <c r="F89" s="2">
        <v>2.06094</v>
      </c>
      <c r="G89" s="2">
        <v>1.00735</v>
      </c>
      <c r="H89" s="2">
        <v>-1.0327299999999999</v>
      </c>
      <c r="I89" s="2">
        <v>1</v>
      </c>
      <c r="K89" s="2" t="s">
        <v>343</v>
      </c>
      <c r="L89" s="2">
        <v>-1.0929500000000001</v>
      </c>
    </row>
    <row r="90" spans="1:12" x14ac:dyDescent="0.2">
      <c r="A90" s="2" t="s">
        <v>1242</v>
      </c>
      <c r="B90" s="2" t="s">
        <v>3300</v>
      </c>
      <c r="C90" s="2" t="s">
        <v>2450</v>
      </c>
      <c r="D90" s="2" t="s">
        <v>3384</v>
      </c>
      <c r="E90" s="2" t="s">
        <v>3487</v>
      </c>
      <c r="F90" s="2">
        <v>0.81349899999999997</v>
      </c>
      <c r="G90" s="2">
        <v>2.2177099999999998</v>
      </c>
      <c r="H90" s="2">
        <v>1.44686</v>
      </c>
      <c r="I90" s="2">
        <v>1</v>
      </c>
      <c r="K90" s="2" t="s">
        <v>1581</v>
      </c>
      <c r="L90" s="2">
        <v>-1.1605799999999999</v>
      </c>
    </row>
    <row r="91" spans="1:12" x14ac:dyDescent="0.2">
      <c r="A91" s="2" t="s">
        <v>1243</v>
      </c>
      <c r="B91" s="2" t="s">
        <v>3015</v>
      </c>
      <c r="C91" s="2" t="s">
        <v>2451</v>
      </c>
      <c r="D91" s="2" t="s">
        <v>3384</v>
      </c>
      <c r="E91" s="2" t="s">
        <v>3487</v>
      </c>
      <c r="F91" s="2">
        <v>8.1935099999999998</v>
      </c>
      <c r="G91" s="2">
        <v>3.8448000000000002</v>
      </c>
      <c r="H91" s="2">
        <v>-1.0915699999999999</v>
      </c>
      <c r="I91" s="2">
        <v>1</v>
      </c>
      <c r="K91" s="2" t="s">
        <v>1253</v>
      </c>
      <c r="L91" s="2">
        <v>1.4070499999999999</v>
      </c>
    </row>
    <row r="92" spans="1:12" x14ac:dyDescent="0.2">
      <c r="A92" s="2" t="s">
        <v>339</v>
      </c>
      <c r="B92" s="2" t="s">
        <v>3109</v>
      </c>
      <c r="C92" s="2" t="s">
        <v>2734</v>
      </c>
      <c r="D92" s="2" t="s">
        <v>3384</v>
      </c>
      <c r="E92" s="2" t="s">
        <v>3487</v>
      </c>
      <c r="F92" s="2">
        <v>1.31606</v>
      </c>
      <c r="G92" s="2">
        <v>6.6692499999999999</v>
      </c>
      <c r="H92" s="2">
        <v>2.3412999999999999</v>
      </c>
      <c r="I92" s="2">
        <v>1</v>
      </c>
      <c r="K92" s="2" t="s">
        <v>1254</v>
      </c>
      <c r="L92" s="2">
        <v>1.9266399999999999</v>
      </c>
    </row>
    <row r="93" spans="1:12" x14ac:dyDescent="0.2">
      <c r="A93" s="2" t="s">
        <v>343</v>
      </c>
      <c r="B93" s="2" t="s">
        <v>3015</v>
      </c>
      <c r="C93" s="2" t="s">
        <v>3015</v>
      </c>
      <c r="D93" s="2" t="s">
        <v>3384</v>
      </c>
      <c r="E93" s="2" t="s">
        <v>3487</v>
      </c>
      <c r="F93" s="2">
        <v>2.0111500000000002</v>
      </c>
      <c r="G93" s="2">
        <v>0.94283300000000003</v>
      </c>
      <c r="H93" s="2">
        <v>-1.0929500000000001</v>
      </c>
      <c r="I93" s="2">
        <v>1</v>
      </c>
      <c r="K93" s="2" t="s">
        <v>364</v>
      </c>
      <c r="L93" s="2">
        <v>-1.4301600000000001</v>
      </c>
    </row>
    <row r="94" spans="1:12" x14ac:dyDescent="0.2">
      <c r="A94" s="2" t="s">
        <v>1581</v>
      </c>
      <c r="B94" s="2" t="s">
        <v>3301</v>
      </c>
      <c r="C94" s="2" t="s">
        <v>2737</v>
      </c>
      <c r="D94" s="2" t="s">
        <v>3384</v>
      </c>
      <c r="E94" s="2" t="s">
        <v>3487</v>
      </c>
      <c r="F94" s="2">
        <v>1.28501</v>
      </c>
      <c r="G94" s="2">
        <v>0.57482800000000001</v>
      </c>
      <c r="H94" s="2">
        <v>-1.1605799999999999</v>
      </c>
      <c r="I94" s="2">
        <v>1</v>
      </c>
      <c r="K94" s="2" t="s">
        <v>1584</v>
      </c>
      <c r="L94" s="2">
        <v>1.53226</v>
      </c>
    </row>
    <row r="95" spans="1:12" x14ac:dyDescent="0.2">
      <c r="A95" s="2" t="s">
        <v>1253</v>
      </c>
      <c r="B95" s="2" t="s">
        <v>3321</v>
      </c>
      <c r="C95" s="2" t="s">
        <v>2461</v>
      </c>
      <c r="D95" s="2" t="s">
        <v>3384</v>
      </c>
      <c r="E95" s="2" t="s">
        <v>3487</v>
      </c>
      <c r="F95" s="2">
        <v>1.15072</v>
      </c>
      <c r="G95" s="2">
        <v>3.05165</v>
      </c>
      <c r="H95" s="2">
        <v>1.4070499999999999</v>
      </c>
      <c r="I95" s="2">
        <v>1</v>
      </c>
      <c r="K95" s="2" t="s">
        <v>1258</v>
      </c>
      <c r="L95" s="2">
        <v>1.2904100000000001</v>
      </c>
    </row>
    <row r="96" spans="1:12" x14ac:dyDescent="0.2">
      <c r="A96" s="2" t="s">
        <v>1254</v>
      </c>
      <c r="B96" s="2" t="s">
        <v>3038</v>
      </c>
      <c r="C96" s="2" t="s">
        <v>2742</v>
      </c>
      <c r="D96" s="2" t="s">
        <v>3384</v>
      </c>
      <c r="E96" s="2" t="s">
        <v>3487</v>
      </c>
      <c r="F96" s="2">
        <v>0.23902599999999999</v>
      </c>
      <c r="G96" s="2">
        <v>0.90870200000000001</v>
      </c>
      <c r="H96" s="2">
        <v>1.9266399999999999</v>
      </c>
      <c r="I96" s="2">
        <v>1</v>
      </c>
      <c r="K96" s="2" t="s">
        <v>1259</v>
      </c>
      <c r="L96" s="2">
        <v>1.9002399999999999</v>
      </c>
    </row>
    <row r="97" spans="1:12" x14ac:dyDescent="0.2">
      <c r="A97" s="2" t="s">
        <v>364</v>
      </c>
      <c r="B97" s="2" t="s">
        <v>3015</v>
      </c>
      <c r="C97" s="2" t="s">
        <v>2010</v>
      </c>
      <c r="D97" s="2" t="s">
        <v>3384</v>
      </c>
      <c r="E97" s="2" t="s">
        <v>3487</v>
      </c>
      <c r="F97" s="2">
        <v>1.4238599999999999</v>
      </c>
      <c r="G97" s="2">
        <v>0.52838200000000002</v>
      </c>
      <c r="H97" s="2">
        <v>-1.4301600000000001</v>
      </c>
      <c r="I97" s="2">
        <v>1</v>
      </c>
      <c r="K97" s="2" t="s">
        <v>1261</v>
      </c>
      <c r="L97" s="2">
        <v>1.2464900000000001</v>
      </c>
    </row>
    <row r="98" spans="1:12" x14ac:dyDescent="0.2">
      <c r="A98" s="2" t="s">
        <v>1584</v>
      </c>
      <c r="B98" s="2" t="s">
        <v>3094</v>
      </c>
      <c r="C98" s="2" t="s">
        <v>2304</v>
      </c>
      <c r="D98" s="2" t="s">
        <v>3384</v>
      </c>
      <c r="E98" s="2" t="s">
        <v>3487</v>
      </c>
      <c r="F98" s="2">
        <v>0.442056</v>
      </c>
      <c r="G98" s="2">
        <v>1.2786</v>
      </c>
      <c r="H98" s="2">
        <v>1.53226</v>
      </c>
      <c r="I98" s="2">
        <v>1</v>
      </c>
      <c r="K98" s="2" t="s">
        <v>380</v>
      </c>
      <c r="L98" s="2">
        <v>-1.77626</v>
      </c>
    </row>
    <row r="99" spans="1:12" x14ac:dyDescent="0.2">
      <c r="A99" s="2" t="s">
        <v>1258</v>
      </c>
      <c r="B99" s="2" t="s">
        <v>3153</v>
      </c>
      <c r="C99" s="2" t="s">
        <v>2462</v>
      </c>
      <c r="D99" s="2" t="s">
        <v>3384</v>
      </c>
      <c r="E99" s="2" t="s">
        <v>3487</v>
      </c>
      <c r="F99" s="2">
        <v>5.0748800000000003</v>
      </c>
      <c r="G99" s="2">
        <v>12.413</v>
      </c>
      <c r="H99" s="2">
        <v>1.2904100000000001</v>
      </c>
      <c r="I99" s="2">
        <v>1</v>
      </c>
      <c r="K99" s="2" t="s">
        <v>389</v>
      </c>
      <c r="L99" s="2">
        <v>1.7485200000000001</v>
      </c>
    </row>
    <row r="100" spans="1:12" x14ac:dyDescent="0.2">
      <c r="A100" s="2" t="s">
        <v>1259</v>
      </c>
      <c r="B100" s="2" t="s">
        <v>3015</v>
      </c>
      <c r="C100" s="2" t="s">
        <v>3015</v>
      </c>
      <c r="D100" s="2" t="s">
        <v>3384</v>
      </c>
      <c r="E100" s="2" t="s">
        <v>3487</v>
      </c>
      <c r="F100" s="2">
        <v>0.92873600000000001</v>
      </c>
      <c r="G100" s="2">
        <v>3.4667400000000002</v>
      </c>
      <c r="H100" s="2">
        <v>1.9002399999999999</v>
      </c>
      <c r="I100" s="2">
        <v>1</v>
      </c>
      <c r="K100" s="2" t="s">
        <v>392</v>
      </c>
      <c r="L100" s="2">
        <v>1.4555</v>
      </c>
    </row>
    <row r="101" spans="1:12" x14ac:dyDescent="0.2">
      <c r="A101" s="2" t="s">
        <v>1261</v>
      </c>
      <c r="B101" s="2" t="s">
        <v>3015</v>
      </c>
      <c r="C101" s="2" t="s">
        <v>2464</v>
      </c>
      <c r="D101" s="2" t="s">
        <v>3384</v>
      </c>
      <c r="E101" s="2" t="s">
        <v>3487</v>
      </c>
      <c r="F101" s="2">
        <v>12.914999999999999</v>
      </c>
      <c r="G101" s="2">
        <v>30.642399999999999</v>
      </c>
      <c r="H101" s="2">
        <v>1.2464900000000001</v>
      </c>
      <c r="I101" s="2">
        <v>1</v>
      </c>
      <c r="K101" s="2" t="s">
        <v>1812</v>
      </c>
      <c r="L101" s="2">
        <v>1.5458000000000001</v>
      </c>
    </row>
    <row r="102" spans="1:12" x14ac:dyDescent="0.2">
      <c r="A102" s="2" t="s">
        <v>380</v>
      </c>
      <c r="B102" s="2" t="s">
        <v>3121</v>
      </c>
      <c r="C102" s="2" t="s">
        <v>2750</v>
      </c>
      <c r="D102" s="2" t="s">
        <v>3384</v>
      </c>
      <c r="E102" s="2" t="s">
        <v>3487</v>
      </c>
      <c r="F102" s="2">
        <v>8.7213799999999999</v>
      </c>
      <c r="G102" s="2">
        <v>2.5461100000000001</v>
      </c>
      <c r="H102" s="2">
        <v>-1.77626</v>
      </c>
      <c r="I102" s="2">
        <v>1</v>
      </c>
      <c r="K102" s="2" t="s">
        <v>406</v>
      </c>
      <c r="L102" s="2">
        <v>2.6673200000000001</v>
      </c>
    </row>
    <row r="103" spans="1:12" x14ac:dyDescent="0.2">
      <c r="A103" s="2" t="s">
        <v>386</v>
      </c>
      <c r="B103" s="2" t="s">
        <v>3130</v>
      </c>
      <c r="C103" s="2" t="s">
        <v>2021</v>
      </c>
      <c r="D103" s="2" t="s">
        <v>3384</v>
      </c>
      <c r="E103" s="2" t="s">
        <v>3487</v>
      </c>
      <c r="F103" s="2">
        <v>0</v>
      </c>
      <c r="G103" s="2">
        <v>2.09213</v>
      </c>
      <c r="H103" s="2" t="s">
        <v>3021</v>
      </c>
      <c r="I103" s="2" t="s">
        <v>3021</v>
      </c>
      <c r="K103" s="2" t="s">
        <v>1813</v>
      </c>
      <c r="L103" s="2">
        <v>1.0022800000000001</v>
      </c>
    </row>
    <row r="104" spans="1:12" x14ac:dyDescent="0.2">
      <c r="A104" s="2" t="s">
        <v>389</v>
      </c>
      <c r="B104" s="2" t="s">
        <v>3015</v>
      </c>
      <c r="C104" s="2" t="s">
        <v>2024</v>
      </c>
      <c r="D104" s="2" t="s">
        <v>3384</v>
      </c>
      <c r="E104" s="2" t="s">
        <v>3487</v>
      </c>
      <c r="F104" s="2">
        <v>0.82890799999999998</v>
      </c>
      <c r="G104" s="2">
        <v>2.78525</v>
      </c>
      <c r="H104" s="2">
        <v>1.7485200000000001</v>
      </c>
      <c r="I104" s="2">
        <v>1</v>
      </c>
      <c r="K104" s="2" t="s">
        <v>413</v>
      </c>
      <c r="L104" s="2">
        <v>1.44682</v>
      </c>
    </row>
    <row r="105" spans="1:12" x14ac:dyDescent="0.2">
      <c r="A105" s="2" t="s">
        <v>392</v>
      </c>
      <c r="B105" s="2" t="s">
        <v>3015</v>
      </c>
      <c r="C105" s="2" t="s">
        <v>2989</v>
      </c>
      <c r="D105" s="2" t="s">
        <v>3384</v>
      </c>
      <c r="E105" s="2" t="s">
        <v>3487</v>
      </c>
      <c r="F105" s="2">
        <v>0.30208800000000002</v>
      </c>
      <c r="G105" s="2">
        <v>0.82847899999999997</v>
      </c>
      <c r="H105" s="2">
        <v>1.4555</v>
      </c>
      <c r="I105" s="2">
        <v>1</v>
      </c>
      <c r="K105" s="2" t="s">
        <v>414</v>
      </c>
      <c r="L105" s="2">
        <v>1.3578300000000001</v>
      </c>
    </row>
    <row r="106" spans="1:12" x14ac:dyDescent="0.2">
      <c r="A106" s="2" t="s">
        <v>1812</v>
      </c>
      <c r="B106" s="2" t="s">
        <v>3015</v>
      </c>
      <c r="C106" s="2" t="s">
        <v>3015</v>
      </c>
      <c r="D106" s="2" t="s">
        <v>3384</v>
      </c>
      <c r="E106" s="2" t="s">
        <v>3487</v>
      </c>
      <c r="F106" s="2">
        <v>5.7427900000000003</v>
      </c>
      <c r="G106" s="2">
        <v>16.7669</v>
      </c>
      <c r="H106" s="2">
        <v>1.5458000000000001</v>
      </c>
      <c r="I106" s="2">
        <v>1</v>
      </c>
      <c r="K106" s="2" t="s">
        <v>422</v>
      </c>
      <c r="L106" s="2">
        <v>2.03091</v>
      </c>
    </row>
    <row r="107" spans="1:12" x14ac:dyDescent="0.2">
      <c r="A107" s="2" t="s">
        <v>406</v>
      </c>
      <c r="B107" s="2" t="s">
        <v>3326</v>
      </c>
      <c r="C107" s="2" t="s">
        <v>2473</v>
      </c>
      <c r="D107" s="2" t="s">
        <v>3384</v>
      </c>
      <c r="E107" s="2" t="s">
        <v>3487</v>
      </c>
      <c r="F107" s="2">
        <v>4.2021199999999999</v>
      </c>
      <c r="G107" s="2">
        <v>26.6938</v>
      </c>
      <c r="H107" s="2">
        <v>2.6673200000000001</v>
      </c>
      <c r="I107" s="2">
        <v>1</v>
      </c>
      <c r="K107" s="2" t="s">
        <v>429</v>
      </c>
      <c r="L107" s="2">
        <v>-1.7382500000000001</v>
      </c>
    </row>
    <row r="108" spans="1:12" x14ac:dyDescent="0.2">
      <c r="A108" s="2" t="s">
        <v>1813</v>
      </c>
      <c r="B108" s="2" t="s">
        <v>3081</v>
      </c>
      <c r="C108" s="2" t="s">
        <v>2489</v>
      </c>
      <c r="D108" s="2" t="s">
        <v>3384</v>
      </c>
      <c r="E108" s="2" t="s">
        <v>3487</v>
      </c>
      <c r="F108" s="2">
        <v>0.52661899999999995</v>
      </c>
      <c r="G108" s="2">
        <v>1.05491</v>
      </c>
      <c r="H108" s="2">
        <v>1.0022800000000001</v>
      </c>
      <c r="I108" s="2">
        <v>1</v>
      </c>
      <c r="K108" s="2" t="s">
        <v>433</v>
      </c>
      <c r="L108" s="2">
        <v>1.0688500000000001</v>
      </c>
    </row>
    <row r="109" spans="1:12" x14ac:dyDescent="0.2">
      <c r="A109" s="2" t="s">
        <v>413</v>
      </c>
      <c r="B109" s="2" t="s">
        <v>3050</v>
      </c>
      <c r="C109" s="2" t="s">
        <v>2033</v>
      </c>
      <c r="D109" s="2" t="s">
        <v>3384</v>
      </c>
      <c r="E109" s="2" t="s">
        <v>3487</v>
      </c>
      <c r="F109" s="2">
        <v>2.1719300000000001</v>
      </c>
      <c r="G109" s="2">
        <v>5.9208299999999996</v>
      </c>
      <c r="H109" s="2">
        <v>1.44682</v>
      </c>
      <c r="I109" s="2">
        <v>1</v>
      </c>
      <c r="K109" s="2" t="s">
        <v>442</v>
      </c>
      <c r="L109" s="2">
        <v>-1.0391600000000001</v>
      </c>
    </row>
    <row r="110" spans="1:12" x14ac:dyDescent="0.2">
      <c r="A110" s="2" t="s">
        <v>414</v>
      </c>
      <c r="B110" s="2" t="s">
        <v>3015</v>
      </c>
      <c r="C110" s="2" t="s">
        <v>2034</v>
      </c>
      <c r="D110" s="2" t="s">
        <v>3384</v>
      </c>
      <c r="E110" s="2" t="s">
        <v>3487</v>
      </c>
      <c r="F110" s="2">
        <v>0.36928899999999998</v>
      </c>
      <c r="G110" s="2">
        <v>0.94648299999999996</v>
      </c>
      <c r="H110" s="2">
        <v>1.3578300000000001</v>
      </c>
      <c r="I110" s="2">
        <v>1</v>
      </c>
      <c r="K110" s="2" t="s">
        <v>1814</v>
      </c>
      <c r="L110" s="2">
        <v>-1.0391699999999999</v>
      </c>
    </row>
    <row r="111" spans="1:12" x14ac:dyDescent="0.2">
      <c r="A111" s="2" t="s">
        <v>422</v>
      </c>
      <c r="B111" s="2" t="s">
        <v>3136</v>
      </c>
      <c r="C111" s="2" t="s">
        <v>2039</v>
      </c>
      <c r="D111" s="2" t="s">
        <v>3384</v>
      </c>
      <c r="E111" s="2" t="s">
        <v>3487</v>
      </c>
      <c r="F111" s="2">
        <v>0.24396300000000001</v>
      </c>
      <c r="G111" s="2">
        <v>0.99698699999999996</v>
      </c>
      <c r="H111" s="2">
        <v>2.03091</v>
      </c>
      <c r="I111" s="2">
        <v>1</v>
      </c>
      <c r="K111" s="2" t="s">
        <v>446</v>
      </c>
      <c r="L111" s="2">
        <v>-1.2998099999999999</v>
      </c>
    </row>
    <row r="112" spans="1:12" x14ac:dyDescent="0.2">
      <c r="A112" s="2" t="s">
        <v>429</v>
      </c>
      <c r="B112" s="2" t="s">
        <v>3094</v>
      </c>
      <c r="C112" s="2" t="s">
        <v>2042</v>
      </c>
      <c r="D112" s="2" t="s">
        <v>3384</v>
      </c>
      <c r="E112" s="2" t="s">
        <v>3487</v>
      </c>
      <c r="F112" s="2">
        <v>3.6671900000000002</v>
      </c>
      <c r="G112" s="2">
        <v>1.09918</v>
      </c>
      <c r="H112" s="2">
        <v>-1.7382500000000001</v>
      </c>
      <c r="I112" s="2">
        <v>1</v>
      </c>
      <c r="K112" s="2" t="s">
        <v>449</v>
      </c>
      <c r="L112" s="2">
        <v>1.1249499999999999</v>
      </c>
    </row>
    <row r="113" spans="1:12" x14ac:dyDescent="0.2">
      <c r="A113" s="2" t="s">
        <v>433</v>
      </c>
      <c r="B113" s="2" t="s">
        <v>3015</v>
      </c>
      <c r="C113" s="2" t="s">
        <v>2045</v>
      </c>
      <c r="D113" s="2" t="s">
        <v>3384</v>
      </c>
      <c r="E113" s="2" t="s">
        <v>3487</v>
      </c>
      <c r="F113" s="2">
        <v>2.0567600000000001</v>
      </c>
      <c r="G113" s="2">
        <v>4.3145899999999999</v>
      </c>
      <c r="H113" s="2">
        <v>1.0688500000000001</v>
      </c>
      <c r="I113" s="2">
        <v>1</v>
      </c>
      <c r="K113" s="2" t="s">
        <v>1602</v>
      </c>
      <c r="L113" s="2">
        <v>1.23204</v>
      </c>
    </row>
    <row r="114" spans="1:12" x14ac:dyDescent="0.2">
      <c r="A114" s="2" t="s">
        <v>442</v>
      </c>
      <c r="B114" s="2" t="s">
        <v>3015</v>
      </c>
      <c r="C114" s="2" t="s">
        <v>1862</v>
      </c>
      <c r="D114" s="2" t="s">
        <v>3384</v>
      </c>
      <c r="E114" s="2" t="s">
        <v>3487</v>
      </c>
      <c r="F114" s="2">
        <v>28.128</v>
      </c>
      <c r="G114" s="2">
        <v>13.6874</v>
      </c>
      <c r="H114" s="2">
        <v>-1.0391600000000001</v>
      </c>
      <c r="I114" s="2">
        <v>1</v>
      </c>
      <c r="K114" s="2" t="s">
        <v>1815</v>
      </c>
      <c r="L114" s="2">
        <v>1.0192300000000001</v>
      </c>
    </row>
    <row r="115" spans="1:12" x14ac:dyDescent="0.2">
      <c r="A115" s="2" t="s">
        <v>1814</v>
      </c>
      <c r="B115" s="2" t="s">
        <v>3015</v>
      </c>
      <c r="C115" s="2" t="s">
        <v>2990</v>
      </c>
      <c r="D115" s="2" t="s">
        <v>3384</v>
      </c>
      <c r="E115" s="2" t="s">
        <v>3487</v>
      </c>
      <c r="F115" s="2">
        <v>1.31385</v>
      </c>
      <c r="G115" s="2">
        <v>0.63932800000000001</v>
      </c>
      <c r="H115" s="2">
        <v>-1.0391699999999999</v>
      </c>
      <c r="I115" s="2">
        <v>1</v>
      </c>
      <c r="K115" s="2" t="s">
        <v>1610</v>
      </c>
      <c r="L115" s="2">
        <v>2.0643500000000001</v>
      </c>
    </row>
    <row r="116" spans="1:12" x14ac:dyDescent="0.2">
      <c r="A116" s="2" t="s">
        <v>446</v>
      </c>
      <c r="B116" s="2" t="s">
        <v>3038</v>
      </c>
      <c r="C116" s="2" t="s">
        <v>2050</v>
      </c>
      <c r="D116" s="2" t="s">
        <v>3384</v>
      </c>
      <c r="E116" s="2" t="s">
        <v>3487</v>
      </c>
      <c r="F116" s="2">
        <v>3.1097199999999998</v>
      </c>
      <c r="G116" s="2">
        <v>1.26311</v>
      </c>
      <c r="H116" s="2">
        <v>-1.2998099999999999</v>
      </c>
      <c r="I116" s="2">
        <v>1</v>
      </c>
      <c r="K116" s="2" t="s">
        <v>485</v>
      </c>
      <c r="L116" s="2">
        <v>1.12148</v>
      </c>
    </row>
    <row r="117" spans="1:12" x14ac:dyDescent="0.2">
      <c r="A117" s="2" t="s">
        <v>449</v>
      </c>
      <c r="B117" s="2" t="s">
        <v>3024</v>
      </c>
      <c r="C117" s="2" t="s">
        <v>2053</v>
      </c>
      <c r="D117" s="2" t="s">
        <v>3384</v>
      </c>
      <c r="E117" s="2" t="s">
        <v>3487</v>
      </c>
      <c r="F117" s="2">
        <v>0.63944900000000005</v>
      </c>
      <c r="G117" s="2">
        <v>1.3946000000000001</v>
      </c>
      <c r="H117" s="2">
        <v>1.1249499999999999</v>
      </c>
      <c r="I117" s="2">
        <v>1</v>
      </c>
      <c r="K117" s="2" t="s">
        <v>487</v>
      </c>
      <c r="L117" s="2">
        <v>1.14435</v>
      </c>
    </row>
    <row r="118" spans="1:12" x14ac:dyDescent="0.2">
      <c r="A118" s="2" t="s">
        <v>1602</v>
      </c>
      <c r="B118" s="2" t="s">
        <v>3015</v>
      </c>
      <c r="C118" s="2" t="s">
        <v>2764</v>
      </c>
      <c r="D118" s="2" t="s">
        <v>3384</v>
      </c>
      <c r="E118" s="2" t="s">
        <v>3487</v>
      </c>
      <c r="F118" s="2">
        <v>1.2925</v>
      </c>
      <c r="G118" s="2">
        <v>3.03607</v>
      </c>
      <c r="H118" s="2">
        <v>1.23204</v>
      </c>
      <c r="I118" s="2">
        <v>1</v>
      </c>
      <c r="K118" s="2" t="s">
        <v>496</v>
      </c>
      <c r="L118" s="2">
        <v>-1.0695699999999999</v>
      </c>
    </row>
    <row r="119" spans="1:12" x14ac:dyDescent="0.2">
      <c r="A119" s="2" t="s">
        <v>1815</v>
      </c>
      <c r="B119" s="2" t="s">
        <v>3015</v>
      </c>
      <c r="C119" s="2" t="s">
        <v>2991</v>
      </c>
      <c r="D119" s="2" t="s">
        <v>3384</v>
      </c>
      <c r="E119" s="2" t="s">
        <v>3487</v>
      </c>
      <c r="F119" s="2">
        <v>3.9996200000000002</v>
      </c>
      <c r="G119" s="2">
        <v>8.1065900000000006</v>
      </c>
      <c r="H119" s="2">
        <v>1.0192300000000001</v>
      </c>
      <c r="I119" s="2">
        <v>1</v>
      </c>
      <c r="K119" s="2" t="s">
        <v>498</v>
      </c>
      <c r="L119" s="2">
        <v>2.5358999999999998</v>
      </c>
    </row>
    <row r="120" spans="1:12" x14ac:dyDescent="0.2">
      <c r="A120" s="2" t="s">
        <v>1610</v>
      </c>
      <c r="B120" s="2" t="s">
        <v>3087</v>
      </c>
      <c r="C120" s="2" t="s">
        <v>2771</v>
      </c>
      <c r="D120" s="2" t="s">
        <v>3384</v>
      </c>
      <c r="E120" s="2" t="s">
        <v>3487</v>
      </c>
      <c r="F120" s="2">
        <v>0.29669000000000001</v>
      </c>
      <c r="G120" s="2">
        <v>1.24089</v>
      </c>
      <c r="H120" s="2">
        <v>2.0643500000000001</v>
      </c>
      <c r="I120" s="2">
        <v>1</v>
      </c>
      <c r="K120" s="2" t="s">
        <v>501</v>
      </c>
      <c r="L120" s="2">
        <v>1.34741</v>
      </c>
    </row>
    <row r="121" spans="1:12" x14ac:dyDescent="0.2">
      <c r="A121" s="2" t="s">
        <v>485</v>
      </c>
      <c r="B121" s="2" t="s">
        <v>3015</v>
      </c>
      <c r="C121" s="2" t="s">
        <v>2992</v>
      </c>
      <c r="D121" s="2" t="s">
        <v>3384</v>
      </c>
      <c r="E121" s="2" t="s">
        <v>3487</v>
      </c>
      <c r="F121" s="2">
        <v>5.15184</v>
      </c>
      <c r="G121" s="2">
        <v>11.2088</v>
      </c>
      <c r="H121" s="2">
        <v>1.12148</v>
      </c>
      <c r="I121" s="2">
        <v>1</v>
      </c>
      <c r="K121" s="2" t="s">
        <v>509</v>
      </c>
      <c r="L121" s="2">
        <v>1.73872</v>
      </c>
    </row>
    <row r="122" spans="1:12" x14ac:dyDescent="0.2">
      <c r="A122" s="2" t="s">
        <v>487</v>
      </c>
      <c r="B122" s="2" t="s">
        <v>3015</v>
      </c>
      <c r="C122" s="2" t="s">
        <v>2071</v>
      </c>
      <c r="D122" s="2" t="s">
        <v>3384</v>
      </c>
      <c r="E122" s="2" t="s">
        <v>3487</v>
      </c>
      <c r="F122" s="2">
        <v>1.4330700000000001</v>
      </c>
      <c r="G122" s="2">
        <v>3.1677399999999998</v>
      </c>
      <c r="H122" s="2">
        <v>1.14435</v>
      </c>
      <c r="I122" s="2">
        <v>1</v>
      </c>
      <c r="K122" s="2" t="s">
        <v>514</v>
      </c>
      <c r="L122" s="2">
        <v>2.2527499999999998</v>
      </c>
    </row>
    <row r="123" spans="1:12" x14ac:dyDescent="0.2">
      <c r="A123" s="2" t="s">
        <v>496</v>
      </c>
      <c r="B123" s="2" t="s">
        <v>3015</v>
      </c>
      <c r="C123" s="2" t="s">
        <v>1847</v>
      </c>
      <c r="D123" s="2" t="s">
        <v>3384</v>
      </c>
      <c r="E123" s="2" t="s">
        <v>3487</v>
      </c>
      <c r="F123" s="2">
        <v>1.4514800000000001</v>
      </c>
      <c r="G123" s="2">
        <v>0.69157599999999997</v>
      </c>
      <c r="H123" s="2">
        <v>-1.0695699999999999</v>
      </c>
      <c r="I123" s="2">
        <v>1</v>
      </c>
      <c r="K123" s="2" t="s">
        <v>526</v>
      </c>
      <c r="L123" s="2">
        <v>-1.30986</v>
      </c>
    </row>
    <row r="124" spans="1:12" x14ac:dyDescent="0.2">
      <c r="A124" s="2" t="s">
        <v>498</v>
      </c>
      <c r="B124" s="2" t="s">
        <v>3015</v>
      </c>
      <c r="C124" s="2" t="s">
        <v>2078</v>
      </c>
      <c r="D124" s="2" t="s">
        <v>3384</v>
      </c>
      <c r="E124" s="2" t="s">
        <v>3487</v>
      </c>
      <c r="F124" s="2">
        <v>1.70723</v>
      </c>
      <c r="G124" s="2">
        <v>9.9009099999999997</v>
      </c>
      <c r="H124" s="2">
        <v>2.5358999999999998</v>
      </c>
      <c r="I124" s="2">
        <v>1</v>
      </c>
      <c r="K124" s="2" t="s">
        <v>528</v>
      </c>
      <c r="L124" s="2">
        <v>1.2295799999999999</v>
      </c>
    </row>
    <row r="125" spans="1:12" x14ac:dyDescent="0.2">
      <c r="A125" s="2" t="s">
        <v>501</v>
      </c>
      <c r="B125" s="2" t="s">
        <v>3015</v>
      </c>
      <c r="C125" s="2" t="s">
        <v>2488</v>
      </c>
      <c r="D125" s="2" t="s">
        <v>3384</v>
      </c>
      <c r="E125" s="2" t="s">
        <v>3487</v>
      </c>
      <c r="F125" s="2">
        <v>4.2759799999999997</v>
      </c>
      <c r="G125" s="2">
        <v>10.8805</v>
      </c>
      <c r="H125" s="2">
        <v>1.34741</v>
      </c>
      <c r="I125" s="2">
        <v>1</v>
      </c>
      <c r="K125" s="2" t="s">
        <v>1621</v>
      </c>
      <c r="L125" s="2">
        <v>1.31033</v>
      </c>
    </row>
    <row r="126" spans="1:12" x14ac:dyDescent="0.2">
      <c r="A126" s="2" t="s">
        <v>509</v>
      </c>
      <c r="B126" s="2" t="s">
        <v>3043</v>
      </c>
      <c r="C126" s="2" t="s">
        <v>2781</v>
      </c>
      <c r="D126" s="2" t="s">
        <v>3384</v>
      </c>
      <c r="E126" s="2" t="s">
        <v>3487</v>
      </c>
      <c r="F126" s="2">
        <v>18.654299999999999</v>
      </c>
      <c r="G126" s="2">
        <v>62.256500000000003</v>
      </c>
      <c r="H126" s="2">
        <v>1.73872</v>
      </c>
      <c r="I126" s="2">
        <v>1</v>
      </c>
      <c r="K126" s="2" t="s">
        <v>1816</v>
      </c>
      <c r="L126" s="2">
        <v>2.0260600000000002</v>
      </c>
    </row>
    <row r="127" spans="1:12" x14ac:dyDescent="0.2">
      <c r="A127" s="2" t="s">
        <v>514</v>
      </c>
      <c r="B127" s="2" t="s">
        <v>3045</v>
      </c>
      <c r="C127" s="2" t="s">
        <v>2491</v>
      </c>
      <c r="D127" s="2" t="s">
        <v>3384</v>
      </c>
      <c r="E127" s="2" t="s">
        <v>3487</v>
      </c>
      <c r="F127" s="2">
        <v>1.5641799999999999</v>
      </c>
      <c r="G127" s="2">
        <v>7.4547699999999999</v>
      </c>
      <c r="H127" s="2">
        <v>2.2527499999999998</v>
      </c>
      <c r="I127" s="2">
        <v>1</v>
      </c>
      <c r="K127" s="2" t="s">
        <v>531</v>
      </c>
      <c r="L127" s="2">
        <v>-1.3311999999999999</v>
      </c>
    </row>
    <row r="128" spans="1:12" x14ac:dyDescent="0.2">
      <c r="A128" s="2" t="s">
        <v>526</v>
      </c>
      <c r="B128" s="2" t="s">
        <v>3185</v>
      </c>
      <c r="C128" s="2" t="s">
        <v>2786</v>
      </c>
      <c r="D128" s="2" t="s">
        <v>3384</v>
      </c>
      <c r="E128" s="2" t="s">
        <v>3487</v>
      </c>
      <c r="F128" s="2">
        <v>5.89053</v>
      </c>
      <c r="G128" s="2">
        <v>2.37601</v>
      </c>
      <c r="H128" s="2">
        <v>-1.30986</v>
      </c>
      <c r="I128" s="2">
        <v>1</v>
      </c>
      <c r="K128" s="2" t="s">
        <v>1290</v>
      </c>
      <c r="L128" s="2">
        <v>1.68374</v>
      </c>
    </row>
    <row r="129" spans="1:12" x14ac:dyDescent="0.2">
      <c r="A129" s="2" t="s">
        <v>528</v>
      </c>
      <c r="B129" s="2" t="s">
        <v>3015</v>
      </c>
      <c r="C129" s="2" t="s">
        <v>1844</v>
      </c>
      <c r="D129" s="2" t="s">
        <v>3384</v>
      </c>
      <c r="E129" s="2" t="s">
        <v>3487</v>
      </c>
      <c r="F129" s="2">
        <v>1.0430699999999999</v>
      </c>
      <c r="G129" s="2">
        <v>2.44598</v>
      </c>
      <c r="H129" s="2">
        <v>1.2295799999999999</v>
      </c>
      <c r="I129" s="2">
        <v>1</v>
      </c>
      <c r="K129" s="2" t="s">
        <v>532</v>
      </c>
      <c r="L129" s="2">
        <v>1.54931</v>
      </c>
    </row>
    <row r="130" spans="1:12" x14ac:dyDescent="0.2">
      <c r="A130" s="2" t="s">
        <v>1621</v>
      </c>
      <c r="B130" s="2" t="s">
        <v>3434</v>
      </c>
      <c r="C130" s="2" t="s">
        <v>2787</v>
      </c>
      <c r="D130" s="2" t="s">
        <v>3384</v>
      </c>
      <c r="E130" s="2" t="s">
        <v>3487</v>
      </c>
      <c r="F130" s="2">
        <v>0.38133099999999998</v>
      </c>
      <c r="G130" s="2">
        <v>0.94569700000000001</v>
      </c>
      <c r="H130" s="2">
        <v>1.31033</v>
      </c>
      <c r="I130" s="2">
        <v>1</v>
      </c>
      <c r="K130" s="2" t="s">
        <v>1622</v>
      </c>
      <c r="L130" s="2">
        <v>-1.1060000000000001</v>
      </c>
    </row>
    <row r="131" spans="1:12" x14ac:dyDescent="0.2">
      <c r="A131" s="2" t="s">
        <v>1816</v>
      </c>
      <c r="B131" s="2" t="s">
        <v>3180</v>
      </c>
      <c r="C131" s="2" t="s">
        <v>2993</v>
      </c>
      <c r="D131" s="2" t="s">
        <v>3384</v>
      </c>
      <c r="E131" s="2" t="s">
        <v>3487</v>
      </c>
      <c r="F131" s="2">
        <v>0.31321900000000003</v>
      </c>
      <c r="G131" s="2">
        <v>1.2757099999999999</v>
      </c>
      <c r="H131" s="2">
        <v>2.0260600000000002</v>
      </c>
      <c r="I131" s="2">
        <v>1</v>
      </c>
      <c r="K131" s="2" t="s">
        <v>1623</v>
      </c>
      <c r="L131" s="2">
        <v>1.2317199999999999</v>
      </c>
    </row>
    <row r="132" spans="1:12" x14ac:dyDescent="0.2">
      <c r="A132" s="2" t="s">
        <v>531</v>
      </c>
      <c r="B132" s="2" t="s">
        <v>3093</v>
      </c>
      <c r="C132" s="2" t="s">
        <v>2094</v>
      </c>
      <c r="D132" s="2" t="s">
        <v>3384</v>
      </c>
      <c r="E132" s="2" t="s">
        <v>3487</v>
      </c>
      <c r="F132" s="2">
        <v>0.78532199999999996</v>
      </c>
      <c r="G132" s="2">
        <v>0.31211699999999998</v>
      </c>
      <c r="H132" s="2">
        <v>-1.3311999999999999</v>
      </c>
      <c r="I132" s="2">
        <v>1</v>
      </c>
      <c r="K132" s="2" t="s">
        <v>1624</v>
      </c>
      <c r="L132" s="2">
        <v>1.1389800000000001</v>
      </c>
    </row>
    <row r="133" spans="1:12" x14ac:dyDescent="0.2">
      <c r="A133" s="2" t="s">
        <v>1290</v>
      </c>
      <c r="B133" s="2" t="s">
        <v>3336</v>
      </c>
      <c r="C133" s="2" t="s">
        <v>2498</v>
      </c>
      <c r="D133" s="2" t="s">
        <v>3384</v>
      </c>
      <c r="E133" s="2" t="s">
        <v>3487</v>
      </c>
      <c r="F133" s="2">
        <v>13.4184</v>
      </c>
      <c r="G133" s="2">
        <v>43.1081</v>
      </c>
      <c r="H133" s="2">
        <v>1.68374</v>
      </c>
      <c r="I133" s="2">
        <v>1</v>
      </c>
      <c r="K133" s="2" t="s">
        <v>1291</v>
      </c>
      <c r="L133" s="2">
        <v>1.15934</v>
      </c>
    </row>
    <row r="134" spans="1:12" x14ac:dyDescent="0.2">
      <c r="A134" s="2" t="s">
        <v>532</v>
      </c>
      <c r="B134" s="2" t="s">
        <v>3043</v>
      </c>
      <c r="C134" s="2" t="s">
        <v>2095</v>
      </c>
      <c r="D134" s="2" t="s">
        <v>3384</v>
      </c>
      <c r="E134" s="2" t="s">
        <v>3487</v>
      </c>
      <c r="F134" s="2">
        <v>4.3198600000000003</v>
      </c>
      <c r="G134" s="2">
        <v>12.6433</v>
      </c>
      <c r="H134" s="2">
        <v>1.54931</v>
      </c>
      <c r="I134" s="2">
        <v>1</v>
      </c>
      <c r="K134" s="2" t="s">
        <v>1817</v>
      </c>
      <c r="L134" s="2">
        <v>-2.9293100000000001</v>
      </c>
    </row>
    <row r="135" spans="1:12" x14ac:dyDescent="0.2">
      <c r="A135" s="2" t="s">
        <v>1622</v>
      </c>
      <c r="B135" s="2" t="s">
        <v>3435</v>
      </c>
      <c r="C135" s="2" t="s">
        <v>2246</v>
      </c>
      <c r="D135" s="2" t="s">
        <v>3384</v>
      </c>
      <c r="E135" s="2" t="s">
        <v>3487</v>
      </c>
      <c r="F135" s="2">
        <v>4.5105899999999997</v>
      </c>
      <c r="G135" s="2">
        <v>2.0955300000000001</v>
      </c>
      <c r="H135" s="2">
        <v>-1.1060000000000001</v>
      </c>
      <c r="I135" s="2">
        <v>1</v>
      </c>
      <c r="K135" s="2" t="s">
        <v>1298</v>
      </c>
      <c r="L135" s="2">
        <v>1.01677</v>
      </c>
    </row>
    <row r="136" spans="1:12" x14ac:dyDescent="0.2">
      <c r="A136" s="2" t="s">
        <v>1623</v>
      </c>
      <c r="B136" s="2" t="s">
        <v>3146</v>
      </c>
      <c r="C136" s="2" t="s">
        <v>2674</v>
      </c>
      <c r="D136" s="2" t="s">
        <v>3384</v>
      </c>
      <c r="E136" s="2" t="s">
        <v>3487</v>
      </c>
      <c r="F136" s="2">
        <v>1.7181999999999999</v>
      </c>
      <c r="G136" s="2">
        <v>4.0351499999999998</v>
      </c>
      <c r="H136" s="2">
        <v>1.2317199999999999</v>
      </c>
      <c r="I136" s="2">
        <v>1</v>
      </c>
      <c r="K136" s="2" t="s">
        <v>1636</v>
      </c>
      <c r="L136" s="2">
        <v>-1.17441</v>
      </c>
    </row>
    <row r="137" spans="1:12" x14ac:dyDescent="0.2">
      <c r="A137" s="2" t="s">
        <v>1624</v>
      </c>
      <c r="B137" s="2" t="s">
        <v>3015</v>
      </c>
      <c r="C137" s="2" t="s">
        <v>2788</v>
      </c>
      <c r="D137" s="2" t="s">
        <v>3384</v>
      </c>
      <c r="E137" s="2" t="s">
        <v>3487</v>
      </c>
      <c r="F137" s="2">
        <v>1.4815799999999999</v>
      </c>
      <c r="G137" s="2">
        <v>3.26281</v>
      </c>
      <c r="H137" s="2">
        <v>1.1389800000000001</v>
      </c>
      <c r="I137" s="2">
        <v>1</v>
      </c>
      <c r="K137" s="2" t="s">
        <v>1299</v>
      </c>
      <c r="L137" s="2">
        <v>-1.26613</v>
      </c>
    </row>
    <row r="138" spans="1:12" x14ac:dyDescent="0.2">
      <c r="A138" s="2" t="s">
        <v>1291</v>
      </c>
      <c r="B138" s="2" t="s">
        <v>3015</v>
      </c>
      <c r="C138" s="2" t="s">
        <v>2499</v>
      </c>
      <c r="D138" s="2" t="s">
        <v>3384</v>
      </c>
      <c r="E138" s="2" t="s">
        <v>3487</v>
      </c>
      <c r="F138" s="2">
        <v>6.3823800000000004</v>
      </c>
      <c r="G138" s="2">
        <v>14.2554</v>
      </c>
      <c r="H138" s="2">
        <v>1.15934</v>
      </c>
      <c r="I138" s="2">
        <v>1</v>
      </c>
      <c r="K138" s="2" t="s">
        <v>1301</v>
      </c>
      <c r="L138" s="2">
        <v>-1.23902</v>
      </c>
    </row>
    <row r="139" spans="1:12" x14ac:dyDescent="0.2">
      <c r="A139" s="2" t="s">
        <v>1817</v>
      </c>
      <c r="B139" s="2" t="s">
        <v>3015</v>
      </c>
      <c r="C139" s="2" t="s">
        <v>3015</v>
      </c>
      <c r="D139" s="2" t="s">
        <v>3384</v>
      </c>
      <c r="E139" s="2" t="s">
        <v>3487</v>
      </c>
      <c r="F139" s="2">
        <v>1.1266700000000001</v>
      </c>
      <c r="G139" s="2">
        <v>0.14790700000000001</v>
      </c>
      <c r="H139" s="2">
        <v>-2.9293100000000001</v>
      </c>
      <c r="I139" s="2">
        <v>1</v>
      </c>
      <c r="K139" s="2" t="s">
        <v>573</v>
      </c>
      <c r="L139" s="2">
        <v>1.2757400000000001</v>
      </c>
    </row>
    <row r="140" spans="1:12" x14ac:dyDescent="0.2">
      <c r="A140" s="2" t="s">
        <v>1298</v>
      </c>
      <c r="B140" s="2" t="s">
        <v>3068</v>
      </c>
      <c r="C140" s="2" t="s">
        <v>2799</v>
      </c>
      <c r="D140" s="2" t="s">
        <v>3384</v>
      </c>
      <c r="E140" s="2" t="s">
        <v>3487</v>
      </c>
      <c r="F140" s="2">
        <v>0.70306900000000006</v>
      </c>
      <c r="G140" s="2">
        <v>1.42258</v>
      </c>
      <c r="H140" s="2">
        <v>1.01677</v>
      </c>
      <c r="I140" s="2">
        <v>1</v>
      </c>
      <c r="K140" s="2" t="s">
        <v>1639</v>
      </c>
      <c r="L140" s="2">
        <v>1.0643499999999999</v>
      </c>
    </row>
    <row r="141" spans="1:12" x14ac:dyDescent="0.2">
      <c r="A141" s="2" t="s">
        <v>1636</v>
      </c>
      <c r="B141" s="2" t="s">
        <v>3015</v>
      </c>
      <c r="C141" s="2" t="s">
        <v>3015</v>
      </c>
      <c r="D141" s="2" t="s">
        <v>3384</v>
      </c>
      <c r="E141" s="2" t="s">
        <v>3487</v>
      </c>
      <c r="F141" s="2">
        <v>4.0718699999999997</v>
      </c>
      <c r="G141" s="2">
        <v>1.8041</v>
      </c>
      <c r="H141" s="2">
        <v>-1.17441</v>
      </c>
      <c r="I141" s="2">
        <v>1</v>
      </c>
      <c r="K141" s="2" t="s">
        <v>1818</v>
      </c>
      <c r="L141" s="2">
        <v>1.1089100000000001</v>
      </c>
    </row>
    <row r="142" spans="1:12" x14ac:dyDescent="0.2">
      <c r="A142" s="2" t="s">
        <v>1299</v>
      </c>
      <c r="B142" s="2" t="s">
        <v>3201</v>
      </c>
      <c r="C142" s="2" t="s">
        <v>2216</v>
      </c>
      <c r="D142" s="2" t="s">
        <v>3384</v>
      </c>
      <c r="E142" s="2" t="s">
        <v>3487</v>
      </c>
      <c r="F142" s="2">
        <v>9.6729800000000008</v>
      </c>
      <c r="G142" s="2">
        <v>4.0217799999999997</v>
      </c>
      <c r="H142" s="2">
        <v>-1.26613</v>
      </c>
      <c r="I142" s="2">
        <v>1</v>
      </c>
      <c r="K142" s="2" t="s">
        <v>579</v>
      </c>
      <c r="L142" s="2">
        <v>2.5548700000000002</v>
      </c>
    </row>
    <row r="143" spans="1:12" x14ac:dyDescent="0.2">
      <c r="A143" s="2" t="s">
        <v>1301</v>
      </c>
      <c r="B143" s="2" t="s">
        <v>3193</v>
      </c>
      <c r="C143" s="2" t="s">
        <v>2803</v>
      </c>
      <c r="D143" s="2" t="s">
        <v>3384</v>
      </c>
      <c r="E143" s="2" t="s">
        <v>3487</v>
      </c>
      <c r="F143" s="2">
        <v>6.21685</v>
      </c>
      <c r="G143" s="2">
        <v>2.6338400000000002</v>
      </c>
      <c r="H143" s="2">
        <v>-1.23902</v>
      </c>
      <c r="I143" s="2">
        <v>1</v>
      </c>
      <c r="K143" s="2" t="s">
        <v>581</v>
      </c>
      <c r="L143" s="2">
        <v>2.86978</v>
      </c>
    </row>
    <row r="144" spans="1:12" x14ac:dyDescent="0.2">
      <c r="A144" s="2" t="s">
        <v>573</v>
      </c>
      <c r="B144" s="2" t="s">
        <v>3164</v>
      </c>
      <c r="C144" s="2" t="s">
        <v>2112</v>
      </c>
      <c r="D144" s="2" t="s">
        <v>3384</v>
      </c>
      <c r="E144" s="2" t="s">
        <v>3487</v>
      </c>
      <c r="F144" s="2">
        <v>9.1393500000000003</v>
      </c>
      <c r="G144" s="2">
        <v>22.128499999999999</v>
      </c>
      <c r="H144" s="2">
        <v>1.2757400000000001</v>
      </c>
      <c r="I144" s="2">
        <v>1</v>
      </c>
      <c r="K144" s="2" t="s">
        <v>1306</v>
      </c>
      <c r="L144" s="2">
        <v>1.74651</v>
      </c>
    </row>
    <row r="145" spans="1:12" x14ac:dyDescent="0.2">
      <c r="A145" s="2" t="s">
        <v>1639</v>
      </c>
      <c r="B145" s="2" t="s">
        <v>3025</v>
      </c>
      <c r="C145" s="2" t="s">
        <v>2805</v>
      </c>
      <c r="D145" s="2" t="s">
        <v>3384</v>
      </c>
      <c r="E145" s="2" t="s">
        <v>3487</v>
      </c>
      <c r="F145" s="2">
        <v>0.66335900000000003</v>
      </c>
      <c r="G145" s="2">
        <v>1.38724</v>
      </c>
      <c r="H145" s="2">
        <v>1.0643499999999999</v>
      </c>
      <c r="I145" s="2">
        <v>1</v>
      </c>
      <c r="K145" s="2" t="s">
        <v>1307</v>
      </c>
      <c r="L145" s="2">
        <v>1.5883</v>
      </c>
    </row>
    <row r="146" spans="1:12" x14ac:dyDescent="0.2">
      <c r="A146" s="2" t="s">
        <v>1818</v>
      </c>
      <c r="B146" s="2" t="s">
        <v>3081</v>
      </c>
      <c r="C146" s="2" t="s">
        <v>2994</v>
      </c>
      <c r="D146" s="2" t="s">
        <v>3384</v>
      </c>
      <c r="E146" s="2" t="s">
        <v>3487</v>
      </c>
      <c r="F146" s="2">
        <v>0.68444300000000002</v>
      </c>
      <c r="G146" s="2">
        <v>1.4762200000000001</v>
      </c>
      <c r="H146" s="2">
        <v>1.1089100000000001</v>
      </c>
      <c r="I146" s="2">
        <v>1</v>
      </c>
      <c r="K146" s="2" t="s">
        <v>1640</v>
      </c>
      <c r="L146" s="2">
        <v>1.0611200000000001</v>
      </c>
    </row>
    <row r="147" spans="1:12" x14ac:dyDescent="0.2">
      <c r="A147" s="2" t="s">
        <v>579</v>
      </c>
      <c r="B147" s="2" t="s">
        <v>3341</v>
      </c>
      <c r="C147" s="2" t="s">
        <v>2509</v>
      </c>
      <c r="D147" s="2" t="s">
        <v>3384</v>
      </c>
      <c r="E147" s="2" t="s">
        <v>3487</v>
      </c>
      <c r="F147" s="2">
        <v>0.404387</v>
      </c>
      <c r="G147" s="2">
        <v>2.3762400000000001</v>
      </c>
      <c r="H147" s="2">
        <v>2.5548700000000002</v>
      </c>
      <c r="I147" s="2">
        <v>1</v>
      </c>
      <c r="K147" s="2" t="s">
        <v>587</v>
      </c>
      <c r="L147" s="2">
        <v>-1.0145200000000001</v>
      </c>
    </row>
    <row r="148" spans="1:12" x14ac:dyDescent="0.2">
      <c r="A148" s="2" t="s">
        <v>581</v>
      </c>
      <c r="B148" s="2" t="s">
        <v>3167</v>
      </c>
      <c r="C148" s="2" t="s">
        <v>2117</v>
      </c>
      <c r="D148" s="2" t="s">
        <v>3384</v>
      </c>
      <c r="E148" s="2" t="s">
        <v>3487</v>
      </c>
      <c r="F148" s="2">
        <v>6.3385999999999996</v>
      </c>
      <c r="G148" s="2">
        <v>46.332299999999996</v>
      </c>
      <c r="H148" s="2">
        <v>2.86978</v>
      </c>
      <c r="I148" s="2">
        <v>1</v>
      </c>
      <c r="K148" s="2" t="s">
        <v>1309</v>
      </c>
      <c r="L148" s="2">
        <v>-1.1493800000000001</v>
      </c>
    </row>
    <row r="149" spans="1:12" x14ac:dyDescent="0.2">
      <c r="A149" s="2" t="s">
        <v>1306</v>
      </c>
      <c r="B149" s="2" t="s">
        <v>3015</v>
      </c>
      <c r="C149" s="2" t="s">
        <v>2806</v>
      </c>
      <c r="D149" s="2" t="s">
        <v>3384</v>
      </c>
      <c r="E149" s="2" t="s">
        <v>3487</v>
      </c>
      <c r="F149" s="2">
        <v>0.834148</v>
      </c>
      <c r="G149" s="2">
        <v>2.79895</v>
      </c>
      <c r="H149" s="2">
        <v>1.74651</v>
      </c>
      <c r="I149" s="2">
        <v>1</v>
      </c>
      <c r="K149" s="2" t="s">
        <v>1310</v>
      </c>
      <c r="L149" s="2">
        <v>1.2918400000000001</v>
      </c>
    </row>
    <row r="150" spans="1:12" x14ac:dyDescent="0.2">
      <c r="A150" s="2" t="s">
        <v>1307</v>
      </c>
      <c r="B150" s="2" t="s">
        <v>3336</v>
      </c>
      <c r="C150" s="2" t="s">
        <v>2498</v>
      </c>
      <c r="D150" s="2" t="s">
        <v>3384</v>
      </c>
      <c r="E150" s="2" t="s">
        <v>3487</v>
      </c>
      <c r="F150" s="2">
        <v>19.782</v>
      </c>
      <c r="G150" s="2">
        <v>59.483400000000003</v>
      </c>
      <c r="H150" s="2">
        <v>1.5883</v>
      </c>
      <c r="I150" s="2">
        <v>1</v>
      </c>
      <c r="K150" s="2" t="s">
        <v>1313</v>
      </c>
      <c r="L150" s="2">
        <v>1.2391399999999999</v>
      </c>
    </row>
    <row r="151" spans="1:12" x14ac:dyDescent="0.2">
      <c r="A151" s="2" t="s">
        <v>1640</v>
      </c>
      <c r="B151" s="2" t="s">
        <v>3015</v>
      </c>
      <c r="C151" s="2" t="s">
        <v>3015</v>
      </c>
      <c r="D151" s="2" t="s">
        <v>3384</v>
      </c>
      <c r="E151" s="2" t="s">
        <v>3487</v>
      </c>
      <c r="F151" s="2">
        <v>0.47049099999999999</v>
      </c>
      <c r="G151" s="2">
        <v>0.98170299999999999</v>
      </c>
      <c r="H151" s="2">
        <v>1.0611200000000001</v>
      </c>
      <c r="I151" s="2">
        <v>1</v>
      </c>
      <c r="K151" s="2" t="s">
        <v>605</v>
      </c>
      <c r="L151" s="2">
        <v>1.03024</v>
      </c>
    </row>
    <row r="152" spans="1:12" x14ac:dyDescent="0.2">
      <c r="A152" s="2" t="s">
        <v>587</v>
      </c>
      <c r="B152" s="2" t="s">
        <v>3015</v>
      </c>
      <c r="C152" s="2" t="s">
        <v>3015</v>
      </c>
      <c r="D152" s="2" t="s">
        <v>3384</v>
      </c>
      <c r="E152" s="2" t="s">
        <v>3487</v>
      </c>
      <c r="F152" s="2">
        <v>2.36022</v>
      </c>
      <c r="G152" s="2">
        <v>1.1682900000000001</v>
      </c>
      <c r="H152" s="2">
        <v>-1.0145200000000001</v>
      </c>
      <c r="I152" s="2">
        <v>1</v>
      </c>
      <c r="K152" s="2" t="s">
        <v>1648</v>
      </c>
      <c r="L152" s="2">
        <v>-1.0332399999999999</v>
      </c>
    </row>
    <row r="153" spans="1:12" x14ac:dyDescent="0.2">
      <c r="A153" s="2" t="s">
        <v>1309</v>
      </c>
      <c r="B153" s="2" t="s">
        <v>3032</v>
      </c>
      <c r="C153" s="2" t="s">
        <v>1847</v>
      </c>
      <c r="D153" s="2" t="s">
        <v>3384</v>
      </c>
      <c r="E153" s="2" t="s">
        <v>3487</v>
      </c>
      <c r="F153" s="2">
        <v>1.8674999999999999</v>
      </c>
      <c r="G153" s="2">
        <v>0.84190399999999999</v>
      </c>
      <c r="H153" s="2">
        <v>-1.1493800000000001</v>
      </c>
      <c r="I153" s="2">
        <v>1</v>
      </c>
      <c r="K153" s="2" t="s">
        <v>609</v>
      </c>
      <c r="L153" s="2">
        <v>1.3501099999999999</v>
      </c>
    </row>
    <row r="154" spans="1:12" x14ac:dyDescent="0.2">
      <c r="A154" s="2" t="s">
        <v>1310</v>
      </c>
      <c r="B154" s="2" t="s">
        <v>3015</v>
      </c>
      <c r="C154" s="2" t="s">
        <v>2808</v>
      </c>
      <c r="D154" s="2" t="s">
        <v>3384</v>
      </c>
      <c r="E154" s="2" t="s">
        <v>3487</v>
      </c>
      <c r="F154" s="2">
        <v>6.4358700000000004</v>
      </c>
      <c r="G154" s="2">
        <v>15.7575</v>
      </c>
      <c r="H154" s="2">
        <v>1.2918400000000001</v>
      </c>
      <c r="I154" s="2">
        <v>1</v>
      </c>
      <c r="K154" s="2" t="s">
        <v>1650</v>
      </c>
      <c r="L154" s="2">
        <v>-1.02132</v>
      </c>
    </row>
    <row r="155" spans="1:12" x14ac:dyDescent="0.2">
      <c r="A155" s="2" t="s">
        <v>1313</v>
      </c>
      <c r="B155" s="2" t="s">
        <v>3441</v>
      </c>
      <c r="C155" s="2" t="s">
        <v>3015</v>
      </c>
      <c r="D155" s="2" t="s">
        <v>3384</v>
      </c>
      <c r="E155" s="2" t="s">
        <v>3487</v>
      </c>
      <c r="F155" s="2">
        <v>0.44244800000000001</v>
      </c>
      <c r="G155" s="2">
        <v>1.04444</v>
      </c>
      <c r="H155" s="2">
        <v>1.2391399999999999</v>
      </c>
      <c r="I155" s="2">
        <v>1</v>
      </c>
      <c r="K155" s="2" t="s">
        <v>615</v>
      </c>
      <c r="L155" s="2">
        <v>-1.32518</v>
      </c>
    </row>
    <row r="156" spans="1:12" x14ac:dyDescent="0.2">
      <c r="A156" s="2" t="s">
        <v>1647</v>
      </c>
      <c r="B156" s="2" t="s">
        <v>3015</v>
      </c>
      <c r="C156" s="2" t="s">
        <v>3015</v>
      </c>
      <c r="D156" s="2" t="s">
        <v>3384</v>
      </c>
      <c r="E156" s="2" t="s">
        <v>3487</v>
      </c>
      <c r="F156" s="2">
        <v>0</v>
      </c>
      <c r="G156" s="2">
        <v>3.45485</v>
      </c>
      <c r="H156" s="2" t="s">
        <v>3021</v>
      </c>
      <c r="I156" s="2" t="s">
        <v>3021</v>
      </c>
      <c r="K156" s="2" t="s">
        <v>622</v>
      </c>
      <c r="L156" s="2">
        <v>1.0463899999999999</v>
      </c>
    </row>
    <row r="157" spans="1:12" x14ac:dyDescent="0.2">
      <c r="A157" s="2" t="s">
        <v>605</v>
      </c>
      <c r="B157" s="2" t="s">
        <v>3094</v>
      </c>
      <c r="C157" s="2" t="s">
        <v>2126</v>
      </c>
      <c r="D157" s="2" t="s">
        <v>3384</v>
      </c>
      <c r="E157" s="2" t="s">
        <v>3487</v>
      </c>
      <c r="F157" s="2">
        <v>0.48077900000000001</v>
      </c>
      <c r="G157" s="2">
        <v>0.98192199999999996</v>
      </c>
      <c r="H157" s="2">
        <v>1.03024</v>
      </c>
      <c r="I157" s="2">
        <v>1</v>
      </c>
      <c r="K157" s="2" t="s">
        <v>624</v>
      </c>
      <c r="L157" s="2">
        <v>1.1796199999999999</v>
      </c>
    </row>
    <row r="158" spans="1:12" x14ac:dyDescent="0.2">
      <c r="A158" s="2" t="s">
        <v>1648</v>
      </c>
      <c r="B158" s="2" t="s">
        <v>3015</v>
      </c>
      <c r="C158" s="2" t="s">
        <v>2995</v>
      </c>
      <c r="D158" s="2" t="s">
        <v>3384</v>
      </c>
      <c r="E158" s="2" t="s">
        <v>3487</v>
      </c>
      <c r="F158" s="2">
        <v>3.8275299999999999</v>
      </c>
      <c r="G158" s="2">
        <v>1.87018</v>
      </c>
      <c r="H158" s="2">
        <v>-1.0332399999999999</v>
      </c>
      <c r="I158" s="2">
        <v>1</v>
      </c>
      <c r="K158" s="2" t="s">
        <v>1651</v>
      </c>
      <c r="L158" s="2">
        <v>1.3948799999999999</v>
      </c>
    </row>
    <row r="159" spans="1:12" x14ac:dyDescent="0.2">
      <c r="A159" s="2" t="s">
        <v>609</v>
      </c>
      <c r="B159" s="2" t="s">
        <v>3081</v>
      </c>
      <c r="C159" s="2" t="s">
        <v>1965</v>
      </c>
      <c r="D159" s="2" t="s">
        <v>3384</v>
      </c>
      <c r="E159" s="2" t="s">
        <v>3487</v>
      </c>
      <c r="F159" s="2">
        <v>1.6926300000000001</v>
      </c>
      <c r="G159" s="2">
        <v>4.3150399999999998</v>
      </c>
      <c r="H159" s="2">
        <v>1.3501099999999999</v>
      </c>
      <c r="I159" s="2">
        <v>1</v>
      </c>
      <c r="K159" s="2" t="s">
        <v>1819</v>
      </c>
      <c r="L159" s="2">
        <v>-1.2761100000000001</v>
      </c>
    </row>
    <row r="160" spans="1:12" x14ac:dyDescent="0.2">
      <c r="A160" s="2" t="s">
        <v>1650</v>
      </c>
      <c r="B160" s="2" t="s">
        <v>3166</v>
      </c>
      <c r="C160" s="2" t="s">
        <v>2114</v>
      </c>
      <c r="D160" s="2" t="s">
        <v>3384</v>
      </c>
      <c r="E160" s="2" t="s">
        <v>3487</v>
      </c>
      <c r="F160" s="2">
        <v>1.03796</v>
      </c>
      <c r="G160" s="2">
        <v>0.51136599999999999</v>
      </c>
      <c r="H160" s="2">
        <v>-1.02132</v>
      </c>
      <c r="I160" s="2">
        <v>1</v>
      </c>
      <c r="K160" s="2" t="s">
        <v>630</v>
      </c>
      <c r="L160" s="2">
        <v>2.9573200000000002</v>
      </c>
    </row>
    <row r="161" spans="1:12" x14ac:dyDescent="0.2">
      <c r="A161" s="2" t="s">
        <v>615</v>
      </c>
      <c r="B161" s="2" t="s">
        <v>3100</v>
      </c>
      <c r="C161" s="2" t="s">
        <v>1948</v>
      </c>
      <c r="D161" s="2" t="s">
        <v>3384</v>
      </c>
      <c r="E161" s="2" t="s">
        <v>3487</v>
      </c>
      <c r="F161" s="2">
        <v>1.58294</v>
      </c>
      <c r="G161" s="2">
        <v>0.63175300000000001</v>
      </c>
      <c r="H161" s="2">
        <v>-1.32518</v>
      </c>
      <c r="I161" s="2">
        <v>1</v>
      </c>
      <c r="K161" s="2" t="s">
        <v>1657</v>
      </c>
      <c r="L161" s="2">
        <v>1.2268300000000001</v>
      </c>
    </row>
    <row r="162" spans="1:12" x14ac:dyDescent="0.2">
      <c r="A162" s="2" t="s">
        <v>622</v>
      </c>
      <c r="B162" s="2" t="s">
        <v>3015</v>
      </c>
      <c r="C162" s="2" t="s">
        <v>2818</v>
      </c>
      <c r="D162" s="2" t="s">
        <v>3384</v>
      </c>
      <c r="E162" s="2" t="s">
        <v>3487</v>
      </c>
      <c r="F162" s="2">
        <v>0.59664300000000003</v>
      </c>
      <c r="G162" s="2">
        <v>1.23228</v>
      </c>
      <c r="H162" s="2">
        <v>1.0463899999999999</v>
      </c>
      <c r="I162" s="2">
        <v>1</v>
      </c>
      <c r="K162" s="2" t="s">
        <v>632</v>
      </c>
      <c r="L162" s="2">
        <v>1.0035400000000001</v>
      </c>
    </row>
    <row r="163" spans="1:12" x14ac:dyDescent="0.2">
      <c r="A163" s="2" t="s">
        <v>624</v>
      </c>
      <c r="B163" s="2" t="s">
        <v>3158</v>
      </c>
      <c r="C163" s="2" t="s">
        <v>2520</v>
      </c>
      <c r="D163" s="2" t="s">
        <v>3384</v>
      </c>
      <c r="E163" s="2" t="s">
        <v>3487</v>
      </c>
      <c r="F163" s="2">
        <v>4.3082799999999999</v>
      </c>
      <c r="G163" s="2">
        <v>9.7590000000000003</v>
      </c>
      <c r="H163" s="2">
        <v>1.1796199999999999</v>
      </c>
      <c r="I163" s="2">
        <v>1</v>
      </c>
      <c r="K163" s="2" t="s">
        <v>1662</v>
      </c>
      <c r="L163" s="2">
        <v>1.03816</v>
      </c>
    </row>
    <row r="164" spans="1:12" x14ac:dyDescent="0.2">
      <c r="A164" s="2" t="s">
        <v>1651</v>
      </c>
      <c r="B164" s="2" t="s">
        <v>3158</v>
      </c>
      <c r="C164" s="2" t="s">
        <v>2819</v>
      </c>
      <c r="D164" s="2" t="s">
        <v>3384</v>
      </c>
      <c r="E164" s="2" t="s">
        <v>3487</v>
      </c>
      <c r="F164" s="2">
        <v>1.2241899999999999</v>
      </c>
      <c r="G164" s="2">
        <v>3.21922</v>
      </c>
      <c r="H164" s="2">
        <v>1.3948799999999999</v>
      </c>
      <c r="I164" s="2">
        <v>1</v>
      </c>
      <c r="K164" s="2" t="s">
        <v>1820</v>
      </c>
      <c r="L164" s="2">
        <v>-1.0643499999999999</v>
      </c>
    </row>
    <row r="165" spans="1:12" x14ac:dyDescent="0.2">
      <c r="A165" s="2" t="s">
        <v>1819</v>
      </c>
      <c r="B165" s="2" t="s">
        <v>3310</v>
      </c>
      <c r="C165" s="2" t="s">
        <v>2996</v>
      </c>
      <c r="D165" s="2" t="s">
        <v>3384</v>
      </c>
      <c r="E165" s="2" t="s">
        <v>3487</v>
      </c>
      <c r="F165" s="2">
        <v>1.0426899999999999</v>
      </c>
      <c r="G165" s="2">
        <v>0.43053399999999997</v>
      </c>
      <c r="H165" s="2">
        <v>-1.2761100000000001</v>
      </c>
      <c r="I165" s="2">
        <v>1</v>
      </c>
      <c r="K165" s="2" t="s">
        <v>1665</v>
      </c>
      <c r="L165" s="2">
        <v>-1.74539</v>
      </c>
    </row>
    <row r="166" spans="1:12" x14ac:dyDescent="0.2">
      <c r="A166" s="2" t="s">
        <v>630</v>
      </c>
      <c r="B166" s="2" t="s">
        <v>3179</v>
      </c>
      <c r="C166" s="2" t="s">
        <v>2137</v>
      </c>
      <c r="D166" s="2" t="s">
        <v>3384</v>
      </c>
      <c r="E166" s="2" t="s">
        <v>3487</v>
      </c>
      <c r="F166" s="2">
        <v>1.19113</v>
      </c>
      <c r="G166" s="2">
        <v>9.2512899999999991</v>
      </c>
      <c r="H166" s="2">
        <v>2.9573200000000002</v>
      </c>
      <c r="I166" s="2">
        <v>1</v>
      </c>
      <c r="K166" s="2" t="s">
        <v>1666</v>
      </c>
      <c r="L166" s="2">
        <v>2.43032</v>
      </c>
    </row>
    <row r="167" spans="1:12" x14ac:dyDescent="0.2">
      <c r="A167" s="2" t="s">
        <v>1657</v>
      </c>
      <c r="B167" s="2" t="s">
        <v>3015</v>
      </c>
      <c r="C167" s="2" t="s">
        <v>2825</v>
      </c>
      <c r="D167" s="2" t="s">
        <v>3384</v>
      </c>
      <c r="E167" s="2" t="s">
        <v>3487</v>
      </c>
      <c r="F167" s="2">
        <v>0.95603800000000005</v>
      </c>
      <c r="G167" s="2">
        <v>2.2376200000000002</v>
      </c>
      <c r="H167" s="2">
        <v>1.2268300000000001</v>
      </c>
      <c r="I167" s="2">
        <v>1</v>
      </c>
      <c r="K167" s="2" t="s">
        <v>1668</v>
      </c>
      <c r="L167" s="2">
        <v>1.46628</v>
      </c>
    </row>
    <row r="168" spans="1:12" x14ac:dyDescent="0.2">
      <c r="A168" s="2" t="s">
        <v>632</v>
      </c>
      <c r="B168" s="2" t="s">
        <v>3015</v>
      </c>
      <c r="C168" s="2" t="s">
        <v>3015</v>
      </c>
      <c r="D168" s="2" t="s">
        <v>3384</v>
      </c>
      <c r="E168" s="2" t="s">
        <v>3487</v>
      </c>
      <c r="F168" s="2">
        <v>14.6378</v>
      </c>
      <c r="G168" s="2">
        <v>29.3476</v>
      </c>
      <c r="H168" s="2">
        <v>1.0035400000000001</v>
      </c>
      <c r="I168" s="2">
        <v>1</v>
      </c>
      <c r="K168" s="2" t="s">
        <v>1336</v>
      </c>
      <c r="L168" s="2">
        <v>1.2918499999999999</v>
      </c>
    </row>
    <row r="169" spans="1:12" x14ac:dyDescent="0.2">
      <c r="A169" s="2" t="s">
        <v>1662</v>
      </c>
      <c r="B169" s="2" t="s">
        <v>3038</v>
      </c>
      <c r="C169" s="2" t="s">
        <v>2828</v>
      </c>
      <c r="D169" s="2" t="s">
        <v>3384</v>
      </c>
      <c r="E169" s="2" t="s">
        <v>3487</v>
      </c>
      <c r="F169" s="2">
        <v>1.68712</v>
      </c>
      <c r="G169" s="2">
        <v>3.46469</v>
      </c>
      <c r="H169" s="2">
        <v>1.03816</v>
      </c>
      <c r="I169" s="2">
        <v>1</v>
      </c>
      <c r="K169" s="2" t="s">
        <v>1337</v>
      </c>
      <c r="L169" s="2">
        <v>1.5923400000000001</v>
      </c>
    </row>
    <row r="170" spans="1:12" x14ac:dyDescent="0.2">
      <c r="A170" s="2" t="s">
        <v>1820</v>
      </c>
      <c r="B170" s="2" t="s">
        <v>3015</v>
      </c>
      <c r="C170" s="2" t="s">
        <v>3015</v>
      </c>
      <c r="D170" s="2" t="s">
        <v>3384</v>
      </c>
      <c r="E170" s="2" t="s">
        <v>3487</v>
      </c>
      <c r="F170" s="2">
        <v>2.03261</v>
      </c>
      <c r="G170" s="2">
        <v>0.97197199999999995</v>
      </c>
      <c r="H170" s="2">
        <v>-1.0643499999999999</v>
      </c>
      <c r="I170" s="2">
        <v>1</v>
      </c>
      <c r="K170" s="2" t="s">
        <v>1821</v>
      </c>
      <c r="L170" s="2">
        <v>1.1045400000000001</v>
      </c>
    </row>
    <row r="171" spans="1:12" x14ac:dyDescent="0.2">
      <c r="A171" s="2" t="s">
        <v>1665</v>
      </c>
      <c r="B171" s="2" t="s">
        <v>3062</v>
      </c>
      <c r="C171" s="2" t="s">
        <v>2997</v>
      </c>
      <c r="D171" s="2" t="s">
        <v>3384</v>
      </c>
      <c r="E171" s="2" t="s">
        <v>3487</v>
      </c>
      <c r="F171" s="2">
        <v>1.8363700000000001</v>
      </c>
      <c r="G171" s="2">
        <v>0.54770200000000002</v>
      </c>
      <c r="H171" s="2">
        <v>-1.74539</v>
      </c>
      <c r="I171" s="2">
        <v>1</v>
      </c>
      <c r="K171" s="2" t="s">
        <v>661</v>
      </c>
      <c r="L171" s="2">
        <v>1.96027</v>
      </c>
    </row>
    <row r="172" spans="1:12" x14ac:dyDescent="0.2">
      <c r="A172" s="2" t="s">
        <v>1666</v>
      </c>
      <c r="B172" s="2" t="s">
        <v>3031</v>
      </c>
      <c r="C172" s="2" t="s">
        <v>2831</v>
      </c>
      <c r="D172" s="2" t="s">
        <v>3384</v>
      </c>
      <c r="E172" s="2" t="s">
        <v>3487</v>
      </c>
      <c r="F172" s="2">
        <v>0.30907800000000002</v>
      </c>
      <c r="G172" s="2">
        <v>1.66597</v>
      </c>
      <c r="H172" s="2">
        <v>2.43032</v>
      </c>
      <c r="I172" s="2">
        <v>1</v>
      </c>
      <c r="K172" s="2" t="s">
        <v>668</v>
      </c>
      <c r="L172" s="2">
        <v>1.0083</v>
      </c>
    </row>
    <row r="173" spans="1:12" x14ac:dyDescent="0.2">
      <c r="A173" s="2" t="s">
        <v>1668</v>
      </c>
      <c r="B173" s="2" t="s">
        <v>3490</v>
      </c>
      <c r="C173" s="2" t="s">
        <v>2998</v>
      </c>
      <c r="D173" s="2" t="s">
        <v>3384</v>
      </c>
      <c r="E173" s="2" t="s">
        <v>3487</v>
      </c>
      <c r="F173" s="2">
        <v>1.29216</v>
      </c>
      <c r="G173" s="2">
        <v>3.5703499999999999</v>
      </c>
      <c r="H173" s="2">
        <v>1.46628</v>
      </c>
      <c r="I173" s="2">
        <v>1</v>
      </c>
      <c r="K173" s="2" t="s">
        <v>1673</v>
      </c>
      <c r="L173" s="2">
        <v>-1.0066299999999999</v>
      </c>
    </row>
    <row r="174" spans="1:12" x14ac:dyDescent="0.2">
      <c r="A174" s="2" t="s">
        <v>1336</v>
      </c>
      <c r="B174" s="2" t="s">
        <v>3015</v>
      </c>
      <c r="C174" s="2" t="s">
        <v>2999</v>
      </c>
      <c r="D174" s="2" t="s">
        <v>3384</v>
      </c>
      <c r="E174" s="2" t="s">
        <v>3487</v>
      </c>
      <c r="F174" s="2">
        <v>7.7910300000000001</v>
      </c>
      <c r="G174" s="2">
        <v>19.075800000000001</v>
      </c>
      <c r="H174" s="2">
        <v>1.2918499999999999</v>
      </c>
      <c r="I174" s="2">
        <v>1</v>
      </c>
      <c r="K174" s="2" t="s">
        <v>678</v>
      </c>
      <c r="L174" s="2">
        <v>-1.2042600000000001</v>
      </c>
    </row>
    <row r="175" spans="1:12" x14ac:dyDescent="0.2">
      <c r="A175" s="2" t="s">
        <v>1337</v>
      </c>
      <c r="B175" s="2" t="s">
        <v>3015</v>
      </c>
      <c r="C175" s="2" t="s">
        <v>2531</v>
      </c>
      <c r="D175" s="2" t="s">
        <v>3384</v>
      </c>
      <c r="E175" s="2" t="s">
        <v>3487</v>
      </c>
      <c r="F175" s="2">
        <v>0.282559</v>
      </c>
      <c r="G175" s="2">
        <v>0.85202299999999997</v>
      </c>
      <c r="H175" s="2">
        <v>1.5923400000000001</v>
      </c>
      <c r="I175" s="2">
        <v>1</v>
      </c>
      <c r="K175" s="2" t="s">
        <v>1674</v>
      </c>
      <c r="L175" s="2">
        <v>-1.5019800000000001</v>
      </c>
    </row>
    <row r="176" spans="1:12" x14ac:dyDescent="0.2">
      <c r="A176" s="2" t="s">
        <v>1821</v>
      </c>
      <c r="B176" s="2" t="s">
        <v>3015</v>
      </c>
      <c r="C176" s="2" t="s">
        <v>3000</v>
      </c>
      <c r="D176" s="2" t="s">
        <v>3384</v>
      </c>
      <c r="E176" s="2" t="s">
        <v>3487</v>
      </c>
      <c r="F176" s="2">
        <v>1.5299199999999999</v>
      </c>
      <c r="G176" s="2">
        <v>3.2897799999999999</v>
      </c>
      <c r="H176" s="2">
        <v>1.1045400000000001</v>
      </c>
      <c r="I176" s="2">
        <v>1</v>
      </c>
      <c r="K176" s="2" t="s">
        <v>681</v>
      </c>
      <c r="L176" s="2">
        <v>1.0670299999999999</v>
      </c>
    </row>
    <row r="177" spans="1:12" x14ac:dyDescent="0.2">
      <c r="A177" s="2" t="s">
        <v>661</v>
      </c>
      <c r="B177" s="2" t="s">
        <v>3015</v>
      </c>
      <c r="C177" s="2" t="s">
        <v>2834</v>
      </c>
      <c r="D177" s="2" t="s">
        <v>3384</v>
      </c>
      <c r="E177" s="2" t="s">
        <v>3487</v>
      </c>
      <c r="F177" s="2">
        <v>14.642799999999999</v>
      </c>
      <c r="G177" s="2">
        <v>56.98</v>
      </c>
      <c r="H177" s="2">
        <v>1.96027</v>
      </c>
      <c r="I177" s="2">
        <v>1</v>
      </c>
      <c r="K177" s="2" t="s">
        <v>1822</v>
      </c>
      <c r="L177" s="2">
        <v>-1.2761400000000001</v>
      </c>
    </row>
    <row r="178" spans="1:12" x14ac:dyDescent="0.2">
      <c r="A178" s="2" t="s">
        <v>668</v>
      </c>
      <c r="B178" s="2" t="s">
        <v>3015</v>
      </c>
      <c r="C178" s="2" t="s">
        <v>3015</v>
      </c>
      <c r="D178" s="2" t="s">
        <v>3384</v>
      </c>
      <c r="E178" s="2" t="s">
        <v>3487</v>
      </c>
      <c r="F178" s="2">
        <v>1.1084499999999999</v>
      </c>
      <c r="G178" s="2">
        <v>2.2296900000000002</v>
      </c>
      <c r="H178" s="2">
        <v>1.0083</v>
      </c>
      <c r="I178" s="2">
        <v>1</v>
      </c>
      <c r="K178" s="2" t="s">
        <v>1349</v>
      </c>
      <c r="L178" s="2">
        <v>1.59924</v>
      </c>
    </row>
    <row r="179" spans="1:12" x14ac:dyDescent="0.2">
      <c r="A179" s="2" t="s">
        <v>1673</v>
      </c>
      <c r="B179" s="2" t="s">
        <v>3201</v>
      </c>
      <c r="C179" s="2" t="s">
        <v>2216</v>
      </c>
      <c r="D179" s="2" t="s">
        <v>3384</v>
      </c>
      <c r="E179" s="2" t="s">
        <v>3487</v>
      </c>
      <c r="F179" s="2">
        <v>2.08229</v>
      </c>
      <c r="G179" s="2">
        <v>1.03637</v>
      </c>
      <c r="H179" s="2">
        <v>-1.0066299999999999</v>
      </c>
      <c r="I179" s="2">
        <v>1</v>
      </c>
      <c r="K179" s="2" t="s">
        <v>1677</v>
      </c>
      <c r="L179" s="2">
        <v>1.08447</v>
      </c>
    </row>
    <row r="180" spans="1:12" x14ac:dyDescent="0.2">
      <c r="A180" s="2" t="s">
        <v>678</v>
      </c>
      <c r="B180" s="2" t="s">
        <v>3015</v>
      </c>
      <c r="C180" s="2" t="s">
        <v>3015</v>
      </c>
      <c r="D180" s="2" t="s">
        <v>3384</v>
      </c>
      <c r="E180" s="2" t="s">
        <v>3487</v>
      </c>
      <c r="F180" s="2">
        <v>12.1343</v>
      </c>
      <c r="G180" s="2">
        <v>5.2662000000000004</v>
      </c>
      <c r="H180" s="2">
        <v>-1.2042600000000001</v>
      </c>
      <c r="I180" s="2">
        <v>1</v>
      </c>
      <c r="K180" s="2" t="s">
        <v>1681</v>
      </c>
      <c r="L180" s="2">
        <v>1.22302</v>
      </c>
    </row>
    <row r="181" spans="1:12" x14ac:dyDescent="0.2">
      <c r="A181" s="2" t="s">
        <v>1674</v>
      </c>
      <c r="B181" s="2" t="s">
        <v>3015</v>
      </c>
      <c r="C181" s="2" t="s">
        <v>1862</v>
      </c>
      <c r="D181" s="2" t="s">
        <v>3384</v>
      </c>
      <c r="E181" s="2" t="s">
        <v>3487</v>
      </c>
      <c r="F181" s="2">
        <v>0.91466199999999998</v>
      </c>
      <c r="G181" s="2">
        <v>0.32293699999999997</v>
      </c>
      <c r="H181" s="2">
        <v>-1.5019800000000001</v>
      </c>
      <c r="I181" s="2">
        <v>1</v>
      </c>
      <c r="K181" s="2" t="s">
        <v>1682</v>
      </c>
      <c r="L181" s="2">
        <v>-1.09222</v>
      </c>
    </row>
    <row r="182" spans="1:12" x14ac:dyDescent="0.2">
      <c r="A182" s="2" t="s">
        <v>681</v>
      </c>
      <c r="B182" s="2" t="s">
        <v>3015</v>
      </c>
      <c r="C182" s="2" t="s">
        <v>3015</v>
      </c>
      <c r="D182" s="2" t="s">
        <v>3384</v>
      </c>
      <c r="E182" s="2" t="s">
        <v>3487</v>
      </c>
      <c r="F182" s="2">
        <v>0.92162699999999997</v>
      </c>
      <c r="G182" s="2">
        <v>1.93092</v>
      </c>
      <c r="H182" s="2">
        <v>1.0670299999999999</v>
      </c>
      <c r="I182" s="2">
        <v>1</v>
      </c>
      <c r="K182" s="2" t="s">
        <v>1683</v>
      </c>
      <c r="L182" s="2">
        <v>1.16917</v>
      </c>
    </row>
    <row r="183" spans="1:12" x14ac:dyDescent="0.2">
      <c r="A183" s="2" t="s">
        <v>1822</v>
      </c>
      <c r="B183" s="2" t="s">
        <v>3015</v>
      </c>
      <c r="C183" s="2" t="s">
        <v>3001</v>
      </c>
      <c r="D183" s="2" t="s">
        <v>3384</v>
      </c>
      <c r="E183" s="2" t="s">
        <v>3487</v>
      </c>
      <c r="F183" s="2">
        <v>1.13879</v>
      </c>
      <c r="G183" s="2">
        <v>0.47020699999999999</v>
      </c>
      <c r="H183" s="2">
        <v>-1.2761400000000001</v>
      </c>
      <c r="I183" s="2">
        <v>1</v>
      </c>
      <c r="K183" s="2" t="s">
        <v>1351</v>
      </c>
      <c r="L183" s="2">
        <v>2.4313600000000002</v>
      </c>
    </row>
    <row r="184" spans="1:12" x14ac:dyDescent="0.2">
      <c r="A184" s="2" t="s">
        <v>1823</v>
      </c>
      <c r="B184" s="2" t="s">
        <v>3015</v>
      </c>
      <c r="C184" s="2" t="s">
        <v>3015</v>
      </c>
      <c r="D184" s="2" t="s">
        <v>3384</v>
      </c>
      <c r="E184" s="2" t="s">
        <v>3487</v>
      </c>
      <c r="F184" s="2">
        <v>0</v>
      </c>
      <c r="G184" s="2">
        <v>1.5044999999999999</v>
      </c>
      <c r="H184" s="2" t="s">
        <v>3021</v>
      </c>
      <c r="I184" s="2" t="s">
        <v>3021</v>
      </c>
      <c r="K184" s="2" t="s">
        <v>704</v>
      </c>
      <c r="L184" s="2">
        <v>-1.16039</v>
      </c>
    </row>
    <row r="185" spans="1:12" x14ac:dyDescent="0.2">
      <c r="A185" s="2" t="s">
        <v>1349</v>
      </c>
      <c r="B185" s="2" t="s">
        <v>3015</v>
      </c>
      <c r="C185" s="2" t="s">
        <v>3015</v>
      </c>
      <c r="D185" s="2" t="s">
        <v>3384</v>
      </c>
      <c r="E185" s="2" t="s">
        <v>3487</v>
      </c>
      <c r="F185" s="2">
        <v>1.50885</v>
      </c>
      <c r="G185" s="2">
        <v>4.5715399999999997</v>
      </c>
      <c r="H185" s="2">
        <v>1.59924</v>
      </c>
      <c r="I185" s="2">
        <v>1</v>
      </c>
      <c r="K185" s="2" t="s">
        <v>1355</v>
      </c>
      <c r="L185" s="2">
        <v>-1.0005599999999999</v>
      </c>
    </row>
    <row r="186" spans="1:12" x14ac:dyDescent="0.2">
      <c r="A186" s="2" t="s">
        <v>1677</v>
      </c>
      <c r="B186" s="2" t="s">
        <v>3015</v>
      </c>
      <c r="C186" s="2" t="s">
        <v>2844</v>
      </c>
      <c r="D186" s="2" t="s">
        <v>3384</v>
      </c>
      <c r="E186" s="2" t="s">
        <v>3487</v>
      </c>
      <c r="F186" s="2">
        <v>0.435002</v>
      </c>
      <c r="G186" s="2">
        <v>0.92246399999999995</v>
      </c>
      <c r="H186" s="2">
        <v>1.08447</v>
      </c>
      <c r="I186" s="2">
        <v>1</v>
      </c>
      <c r="K186" s="2" t="s">
        <v>707</v>
      </c>
      <c r="L186" s="2">
        <v>1.2216199999999999</v>
      </c>
    </row>
    <row r="187" spans="1:12" x14ac:dyDescent="0.2">
      <c r="A187" s="2" t="s">
        <v>1681</v>
      </c>
      <c r="B187" s="2" t="s">
        <v>3453</v>
      </c>
      <c r="C187" s="2" t="s">
        <v>2847</v>
      </c>
      <c r="D187" s="2" t="s">
        <v>3384</v>
      </c>
      <c r="E187" s="2" t="s">
        <v>3487</v>
      </c>
      <c r="F187" s="2">
        <v>0.37701000000000001</v>
      </c>
      <c r="G187" s="2">
        <v>0.88007500000000005</v>
      </c>
      <c r="H187" s="2">
        <v>1.22302</v>
      </c>
      <c r="I187" s="2">
        <v>1</v>
      </c>
      <c r="K187" s="2" t="s">
        <v>1686</v>
      </c>
      <c r="L187" s="2">
        <v>-1.21149</v>
      </c>
    </row>
    <row r="188" spans="1:12" x14ac:dyDescent="0.2">
      <c r="A188" s="2" t="s">
        <v>1682</v>
      </c>
      <c r="B188" s="2" t="s">
        <v>3015</v>
      </c>
      <c r="C188" s="2" t="s">
        <v>2848</v>
      </c>
      <c r="D188" s="2" t="s">
        <v>3384</v>
      </c>
      <c r="E188" s="2" t="s">
        <v>3487</v>
      </c>
      <c r="F188" s="2">
        <v>1.9821200000000001</v>
      </c>
      <c r="G188" s="2">
        <v>0.92969100000000005</v>
      </c>
      <c r="H188" s="2">
        <v>-1.09222</v>
      </c>
      <c r="I188" s="2">
        <v>1</v>
      </c>
      <c r="K188" s="2" t="s">
        <v>716</v>
      </c>
      <c r="L188" s="2">
        <v>1.0773999999999999</v>
      </c>
    </row>
    <row r="189" spans="1:12" x14ac:dyDescent="0.2">
      <c r="A189" s="2" t="s">
        <v>1683</v>
      </c>
      <c r="B189" s="2" t="s">
        <v>3454</v>
      </c>
      <c r="C189" s="2" t="s">
        <v>2849</v>
      </c>
      <c r="D189" s="2" t="s">
        <v>3384</v>
      </c>
      <c r="E189" s="2" t="s">
        <v>3487</v>
      </c>
      <c r="F189" s="2">
        <v>0.38610899999999998</v>
      </c>
      <c r="G189" s="2">
        <v>0.86829100000000004</v>
      </c>
      <c r="H189" s="2">
        <v>1.16917</v>
      </c>
      <c r="I189" s="2">
        <v>1</v>
      </c>
      <c r="K189" s="2" t="s">
        <v>1362</v>
      </c>
      <c r="L189" s="2">
        <v>2.8371599999999999</v>
      </c>
    </row>
    <row r="190" spans="1:12" x14ac:dyDescent="0.2">
      <c r="A190" s="2" t="s">
        <v>1351</v>
      </c>
      <c r="B190" s="2" t="s">
        <v>3031</v>
      </c>
      <c r="C190" s="2" t="s">
        <v>2831</v>
      </c>
      <c r="D190" s="2" t="s">
        <v>3384</v>
      </c>
      <c r="E190" s="2" t="s">
        <v>3487</v>
      </c>
      <c r="F190" s="2">
        <v>1.4604900000000001</v>
      </c>
      <c r="G190" s="2">
        <v>7.8779199999999996</v>
      </c>
      <c r="H190" s="2">
        <v>2.4313600000000002</v>
      </c>
      <c r="I190" s="2">
        <v>1</v>
      </c>
      <c r="K190" s="2" t="s">
        <v>722</v>
      </c>
      <c r="L190" s="2">
        <v>1.44136</v>
      </c>
    </row>
    <row r="191" spans="1:12" x14ac:dyDescent="0.2">
      <c r="A191" s="2" t="s">
        <v>704</v>
      </c>
      <c r="B191" s="2" t="s">
        <v>3015</v>
      </c>
      <c r="C191" s="2" t="s">
        <v>2853</v>
      </c>
      <c r="D191" s="2" t="s">
        <v>3384</v>
      </c>
      <c r="E191" s="2" t="s">
        <v>3487</v>
      </c>
      <c r="F191" s="2">
        <v>3.5814599999999999</v>
      </c>
      <c r="G191" s="2">
        <v>1.6023099999999999</v>
      </c>
      <c r="H191" s="2">
        <v>-1.16039</v>
      </c>
      <c r="I191" s="2">
        <v>1</v>
      </c>
      <c r="K191" s="2" t="s">
        <v>1363</v>
      </c>
      <c r="L191" s="2">
        <v>1.4465600000000001</v>
      </c>
    </row>
    <row r="192" spans="1:12" x14ac:dyDescent="0.2">
      <c r="A192" s="2" t="s">
        <v>1355</v>
      </c>
      <c r="B192" s="2" t="s">
        <v>3030</v>
      </c>
      <c r="C192" s="2" t="s">
        <v>3015</v>
      </c>
      <c r="D192" s="2" t="s">
        <v>3384</v>
      </c>
      <c r="E192" s="2" t="s">
        <v>3487</v>
      </c>
      <c r="F192" s="2">
        <v>3.26736</v>
      </c>
      <c r="G192" s="2">
        <v>1.6330499999999999</v>
      </c>
      <c r="H192" s="2">
        <v>-1.0005599999999999</v>
      </c>
      <c r="I192" s="2">
        <v>1</v>
      </c>
      <c r="K192" s="2" t="s">
        <v>724</v>
      </c>
      <c r="L192" s="2">
        <v>1.01302</v>
      </c>
    </row>
    <row r="193" spans="1:12" x14ac:dyDescent="0.2">
      <c r="A193" s="2" t="s">
        <v>707</v>
      </c>
      <c r="B193" s="2" t="s">
        <v>3015</v>
      </c>
      <c r="C193" s="2" t="s">
        <v>2171</v>
      </c>
      <c r="D193" s="2" t="s">
        <v>3384</v>
      </c>
      <c r="E193" s="2" t="s">
        <v>3487</v>
      </c>
      <c r="F193" s="2">
        <v>8.9064399999999999</v>
      </c>
      <c r="G193" s="2">
        <v>20.770600000000002</v>
      </c>
      <c r="H193" s="2">
        <v>1.2216199999999999</v>
      </c>
      <c r="I193" s="2">
        <v>1</v>
      </c>
      <c r="K193" s="2" t="s">
        <v>726</v>
      </c>
      <c r="L193" s="2">
        <v>2.4241600000000001</v>
      </c>
    </row>
    <row r="194" spans="1:12" x14ac:dyDescent="0.2">
      <c r="A194" s="2" t="s">
        <v>1686</v>
      </c>
      <c r="B194" s="2" t="s">
        <v>3049</v>
      </c>
      <c r="C194" s="2" t="s">
        <v>2855</v>
      </c>
      <c r="D194" s="2" t="s">
        <v>3384</v>
      </c>
      <c r="E194" s="2" t="s">
        <v>3487</v>
      </c>
      <c r="F194" s="2">
        <v>1.0301499999999999</v>
      </c>
      <c r="G194" s="2">
        <v>0.44484200000000002</v>
      </c>
      <c r="H194" s="2">
        <v>-1.21149</v>
      </c>
      <c r="I194" s="2">
        <v>1</v>
      </c>
      <c r="K194" s="2" t="s">
        <v>727</v>
      </c>
      <c r="L194" s="2">
        <v>-1.0337000000000001</v>
      </c>
    </row>
    <row r="195" spans="1:12" x14ac:dyDescent="0.2">
      <c r="A195" s="2" t="s">
        <v>716</v>
      </c>
      <c r="B195" s="2" t="s">
        <v>3083</v>
      </c>
      <c r="C195" s="2" t="s">
        <v>2546</v>
      </c>
      <c r="D195" s="2" t="s">
        <v>3384</v>
      </c>
      <c r="E195" s="2" t="s">
        <v>3487</v>
      </c>
      <c r="F195" s="2">
        <v>5.02677</v>
      </c>
      <c r="G195" s="2">
        <v>10.6076</v>
      </c>
      <c r="H195" s="2">
        <v>1.0773999999999999</v>
      </c>
      <c r="I195" s="2">
        <v>1</v>
      </c>
      <c r="K195" s="2" t="s">
        <v>1693</v>
      </c>
      <c r="L195" s="2">
        <v>-2.0057499999999999</v>
      </c>
    </row>
    <row r="196" spans="1:12" x14ac:dyDescent="0.2">
      <c r="A196" s="2" t="s">
        <v>1362</v>
      </c>
      <c r="B196" s="2" t="s">
        <v>3353</v>
      </c>
      <c r="C196" s="2" t="s">
        <v>2548</v>
      </c>
      <c r="D196" s="2" t="s">
        <v>3384</v>
      </c>
      <c r="E196" s="2" t="s">
        <v>3487</v>
      </c>
      <c r="F196" s="2">
        <v>0.39604699999999998</v>
      </c>
      <c r="G196" s="2">
        <v>2.83019</v>
      </c>
      <c r="H196" s="2">
        <v>2.8371599999999999</v>
      </c>
      <c r="I196" s="2">
        <v>1</v>
      </c>
      <c r="K196" s="2" t="s">
        <v>1368</v>
      </c>
      <c r="L196" s="2">
        <v>-1.4624299999999999</v>
      </c>
    </row>
    <row r="197" spans="1:12" x14ac:dyDescent="0.2">
      <c r="A197" s="2" t="s">
        <v>722</v>
      </c>
      <c r="B197" s="2" t="s">
        <v>3015</v>
      </c>
      <c r="C197" s="2" t="s">
        <v>3015</v>
      </c>
      <c r="D197" s="2" t="s">
        <v>3384</v>
      </c>
      <c r="E197" s="2" t="s">
        <v>3487</v>
      </c>
      <c r="F197" s="2">
        <v>1.2039800000000001</v>
      </c>
      <c r="G197" s="2">
        <v>3.2697400000000001</v>
      </c>
      <c r="H197" s="2">
        <v>1.44136</v>
      </c>
      <c r="I197" s="2">
        <v>1</v>
      </c>
      <c r="K197" s="2" t="s">
        <v>734</v>
      </c>
      <c r="L197" s="2">
        <v>-1.49366</v>
      </c>
    </row>
    <row r="198" spans="1:12" x14ac:dyDescent="0.2">
      <c r="A198" s="2" t="s">
        <v>1363</v>
      </c>
      <c r="B198" s="2" t="s">
        <v>3201</v>
      </c>
      <c r="C198" s="2" t="s">
        <v>2860</v>
      </c>
      <c r="D198" s="2" t="s">
        <v>3384</v>
      </c>
      <c r="E198" s="2" t="s">
        <v>3487</v>
      </c>
      <c r="F198" s="2">
        <v>1.9721599999999999</v>
      </c>
      <c r="G198" s="2">
        <v>5.3752800000000001</v>
      </c>
      <c r="H198" s="2">
        <v>1.4465600000000001</v>
      </c>
      <c r="I198" s="2">
        <v>1</v>
      </c>
      <c r="K198" s="2" t="s">
        <v>735</v>
      </c>
      <c r="L198" s="2">
        <v>-1.54617</v>
      </c>
    </row>
    <row r="199" spans="1:12" x14ac:dyDescent="0.2">
      <c r="A199" s="2" t="s">
        <v>724</v>
      </c>
      <c r="B199" s="2" t="s">
        <v>3037</v>
      </c>
      <c r="C199" s="2" t="s">
        <v>2180</v>
      </c>
      <c r="D199" s="2" t="s">
        <v>3384</v>
      </c>
      <c r="E199" s="2" t="s">
        <v>3487</v>
      </c>
      <c r="F199" s="2">
        <v>0.78131499999999998</v>
      </c>
      <c r="G199" s="2">
        <v>1.5768</v>
      </c>
      <c r="H199" s="2">
        <v>1.01302</v>
      </c>
      <c r="I199" s="2">
        <v>1</v>
      </c>
      <c r="K199" s="2" t="s">
        <v>738</v>
      </c>
      <c r="L199" s="2">
        <v>1.68957</v>
      </c>
    </row>
    <row r="200" spans="1:12" x14ac:dyDescent="0.2">
      <c r="A200" s="2" t="s">
        <v>726</v>
      </c>
      <c r="B200" s="2" t="s">
        <v>3491</v>
      </c>
      <c r="C200" s="2" t="s">
        <v>1938</v>
      </c>
      <c r="D200" s="2" t="s">
        <v>3384</v>
      </c>
      <c r="E200" s="2" t="s">
        <v>3487</v>
      </c>
      <c r="F200" s="2">
        <v>0.20066000000000001</v>
      </c>
      <c r="G200" s="2">
        <v>1.07697</v>
      </c>
      <c r="H200" s="2">
        <v>2.4241600000000001</v>
      </c>
      <c r="I200" s="2">
        <v>1</v>
      </c>
      <c r="K200" s="2" t="s">
        <v>742</v>
      </c>
      <c r="L200" s="2">
        <v>1.04338</v>
      </c>
    </row>
    <row r="201" spans="1:12" x14ac:dyDescent="0.2">
      <c r="A201" s="2" t="s">
        <v>727</v>
      </c>
      <c r="B201" s="2" t="s">
        <v>3015</v>
      </c>
      <c r="C201" s="2" t="s">
        <v>1862</v>
      </c>
      <c r="D201" s="2" t="s">
        <v>3384</v>
      </c>
      <c r="E201" s="2" t="s">
        <v>3487</v>
      </c>
      <c r="F201" s="2">
        <v>271.16199999999998</v>
      </c>
      <c r="G201" s="2">
        <v>132.45099999999999</v>
      </c>
      <c r="H201" s="2">
        <v>-1.0337000000000001</v>
      </c>
      <c r="I201" s="2">
        <v>1</v>
      </c>
      <c r="K201" s="2" t="s">
        <v>744</v>
      </c>
      <c r="L201" s="2">
        <v>1.0893699999999999</v>
      </c>
    </row>
    <row r="202" spans="1:12" x14ac:dyDescent="0.2">
      <c r="A202" s="2" t="s">
        <v>1693</v>
      </c>
      <c r="B202" s="2" t="s">
        <v>3030</v>
      </c>
      <c r="C202" s="2" t="s">
        <v>3015</v>
      </c>
      <c r="D202" s="2" t="s">
        <v>3384</v>
      </c>
      <c r="E202" s="2" t="s">
        <v>3487</v>
      </c>
      <c r="F202" s="2">
        <v>1.78399</v>
      </c>
      <c r="G202" s="2">
        <v>0.44422299999999998</v>
      </c>
      <c r="H202" s="2">
        <v>-2.0057499999999999</v>
      </c>
      <c r="I202" s="2">
        <v>1</v>
      </c>
      <c r="K202" s="2" t="s">
        <v>1377</v>
      </c>
      <c r="L202" s="2">
        <v>1.08023</v>
      </c>
    </row>
    <row r="203" spans="1:12" x14ac:dyDescent="0.2">
      <c r="A203" s="2" t="s">
        <v>1368</v>
      </c>
      <c r="B203" s="2" t="s">
        <v>3015</v>
      </c>
      <c r="C203" s="2" t="s">
        <v>1847</v>
      </c>
      <c r="D203" s="2" t="s">
        <v>3384</v>
      </c>
      <c r="E203" s="2" t="s">
        <v>3487</v>
      </c>
      <c r="F203" s="2">
        <v>5.4162600000000003</v>
      </c>
      <c r="G203" s="2">
        <v>1.96546</v>
      </c>
      <c r="H203" s="2">
        <v>-1.4624299999999999</v>
      </c>
      <c r="I203" s="2">
        <v>1</v>
      </c>
      <c r="K203" s="2" t="s">
        <v>1824</v>
      </c>
      <c r="L203" s="2">
        <v>1.0073300000000001</v>
      </c>
    </row>
    <row r="204" spans="1:12" x14ac:dyDescent="0.2">
      <c r="A204" s="2" t="s">
        <v>734</v>
      </c>
      <c r="B204" s="2" t="s">
        <v>3081</v>
      </c>
      <c r="C204" s="2" t="s">
        <v>2489</v>
      </c>
      <c r="D204" s="2" t="s">
        <v>3384</v>
      </c>
      <c r="E204" s="2" t="s">
        <v>3487</v>
      </c>
      <c r="F204" s="2">
        <v>52.354300000000002</v>
      </c>
      <c r="G204" s="2">
        <v>18.5915</v>
      </c>
      <c r="H204" s="2">
        <v>-1.49366</v>
      </c>
      <c r="I204" s="2">
        <v>1</v>
      </c>
      <c r="K204" s="2" t="s">
        <v>1381</v>
      </c>
      <c r="L204" s="2">
        <v>1.54844</v>
      </c>
    </row>
    <row r="205" spans="1:12" x14ac:dyDescent="0.2">
      <c r="A205" s="2" t="s">
        <v>735</v>
      </c>
      <c r="B205" s="2" t="s">
        <v>3171</v>
      </c>
      <c r="C205" s="2" t="s">
        <v>2123</v>
      </c>
      <c r="D205" s="2" t="s">
        <v>3384</v>
      </c>
      <c r="E205" s="2" t="s">
        <v>3487</v>
      </c>
      <c r="F205" s="2">
        <v>3.6709499999999999</v>
      </c>
      <c r="G205" s="2">
        <v>1.2569999999999999</v>
      </c>
      <c r="H205" s="2">
        <v>-1.54617</v>
      </c>
      <c r="I205" s="2">
        <v>1</v>
      </c>
      <c r="K205" s="2" t="s">
        <v>1825</v>
      </c>
      <c r="L205" s="2">
        <v>1.2219599999999999</v>
      </c>
    </row>
    <row r="206" spans="1:12" x14ac:dyDescent="0.2">
      <c r="A206" s="2" t="s">
        <v>738</v>
      </c>
      <c r="B206" s="2" t="s">
        <v>3015</v>
      </c>
      <c r="C206" s="2" t="s">
        <v>1847</v>
      </c>
      <c r="D206" s="2" t="s">
        <v>3384</v>
      </c>
      <c r="E206" s="2" t="s">
        <v>3487</v>
      </c>
      <c r="F206" s="2">
        <v>0.96927700000000006</v>
      </c>
      <c r="G206" s="2">
        <v>3.1265000000000001</v>
      </c>
      <c r="H206" s="2">
        <v>1.68957</v>
      </c>
      <c r="I206" s="2">
        <v>1</v>
      </c>
      <c r="K206" s="2" t="s">
        <v>1706</v>
      </c>
      <c r="L206" s="2">
        <v>-1.1406799999999999</v>
      </c>
    </row>
    <row r="207" spans="1:12" x14ac:dyDescent="0.2">
      <c r="A207" s="2" t="s">
        <v>742</v>
      </c>
      <c r="B207" s="2" t="s">
        <v>3058</v>
      </c>
      <c r="C207" s="2" t="s">
        <v>2185</v>
      </c>
      <c r="D207" s="2" t="s">
        <v>3384</v>
      </c>
      <c r="E207" s="2" t="s">
        <v>3487</v>
      </c>
      <c r="F207" s="2">
        <v>0.49836200000000003</v>
      </c>
      <c r="G207" s="2">
        <v>1.02715</v>
      </c>
      <c r="H207" s="2">
        <v>1.04338</v>
      </c>
      <c r="I207" s="2">
        <v>1</v>
      </c>
      <c r="K207" s="2" t="s">
        <v>753</v>
      </c>
      <c r="L207" s="2">
        <v>-1.3393299999999999</v>
      </c>
    </row>
    <row r="208" spans="1:12" x14ac:dyDescent="0.2">
      <c r="A208" s="2" t="s">
        <v>744</v>
      </c>
      <c r="B208" s="2" t="s">
        <v>3202</v>
      </c>
      <c r="C208" s="2" t="s">
        <v>1937</v>
      </c>
      <c r="D208" s="2" t="s">
        <v>3384</v>
      </c>
      <c r="E208" s="2" t="s">
        <v>3487</v>
      </c>
      <c r="F208" s="2">
        <v>0.44860499999999998</v>
      </c>
      <c r="G208" s="2">
        <v>0.95454499999999998</v>
      </c>
      <c r="H208" s="2">
        <v>1.0893699999999999</v>
      </c>
      <c r="I208" s="2">
        <v>1</v>
      </c>
      <c r="K208" s="2" t="s">
        <v>757</v>
      </c>
      <c r="L208" s="2">
        <v>-1.10873</v>
      </c>
    </row>
    <row r="209" spans="1:12" x14ac:dyDescent="0.2">
      <c r="A209" s="2" t="s">
        <v>1377</v>
      </c>
      <c r="B209" s="2" t="s">
        <v>3080</v>
      </c>
      <c r="C209" s="2" t="s">
        <v>2866</v>
      </c>
      <c r="D209" s="2" t="s">
        <v>3384</v>
      </c>
      <c r="E209" s="2" t="s">
        <v>3487</v>
      </c>
      <c r="F209" s="2">
        <v>0.60714400000000002</v>
      </c>
      <c r="G209" s="2">
        <v>1.28373</v>
      </c>
      <c r="H209" s="2">
        <v>1.08023</v>
      </c>
      <c r="I209" s="2">
        <v>1</v>
      </c>
      <c r="K209" s="2" t="s">
        <v>1709</v>
      </c>
      <c r="L209" s="2">
        <v>1.65724</v>
      </c>
    </row>
    <row r="210" spans="1:12" x14ac:dyDescent="0.2">
      <c r="A210" s="2" t="s">
        <v>1824</v>
      </c>
      <c r="B210" s="2" t="s">
        <v>3046</v>
      </c>
      <c r="C210" s="2" t="s">
        <v>2693</v>
      </c>
      <c r="D210" s="2" t="s">
        <v>3384</v>
      </c>
      <c r="E210" s="2" t="s">
        <v>3487</v>
      </c>
      <c r="F210" s="2">
        <v>0.50730200000000003</v>
      </c>
      <c r="G210" s="2">
        <v>1.0197700000000001</v>
      </c>
      <c r="H210" s="2">
        <v>1.0073300000000001</v>
      </c>
      <c r="I210" s="2">
        <v>1</v>
      </c>
      <c r="K210" s="2" t="s">
        <v>1711</v>
      </c>
      <c r="L210" s="2">
        <v>1.16265</v>
      </c>
    </row>
    <row r="211" spans="1:12" x14ac:dyDescent="0.2">
      <c r="A211" s="2" t="s">
        <v>1381</v>
      </c>
      <c r="B211" s="2" t="s">
        <v>3175</v>
      </c>
      <c r="C211" s="2" t="s">
        <v>2557</v>
      </c>
      <c r="D211" s="2" t="s">
        <v>3384</v>
      </c>
      <c r="E211" s="2" t="s">
        <v>3487</v>
      </c>
      <c r="F211" s="2">
        <v>0.32317499999999999</v>
      </c>
      <c r="G211" s="2">
        <v>0.94528800000000002</v>
      </c>
      <c r="H211" s="2">
        <v>1.54844</v>
      </c>
      <c r="I211" s="2">
        <v>1</v>
      </c>
      <c r="K211" s="2" t="s">
        <v>1712</v>
      </c>
      <c r="L211" s="2">
        <v>1.2547299999999999</v>
      </c>
    </row>
    <row r="212" spans="1:12" x14ac:dyDescent="0.2">
      <c r="A212" s="2" t="s">
        <v>1825</v>
      </c>
      <c r="B212" s="2" t="s">
        <v>3266</v>
      </c>
      <c r="C212" s="2" t="s">
        <v>2347</v>
      </c>
      <c r="D212" s="2" t="s">
        <v>3384</v>
      </c>
      <c r="E212" s="2" t="s">
        <v>3487</v>
      </c>
      <c r="F212" s="2">
        <v>0.34606700000000001</v>
      </c>
      <c r="G212" s="2">
        <v>0.80725000000000002</v>
      </c>
      <c r="H212" s="2">
        <v>1.2219599999999999</v>
      </c>
      <c r="I212" s="2">
        <v>1</v>
      </c>
      <c r="K212" s="2" t="s">
        <v>1386</v>
      </c>
      <c r="L212" s="2">
        <v>1.381</v>
      </c>
    </row>
    <row r="213" spans="1:12" x14ac:dyDescent="0.2">
      <c r="A213" s="2" t="s">
        <v>1706</v>
      </c>
      <c r="B213" s="2" t="s">
        <v>3015</v>
      </c>
      <c r="C213" s="2" t="s">
        <v>2870</v>
      </c>
      <c r="D213" s="2" t="s">
        <v>3384</v>
      </c>
      <c r="E213" s="2" t="s">
        <v>3487</v>
      </c>
      <c r="F213" s="2">
        <v>2.5070199999999998</v>
      </c>
      <c r="G213" s="2">
        <v>1.1370400000000001</v>
      </c>
      <c r="H213" s="2">
        <v>-1.1406799999999999</v>
      </c>
      <c r="I213" s="2">
        <v>1</v>
      </c>
      <c r="K213" s="2" t="s">
        <v>785</v>
      </c>
      <c r="L213" s="2">
        <v>1.0269999999999999</v>
      </c>
    </row>
    <row r="214" spans="1:12" x14ac:dyDescent="0.2">
      <c r="A214" s="2" t="s">
        <v>753</v>
      </c>
      <c r="B214" s="2" t="s">
        <v>3015</v>
      </c>
      <c r="C214" s="2" t="s">
        <v>2871</v>
      </c>
      <c r="D214" s="2" t="s">
        <v>3384</v>
      </c>
      <c r="E214" s="2" t="s">
        <v>3487</v>
      </c>
      <c r="F214" s="2">
        <v>8.2241199999999992</v>
      </c>
      <c r="G214" s="2">
        <v>3.25021</v>
      </c>
      <c r="H214" s="2">
        <v>-1.3393299999999999</v>
      </c>
      <c r="I214" s="2">
        <v>1</v>
      </c>
      <c r="K214" s="2" t="s">
        <v>1388</v>
      </c>
      <c r="L214" s="2">
        <v>-1.0705800000000001</v>
      </c>
    </row>
    <row r="215" spans="1:12" x14ac:dyDescent="0.2">
      <c r="A215" s="2" t="s">
        <v>757</v>
      </c>
      <c r="B215" s="2" t="s">
        <v>3015</v>
      </c>
      <c r="C215" s="2" t="s">
        <v>1880</v>
      </c>
      <c r="D215" s="2" t="s">
        <v>3384</v>
      </c>
      <c r="E215" s="2" t="s">
        <v>3487</v>
      </c>
      <c r="F215" s="2">
        <v>155.86799999999999</v>
      </c>
      <c r="G215" s="2">
        <v>72.276200000000003</v>
      </c>
      <c r="H215" s="2">
        <v>-1.10873</v>
      </c>
      <c r="I215" s="2">
        <v>1</v>
      </c>
      <c r="K215" s="2" t="s">
        <v>1716</v>
      </c>
      <c r="L215" s="2">
        <v>-1.39225</v>
      </c>
    </row>
    <row r="216" spans="1:12" x14ac:dyDescent="0.2">
      <c r="A216" s="2" t="s">
        <v>1709</v>
      </c>
      <c r="B216" s="2" t="s">
        <v>3129</v>
      </c>
      <c r="C216" s="2" t="s">
        <v>2595</v>
      </c>
      <c r="D216" s="2" t="s">
        <v>3384</v>
      </c>
      <c r="E216" s="2" t="s">
        <v>3487</v>
      </c>
      <c r="F216" s="2">
        <v>0.46269300000000002</v>
      </c>
      <c r="G216" s="2">
        <v>1.45939</v>
      </c>
      <c r="H216" s="2">
        <v>1.65724</v>
      </c>
      <c r="I216" s="2">
        <v>1</v>
      </c>
      <c r="K216" s="2" t="s">
        <v>790</v>
      </c>
      <c r="L216" s="2">
        <v>1.7615700000000001</v>
      </c>
    </row>
    <row r="217" spans="1:12" x14ac:dyDescent="0.2">
      <c r="A217" s="2" t="s">
        <v>1711</v>
      </c>
      <c r="B217" s="2" t="s">
        <v>3461</v>
      </c>
      <c r="C217" s="2" t="s">
        <v>3015</v>
      </c>
      <c r="D217" s="2" t="s">
        <v>3384</v>
      </c>
      <c r="E217" s="2" t="s">
        <v>3487</v>
      </c>
      <c r="F217" s="2">
        <v>0.53763899999999998</v>
      </c>
      <c r="G217" s="2">
        <v>1.2036100000000001</v>
      </c>
      <c r="H217" s="2">
        <v>1.16265</v>
      </c>
      <c r="I217" s="2">
        <v>1</v>
      </c>
      <c r="K217" s="2" t="s">
        <v>1717</v>
      </c>
      <c r="L217" s="2">
        <v>1.32439</v>
      </c>
    </row>
    <row r="218" spans="1:12" x14ac:dyDescent="0.2">
      <c r="A218" s="2" t="s">
        <v>1712</v>
      </c>
      <c r="B218" s="2" t="s">
        <v>3131</v>
      </c>
      <c r="C218" s="2" t="s">
        <v>2874</v>
      </c>
      <c r="D218" s="2" t="s">
        <v>3384</v>
      </c>
      <c r="E218" s="2" t="s">
        <v>3487</v>
      </c>
      <c r="F218" s="2">
        <v>0.54596299999999998</v>
      </c>
      <c r="G218" s="2">
        <v>1.3027899999999999</v>
      </c>
      <c r="H218" s="2">
        <v>1.2547299999999999</v>
      </c>
      <c r="I218" s="2">
        <v>1</v>
      </c>
      <c r="K218" s="2" t="s">
        <v>1718</v>
      </c>
      <c r="L218" s="2">
        <v>-1.2720100000000001</v>
      </c>
    </row>
    <row r="219" spans="1:12" x14ac:dyDescent="0.2">
      <c r="A219" s="2" t="s">
        <v>1386</v>
      </c>
      <c r="B219" s="2" t="s">
        <v>3068</v>
      </c>
      <c r="C219" s="2" t="s">
        <v>2562</v>
      </c>
      <c r="D219" s="2" t="s">
        <v>3384</v>
      </c>
      <c r="E219" s="2" t="s">
        <v>3487</v>
      </c>
      <c r="F219" s="2">
        <v>1.14445</v>
      </c>
      <c r="G219" s="2">
        <v>2.9807000000000001</v>
      </c>
      <c r="H219" s="2">
        <v>1.381</v>
      </c>
      <c r="I219" s="2">
        <v>1</v>
      </c>
      <c r="K219" s="2" t="s">
        <v>792</v>
      </c>
      <c r="L219" s="2">
        <v>1.6558299999999999</v>
      </c>
    </row>
    <row r="220" spans="1:12" x14ac:dyDescent="0.2">
      <c r="A220" s="2" t="s">
        <v>785</v>
      </c>
      <c r="B220" s="2" t="s">
        <v>3049</v>
      </c>
      <c r="C220" s="2" t="s">
        <v>2201</v>
      </c>
      <c r="D220" s="2" t="s">
        <v>3384</v>
      </c>
      <c r="E220" s="2" t="s">
        <v>3487</v>
      </c>
      <c r="F220" s="2">
        <v>1.5629</v>
      </c>
      <c r="G220" s="2">
        <v>3.18485</v>
      </c>
      <c r="H220" s="2">
        <v>1.0269999999999999</v>
      </c>
      <c r="I220" s="2">
        <v>1</v>
      </c>
      <c r="K220" s="2" t="s">
        <v>793</v>
      </c>
      <c r="L220" s="2">
        <v>-1.0687199999999999</v>
      </c>
    </row>
    <row r="221" spans="1:12" x14ac:dyDescent="0.2">
      <c r="A221" s="2" t="s">
        <v>1388</v>
      </c>
      <c r="B221" s="2" t="s">
        <v>3030</v>
      </c>
      <c r="C221" s="2" t="s">
        <v>2565</v>
      </c>
      <c r="D221" s="2" t="s">
        <v>3384</v>
      </c>
      <c r="E221" s="2" t="s">
        <v>3487</v>
      </c>
      <c r="F221" s="2">
        <v>11.4343</v>
      </c>
      <c r="G221" s="2">
        <v>5.4442000000000004</v>
      </c>
      <c r="H221" s="2">
        <v>-1.0705800000000001</v>
      </c>
      <c r="I221" s="2">
        <v>1</v>
      </c>
      <c r="K221" s="2" t="s">
        <v>794</v>
      </c>
      <c r="L221" s="2">
        <v>-1.7043299999999999</v>
      </c>
    </row>
    <row r="222" spans="1:12" x14ac:dyDescent="0.2">
      <c r="A222" s="2" t="s">
        <v>1716</v>
      </c>
      <c r="B222" s="2" t="s">
        <v>3015</v>
      </c>
      <c r="C222" s="2" t="s">
        <v>2202</v>
      </c>
      <c r="D222" s="2" t="s">
        <v>3384</v>
      </c>
      <c r="E222" s="2" t="s">
        <v>3487</v>
      </c>
      <c r="F222" s="2">
        <v>10.684799999999999</v>
      </c>
      <c r="G222" s="2">
        <v>4.0705600000000004</v>
      </c>
      <c r="H222" s="2">
        <v>-1.39225</v>
      </c>
      <c r="I222" s="2">
        <v>1</v>
      </c>
      <c r="K222" s="2" t="s">
        <v>797</v>
      </c>
      <c r="L222" s="2">
        <v>1.3288500000000001</v>
      </c>
    </row>
    <row r="223" spans="1:12" x14ac:dyDescent="0.2">
      <c r="A223" s="2" t="s">
        <v>790</v>
      </c>
      <c r="B223" s="2" t="s">
        <v>3015</v>
      </c>
      <c r="C223" s="2" t="s">
        <v>2202</v>
      </c>
      <c r="D223" s="2" t="s">
        <v>3384</v>
      </c>
      <c r="E223" s="2" t="s">
        <v>3487</v>
      </c>
      <c r="F223" s="2">
        <v>0.54452599999999995</v>
      </c>
      <c r="G223" s="2">
        <v>1.8463099999999999</v>
      </c>
      <c r="H223" s="2">
        <v>1.7615700000000001</v>
      </c>
      <c r="I223" s="2">
        <v>1</v>
      </c>
      <c r="K223" s="2" t="s">
        <v>799</v>
      </c>
      <c r="L223" s="2">
        <v>1.65422</v>
      </c>
    </row>
    <row r="224" spans="1:12" x14ac:dyDescent="0.2">
      <c r="A224" s="2" t="s">
        <v>1717</v>
      </c>
      <c r="B224" s="2" t="s">
        <v>3015</v>
      </c>
      <c r="C224" s="2" t="s">
        <v>2880</v>
      </c>
      <c r="D224" s="2" t="s">
        <v>3384</v>
      </c>
      <c r="E224" s="2" t="s">
        <v>3487</v>
      </c>
      <c r="F224" s="2">
        <v>1.2552000000000001</v>
      </c>
      <c r="G224" s="2">
        <v>3.1433399999999998</v>
      </c>
      <c r="H224" s="2">
        <v>1.32439</v>
      </c>
      <c r="I224" s="2">
        <v>1</v>
      </c>
      <c r="K224" s="2" t="s">
        <v>803</v>
      </c>
      <c r="L224" s="2">
        <v>-2.05748</v>
      </c>
    </row>
    <row r="225" spans="1:12" x14ac:dyDescent="0.2">
      <c r="A225" s="2" t="s">
        <v>1718</v>
      </c>
      <c r="B225" s="2" t="s">
        <v>3015</v>
      </c>
      <c r="C225" s="2" t="s">
        <v>2881</v>
      </c>
      <c r="D225" s="2" t="s">
        <v>3384</v>
      </c>
      <c r="E225" s="2" t="s">
        <v>3487</v>
      </c>
      <c r="F225" s="2">
        <v>4.1208799999999997</v>
      </c>
      <c r="G225" s="2">
        <v>1.7063900000000001</v>
      </c>
      <c r="H225" s="2">
        <v>-1.2720100000000001</v>
      </c>
      <c r="I225" s="2">
        <v>1</v>
      </c>
      <c r="K225" s="2" t="s">
        <v>807</v>
      </c>
      <c r="L225" s="2">
        <v>1.6027899999999999</v>
      </c>
    </row>
    <row r="226" spans="1:12" x14ac:dyDescent="0.2">
      <c r="A226" s="2" t="s">
        <v>792</v>
      </c>
      <c r="B226" s="2" t="s">
        <v>3015</v>
      </c>
      <c r="C226" s="2" t="s">
        <v>2882</v>
      </c>
      <c r="D226" s="2" t="s">
        <v>3384</v>
      </c>
      <c r="E226" s="2" t="s">
        <v>3487</v>
      </c>
      <c r="F226" s="2">
        <v>0.77653799999999995</v>
      </c>
      <c r="G226" s="2">
        <v>2.4469099999999999</v>
      </c>
      <c r="H226" s="2">
        <v>1.6558299999999999</v>
      </c>
      <c r="I226" s="2">
        <v>1</v>
      </c>
      <c r="K226" s="2" t="s">
        <v>817</v>
      </c>
      <c r="L226" s="2">
        <v>1.2521100000000001</v>
      </c>
    </row>
    <row r="227" spans="1:12" x14ac:dyDescent="0.2">
      <c r="A227" s="2" t="s">
        <v>793</v>
      </c>
      <c r="B227" s="2" t="s">
        <v>3015</v>
      </c>
      <c r="C227" s="2" t="s">
        <v>1862</v>
      </c>
      <c r="D227" s="2" t="s">
        <v>3384</v>
      </c>
      <c r="E227" s="2" t="s">
        <v>3487</v>
      </c>
      <c r="F227" s="2">
        <v>11.791499999999999</v>
      </c>
      <c r="G227" s="2">
        <v>5.6215400000000004</v>
      </c>
      <c r="H227" s="2">
        <v>-1.0687199999999999</v>
      </c>
      <c r="I227" s="2">
        <v>1</v>
      </c>
      <c r="K227" s="2" t="s">
        <v>825</v>
      </c>
      <c r="L227" s="2">
        <v>1.90605</v>
      </c>
    </row>
    <row r="228" spans="1:12" x14ac:dyDescent="0.2">
      <c r="A228" s="2" t="s">
        <v>794</v>
      </c>
      <c r="B228" s="2" t="s">
        <v>3015</v>
      </c>
      <c r="C228" s="2" t="s">
        <v>2197</v>
      </c>
      <c r="D228" s="2" t="s">
        <v>3384</v>
      </c>
      <c r="E228" s="2" t="s">
        <v>3487</v>
      </c>
      <c r="F228" s="2">
        <v>7.4331100000000001</v>
      </c>
      <c r="G228" s="2">
        <v>2.2809499999999998</v>
      </c>
      <c r="H228" s="2">
        <v>-1.7043299999999999</v>
      </c>
      <c r="I228" s="2">
        <v>1</v>
      </c>
      <c r="K228" s="2" t="s">
        <v>1402</v>
      </c>
      <c r="L228" s="2">
        <v>1.2305600000000001</v>
      </c>
    </row>
    <row r="229" spans="1:12" x14ac:dyDescent="0.2">
      <c r="A229" s="2" t="s">
        <v>797</v>
      </c>
      <c r="B229" s="2" t="s">
        <v>3209</v>
      </c>
      <c r="C229" s="2" t="s">
        <v>2205</v>
      </c>
      <c r="D229" s="2" t="s">
        <v>3384</v>
      </c>
      <c r="E229" s="2" t="s">
        <v>3487</v>
      </c>
      <c r="F229" s="2">
        <v>4.9151699999999998</v>
      </c>
      <c r="G229" s="2">
        <v>12.347</v>
      </c>
      <c r="H229" s="2">
        <v>1.3288500000000001</v>
      </c>
      <c r="I229" s="2">
        <v>1</v>
      </c>
      <c r="K229" s="2" t="s">
        <v>1729</v>
      </c>
      <c r="L229" s="2">
        <v>1.1626300000000001</v>
      </c>
    </row>
    <row r="230" spans="1:12" x14ac:dyDescent="0.2">
      <c r="A230" s="2" t="s">
        <v>799</v>
      </c>
      <c r="B230" s="2" t="s">
        <v>3085</v>
      </c>
      <c r="C230" s="2" t="s">
        <v>2207</v>
      </c>
      <c r="D230" s="2" t="s">
        <v>3384</v>
      </c>
      <c r="E230" s="2" t="s">
        <v>3487</v>
      </c>
      <c r="F230" s="2">
        <v>6.6664399999999997</v>
      </c>
      <c r="G230" s="2">
        <v>20.982800000000001</v>
      </c>
      <c r="H230" s="2">
        <v>1.65422</v>
      </c>
      <c r="I230" s="2">
        <v>1</v>
      </c>
      <c r="K230" s="2" t="s">
        <v>8</v>
      </c>
      <c r="L230" s="2">
        <v>2.5607099999999998</v>
      </c>
    </row>
    <row r="231" spans="1:12" x14ac:dyDescent="0.2">
      <c r="A231" s="2" t="s">
        <v>803</v>
      </c>
      <c r="B231" s="2" t="s">
        <v>3093</v>
      </c>
      <c r="C231" s="2" t="s">
        <v>2209</v>
      </c>
      <c r="D231" s="2" t="s">
        <v>3384</v>
      </c>
      <c r="E231" s="2" t="s">
        <v>3487</v>
      </c>
      <c r="F231" s="2">
        <v>147.08500000000001</v>
      </c>
      <c r="G231" s="2">
        <v>35.334899999999998</v>
      </c>
      <c r="H231" s="2">
        <v>-2.05748</v>
      </c>
      <c r="I231" s="2">
        <v>1</v>
      </c>
      <c r="K231" s="2" t="s">
        <v>847</v>
      </c>
      <c r="L231" s="2">
        <v>1.4486699999999999</v>
      </c>
    </row>
    <row r="232" spans="1:12" x14ac:dyDescent="0.2">
      <c r="A232" s="2" t="s">
        <v>807</v>
      </c>
      <c r="B232" s="2" t="s">
        <v>3212</v>
      </c>
      <c r="C232" s="2" t="s">
        <v>2211</v>
      </c>
      <c r="D232" s="2" t="s">
        <v>3384</v>
      </c>
      <c r="E232" s="2" t="s">
        <v>3487</v>
      </c>
      <c r="F232" s="2">
        <v>1.7720499999999999</v>
      </c>
      <c r="G232" s="2">
        <v>5.3822700000000001</v>
      </c>
      <c r="H232" s="2">
        <v>1.6027899999999999</v>
      </c>
      <c r="I232" s="2">
        <v>1</v>
      </c>
      <c r="K232" s="2" t="s">
        <v>850</v>
      </c>
      <c r="L232" s="2">
        <v>1.1706099999999999</v>
      </c>
    </row>
    <row r="233" spans="1:12" x14ac:dyDescent="0.2">
      <c r="A233" s="2" t="s">
        <v>817</v>
      </c>
      <c r="B233" s="2" t="s">
        <v>3015</v>
      </c>
      <c r="C233" s="2" t="s">
        <v>2575</v>
      </c>
      <c r="D233" s="2" t="s">
        <v>3384</v>
      </c>
      <c r="E233" s="2" t="s">
        <v>3487</v>
      </c>
      <c r="F233" s="2">
        <v>1.07145</v>
      </c>
      <c r="G233" s="2">
        <v>2.5520800000000001</v>
      </c>
      <c r="H233" s="2">
        <v>1.2521100000000001</v>
      </c>
      <c r="I233" s="2">
        <v>1</v>
      </c>
      <c r="K233" s="2" t="s">
        <v>1732</v>
      </c>
      <c r="L233" s="2">
        <v>1.10764</v>
      </c>
    </row>
    <row r="234" spans="1:12" x14ac:dyDescent="0.2">
      <c r="A234" s="2" t="s">
        <v>825</v>
      </c>
      <c r="B234" s="2" t="s">
        <v>3015</v>
      </c>
      <c r="C234" s="2" t="s">
        <v>2579</v>
      </c>
      <c r="D234" s="2" t="s">
        <v>3384</v>
      </c>
      <c r="E234" s="2" t="s">
        <v>3487</v>
      </c>
      <c r="F234" s="2">
        <v>1.14524</v>
      </c>
      <c r="G234" s="2">
        <v>4.2921699999999996</v>
      </c>
      <c r="H234" s="2">
        <v>1.90605</v>
      </c>
      <c r="I234" s="2">
        <v>1</v>
      </c>
      <c r="K234" s="2" t="s">
        <v>854</v>
      </c>
      <c r="L234" s="2">
        <v>-1.0464500000000001</v>
      </c>
    </row>
    <row r="235" spans="1:12" x14ac:dyDescent="0.2">
      <c r="A235" s="2" t="s">
        <v>1402</v>
      </c>
      <c r="B235" s="2" t="s">
        <v>3015</v>
      </c>
      <c r="C235" s="2" t="s">
        <v>2891</v>
      </c>
      <c r="D235" s="2" t="s">
        <v>3384</v>
      </c>
      <c r="E235" s="2" t="s">
        <v>3487</v>
      </c>
      <c r="F235" s="2">
        <v>1.9628399999999999</v>
      </c>
      <c r="G235" s="2">
        <v>4.6059799999999997</v>
      </c>
      <c r="H235" s="2">
        <v>1.2305600000000001</v>
      </c>
      <c r="I235" s="2">
        <v>1</v>
      </c>
      <c r="K235" s="2" t="s">
        <v>859</v>
      </c>
      <c r="L235" s="2">
        <v>1.25143</v>
      </c>
    </row>
    <row r="236" spans="1:12" x14ac:dyDescent="0.2">
      <c r="A236" s="2" t="s">
        <v>1729</v>
      </c>
      <c r="B236" s="2" t="s">
        <v>3015</v>
      </c>
      <c r="C236" s="2" t="s">
        <v>2896</v>
      </c>
      <c r="D236" s="2" t="s">
        <v>3384</v>
      </c>
      <c r="E236" s="2" t="s">
        <v>3487</v>
      </c>
      <c r="F236" s="2">
        <v>2.5253899999999998</v>
      </c>
      <c r="G236" s="2">
        <v>5.6534700000000004</v>
      </c>
      <c r="H236" s="2">
        <v>1.1626300000000001</v>
      </c>
      <c r="I236" s="2">
        <v>1</v>
      </c>
      <c r="K236" s="2" t="s">
        <v>860</v>
      </c>
      <c r="L236" s="2">
        <v>1.87334</v>
      </c>
    </row>
    <row r="237" spans="1:12" x14ac:dyDescent="0.2">
      <c r="A237" s="2" t="s">
        <v>8</v>
      </c>
      <c r="B237" s="2" t="s">
        <v>3015</v>
      </c>
      <c r="C237" s="2" t="s">
        <v>3015</v>
      </c>
      <c r="D237" s="2" t="s">
        <v>3384</v>
      </c>
      <c r="E237" s="2" t="s">
        <v>3487</v>
      </c>
      <c r="F237" s="2">
        <v>19.536799999999999</v>
      </c>
      <c r="G237" s="2">
        <v>115.267</v>
      </c>
      <c r="H237" s="2">
        <v>2.5607099999999998</v>
      </c>
      <c r="I237" s="2">
        <v>1</v>
      </c>
      <c r="K237" s="2" t="s">
        <v>1413</v>
      </c>
      <c r="L237" s="2">
        <v>1.92506</v>
      </c>
    </row>
    <row r="238" spans="1:12" x14ac:dyDescent="0.2">
      <c r="A238" s="2" t="s">
        <v>847</v>
      </c>
      <c r="B238" s="2" t="s">
        <v>3045</v>
      </c>
      <c r="C238" s="2" t="s">
        <v>1986</v>
      </c>
      <c r="D238" s="2" t="s">
        <v>3384</v>
      </c>
      <c r="E238" s="2" t="s">
        <v>3487</v>
      </c>
      <c r="F238" s="2">
        <v>3.3915799999999998</v>
      </c>
      <c r="G238" s="2">
        <v>9.2575500000000002</v>
      </c>
      <c r="H238" s="2">
        <v>1.4486699999999999</v>
      </c>
      <c r="I238" s="2">
        <v>1</v>
      </c>
      <c r="K238" s="2" t="s">
        <v>870</v>
      </c>
      <c r="L238" s="2">
        <v>1.1627700000000001</v>
      </c>
    </row>
    <row r="239" spans="1:12" x14ac:dyDescent="0.2">
      <c r="A239" s="2" t="s">
        <v>850</v>
      </c>
      <c r="B239" s="2" t="s">
        <v>3015</v>
      </c>
      <c r="C239" s="2" t="s">
        <v>2899</v>
      </c>
      <c r="D239" s="2" t="s">
        <v>3384</v>
      </c>
      <c r="E239" s="2" t="s">
        <v>3487</v>
      </c>
      <c r="F239" s="2">
        <v>1.10076</v>
      </c>
      <c r="G239" s="2">
        <v>2.4778799999999999</v>
      </c>
      <c r="H239" s="2">
        <v>1.1706099999999999</v>
      </c>
      <c r="I239" s="2">
        <v>1</v>
      </c>
      <c r="K239" s="2" t="s">
        <v>1741</v>
      </c>
      <c r="L239" s="2">
        <v>-1.0923700000000001</v>
      </c>
    </row>
    <row r="240" spans="1:12" x14ac:dyDescent="0.2">
      <c r="A240" s="2" t="s">
        <v>1732</v>
      </c>
      <c r="B240" s="2" t="s">
        <v>3073</v>
      </c>
      <c r="C240" s="2" t="s">
        <v>3002</v>
      </c>
      <c r="D240" s="2" t="s">
        <v>3384</v>
      </c>
      <c r="E240" s="2" t="s">
        <v>3487</v>
      </c>
      <c r="F240" s="2">
        <v>0.42467700000000003</v>
      </c>
      <c r="G240" s="2">
        <v>0.91515100000000005</v>
      </c>
      <c r="H240" s="2">
        <v>1.10764</v>
      </c>
      <c r="I240" s="2">
        <v>1</v>
      </c>
      <c r="K240" s="2" t="s">
        <v>884</v>
      </c>
      <c r="L240" s="2">
        <v>1.0268600000000001</v>
      </c>
    </row>
    <row r="241" spans="1:12" x14ac:dyDescent="0.2">
      <c r="A241" s="2" t="s">
        <v>1735</v>
      </c>
      <c r="B241" s="2" t="s">
        <v>3015</v>
      </c>
      <c r="C241" s="2" t="s">
        <v>3015</v>
      </c>
      <c r="D241" s="2" t="s">
        <v>3384</v>
      </c>
      <c r="E241" s="2" t="s">
        <v>3487</v>
      </c>
      <c r="F241" s="2">
        <v>0</v>
      </c>
      <c r="G241" s="2">
        <v>1.3039799999999999</v>
      </c>
      <c r="H241" s="2" t="s">
        <v>3021</v>
      </c>
      <c r="I241" s="2" t="s">
        <v>3021</v>
      </c>
      <c r="K241" s="2" t="s">
        <v>885</v>
      </c>
      <c r="L241" s="2">
        <v>-1.1554800000000001</v>
      </c>
    </row>
    <row r="242" spans="1:12" x14ac:dyDescent="0.2">
      <c r="A242" s="2" t="s">
        <v>854</v>
      </c>
      <c r="B242" s="2" t="s">
        <v>3058</v>
      </c>
      <c r="C242" s="2" t="s">
        <v>2237</v>
      </c>
      <c r="D242" s="2" t="s">
        <v>3384</v>
      </c>
      <c r="E242" s="2" t="s">
        <v>3487</v>
      </c>
      <c r="F242" s="2">
        <v>1.0042599999999999</v>
      </c>
      <c r="G242" s="2">
        <v>0.48621900000000001</v>
      </c>
      <c r="H242" s="2">
        <v>-1.0464500000000001</v>
      </c>
      <c r="I242" s="2">
        <v>1</v>
      </c>
      <c r="K242" s="2" t="s">
        <v>1415</v>
      </c>
      <c r="L242" s="2">
        <v>2.06873</v>
      </c>
    </row>
    <row r="243" spans="1:12" x14ac:dyDescent="0.2">
      <c r="A243" s="2" t="s">
        <v>859</v>
      </c>
      <c r="B243" s="2" t="s">
        <v>3015</v>
      </c>
      <c r="C243" s="2" t="s">
        <v>2241</v>
      </c>
      <c r="D243" s="2" t="s">
        <v>3384</v>
      </c>
      <c r="E243" s="2" t="s">
        <v>3487</v>
      </c>
      <c r="F243" s="2">
        <v>0.56196800000000002</v>
      </c>
      <c r="G243" s="2">
        <v>1.33792</v>
      </c>
      <c r="H243" s="2">
        <v>1.25143</v>
      </c>
      <c r="I243" s="2">
        <v>1</v>
      </c>
      <c r="K243" s="2" t="s">
        <v>895</v>
      </c>
      <c r="L243" s="2">
        <v>2.33249</v>
      </c>
    </row>
    <row r="244" spans="1:12" x14ac:dyDescent="0.2">
      <c r="A244" s="2" t="s">
        <v>860</v>
      </c>
      <c r="B244" s="2" t="s">
        <v>3093</v>
      </c>
      <c r="C244" s="2" t="s">
        <v>2029</v>
      </c>
      <c r="D244" s="2" t="s">
        <v>3384</v>
      </c>
      <c r="E244" s="2" t="s">
        <v>3487</v>
      </c>
      <c r="F244" s="2">
        <v>0.87416000000000005</v>
      </c>
      <c r="G244" s="2">
        <v>3.2027399999999999</v>
      </c>
      <c r="H244" s="2">
        <v>1.87334</v>
      </c>
      <c r="I244" s="2">
        <v>1</v>
      </c>
      <c r="K244" s="2" t="s">
        <v>1749</v>
      </c>
      <c r="L244" s="2">
        <v>1.11104</v>
      </c>
    </row>
    <row r="245" spans="1:12" x14ac:dyDescent="0.2">
      <c r="A245" s="2" t="s">
        <v>1413</v>
      </c>
      <c r="B245" s="2" t="s">
        <v>3466</v>
      </c>
      <c r="C245" s="2" t="s">
        <v>2720</v>
      </c>
      <c r="D245" s="2" t="s">
        <v>3384</v>
      </c>
      <c r="E245" s="2" t="s">
        <v>3487</v>
      </c>
      <c r="F245" s="2">
        <v>1.31369</v>
      </c>
      <c r="G245" s="2">
        <v>4.9887600000000001</v>
      </c>
      <c r="H245" s="2">
        <v>1.92506</v>
      </c>
      <c r="I245" s="2">
        <v>1</v>
      </c>
      <c r="K245" s="2" t="s">
        <v>1419</v>
      </c>
      <c r="L245" s="2">
        <v>1.11744</v>
      </c>
    </row>
    <row r="246" spans="1:12" x14ac:dyDescent="0.2">
      <c r="A246" s="2" t="s">
        <v>870</v>
      </c>
      <c r="B246" s="2" t="s">
        <v>3015</v>
      </c>
      <c r="C246" s="2" t="s">
        <v>1847</v>
      </c>
      <c r="D246" s="2" t="s">
        <v>3384</v>
      </c>
      <c r="E246" s="2" t="s">
        <v>3487</v>
      </c>
      <c r="F246" s="2">
        <v>8.5692299999999992</v>
      </c>
      <c r="G246" s="2">
        <v>19.185400000000001</v>
      </c>
      <c r="H246" s="2">
        <v>1.1627700000000001</v>
      </c>
      <c r="I246" s="2">
        <v>1</v>
      </c>
      <c r="K246" s="2" t="s">
        <v>908</v>
      </c>
      <c r="L246" s="2">
        <v>1.06846</v>
      </c>
    </row>
    <row r="247" spans="1:12" x14ac:dyDescent="0.2">
      <c r="A247" s="2" t="s">
        <v>1741</v>
      </c>
      <c r="B247" s="2" t="s">
        <v>3015</v>
      </c>
      <c r="C247" s="2" t="s">
        <v>2910</v>
      </c>
      <c r="D247" s="2" t="s">
        <v>3384</v>
      </c>
      <c r="E247" s="2" t="s">
        <v>3487</v>
      </c>
      <c r="F247" s="2">
        <v>21.600100000000001</v>
      </c>
      <c r="G247" s="2">
        <v>10.1302</v>
      </c>
      <c r="H247" s="2">
        <v>-1.0923700000000001</v>
      </c>
      <c r="I247" s="2">
        <v>1</v>
      </c>
      <c r="K247" s="2" t="s">
        <v>911</v>
      </c>
      <c r="L247" s="2">
        <v>1.1499699999999999</v>
      </c>
    </row>
    <row r="248" spans="1:12" x14ac:dyDescent="0.2">
      <c r="A248" s="2" t="s">
        <v>884</v>
      </c>
      <c r="B248" s="2" t="s">
        <v>3067</v>
      </c>
      <c r="C248" s="2" t="s">
        <v>2254</v>
      </c>
      <c r="D248" s="2" t="s">
        <v>3384</v>
      </c>
      <c r="E248" s="2" t="s">
        <v>3487</v>
      </c>
      <c r="F248" s="2">
        <v>1.6393899999999999</v>
      </c>
      <c r="G248" s="2">
        <v>3.3403999999999998</v>
      </c>
      <c r="H248" s="2">
        <v>1.0268600000000001</v>
      </c>
      <c r="I248" s="2">
        <v>1</v>
      </c>
      <c r="K248" s="2" t="s">
        <v>1826</v>
      </c>
      <c r="L248" s="2">
        <v>1.0301199999999999</v>
      </c>
    </row>
    <row r="249" spans="1:12" x14ac:dyDescent="0.2">
      <c r="A249" s="2" t="s">
        <v>885</v>
      </c>
      <c r="B249" s="2" t="s">
        <v>3015</v>
      </c>
      <c r="C249" s="2" t="s">
        <v>2455</v>
      </c>
      <c r="D249" s="2" t="s">
        <v>3384</v>
      </c>
      <c r="E249" s="2" t="s">
        <v>3487</v>
      </c>
      <c r="F249" s="2">
        <v>27.026499999999999</v>
      </c>
      <c r="G249" s="2">
        <v>12.1327</v>
      </c>
      <c r="H249" s="2">
        <v>-1.1554800000000001</v>
      </c>
      <c r="I249" s="2">
        <v>1</v>
      </c>
      <c r="K249" s="2" t="s">
        <v>913</v>
      </c>
      <c r="L249" s="2">
        <v>1.6349800000000001</v>
      </c>
    </row>
    <row r="250" spans="1:12" x14ac:dyDescent="0.2">
      <c r="A250" s="2" t="s">
        <v>1415</v>
      </c>
      <c r="B250" s="2" t="s">
        <v>3047</v>
      </c>
      <c r="C250" s="2" t="s">
        <v>2585</v>
      </c>
      <c r="D250" s="2" t="s">
        <v>3384</v>
      </c>
      <c r="E250" s="2" t="s">
        <v>3487</v>
      </c>
      <c r="F250" s="2">
        <v>1.0212699999999999</v>
      </c>
      <c r="G250" s="2">
        <v>4.2843799999999996</v>
      </c>
      <c r="H250" s="2">
        <v>2.06873</v>
      </c>
      <c r="I250" s="2">
        <v>1</v>
      </c>
      <c r="K250" s="2" t="s">
        <v>1827</v>
      </c>
      <c r="L250" s="2">
        <v>-1.0258499999999999</v>
      </c>
    </row>
    <row r="251" spans="1:12" x14ac:dyDescent="0.2">
      <c r="A251" s="2" t="s">
        <v>895</v>
      </c>
      <c r="B251" s="2" t="s">
        <v>3047</v>
      </c>
      <c r="C251" s="2" t="s">
        <v>2258</v>
      </c>
      <c r="D251" s="2" t="s">
        <v>3384</v>
      </c>
      <c r="E251" s="2" t="s">
        <v>3487</v>
      </c>
      <c r="F251" s="2">
        <v>0.273982</v>
      </c>
      <c r="G251" s="2">
        <v>1.3799699999999999</v>
      </c>
      <c r="H251" s="2">
        <v>2.33249</v>
      </c>
      <c r="I251" s="2">
        <v>1</v>
      </c>
      <c r="K251" s="2" t="s">
        <v>1754</v>
      </c>
      <c r="L251" s="2">
        <v>1.0177</v>
      </c>
    </row>
    <row r="252" spans="1:12" x14ac:dyDescent="0.2">
      <c r="A252" s="2" t="s">
        <v>1749</v>
      </c>
      <c r="B252" s="2" t="s">
        <v>3313</v>
      </c>
      <c r="C252" s="2" t="s">
        <v>3003</v>
      </c>
      <c r="D252" s="2" t="s">
        <v>3384</v>
      </c>
      <c r="E252" s="2" t="s">
        <v>3487</v>
      </c>
      <c r="F252" s="2">
        <v>0.63456599999999996</v>
      </c>
      <c r="G252" s="2">
        <v>1.3706700000000001</v>
      </c>
      <c r="H252" s="2">
        <v>1.11104</v>
      </c>
      <c r="I252" s="2">
        <v>1</v>
      </c>
      <c r="K252" s="2" t="s">
        <v>932</v>
      </c>
      <c r="L252" s="2">
        <v>-1.00176</v>
      </c>
    </row>
    <row r="253" spans="1:12" x14ac:dyDescent="0.2">
      <c r="A253" s="2" t="s">
        <v>1419</v>
      </c>
      <c r="B253" s="2" t="s">
        <v>3200</v>
      </c>
      <c r="C253" s="2" t="s">
        <v>2812</v>
      </c>
      <c r="D253" s="2" t="s">
        <v>3384</v>
      </c>
      <c r="E253" s="2" t="s">
        <v>3487</v>
      </c>
      <c r="F253" s="2">
        <v>0.420429</v>
      </c>
      <c r="G253" s="2">
        <v>0.91216900000000001</v>
      </c>
      <c r="H253" s="2">
        <v>1.11744</v>
      </c>
      <c r="I253" s="2">
        <v>1</v>
      </c>
      <c r="K253" s="2" t="s">
        <v>937</v>
      </c>
      <c r="L253" s="2">
        <v>1.39781</v>
      </c>
    </row>
    <row r="254" spans="1:12" x14ac:dyDescent="0.2">
      <c r="A254" s="2" t="s">
        <v>908</v>
      </c>
      <c r="B254" s="2" t="s">
        <v>3015</v>
      </c>
      <c r="C254" s="2" t="s">
        <v>2916</v>
      </c>
      <c r="D254" s="2" t="s">
        <v>3384</v>
      </c>
      <c r="E254" s="2" t="s">
        <v>3487</v>
      </c>
      <c r="F254" s="2">
        <v>2.0800700000000001</v>
      </c>
      <c r="G254" s="2">
        <v>4.36233</v>
      </c>
      <c r="H254" s="2">
        <v>1.06846</v>
      </c>
      <c r="I254" s="2">
        <v>1</v>
      </c>
      <c r="K254" s="2" t="s">
        <v>1425</v>
      </c>
      <c r="L254" s="2">
        <v>1.0628500000000001</v>
      </c>
    </row>
    <row r="255" spans="1:12" x14ac:dyDescent="0.2">
      <c r="A255" s="2" t="s">
        <v>911</v>
      </c>
      <c r="B255" s="2" t="s">
        <v>3472</v>
      </c>
      <c r="C255" s="2" t="s">
        <v>2919</v>
      </c>
      <c r="D255" s="2" t="s">
        <v>3384</v>
      </c>
      <c r="E255" s="2" t="s">
        <v>3487</v>
      </c>
      <c r="F255" s="2">
        <v>2.5417000000000001</v>
      </c>
      <c r="G255" s="2">
        <v>5.6402799999999997</v>
      </c>
      <c r="H255" s="2">
        <v>1.1499699999999999</v>
      </c>
      <c r="I255" s="2">
        <v>1</v>
      </c>
      <c r="K255" s="2" t="s">
        <v>1427</v>
      </c>
      <c r="L255" s="2">
        <v>1.3326100000000001</v>
      </c>
    </row>
    <row r="256" spans="1:12" x14ac:dyDescent="0.2">
      <c r="A256" s="2" t="s">
        <v>1826</v>
      </c>
      <c r="B256" s="2" t="s">
        <v>3015</v>
      </c>
      <c r="C256" s="2" t="s">
        <v>3004</v>
      </c>
      <c r="D256" s="2" t="s">
        <v>3384</v>
      </c>
      <c r="E256" s="2" t="s">
        <v>3487</v>
      </c>
      <c r="F256" s="2">
        <v>3.98814</v>
      </c>
      <c r="G256" s="2">
        <v>8.1445699999999999</v>
      </c>
      <c r="H256" s="2">
        <v>1.0301199999999999</v>
      </c>
      <c r="I256" s="2">
        <v>1</v>
      </c>
      <c r="K256" s="2" t="s">
        <v>1758</v>
      </c>
      <c r="L256" s="2">
        <v>-1.3141099999999999</v>
      </c>
    </row>
    <row r="257" spans="1:12" x14ac:dyDescent="0.2">
      <c r="A257" s="2" t="s">
        <v>913</v>
      </c>
      <c r="B257" s="2" t="s">
        <v>3235</v>
      </c>
      <c r="C257" s="2" t="s">
        <v>2267</v>
      </c>
      <c r="D257" s="2" t="s">
        <v>3384</v>
      </c>
      <c r="E257" s="2" t="s">
        <v>3487</v>
      </c>
      <c r="F257" s="2">
        <v>1.2781</v>
      </c>
      <c r="G257" s="2">
        <v>3.96956</v>
      </c>
      <c r="H257" s="2">
        <v>1.6349800000000001</v>
      </c>
      <c r="I257" s="2">
        <v>1</v>
      </c>
      <c r="K257" s="2" t="s">
        <v>1829</v>
      </c>
      <c r="L257" s="2">
        <v>1.32067</v>
      </c>
    </row>
    <row r="258" spans="1:12" x14ac:dyDescent="0.2">
      <c r="A258" s="2" t="s">
        <v>1827</v>
      </c>
      <c r="B258" s="2" t="s">
        <v>3190</v>
      </c>
      <c r="C258" s="2" t="s">
        <v>3005</v>
      </c>
      <c r="D258" s="2" t="s">
        <v>3384</v>
      </c>
      <c r="E258" s="2" t="s">
        <v>3487</v>
      </c>
      <c r="F258" s="2">
        <v>2.2004299999999999</v>
      </c>
      <c r="G258" s="2">
        <v>1.0806800000000001</v>
      </c>
      <c r="H258" s="2">
        <v>-1.0258499999999999</v>
      </c>
      <c r="I258" s="2">
        <v>1</v>
      </c>
      <c r="K258" s="2" t="s">
        <v>1429</v>
      </c>
      <c r="L258" s="2">
        <v>1.7051099999999999</v>
      </c>
    </row>
    <row r="259" spans="1:12" x14ac:dyDescent="0.2">
      <c r="A259" s="2" t="s">
        <v>1754</v>
      </c>
      <c r="B259" s="2" t="s">
        <v>3015</v>
      </c>
      <c r="C259" s="2" t="s">
        <v>3006</v>
      </c>
      <c r="D259" s="2" t="s">
        <v>3384</v>
      </c>
      <c r="E259" s="2" t="s">
        <v>3487</v>
      </c>
      <c r="F259" s="2">
        <v>1.2860799999999999</v>
      </c>
      <c r="G259" s="2">
        <v>2.6039099999999999</v>
      </c>
      <c r="H259" s="2">
        <v>1.0177</v>
      </c>
      <c r="I259" s="2">
        <v>1</v>
      </c>
      <c r="K259" s="2" t="s">
        <v>952</v>
      </c>
      <c r="L259" s="2">
        <v>2.1703800000000002</v>
      </c>
    </row>
    <row r="260" spans="1:12" x14ac:dyDescent="0.2">
      <c r="A260" s="2" t="s">
        <v>932</v>
      </c>
      <c r="B260" s="2" t="s">
        <v>3122</v>
      </c>
      <c r="C260" s="2" t="s">
        <v>3007</v>
      </c>
      <c r="D260" s="2" t="s">
        <v>3384</v>
      </c>
      <c r="E260" s="2" t="s">
        <v>3487</v>
      </c>
      <c r="F260" s="2">
        <v>8.7642900000000008</v>
      </c>
      <c r="G260" s="2">
        <v>4.3768000000000002</v>
      </c>
      <c r="H260" s="2">
        <v>-1.00176</v>
      </c>
      <c r="I260" s="2">
        <v>1</v>
      </c>
      <c r="K260" s="2" t="s">
        <v>1830</v>
      </c>
      <c r="L260" s="2">
        <v>1.14208</v>
      </c>
    </row>
    <row r="261" spans="1:12" x14ac:dyDescent="0.2">
      <c r="A261" s="2" t="s">
        <v>937</v>
      </c>
      <c r="B261" s="2" t="s">
        <v>3137</v>
      </c>
      <c r="C261" s="2" t="s">
        <v>2280</v>
      </c>
      <c r="D261" s="2" t="s">
        <v>3384</v>
      </c>
      <c r="E261" s="2" t="s">
        <v>3487</v>
      </c>
      <c r="F261" s="2">
        <v>1.85599</v>
      </c>
      <c r="G261" s="2">
        <v>4.8905599999999998</v>
      </c>
      <c r="H261" s="2">
        <v>1.39781</v>
      </c>
      <c r="I261" s="2">
        <v>1</v>
      </c>
      <c r="K261" s="2" t="s">
        <v>1765</v>
      </c>
      <c r="L261" s="2">
        <v>-1.2432000000000001</v>
      </c>
    </row>
    <row r="262" spans="1:12" x14ac:dyDescent="0.2">
      <c r="A262" s="2" t="s">
        <v>1425</v>
      </c>
      <c r="B262" s="2" t="s">
        <v>3081</v>
      </c>
      <c r="C262" s="2" t="s">
        <v>1965</v>
      </c>
      <c r="D262" s="2" t="s">
        <v>3384</v>
      </c>
      <c r="E262" s="2" t="s">
        <v>3487</v>
      </c>
      <c r="F262" s="2">
        <v>0.75607899999999995</v>
      </c>
      <c r="G262" s="2">
        <v>1.5794900000000001</v>
      </c>
      <c r="H262" s="2">
        <v>1.0628500000000001</v>
      </c>
      <c r="I262" s="2">
        <v>1</v>
      </c>
      <c r="K262" s="2" t="s">
        <v>1767</v>
      </c>
      <c r="L262" s="2">
        <v>-1.5900399999999999</v>
      </c>
    </row>
    <row r="263" spans="1:12" x14ac:dyDescent="0.2">
      <c r="A263" s="2" t="s">
        <v>1828</v>
      </c>
      <c r="B263" s="2" t="s">
        <v>3015</v>
      </c>
      <c r="C263" s="2" t="s">
        <v>3015</v>
      </c>
      <c r="D263" s="2" t="s">
        <v>3384</v>
      </c>
      <c r="E263" s="2" t="s">
        <v>3487</v>
      </c>
      <c r="F263" s="2">
        <v>0</v>
      </c>
      <c r="G263" s="2">
        <v>1.93781</v>
      </c>
      <c r="H263" s="2" t="s">
        <v>3021</v>
      </c>
      <c r="I263" s="2" t="s">
        <v>3021</v>
      </c>
      <c r="K263" s="2" t="s">
        <v>1768</v>
      </c>
      <c r="L263" s="2">
        <v>-1.2980499999999999</v>
      </c>
    </row>
    <row r="264" spans="1:12" x14ac:dyDescent="0.2">
      <c r="A264" s="2" t="s">
        <v>1427</v>
      </c>
      <c r="B264" s="2" t="s">
        <v>3047</v>
      </c>
      <c r="C264" s="2" t="s">
        <v>3008</v>
      </c>
      <c r="D264" s="2" t="s">
        <v>3384</v>
      </c>
      <c r="E264" s="2" t="s">
        <v>3487</v>
      </c>
      <c r="F264" s="2">
        <v>0.45263100000000001</v>
      </c>
      <c r="G264" s="2">
        <v>1.1399900000000001</v>
      </c>
      <c r="H264" s="2">
        <v>1.3326100000000001</v>
      </c>
      <c r="I264" s="2">
        <v>1</v>
      </c>
      <c r="K264" s="2" t="s">
        <v>1831</v>
      </c>
      <c r="L264" s="2">
        <v>1.4063699999999999</v>
      </c>
    </row>
    <row r="265" spans="1:12" x14ac:dyDescent="0.2">
      <c r="A265" s="2" t="s">
        <v>1758</v>
      </c>
      <c r="B265" s="2" t="s">
        <v>3015</v>
      </c>
      <c r="C265" s="2" t="s">
        <v>3009</v>
      </c>
      <c r="D265" s="2" t="s">
        <v>3384</v>
      </c>
      <c r="E265" s="2" t="s">
        <v>3487</v>
      </c>
      <c r="F265" s="2">
        <v>2.6737500000000001</v>
      </c>
      <c r="G265" s="2">
        <v>1.07531</v>
      </c>
      <c r="H265" s="2">
        <v>-1.3141099999999999</v>
      </c>
      <c r="I265" s="2">
        <v>1</v>
      </c>
      <c r="K265" s="2" t="s">
        <v>988</v>
      </c>
      <c r="L265" s="2">
        <v>2.7112599999999998</v>
      </c>
    </row>
    <row r="266" spans="1:12" x14ac:dyDescent="0.2">
      <c r="A266" s="2" t="s">
        <v>1829</v>
      </c>
      <c r="B266" s="2" t="s">
        <v>3492</v>
      </c>
      <c r="C266" s="2" t="s">
        <v>2874</v>
      </c>
      <c r="D266" s="2" t="s">
        <v>3384</v>
      </c>
      <c r="E266" s="2" t="s">
        <v>3487</v>
      </c>
      <c r="F266" s="2">
        <v>0.52573999999999999</v>
      </c>
      <c r="G266" s="2">
        <v>1.3131999999999999</v>
      </c>
      <c r="H266" s="2">
        <v>1.32067</v>
      </c>
      <c r="I266" s="2">
        <v>1</v>
      </c>
      <c r="K266" s="2" t="s">
        <v>1438</v>
      </c>
      <c r="L266" s="2">
        <v>1.1767099999999999</v>
      </c>
    </row>
    <row r="267" spans="1:12" x14ac:dyDescent="0.2">
      <c r="A267" s="2" t="s">
        <v>1429</v>
      </c>
      <c r="B267" s="2" t="s">
        <v>3093</v>
      </c>
      <c r="C267" s="2" t="s">
        <v>2589</v>
      </c>
      <c r="D267" s="2" t="s">
        <v>3384</v>
      </c>
      <c r="E267" s="2" t="s">
        <v>3487</v>
      </c>
      <c r="F267" s="2">
        <v>0.30116199999999999</v>
      </c>
      <c r="G267" s="2">
        <v>0.98194999999999999</v>
      </c>
      <c r="H267" s="2">
        <v>1.7051099999999999</v>
      </c>
      <c r="I267" s="2">
        <v>1</v>
      </c>
      <c r="K267" s="2" t="s">
        <v>996</v>
      </c>
      <c r="L267" s="2">
        <v>2.2412700000000001</v>
      </c>
    </row>
    <row r="268" spans="1:12" x14ac:dyDescent="0.2">
      <c r="A268" s="2" t="s">
        <v>952</v>
      </c>
      <c r="B268" s="2" t="s">
        <v>3256</v>
      </c>
      <c r="C268" s="2" t="s">
        <v>2316</v>
      </c>
      <c r="D268" s="2" t="s">
        <v>3384</v>
      </c>
      <c r="E268" s="2" t="s">
        <v>3487</v>
      </c>
      <c r="F268" s="2">
        <v>0.29367100000000002</v>
      </c>
      <c r="G268" s="2">
        <v>1.3219399999999999</v>
      </c>
      <c r="H268" s="2">
        <v>2.1703800000000002</v>
      </c>
      <c r="I268" s="2">
        <v>1</v>
      </c>
      <c r="K268" s="2" t="s">
        <v>999</v>
      </c>
      <c r="L268" s="2">
        <v>1.07358</v>
      </c>
    </row>
    <row r="269" spans="1:12" x14ac:dyDescent="0.2">
      <c r="A269" s="2" t="s">
        <v>1830</v>
      </c>
      <c r="B269" s="2" t="s">
        <v>3135</v>
      </c>
      <c r="C269" s="2" t="s">
        <v>3010</v>
      </c>
      <c r="D269" s="2" t="s">
        <v>3384</v>
      </c>
      <c r="E269" s="2" t="s">
        <v>3487</v>
      </c>
      <c r="F269" s="2">
        <v>0.38103900000000002</v>
      </c>
      <c r="G269" s="2">
        <v>0.84094899999999995</v>
      </c>
      <c r="H269" s="2">
        <v>1.14208</v>
      </c>
      <c r="I269" s="2">
        <v>1</v>
      </c>
      <c r="K269" s="2" t="s">
        <v>1439</v>
      </c>
      <c r="L269" s="2">
        <v>1.3954</v>
      </c>
    </row>
    <row r="270" spans="1:12" x14ac:dyDescent="0.2">
      <c r="A270" s="2" t="s">
        <v>1765</v>
      </c>
      <c r="B270" s="2" t="s">
        <v>3015</v>
      </c>
      <c r="C270" s="2" t="s">
        <v>2937</v>
      </c>
      <c r="D270" s="2" t="s">
        <v>3384</v>
      </c>
      <c r="E270" s="2" t="s">
        <v>3487</v>
      </c>
      <c r="F270" s="2">
        <v>0.84363200000000005</v>
      </c>
      <c r="G270" s="2">
        <v>0.356379</v>
      </c>
      <c r="H270" s="2">
        <v>-1.2432000000000001</v>
      </c>
      <c r="I270" s="2">
        <v>1</v>
      </c>
      <c r="K270" s="2" t="s">
        <v>1001</v>
      </c>
      <c r="L270" s="2">
        <v>-1.7999400000000001</v>
      </c>
    </row>
    <row r="271" spans="1:12" x14ac:dyDescent="0.2">
      <c r="A271" s="2" t="s">
        <v>1767</v>
      </c>
      <c r="B271" s="2" t="s">
        <v>3030</v>
      </c>
      <c r="C271" s="2" t="s">
        <v>2940</v>
      </c>
      <c r="D271" s="2" t="s">
        <v>3384</v>
      </c>
      <c r="E271" s="2" t="s">
        <v>3487</v>
      </c>
      <c r="F271" s="2">
        <v>2.8555799999999998</v>
      </c>
      <c r="G271" s="2">
        <v>0.948515</v>
      </c>
      <c r="H271" s="2">
        <v>-1.5900399999999999</v>
      </c>
      <c r="I271" s="2">
        <v>1</v>
      </c>
      <c r="K271" s="2" t="s">
        <v>1006</v>
      </c>
      <c r="L271" s="2">
        <v>-1.21068</v>
      </c>
    </row>
    <row r="272" spans="1:12" x14ac:dyDescent="0.2">
      <c r="A272" s="2" t="s">
        <v>1768</v>
      </c>
      <c r="B272" s="2" t="s">
        <v>3015</v>
      </c>
      <c r="C272" s="2" t="s">
        <v>1847</v>
      </c>
      <c r="D272" s="2" t="s">
        <v>3384</v>
      </c>
      <c r="E272" s="2" t="s">
        <v>3487</v>
      </c>
      <c r="F272" s="2">
        <v>1.9741500000000001</v>
      </c>
      <c r="G272" s="2">
        <v>0.80283899999999997</v>
      </c>
      <c r="H272" s="2">
        <v>-1.2980499999999999</v>
      </c>
      <c r="I272" s="2">
        <v>1</v>
      </c>
      <c r="K272" s="2" t="s">
        <v>1010</v>
      </c>
      <c r="L272" s="2">
        <v>2.1148500000000001</v>
      </c>
    </row>
    <row r="273" spans="1:12" x14ac:dyDescent="0.2">
      <c r="A273" s="2" t="s">
        <v>1831</v>
      </c>
      <c r="B273" s="2" t="s">
        <v>3015</v>
      </c>
      <c r="C273" s="2" t="s">
        <v>3015</v>
      </c>
      <c r="D273" s="2" t="s">
        <v>3384</v>
      </c>
      <c r="E273" s="2" t="s">
        <v>3487</v>
      </c>
      <c r="F273" s="2">
        <v>1.24535</v>
      </c>
      <c r="G273" s="2">
        <v>3.30105</v>
      </c>
      <c r="H273" s="2">
        <v>1.4063699999999999</v>
      </c>
      <c r="I273" s="2">
        <v>1</v>
      </c>
      <c r="K273" s="2" t="s">
        <v>1022</v>
      </c>
      <c r="L273" s="2">
        <v>1.1684600000000001</v>
      </c>
    </row>
    <row r="274" spans="1:12" x14ac:dyDescent="0.2">
      <c r="A274" s="2" t="s">
        <v>988</v>
      </c>
      <c r="B274" s="2" t="s">
        <v>3047</v>
      </c>
      <c r="C274" s="2" t="s">
        <v>2277</v>
      </c>
      <c r="D274" s="2" t="s">
        <v>3384</v>
      </c>
      <c r="E274" s="2" t="s">
        <v>3487</v>
      </c>
      <c r="F274" s="2">
        <v>0.210979</v>
      </c>
      <c r="G274" s="2">
        <v>1.3816900000000001</v>
      </c>
      <c r="H274" s="2">
        <v>2.7112599999999998</v>
      </c>
      <c r="I274" s="2">
        <v>1</v>
      </c>
      <c r="K274" s="2" t="s">
        <v>1832</v>
      </c>
      <c r="L274" s="2">
        <v>1.15815</v>
      </c>
    </row>
    <row r="275" spans="1:12" x14ac:dyDescent="0.2">
      <c r="A275" s="2" t="s">
        <v>1438</v>
      </c>
      <c r="B275" s="2" t="s">
        <v>3063</v>
      </c>
      <c r="C275" s="2" t="s">
        <v>2100</v>
      </c>
      <c r="D275" s="2" t="s">
        <v>3384</v>
      </c>
      <c r="E275" s="2" t="s">
        <v>3487</v>
      </c>
      <c r="F275" s="2">
        <v>17.814900000000002</v>
      </c>
      <c r="G275" s="2">
        <v>40.272399999999998</v>
      </c>
      <c r="H275" s="2">
        <v>1.1767099999999999</v>
      </c>
      <c r="I275" s="2">
        <v>1</v>
      </c>
      <c r="K275" s="2" t="s">
        <v>1026</v>
      </c>
      <c r="L275" s="2">
        <v>-1.09117</v>
      </c>
    </row>
    <row r="276" spans="1:12" x14ac:dyDescent="0.2">
      <c r="A276" s="2" t="s">
        <v>996</v>
      </c>
      <c r="B276" s="2" t="s">
        <v>3047</v>
      </c>
      <c r="C276" s="2" t="s">
        <v>2277</v>
      </c>
      <c r="D276" s="2" t="s">
        <v>3384</v>
      </c>
      <c r="E276" s="2" t="s">
        <v>3487</v>
      </c>
      <c r="F276" s="2">
        <v>1.44367</v>
      </c>
      <c r="G276" s="2">
        <v>6.8258200000000002</v>
      </c>
      <c r="H276" s="2">
        <v>2.2412700000000001</v>
      </c>
      <c r="I276" s="2">
        <v>1</v>
      </c>
      <c r="K276" s="2" t="s">
        <v>1029</v>
      </c>
      <c r="L276" s="2">
        <v>-1.00986</v>
      </c>
    </row>
    <row r="277" spans="1:12" x14ac:dyDescent="0.2">
      <c r="A277" s="2" t="s">
        <v>999</v>
      </c>
      <c r="B277" s="2" t="s">
        <v>3478</v>
      </c>
      <c r="C277" s="2" t="s">
        <v>2943</v>
      </c>
      <c r="D277" s="2" t="s">
        <v>3384</v>
      </c>
      <c r="E277" s="2" t="s">
        <v>3487</v>
      </c>
      <c r="F277" s="2">
        <v>0.60204199999999997</v>
      </c>
      <c r="G277" s="2">
        <v>1.26708</v>
      </c>
      <c r="H277" s="2">
        <v>1.07358</v>
      </c>
      <c r="I277" s="2">
        <v>1</v>
      </c>
      <c r="K277" s="2" t="s">
        <v>1449</v>
      </c>
      <c r="L277" s="2">
        <v>-2.0269200000000001</v>
      </c>
    </row>
    <row r="278" spans="1:12" x14ac:dyDescent="0.2">
      <c r="A278" s="2" t="s">
        <v>1439</v>
      </c>
      <c r="B278" s="2" t="s">
        <v>3129</v>
      </c>
      <c r="C278" s="2" t="s">
        <v>2595</v>
      </c>
      <c r="D278" s="2" t="s">
        <v>3384</v>
      </c>
      <c r="E278" s="2" t="s">
        <v>3487</v>
      </c>
      <c r="F278" s="2">
        <v>0.46313100000000001</v>
      </c>
      <c r="G278" s="2">
        <v>1.2183200000000001</v>
      </c>
      <c r="H278" s="2">
        <v>1.3954</v>
      </c>
      <c r="I278" s="2">
        <v>1</v>
      </c>
      <c r="K278" s="2" t="s">
        <v>1833</v>
      </c>
      <c r="L278" s="2">
        <v>-1.0024</v>
      </c>
    </row>
    <row r="279" spans="1:12" x14ac:dyDescent="0.2">
      <c r="A279" s="2" t="s">
        <v>1001</v>
      </c>
      <c r="B279" s="2" t="s">
        <v>3015</v>
      </c>
      <c r="C279" s="2" t="s">
        <v>2312</v>
      </c>
      <c r="D279" s="2" t="s">
        <v>3384</v>
      </c>
      <c r="E279" s="2" t="s">
        <v>3487</v>
      </c>
      <c r="F279" s="2">
        <v>2.9210500000000001</v>
      </c>
      <c r="G279" s="2">
        <v>0.83888700000000005</v>
      </c>
      <c r="H279" s="2">
        <v>-1.7999400000000001</v>
      </c>
      <c r="I279" s="2">
        <v>1</v>
      </c>
      <c r="K279" s="2" t="s">
        <v>1057</v>
      </c>
      <c r="L279" s="2">
        <v>1.3652299999999999</v>
      </c>
    </row>
    <row r="280" spans="1:12" x14ac:dyDescent="0.2">
      <c r="A280" s="2" t="s">
        <v>1006</v>
      </c>
      <c r="B280" s="2" t="s">
        <v>3319</v>
      </c>
      <c r="C280" s="2" t="s">
        <v>1862</v>
      </c>
      <c r="D280" s="2" t="s">
        <v>3384</v>
      </c>
      <c r="E280" s="2" t="s">
        <v>3487</v>
      </c>
      <c r="F280" s="2">
        <v>8.3578700000000001</v>
      </c>
      <c r="G280" s="2">
        <v>3.6111499999999999</v>
      </c>
      <c r="H280" s="2">
        <v>-1.21068</v>
      </c>
      <c r="I280" s="2">
        <v>1</v>
      </c>
      <c r="K280" s="2" t="s">
        <v>1834</v>
      </c>
      <c r="L280" s="2">
        <v>1.40004</v>
      </c>
    </row>
    <row r="281" spans="1:12" x14ac:dyDescent="0.2">
      <c r="A281" s="2" t="s">
        <v>1010</v>
      </c>
      <c r="B281" s="2" t="s">
        <v>3015</v>
      </c>
      <c r="C281" s="2" t="s">
        <v>1915</v>
      </c>
      <c r="D281" s="2" t="s">
        <v>3384</v>
      </c>
      <c r="E281" s="2" t="s">
        <v>3487</v>
      </c>
      <c r="F281" s="2">
        <v>0.219358</v>
      </c>
      <c r="G281" s="2">
        <v>0.95014200000000004</v>
      </c>
      <c r="H281" s="2">
        <v>2.1148500000000001</v>
      </c>
      <c r="I281" s="2">
        <v>1</v>
      </c>
      <c r="K281" s="2" t="s">
        <v>1064</v>
      </c>
      <c r="L281" s="2">
        <v>1.2057500000000001</v>
      </c>
    </row>
    <row r="282" spans="1:12" x14ac:dyDescent="0.2">
      <c r="A282" s="2" t="s">
        <v>1022</v>
      </c>
      <c r="B282" s="2" t="s">
        <v>3015</v>
      </c>
      <c r="C282" s="2" t="s">
        <v>1847</v>
      </c>
      <c r="D282" s="2" t="s">
        <v>3384</v>
      </c>
      <c r="E282" s="2" t="s">
        <v>3487</v>
      </c>
      <c r="F282" s="2">
        <v>0.84523499999999996</v>
      </c>
      <c r="G282" s="2">
        <v>1.89985</v>
      </c>
      <c r="H282" s="2">
        <v>1.1684600000000001</v>
      </c>
      <c r="I282" s="2">
        <v>1</v>
      </c>
      <c r="K282" s="2" t="s">
        <v>1457</v>
      </c>
      <c r="L282" s="2">
        <v>2.3499699999999999</v>
      </c>
    </row>
    <row r="283" spans="1:12" x14ac:dyDescent="0.2">
      <c r="A283" s="2" t="s">
        <v>1832</v>
      </c>
      <c r="B283" s="2" t="s">
        <v>3059</v>
      </c>
      <c r="C283" s="2" t="s">
        <v>3011</v>
      </c>
      <c r="D283" s="2" t="s">
        <v>3384</v>
      </c>
      <c r="E283" s="2" t="s">
        <v>3487</v>
      </c>
      <c r="F283" s="2">
        <v>0.85007200000000005</v>
      </c>
      <c r="G283" s="2">
        <v>1.8971100000000001</v>
      </c>
      <c r="H283" s="2">
        <v>1.15815</v>
      </c>
      <c r="I283" s="2">
        <v>1</v>
      </c>
      <c r="K283" s="2" t="s">
        <v>1079</v>
      </c>
      <c r="L283" s="2">
        <v>1.33477</v>
      </c>
    </row>
    <row r="284" spans="1:12" x14ac:dyDescent="0.2">
      <c r="A284" s="2" t="s">
        <v>1026</v>
      </c>
      <c r="B284" s="2" t="s">
        <v>3259</v>
      </c>
      <c r="C284" s="2" t="s">
        <v>1847</v>
      </c>
      <c r="D284" s="2" t="s">
        <v>3384</v>
      </c>
      <c r="E284" s="2" t="s">
        <v>3487</v>
      </c>
      <c r="F284" s="2">
        <v>2.8478699999999999</v>
      </c>
      <c r="G284" s="2">
        <v>1.33674</v>
      </c>
      <c r="H284" s="2">
        <v>-1.09117</v>
      </c>
      <c r="I284" s="2">
        <v>1</v>
      </c>
      <c r="K284" s="2" t="s">
        <v>1082</v>
      </c>
      <c r="L284" s="2">
        <v>1.95424</v>
      </c>
    </row>
    <row r="285" spans="1:12" x14ac:dyDescent="0.2">
      <c r="A285" s="2" t="s">
        <v>1029</v>
      </c>
      <c r="B285" s="2" t="s">
        <v>3015</v>
      </c>
      <c r="C285" s="2" t="s">
        <v>3012</v>
      </c>
      <c r="D285" s="2" t="s">
        <v>3384</v>
      </c>
      <c r="E285" s="2" t="s">
        <v>3487</v>
      </c>
      <c r="F285" s="2">
        <v>4.0110700000000001</v>
      </c>
      <c r="G285" s="2">
        <v>1.99187</v>
      </c>
      <c r="H285" s="2">
        <v>-1.00986</v>
      </c>
      <c r="I285" s="2">
        <v>1</v>
      </c>
      <c r="K285" s="2" t="s">
        <v>1083</v>
      </c>
      <c r="L285" s="2">
        <v>1.7695399999999999</v>
      </c>
    </row>
    <row r="286" spans="1:12" x14ac:dyDescent="0.2">
      <c r="A286" s="2" t="s">
        <v>1449</v>
      </c>
      <c r="B286" s="2" t="s">
        <v>3379</v>
      </c>
      <c r="C286" s="2" t="s">
        <v>2600</v>
      </c>
      <c r="D286" s="2" t="s">
        <v>3384</v>
      </c>
      <c r="E286" s="2" t="s">
        <v>3487</v>
      </c>
      <c r="F286" s="2">
        <v>1.2545200000000001</v>
      </c>
      <c r="G286" s="2">
        <v>0.30783300000000002</v>
      </c>
      <c r="H286" s="2">
        <v>-2.0269200000000001</v>
      </c>
      <c r="I286" s="2">
        <v>1</v>
      </c>
      <c r="K286" s="2" t="s">
        <v>1089</v>
      </c>
      <c r="L286" s="2">
        <v>1.5656600000000001</v>
      </c>
    </row>
    <row r="287" spans="1:12" x14ac:dyDescent="0.2">
      <c r="A287" s="2" t="s">
        <v>1833</v>
      </c>
      <c r="B287" s="2" t="s">
        <v>3015</v>
      </c>
      <c r="C287" s="2" t="s">
        <v>3015</v>
      </c>
      <c r="D287" s="2" t="s">
        <v>3384</v>
      </c>
      <c r="E287" s="2" t="s">
        <v>3487</v>
      </c>
      <c r="F287" s="2">
        <v>1.64876</v>
      </c>
      <c r="G287" s="2">
        <v>0.82301299999999999</v>
      </c>
      <c r="H287" s="2">
        <v>-1.0024</v>
      </c>
      <c r="I287" s="2">
        <v>1</v>
      </c>
      <c r="K287" s="2" t="s">
        <v>1095</v>
      </c>
      <c r="L287" s="2">
        <v>1.7378</v>
      </c>
    </row>
    <row r="288" spans="1:12" x14ac:dyDescent="0.2">
      <c r="A288" s="2" t="s">
        <v>1057</v>
      </c>
      <c r="B288" s="2" t="s">
        <v>3183</v>
      </c>
      <c r="C288" s="2" t="s">
        <v>2958</v>
      </c>
      <c r="D288" s="2" t="s">
        <v>3384</v>
      </c>
      <c r="E288" s="2" t="s">
        <v>3487</v>
      </c>
      <c r="F288" s="2">
        <v>2.9749599999999998</v>
      </c>
      <c r="G288" s="2">
        <v>7.6640100000000002</v>
      </c>
      <c r="H288" s="2">
        <v>1.3652299999999999</v>
      </c>
      <c r="I288" s="2">
        <v>1</v>
      </c>
      <c r="K288" s="2" t="s">
        <v>1096</v>
      </c>
      <c r="L288" s="2">
        <v>3.3620399999999999</v>
      </c>
    </row>
    <row r="289" spans="1:12" x14ac:dyDescent="0.2">
      <c r="A289" s="2" t="s">
        <v>1834</v>
      </c>
      <c r="B289" s="2" t="s">
        <v>3493</v>
      </c>
      <c r="C289" s="2" t="s">
        <v>3013</v>
      </c>
      <c r="D289" s="2" t="s">
        <v>3384</v>
      </c>
      <c r="E289" s="2" t="s">
        <v>3487</v>
      </c>
      <c r="F289" s="2">
        <v>0.29553200000000002</v>
      </c>
      <c r="G289" s="2">
        <v>0.77993400000000002</v>
      </c>
      <c r="H289" s="2">
        <v>1.40004</v>
      </c>
      <c r="I289" s="2">
        <v>1</v>
      </c>
      <c r="K289" s="2" t="s">
        <v>1466</v>
      </c>
      <c r="L289" s="2">
        <v>2.0962100000000001</v>
      </c>
    </row>
    <row r="290" spans="1:12" x14ac:dyDescent="0.2">
      <c r="A290" s="2" t="s">
        <v>1064</v>
      </c>
      <c r="B290" s="2" t="s">
        <v>3015</v>
      </c>
      <c r="C290" s="2" t="s">
        <v>1854</v>
      </c>
      <c r="D290" s="2" t="s">
        <v>3384</v>
      </c>
      <c r="E290" s="2" t="s">
        <v>3487</v>
      </c>
      <c r="F290" s="2">
        <v>1.0661499999999999</v>
      </c>
      <c r="G290" s="2">
        <v>2.4591500000000002</v>
      </c>
      <c r="H290" s="2">
        <v>1.2057500000000001</v>
      </c>
      <c r="I290" s="2">
        <v>1</v>
      </c>
      <c r="K290" s="2" t="s">
        <v>1468</v>
      </c>
      <c r="L290" s="2">
        <v>1.0204899999999999</v>
      </c>
    </row>
    <row r="291" spans="1:12" x14ac:dyDescent="0.2">
      <c r="A291" s="2" t="s">
        <v>1457</v>
      </c>
      <c r="B291" s="2" t="s">
        <v>3015</v>
      </c>
      <c r="C291" s="2" t="s">
        <v>3015</v>
      </c>
      <c r="D291" s="2" t="s">
        <v>3384</v>
      </c>
      <c r="E291" s="2" t="s">
        <v>3487</v>
      </c>
      <c r="F291" s="2">
        <v>0.18639900000000001</v>
      </c>
      <c r="G291" s="2">
        <v>0.95028599999999996</v>
      </c>
      <c r="H291" s="2">
        <v>2.3499699999999999</v>
      </c>
      <c r="I291" s="2">
        <v>1</v>
      </c>
      <c r="K291" s="2" t="s">
        <v>1794</v>
      </c>
      <c r="L291" s="2">
        <v>1.5383199999999999</v>
      </c>
    </row>
    <row r="292" spans="1:12" x14ac:dyDescent="0.2">
      <c r="A292" s="2" t="s">
        <v>1079</v>
      </c>
      <c r="B292" s="2" t="s">
        <v>3081</v>
      </c>
      <c r="C292" s="2" t="s">
        <v>2968</v>
      </c>
      <c r="D292" s="2" t="s">
        <v>3384</v>
      </c>
      <c r="E292" s="2" t="s">
        <v>3487</v>
      </c>
      <c r="F292" s="2">
        <v>1.0480100000000001</v>
      </c>
      <c r="G292" s="2">
        <v>2.6434500000000001</v>
      </c>
      <c r="H292" s="2">
        <v>1.33477</v>
      </c>
      <c r="I292" s="2">
        <v>1</v>
      </c>
      <c r="K292" s="2" t="s">
        <v>1114</v>
      </c>
      <c r="L292" s="2">
        <v>1.2439100000000001</v>
      </c>
    </row>
    <row r="293" spans="1:12" x14ac:dyDescent="0.2">
      <c r="A293" s="2" t="s">
        <v>1082</v>
      </c>
      <c r="B293" s="2" t="s">
        <v>3015</v>
      </c>
      <c r="C293" s="2" t="s">
        <v>2349</v>
      </c>
      <c r="D293" s="2" t="s">
        <v>3384</v>
      </c>
      <c r="E293" s="2" t="s">
        <v>3487</v>
      </c>
      <c r="F293" s="2">
        <v>1.1978800000000001</v>
      </c>
      <c r="G293" s="2">
        <v>4.6419100000000002</v>
      </c>
      <c r="H293" s="2">
        <v>1.95424</v>
      </c>
      <c r="I293" s="2">
        <v>1</v>
      </c>
      <c r="K293" s="2" t="s">
        <v>1796</v>
      </c>
      <c r="L293" s="2">
        <v>1.3093399999999999</v>
      </c>
    </row>
    <row r="294" spans="1:12" x14ac:dyDescent="0.2">
      <c r="A294" s="2" t="s">
        <v>1083</v>
      </c>
      <c r="B294" s="2" t="s">
        <v>3080</v>
      </c>
      <c r="C294" s="2" t="s">
        <v>2350</v>
      </c>
      <c r="D294" s="2" t="s">
        <v>3384</v>
      </c>
      <c r="E294" s="2" t="s">
        <v>3487</v>
      </c>
      <c r="F294" s="2">
        <v>1.18364</v>
      </c>
      <c r="G294" s="2">
        <v>4.0355499999999997</v>
      </c>
      <c r="H294" s="2">
        <v>1.7695399999999999</v>
      </c>
      <c r="I294" s="2">
        <v>1</v>
      </c>
      <c r="K294" s="2" t="s">
        <v>1835</v>
      </c>
      <c r="L294" s="2">
        <v>1.74682</v>
      </c>
    </row>
    <row r="295" spans="1:12" x14ac:dyDescent="0.2">
      <c r="A295" s="2" t="s">
        <v>1089</v>
      </c>
      <c r="B295" s="2" t="s">
        <v>3015</v>
      </c>
      <c r="C295" s="2" t="s">
        <v>1917</v>
      </c>
      <c r="D295" s="2" t="s">
        <v>3384</v>
      </c>
      <c r="E295" s="2" t="s">
        <v>3487</v>
      </c>
      <c r="F295" s="2">
        <v>0.76492800000000005</v>
      </c>
      <c r="G295" s="2">
        <v>2.2642799999999998</v>
      </c>
      <c r="H295" s="2">
        <v>1.5656600000000001</v>
      </c>
      <c r="I295" s="2">
        <v>1</v>
      </c>
      <c r="K295" s="2" t="s">
        <v>1124</v>
      </c>
      <c r="L295" s="2">
        <v>1.1477599999999999</v>
      </c>
    </row>
    <row r="296" spans="1:12" x14ac:dyDescent="0.2">
      <c r="A296" s="2" t="s">
        <v>1095</v>
      </c>
      <c r="B296" s="2" t="s">
        <v>3015</v>
      </c>
      <c r="C296" s="2" t="s">
        <v>1880</v>
      </c>
      <c r="D296" s="2" t="s">
        <v>3384</v>
      </c>
      <c r="E296" s="2" t="s">
        <v>3487</v>
      </c>
      <c r="F296" s="2">
        <v>1.5256700000000001</v>
      </c>
      <c r="G296" s="2">
        <v>5.0885199999999999</v>
      </c>
      <c r="H296" s="2">
        <v>1.7378</v>
      </c>
      <c r="I296" s="2">
        <v>1</v>
      </c>
    </row>
    <row r="297" spans="1:12" x14ac:dyDescent="0.2">
      <c r="A297" s="2" t="s">
        <v>1096</v>
      </c>
      <c r="B297" s="2" t="s">
        <v>3015</v>
      </c>
      <c r="C297" s="2" t="s">
        <v>1880</v>
      </c>
      <c r="D297" s="2" t="s">
        <v>3384</v>
      </c>
      <c r="E297" s="2" t="s">
        <v>3487</v>
      </c>
      <c r="F297" s="2">
        <v>0.56859899999999997</v>
      </c>
      <c r="G297" s="2">
        <v>5.8463000000000003</v>
      </c>
      <c r="H297" s="2">
        <v>3.3620399999999999</v>
      </c>
      <c r="I297" s="2">
        <v>1</v>
      </c>
    </row>
    <row r="298" spans="1:12" x14ac:dyDescent="0.2">
      <c r="A298" s="2" t="s">
        <v>1466</v>
      </c>
      <c r="B298" s="2" t="s">
        <v>3313</v>
      </c>
      <c r="C298" s="2" t="s">
        <v>2479</v>
      </c>
      <c r="D298" s="2" t="s">
        <v>3384</v>
      </c>
      <c r="E298" s="2" t="s">
        <v>3487</v>
      </c>
      <c r="F298" s="2">
        <v>1.80616</v>
      </c>
      <c r="G298" s="2">
        <v>7.7228700000000003</v>
      </c>
      <c r="H298" s="2">
        <v>2.0962100000000001</v>
      </c>
      <c r="I298" s="2">
        <v>1</v>
      </c>
    </row>
    <row r="299" spans="1:12" x14ac:dyDescent="0.2">
      <c r="A299" s="2" t="s">
        <v>1468</v>
      </c>
      <c r="B299" s="2" t="s">
        <v>3015</v>
      </c>
      <c r="C299" s="2" t="s">
        <v>3015</v>
      </c>
      <c r="D299" s="2" t="s">
        <v>3384</v>
      </c>
      <c r="E299" s="2" t="s">
        <v>3487</v>
      </c>
      <c r="F299" s="2">
        <v>0.67998400000000003</v>
      </c>
      <c r="G299" s="2">
        <v>1.3794200000000001</v>
      </c>
      <c r="H299" s="2">
        <v>1.0204899999999999</v>
      </c>
      <c r="I299" s="2">
        <v>1</v>
      </c>
    </row>
    <row r="300" spans="1:12" x14ac:dyDescent="0.2">
      <c r="A300" s="2" t="s">
        <v>1794</v>
      </c>
      <c r="B300" s="2" t="s">
        <v>3494</v>
      </c>
      <c r="C300" s="2" t="s">
        <v>3014</v>
      </c>
      <c r="D300" s="2" t="s">
        <v>3384</v>
      </c>
      <c r="E300" s="2" t="s">
        <v>3487</v>
      </c>
      <c r="F300" s="2">
        <v>0.495645</v>
      </c>
      <c r="G300" s="2">
        <v>1.43963</v>
      </c>
      <c r="H300" s="2">
        <v>1.5383199999999999</v>
      </c>
      <c r="I300" s="2">
        <v>1</v>
      </c>
    </row>
    <row r="301" spans="1:12" x14ac:dyDescent="0.2">
      <c r="A301" s="2" t="s">
        <v>1114</v>
      </c>
      <c r="B301" s="2" t="s">
        <v>3015</v>
      </c>
      <c r="C301" s="2" t="s">
        <v>2974</v>
      </c>
      <c r="D301" s="2" t="s">
        <v>3384</v>
      </c>
      <c r="E301" s="2" t="s">
        <v>3487</v>
      </c>
      <c r="F301" s="2">
        <v>0.34355400000000003</v>
      </c>
      <c r="G301" s="2">
        <v>0.81367299999999998</v>
      </c>
      <c r="H301" s="2">
        <v>1.2439100000000001</v>
      </c>
      <c r="I301" s="2">
        <v>1</v>
      </c>
    </row>
    <row r="302" spans="1:12" x14ac:dyDescent="0.2">
      <c r="A302" s="2" t="s">
        <v>1796</v>
      </c>
      <c r="B302" s="2" t="s">
        <v>3015</v>
      </c>
      <c r="C302" s="2" t="s">
        <v>1914</v>
      </c>
      <c r="D302" s="2" t="s">
        <v>3384</v>
      </c>
      <c r="E302" s="2" t="s">
        <v>3487</v>
      </c>
      <c r="F302" s="2">
        <v>1.15368</v>
      </c>
      <c r="G302" s="2">
        <v>2.8591299999999999</v>
      </c>
      <c r="H302" s="2">
        <v>1.3093399999999999</v>
      </c>
      <c r="I302" s="2">
        <v>1</v>
      </c>
    </row>
    <row r="303" spans="1:12" x14ac:dyDescent="0.2">
      <c r="A303" s="2" t="s">
        <v>1835</v>
      </c>
      <c r="B303" s="2" t="s">
        <v>3015</v>
      </c>
      <c r="C303" s="2" t="s">
        <v>3015</v>
      </c>
      <c r="D303" s="2" t="s">
        <v>3384</v>
      </c>
      <c r="E303" s="2" t="s">
        <v>3487</v>
      </c>
      <c r="F303" s="2">
        <v>1.87649</v>
      </c>
      <c r="G303" s="2">
        <v>6.2978199999999998</v>
      </c>
      <c r="H303" s="2">
        <v>1.74682</v>
      </c>
      <c r="I303" s="2">
        <v>1</v>
      </c>
    </row>
    <row r="304" spans="1:12" x14ac:dyDescent="0.2">
      <c r="A304" s="2" t="s">
        <v>1124</v>
      </c>
      <c r="B304" s="2" t="s">
        <v>3015</v>
      </c>
      <c r="C304" s="2" t="s">
        <v>3015</v>
      </c>
      <c r="D304" s="2" t="s">
        <v>3384</v>
      </c>
      <c r="E304" s="2" t="s">
        <v>3487</v>
      </c>
      <c r="F304" s="2">
        <v>2.9822000000000002</v>
      </c>
      <c r="G304" s="2">
        <v>6.6076600000000001</v>
      </c>
      <c r="H304" s="2">
        <v>1.1477599999999999</v>
      </c>
      <c r="I304" s="2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2"/>
  <sheetViews>
    <sheetView workbookViewId="0"/>
  </sheetViews>
  <sheetFormatPr defaultColWidth="8.875" defaultRowHeight="14.25" x14ac:dyDescent="0.2"/>
  <cols>
    <col min="1" max="2" width="21.125" style="22" customWidth="1"/>
    <col min="3" max="3" width="57.125" style="19" customWidth="1"/>
    <col min="4" max="4" width="11.125" style="19" customWidth="1"/>
    <col min="5" max="16384" width="8.875" style="19"/>
  </cols>
  <sheetData>
    <row r="1" spans="1:12" s="25" customFormat="1" ht="20.25" x14ac:dyDescent="0.2">
      <c r="A1" s="11" t="s">
        <v>3532</v>
      </c>
      <c r="B1" s="28"/>
    </row>
    <row r="2" spans="1:12" s="9" customFormat="1" ht="18.75" x14ac:dyDescent="0.25">
      <c r="A2" s="28" t="s">
        <v>3538</v>
      </c>
      <c r="B2" s="28"/>
      <c r="C2" s="10"/>
    </row>
    <row r="3" spans="1:12" s="9" customFormat="1" ht="18.75" x14ac:dyDescent="0.25">
      <c r="A3" s="28" t="s">
        <v>3539</v>
      </c>
      <c r="B3" s="28"/>
      <c r="C3" s="10"/>
    </row>
    <row r="4" spans="1:12" s="31" customFormat="1" ht="18.75" customHeight="1" x14ac:dyDescent="0.25">
      <c r="A4" s="31" t="s">
        <v>3500</v>
      </c>
      <c r="B4" s="31" t="s">
        <v>3499</v>
      </c>
      <c r="C4" s="25" t="s">
        <v>1843</v>
      </c>
      <c r="D4" s="32" t="s">
        <v>0</v>
      </c>
      <c r="E4" s="32" t="s">
        <v>1</v>
      </c>
      <c r="F4" s="32" t="s">
        <v>2</v>
      </c>
      <c r="G4" s="32" t="s">
        <v>3</v>
      </c>
      <c r="H4" s="32" t="s">
        <v>4</v>
      </c>
      <c r="I4" s="32"/>
      <c r="J4" s="32"/>
      <c r="K4" s="32"/>
      <c r="L4" s="32"/>
    </row>
    <row r="5" spans="1:12" s="2" customFormat="1" ht="15" x14ac:dyDescent="0.2">
      <c r="A5" s="5" t="s">
        <v>243</v>
      </c>
      <c r="B5" s="5" t="e">
        <f>VLOOKUP($A5,[1]Sheet1!$A:$B,2,FALSE)</f>
        <v>#N/A</v>
      </c>
      <c r="C5" s="2" t="s">
        <v>1957</v>
      </c>
      <c r="D5" s="3" t="s">
        <v>1836</v>
      </c>
      <c r="E5" s="3" t="s">
        <v>1837</v>
      </c>
      <c r="F5" s="3">
        <v>0.45131300000000002</v>
      </c>
      <c r="G5" s="3">
        <v>15.3552</v>
      </c>
      <c r="H5" s="3">
        <v>5.0884499999999999</v>
      </c>
      <c r="I5" s="3" t="s">
        <v>3015</v>
      </c>
      <c r="J5" s="4"/>
      <c r="K5" s="3"/>
      <c r="L5" s="3"/>
    </row>
    <row r="6" spans="1:12" s="2" customFormat="1" ht="15" x14ac:dyDescent="0.2">
      <c r="A6" s="5" t="s">
        <v>145</v>
      </c>
      <c r="B6" s="5" t="e">
        <f>VLOOKUP($A6,[1]Sheet1!$A:$B,2,FALSE)</f>
        <v>#N/A</v>
      </c>
      <c r="C6" s="2" t="s">
        <v>1910</v>
      </c>
      <c r="D6" s="3" t="s">
        <v>1836</v>
      </c>
      <c r="E6" s="3" t="s">
        <v>1837</v>
      </c>
      <c r="F6" s="3">
        <v>0.19189600000000001</v>
      </c>
      <c r="G6" s="3">
        <v>5.8318300000000001</v>
      </c>
      <c r="H6" s="3">
        <v>4.9255599999999999</v>
      </c>
      <c r="I6" s="3" t="s">
        <v>3015</v>
      </c>
      <c r="J6" s="4"/>
      <c r="K6" s="3"/>
      <c r="L6" s="3"/>
    </row>
    <row r="7" spans="1:12" s="2" customFormat="1" ht="15" x14ac:dyDescent="0.2">
      <c r="A7" s="5" t="s">
        <v>269</v>
      </c>
      <c r="B7" s="5" t="e">
        <f>VLOOKUP($A7,[1]Sheet1!$A:$B,2,FALSE)</f>
        <v>#N/A</v>
      </c>
      <c r="C7" s="2" t="s">
        <v>1970</v>
      </c>
      <c r="D7" s="3" t="s">
        <v>1836</v>
      </c>
      <c r="E7" s="3" t="s">
        <v>1837</v>
      </c>
      <c r="F7" s="3">
        <v>0.62646100000000005</v>
      </c>
      <c r="G7" s="3">
        <v>12.7577</v>
      </c>
      <c r="H7" s="3">
        <v>4.3479999999999999</v>
      </c>
      <c r="I7" s="3" t="s">
        <v>3015</v>
      </c>
      <c r="J7" s="4"/>
      <c r="K7" s="3"/>
      <c r="L7" s="3"/>
    </row>
    <row r="8" spans="1:12" s="2" customFormat="1" ht="15" x14ac:dyDescent="0.2">
      <c r="A8" s="5" t="s">
        <v>266</v>
      </c>
      <c r="B8" s="5" t="str">
        <f>VLOOKUP($A8,[1]Sheet1!$A:$B,2,FALSE)</f>
        <v>GO:0005576GO:0004867</v>
      </c>
      <c r="C8" s="2" t="s">
        <v>3015</v>
      </c>
      <c r="D8" s="3" t="s">
        <v>1836</v>
      </c>
      <c r="E8" s="3" t="s">
        <v>1837</v>
      </c>
      <c r="F8" s="3">
        <v>1.0129300000000001</v>
      </c>
      <c r="G8" s="3">
        <v>20.145700000000001</v>
      </c>
      <c r="H8" s="3">
        <v>4.3138699999999996</v>
      </c>
      <c r="I8" s="3" t="s">
        <v>3103</v>
      </c>
      <c r="J8" s="3"/>
      <c r="K8" s="3"/>
      <c r="L8" s="3"/>
    </row>
    <row r="9" spans="1:12" s="2" customFormat="1" ht="15" x14ac:dyDescent="0.2">
      <c r="A9" s="5" t="s">
        <v>1084</v>
      </c>
      <c r="B9" s="5" t="e">
        <f>VLOOKUP($A9,[1]Sheet1!$A:$B,2,FALSE)</f>
        <v>#N/A</v>
      </c>
      <c r="C9" s="2" t="s">
        <v>1847</v>
      </c>
      <c r="D9" s="3" t="s">
        <v>1836</v>
      </c>
      <c r="E9" s="3" t="s">
        <v>1837</v>
      </c>
      <c r="F9" s="3">
        <v>0.154308</v>
      </c>
      <c r="G9" s="3">
        <v>2.7341299999999999</v>
      </c>
      <c r="H9" s="3">
        <v>4.1471900000000002</v>
      </c>
      <c r="I9" s="3" t="s">
        <v>3015</v>
      </c>
      <c r="J9" s="3"/>
      <c r="K9" s="3"/>
      <c r="L9" s="3"/>
    </row>
    <row r="10" spans="1:12" s="2" customFormat="1" ht="15" x14ac:dyDescent="0.2">
      <c r="A10" s="5" t="s">
        <v>446</v>
      </c>
      <c r="B10" s="5" t="str">
        <f>VLOOKUP($A10,[1]Sheet1!$A:$B,2,FALSE)</f>
        <v>GO:0004674GO:0006468GO:0004713GO:0005524</v>
      </c>
      <c r="C10" s="2" t="s">
        <v>2050</v>
      </c>
      <c r="D10" s="3" t="s">
        <v>1836</v>
      </c>
      <c r="E10" s="3" t="s">
        <v>1837</v>
      </c>
      <c r="F10" s="3">
        <v>6.15478E-2</v>
      </c>
      <c r="G10" s="3">
        <v>1.0560400000000001</v>
      </c>
      <c r="H10" s="3">
        <v>4.1008100000000001</v>
      </c>
      <c r="I10" s="3" t="s">
        <v>3038</v>
      </c>
      <c r="J10" s="4"/>
      <c r="K10" s="3"/>
      <c r="L10" s="3"/>
    </row>
    <row r="11" spans="1:12" s="2" customFormat="1" ht="15" x14ac:dyDescent="0.2">
      <c r="A11" s="5" t="s">
        <v>823</v>
      </c>
      <c r="B11" s="5" t="e">
        <f>VLOOKUP($A11,[1]Sheet1!$A:$B,2,FALSE)</f>
        <v>#N/A</v>
      </c>
      <c r="C11" s="2" t="s">
        <v>2218</v>
      </c>
      <c r="D11" s="3" t="s">
        <v>1836</v>
      </c>
      <c r="E11" s="3" t="s">
        <v>1837</v>
      </c>
      <c r="F11" s="3">
        <v>0.49745699999999998</v>
      </c>
      <c r="G11" s="3">
        <v>8.3309200000000008</v>
      </c>
      <c r="H11" s="3">
        <v>4.0658300000000001</v>
      </c>
      <c r="I11" s="3" t="s">
        <v>3015</v>
      </c>
      <c r="J11" s="3"/>
      <c r="K11" s="3"/>
      <c r="L11" s="3"/>
    </row>
    <row r="12" spans="1:12" s="2" customFormat="1" ht="15" x14ac:dyDescent="0.2">
      <c r="A12" s="5" t="s">
        <v>360</v>
      </c>
      <c r="B12" s="5" t="str">
        <f>VLOOKUP($A12,[1]Sheet1!$A:$B,2,FALSE)</f>
        <v>GO:0003735GO:0006412GO:0006464GO:0005840</v>
      </c>
      <c r="C12" s="2" t="s">
        <v>3015</v>
      </c>
      <c r="D12" s="3" t="s">
        <v>1836</v>
      </c>
      <c r="E12" s="3" t="s">
        <v>1837</v>
      </c>
      <c r="F12" s="3">
        <v>0.77188000000000001</v>
      </c>
      <c r="G12" s="3">
        <v>12.0535</v>
      </c>
      <c r="H12" s="3">
        <v>3.9649399999999999</v>
      </c>
      <c r="I12" s="3" t="s">
        <v>3124</v>
      </c>
      <c r="J12" s="3"/>
      <c r="K12" s="3"/>
      <c r="L12" s="3"/>
    </row>
    <row r="13" spans="1:12" s="2" customFormat="1" ht="15" x14ac:dyDescent="0.2">
      <c r="A13" s="5" t="s">
        <v>92</v>
      </c>
      <c r="B13" s="5" t="str">
        <f>VLOOKUP($A13,[1]Sheet1!$A:$B,2,FALSE)</f>
        <v>GO:0016021</v>
      </c>
      <c r="C13" s="2" t="s">
        <v>1883</v>
      </c>
      <c r="D13" s="3" t="s">
        <v>1836</v>
      </c>
      <c r="E13" s="3" t="s">
        <v>1837</v>
      </c>
      <c r="F13" s="3">
        <v>7.9632499999999995E-2</v>
      </c>
      <c r="G13" s="3">
        <v>1.1493899999999999</v>
      </c>
      <c r="H13" s="3">
        <v>3.8513700000000002</v>
      </c>
      <c r="I13" s="3" t="s">
        <v>3024</v>
      </c>
      <c r="J13" s="4"/>
      <c r="K13" s="3"/>
      <c r="L13" s="3"/>
    </row>
    <row r="14" spans="1:12" s="2" customFormat="1" ht="15" x14ac:dyDescent="0.2">
      <c r="A14" s="5" t="s">
        <v>924</v>
      </c>
      <c r="B14" s="5" t="str">
        <f>VLOOKUP($A14,[1]Sheet1!$A:$B,2,FALSE)</f>
        <v>GO:0003735GO:0008270GO:0006412GO:0005840</v>
      </c>
      <c r="C14" s="2" t="s">
        <v>1847</v>
      </c>
      <c r="D14" s="3" t="s">
        <v>1836</v>
      </c>
      <c r="E14" s="3" t="s">
        <v>1837</v>
      </c>
      <c r="F14" s="3">
        <v>0.68254000000000004</v>
      </c>
      <c r="G14" s="3">
        <v>7.5961400000000001</v>
      </c>
      <c r="H14" s="3">
        <v>3.47628</v>
      </c>
      <c r="I14" s="3" t="s">
        <v>3239</v>
      </c>
      <c r="J14" s="4"/>
      <c r="K14" s="3"/>
      <c r="L14" s="3"/>
    </row>
    <row r="15" spans="1:12" s="2" customFormat="1" ht="15" x14ac:dyDescent="0.2">
      <c r="A15" s="5" t="s">
        <v>60</v>
      </c>
      <c r="B15" s="5" t="e">
        <f>VLOOKUP($A15,[1]Sheet1!$A:$B,2,FALSE)</f>
        <v>#N/A</v>
      </c>
      <c r="C15" s="2" t="s">
        <v>1871</v>
      </c>
      <c r="D15" s="3" t="s">
        <v>1836</v>
      </c>
      <c r="E15" s="3" t="s">
        <v>1837</v>
      </c>
      <c r="F15" s="3">
        <v>1.17746</v>
      </c>
      <c r="G15" s="3">
        <v>12.6069</v>
      </c>
      <c r="H15" s="3">
        <v>3.4204599999999998</v>
      </c>
      <c r="I15" s="3" t="s">
        <v>3015</v>
      </c>
      <c r="J15" s="3"/>
      <c r="K15" s="3"/>
      <c r="L15" s="3"/>
    </row>
    <row r="16" spans="1:12" s="2" customFormat="1" ht="15" x14ac:dyDescent="0.2">
      <c r="A16" s="5" t="s">
        <v>215</v>
      </c>
      <c r="B16" s="5" t="e">
        <f>VLOOKUP($A16,[1]Sheet1!$A:$B,2,FALSE)</f>
        <v>#N/A</v>
      </c>
      <c r="C16" s="2" t="s">
        <v>1946</v>
      </c>
      <c r="D16" s="3" t="s">
        <v>1836</v>
      </c>
      <c r="E16" s="3" t="s">
        <v>1837</v>
      </c>
      <c r="F16" s="3">
        <v>0.103158</v>
      </c>
      <c r="G16" s="3">
        <v>1.08331</v>
      </c>
      <c r="H16" s="3">
        <v>3.3925200000000002</v>
      </c>
      <c r="I16" s="3" t="s">
        <v>3015</v>
      </c>
      <c r="J16" s="3"/>
      <c r="K16" s="3"/>
      <c r="L16" s="3"/>
    </row>
    <row r="17" spans="1:12" s="2" customFormat="1" ht="15" x14ac:dyDescent="0.2">
      <c r="A17" s="5" t="s">
        <v>82</v>
      </c>
      <c r="B17" s="5" t="str">
        <f>VLOOKUP($A17,[1]Sheet1!$A:$B,2,FALSE)</f>
        <v>GO:0003824GO:0016564GO:0006808GO:0044237GO:0050662</v>
      </c>
      <c r="C17" s="2" t="s">
        <v>1881</v>
      </c>
      <c r="D17" s="3" t="s">
        <v>1836</v>
      </c>
      <c r="E17" s="3" t="s">
        <v>1837</v>
      </c>
      <c r="F17" s="3">
        <v>0.47378100000000001</v>
      </c>
      <c r="G17" s="3">
        <v>4.6431300000000002</v>
      </c>
      <c r="H17" s="3">
        <v>3.2928099999999998</v>
      </c>
      <c r="I17" s="3" t="s">
        <v>3048</v>
      </c>
      <c r="J17" s="4"/>
      <c r="K17" s="3"/>
      <c r="L17" s="3"/>
    </row>
    <row r="18" spans="1:12" s="2" customFormat="1" ht="15" x14ac:dyDescent="0.2">
      <c r="A18" s="5" t="s">
        <v>302</v>
      </c>
      <c r="B18" s="5" t="str">
        <f>VLOOKUP($A18,[1]Sheet1!$A:$B,2,FALSE)</f>
        <v>GO:0008270GO:0055114GO:0016491</v>
      </c>
      <c r="C18" s="2" t="s">
        <v>1983</v>
      </c>
      <c r="D18" s="3" t="s">
        <v>1836</v>
      </c>
      <c r="E18" s="3" t="s">
        <v>1837</v>
      </c>
      <c r="F18" s="3">
        <v>0.58928599999999998</v>
      </c>
      <c r="G18" s="3">
        <v>5.5100100000000003</v>
      </c>
      <c r="H18" s="3">
        <v>3.2250200000000002</v>
      </c>
      <c r="I18" s="3" t="s">
        <v>3109</v>
      </c>
      <c r="J18" s="4"/>
      <c r="K18" s="3"/>
      <c r="L18" s="3"/>
    </row>
    <row r="19" spans="1:12" s="2" customFormat="1" ht="15" x14ac:dyDescent="0.2">
      <c r="A19" s="5" t="s">
        <v>207</v>
      </c>
      <c r="B19" s="5" t="str">
        <f>VLOOKUP($A19,[1]Sheet1!$A:$B,2,FALSE)</f>
        <v>GO:0003993</v>
      </c>
      <c r="C19" s="2" t="s">
        <v>1942</v>
      </c>
      <c r="D19" s="3" t="s">
        <v>1836</v>
      </c>
      <c r="E19" s="3" t="s">
        <v>1837</v>
      </c>
      <c r="F19" s="3">
        <v>0.185561</v>
      </c>
      <c r="G19" s="3">
        <v>1.6388199999999999</v>
      </c>
      <c r="H19" s="3">
        <v>3.14269</v>
      </c>
      <c r="I19" s="3" t="s">
        <v>3085</v>
      </c>
      <c r="J19" s="4"/>
      <c r="K19" s="3"/>
      <c r="L19" s="3"/>
    </row>
    <row r="20" spans="1:12" s="2" customFormat="1" ht="15" x14ac:dyDescent="0.2">
      <c r="A20" s="5" t="s">
        <v>323</v>
      </c>
      <c r="B20" s="5" t="str">
        <f>VLOOKUP($A20,[1]Sheet1!$A:$B,2,FALSE)</f>
        <v>GO:0004601GO:0006979GO:0020037GO:0009055</v>
      </c>
      <c r="C20" s="2" t="s">
        <v>1847</v>
      </c>
      <c r="D20" s="3" t="s">
        <v>1836</v>
      </c>
      <c r="E20" s="3" t="s">
        <v>1837</v>
      </c>
      <c r="F20" s="3">
        <v>0.26123499999999999</v>
      </c>
      <c r="G20" s="3">
        <v>2.2105800000000002</v>
      </c>
      <c r="H20" s="3">
        <v>3.08101</v>
      </c>
      <c r="I20" s="3" t="s">
        <v>3049</v>
      </c>
      <c r="J20" s="4"/>
      <c r="K20" s="3"/>
      <c r="L20" s="3"/>
    </row>
    <row r="21" spans="1:12" s="2" customFormat="1" ht="15" x14ac:dyDescent="0.2">
      <c r="A21" s="5" t="s">
        <v>857</v>
      </c>
      <c r="B21" s="5" t="str">
        <f>VLOOKUP($A21,[1]Sheet1!$A:$B,2,FALSE)</f>
        <v>GO:0003735GO:0006412GO:0006464GO:0005840</v>
      </c>
      <c r="C21" s="2" t="s">
        <v>2239</v>
      </c>
      <c r="D21" s="3" t="s">
        <v>1836</v>
      </c>
      <c r="E21" s="3" t="s">
        <v>1837</v>
      </c>
      <c r="F21" s="3">
        <v>0.35525699999999999</v>
      </c>
      <c r="G21" s="3">
        <v>2.9161899999999998</v>
      </c>
      <c r="H21" s="3">
        <v>3.03715</v>
      </c>
      <c r="I21" s="3" t="s">
        <v>3124</v>
      </c>
      <c r="J21" s="4"/>
      <c r="K21" s="3"/>
      <c r="L21" s="3"/>
    </row>
    <row r="22" spans="1:12" s="2" customFormat="1" ht="15" x14ac:dyDescent="0.2">
      <c r="A22" s="5" t="s">
        <v>103</v>
      </c>
      <c r="B22" s="5" t="e">
        <f>VLOOKUP($A22,[1]Sheet1!$A:$B,2,FALSE)</f>
        <v>#N/A</v>
      </c>
      <c r="C22" s="2" t="s">
        <v>1887</v>
      </c>
      <c r="D22" s="3" t="s">
        <v>1836</v>
      </c>
      <c r="E22" s="3" t="s">
        <v>1837</v>
      </c>
      <c r="F22" s="3">
        <v>0.43479699999999999</v>
      </c>
      <c r="G22" s="3">
        <v>3.1589</v>
      </c>
      <c r="H22" s="3">
        <v>2.8610099999999998</v>
      </c>
      <c r="I22" s="3" t="s">
        <v>3015</v>
      </c>
      <c r="J22" s="4"/>
      <c r="K22" s="3"/>
      <c r="L22" s="3"/>
    </row>
    <row r="23" spans="1:12" s="2" customFormat="1" ht="15" x14ac:dyDescent="0.2">
      <c r="A23" s="5" t="s">
        <v>807</v>
      </c>
      <c r="B23" s="5" t="str">
        <f>VLOOKUP($A23,[1]Sheet1!$A:$B,2,FALSE)</f>
        <v>GO:0005840GO:0016021GO:0003735GO:0050825GO:0042309GO:0050826GO:0007186GO:0006412</v>
      </c>
      <c r="C23" s="2" t="s">
        <v>2211</v>
      </c>
      <c r="D23" s="3" t="s">
        <v>1836</v>
      </c>
      <c r="E23" s="3" t="s">
        <v>1837</v>
      </c>
      <c r="F23" s="3">
        <v>2.8700299999999999</v>
      </c>
      <c r="G23" s="3">
        <v>19.206499999999998</v>
      </c>
      <c r="H23" s="3">
        <v>2.7424499999999998</v>
      </c>
      <c r="I23" s="3" t="s">
        <v>3212</v>
      </c>
      <c r="J23" s="3"/>
      <c r="K23" s="3"/>
      <c r="L23" s="3"/>
    </row>
    <row r="24" spans="1:12" s="2" customFormat="1" ht="15" x14ac:dyDescent="0.2">
      <c r="A24" s="5" t="s">
        <v>877</v>
      </c>
      <c r="B24" s="5" t="e">
        <f>VLOOKUP($A24,[1]Sheet1!$A:$B,2,FALSE)</f>
        <v>#N/A</v>
      </c>
      <c r="C24" s="2" t="s">
        <v>2218</v>
      </c>
      <c r="D24" s="3" t="s">
        <v>1836</v>
      </c>
      <c r="E24" s="3" t="s">
        <v>1837</v>
      </c>
      <c r="F24" s="3">
        <v>1.0554699999999999</v>
      </c>
      <c r="G24" s="3">
        <v>6.9134200000000003</v>
      </c>
      <c r="H24" s="3">
        <v>2.7115100000000001</v>
      </c>
      <c r="I24" s="3" t="s">
        <v>3015</v>
      </c>
      <c r="J24" s="4"/>
      <c r="K24" s="3"/>
      <c r="L24" s="3"/>
    </row>
    <row r="25" spans="1:12" s="2" customFormat="1" ht="15" x14ac:dyDescent="0.2">
      <c r="A25" s="5" t="s">
        <v>3498</v>
      </c>
      <c r="B25" s="5" t="str">
        <f>VLOOKUP($A25,[1]Sheet1!$A:$B,2,FALSE)</f>
        <v>GO:0006508GO:0004190</v>
      </c>
      <c r="C25" s="2" t="s">
        <v>3015</v>
      </c>
      <c r="D25" s="3" t="s">
        <v>1836</v>
      </c>
      <c r="E25" s="3" t="s">
        <v>1837</v>
      </c>
      <c r="F25" s="3">
        <v>0.39915200000000001</v>
      </c>
      <c r="G25" s="3">
        <v>2.5778099999999999</v>
      </c>
      <c r="H25" s="3">
        <v>2.6911299999999998</v>
      </c>
      <c r="I25" s="6" t="s">
        <v>3073</v>
      </c>
      <c r="J25" s="4"/>
      <c r="K25" s="3"/>
      <c r="L25" s="3"/>
    </row>
    <row r="26" spans="1:12" s="2" customFormat="1" ht="15" x14ac:dyDescent="0.2">
      <c r="A26" s="5" t="s">
        <v>73</v>
      </c>
      <c r="B26" s="5" t="e">
        <f>VLOOKUP($A26,[1]Sheet1!$A:$B,2,FALSE)</f>
        <v>#N/A</v>
      </c>
      <c r="C26" s="2" t="s">
        <v>1880</v>
      </c>
      <c r="D26" s="3" t="s">
        <v>1836</v>
      </c>
      <c r="E26" s="3" t="s">
        <v>1837</v>
      </c>
      <c r="F26" s="3">
        <v>1.7916399999999999</v>
      </c>
      <c r="G26" s="3">
        <v>11.158899999999999</v>
      </c>
      <c r="H26" s="3">
        <v>2.6388400000000001</v>
      </c>
      <c r="I26" s="6" t="s">
        <v>3015</v>
      </c>
      <c r="J26" s="3"/>
      <c r="K26" s="3"/>
      <c r="L26" s="3"/>
    </row>
    <row r="27" spans="1:12" s="2" customFormat="1" ht="15" x14ac:dyDescent="0.2">
      <c r="A27" s="5" t="s">
        <v>870</v>
      </c>
      <c r="B27" s="5" t="e">
        <f>VLOOKUP($A27,[1]Sheet1!$A:$B,2,FALSE)</f>
        <v>#N/A</v>
      </c>
      <c r="C27" s="2" t="s">
        <v>1847</v>
      </c>
      <c r="D27" s="3" t="s">
        <v>1836</v>
      </c>
      <c r="E27" s="3" t="s">
        <v>1837</v>
      </c>
      <c r="F27" s="3">
        <v>6.6129699999999998</v>
      </c>
      <c r="G27" s="3">
        <v>41.171399999999998</v>
      </c>
      <c r="H27" s="3">
        <v>2.6382699999999999</v>
      </c>
      <c r="I27" s="6" t="s">
        <v>3015</v>
      </c>
      <c r="J27" s="4"/>
      <c r="K27" s="3"/>
      <c r="L27" s="3"/>
    </row>
    <row r="28" spans="1:12" s="2" customFormat="1" ht="15" x14ac:dyDescent="0.2">
      <c r="A28" s="5" t="s">
        <v>482</v>
      </c>
      <c r="B28" s="5" t="e">
        <f>VLOOKUP($A28,[1]Sheet1!$A:$B,2,FALSE)</f>
        <v>#N/A</v>
      </c>
      <c r="C28" s="2" t="s">
        <v>2069</v>
      </c>
      <c r="D28" s="3" t="s">
        <v>1836</v>
      </c>
      <c r="E28" s="3" t="s">
        <v>1837</v>
      </c>
      <c r="F28" s="3">
        <v>1.3284100000000001</v>
      </c>
      <c r="G28" s="3">
        <v>8.0682899999999993</v>
      </c>
      <c r="H28" s="3">
        <v>2.60256</v>
      </c>
      <c r="I28" s="6" t="s">
        <v>3015</v>
      </c>
      <c r="J28" s="4"/>
      <c r="K28" s="3"/>
      <c r="L28" s="3"/>
    </row>
    <row r="29" spans="1:12" s="2" customFormat="1" ht="15" x14ac:dyDescent="0.2">
      <c r="A29" s="5" t="s">
        <v>630</v>
      </c>
      <c r="B29" s="5" t="str">
        <f>VLOOKUP($A29,[1]Sheet1!$A:$B,2,FALSE)</f>
        <v>GO:0008152</v>
      </c>
      <c r="C29" s="2" t="s">
        <v>2137</v>
      </c>
      <c r="D29" s="3" t="s">
        <v>1836</v>
      </c>
      <c r="E29" s="3" t="s">
        <v>1837</v>
      </c>
      <c r="F29" s="3">
        <v>9.6281999999999996</v>
      </c>
      <c r="G29" s="3">
        <v>53.067</v>
      </c>
      <c r="H29" s="3">
        <v>2.4624799999999998</v>
      </c>
      <c r="I29" s="6" t="s">
        <v>3179</v>
      </c>
      <c r="J29" s="4"/>
      <c r="K29" s="3"/>
      <c r="L29" s="3"/>
    </row>
    <row r="30" spans="1:12" s="2" customFormat="1" ht="15" x14ac:dyDescent="0.2">
      <c r="A30" s="5" t="s">
        <v>581</v>
      </c>
      <c r="B30" s="5" t="str">
        <f>VLOOKUP($A30,[1]Sheet1!$A:$B,2,FALSE)</f>
        <v>GO:0008652GO:0016836GO:0051539</v>
      </c>
      <c r="C30" s="2" t="s">
        <v>2117</v>
      </c>
      <c r="D30" s="3" t="s">
        <v>1836</v>
      </c>
      <c r="E30" s="3" t="s">
        <v>1837</v>
      </c>
      <c r="F30" s="3">
        <v>70.599400000000003</v>
      </c>
      <c r="G30" s="3">
        <v>386.38200000000001</v>
      </c>
      <c r="H30" s="3">
        <v>2.4523000000000001</v>
      </c>
      <c r="I30" s="6" t="s">
        <v>3167</v>
      </c>
      <c r="J30" s="3"/>
      <c r="K30" s="3"/>
      <c r="L30" s="3"/>
    </row>
    <row r="31" spans="1:12" s="2" customFormat="1" ht="15" x14ac:dyDescent="0.2">
      <c r="A31" s="5" t="s">
        <v>345</v>
      </c>
      <c r="B31" s="5" t="str">
        <f>VLOOKUP($A31,[1]Sheet1!$A:$B,2,FALSE)</f>
        <v>GO:0008270GO:0003676</v>
      </c>
      <c r="C31" s="2" t="s">
        <v>1847</v>
      </c>
      <c r="D31" s="3" t="s">
        <v>1836</v>
      </c>
      <c r="E31" s="3" t="s">
        <v>1837</v>
      </c>
      <c r="F31" s="3">
        <v>0.44957799999999998</v>
      </c>
      <c r="G31" s="3">
        <v>2.4007100000000001</v>
      </c>
      <c r="H31" s="3">
        <v>2.4168099999999999</v>
      </c>
      <c r="I31" s="6" t="s">
        <v>3122</v>
      </c>
      <c r="J31" s="4"/>
      <c r="K31" s="3"/>
      <c r="L31" s="3"/>
    </row>
    <row r="32" spans="1:12" s="2" customFormat="1" ht="15" x14ac:dyDescent="0.2">
      <c r="A32" s="5" t="s">
        <v>438</v>
      </c>
      <c r="B32" s="5" t="str">
        <f>VLOOKUP($A32,[1]Sheet1!$A:$B,2,FALSE)</f>
        <v>GO:0016020GO:0009765</v>
      </c>
      <c r="C32" s="2" t="s">
        <v>2047</v>
      </c>
      <c r="D32" s="3" t="s">
        <v>1836</v>
      </c>
      <c r="E32" s="3" t="s">
        <v>1837</v>
      </c>
      <c r="F32" s="3">
        <v>86.625299999999996</v>
      </c>
      <c r="G32" s="3">
        <v>455.86399999999998</v>
      </c>
      <c r="H32" s="3">
        <v>2.39574</v>
      </c>
      <c r="I32" s="6" t="s">
        <v>3138</v>
      </c>
      <c r="J32" s="4"/>
      <c r="K32" s="3"/>
      <c r="L32" s="3"/>
    </row>
    <row r="33" spans="1:12" s="2" customFormat="1" ht="15" x14ac:dyDescent="0.2">
      <c r="A33" s="5" t="s">
        <v>1031</v>
      </c>
      <c r="B33" s="5" t="str">
        <f>VLOOKUP($A33,[1]Sheet1!$A:$B,2,FALSE)</f>
        <v>GO:0046872GO:0003993</v>
      </c>
      <c r="C33" s="2" t="s">
        <v>2328</v>
      </c>
      <c r="D33" s="3" t="s">
        <v>1836</v>
      </c>
      <c r="E33" s="3" t="s">
        <v>1837</v>
      </c>
      <c r="F33" s="3">
        <v>0.251274</v>
      </c>
      <c r="G33" s="3">
        <v>1.30098</v>
      </c>
      <c r="H33" s="3">
        <v>2.3722599999999998</v>
      </c>
      <c r="I33" s="6" t="s">
        <v>3260</v>
      </c>
      <c r="J33" s="4"/>
      <c r="K33" s="3"/>
      <c r="L33" s="3"/>
    </row>
    <row r="34" spans="1:12" s="2" customFormat="1" ht="15" x14ac:dyDescent="0.2">
      <c r="A34" s="5" t="s">
        <v>324</v>
      </c>
      <c r="B34" s="5" t="str">
        <f>VLOOKUP($A34,[1]Sheet1!$A:$B,2,FALSE)</f>
        <v>GO:0004601GO:0006979GO:0020037GO:0009055</v>
      </c>
      <c r="C34" s="2" t="s">
        <v>1847</v>
      </c>
      <c r="D34" s="3" t="s">
        <v>1836</v>
      </c>
      <c r="E34" s="3" t="s">
        <v>1837</v>
      </c>
      <c r="F34" s="3">
        <v>0.22845099999999999</v>
      </c>
      <c r="G34" s="3">
        <v>1.1794</v>
      </c>
      <c r="H34" s="3">
        <v>2.3681000000000001</v>
      </c>
      <c r="I34" s="6" t="s">
        <v>3049</v>
      </c>
      <c r="J34" s="4"/>
      <c r="K34" s="3"/>
      <c r="L34" s="3"/>
    </row>
    <row r="35" spans="1:12" s="2" customFormat="1" ht="15" x14ac:dyDescent="0.2">
      <c r="A35" s="5" t="s">
        <v>419</v>
      </c>
      <c r="B35" s="5" t="e">
        <f>VLOOKUP($A35,[1]Sheet1!$A:$B,2,FALSE)</f>
        <v>#N/A</v>
      </c>
      <c r="C35" s="2" t="s">
        <v>2037</v>
      </c>
      <c r="D35" s="3" t="s">
        <v>1836</v>
      </c>
      <c r="E35" s="3" t="s">
        <v>1837</v>
      </c>
      <c r="F35" s="3">
        <v>0.55498800000000004</v>
      </c>
      <c r="G35" s="3">
        <v>2.7637100000000001</v>
      </c>
      <c r="H35" s="3">
        <v>2.3160799999999999</v>
      </c>
      <c r="I35" s="3" t="s">
        <v>3015</v>
      </c>
      <c r="J35" s="4"/>
      <c r="K35" s="3"/>
      <c r="L35" s="3"/>
    </row>
    <row r="36" spans="1:12" s="2" customFormat="1" ht="15" x14ac:dyDescent="0.2">
      <c r="A36" s="5" t="s">
        <v>195</v>
      </c>
      <c r="B36" s="5" t="e">
        <f>VLOOKUP($A36,[1]Sheet1!$A:$B,2,FALSE)</f>
        <v>#N/A</v>
      </c>
      <c r="C36" s="2" t="s">
        <v>1847</v>
      </c>
      <c r="D36" s="3" t="s">
        <v>1836</v>
      </c>
      <c r="E36" s="3" t="s">
        <v>1837</v>
      </c>
      <c r="F36" s="3">
        <v>0.57696999999999998</v>
      </c>
      <c r="G36" s="3">
        <v>2.8422399999999999</v>
      </c>
      <c r="H36" s="3">
        <v>2.3004600000000002</v>
      </c>
      <c r="I36" s="3" t="s">
        <v>3015</v>
      </c>
      <c r="J36" s="4"/>
      <c r="K36" s="3"/>
      <c r="L36" s="3"/>
    </row>
    <row r="37" spans="1:12" s="2" customFormat="1" ht="15" x14ac:dyDescent="0.2">
      <c r="A37" s="5" t="s">
        <v>400</v>
      </c>
      <c r="B37" s="5" t="e">
        <f>VLOOKUP($A37,[1]Sheet1!$A:$B,2,FALSE)</f>
        <v>#N/A</v>
      </c>
      <c r="C37" s="2" t="s">
        <v>2028</v>
      </c>
      <c r="D37" s="3" t="s">
        <v>1836</v>
      </c>
      <c r="E37" s="3" t="s">
        <v>1837</v>
      </c>
      <c r="F37" s="3">
        <v>0.295597</v>
      </c>
      <c r="G37" s="3">
        <v>1.41212</v>
      </c>
      <c r="H37" s="3">
        <v>2.2561599999999999</v>
      </c>
      <c r="I37" s="3" t="s">
        <v>3015</v>
      </c>
      <c r="J37" s="3"/>
      <c r="K37" s="3"/>
      <c r="L37" s="3"/>
    </row>
    <row r="38" spans="1:12" s="2" customFormat="1" ht="15" x14ac:dyDescent="0.2">
      <c r="A38" s="5" t="s">
        <v>1093</v>
      </c>
      <c r="B38" s="5" t="str">
        <f>VLOOKUP($A38,[1]Sheet1!$A:$B,2,FALSE)</f>
        <v>GO:0003735GO:0016020GO:0051260GO:0006412GO:0005840</v>
      </c>
      <c r="C38" s="2" t="s">
        <v>2355</v>
      </c>
      <c r="D38" s="3" t="s">
        <v>1836</v>
      </c>
      <c r="E38" s="3" t="s">
        <v>1837</v>
      </c>
      <c r="F38" s="3">
        <v>0.173149</v>
      </c>
      <c r="G38" s="3">
        <v>0.78480499999999997</v>
      </c>
      <c r="H38" s="3">
        <v>2.18032</v>
      </c>
      <c r="I38" s="3" t="s">
        <v>3268</v>
      </c>
      <c r="J38" s="4"/>
      <c r="K38" s="3"/>
      <c r="L38" s="3"/>
    </row>
    <row r="39" spans="1:12" s="2" customFormat="1" ht="15" x14ac:dyDescent="0.2">
      <c r="A39" s="5" t="s">
        <v>1028</v>
      </c>
      <c r="B39" s="5" t="e">
        <f>VLOOKUP($A39,[1]Sheet1!$A:$B,2,FALSE)</f>
        <v>#N/A</v>
      </c>
      <c r="C39" s="2" t="s">
        <v>2326</v>
      </c>
      <c r="D39" s="3" t="s">
        <v>1836</v>
      </c>
      <c r="E39" s="3" t="s">
        <v>1837</v>
      </c>
      <c r="F39" s="3">
        <v>22.631</v>
      </c>
      <c r="G39" s="3">
        <v>102.53700000000001</v>
      </c>
      <c r="H39" s="3">
        <v>2.17977</v>
      </c>
      <c r="I39" s="3" t="s">
        <v>3015</v>
      </c>
      <c r="J39" s="4"/>
      <c r="K39" s="3"/>
      <c r="L39" s="3"/>
    </row>
    <row r="40" spans="1:12" s="2" customFormat="1" ht="15" x14ac:dyDescent="0.2">
      <c r="A40" s="5" t="s">
        <v>733</v>
      </c>
      <c r="B40" s="5" t="e">
        <f>VLOOKUP($A40,[1]Sheet1!$A:$B,2,FALSE)</f>
        <v>#N/A</v>
      </c>
      <c r="C40" s="2" t="s">
        <v>2098</v>
      </c>
      <c r="D40" s="3" t="s">
        <v>1836</v>
      </c>
      <c r="E40" s="3" t="s">
        <v>1837</v>
      </c>
      <c r="F40" s="3">
        <v>1.0208299999999999</v>
      </c>
      <c r="G40" s="3">
        <v>4.6105</v>
      </c>
      <c r="H40" s="3">
        <v>2.17517</v>
      </c>
      <c r="I40" s="3" t="s">
        <v>3015</v>
      </c>
      <c r="J40" s="4"/>
      <c r="K40" s="3"/>
      <c r="L40" s="3"/>
    </row>
    <row r="41" spans="1:12" s="2" customFormat="1" ht="15" x14ac:dyDescent="0.2">
      <c r="A41" s="5" t="s">
        <v>588</v>
      </c>
      <c r="B41" s="5" t="e">
        <f>VLOOKUP($A41,[1]Sheet1!$A:$B,2,FALSE)</f>
        <v>#N/A</v>
      </c>
      <c r="C41" s="2" t="s">
        <v>2120</v>
      </c>
      <c r="D41" s="3" t="s">
        <v>1836</v>
      </c>
      <c r="E41" s="3" t="s">
        <v>1837</v>
      </c>
      <c r="F41" s="3">
        <v>4.5272600000000001</v>
      </c>
      <c r="G41" s="3">
        <v>20.1816</v>
      </c>
      <c r="H41" s="3">
        <v>2.1563300000000001</v>
      </c>
      <c r="I41" s="3" t="s">
        <v>3015</v>
      </c>
      <c r="J41" s="4"/>
      <c r="K41" s="3"/>
      <c r="L41" s="3"/>
    </row>
    <row r="42" spans="1:12" s="2" customFormat="1" ht="15" x14ac:dyDescent="0.2">
      <c r="A42" s="5" t="s">
        <v>59</v>
      </c>
      <c r="B42" s="5" t="str">
        <f>VLOOKUP($A42,[1]Sheet1!$A:$B,2,FALSE)</f>
        <v>GO:0005315GO:0016021GO:0006817</v>
      </c>
      <c r="C42" s="2" t="s">
        <v>1870</v>
      </c>
      <c r="D42" s="3" t="s">
        <v>1836</v>
      </c>
      <c r="E42" s="3" t="s">
        <v>1837</v>
      </c>
      <c r="F42" s="3">
        <v>0.23900299999999999</v>
      </c>
      <c r="G42" s="3">
        <v>1.0455700000000001</v>
      </c>
      <c r="H42" s="3">
        <v>2.1291899999999999</v>
      </c>
      <c r="I42" s="3" t="s">
        <v>3042</v>
      </c>
      <c r="J42" s="4"/>
      <c r="K42" s="3"/>
      <c r="L42" s="3"/>
    </row>
    <row r="43" spans="1:12" s="2" customFormat="1" ht="15" x14ac:dyDescent="0.2">
      <c r="A43" s="5" t="s">
        <v>815</v>
      </c>
      <c r="B43" s="5" t="str">
        <f>VLOOKUP($A43,[1]Sheet1!$A:$B,2,FALSE)</f>
        <v>GO:0046983GO:0008171</v>
      </c>
      <c r="C43" s="2" t="s">
        <v>1858</v>
      </c>
      <c r="D43" s="3" t="s">
        <v>1836</v>
      </c>
      <c r="E43" s="3" t="s">
        <v>1837</v>
      </c>
      <c r="F43" s="3">
        <v>0.47121400000000002</v>
      </c>
      <c r="G43" s="3">
        <v>2.0369199999999998</v>
      </c>
      <c r="H43" s="3">
        <v>2.1119400000000002</v>
      </c>
      <c r="I43" s="3" t="s">
        <v>3033</v>
      </c>
      <c r="J43" s="4"/>
      <c r="K43" s="3"/>
      <c r="L43" s="3"/>
    </row>
    <row r="44" spans="1:12" s="2" customFormat="1" ht="15" x14ac:dyDescent="0.2">
      <c r="A44" s="5" t="s">
        <v>61</v>
      </c>
      <c r="B44" s="5" t="str">
        <f>VLOOKUP($A44,[1]Sheet1!$A:$B,2,FALSE)</f>
        <v>GO:0004568GO:0006032</v>
      </c>
      <c r="C44" s="2" t="s">
        <v>1872</v>
      </c>
      <c r="D44" s="3" t="s">
        <v>1836</v>
      </c>
      <c r="E44" s="3" t="s">
        <v>1837</v>
      </c>
      <c r="F44" s="3">
        <v>2.0632700000000002</v>
      </c>
      <c r="G44" s="3">
        <v>8.9163999999999994</v>
      </c>
      <c r="H44" s="3">
        <v>2.1115300000000001</v>
      </c>
      <c r="I44" s="3" t="s">
        <v>3043</v>
      </c>
      <c r="J44" s="4"/>
      <c r="K44" s="3"/>
      <c r="L44" s="3"/>
    </row>
    <row r="45" spans="1:12" s="2" customFormat="1" ht="15" x14ac:dyDescent="0.2">
      <c r="A45" s="5" t="s">
        <v>1118</v>
      </c>
      <c r="B45" s="5" t="str">
        <f>VLOOKUP($A45,[1]Sheet1!$A:$B,2,FALSE)</f>
        <v>GO:0005215GO:0016020GO:0006810</v>
      </c>
      <c r="C45" s="2" t="s">
        <v>2359</v>
      </c>
      <c r="D45" s="3" t="s">
        <v>1836</v>
      </c>
      <c r="E45" s="3" t="s">
        <v>1837</v>
      </c>
      <c r="F45" s="3">
        <v>0.63185199999999997</v>
      </c>
      <c r="G45" s="3">
        <v>2.72384</v>
      </c>
      <c r="H45" s="3">
        <v>2.10798</v>
      </c>
      <c r="I45" s="3" t="s">
        <v>3275</v>
      </c>
      <c r="J45" s="4"/>
      <c r="K45" s="3"/>
      <c r="L45" s="3"/>
    </row>
    <row r="46" spans="1:12" s="2" customFormat="1" ht="15" x14ac:dyDescent="0.2">
      <c r="A46" s="5" t="s">
        <v>651</v>
      </c>
      <c r="B46" s="5" t="e">
        <f>VLOOKUP($A46,[1]Sheet1!$A:$B,2,FALSE)</f>
        <v>#N/A</v>
      </c>
      <c r="C46" s="2" t="s">
        <v>2147</v>
      </c>
      <c r="D46" s="3" t="s">
        <v>1836</v>
      </c>
      <c r="E46" s="3" t="s">
        <v>1837</v>
      </c>
      <c r="F46" s="3">
        <v>2.0388500000000001</v>
      </c>
      <c r="G46" s="3">
        <v>8.7523499999999999</v>
      </c>
      <c r="H46" s="3">
        <v>2.1019199999999998</v>
      </c>
      <c r="I46" s="3" t="s">
        <v>3015</v>
      </c>
      <c r="J46" s="4"/>
      <c r="K46" s="3"/>
      <c r="L46" s="3"/>
    </row>
    <row r="47" spans="1:12" s="2" customFormat="1" ht="15" x14ac:dyDescent="0.2">
      <c r="A47" s="5" t="s">
        <v>185</v>
      </c>
      <c r="B47" s="5" t="e">
        <f>VLOOKUP($A47,[1]Sheet1!$A:$B,2,FALSE)</f>
        <v>#N/A</v>
      </c>
      <c r="C47" s="2" t="s">
        <v>1930</v>
      </c>
      <c r="D47" s="3" t="s">
        <v>1836</v>
      </c>
      <c r="E47" s="3" t="s">
        <v>1837</v>
      </c>
      <c r="F47" s="3">
        <v>0.27961999999999998</v>
      </c>
      <c r="G47" s="3">
        <v>1.1974800000000001</v>
      </c>
      <c r="H47" s="3">
        <v>2.0984600000000002</v>
      </c>
      <c r="I47" s="3" t="s">
        <v>3015</v>
      </c>
      <c r="J47" s="3"/>
      <c r="K47" s="3"/>
      <c r="L47" s="3"/>
    </row>
    <row r="48" spans="1:12" s="2" customFormat="1" ht="15" x14ac:dyDescent="0.2">
      <c r="A48" s="5" t="s">
        <v>306</v>
      </c>
      <c r="B48" s="5" t="str">
        <f>VLOOKUP($A48,[1]Sheet1!$A:$B,2,FALSE)</f>
        <v>GO:0004497GO:0020037GO:0009055</v>
      </c>
      <c r="C48" s="2" t="s">
        <v>1986</v>
      </c>
      <c r="D48" s="3" t="s">
        <v>1836</v>
      </c>
      <c r="E48" s="3" t="s">
        <v>1837</v>
      </c>
      <c r="F48" s="3">
        <v>13.856999999999999</v>
      </c>
      <c r="G48" s="3">
        <v>58.524700000000003</v>
      </c>
      <c r="H48" s="3">
        <v>2.07843</v>
      </c>
      <c r="I48" s="3" t="s">
        <v>3045</v>
      </c>
      <c r="J48" s="3"/>
      <c r="K48" s="3"/>
      <c r="L48" s="3"/>
    </row>
    <row r="49" spans="1:12" s="2" customFormat="1" ht="15" x14ac:dyDescent="0.2">
      <c r="A49" s="5" t="s">
        <v>669</v>
      </c>
      <c r="B49" s="5" t="e">
        <f>VLOOKUP($A49,[1]Sheet1!$A:$B,2,FALSE)</f>
        <v>#N/A</v>
      </c>
      <c r="C49" s="2" t="s">
        <v>2154</v>
      </c>
      <c r="D49" s="3" t="s">
        <v>1836</v>
      </c>
      <c r="E49" s="3" t="s">
        <v>1837</v>
      </c>
      <c r="F49" s="3">
        <v>145.02500000000001</v>
      </c>
      <c r="G49" s="3">
        <v>598.78399999999999</v>
      </c>
      <c r="H49" s="3">
        <v>2.0457299999999998</v>
      </c>
      <c r="I49" s="3" t="s">
        <v>3015</v>
      </c>
      <c r="J49" s="4"/>
      <c r="K49" s="3"/>
      <c r="L49" s="3"/>
    </row>
    <row r="50" spans="1:12" s="2" customFormat="1" ht="15" x14ac:dyDescent="0.2">
      <c r="A50" s="5" t="s">
        <v>387</v>
      </c>
      <c r="B50" s="5" t="str">
        <f>VLOOKUP($A50,[1]Sheet1!$A:$B,2,FALSE)</f>
        <v>GO:0008415GO:0008152</v>
      </c>
      <c r="C50" s="2" t="s">
        <v>2022</v>
      </c>
      <c r="D50" s="3" t="s">
        <v>1836</v>
      </c>
      <c r="E50" s="3" t="s">
        <v>1837</v>
      </c>
      <c r="F50" s="3">
        <v>0.39381100000000002</v>
      </c>
      <c r="G50" s="3">
        <v>1.61511</v>
      </c>
      <c r="H50" s="3">
        <v>2.03606</v>
      </c>
      <c r="I50" s="3" t="s">
        <v>3131</v>
      </c>
      <c r="J50" s="3"/>
      <c r="K50" s="3"/>
      <c r="L50" s="3"/>
    </row>
    <row r="51" spans="1:12" s="2" customFormat="1" ht="15" x14ac:dyDescent="0.2">
      <c r="A51" s="5" t="s">
        <v>799</v>
      </c>
      <c r="B51" s="5" t="str">
        <f>VLOOKUP($A51,[1]Sheet1!$A:$B,2,FALSE)</f>
        <v>GO:0003993</v>
      </c>
      <c r="C51" s="2" t="s">
        <v>2207</v>
      </c>
      <c r="D51" s="3" t="s">
        <v>1836</v>
      </c>
      <c r="E51" s="3" t="s">
        <v>1837</v>
      </c>
      <c r="F51" s="3">
        <v>1.37991</v>
      </c>
      <c r="G51" s="3">
        <v>5.6384499999999997</v>
      </c>
      <c r="H51" s="3">
        <v>2.0307200000000001</v>
      </c>
      <c r="I51" s="3" t="s">
        <v>3085</v>
      </c>
      <c r="J51" s="3"/>
      <c r="K51" s="3"/>
      <c r="L51" s="3"/>
    </row>
    <row r="52" spans="1:12" s="2" customFormat="1" ht="15" x14ac:dyDescent="0.2">
      <c r="A52" s="5" t="s">
        <v>994</v>
      </c>
      <c r="B52" s="5" t="str">
        <f>VLOOKUP($A52,[1]Sheet1!$A:$B,2,FALSE)</f>
        <v>GO:0005737GO:0004812GO:0005524GO:0006418</v>
      </c>
      <c r="C52" s="2" t="s">
        <v>1862</v>
      </c>
      <c r="D52" s="3" t="s">
        <v>1836</v>
      </c>
      <c r="E52" s="3" t="s">
        <v>1837</v>
      </c>
      <c r="F52" s="3">
        <v>0.535806</v>
      </c>
      <c r="G52" s="3">
        <v>2.1802299999999999</v>
      </c>
      <c r="H52" s="3">
        <v>2.0247000000000002</v>
      </c>
      <c r="I52" s="3" t="s">
        <v>3120</v>
      </c>
      <c r="J52" s="4"/>
      <c r="K52" s="3"/>
      <c r="L52" s="3"/>
    </row>
    <row r="53" spans="1:12" s="2" customFormat="1" ht="15" x14ac:dyDescent="0.2">
      <c r="A53" s="5" t="s">
        <v>1004</v>
      </c>
      <c r="B53" s="5" t="e">
        <f>VLOOKUP($A53,[1]Sheet1!$A:$B,2,FALSE)</f>
        <v>#N/A</v>
      </c>
      <c r="C53" s="2" t="s">
        <v>3015</v>
      </c>
      <c r="D53" s="3" t="s">
        <v>1836</v>
      </c>
      <c r="E53" s="3" t="s">
        <v>1837</v>
      </c>
      <c r="F53" s="3">
        <v>26.915800000000001</v>
      </c>
      <c r="G53" s="3">
        <v>108.28400000000001</v>
      </c>
      <c r="H53" s="3">
        <v>2.0083000000000002</v>
      </c>
      <c r="I53" s="3" t="s">
        <v>3015</v>
      </c>
      <c r="J53" s="4"/>
      <c r="K53" s="3"/>
      <c r="L53" s="3"/>
    </row>
    <row r="54" spans="1:12" s="2" customFormat="1" ht="15" x14ac:dyDescent="0.2">
      <c r="A54" s="5" t="s">
        <v>388</v>
      </c>
      <c r="B54" s="5" t="e">
        <f>VLOOKUP($A54,[1]Sheet1!$A:$B,2,FALSE)</f>
        <v>#N/A</v>
      </c>
      <c r="C54" s="2" t="s">
        <v>2023</v>
      </c>
      <c r="D54" s="3" t="s">
        <v>1836</v>
      </c>
      <c r="E54" s="3" t="s">
        <v>1837</v>
      </c>
      <c r="F54" s="3">
        <v>3.0101499999999999</v>
      </c>
      <c r="G54" s="3">
        <v>12.058</v>
      </c>
      <c r="H54" s="3">
        <v>2.0020799999999999</v>
      </c>
      <c r="I54" s="3" t="s">
        <v>3015</v>
      </c>
      <c r="J54" s="4"/>
      <c r="K54" s="3"/>
      <c r="L54" s="3"/>
    </row>
    <row r="55" spans="1:12" s="2" customFormat="1" ht="15" x14ac:dyDescent="0.2">
      <c r="A55" s="5" t="s">
        <v>673</v>
      </c>
      <c r="B55" s="5" t="str">
        <f>VLOOKUP($A55,[1]Sheet1!$A:$B,2,FALSE)</f>
        <v>GO:0051287GO:0016616GO:0008152</v>
      </c>
      <c r="C55" s="2" t="s">
        <v>2156</v>
      </c>
      <c r="D55" s="3" t="s">
        <v>1836</v>
      </c>
      <c r="E55" s="3" t="s">
        <v>1837</v>
      </c>
      <c r="F55" s="3">
        <v>2.33358</v>
      </c>
      <c r="G55" s="3">
        <v>9.2895699999999994</v>
      </c>
      <c r="H55" s="3">
        <v>1.9930600000000001</v>
      </c>
      <c r="I55" s="3" t="s">
        <v>3188</v>
      </c>
      <c r="J55" s="3"/>
      <c r="K55" s="3"/>
      <c r="L55" s="3"/>
    </row>
    <row r="56" spans="1:12" s="2" customFormat="1" ht="15" x14ac:dyDescent="0.2">
      <c r="A56" s="5" t="s">
        <v>562</v>
      </c>
      <c r="B56" s="5" t="str">
        <f>VLOOKUP($A56,[1]Sheet1!$A:$B,2,FALSE)</f>
        <v>GO:0050660GO:0020037GO:0003677GO:0030151GO:0042128GO:0005665GO:0006366GO:0046857GO:0055114GO:0009055</v>
      </c>
      <c r="C56" s="2" t="s">
        <v>2098</v>
      </c>
      <c r="D56" s="3" t="s">
        <v>1836</v>
      </c>
      <c r="E56" s="3" t="s">
        <v>1837</v>
      </c>
      <c r="F56" s="3">
        <v>1.0845199999999999</v>
      </c>
      <c r="G56" s="3">
        <v>4.25976</v>
      </c>
      <c r="H56" s="3">
        <v>1.9737199999999999</v>
      </c>
      <c r="I56" s="3" t="s">
        <v>3160</v>
      </c>
      <c r="J56" s="3"/>
      <c r="K56" s="3"/>
      <c r="L56" s="3"/>
    </row>
    <row r="57" spans="1:12" s="2" customFormat="1" ht="15" x14ac:dyDescent="0.2">
      <c r="A57" s="5" t="s">
        <v>685</v>
      </c>
      <c r="B57" s="5" t="e">
        <f>VLOOKUP($A57,[1]Sheet1!$A:$B,2,FALSE)</f>
        <v>#N/A</v>
      </c>
      <c r="C57" s="2" t="s">
        <v>2161</v>
      </c>
      <c r="D57" s="3" t="s">
        <v>1836</v>
      </c>
      <c r="E57" s="3" t="s">
        <v>1837</v>
      </c>
      <c r="F57" s="3">
        <v>9.6047999999999991</v>
      </c>
      <c r="G57" s="3">
        <v>37.364400000000003</v>
      </c>
      <c r="H57" s="3">
        <v>1.95984</v>
      </c>
      <c r="I57" s="3" t="s">
        <v>3015</v>
      </c>
      <c r="J57" s="4"/>
      <c r="K57" s="3"/>
      <c r="L57" s="3"/>
    </row>
    <row r="58" spans="1:12" s="2" customFormat="1" ht="15" x14ac:dyDescent="0.2">
      <c r="A58" s="5" t="s">
        <v>738</v>
      </c>
      <c r="B58" s="5" t="e">
        <f>VLOOKUP($A58,[1]Sheet1!$A:$B,2,FALSE)</f>
        <v>#N/A</v>
      </c>
      <c r="C58" s="2" t="s">
        <v>1847</v>
      </c>
      <c r="D58" s="3" t="s">
        <v>1836</v>
      </c>
      <c r="E58" s="3" t="s">
        <v>1837</v>
      </c>
      <c r="F58" s="3">
        <v>6.2729999999999997</v>
      </c>
      <c r="G58" s="3">
        <v>24.3582</v>
      </c>
      <c r="H58" s="3">
        <v>1.9571799999999999</v>
      </c>
      <c r="I58" s="3" t="s">
        <v>3015</v>
      </c>
      <c r="J58" s="4"/>
      <c r="K58" s="3"/>
      <c r="L58" s="3"/>
    </row>
    <row r="59" spans="1:12" s="2" customFormat="1" ht="15" x14ac:dyDescent="0.2">
      <c r="A59" s="5" t="s">
        <v>104</v>
      </c>
      <c r="B59" s="5" t="e">
        <f>VLOOKUP($A59,[1]Sheet1!$A:$B,2,FALSE)</f>
        <v>#N/A</v>
      </c>
      <c r="C59" s="2" t="s">
        <v>1847</v>
      </c>
      <c r="D59" s="3" t="s">
        <v>1836</v>
      </c>
      <c r="E59" s="3" t="s">
        <v>1837</v>
      </c>
      <c r="F59" s="3">
        <v>0.459146</v>
      </c>
      <c r="G59" s="3">
        <v>1.78216</v>
      </c>
      <c r="H59" s="3">
        <v>1.9565999999999999</v>
      </c>
      <c r="I59" s="3" t="s">
        <v>3015</v>
      </c>
      <c r="J59" s="4"/>
      <c r="K59" s="3"/>
      <c r="L59" s="3"/>
    </row>
    <row r="60" spans="1:12" s="2" customFormat="1" ht="15" x14ac:dyDescent="0.2">
      <c r="A60" s="5" t="s">
        <v>556</v>
      </c>
      <c r="B60" s="5" t="str">
        <f>VLOOKUP($A60,[1]Sheet1!$A:$B,2,FALSE)</f>
        <v>GO:0008171</v>
      </c>
      <c r="C60" s="2" t="s">
        <v>1858</v>
      </c>
      <c r="D60" s="3" t="s">
        <v>1836</v>
      </c>
      <c r="E60" s="3" t="s">
        <v>1837</v>
      </c>
      <c r="F60" s="3">
        <v>0.26356299999999999</v>
      </c>
      <c r="G60" s="3">
        <v>1.0223100000000001</v>
      </c>
      <c r="H60" s="3">
        <v>1.9556199999999999</v>
      </c>
      <c r="I60" s="3" t="s">
        <v>3158</v>
      </c>
      <c r="J60" s="4"/>
      <c r="K60" s="3"/>
      <c r="L60" s="3"/>
    </row>
    <row r="61" spans="1:12" s="2" customFormat="1" ht="15" x14ac:dyDescent="0.2">
      <c r="A61" s="5" t="s">
        <v>257</v>
      </c>
      <c r="B61" s="5" t="str">
        <f>VLOOKUP($A61,[1]Sheet1!$A:$B,2,FALSE)</f>
        <v>GO:0016758GO:0008152</v>
      </c>
      <c r="C61" s="2" t="s">
        <v>1966</v>
      </c>
      <c r="D61" s="3" t="s">
        <v>1836</v>
      </c>
      <c r="E61" s="3" t="s">
        <v>1837</v>
      </c>
      <c r="F61" s="3">
        <v>4.3836199999999996</v>
      </c>
      <c r="G61" s="3">
        <v>16.9499</v>
      </c>
      <c r="H61" s="3">
        <v>1.9510799999999999</v>
      </c>
      <c r="I61" s="3" t="s">
        <v>3100</v>
      </c>
      <c r="J61" s="4"/>
      <c r="K61" s="3"/>
      <c r="L61" s="3"/>
    </row>
    <row r="62" spans="1:12" s="2" customFormat="1" ht="15" x14ac:dyDescent="0.2">
      <c r="A62" s="5" t="s">
        <v>95</v>
      </c>
      <c r="B62" s="5" t="str">
        <f>VLOOKUP($A62,[1]Sheet1!$A:$B,2,FALSE)</f>
        <v>GO:0004601GO:0006979GO:0020037GO:0009055</v>
      </c>
      <c r="C62" s="2" t="s">
        <v>1884</v>
      </c>
      <c r="D62" s="3" t="s">
        <v>1836</v>
      </c>
      <c r="E62" s="3" t="s">
        <v>1837</v>
      </c>
      <c r="F62" s="3">
        <v>0.54042000000000001</v>
      </c>
      <c r="G62" s="3">
        <v>2.0803199999999999</v>
      </c>
      <c r="H62" s="3">
        <v>1.94465</v>
      </c>
      <c r="I62" s="3" t="s">
        <v>3049</v>
      </c>
      <c r="J62" s="3"/>
      <c r="K62" s="3"/>
      <c r="L62" s="3"/>
    </row>
    <row r="63" spans="1:12" s="2" customFormat="1" ht="15" x14ac:dyDescent="0.2">
      <c r="A63" s="5" t="s">
        <v>115</v>
      </c>
      <c r="B63" s="5" t="str">
        <f>VLOOKUP($A63,[1]Sheet1!$A:$B,2,FALSE)</f>
        <v>GO:0006508GO:0004185</v>
      </c>
      <c r="C63" s="2" t="s">
        <v>1893</v>
      </c>
      <c r="D63" s="3" t="s">
        <v>1836</v>
      </c>
      <c r="E63" s="3" t="s">
        <v>1837</v>
      </c>
      <c r="F63" s="3">
        <v>0.38508999999999999</v>
      </c>
      <c r="G63" s="3">
        <v>1.4740500000000001</v>
      </c>
      <c r="H63" s="3">
        <v>1.93652</v>
      </c>
      <c r="I63" s="3" t="s">
        <v>3053</v>
      </c>
      <c r="J63" s="3"/>
      <c r="K63" s="3"/>
      <c r="L63" s="3"/>
    </row>
    <row r="64" spans="1:12" s="2" customFormat="1" ht="15" x14ac:dyDescent="0.2">
      <c r="A64" s="5" t="s">
        <v>658</v>
      </c>
      <c r="B64" s="5" t="e">
        <f>VLOOKUP($A64,[1]Sheet1!$A:$B,2,FALSE)</f>
        <v>#N/A</v>
      </c>
      <c r="C64" s="2" t="s">
        <v>2151</v>
      </c>
      <c r="D64" s="3" t="s">
        <v>1836</v>
      </c>
      <c r="E64" s="3" t="s">
        <v>1837</v>
      </c>
      <c r="F64" s="3">
        <v>1.1596200000000001</v>
      </c>
      <c r="G64" s="3">
        <v>4.3821399999999997</v>
      </c>
      <c r="H64" s="3">
        <v>1.9179900000000001</v>
      </c>
      <c r="I64" s="3" t="s">
        <v>3015</v>
      </c>
      <c r="J64" s="4"/>
      <c r="K64" s="3"/>
      <c r="L64" s="3"/>
    </row>
    <row r="65" spans="1:12" s="2" customFormat="1" ht="15" x14ac:dyDescent="0.2">
      <c r="A65" s="5" t="s">
        <v>476</v>
      </c>
      <c r="B65" s="5" t="str">
        <f>VLOOKUP($A65,[1]Sheet1!$A:$B,2,FALSE)</f>
        <v>GO:0009654GO:0015979</v>
      </c>
      <c r="C65" s="2" t="s">
        <v>2066</v>
      </c>
      <c r="D65" s="3" t="s">
        <v>1836</v>
      </c>
      <c r="E65" s="3" t="s">
        <v>1837</v>
      </c>
      <c r="F65" s="3">
        <v>0.87570499999999996</v>
      </c>
      <c r="G65" s="3">
        <v>3.2721200000000001</v>
      </c>
      <c r="H65" s="3">
        <v>1.90171</v>
      </c>
      <c r="I65" s="3" t="s">
        <v>3147</v>
      </c>
      <c r="J65" s="3"/>
      <c r="K65" s="3"/>
      <c r="L65" s="3"/>
    </row>
    <row r="66" spans="1:12" s="2" customFormat="1" ht="15" x14ac:dyDescent="0.2">
      <c r="A66" s="5" t="s">
        <v>573</v>
      </c>
      <c r="B66" s="5" t="str">
        <f>VLOOKUP($A66,[1]Sheet1!$A:$B,2,FALSE)</f>
        <v>GO:0008168</v>
      </c>
      <c r="C66" s="2" t="s">
        <v>2112</v>
      </c>
      <c r="D66" s="3" t="s">
        <v>1836</v>
      </c>
      <c r="E66" s="3" t="s">
        <v>1837</v>
      </c>
      <c r="F66" s="3">
        <v>25.067900000000002</v>
      </c>
      <c r="G66" s="3">
        <v>92.595399999999998</v>
      </c>
      <c r="H66" s="3">
        <v>1.8851</v>
      </c>
      <c r="I66" s="3" t="s">
        <v>3164</v>
      </c>
      <c r="J66" s="4"/>
      <c r="K66" s="3"/>
      <c r="L66" s="3"/>
    </row>
    <row r="67" spans="1:12" s="2" customFormat="1" ht="15" x14ac:dyDescent="0.2">
      <c r="A67" s="5" t="s">
        <v>858</v>
      </c>
      <c r="B67" s="5" t="str">
        <f>VLOOKUP($A67,[1]Sheet1!$A:$B,2,FALSE)</f>
        <v>GO:0005737GO:0006813GO:0051260GO:0008076GO:0005249GO:0005525</v>
      </c>
      <c r="C67" s="2" t="s">
        <v>2240</v>
      </c>
      <c r="D67" s="3" t="s">
        <v>1836</v>
      </c>
      <c r="E67" s="3" t="s">
        <v>1837</v>
      </c>
      <c r="F67" s="3">
        <v>2.8285800000000001</v>
      </c>
      <c r="G67" s="3">
        <v>10.031599999999999</v>
      </c>
      <c r="H67" s="3">
        <v>1.8264100000000001</v>
      </c>
      <c r="I67" s="3" t="s">
        <v>3224</v>
      </c>
      <c r="J67" s="4"/>
      <c r="K67" s="3"/>
      <c r="L67" s="3"/>
    </row>
    <row r="68" spans="1:12" s="2" customFormat="1" ht="15" x14ac:dyDescent="0.2">
      <c r="A68" s="5" t="s">
        <v>991</v>
      </c>
      <c r="B68" s="5" t="str">
        <f>VLOOKUP($A68,[1]Sheet1!$A:$B,2,FALSE)</f>
        <v>GO:0006508GO:0004190</v>
      </c>
      <c r="C68" s="2" t="s">
        <v>2310</v>
      </c>
      <c r="D68" s="3" t="s">
        <v>1836</v>
      </c>
      <c r="E68" s="3" t="s">
        <v>1837</v>
      </c>
      <c r="F68" s="3">
        <v>0.46106200000000003</v>
      </c>
      <c r="G68" s="3">
        <v>1.6323399999999999</v>
      </c>
      <c r="H68" s="3">
        <v>1.8239099999999999</v>
      </c>
      <c r="I68" s="3" t="s">
        <v>3073</v>
      </c>
      <c r="J68" s="3"/>
      <c r="K68" s="3"/>
      <c r="L68" s="3"/>
    </row>
    <row r="69" spans="1:12" s="2" customFormat="1" ht="15" x14ac:dyDescent="0.2">
      <c r="A69" s="5" t="s">
        <v>758</v>
      </c>
      <c r="B69" s="5" t="str">
        <f>VLOOKUP($A69,[1]Sheet1!$A:$B,2,FALSE)</f>
        <v>GO:0005975GO:0004553</v>
      </c>
      <c r="C69" s="2" t="s">
        <v>2189</v>
      </c>
      <c r="D69" s="3" t="s">
        <v>1836</v>
      </c>
      <c r="E69" s="3" t="s">
        <v>1837</v>
      </c>
      <c r="F69" s="3">
        <v>1.6951700000000001</v>
      </c>
      <c r="G69" s="3">
        <v>5.9176200000000003</v>
      </c>
      <c r="H69" s="3">
        <v>1.80359</v>
      </c>
      <c r="I69" s="3" t="s">
        <v>3093</v>
      </c>
      <c r="J69" s="4"/>
      <c r="K69" s="3"/>
      <c r="L69" s="3"/>
    </row>
    <row r="70" spans="1:12" s="2" customFormat="1" ht="15" x14ac:dyDescent="0.2">
      <c r="A70" s="5" t="s">
        <v>37</v>
      </c>
      <c r="B70" s="5" t="str">
        <f>VLOOKUP($A70,[1]Sheet1!$A:$B,2,FALSE)</f>
        <v>GO:0005737GO:0004364GO:0008152</v>
      </c>
      <c r="C70" s="2" t="s">
        <v>1860</v>
      </c>
      <c r="D70" s="3" t="s">
        <v>1836</v>
      </c>
      <c r="E70" s="3" t="s">
        <v>1837</v>
      </c>
      <c r="F70" s="3">
        <v>5.7308899999999996</v>
      </c>
      <c r="G70" s="3">
        <v>19.993600000000001</v>
      </c>
      <c r="H70" s="3">
        <v>1.80271</v>
      </c>
      <c r="I70" s="3" t="s">
        <v>3035</v>
      </c>
      <c r="J70" s="4"/>
      <c r="K70" s="3"/>
      <c r="L70" s="3"/>
    </row>
    <row r="71" spans="1:12" s="2" customFormat="1" ht="15" x14ac:dyDescent="0.2">
      <c r="A71" s="5" t="s">
        <v>321</v>
      </c>
      <c r="B71" s="5" t="str">
        <f>VLOOKUP($A71,[1]Sheet1!$A:$B,2,FALSE)</f>
        <v>GO:0006468GO:0005840GO:0003735GO:0004674GO:0050825GO:0004713GO:0042309GO:0050826GO:0006412GO:0005524</v>
      </c>
      <c r="C71" s="2" t="s">
        <v>3015</v>
      </c>
      <c r="D71" s="3" t="s">
        <v>1836</v>
      </c>
      <c r="E71" s="3" t="s">
        <v>1837</v>
      </c>
      <c r="F71" s="3">
        <v>0.32389600000000002</v>
      </c>
      <c r="G71" s="3">
        <v>1.11111</v>
      </c>
      <c r="H71" s="3">
        <v>1.7784</v>
      </c>
      <c r="I71" s="3" t="s">
        <v>3114</v>
      </c>
      <c r="J71" s="4"/>
      <c r="K71" s="3"/>
      <c r="L71" s="3"/>
    </row>
    <row r="72" spans="1:12" s="2" customFormat="1" ht="15" x14ac:dyDescent="0.2">
      <c r="A72" s="5" t="s">
        <v>435</v>
      </c>
      <c r="B72" s="5" t="str">
        <f>VLOOKUP($A72,[1]Sheet1!$A:$B,2,FALSE)</f>
        <v>GO:0008168GO:0008152</v>
      </c>
      <c r="C72" s="2" t="s">
        <v>2046</v>
      </c>
      <c r="D72" s="3" t="s">
        <v>1836</v>
      </c>
      <c r="E72" s="3" t="s">
        <v>1837</v>
      </c>
      <c r="F72" s="3">
        <v>1.03884</v>
      </c>
      <c r="G72" s="3">
        <v>3.54759</v>
      </c>
      <c r="H72" s="3">
        <v>1.7718700000000001</v>
      </c>
      <c r="I72" s="3" t="s">
        <v>3137</v>
      </c>
      <c r="J72" s="4"/>
      <c r="K72" s="3"/>
      <c r="L72" s="3"/>
    </row>
    <row r="73" spans="1:12" s="2" customFormat="1" ht="15" x14ac:dyDescent="0.2">
      <c r="A73" s="5" t="s">
        <v>628</v>
      </c>
      <c r="B73" s="5" t="str">
        <f>VLOOKUP($A73,[1]Sheet1!$A:$B,2,FALSE)</f>
        <v>GO:0016020GO:0016887GO:0005524</v>
      </c>
      <c r="C73" s="2" t="s">
        <v>2087</v>
      </c>
      <c r="D73" s="3" t="s">
        <v>1836</v>
      </c>
      <c r="E73" s="3" t="s">
        <v>1837</v>
      </c>
      <c r="F73" s="3">
        <v>0.94500600000000001</v>
      </c>
      <c r="G73" s="3">
        <v>3.2191399999999999</v>
      </c>
      <c r="H73" s="3">
        <v>1.7682800000000001</v>
      </c>
      <c r="I73" s="3" t="s">
        <v>3178</v>
      </c>
      <c r="J73" s="4"/>
      <c r="K73" s="3"/>
      <c r="L73" s="3"/>
    </row>
    <row r="74" spans="1:12" s="2" customFormat="1" ht="15" x14ac:dyDescent="0.2">
      <c r="A74" s="5" t="s">
        <v>1087</v>
      </c>
      <c r="B74" s="5" t="e">
        <f>VLOOKUP($A74,[1]Sheet1!$A:$B,2,FALSE)</f>
        <v>#N/A</v>
      </c>
      <c r="C74" s="2" t="s">
        <v>2352</v>
      </c>
      <c r="D74" s="3" t="s">
        <v>1836</v>
      </c>
      <c r="E74" s="3" t="s">
        <v>1837</v>
      </c>
      <c r="F74" s="3">
        <v>0.59982000000000002</v>
      </c>
      <c r="G74" s="3">
        <v>2.0366599999999999</v>
      </c>
      <c r="H74" s="3">
        <v>1.7636099999999999</v>
      </c>
      <c r="I74" s="3" t="s">
        <v>3015</v>
      </c>
      <c r="J74" s="4"/>
      <c r="K74" s="3"/>
      <c r="L74" s="3"/>
    </row>
    <row r="75" spans="1:12" s="2" customFormat="1" ht="15" x14ac:dyDescent="0.2">
      <c r="A75" s="5" t="s">
        <v>439</v>
      </c>
      <c r="B75" s="5" t="str">
        <f>VLOOKUP($A75,[1]Sheet1!$A:$B,2,FALSE)</f>
        <v>GO:0016020GO:0009765</v>
      </c>
      <c r="C75" s="2" t="s">
        <v>3015</v>
      </c>
      <c r="D75" s="3" t="s">
        <v>1836</v>
      </c>
      <c r="E75" s="3" t="s">
        <v>1837</v>
      </c>
      <c r="F75" s="3">
        <v>360.56200000000001</v>
      </c>
      <c r="G75" s="3">
        <v>1214.1600000000001</v>
      </c>
      <c r="H75" s="3">
        <v>1.7516400000000001</v>
      </c>
      <c r="I75" s="3" t="s">
        <v>3138</v>
      </c>
      <c r="J75" s="3"/>
      <c r="K75" s="3"/>
      <c r="L75" s="3"/>
    </row>
    <row r="76" spans="1:12" s="2" customFormat="1" ht="15" x14ac:dyDescent="0.2">
      <c r="A76" s="5" t="s">
        <v>539</v>
      </c>
      <c r="B76" s="5" t="e">
        <f>VLOOKUP($A76,[1]Sheet1!$A:$B,2,FALSE)</f>
        <v>#N/A</v>
      </c>
      <c r="C76" s="2" t="s">
        <v>2098</v>
      </c>
      <c r="D76" s="3" t="s">
        <v>1836</v>
      </c>
      <c r="E76" s="3" t="s">
        <v>1837</v>
      </c>
      <c r="F76" s="3">
        <v>24.446300000000001</v>
      </c>
      <c r="G76" s="3">
        <v>82.249200000000002</v>
      </c>
      <c r="H76" s="3">
        <v>1.7503899999999999</v>
      </c>
      <c r="I76" s="3" t="s">
        <v>3015</v>
      </c>
      <c r="J76" s="4"/>
      <c r="K76" s="3"/>
      <c r="L76" s="3"/>
    </row>
    <row r="77" spans="1:12" s="2" customFormat="1" ht="15" x14ac:dyDescent="0.2">
      <c r="A77" s="5" t="s">
        <v>440</v>
      </c>
      <c r="B77" s="5" t="str">
        <f>VLOOKUP($A77,[1]Sheet1!$A:$B,2,FALSE)</f>
        <v>GO:0016020GO:0009765</v>
      </c>
      <c r="C77" s="2" t="s">
        <v>1847</v>
      </c>
      <c r="D77" s="3" t="s">
        <v>1836</v>
      </c>
      <c r="E77" s="3" t="s">
        <v>1837</v>
      </c>
      <c r="F77" s="3">
        <v>326.73700000000002</v>
      </c>
      <c r="G77" s="3">
        <v>1090.46</v>
      </c>
      <c r="H77" s="3">
        <v>1.73874</v>
      </c>
      <c r="I77" s="3" t="s">
        <v>3138</v>
      </c>
      <c r="J77" s="3"/>
      <c r="K77" s="3"/>
      <c r="L77" s="3"/>
    </row>
    <row r="78" spans="1:12" s="2" customFormat="1" ht="15" x14ac:dyDescent="0.2">
      <c r="A78" s="5" t="s">
        <v>589</v>
      </c>
      <c r="B78" s="5" t="str">
        <f>VLOOKUP($A78,[1]Sheet1!$A:$B,2,FALSE)</f>
        <v>GO:0004869</v>
      </c>
      <c r="C78" s="2" t="s">
        <v>2121</v>
      </c>
      <c r="D78" s="3" t="s">
        <v>1836</v>
      </c>
      <c r="E78" s="3" t="s">
        <v>1837</v>
      </c>
      <c r="F78" s="3">
        <v>2.2469299999999999</v>
      </c>
      <c r="G78" s="3">
        <v>7.4943900000000001</v>
      </c>
      <c r="H78" s="3">
        <v>1.7378499999999999</v>
      </c>
      <c r="I78" s="3" t="s">
        <v>3169</v>
      </c>
      <c r="J78" s="4"/>
      <c r="K78" s="3"/>
      <c r="L78" s="3"/>
    </row>
    <row r="79" spans="1:12" s="2" customFormat="1" ht="15" x14ac:dyDescent="0.2">
      <c r="A79" s="5" t="s">
        <v>1077</v>
      </c>
      <c r="B79" s="5" t="str">
        <f>VLOOKUP($A79,[1]Sheet1!$A:$B,2,FALSE)</f>
        <v>GO:0016311GO:0004725</v>
      </c>
      <c r="C79" s="2" t="s">
        <v>2107</v>
      </c>
      <c r="D79" s="3" t="s">
        <v>1836</v>
      </c>
      <c r="E79" s="3" t="s">
        <v>1837</v>
      </c>
      <c r="F79" s="3">
        <v>25.5382</v>
      </c>
      <c r="G79" s="3">
        <v>84.9846</v>
      </c>
      <c r="H79" s="3">
        <v>1.73454</v>
      </c>
      <c r="I79" s="3" t="s">
        <v>3159</v>
      </c>
      <c r="J79" s="3"/>
      <c r="K79" s="3"/>
      <c r="L79" s="3"/>
    </row>
    <row r="80" spans="1:12" s="2" customFormat="1" ht="15" x14ac:dyDescent="0.2">
      <c r="A80" s="5" t="s">
        <v>902</v>
      </c>
      <c r="B80" s="5" t="e">
        <f>VLOOKUP($A80,[1]Sheet1!$A:$B,2,FALSE)</f>
        <v>#N/A</v>
      </c>
      <c r="C80" s="2" t="s">
        <v>2262</v>
      </c>
      <c r="D80" s="3" t="s">
        <v>1836</v>
      </c>
      <c r="E80" s="3" t="s">
        <v>1837</v>
      </c>
      <c r="F80" s="3">
        <v>0.93955900000000003</v>
      </c>
      <c r="G80" s="3">
        <v>3.11496</v>
      </c>
      <c r="H80" s="3">
        <v>1.72916</v>
      </c>
      <c r="I80" s="3" t="s">
        <v>3015</v>
      </c>
      <c r="J80" s="4"/>
      <c r="K80" s="3"/>
      <c r="L80" s="3"/>
    </row>
    <row r="81" spans="1:12" s="2" customFormat="1" ht="15" x14ac:dyDescent="0.2">
      <c r="A81" s="5" t="s">
        <v>884</v>
      </c>
      <c r="B81" s="5" t="str">
        <f>VLOOKUP($A81,[1]Sheet1!$A:$B,2,FALSE)</f>
        <v>GO:0006508GO:0043086GO:0042802GO:0004252</v>
      </c>
      <c r="C81" s="2" t="s">
        <v>2254</v>
      </c>
      <c r="D81" s="3" t="s">
        <v>1836</v>
      </c>
      <c r="E81" s="3" t="s">
        <v>1837</v>
      </c>
      <c r="F81" s="3">
        <v>1.82369</v>
      </c>
      <c r="G81" s="3">
        <v>6.0398500000000004</v>
      </c>
      <c r="H81" s="3">
        <v>1.7276499999999999</v>
      </c>
      <c r="I81" s="3" t="s">
        <v>3067</v>
      </c>
      <c r="J81" s="4"/>
      <c r="K81" s="3"/>
      <c r="L81" s="3"/>
    </row>
    <row r="82" spans="1:12" s="2" customFormat="1" ht="15" x14ac:dyDescent="0.2">
      <c r="A82" s="5" t="s">
        <v>298</v>
      </c>
      <c r="B82" s="5" t="e">
        <f>VLOOKUP($A82,[1]Sheet1!$A:$B,2,FALSE)</f>
        <v>#N/A</v>
      </c>
      <c r="C82" s="2" t="s">
        <v>1981</v>
      </c>
      <c r="D82" s="3" t="s">
        <v>1836</v>
      </c>
      <c r="E82" s="3" t="s">
        <v>1837</v>
      </c>
      <c r="F82" s="3">
        <v>0.56625999999999999</v>
      </c>
      <c r="G82" s="3">
        <v>1.87077</v>
      </c>
      <c r="H82" s="3">
        <v>1.7241</v>
      </c>
      <c r="I82" s="3" t="s">
        <v>3015</v>
      </c>
      <c r="J82" s="3"/>
      <c r="K82" s="3"/>
      <c r="L82" s="3"/>
    </row>
    <row r="83" spans="1:12" s="2" customFormat="1" ht="15" x14ac:dyDescent="0.2">
      <c r="A83" s="5" t="s">
        <v>304</v>
      </c>
      <c r="B83" s="5" t="e">
        <f>VLOOKUP($A83,[1]Sheet1!$A:$B,2,FALSE)</f>
        <v>#N/A</v>
      </c>
      <c r="C83" s="2" t="s">
        <v>1985</v>
      </c>
      <c r="D83" s="3" t="s">
        <v>1836</v>
      </c>
      <c r="E83" s="3" t="s">
        <v>1837</v>
      </c>
      <c r="F83" s="3">
        <v>35.8322</v>
      </c>
      <c r="G83" s="3">
        <v>116.60599999999999</v>
      </c>
      <c r="H83" s="3">
        <v>1.70231</v>
      </c>
      <c r="I83" s="3" t="s">
        <v>3015</v>
      </c>
      <c r="J83" s="3"/>
      <c r="K83" s="3"/>
      <c r="L83" s="3"/>
    </row>
    <row r="84" spans="1:12" s="2" customFormat="1" ht="15" x14ac:dyDescent="0.2">
      <c r="A84" s="5" t="s">
        <v>315</v>
      </c>
      <c r="B84" s="5" t="e">
        <f>VLOOKUP($A84,[1]Sheet1!$A:$B,2,FALSE)</f>
        <v>#N/A</v>
      </c>
      <c r="C84" s="2" t="s">
        <v>1990</v>
      </c>
      <c r="D84" s="3" t="s">
        <v>1836</v>
      </c>
      <c r="E84" s="3" t="s">
        <v>1837</v>
      </c>
      <c r="F84" s="3">
        <v>6.3260800000000001</v>
      </c>
      <c r="G84" s="3">
        <v>20.378900000000002</v>
      </c>
      <c r="H84" s="3">
        <v>1.6876899999999999</v>
      </c>
      <c r="I84" s="3" t="s">
        <v>3015</v>
      </c>
      <c r="J84" s="3"/>
      <c r="K84" s="3"/>
      <c r="L84" s="3"/>
    </row>
    <row r="85" spans="1:12" s="2" customFormat="1" ht="15" x14ac:dyDescent="0.2">
      <c r="A85" s="5" t="s">
        <v>549</v>
      </c>
      <c r="B85" s="5" t="str">
        <f>VLOOKUP($A85,[1]Sheet1!$A:$B,2,FALSE)</f>
        <v>GO:0006508GO:0004185</v>
      </c>
      <c r="C85" s="2" t="s">
        <v>2103</v>
      </c>
      <c r="D85" s="3" t="s">
        <v>1836</v>
      </c>
      <c r="E85" s="3" t="s">
        <v>1837</v>
      </c>
      <c r="F85" s="3">
        <v>1.39297</v>
      </c>
      <c r="G85" s="3">
        <v>4.47872</v>
      </c>
      <c r="H85" s="3">
        <v>1.68492</v>
      </c>
      <c r="I85" s="3" t="s">
        <v>3053</v>
      </c>
      <c r="J85" s="4"/>
      <c r="K85" s="3"/>
      <c r="L85" s="3"/>
    </row>
    <row r="86" spans="1:12" s="2" customFormat="1" ht="15" x14ac:dyDescent="0.2">
      <c r="A86" s="5" t="s">
        <v>62</v>
      </c>
      <c r="B86" s="5" t="str">
        <f>VLOOKUP($A86,[1]Sheet1!$A:$B,2,FALSE)</f>
        <v>GO:0016829GO:0000287GO:0008152</v>
      </c>
      <c r="C86" s="2" t="s">
        <v>1873</v>
      </c>
      <c r="D86" s="3" t="s">
        <v>1836</v>
      </c>
      <c r="E86" s="3" t="s">
        <v>1837</v>
      </c>
      <c r="F86" s="3">
        <v>0.364124</v>
      </c>
      <c r="G86" s="3">
        <v>1.16787</v>
      </c>
      <c r="H86" s="3">
        <v>1.68137</v>
      </c>
      <c r="I86" s="3" t="s">
        <v>3031</v>
      </c>
      <c r="J86" s="3"/>
      <c r="K86" s="3"/>
      <c r="L86" s="3"/>
    </row>
    <row r="87" spans="1:12" s="2" customFormat="1" ht="15" x14ac:dyDescent="0.2">
      <c r="A87" s="5" t="s">
        <v>711</v>
      </c>
      <c r="B87" s="5" t="e">
        <f>VLOOKUP($A87,[1]Sheet1!$A:$B,2,FALSE)</f>
        <v>#N/A</v>
      </c>
      <c r="C87" s="2" t="s">
        <v>2173</v>
      </c>
      <c r="D87" s="3" t="s">
        <v>1836</v>
      </c>
      <c r="E87" s="3" t="s">
        <v>1837</v>
      </c>
      <c r="F87" s="3">
        <v>59.829799999999999</v>
      </c>
      <c r="G87" s="3">
        <v>190.53700000000001</v>
      </c>
      <c r="H87" s="3">
        <v>1.67113</v>
      </c>
      <c r="I87" s="3" t="s">
        <v>3015</v>
      </c>
      <c r="J87" s="3"/>
      <c r="K87" s="3"/>
      <c r="L87" s="3"/>
    </row>
    <row r="88" spans="1:12" s="2" customFormat="1" ht="15" x14ac:dyDescent="0.2">
      <c r="A88" s="5" t="s">
        <v>917</v>
      </c>
      <c r="B88" s="5" t="str">
        <f>VLOOKUP($A88,[1]Sheet1!$A:$B,2,FALSE)</f>
        <v>GO:0008967GO:0008152</v>
      </c>
      <c r="C88" s="2" t="s">
        <v>2270</v>
      </c>
      <c r="D88" s="3" t="s">
        <v>1836</v>
      </c>
      <c r="E88" s="3" t="s">
        <v>1837</v>
      </c>
      <c r="F88" s="3">
        <v>17.425899999999999</v>
      </c>
      <c r="G88" s="3">
        <v>55.494100000000003</v>
      </c>
      <c r="H88" s="3">
        <v>1.6711</v>
      </c>
      <c r="I88" s="3" t="s">
        <v>3236</v>
      </c>
      <c r="J88" s="3"/>
      <c r="K88" s="3"/>
      <c r="L88" s="3"/>
    </row>
    <row r="89" spans="1:12" s="2" customFormat="1" ht="15" x14ac:dyDescent="0.2">
      <c r="A89" s="5" t="s">
        <v>462</v>
      </c>
      <c r="B89" s="5" t="e">
        <f>VLOOKUP($A89,[1]Sheet1!$A:$B,2,FALSE)</f>
        <v>#N/A</v>
      </c>
      <c r="C89" s="2" t="s">
        <v>2061</v>
      </c>
      <c r="D89" s="3" t="s">
        <v>1836</v>
      </c>
      <c r="E89" s="3" t="s">
        <v>1837</v>
      </c>
      <c r="F89" s="3">
        <v>0.94986999999999999</v>
      </c>
      <c r="G89" s="3">
        <v>3.0189400000000002</v>
      </c>
      <c r="H89" s="3">
        <v>1.6682399999999999</v>
      </c>
      <c r="I89" s="3" t="s">
        <v>3015</v>
      </c>
      <c r="J89" s="4"/>
      <c r="K89" s="3"/>
      <c r="L89" s="3"/>
    </row>
    <row r="90" spans="1:12" s="2" customFormat="1" ht="15" x14ac:dyDescent="0.2">
      <c r="A90" s="5" t="s">
        <v>331</v>
      </c>
      <c r="B90" s="5" t="str">
        <f>VLOOKUP($A90,[1]Sheet1!$A:$B,2,FALSE)</f>
        <v>GO:0050660GO:0016021GO:0015662GO:0009055GO:0006754GO:0005506GO:0016491</v>
      </c>
      <c r="C90" s="2" t="s">
        <v>1999</v>
      </c>
      <c r="D90" s="3" t="s">
        <v>1836</v>
      </c>
      <c r="E90" s="3" t="s">
        <v>1837</v>
      </c>
      <c r="F90" s="3">
        <v>15.4533</v>
      </c>
      <c r="G90" s="3">
        <v>49.073399999999999</v>
      </c>
      <c r="H90" s="3">
        <v>1.6670199999999999</v>
      </c>
      <c r="I90" s="3" t="s">
        <v>3117</v>
      </c>
      <c r="J90" s="3"/>
      <c r="K90" s="3"/>
      <c r="L90" s="3"/>
    </row>
    <row r="91" spans="1:12" s="2" customFormat="1" ht="15" x14ac:dyDescent="0.2">
      <c r="A91" s="5" t="s">
        <v>132</v>
      </c>
      <c r="B91" s="5" t="e">
        <f>VLOOKUP($A91,[1]Sheet1!$A:$B,2,FALSE)</f>
        <v>#N/A</v>
      </c>
      <c r="C91" s="2" t="s">
        <v>1903</v>
      </c>
      <c r="D91" s="3" t="s">
        <v>1836</v>
      </c>
      <c r="E91" s="3" t="s">
        <v>1837</v>
      </c>
      <c r="F91" s="3">
        <v>0.26200299999999999</v>
      </c>
      <c r="G91" s="3">
        <v>0.82860199999999995</v>
      </c>
      <c r="H91" s="3">
        <v>1.6611</v>
      </c>
      <c r="I91" s="3" t="s">
        <v>3015</v>
      </c>
      <c r="J91" s="3"/>
      <c r="K91" s="3"/>
      <c r="L91" s="3"/>
    </row>
    <row r="92" spans="1:12" s="2" customFormat="1" ht="15" x14ac:dyDescent="0.2">
      <c r="A92" s="5" t="s">
        <v>940</v>
      </c>
      <c r="B92" s="5" t="str">
        <f>VLOOKUP($A92,[1]Sheet1!$A:$B,2,FALSE)</f>
        <v>GO:0005634GO:0008270GO:0003723</v>
      </c>
      <c r="C92" s="2" t="s">
        <v>2282</v>
      </c>
      <c r="D92" s="3" t="s">
        <v>1836</v>
      </c>
      <c r="E92" s="3" t="s">
        <v>1837</v>
      </c>
      <c r="F92" s="3">
        <v>2.2209599999999998</v>
      </c>
      <c r="G92" s="3">
        <v>6.9764499999999998</v>
      </c>
      <c r="H92" s="3">
        <v>1.6513100000000001</v>
      </c>
      <c r="I92" s="3" t="s">
        <v>3242</v>
      </c>
      <c r="J92" s="3"/>
      <c r="K92" s="3"/>
      <c r="L92" s="3"/>
    </row>
    <row r="93" spans="1:12" s="2" customFormat="1" ht="15" x14ac:dyDescent="0.2">
      <c r="A93" s="5" t="s">
        <v>926</v>
      </c>
      <c r="B93" s="5" t="e">
        <f>VLOOKUP($A93,[1]Sheet1!$A:$B,2,FALSE)</f>
        <v>#N/A</v>
      </c>
      <c r="C93" s="2" t="s">
        <v>2274</v>
      </c>
      <c r="D93" s="3" t="s">
        <v>1836</v>
      </c>
      <c r="E93" s="3" t="s">
        <v>1837</v>
      </c>
      <c r="F93" s="3">
        <v>0.62778699999999998</v>
      </c>
      <c r="G93" s="3">
        <v>1.96384</v>
      </c>
      <c r="H93" s="3">
        <v>1.64533</v>
      </c>
      <c r="I93" s="3" t="s">
        <v>3015</v>
      </c>
      <c r="J93" s="3"/>
      <c r="K93" s="3"/>
      <c r="L93" s="3"/>
    </row>
    <row r="94" spans="1:12" s="2" customFormat="1" ht="15" x14ac:dyDescent="0.2">
      <c r="A94" s="5" t="s">
        <v>415</v>
      </c>
      <c r="B94" s="5" t="str">
        <f>VLOOKUP($A94,[1]Sheet1!$A:$B,2,FALSE)</f>
        <v>GO:0015629GO:0005198GO:0006265GO:0050825GO:0042309GO:0050826GO:0007155GO:0005694GO:0003918GO:0005524</v>
      </c>
      <c r="C94" s="2" t="s">
        <v>2035</v>
      </c>
      <c r="D94" s="3" t="s">
        <v>1836</v>
      </c>
      <c r="E94" s="3" t="s">
        <v>1837</v>
      </c>
      <c r="F94" s="3">
        <v>5.1953800000000001</v>
      </c>
      <c r="G94" s="3">
        <v>16.1738</v>
      </c>
      <c r="H94" s="3">
        <v>1.63836</v>
      </c>
      <c r="I94" s="3" t="s">
        <v>3134</v>
      </c>
      <c r="J94" s="4"/>
      <c r="K94" s="3"/>
      <c r="L94" s="3"/>
    </row>
    <row r="95" spans="1:12" s="2" customFormat="1" ht="15" x14ac:dyDescent="0.2">
      <c r="A95" s="5" t="s">
        <v>211</v>
      </c>
      <c r="B95" s="5" t="str">
        <f>VLOOKUP($A95,[1]Sheet1!$A:$B,2,FALSE)</f>
        <v>GO:0006915GO:0005524</v>
      </c>
      <c r="C95" s="2" t="s">
        <v>3015</v>
      </c>
      <c r="D95" s="3" t="s">
        <v>1836</v>
      </c>
      <c r="E95" s="3" t="s">
        <v>1837</v>
      </c>
      <c r="F95" s="3">
        <v>0.982734</v>
      </c>
      <c r="G95" s="3">
        <v>3.0369999999999999</v>
      </c>
      <c r="H95" s="3">
        <v>1.6277699999999999</v>
      </c>
      <c r="I95" s="3" t="s">
        <v>3086</v>
      </c>
      <c r="J95" s="4"/>
      <c r="K95" s="3"/>
      <c r="L95" s="3"/>
    </row>
    <row r="96" spans="1:12" s="2" customFormat="1" ht="15" x14ac:dyDescent="0.2">
      <c r="A96" s="5" t="s">
        <v>498</v>
      </c>
      <c r="B96" s="5" t="e">
        <f>VLOOKUP($A96,[1]Sheet1!$A:$B,2,FALSE)</f>
        <v>#N/A</v>
      </c>
      <c r="C96" s="2" t="s">
        <v>2078</v>
      </c>
      <c r="D96" s="3" t="s">
        <v>1836</v>
      </c>
      <c r="E96" s="3" t="s">
        <v>1837</v>
      </c>
      <c r="F96" s="3">
        <v>35.1813</v>
      </c>
      <c r="G96" s="3">
        <v>107.474</v>
      </c>
      <c r="H96" s="3">
        <v>1.61111</v>
      </c>
      <c r="I96" s="3" t="s">
        <v>3015</v>
      </c>
      <c r="J96" s="4"/>
      <c r="K96" s="3"/>
      <c r="L96" s="3"/>
    </row>
    <row r="97" spans="1:12" s="2" customFormat="1" ht="15" x14ac:dyDescent="0.2">
      <c r="A97" s="5" t="s">
        <v>311</v>
      </c>
      <c r="B97" s="5" t="str">
        <f>VLOOKUP($A97,[1]Sheet1!$A:$B,2,FALSE)</f>
        <v>GO:0006468GO:0004674GO:0005529GO:0004713GO:0005524GO:0048544</v>
      </c>
      <c r="C97" s="2" t="s">
        <v>1988</v>
      </c>
      <c r="D97" s="3" t="s">
        <v>1836</v>
      </c>
      <c r="E97" s="3" t="s">
        <v>1837</v>
      </c>
      <c r="F97" s="3">
        <v>0.32039299999999998</v>
      </c>
      <c r="G97" s="3">
        <v>0.97678200000000004</v>
      </c>
      <c r="H97" s="3">
        <v>1.60819</v>
      </c>
      <c r="I97" s="3" t="s">
        <v>3111</v>
      </c>
      <c r="J97" s="4"/>
      <c r="K97" s="3"/>
      <c r="L97" s="3"/>
    </row>
    <row r="98" spans="1:12" s="2" customFormat="1" ht="15" x14ac:dyDescent="0.2">
      <c r="A98" s="5" t="s">
        <v>1013</v>
      </c>
      <c r="B98" s="5" t="str">
        <f>VLOOKUP($A98,[1]Sheet1!$A:$B,2,FALSE)</f>
        <v>GO:0006811GO:0016020GO:0005216</v>
      </c>
      <c r="C98" s="2" t="s">
        <v>2318</v>
      </c>
      <c r="D98" s="3" t="s">
        <v>1836</v>
      </c>
      <c r="E98" s="3" t="s">
        <v>1837</v>
      </c>
      <c r="F98" s="3">
        <v>3.92008</v>
      </c>
      <c r="G98" s="3">
        <v>11.9437</v>
      </c>
      <c r="H98" s="3">
        <v>1.6073</v>
      </c>
      <c r="I98" s="3" t="s">
        <v>3257</v>
      </c>
      <c r="J98" s="3"/>
      <c r="K98" s="3"/>
      <c r="L98" s="3"/>
    </row>
    <row r="99" spans="1:12" s="2" customFormat="1" ht="15" x14ac:dyDescent="0.2">
      <c r="A99" s="5" t="s">
        <v>153</v>
      </c>
      <c r="B99" s="5" t="str">
        <f>VLOOKUP($A99,[1]Sheet1!$A:$B,2,FALSE)</f>
        <v>GO:0004497GO:0020037GO:0009055</v>
      </c>
      <c r="C99" s="2" t="s">
        <v>1875</v>
      </c>
      <c r="D99" s="3" t="s">
        <v>1836</v>
      </c>
      <c r="E99" s="3" t="s">
        <v>1837</v>
      </c>
      <c r="F99" s="3">
        <v>0.39899600000000002</v>
      </c>
      <c r="G99" s="3">
        <v>1.21532</v>
      </c>
      <c r="H99" s="3">
        <v>1.6068899999999999</v>
      </c>
      <c r="I99" s="3" t="s">
        <v>3045</v>
      </c>
      <c r="J99" s="3"/>
      <c r="K99" s="3"/>
      <c r="L99" s="3"/>
    </row>
    <row r="100" spans="1:12" s="2" customFormat="1" ht="15" x14ac:dyDescent="0.2">
      <c r="A100" s="5" t="s">
        <v>568</v>
      </c>
      <c r="B100" s="5" t="str">
        <f>VLOOKUP($A100,[1]Sheet1!$A:$B,2,FALSE)</f>
        <v>GO:0016021GO:0007186GO:0005199</v>
      </c>
      <c r="C100" s="2" t="s">
        <v>2111</v>
      </c>
      <c r="D100" s="3" t="s">
        <v>1836</v>
      </c>
      <c r="E100" s="3" t="s">
        <v>1837</v>
      </c>
      <c r="F100" s="3">
        <v>10.074400000000001</v>
      </c>
      <c r="G100" s="3">
        <v>30.608599999999999</v>
      </c>
      <c r="H100" s="3">
        <v>1.60324</v>
      </c>
      <c r="I100" s="3" t="s">
        <v>3163</v>
      </c>
      <c r="J100" s="4"/>
      <c r="K100" s="3"/>
      <c r="L100" s="3"/>
    </row>
    <row r="101" spans="1:12" s="2" customFormat="1" ht="15" x14ac:dyDescent="0.2">
      <c r="A101" s="5" t="s">
        <v>223</v>
      </c>
      <c r="B101" s="5" t="e">
        <f>VLOOKUP($A101,[1]Sheet1!$A:$B,2,FALSE)</f>
        <v>#N/A</v>
      </c>
      <c r="C101" s="2" t="s">
        <v>1880</v>
      </c>
      <c r="D101" s="3" t="s">
        <v>1836</v>
      </c>
      <c r="E101" s="3" t="s">
        <v>1837</v>
      </c>
      <c r="F101" s="3">
        <v>7.7205899999999996</v>
      </c>
      <c r="G101" s="3">
        <v>23.229800000000001</v>
      </c>
      <c r="H101" s="3">
        <v>1.5891900000000001</v>
      </c>
      <c r="I101" s="3" t="s">
        <v>3015</v>
      </c>
      <c r="J101" s="4"/>
      <c r="K101" s="3"/>
      <c r="L101" s="3"/>
    </row>
    <row r="102" spans="1:12" s="2" customFormat="1" ht="15" x14ac:dyDescent="0.2">
      <c r="A102" s="5" t="s">
        <v>367</v>
      </c>
      <c r="B102" s="5" t="str">
        <f>VLOOKUP($A102,[1]Sheet1!$A:$B,2,FALSE)</f>
        <v>GO:0005634GO:0030528</v>
      </c>
      <c r="C102" s="2" t="s">
        <v>2013</v>
      </c>
      <c r="D102" s="3" t="s">
        <v>1836</v>
      </c>
      <c r="E102" s="3" t="s">
        <v>1837</v>
      </c>
      <c r="F102" s="3">
        <v>0.51770099999999997</v>
      </c>
      <c r="G102" s="3">
        <v>1.5575000000000001</v>
      </c>
      <c r="H102" s="3">
        <v>1.58904</v>
      </c>
      <c r="I102" s="3" t="s">
        <v>3128</v>
      </c>
      <c r="J102" s="4"/>
      <c r="K102" s="3"/>
      <c r="L102" s="3"/>
    </row>
    <row r="103" spans="1:12" s="2" customFormat="1" ht="15" x14ac:dyDescent="0.2">
      <c r="A103" s="5" t="s">
        <v>329</v>
      </c>
      <c r="B103" s="5" t="str">
        <f>VLOOKUP($A103,[1]Sheet1!$A:$B,2,FALSE)</f>
        <v>GO:0006355GO:0005634GO:0004879GO:0003677</v>
      </c>
      <c r="C103" s="2" t="s">
        <v>1998</v>
      </c>
      <c r="D103" s="3" t="s">
        <v>1836</v>
      </c>
      <c r="E103" s="3" t="s">
        <v>1837</v>
      </c>
      <c r="F103" s="3">
        <v>1.83968</v>
      </c>
      <c r="G103" s="3">
        <v>5.48651</v>
      </c>
      <c r="H103" s="3">
        <v>1.5764400000000001</v>
      </c>
      <c r="I103" s="3" t="s">
        <v>3116</v>
      </c>
      <c r="J103" s="4"/>
      <c r="K103" s="3"/>
      <c r="L103" s="3"/>
    </row>
    <row r="104" spans="1:12" s="2" customFormat="1" ht="15" x14ac:dyDescent="0.2">
      <c r="A104" s="5" t="s">
        <v>508</v>
      </c>
      <c r="B104" s="5" t="str">
        <f>VLOOKUP($A104,[1]Sheet1!$A:$B,2,FALSE)</f>
        <v>GO:0003840</v>
      </c>
      <c r="C104" s="2" t="s">
        <v>2083</v>
      </c>
      <c r="D104" s="3" t="s">
        <v>1836</v>
      </c>
      <c r="E104" s="3" t="s">
        <v>1837</v>
      </c>
      <c r="F104" s="3">
        <v>0.39847100000000002</v>
      </c>
      <c r="G104" s="3">
        <v>1.18543</v>
      </c>
      <c r="H104" s="3">
        <v>1.5728599999999999</v>
      </c>
      <c r="I104" s="3" t="s">
        <v>3150</v>
      </c>
      <c r="J104" s="3"/>
      <c r="K104" s="3"/>
      <c r="L104" s="3"/>
    </row>
    <row r="105" spans="1:12" s="2" customFormat="1" ht="15" x14ac:dyDescent="0.2">
      <c r="A105" s="5" t="s">
        <v>677</v>
      </c>
      <c r="B105" s="5" t="str">
        <f>VLOOKUP($A105,[1]Sheet1!$A:$B,2,FALSE)</f>
        <v>GO:0003824GO:0005992</v>
      </c>
      <c r="C105" s="2" t="s">
        <v>2159</v>
      </c>
      <c r="D105" s="3" t="s">
        <v>1836</v>
      </c>
      <c r="E105" s="3" t="s">
        <v>1837</v>
      </c>
      <c r="F105" s="3">
        <v>0.83784499999999995</v>
      </c>
      <c r="G105" s="3">
        <v>2.4750800000000002</v>
      </c>
      <c r="H105" s="3">
        <v>1.5627200000000001</v>
      </c>
      <c r="I105" s="3" t="s">
        <v>3190</v>
      </c>
      <c r="J105" s="3"/>
      <c r="K105" s="3"/>
      <c r="L105" s="3"/>
    </row>
    <row r="106" spans="1:12" s="2" customFormat="1" ht="15" x14ac:dyDescent="0.2">
      <c r="A106" s="5" t="s">
        <v>29</v>
      </c>
      <c r="B106" s="5" t="str">
        <f>VLOOKUP($A106,[1]Sheet1!$A:$B,2,FALSE)</f>
        <v>GO:0016829GO:0000287GO:0008152</v>
      </c>
      <c r="C106" s="2" t="s">
        <v>1856</v>
      </c>
      <c r="D106" s="3" t="s">
        <v>1836</v>
      </c>
      <c r="E106" s="3" t="s">
        <v>1837</v>
      </c>
      <c r="F106" s="3">
        <v>1.19275</v>
      </c>
      <c r="G106" s="3">
        <v>3.5014500000000002</v>
      </c>
      <c r="H106" s="3">
        <v>1.55366</v>
      </c>
      <c r="I106" s="3" t="s">
        <v>3031</v>
      </c>
      <c r="J106" s="4"/>
      <c r="K106" s="3"/>
      <c r="L106" s="3"/>
    </row>
    <row r="107" spans="1:12" s="2" customFormat="1" ht="15" x14ac:dyDescent="0.2">
      <c r="A107" s="5" t="s">
        <v>979</v>
      </c>
      <c r="B107" s="5" t="e">
        <f>VLOOKUP($A107,[1]Sheet1!$A:$B,2,FALSE)</f>
        <v>#N/A</v>
      </c>
      <c r="C107" s="2" t="s">
        <v>2306</v>
      </c>
      <c r="D107" s="3" t="s">
        <v>1836</v>
      </c>
      <c r="E107" s="3" t="s">
        <v>1837</v>
      </c>
      <c r="F107" s="3">
        <v>1.58857</v>
      </c>
      <c r="G107" s="3">
        <v>4.6520900000000003</v>
      </c>
      <c r="H107" s="3">
        <v>1.5501499999999999</v>
      </c>
      <c r="I107" s="3" t="s">
        <v>3015</v>
      </c>
      <c r="J107" s="4"/>
      <c r="K107" s="3"/>
      <c r="L107" s="3"/>
    </row>
    <row r="108" spans="1:12" s="2" customFormat="1" ht="15" x14ac:dyDescent="0.2">
      <c r="A108" s="5" t="s">
        <v>398</v>
      </c>
      <c r="B108" s="5" t="e">
        <f>VLOOKUP($A108,[1]Sheet1!$A:$B,2,FALSE)</f>
        <v>#N/A</v>
      </c>
      <c r="C108" s="2" t="s">
        <v>2026</v>
      </c>
      <c r="D108" s="3" t="s">
        <v>1836</v>
      </c>
      <c r="E108" s="3" t="s">
        <v>1837</v>
      </c>
      <c r="F108" s="3">
        <v>1.46</v>
      </c>
      <c r="G108" s="3">
        <v>4.2748299999999997</v>
      </c>
      <c r="H108" s="3">
        <v>1.5499000000000001</v>
      </c>
      <c r="I108" s="3" t="s">
        <v>3015</v>
      </c>
      <c r="J108" s="3"/>
      <c r="K108" s="3"/>
      <c r="L108" s="3"/>
    </row>
    <row r="109" spans="1:12" s="2" customFormat="1" ht="15" x14ac:dyDescent="0.2">
      <c r="A109" s="5" t="s">
        <v>941</v>
      </c>
      <c r="B109" s="5" t="e">
        <f>VLOOKUP($A109,[1]Sheet1!$A:$B,2,FALSE)</f>
        <v>#N/A</v>
      </c>
      <c r="C109" s="2" t="s">
        <v>2283</v>
      </c>
      <c r="D109" s="3" t="s">
        <v>1836</v>
      </c>
      <c r="E109" s="3" t="s">
        <v>1837</v>
      </c>
      <c r="F109" s="3">
        <v>2.1166999999999998</v>
      </c>
      <c r="G109" s="3">
        <v>6.1545500000000004</v>
      </c>
      <c r="H109" s="3">
        <v>1.5398400000000001</v>
      </c>
      <c r="I109" s="3" t="s">
        <v>3015</v>
      </c>
      <c r="J109" s="4"/>
      <c r="K109" s="3"/>
      <c r="L109" s="3"/>
    </row>
    <row r="110" spans="1:12" s="2" customFormat="1" ht="15" x14ac:dyDescent="0.2">
      <c r="A110" s="5" t="s">
        <v>876</v>
      </c>
      <c r="B110" s="5" t="str">
        <f>VLOOKUP($A110,[1]Sheet1!$A:$B,2,FALSE)</f>
        <v>GO:0016491</v>
      </c>
      <c r="C110" s="2" t="s">
        <v>2248</v>
      </c>
      <c r="D110" s="3" t="s">
        <v>1836</v>
      </c>
      <c r="E110" s="3" t="s">
        <v>1837</v>
      </c>
      <c r="F110" s="3">
        <v>3.1970399999999999</v>
      </c>
      <c r="G110" s="3">
        <v>9.2225699999999993</v>
      </c>
      <c r="H110" s="3">
        <v>1.52843</v>
      </c>
      <c r="I110" s="3" t="s">
        <v>3191</v>
      </c>
      <c r="J110" s="3"/>
      <c r="K110" s="3"/>
      <c r="L110" s="3"/>
    </row>
    <row r="111" spans="1:12" s="2" customFormat="1" ht="15" x14ac:dyDescent="0.2">
      <c r="A111" s="5" t="s">
        <v>497</v>
      </c>
      <c r="B111" s="5" t="str">
        <f>VLOOKUP($A111,[1]Sheet1!$A:$B,2,FALSE)</f>
        <v>GO:0050825GO:0042309GO:0050826</v>
      </c>
      <c r="C111" s="2" t="s">
        <v>2017</v>
      </c>
      <c r="D111" s="3" t="s">
        <v>1836</v>
      </c>
      <c r="E111" s="3" t="s">
        <v>1837</v>
      </c>
      <c r="F111" s="3">
        <v>0.79614300000000005</v>
      </c>
      <c r="G111" s="3">
        <v>2.2957999999999998</v>
      </c>
      <c r="H111" s="3">
        <v>1.5279</v>
      </c>
      <c r="I111" s="3" t="s">
        <v>3030</v>
      </c>
      <c r="J111" s="3"/>
      <c r="K111" s="3"/>
      <c r="L111" s="3"/>
    </row>
    <row r="112" spans="1:12" s="2" customFormat="1" ht="15" x14ac:dyDescent="0.2">
      <c r="A112" s="5" t="s">
        <v>590</v>
      </c>
      <c r="B112" s="5" t="e">
        <f>VLOOKUP($A112,[1]Sheet1!$A:$B,2,FALSE)</f>
        <v>#N/A</v>
      </c>
      <c r="C112" s="2" t="s">
        <v>3015</v>
      </c>
      <c r="D112" s="3" t="s">
        <v>1836</v>
      </c>
      <c r="E112" s="3" t="s">
        <v>1837</v>
      </c>
      <c r="F112" s="3">
        <v>0.33421000000000001</v>
      </c>
      <c r="G112" s="3">
        <v>0.96025700000000003</v>
      </c>
      <c r="H112" s="3">
        <v>1.52267</v>
      </c>
      <c r="I112" s="3" t="s">
        <v>3015</v>
      </c>
      <c r="J112" s="3"/>
      <c r="K112" s="3"/>
      <c r="L112" s="3"/>
    </row>
    <row r="113" spans="1:12" s="2" customFormat="1" ht="15" x14ac:dyDescent="0.2">
      <c r="A113" s="5" t="s">
        <v>782</v>
      </c>
      <c r="B113" s="5" t="str">
        <f>VLOOKUP($A113,[1]Sheet1!$A:$B,2,FALSE)</f>
        <v>GO:0000228</v>
      </c>
      <c r="C113" s="2" t="s">
        <v>2199</v>
      </c>
      <c r="D113" s="3" t="s">
        <v>1836</v>
      </c>
      <c r="E113" s="3" t="s">
        <v>1837</v>
      </c>
      <c r="F113" s="3">
        <v>0.92591900000000005</v>
      </c>
      <c r="G113" s="3">
        <v>2.6560000000000001</v>
      </c>
      <c r="H113" s="3">
        <v>1.5203</v>
      </c>
      <c r="I113" s="3" t="s">
        <v>3208</v>
      </c>
      <c r="J113" s="3"/>
      <c r="K113" s="3"/>
      <c r="L113" s="3"/>
    </row>
    <row r="114" spans="1:12" s="2" customFormat="1" ht="15" x14ac:dyDescent="0.2">
      <c r="A114" s="5" t="s">
        <v>268</v>
      </c>
      <c r="B114" s="5" t="str">
        <f>VLOOKUP($A114,[1]Sheet1!$A:$B,2,FALSE)</f>
        <v>GO:0031072GO:0006457GO:0051082</v>
      </c>
      <c r="C114" s="2" t="s">
        <v>1969</v>
      </c>
      <c r="D114" s="3" t="s">
        <v>1836</v>
      </c>
      <c r="E114" s="3" t="s">
        <v>1837</v>
      </c>
      <c r="F114" s="3">
        <v>11.0479</v>
      </c>
      <c r="G114" s="3">
        <v>31.525700000000001</v>
      </c>
      <c r="H114" s="3">
        <v>1.5127600000000001</v>
      </c>
      <c r="I114" s="3" t="s">
        <v>3104</v>
      </c>
      <c r="J114" s="4"/>
      <c r="K114" s="3"/>
      <c r="L114" s="3"/>
    </row>
    <row r="115" spans="1:12" s="2" customFormat="1" ht="15" x14ac:dyDescent="0.2">
      <c r="A115" s="5" t="s">
        <v>752</v>
      </c>
      <c r="B115" s="5" t="str">
        <f>VLOOKUP($A115,[1]Sheet1!$A:$B,2,FALSE)</f>
        <v>GO:0020037GO:0016020GO:0004601GO:0006979GO:0009055</v>
      </c>
      <c r="C115" s="2" t="s">
        <v>2187</v>
      </c>
      <c r="D115" s="3" t="s">
        <v>1836</v>
      </c>
      <c r="E115" s="3" t="s">
        <v>1837</v>
      </c>
      <c r="F115" s="3">
        <v>0.380523</v>
      </c>
      <c r="G115" s="3">
        <v>1.07369</v>
      </c>
      <c r="H115" s="3">
        <v>1.4965200000000001</v>
      </c>
      <c r="I115" s="3" t="s">
        <v>3203</v>
      </c>
      <c r="J115" s="4"/>
      <c r="K115" s="3"/>
      <c r="L115" s="3"/>
    </row>
    <row r="116" spans="1:12" s="2" customFormat="1" ht="15" x14ac:dyDescent="0.2">
      <c r="A116" s="5" t="s">
        <v>697</v>
      </c>
      <c r="B116" s="5" t="str">
        <f>VLOOKUP($A116,[1]Sheet1!$A:$B,2,FALSE)</f>
        <v>GO:0016747</v>
      </c>
      <c r="C116" s="2" t="s">
        <v>2167</v>
      </c>
      <c r="D116" s="3" t="s">
        <v>1836</v>
      </c>
      <c r="E116" s="3" t="s">
        <v>1837</v>
      </c>
      <c r="F116" s="3">
        <v>1.3626799999999999</v>
      </c>
      <c r="G116" s="3">
        <v>3.8300700000000001</v>
      </c>
      <c r="H116" s="3">
        <v>1.49092</v>
      </c>
      <c r="I116" s="3" t="s">
        <v>3058</v>
      </c>
      <c r="J116" s="4"/>
      <c r="K116" s="3"/>
      <c r="L116" s="3"/>
    </row>
    <row r="117" spans="1:12" s="2" customFormat="1" ht="15" x14ac:dyDescent="0.2">
      <c r="A117" s="5" t="s">
        <v>238</v>
      </c>
      <c r="B117" s="5" t="str">
        <f>VLOOKUP($A117,[1]Sheet1!$A:$B,2,FALSE)</f>
        <v>GO:0015297GO:0016020GO:0006855GO:0015238</v>
      </c>
      <c r="C117" s="2" t="s">
        <v>1956</v>
      </c>
      <c r="D117" s="3" t="s">
        <v>1836</v>
      </c>
      <c r="E117" s="3" t="s">
        <v>1837</v>
      </c>
      <c r="F117" s="3">
        <v>0.37081500000000001</v>
      </c>
      <c r="G117" s="3">
        <v>1.0354399999999999</v>
      </c>
      <c r="H117" s="3">
        <v>1.4814700000000001</v>
      </c>
      <c r="I117" s="3" t="s">
        <v>3095</v>
      </c>
      <c r="J117" s="4"/>
      <c r="K117" s="3"/>
      <c r="L117" s="3"/>
    </row>
    <row r="118" spans="1:12" s="2" customFormat="1" ht="15" x14ac:dyDescent="0.2">
      <c r="A118" s="5" t="s">
        <v>822</v>
      </c>
      <c r="B118" s="5" t="str">
        <f>VLOOKUP($A118,[1]Sheet1!$A:$B,2,FALSE)</f>
        <v>GO:0003700GO:0006355GO:0006352GO:0016987</v>
      </c>
      <c r="C118" s="2" t="s">
        <v>2217</v>
      </c>
      <c r="D118" s="3" t="s">
        <v>1836</v>
      </c>
      <c r="E118" s="3" t="s">
        <v>1837</v>
      </c>
      <c r="F118" s="3">
        <v>3.6550099999999999</v>
      </c>
      <c r="G118" s="3">
        <v>10.0908</v>
      </c>
      <c r="H118" s="3">
        <v>1.4651000000000001</v>
      </c>
      <c r="I118" s="3" t="s">
        <v>3217</v>
      </c>
      <c r="J118" s="4"/>
      <c r="K118" s="3"/>
      <c r="L118" s="3"/>
    </row>
    <row r="119" spans="1:12" s="2" customFormat="1" ht="15" x14ac:dyDescent="0.2">
      <c r="A119" s="5" t="s">
        <v>199</v>
      </c>
      <c r="B119" s="5" t="e">
        <f>VLOOKUP($A119,[1]Sheet1!$A:$B,2,FALSE)</f>
        <v>#N/A</v>
      </c>
      <c r="C119" s="2" t="s">
        <v>3015</v>
      </c>
      <c r="D119" s="3" t="s">
        <v>1836</v>
      </c>
      <c r="E119" s="3" t="s">
        <v>1837</v>
      </c>
      <c r="F119" s="3">
        <v>2.2997200000000002</v>
      </c>
      <c r="G119" s="3">
        <v>6.3407099999999996</v>
      </c>
      <c r="H119" s="3">
        <v>1.46319</v>
      </c>
      <c r="I119" s="3" t="s">
        <v>3015</v>
      </c>
      <c r="J119" s="3"/>
      <c r="K119" s="3"/>
      <c r="L119" s="3"/>
    </row>
    <row r="120" spans="1:12" s="2" customFormat="1" ht="15" x14ac:dyDescent="0.2">
      <c r="A120" s="5" t="s">
        <v>303</v>
      </c>
      <c r="B120" s="5" t="e">
        <f>VLOOKUP($A120,[1]Sheet1!$A:$B,2,FALSE)</f>
        <v>#N/A</v>
      </c>
      <c r="C120" s="2" t="s">
        <v>1984</v>
      </c>
      <c r="D120" s="3" t="s">
        <v>1836</v>
      </c>
      <c r="E120" s="3" t="s">
        <v>1837</v>
      </c>
      <c r="F120" s="3">
        <v>2.23847</v>
      </c>
      <c r="G120" s="3">
        <v>6.1475999999999997</v>
      </c>
      <c r="H120" s="3">
        <v>1.4575100000000001</v>
      </c>
      <c r="I120" s="3" t="s">
        <v>3015</v>
      </c>
      <c r="J120" s="4"/>
      <c r="K120" s="3"/>
      <c r="L120" s="3"/>
    </row>
    <row r="121" spans="1:12" s="2" customFormat="1" ht="15" x14ac:dyDescent="0.2">
      <c r="A121" s="5" t="s">
        <v>186</v>
      </c>
      <c r="B121" s="5" t="str">
        <f>VLOOKUP($A121,[1]Sheet1!$A:$B,2,FALSE)</f>
        <v>GO:0015629GO:0016021GO:0005198GO:0004969GO:0007155GO:0007186</v>
      </c>
      <c r="C121" s="2" t="s">
        <v>1931</v>
      </c>
      <c r="D121" s="3" t="s">
        <v>1836</v>
      </c>
      <c r="E121" s="3" t="s">
        <v>1837</v>
      </c>
      <c r="F121" s="3">
        <v>0.72375800000000001</v>
      </c>
      <c r="G121" s="3">
        <v>1.9766300000000001</v>
      </c>
      <c r="H121" s="3">
        <v>1.44946</v>
      </c>
      <c r="I121" s="3" t="s">
        <v>3075</v>
      </c>
      <c r="J121" s="4"/>
      <c r="K121" s="3"/>
      <c r="L121" s="3"/>
    </row>
    <row r="122" spans="1:12" s="2" customFormat="1" ht="15" x14ac:dyDescent="0.2">
      <c r="A122" s="5" t="s">
        <v>148</v>
      </c>
      <c r="B122" s="5" t="str">
        <f>VLOOKUP($A122,[1]Sheet1!$A:$B,2,FALSE)</f>
        <v>GO:0003700GO:0006355GO:0005634GO:0043565</v>
      </c>
      <c r="C122" s="2" t="s">
        <v>1913</v>
      </c>
      <c r="D122" s="3" t="s">
        <v>1836</v>
      </c>
      <c r="E122" s="3" t="s">
        <v>1837</v>
      </c>
      <c r="F122" s="3">
        <v>0.41171799999999997</v>
      </c>
      <c r="G122" s="3">
        <v>1.12395</v>
      </c>
      <c r="H122" s="3">
        <v>1.4488399999999999</v>
      </c>
      <c r="I122" s="3" t="s">
        <v>3026</v>
      </c>
      <c r="J122" s="4"/>
      <c r="K122" s="3"/>
      <c r="L122" s="3"/>
    </row>
    <row r="123" spans="1:12" s="2" customFormat="1" ht="15" x14ac:dyDescent="0.2">
      <c r="A123" s="5" t="s">
        <v>1043</v>
      </c>
      <c r="B123" s="5" t="e">
        <f>VLOOKUP($A123,[1]Sheet1!$A:$B,2,FALSE)</f>
        <v>#N/A</v>
      </c>
      <c r="C123" s="2" t="s">
        <v>3015</v>
      </c>
      <c r="D123" s="3" t="s">
        <v>1836</v>
      </c>
      <c r="E123" s="3" t="s">
        <v>1837</v>
      </c>
      <c r="F123" s="3">
        <v>0.68766799999999995</v>
      </c>
      <c r="G123" s="3">
        <v>1.8741699999999999</v>
      </c>
      <c r="H123" s="3">
        <v>1.4464699999999999</v>
      </c>
      <c r="I123" s="3" t="s">
        <v>3015</v>
      </c>
      <c r="J123" s="3"/>
      <c r="K123" s="3"/>
      <c r="L123" s="3"/>
    </row>
    <row r="124" spans="1:12" s="2" customFormat="1" ht="15" x14ac:dyDescent="0.2">
      <c r="A124" s="5" t="s">
        <v>445</v>
      </c>
      <c r="B124" s="5" t="str">
        <f>VLOOKUP($A124,[1]Sheet1!$A:$B,2,FALSE)</f>
        <v>GO:0003824GO:0003676GO:0008152</v>
      </c>
      <c r="C124" s="2" t="s">
        <v>2049</v>
      </c>
      <c r="D124" s="3" t="s">
        <v>1836</v>
      </c>
      <c r="E124" s="3" t="s">
        <v>1837</v>
      </c>
      <c r="F124" s="3">
        <v>4.5028600000000001</v>
      </c>
      <c r="G124" s="3">
        <v>12.1997</v>
      </c>
      <c r="H124" s="3">
        <v>1.4379299999999999</v>
      </c>
      <c r="I124" s="3" t="s">
        <v>3141</v>
      </c>
      <c r="J124" s="4"/>
      <c r="K124" s="3"/>
      <c r="L124" s="3"/>
    </row>
    <row r="125" spans="1:12" s="2" customFormat="1" ht="15" x14ac:dyDescent="0.2">
      <c r="A125" s="5" t="s">
        <v>972</v>
      </c>
      <c r="B125" s="5" t="str">
        <f>VLOOKUP($A125,[1]Sheet1!$A:$B,2,FALSE)</f>
        <v>GO:0050825GO:0042309GO:0050826</v>
      </c>
      <c r="C125" s="2" t="s">
        <v>3015</v>
      </c>
      <c r="D125" s="3" t="s">
        <v>1836</v>
      </c>
      <c r="E125" s="3" t="s">
        <v>1837</v>
      </c>
      <c r="F125" s="3">
        <v>38.310400000000001</v>
      </c>
      <c r="G125" s="3">
        <v>103.691</v>
      </c>
      <c r="H125" s="3">
        <v>1.43648</v>
      </c>
      <c r="I125" s="3" t="s">
        <v>3030</v>
      </c>
      <c r="J125" s="3"/>
      <c r="K125" s="3"/>
      <c r="L125" s="3"/>
    </row>
    <row r="126" spans="1:12" s="2" customFormat="1" ht="15" x14ac:dyDescent="0.2">
      <c r="A126" s="5" t="s">
        <v>980</v>
      </c>
      <c r="B126" s="5" t="str">
        <f>VLOOKUP($A126,[1]Sheet1!$A:$B,2,FALSE)</f>
        <v>GO:0003824GO:0016564GO:0006808GO:0005488</v>
      </c>
      <c r="C126" s="2" t="s">
        <v>1881</v>
      </c>
      <c r="D126" s="3" t="s">
        <v>1836</v>
      </c>
      <c r="E126" s="3" t="s">
        <v>1837</v>
      </c>
      <c r="F126" s="3">
        <v>76.205699999999993</v>
      </c>
      <c r="G126" s="3">
        <v>205.56299999999999</v>
      </c>
      <c r="H126" s="3">
        <v>1.43161</v>
      </c>
      <c r="I126" s="3" t="s">
        <v>3252</v>
      </c>
      <c r="J126" s="3"/>
      <c r="K126" s="3"/>
      <c r="L126" s="3"/>
    </row>
    <row r="127" spans="1:12" s="2" customFormat="1" ht="15" x14ac:dyDescent="0.2">
      <c r="A127" s="5" t="s">
        <v>425</v>
      </c>
      <c r="B127" s="5" t="e">
        <f>VLOOKUP($A127,[1]Sheet1!$A:$B,2,FALSE)</f>
        <v>#N/A</v>
      </c>
      <c r="C127" s="2" t="s">
        <v>2040</v>
      </c>
      <c r="D127" s="3" t="s">
        <v>1836</v>
      </c>
      <c r="E127" s="3" t="s">
        <v>1837</v>
      </c>
      <c r="F127" s="3">
        <v>1.00464</v>
      </c>
      <c r="G127" s="3">
        <v>2.7046299999999999</v>
      </c>
      <c r="H127" s="3">
        <v>1.42876</v>
      </c>
      <c r="I127" s="3" t="s">
        <v>3015</v>
      </c>
      <c r="J127" s="3"/>
      <c r="K127" s="3"/>
      <c r="L127" s="3"/>
    </row>
    <row r="128" spans="1:12" s="2" customFormat="1" ht="15" x14ac:dyDescent="0.2">
      <c r="A128" s="5" t="s">
        <v>277</v>
      </c>
      <c r="B128" s="5" t="e">
        <f>VLOOKUP($A128,[1]Sheet1!$A:$B,2,FALSE)</f>
        <v>#N/A</v>
      </c>
      <c r="C128" s="2" t="s">
        <v>1847</v>
      </c>
      <c r="D128" s="3" t="s">
        <v>1836</v>
      </c>
      <c r="E128" s="3" t="s">
        <v>1837</v>
      </c>
      <c r="F128" s="3">
        <v>10.777100000000001</v>
      </c>
      <c r="G128" s="3">
        <v>29.012599999999999</v>
      </c>
      <c r="H128" s="3">
        <v>1.4287000000000001</v>
      </c>
      <c r="I128" s="3" t="s">
        <v>3015</v>
      </c>
      <c r="J128" s="3"/>
      <c r="K128" s="3"/>
      <c r="L128" s="3"/>
    </row>
    <row r="129" spans="1:12" s="2" customFormat="1" ht="15" x14ac:dyDescent="0.2">
      <c r="A129" s="5" t="s">
        <v>386</v>
      </c>
      <c r="B129" s="5" t="str">
        <f>VLOOKUP($A129,[1]Sheet1!$A:$B,2,FALSE)</f>
        <v>GO:0004867</v>
      </c>
      <c r="C129" s="2" t="s">
        <v>2021</v>
      </c>
      <c r="D129" s="3" t="s">
        <v>1836</v>
      </c>
      <c r="E129" s="3" t="s">
        <v>1837</v>
      </c>
      <c r="F129" s="3">
        <v>3.75535</v>
      </c>
      <c r="G129" s="3">
        <v>9.9888999999999992</v>
      </c>
      <c r="H129" s="3">
        <v>1.4113800000000001</v>
      </c>
      <c r="I129" s="3" t="s">
        <v>3130</v>
      </c>
      <c r="J129" s="3"/>
      <c r="K129" s="3"/>
      <c r="L129" s="3"/>
    </row>
    <row r="130" spans="1:12" s="2" customFormat="1" ht="15" x14ac:dyDescent="0.2">
      <c r="A130" s="5" t="s">
        <v>739</v>
      </c>
      <c r="B130" s="5" t="str">
        <f>VLOOKUP($A130,[1]Sheet1!$A:$B,2,FALSE)</f>
        <v>GO:0016020</v>
      </c>
      <c r="C130" s="2" t="s">
        <v>2001</v>
      </c>
      <c r="D130" s="3" t="s">
        <v>1836</v>
      </c>
      <c r="E130" s="3" t="s">
        <v>1837</v>
      </c>
      <c r="F130" s="3">
        <v>0.65553600000000001</v>
      </c>
      <c r="G130" s="3">
        <v>1.7421500000000001</v>
      </c>
      <c r="H130" s="3">
        <v>1.41012</v>
      </c>
      <c r="I130" s="3" t="s">
        <v>3200</v>
      </c>
      <c r="J130" s="4"/>
      <c r="K130" s="3"/>
      <c r="L130" s="3"/>
    </row>
    <row r="131" spans="1:12" s="2" customFormat="1" ht="15" x14ac:dyDescent="0.2">
      <c r="A131" s="5" t="s">
        <v>453</v>
      </c>
      <c r="B131" s="5" t="e">
        <f>VLOOKUP($A131,[1]Sheet1!$A:$B,2,FALSE)</f>
        <v>#N/A</v>
      </c>
      <c r="C131" s="2" t="s">
        <v>2056</v>
      </c>
      <c r="D131" s="3" t="s">
        <v>1836</v>
      </c>
      <c r="E131" s="3" t="s">
        <v>1837</v>
      </c>
      <c r="F131" s="3">
        <v>1.68692</v>
      </c>
      <c r="G131" s="3">
        <v>4.4829600000000003</v>
      </c>
      <c r="H131" s="3">
        <v>1.4100600000000001</v>
      </c>
      <c r="I131" s="3" t="s">
        <v>3015</v>
      </c>
      <c r="J131" s="3"/>
      <c r="K131" s="3"/>
      <c r="L131" s="3"/>
    </row>
    <row r="132" spans="1:12" s="2" customFormat="1" ht="15" x14ac:dyDescent="0.2">
      <c r="A132" s="5" t="s">
        <v>118</v>
      </c>
      <c r="B132" s="5" t="str">
        <f>VLOOKUP($A132,[1]Sheet1!$A:$B,2,FALSE)</f>
        <v>GO:0005576GO:0019953</v>
      </c>
      <c r="C132" s="2" t="s">
        <v>1894</v>
      </c>
      <c r="D132" s="3" t="s">
        <v>1836</v>
      </c>
      <c r="E132" s="3" t="s">
        <v>1837</v>
      </c>
      <c r="F132" s="3">
        <v>1.6789400000000001</v>
      </c>
      <c r="G132" s="3">
        <v>4.4612600000000002</v>
      </c>
      <c r="H132" s="3">
        <v>1.4098999999999999</v>
      </c>
      <c r="I132" s="3" t="s">
        <v>3054</v>
      </c>
      <c r="J132" s="4"/>
      <c r="K132" s="3"/>
      <c r="L132" s="3"/>
    </row>
    <row r="133" spans="1:12" s="2" customFormat="1" ht="15" x14ac:dyDescent="0.2">
      <c r="A133" s="5" t="s">
        <v>736</v>
      </c>
      <c r="B133" s="5" t="e">
        <f>VLOOKUP($A133,[1]Sheet1!$A:$B,2,FALSE)</f>
        <v>#N/A</v>
      </c>
      <c r="C133" s="2" t="s">
        <v>3015</v>
      </c>
      <c r="D133" s="3" t="s">
        <v>1836</v>
      </c>
      <c r="E133" s="3" t="s">
        <v>1837</v>
      </c>
      <c r="F133" s="3">
        <v>9.5863499999999995</v>
      </c>
      <c r="G133" s="3">
        <v>25.397500000000001</v>
      </c>
      <c r="H133" s="3">
        <v>1.4056299999999999</v>
      </c>
      <c r="I133" s="3" t="s">
        <v>3015</v>
      </c>
      <c r="J133" s="3"/>
      <c r="K133" s="3"/>
      <c r="L133" s="3"/>
    </row>
    <row r="134" spans="1:12" s="2" customFormat="1" ht="15" x14ac:dyDescent="0.2">
      <c r="A134" s="5" t="s">
        <v>984</v>
      </c>
      <c r="B134" s="5" t="str">
        <f>VLOOKUP($A134,[1]Sheet1!$A:$B,2,FALSE)</f>
        <v>GO:0016021GO:0006810GO:0042626GO:0005524</v>
      </c>
      <c r="C134" s="2" t="s">
        <v>2307</v>
      </c>
      <c r="D134" s="3" t="s">
        <v>1836</v>
      </c>
      <c r="E134" s="3" t="s">
        <v>1837</v>
      </c>
      <c r="F134" s="3">
        <v>13.5283</v>
      </c>
      <c r="G134" s="3">
        <v>35.8386</v>
      </c>
      <c r="H134" s="3">
        <v>1.40554</v>
      </c>
      <c r="I134" s="3" t="s">
        <v>3253</v>
      </c>
      <c r="J134" s="4"/>
      <c r="K134" s="3"/>
      <c r="L134" s="3"/>
    </row>
    <row r="135" spans="1:12" s="2" customFormat="1" ht="15" x14ac:dyDescent="0.2">
      <c r="A135" s="5" t="s">
        <v>322</v>
      </c>
      <c r="B135" s="5" t="e">
        <f>VLOOKUP($A135,[1]Sheet1!$A:$B,2,FALSE)</f>
        <v>#N/A</v>
      </c>
      <c r="C135" s="2" t="s">
        <v>1995</v>
      </c>
      <c r="D135" s="3" t="s">
        <v>1836</v>
      </c>
      <c r="E135" s="3" t="s">
        <v>1837</v>
      </c>
      <c r="F135" s="3">
        <v>1.6164499999999999</v>
      </c>
      <c r="G135" s="3">
        <v>4.2753300000000003</v>
      </c>
      <c r="H135" s="3">
        <v>1.4032100000000001</v>
      </c>
      <c r="I135" s="3" t="s">
        <v>3015</v>
      </c>
      <c r="J135" s="4"/>
      <c r="K135" s="3"/>
      <c r="L135" s="3"/>
    </row>
    <row r="136" spans="1:12" s="2" customFormat="1" ht="15" x14ac:dyDescent="0.2">
      <c r="A136" s="5" t="s">
        <v>353</v>
      </c>
      <c r="B136" s="5" t="str">
        <f>VLOOKUP($A136,[1]Sheet1!$A:$B,2,FALSE)</f>
        <v>GO:0000015GO:0004634GO:0006096</v>
      </c>
      <c r="C136" s="2" t="s">
        <v>2007</v>
      </c>
      <c r="D136" s="3" t="s">
        <v>1836</v>
      </c>
      <c r="E136" s="3" t="s">
        <v>1837</v>
      </c>
      <c r="F136" s="3">
        <v>0.59132899999999999</v>
      </c>
      <c r="G136" s="3">
        <v>1.55864</v>
      </c>
      <c r="H136" s="3">
        <v>1.3982600000000001</v>
      </c>
      <c r="I136" s="3" t="s">
        <v>3123</v>
      </c>
      <c r="J136" s="4"/>
      <c r="K136" s="3"/>
      <c r="L136" s="3"/>
    </row>
    <row r="137" spans="1:12" s="2" customFormat="1" ht="15" x14ac:dyDescent="0.2">
      <c r="A137" s="5" t="s">
        <v>328</v>
      </c>
      <c r="B137" s="5" t="str">
        <f>VLOOKUP($A137,[1]Sheet1!$A:$B,2,FALSE)</f>
        <v>GO:0016829GO:0009058GO:0006520GO:0016769GO:0030170</v>
      </c>
      <c r="C137" s="2" t="s">
        <v>1997</v>
      </c>
      <c r="D137" s="3" t="s">
        <v>1836</v>
      </c>
      <c r="E137" s="3" t="s">
        <v>1837</v>
      </c>
      <c r="F137" s="3">
        <v>0.91765699999999994</v>
      </c>
      <c r="G137" s="3">
        <v>2.4175300000000002</v>
      </c>
      <c r="H137" s="3">
        <v>1.3975</v>
      </c>
      <c r="I137" s="3" t="s">
        <v>3115</v>
      </c>
      <c r="J137" s="3"/>
      <c r="K137" s="3"/>
      <c r="L137" s="3"/>
    </row>
    <row r="138" spans="1:12" s="2" customFormat="1" ht="15" x14ac:dyDescent="0.2">
      <c r="A138" s="5" t="s">
        <v>600</v>
      </c>
      <c r="B138" s="5" t="str">
        <f>VLOOKUP($A138,[1]Sheet1!$A:$B,2,FALSE)</f>
        <v>GO:0004106GO:0009073</v>
      </c>
      <c r="C138" s="2" t="s">
        <v>3015</v>
      </c>
      <c r="D138" s="3" t="s">
        <v>1836</v>
      </c>
      <c r="E138" s="3" t="s">
        <v>1837</v>
      </c>
      <c r="F138" s="3">
        <v>0.86006499999999997</v>
      </c>
      <c r="G138" s="3">
        <v>2.2614800000000002</v>
      </c>
      <c r="H138" s="3">
        <v>1.3947499999999999</v>
      </c>
      <c r="I138" s="3" t="s">
        <v>3173</v>
      </c>
      <c r="J138" s="4"/>
      <c r="K138" s="3"/>
      <c r="L138" s="3"/>
    </row>
    <row r="139" spans="1:12" s="2" customFormat="1" ht="15" x14ac:dyDescent="0.2">
      <c r="A139" s="5" t="s">
        <v>492</v>
      </c>
      <c r="B139" s="5" t="e">
        <f>VLOOKUP($A139,[1]Sheet1!$A:$B,2,FALSE)</f>
        <v>#N/A</v>
      </c>
      <c r="C139" s="2" t="s">
        <v>2075</v>
      </c>
      <c r="D139" s="3" t="s">
        <v>1836</v>
      </c>
      <c r="E139" s="3" t="s">
        <v>1837</v>
      </c>
      <c r="F139" s="3">
        <v>3.4392999999999998</v>
      </c>
      <c r="G139" s="3">
        <v>9.0251599999999996</v>
      </c>
      <c r="H139" s="3">
        <v>1.39184</v>
      </c>
      <c r="I139" s="3" t="s">
        <v>3015</v>
      </c>
      <c r="J139" s="3"/>
      <c r="K139" s="3"/>
      <c r="L139" s="3"/>
    </row>
    <row r="140" spans="1:12" s="2" customFormat="1" ht="15" x14ac:dyDescent="0.2">
      <c r="A140" s="5" t="s">
        <v>728</v>
      </c>
      <c r="B140" s="5" t="e">
        <f>VLOOKUP($A140,[1]Sheet1!$A:$B,2,FALSE)</f>
        <v>#N/A</v>
      </c>
      <c r="C140" s="2" t="s">
        <v>2129</v>
      </c>
      <c r="D140" s="3" t="s">
        <v>1836</v>
      </c>
      <c r="E140" s="3" t="s">
        <v>1837</v>
      </c>
      <c r="F140" s="3">
        <v>1.6618299999999999</v>
      </c>
      <c r="G140" s="3">
        <v>4.3582700000000001</v>
      </c>
      <c r="H140" s="3">
        <v>1.3909899999999999</v>
      </c>
      <c r="I140" s="3" t="s">
        <v>3015</v>
      </c>
      <c r="J140" s="4"/>
      <c r="K140" s="3"/>
      <c r="L140" s="3"/>
    </row>
    <row r="141" spans="1:12" s="2" customFormat="1" ht="15" x14ac:dyDescent="0.2">
      <c r="A141" s="5" t="s">
        <v>848</v>
      </c>
      <c r="B141" s="5" t="e">
        <f>VLOOKUP($A141,[1]Sheet1!$A:$B,2,FALSE)</f>
        <v>#N/A</v>
      </c>
      <c r="C141" s="2" t="s">
        <v>2234</v>
      </c>
      <c r="D141" s="3" t="s">
        <v>1836</v>
      </c>
      <c r="E141" s="3" t="s">
        <v>1837</v>
      </c>
      <c r="F141" s="3">
        <v>0.98852300000000004</v>
      </c>
      <c r="G141" s="3">
        <v>2.58412</v>
      </c>
      <c r="H141" s="3">
        <v>1.3863300000000001</v>
      </c>
      <c r="I141" s="3" t="s">
        <v>3015</v>
      </c>
      <c r="J141" s="3"/>
      <c r="K141" s="3"/>
      <c r="L141" s="3"/>
    </row>
    <row r="142" spans="1:12" s="2" customFormat="1" ht="15" x14ac:dyDescent="0.2">
      <c r="A142" s="5" t="s">
        <v>64</v>
      </c>
      <c r="B142" s="5" t="str">
        <f>VLOOKUP($A142,[1]Sheet1!$A:$B,2,FALSE)</f>
        <v>GO:0004497GO:0020037GO:0009055</v>
      </c>
      <c r="C142" s="2" t="s">
        <v>1875</v>
      </c>
      <c r="D142" s="3" t="s">
        <v>1836</v>
      </c>
      <c r="E142" s="3" t="s">
        <v>1837</v>
      </c>
      <c r="F142" s="3">
        <v>1.8273999999999999</v>
      </c>
      <c r="G142" s="3">
        <v>4.7256900000000002</v>
      </c>
      <c r="H142" s="3">
        <v>1.37073</v>
      </c>
      <c r="I142" s="3" t="s">
        <v>3045</v>
      </c>
      <c r="J142" s="3"/>
      <c r="K142" s="3"/>
      <c r="L142" s="3"/>
    </row>
    <row r="143" spans="1:12" s="2" customFormat="1" ht="15" x14ac:dyDescent="0.2">
      <c r="A143" s="5" t="s">
        <v>449</v>
      </c>
      <c r="B143" s="5" t="str">
        <f>VLOOKUP($A143,[1]Sheet1!$A:$B,2,FALSE)</f>
        <v>GO:0016021</v>
      </c>
      <c r="C143" s="2" t="s">
        <v>2053</v>
      </c>
      <c r="D143" s="3" t="s">
        <v>1836</v>
      </c>
      <c r="E143" s="3" t="s">
        <v>1837</v>
      </c>
      <c r="F143" s="3">
        <v>0.374946</v>
      </c>
      <c r="G143" s="3">
        <v>0.96774199999999999</v>
      </c>
      <c r="H143" s="3">
        <v>1.3679399999999999</v>
      </c>
      <c r="I143" s="3" t="s">
        <v>3024</v>
      </c>
      <c r="J143" s="4"/>
      <c r="K143" s="3"/>
      <c r="L143" s="3"/>
    </row>
    <row r="144" spans="1:12" s="2" customFormat="1" ht="15" x14ac:dyDescent="0.2">
      <c r="A144" s="5" t="s">
        <v>821</v>
      </c>
      <c r="B144" s="5" t="e">
        <f>VLOOKUP($A144,[1]Sheet1!$A:$B,2,FALSE)</f>
        <v>#N/A</v>
      </c>
      <c r="C144" s="2" t="s">
        <v>2216</v>
      </c>
      <c r="D144" s="3" t="s">
        <v>1836</v>
      </c>
      <c r="E144" s="3" t="s">
        <v>1837</v>
      </c>
      <c r="F144" s="3">
        <v>1.2639</v>
      </c>
      <c r="G144" s="3">
        <v>3.2515499999999999</v>
      </c>
      <c r="H144" s="3">
        <v>1.3632500000000001</v>
      </c>
      <c r="I144" s="3" t="s">
        <v>3015</v>
      </c>
      <c r="J144" s="4"/>
      <c r="K144" s="3"/>
      <c r="L144" s="3"/>
    </row>
    <row r="145" spans="1:12" s="2" customFormat="1" ht="15" x14ac:dyDescent="0.2">
      <c r="A145" s="5" t="s">
        <v>700</v>
      </c>
      <c r="B145" s="5" t="e">
        <f>VLOOKUP($A145,[1]Sheet1!$A:$B,2,FALSE)</f>
        <v>#N/A</v>
      </c>
      <c r="C145" s="2" t="s">
        <v>2168</v>
      </c>
      <c r="D145" s="3" t="s">
        <v>1836</v>
      </c>
      <c r="E145" s="3" t="s">
        <v>1837</v>
      </c>
      <c r="F145" s="3">
        <v>1.5114399999999999</v>
      </c>
      <c r="G145" s="3">
        <v>3.85886</v>
      </c>
      <c r="H145" s="3">
        <v>1.35225</v>
      </c>
      <c r="I145" s="3" t="s">
        <v>3015</v>
      </c>
      <c r="J145" s="4"/>
      <c r="K145" s="3"/>
      <c r="L145" s="3"/>
    </row>
    <row r="146" spans="1:12" s="2" customFormat="1" ht="15" x14ac:dyDescent="0.2">
      <c r="A146" s="5" t="s">
        <v>395</v>
      </c>
      <c r="B146" s="5" t="e">
        <f>VLOOKUP($A146,[1]Sheet1!$A:$B,2,FALSE)</f>
        <v>#N/A</v>
      </c>
      <c r="C146" s="2" t="s">
        <v>3015</v>
      </c>
      <c r="D146" s="3" t="s">
        <v>1836</v>
      </c>
      <c r="E146" s="3" t="s">
        <v>1837</v>
      </c>
      <c r="F146" s="3">
        <v>0.39205699999999999</v>
      </c>
      <c r="G146" s="3">
        <v>0.99755799999999994</v>
      </c>
      <c r="H146" s="3">
        <v>1.34734</v>
      </c>
      <c r="I146" s="3" t="s">
        <v>3015</v>
      </c>
      <c r="J146" s="3"/>
      <c r="K146" s="3"/>
      <c r="L146" s="3"/>
    </row>
    <row r="147" spans="1:12" s="2" customFormat="1" ht="15" x14ac:dyDescent="0.2">
      <c r="A147" s="5" t="s">
        <v>650</v>
      </c>
      <c r="B147" s="5" t="e">
        <f>VLOOKUP($A147,[1]Sheet1!$A:$B,2,FALSE)</f>
        <v>#N/A</v>
      </c>
      <c r="C147" s="2" t="s">
        <v>1847</v>
      </c>
      <c r="D147" s="3" t="s">
        <v>1836</v>
      </c>
      <c r="E147" s="3" t="s">
        <v>1837</v>
      </c>
      <c r="F147" s="3">
        <v>4.8729699999999996</v>
      </c>
      <c r="G147" s="3">
        <v>12.3597</v>
      </c>
      <c r="H147" s="3">
        <v>1.34277</v>
      </c>
      <c r="I147" s="3" t="s">
        <v>3015</v>
      </c>
      <c r="J147" s="3"/>
      <c r="K147" s="3"/>
      <c r="L147" s="3"/>
    </row>
    <row r="148" spans="1:12" s="2" customFormat="1" ht="15" x14ac:dyDescent="0.2">
      <c r="A148" s="5" t="s">
        <v>1074</v>
      </c>
      <c r="B148" s="5" t="e">
        <f>VLOOKUP($A148,[1]Sheet1!$A:$B,2,FALSE)</f>
        <v>#N/A</v>
      </c>
      <c r="C148" s="2" t="s">
        <v>2345</v>
      </c>
      <c r="D148" s="3" t="s">
        <v>1836</v>
      </c>
      <c r="E148" s="3" t="s">
        <v>1837</v>
      </c>
      <c r="F148" s="3">
        <v>13.259499999999999</v>
      </c>
      <c r="G148" s="3">
        <v>33.621099999999998</v>
      </c>
      <c r="H148" s="3">
        <v>1.3423400000000001</v>
      </c>
      <c r="I148" s="3" t="s">
        <v>3015</v>
      </c>
      <c r="J148" s="4"/>
      <c r="K148" s="3"/>
      <c r="L148" s="3"/>
    </row>
    <row r="149" spans="1:12" s="2" customFormat="1" ht="15" x14ac:dyDescent="0.2">
      <c r="A149" s="5" t="s">
        <v>950</v>
      </c>
      <c r="B149" s="5" t="e">
        <f>VLOOKUP($A149,[1]Sheet1!$A:$B,2,FALSE)</f>
        <v>#N/A</v>
      </c>
      <c r="C149" s="2" t="s">
        <v>2287</v>
      </c>
      <c r="D149" s="3" t="s">
        <v>1836</v>
      </c>
      <c r="E149" s="3" t="s">
        <v>1837</v>
      </c>
      <c r="F149" s="3">
        <v>1.04511</v>
      </c>
      <c r="G149" s="3">
        <v>2.6480399999999999</v>
      </c>
      <c r="H149" s="3">
        <v>1.34127</v>
      </c>
      <c r="I149" s="3" t="s">
        <v>3015</v>
      </c>
      <c r="J149" s="4"/>
      <c r="K149" s="3"/>
      <c r="L149" s="3"/>
    </row>
    <row r="150" spans="1:12" s="2" customFormat="1" ht="15" x14ac:dyDescent="0.2">
      <c r="A150" s="5" t="s">
        <v>261</v>
      </c>
      <c r="B150" s="5" t="e">
        <f>VLOOKUP($A150,[1]Sheet1!$A:$B,2,FALSE)</f>
        <v>#N/A</v>
      </c>
      <c r="C150" s="2" t="s">
        <v>1967</v>
      </c>
      <c r="D150" s="3" t="s">
        <v>1836</v>
      </c>
      <c r="E150" s="3" t="s">
        <v>1837</v>
      </c>
      <c r="F150" s="3">
        <v>0.45937499999999998</v>
      </c>
      <c r="G150" s="3">
        <v>1.16384</v>
      </c>
      <c r="H150" s="3">
        <v>1.3411500000000001</v>
      </c>
      <c r="I150" s="3" t="s">
        <v>3015</v>
      </c>
      <c r="J150" s="3"/>
      <c r="K150" s="3"/>
      <c r="L150" s="3"/>
    </row>
    <row r="151" spans="1:12" s="2" customFormat="1" ht="15" x14ac:dyDescent="0.2">
      <c r="A151" s="5" t="s">
        <v>389</v>
      </c>
      <c r="B151" s="5" t="e">
        <f>VLOOKUP($A151,[1]Sheet1!$A:$B,2,FALSE)</f>
        <v>#N/A</v>
      </c>
      <c r="C151" s="2" t="s">
        <v>2024</v>
      </c>
      <c r="D151" s="3" t="s">
        <v>1836</v>
      </c>
      <c r="E151" s="3" t="s">
        <v>1837</v>
      </c>
      <c r="F151" s="3">
        <v>2.2618100000000001</v>
      </c>
      <c r="G151" s="3">
        <v>5.7110200000000004</v>
      </c>
      <c r="H151" s="3">
        <v>1.3362700000000001</v>
      </c>
      <c r="I151" s="3" t="s">
        <v>3015</v>
      </c>
      <c r="J151" s="3"/>
      <c r="K151" s="3"/>
      <c r="L151" s="3"/>
    </row>
    <row r="152" spans="1:12" s="2" customFormat="1" ht="15" x14ac:dyDescent="0.2">
      <c r="A152" s="5" t="s">
        <v>729</v>
      </c>
      <c r="B152" s="5" t="str">
        <f>VLOOKUP($A152,[1]Sheet1!$A:$B,2,FALSE)</f>
        <v>GO:0009428GO:0001539GO:0030288GO:0005198</v>
      </c>
      <c r="C152" s="2" t="s">
        <v>2182</v>
      </c>
      <c r="D152" s="3" t="s">
        <v>1836</v>
      </c>
      <c r="E152" s="3" t="s">
        <v>1837</v>
      </c>
      <c r="F152" s="3">
        <v>35.938899999999997</v>
      </c>
      <c r="G152" s="3">
        <v>90.701599999999999</v>
      </c>
      <c r="H152" s="3">
        <v>1.33558</v>
      </c>
      <c r="I152" s="3" t="s">
        <v>3199</v>
      </c>
      <c r="J152" s="4"/>
      <c r="K152" s="3"/>
      <c r="L152" s="3"/>
    </row>
    <row r="153" spans="1:12" s="2" customFormat="1" ht="15" x14ac:dyDescent="0.2">
      <c r="A153" s="5" t="s">
        <v>252</v>
      </c>
      <c r="B153" s="5" t="str">
        <f>VLOOKUP($A153,[1]Sheet1!$A:$B,2,FALSE)</f>
        <v>GO:0016021GO:0006810GO:0005234GO:0030288GO:0004965GO:0007186GO:0004970</v>
      </c>
      <c r="C153" s="2" t="s">
        <v>1964</v>
      </c>
      <c r="D153" s="3" t="s">
        <v>1836</v>
      </c>
      <c r="E153" s="3" t="s">
        <v>1837</v>
      </c>
      <c r="F153" s="3">
        <v>2.1866500000000002</v>
      </c>
      <c r="G153" s="3">
        <v>5.49892</v>
      </c>
      <c r="H153" s="3">
        <v>1.3304199999999999</v>
      </c>
      <c r="I153" s="3" t="s">
        <v>3099</v>
      </c>
      <c r="J153" s="4"/>
      <c r="K153" s="3"/>
      <c r="L153" s="3"/>
    </row>
    <row r="154" spans="1:12" s="2" customFormat="1" ht="15" x14ac:dyDescent="0.2">
      <c r="A154" s="5" t="s">
        <v>391</v>
      </c>
      <c r="B154" s="5" t="str">
        <f>VLOOKUP($A154,[1]Sheet1!$A:$B,2,FALSE)</f>
        <v>GO:0006629GO:0016788</v>
      </c>
      <c r="C154" s="2" t="s">
        <v>2025</v>
      </c>
      <c r="D154" s="3" t="s">
        <v>1836</v>
      </c>
      <c r="E154" s="3" t="s">
        <v>1837</v>
      </c>
      <c r="F154" s="3">
        <v>0.91369800000000001</v>
      </c>
      <c r="G154" s="3">
        <v>2.2955999999999999</v>
      </c>
      <c r="H154" s="3">
        <v>1.32908</v>
      </c>
      <c r="I154" s="3" t="s">
        <v>3062</v>
      </c>
      <c r="J154" s="4"/>
      <c r="K154" s="3"/>
      <c r="L154" s="3"/>
    </row>
    <row r="155" spans="1:12" s="2" customFormat="1" ht="15" x14ac:dyDescent="0.2">
      <c r="A155" s="5" t="s">
        <v>1075</v>
      </c>
      <c r="B155" s="5" t="e">
        <f>VLOOKUP($A155,[1]Sheet1!$A:$B,2,FALSE)</f>
        <v>#N/A</v>
      </c>
      <c r="C155" s="2" t="s">
        <v>2346</v>
      </c>
      <c r="D155" s="3" t="s">
        <v>1836</v>
      </c>
      <c r="E155" s="3" t="s">
        <v>1837</v>
      </c>
      <c r="F155" s="3">
        <v>10.3756</v>
      </c>
      <c r="G155" s="3">
        <v>25.9787</v>
      </c>
      <c r="H155" s="3">
        <v>1.32413</v>
      </c>
      <c r="I155" s="3" t="s">
        <v>3015</v>
      </c>
      <c r="J155" s="4"/>
      <c r="K155" s="3"/>
      <c r="L155" s="3"/>
    </row>
    <row r="156" spans="1:12" s="2" customFormat="1" ht="15" x14ac:dyDescent="0.2">
      <c r="A156" s="5" t="s">
        <v>737</v>
      </c>
      <c r="B156" s="5" t="str">
        <f>VLOOKUP($A156,[1]Sheet1!$A:$B,2,FALSE)</f>
        <v>GO:0016020GO:0016887GO:0005524</v>
      </c>
      <c r="C156" s="2" t="s">
        <v>2184</v>
      </c>
      <c r="D156" s="3" t="s">
        <v>1836</v>
      </c>
      <c r="E156" s="3" t="s">
        <v>1837</v>
      </c>
      <c r="F156" s="3">
        <v>0.57511199999999996</v>
      </c>
      <c r="G156" s="3">
        <v>1.4343300000000001</v>
      </c>
      <c r="H156" s="3">
        <v>1.31846</v>
      </c>
      <c r="I156" s="3" t="s">
        <v>3178</v>
      </c>
      <c r="J156" s="3"/>
      <c r="K156" s="3"/>
      <c r="L156" s="3"/>
    </row>
    <row r="157" spans="1:12" s="2" customFormat="1" ht="15" x14ac:dyDescent="0.2">
      <c r="A157" s="5" t="s">
        <v>576</v>
      </c>
      <c r="B157" s="5" t="str">
        <f>VLOOKUP($A157,[1]Sheet1!$A:$B,2,FALSE)</f>
        <v>GO:0008107GO:0016020GO:0042546</v>
      </c>
      <c r="C157" s="2" t="s">
        <v>2114</v>
      </c>
      <c r="D157" s="3" t="s">
        <v>1836</v>
      </c>
      <c r="E157" s="3" t="s">
        <v>1837</v>
      </c>
      <c r="F157" s="3">
        <v>1.2992600000000001</v>
      </c>
      <c r="G157" s="3">
        <v>3.2368700000000001</v>
      </c>
      <c r="H157" s="3">
        <v>1.31691</v>
      </c>
      <c r="I157" s="3" t="s">
        <v>3166</v>
      </c>
      <c r="J157" s="4"/>
      <c r="K157" s="3"/>
      <c r="L157" s="3"/>
    </row>
    <row r="158" spans="1:12" s="2" customFormat="1" ht="15" x14ac:dyDescent="0.2">
      <c r="A158" s="5" t="s">
        <v>906</v>
      </c>
      <c r="B158" s="5" t="str">
        <f>VLOOKUP($A158,[1]Sheet1!$A:$B,2,FALSE)</f>
        <v>GO:0005634GO:0045449GO:0030528</v>
      </c>
      <c r="C158" s="2" t="s">
        <v>2263</v>
      </c>
      <c r="D158" s="3" t="s">
        <v>1836</v>
      </c>
      <c r="E158" s="3" t="s">
        <v>1837</v>
      </c>
      <c r="F158" s="3">
        <v>0.38800499999999999</v>
      </c>
      <c r="G158" s="3">
        <v>0.96561699999999995</v>
      </c>
      <c r="H158" s="3">
        <v>1.31538</v>
      </c>
      <c r="I158" s="3" t="s">
        <v>3027</v>
      </c>
      <c r="J158" s="3"/>
      <c r="K158" s="3"/>
      <c r="L158" s="3"/>
    </row>
    <row r="159" spans="1:12" s="2" customFormat="1" ht="15" x14ac:dyDescent="0.2">
      <c r="A159" s="5" t="s">
        <v>986</v>
      </c>
      <c r="B159" s="5" t="e">
        <f>VLOOKUP($A159,[1]Sheet1!$A:$B,2,FALSE)</f>
        <v>#N/A</v>
      </c>
      <c r="C159" s="2" t="s">
        <v>1880</v>
      </c>
      <c r="D159" s="3" t="s">
        <v>1836</v>
      </c>
      <c r="E159" s="3" t="s">
        <v>1837</v>
      </c>
      <c r="F159" s="3">
        <v>13.730700000000001</v>
      </c>
      <c r="G159" s="3">
        <v>34.090699999999998</v>
      </c>
      <c r="H159" s="3">
        <v>1.3119700000000001</v>
      </c>
      <c r="I159" s="3" t="s">
        <v>3015</v>
      </c>
      <c r="J159" s="3"/>
      <c r="K159" s="3"/>
      <c r="L159" s="3"/>
    </row>
    <row r="160" spans="1:12" s="2" customFormat="1" ht="15" x14ac:dyDescent="0.2">
      <c r="A160" s="5" t="s">
        <v>724</v>
      </c>
      <c r="B160" s="5" t="str">
        <f>VLOOKUP($A160,[1]Sheet1!$A:$B,2,FALSE)</f>
        <v>GO:0003700GO:0006355</v>
      </c>
      <c r="C160" s="2" t="s">
        <v>2180</v>
      </c>
      <c r="D160" s="3" t="s">
        <v>1836</v>
      </c>
      <c r="E160" s="3" t="s">
        <v>1837</v>
      </c>
      <c r="F160" s="3">
        <v>1.02461</v>
      </c>
      <c r="G160" s="3">
        <v>2.5386000000000002</v>
      </c>
      <c r="H160" s="3">
        <v>1.3089500000000001</v>
      </c>
      <c r="I160" s="3" t="s">
        <v>3037</v>
      </c>
      <c r="J160" s="4"/>
      <c r="K160" s="3"/>
      <c r="L160" s="3"/>
    </row>
    <row r="161" spans="1:12" s="2" customFormat="1" ht="15" x14ac:dyDescent="0.2">
      <c r="A161" s="5" t="s">
        <v>663</v>
      </c>
      <c r="B161" s="5" t="str">
        <f>VLOOKUP($A161,[1]Sheet1!$A:$B,2,FALSE)</f>
        <v>GO:0006813GO:0051287GO:0006006GO:0008324GO:0004365</v>
      </c>
      <c r="C161" s="2" t="s">
        <v>2153</v>
      </c>
      <c r="D161" s="3" t="s">
        <v>1836</v>
      </c>
      <c r="E161" s="3" t="s">
        <v>1837</v>
      </c>
      <c r="F161" s="3">
        <v>2.2288199999999998</v>
      </c>
      <c r="G161" s="3">
        <v>5.5218600000000002</v>
      </c>
      <c r="H161" s="3">
        <v>1.30888</v>
      </c>
      <c r="I161" s="3" t="s">
        <v>3186</v>
      </c>
      <c r="J161" s="3"/>
      <c r="K161" s="3"/>
      <c r="L161" s="3"/>
    </row>
    <row r="162" spans="1:12" s="2" customFormat="1" ht="15" x14ac:dyDescent="0.2">
      <c r="A162" s="5" t="s">
        <v>534</v>
      </c>
      <c r="B162" s="5" t="str">
        <f>VLOOKUP($A162,[1]Sheet1!$A:$B,2,FALSE)</f>
        <v>GO:0006508GO:0004197</v>
      </c>
      <c r="C162" s="2" t="s">
        <v>2097</v>
      </c>
      <c r="D162" s="3" t="s">
        <v>1836</v>
      </c>
      <c r="E162" s="3" t="s">
        <v>1837</v>
      </c>
      <c r="F162" s="3">
        <v>53.986800000000002</v>
      </c>
      <c r="G162" s="3">
        <v>133.63800000000001</v>
      </c>
      <c r="H162" s="3">
        <v>1.30765</v>
      </c>
      <c r="I162" s="3" t="s">
        <v>3155</v>
      </c>
      <c r="J162" s="4"/>
      <c r="K162" s="3"/>
      <c r="L162" s="3"/>
    </row>
    <row r="163" spans="1:12" s="2" customFormat="1" ht="15" x14ac:dyDescent="0.2">
      <c r="A163" s="5" t="s">
        <v>785</v>
      </c>
      <c r="B163" s="5" t="str">
        <f>VLOOKUP($A163,[1]Sheet1!$A:$B,2,FALSE)</f>
        <v>GO:0004601GO:0006979GO:0020037GO:0009055</v>
      </c>
      <c r="C163" s="2" t="s">
        <v>2201</v>
      </c>
      <c r="D163" s="3" t="s">
        <v>1836</v>
      </c>
      <c r="E163" s="3" t="s">
        <v>1837</v>
      </c>
      <c r="F163" s="3">
        <v>2.1947100000000002</v>
      </c>
      <c r="G163" s="3">
        <v>5.4327399999999999</v>
      </c>
      <c r="H163" s="3">
        <v>1.30765</v>
      </c>
      <c r="I163" s="3" t="s">
        <v>3049</v>
      </c>
      <c r="J163" s="4"/>
      <c r="K163" s="3"/>
      <c r="L163" s="3"/>
    </row>
    <row r="164" spans="1:12" s="2" customFormat="1" ht="15" x14ac:dyDescent="0.2">
      <c r="A164" s="5" t="s">
        <v>457</v>
      </c>
      <c r="B164" s="5" t="e">
        <f>VLOOKUP($A164,[1]Sheet1!$A:$B,2,FALSE)</f>
        <v>#N/A</v>
      </c>
      <c r="C164" s="2" t="s">
        <v>3015</v>
      </c>
      <c r="D164" s="3" t="s">
        <v>1836</v>
      </c>
      <c r="E164" s="3" t="s">
        <v>1837</v>
      </c>
      <c r="F164" s="3">
        <v>1.3376999999999999</v>
      </c>
      <c r="G164" s="3">
        <v>3.3021400000000001</v>
      </c>
      <c r="H164" s="3">
        <v>1.3036399999999999</v>
      </c>
      <c r="I164" s="3" t="s">
        <v>3015</v>
      </c>
      <c r="J164" s="4"/>
      <c r="K164" s="3"/>
      <c r="L164" s="3"/>
    </row>
    <row r="165" spans="1:12" s="2" customFormat="1" ht="15" x14ac:dyDescent="0.2">
      <c r="A165" s="5" t="s">
        <v>1041</v>
      </c>
      <c r="B165" s="5" t="e">
        <f>VLOOKUP($A165,[1]Sheet1!$A:$B,2,FALSE)</f>
        <v>#N/A</v>
      </c>
      <c r="C165" s="2" t="s">
        <v>2331</v>
      </c>
      <c r="D165" s="3" t="s">
        <v>1836</v>
      </c>
      <c r="E165" s="3" t="s">
        <v>1837</v>
      </c>
      <c r="F165" s="3">
        <v>0.95049799999999995</v>
      </c>
      <c r="G165" s="3">
        <v>2.34327</v>
      </c>
      <c r="H165" s="3">
        <v>1.3017700000000001</v>
      </c>
      <c r="I165" s="3" t="s">
        <v>3015</v>
      </c>
      <c r="J165" s="4"/>
      <c r="K165" s="3"/>
      <c r="L165" s="3"/>
    </row>
    <row r="166" spans="1:12" s="2" customFormat="1" ht="15" x14ac:dyDescent="0.2">
      <c r="A166" s="5" t="s">
        <v>208</v>
      </c>
      <c r="B166" s="5" t="e">
        <f>VLOOKUP($A166,[1]Sheet1!$A:$B,2,FALSE)</f>
        <v>#N/A</v>
      </c>
      <c r="C166" s="2" t="s">
        <v>1943</v>
      </c>
      <c r="D166" s="3" t="s">
        <v>1836</v>
      </c>
      <c r="E166" s="3" t="s">
        <v>1837</v>
      </c>
      <c r="F166" s="3">
        <v>0.58876300000000004</v>
      </c>
      <c r="G166" s="3">
        <v>1.4310799999999999</v>
      </c>
      <c r="H166" s="3">
        <v>1.28135</v>
      </c>
      <c r="I166" s="3" t="s">
        <v>3015</v>
      </c>
      <c r="J166" s="4"/>
      <c r="K166" s="3"/>
      <c r="L166" s="3"/>
    </row>
    <row r="167" spans="1:12" s="2" customFormat="1" ht="15" x14ac:dyDescent="0.2">
      <c r="A167" s="5" t="s">
        <v>162</v>
      </c>
      <c r="B167" s="5" t="str">
        <f>VLOOKUP($A167,[1]Sheet1!$A:$B,2,FALSE)</f>
        <v>GO:0016847GO:0009058GO:0030170GO:0016769</v>
      </c>
      <c r="C167" s="2" t="s">
        <v>3015</v>
      </c>
      <c r="D167" s="3" t="s">
        <v>1836</v>
      </c>
      <c r="E167" s="3" t="s">
        <v>1837</v>
      </c>
      <c r="F167" s="3">
        <v>4.4525699999999997</v>
      </c>
      <c r="G167" s="3">
        <v>10.7476</v>
      </c>
      <c r="H167" s="3">
        <v>1.2713000000000001</v>
      </c>
      <c r="I167" s="3" t="s">
        <v>3066</v>
      </c>
      <c r="J167" s="4"/>
      <c r="K167" s="3"/>
      <c r="L167" s="3"/>
    </row>
    <row r="168" spans="1:12" s="2" customFormat="1" ht="15" x14ac:dyDescent="0.2">
      <c r="A168" s="5" t="s">
        <v>584</v>
      </c>
      <c r="B168" s="5" t="str">
        <f>VLOOKUP($A168,[1]Sheet1!$A:$B,2,FALSE)</f>
        <v>GO:0045454GO:0015035GO:0009055</v>
      </c>
      <c r="C168" s="2" t="s">
        <v>2118</v>
      </c>
      <c r="D168" s="3" t="s">
        <v>1836</v>
      </c>
      <c r="E168" s="3" t="s">
        <v>1837</v>
      </c>
      <c r="F168" s="3">
        <v>10.6051</v>
      </c>
      <c r="G168" s="3">
        <v>25.576000000000001</v>
      </c>
      <c r="H168" s="3">
        <v>1.27003</v>
      </c>
      <c r="I168" s="3" t="s">
        <v>3168</v>
      </c>
      <c r="J168" s="3"/>
      <c r="K168" s="3"/>
      <c r="L168" s="3"/>
    </row>
    <row r="169" spans="1:12" s="2" customFormat="1" ht="15" x14ac:dyDescent="0.2">
      <c r="A169" s="5" t="s">
        <v>120</v>
      </c>
      <c r="B169" s="5" t="str">
        <f>VLOOKUP($A169,[1]Sheet1!$A:$B,2,FALSE)</f>
        <v>GO:0006508GO:0004185</v>
      </c>
      <c r="C169" s="2" t="s">
        <v>1896</v>
      </c>
      <c r="D169" s="3" t="s">
        <v>1836</v>
      </c>
      <c r="E169" s="3" t="s">
        <v>1837</v>
      </c>
      <c r="F169" s="3">
        <v>3.9356200000000001</v>
      </c>
      <c r="G169" s="3">
        <v>9.4811200000000007</v>
      </c>
      <c r="H169" s="3">
        <v>1.26847</v>
      </c>
      <c r="I169" s="3" t="s">
        <v>3053</v>
      </c>
      <c r="J169" s="4"/>
      <c r="K169" s="3"/>
      <c r="L169" s="3"/>
    </row>
    <row r="170" spans="1:12" s="2" customFormat="1" ht="15" x14ac:dyDescent="0.2">
      <c r="A170" s="5" t="s">
        <v>747</v>
      </c>
      <c r="B170" s="5" t="e">
        <f>VLOOKUP($A170,[1]Sheet1!$A:$B,2,FALSE)</f>
        <v>#N/A</v>
      </c>
      <c r="C170" s="2" t="s">
        <v>2129</v>
      </c>
      <c r="D170" s="3" t="s">
        <v>1836</v>
      </c>
      <c r="E170" s="3" t="s">
        <v>1837</v>
      </c>
      <c r="F170" s="3">
        <v>1.7181900000000001</v>
      </c>
      <c r="G170" s="3">
        <v>4.1383900000000002</v>
      </c>
      <c r="H170" s="3">
        <v>1.2681800000000001</v>
      </c>
      <c r="I170" s="3" t="s">
        <v>3015</v>
      </c>
      <c r="J170" s="4"/>
      <c r="K170" s="3"/>
      <c r="L170" s="3"/>
    </row>
    <row r="171" spans="1:12" s="2" customFormat="1" ht="15" x14ac:dyDescent="0.2">
      <c r="A171" s="5" t="s">
        <v>919</v>
      </c>
      <c r="B171" s="5" t="e">
        <f>VLOOKUP($A171,[1]Sheet1!$A:$B,2,FALSE)</f>
        <v>#N/A</v>
      </c>
      <c r="C171" s="2" t="s">
        <v>1862</v>
      </c>
      <c r="D171" s="3" t="s">
        <v>1836</v>
      </c>
      <c r="E171" s="3" t="s">
        <v>1837</v>
      </c>
      <c r="F171" s="3">
        <v>0.431475</v>
      </c>
      <c r="G171" s="3">
        <v>1.0350900000000001</v>
      </c>
      <c r="H171" s="3">
        <v>1.2624</v>
      </c>
      <c r="I171" s="3" t="s">
        <v>3015</v>
      </c>
      <c r="J171" s="3"/>
      <c r="K171" s="3"/>
      <c r="L171" s="3"/>
    </row>
    <row r="172" spans="1:12" s="2" customFormat="1" ht="15" x14ac:dyDescent="0.2">
      <c r="A172" s="5" t="s">
        <v>639</v>
      </c>
      <c r="B172" s="5" t="str">
        <f>VLOOKUP($A172,[1]Sheet1!$A:$B,2,FALSE)</f>
        <v>GO:0016021</v>
      </c>
      <c r="C172" s="2" t="s">
        <v>2142</v>
      </c>
      <c r="D172" s="3" t="s">
        <v>1836</v>
      </c>
      <c r="E172" s="3" t="s">
        <v>1837</v>
      </c>
      <c r="F172" s="3">
        <v>40.3874</v>
      </c>
      <c r="G172" s="3">
        <v>96.847099999999998</v>
      </c>
      <c r="H172" s="3">
        <v>1.2618</v>
      </c>
      <c r="I172" s="3" t="s">
        <v>3024</v>
      </c>
      <c r="J172" s="4"/>
      <c r="K172" s="3"/>
      <c r="L172" s="3"/>
    </row>
    <row r="173" spans="1:12" s="2" customFormat="1" ht="15" x14ac:dyDescent="0.2">
      <c r="A173" s="5" t="s">
        <v>1103</v>
      </c>
      <c r="B173" s="5" t="str">
        <f>VLOOKUP($A173,[1]Sheet1!$A:$B,2,FALSE)</f>
        <v>GO:0005576GO:0019953</v>
      </c>
      <c r="C173" s="2" t="s">
        <v>1894</v>
      </c>
      <c r="D173" s="3" t="s">
        <v>1836</v>
      </c>
      <c r="E173" s="3" t="s">
        <v>1837</v>
      </c>
      <c r="F173" s="3">
        <v>1.12259</v>
      </c>
      <c r="G173" s="3">
        <v>2.6789700000000001</v>
      </c>
      <c r="H173" s="3">
        <v>1.25485</v>
      </c>
      <c r="I173" s="3" t="s">
        <v>3054</v>
      </c>
      <c r="J173" s="3"/>
      <c r="K173" s="3"/>
      <c r="L173" s="3"/>
    </row>
    <row r="174" spans="1:12" s="2" customFormat="1" ht="15" x14ac:dyDescent="0.2">
      <c r="A174" s="5" t="s">
        <v>963</v>
      </c>
      <c r="B174" s="5" t="str">
        <f>VLOOKUP($A174,[1]Sheet1!$A:$B,2,FALSE)</f>
        <v>GO:0008299</v>
      </c>
      <c r="C174" s="2" t="s">
        <v>2295</v>
      </c>
      <c r="D174" s="3" t="s">
        <v>1836</v>
      </c>
      <c r="E174" s="3" t="s">
        <v>1837</v>
      </c>
      <c r="F174" s="3">
        <v>1.6263799999999999</v>
      </c>
      <c r="G174" s="3">
        <v>3.8686199999999999</v>
      </c>
      <c r="H174" s="3">
        <v>1.2501500000000001</v>
      </c>
      <c r="I174" s="3" t="s">
        <v>3248</v>
      </c>
      <c r="J174" s="4"/>
      <c r="K174" s="3"/>
      <c r="L174" s="3"/>
    </row>
    <row r="175" spans="1:12" s="2" customFormat="1" ht="15" x14ac:dyDescent="0.2">
      <c r="A175" s="5" t="s">
        <v>775</v>
      </c>
      <c r="B175" s="5" t="e">
        <f>VLOOKUP($A175,[1]Sheet1!$A:$B,2,FALSE)</f>
        <v>#N/A</v>
      </c>
      <c r="C175" s="2" t="s">
        <v>2128</v>
      </c>
      <c r="D175" s="3" t="s">
        <v>1836</v>
      </c>
      <c r="E175" s="3" t="s">
        <v>1837</v>
      </c>
      <c r="F175" s="3">
        <v>0.50096399999999996</v>
      </c>
      <c r="G175" s="3">
        <v>1.1883999999999999</v>
      </c>
      <c r="H175" s="3">
        <v>1.24624</v>
      </c>
      <c r="I175" s="3" t="s">
        <v>3015</v>
      </c>
      <c r="J175" s="3"/>
      <c r="K175" s="3"/>
      <c r="L175" s="3"/>
    </row>
    <row r="176" spans="1:12" s="2" customFormat="1" ht="15" x14ac:dyDescent="0.2">
      <c r="A176" s="5" t="s">
        <v>507</v>
      </c>
      <c r="B176" s="5" t="e">
        <f>VLOOKUP($A176,[1]Sheet1!$A:$B,2,FALSE)</f>
        <v>#N/A</v>
      </c>
      <c r="C176" s="2" t="s">
        <v>2082</v>
      </c>
      <c r="D176" s="3" t="s">
        <v>1836</v>
      </c>
      <c r="E176" s="3" t="s">
        <v>1837</v>
      </c>
      <c r="F176" s="3">
        <v>2.4866899999999998</v>
      </c>
      <c r="G176" s="3">
        <v>5.8740399999999999</v>
      </c>
      <c r="H176" s="3">
        <v>1.2401199999999999</v>
      </c>
      <c r="I176" s="3" t="s">
        <v>3015</v>
      </c>
      <c r="J176" s="3"/>
      <c r="K176" s="3"/>
      <c r="L176" s="3"/>
    </row>
    <row r="177" spans="1:12" s="2" customFormat="1" ht="15" x14ac:dyDescent="0.2">
      <c r="A177" s="5" t="s">
        <v>254</v>
      </c>
      <c r="B177" s="5" t="str">
        <f>VLOOKUP($A177,[1]Sheet1!$A:$B,2,FALSE)</f>
        <v>GO:0005506GO:0016491</v>
      </c>
      <c r="C177" s="2" t="s">
        <v>1847</v>
      </c>
      <c r="D177" s="3" t="s">
        <v>1836</v>
      </c>
      <c r="E177" s="3" t="s">
        <v>1837</v>
      </c>
      <c r="F177" s="3">
        <v>1.2150399999999999</v>
      </c>
      <c r="G177" s="3">
        <v>2.8657499999999998</v>
      </c>
      <c r="H177" s="3">
        <v>1.2379100000000001</v>
      </c>
      <c r="I177" s="3" t="s">
        <v>3089</v>
      </c>
      <c r="J177" s="4"/>
      <c r="K177" s="3"/>
      <c r="L177" s="3"/>
    </row>
    <row r="178" spans="1:12" s="2" customFormat="1" ht="15" x14ac:dyDescent="0.2">
      <c r="A178" s="5" t="s">
        <v>335</v>
      </c>
      <c r="B178" s="5" t="e">
        <f>VLOOKUP($A178,[1]Sheet1!$A:$B,2,FALSE)</f>
        <v>#N/A</v>
      </c>
      <c r="C178" s="2" t="s">
        <v>2002</v>
      </c>
      <c r="D178" s="3" t="s">
        <v>1836</v>
      </c>
      <c r="E178" s="3" t="s">
        <v>1837</v>
      </c>
      <c r="F178" s="3">
        <v>0.92621600000000004</v>
      </c>
      <c r="G178" s="3">
        <v>2.1843900000000001</v>
      </c>
      <c r="H178" s="3">
        <v>1.2378100000000001</v>
      </c>
      <c r="I178" s="3" t="s">
        <v>3015</v>
      </c>
      <c r="J178" s="3"/>
      <c r="K178" s="3"/>
      <c r="L178" s="3"/>
    </row>
    <row r="179" spans="1:12" s="2" customFormat="1" ht="15" x14ac:dyDescent="0.2">
      <c r="A179" s="5" t="s">
        <v>467</v>
      </c>
      <c r="B179" s="5" t="str">
        <f>VLOOKUP($A179,[1]Sheet1!$A:$B,2,FALSE)</f>
        <v>GO:0003735GO:0004650GO:0005975GO:0006412GO:0005840</v>
      </c>
      <c r="C179" s="2" t="s">
        <v>2064</v>
      </c>
      <c r="D179" s="3" t="s">
        <v>1836</v>
      </c>
      <c r="E179" s="3" t="s">
        <v>1837</v>
      </c>
      <c r="F179" s="3">
        <v>0.37391600000000003</v>
      </c>
      <c r="G179" s="3">
        <v>0.880826</v>
      </c>
      <c r="H179" s="3">
        <v>1.23614</v>
      </c>
      <c r="I179" s="3" t="s">
        <v>3145</v>
      </c>
      <c r="J179" s="4"/>
      <c r="K179" s="3"/>
      <c r="L179" s="3"/>
    </row>
    <row r="180" spans="1:12" s="2" customFormat="1" ht="15" x14ac:dyDescent="0.2">
      <c r="A180" s="5" t="s">
        <v>222</v>
      </c>
      <c r="B180" s="5" t="str">
        <f>VLOOKUP($A180,[1]Sheet1!$A:$B,2,FALSE)</f>
        <v>GO:0048046GO:0030145GO:0045735</v>
      </c>
      <c r="C180" s="2" t="s">
        <v>1947</v>
      </c>
      <c r="D180" s="3" t="s">
        <v>1836</v>
      </c>
      <c r="E180" s="3" t="s">
        <v>1837</v>
      </c>
      <c r="F180" s="3">
        <v>0.48676599999999998</v>
      </c>
      <c r="G180" s="3">
        <v>1.14205</v>
      </c>
      <c r="H180" s="3">
        <v>1.2303200000000001</v>
      </c>
      <c r="I180" s="3" t="s">
        <v>3087</v>
      </c>
      <c r="J180" s="4"/>
      <c r="K180" s="3"/>
      <c r="L180" s="3"/>
    </row>
    <row r="181" spans="1:12" s="2" customFormat="1" ht="15" x14ac:dyDescent="0.2">
      <c r="A181" s="5" t="s">
        <v>703</v>
      </c>
      <c r="B181" s="5" t="str">
        <f>VLOOKUP($A181,[1]Sheet1!$A:$B,2,FALSE)</f>
        <v>GO:0004497GO:0020037GO:0009055</v>
      </c>
      <c r="C181" s="2" t="s">
        <v>1923</v>
      </c>
      <c r="D181" s="3" t="s">
        <v>1836</v>
      </c>
      <c r="E181" s="3" t="s">
        <v>1837</v>
      </c>
      <c r="F181" s="3">
        <v>1.5314300000000001</v>
      </c>
      <c r="G181" s="3">
        <v>3.5863299999999998</v>
      </c>
      <c r="H181" s="3">
        <v>1.22763</v>
      </c>
      <c r="I181" s="3" t="s">
        <v>3045</v>
      </c>
      <c r="J181" s="4"/>
      <c r="K181" s="3"/>
      <c r="L181" s="3"/>
    </row>
    <row r="182" spans="1:12" s="2" customFormat="1" ht="15" x14ac:dyDescent="0.2">
      <c r="A182" s="5" t="s">
        <v>1003</v>
      </c>
      <c r="B182" s="5" t="e">
        <f>VLOOKUP($A182,[1]Sheet1!$A:$B,2,FALSE)</f>
        <v>#N/A</v>
      </c>
      <c r="C182" s="2" t="s">
        <v>2080</v>
      </c>
      <c r="D182" s="3" t="s">
        <v>1836</v>
      </c>
      <c r="E182" s="3" t="s">
        <v>1837</v>
      </c>
      <c r="F182" s="3">
        <v>1.49909</v>
      </c>
      <c r="G182" s="3">
        <v>3.5082900000000001</v>
      </c>
      <c r="H182" s="3">
        <v>1.22668</v>
      </c>
      <c r="I182" s="3" t="s">
        <v>3015</v>
      </c>
      <c r="J182" s="4"/>
      <c r="K182" s="3"/>
      <c r="L182" s="3"/>
    </row>
    <row r="183" spans="1:12" s="2" customFormat="1" ht="15" x14ac:dyDescent="0.2">
      <c r="A183" s="5" t="s">
        <v>813</v>
      </c>
      <c r="B183" s="5" t="str">
        <f>VLOOKUP($A183,[1]Sheet1!$A:$B,2,FALSE)</f>
        <v>GO:0005506GO:0016491</v>
      </c>
      <c r="C183" s="2" t="s">
        <v>2077</v>
      </c>
      <c r="D183" s="3" t="s">
        <v>1836</v>
      </c>
      <c r="E183" s="3" t="s">
        <v>1837</v>
      </c>
      <c r="F183" s="3">
        <v>1.65882</v>
      </c>
      <c r="G183" s="3">
        <v>3.8776999999999999</v>
      </c>
      <c r="H183" s="3">
        <v>1.2250399999999999</v>
      </c>
      <c r="I183" s="3" t="s">
        <v>3089</v>
      </c>
      <c r="J183" s="4"/>
      <c r="K183" s="3"/>
      <c r="L183" s="3"/>
    </row>
    <row r="184" spans="1:12" s="2" customFormat="1" ht="15" x14ac:dyDescent="0.2">
      <c r="A184" s="5" t="s">
        <v>860</v>
      </c>
      <c r="B184" s="5" t="str">
        <f>VLOOKUP($A184,[1]Sheet1!$A:$B,2,FALSE)</f>
        <v>GO:0005975GO:0004553</v>
      </c>
      <c r="C184" s="2" t="s">
        <v>2029</v>
      </c>
      <c r="D184" s="3" t="s">
        <v>1836</v>
      </c>
      <c r="E184" s="3" t="s">
        <v>1837</v>
      </c>
      <c r="F184" s="3">
        <v>7.8865999999999996</v>
      </c>
      <c r="G184" s="3">
        <v>18.432500000000001</v>
      </c>
      <c r="H184" s="3">
        <v>1.22478</v>
      </c>
      <c r="I184" s="3" t="s">
        <v>3093</v>
      </c>
      <c r="J184" s="4"/>
      <c r="K184" s="3"/>
      <c r="L184" s="3"/>
    </row>
    <row r="185" spans="1:12" s="2" customFormat="1" ht="15" x14ac:dyDescent="0.2">
      <c r="A185" s="5" t="s">
        <v>151</v>
      </c>
      <c r="B185" s="5" t="str">
        <f>VLOOKUP($A185,[1]Sheet1!$A:$B,2,FALSE)</f>
        <v>GO:0006629GO:0016788</v>
      </c>
      <c r="C185" s="2" t="s">
        <v>1915</v>
      </c>
      <c r="D185" s="3" t="s">
        <v>1836</v>
      </c>
      <c r="E185" s="3" t="s">
        <v>1837</v>
      </c>
      <c r="F185" s="3">
        <v>5.93818</v>
      </c>
      <c r="G185" s="3">
        <v>13.8779</v>
      </c>
      <c r="H185" s="3">
        <v>1.2246999999999999</v>
      </c>
      <c r="I185" s="3" t="s">
        <v>3062</v>
      </c>
      <c r="J185" s="4"/>
      <c r="K185" s="3"/>
      <c r="L185" s="3"/>
    </row>
    <row r="186" spans="1:12" s="2" customFormat="1" ht="15" x14ac:dyDescent="0.2">
      <c r="A186" s="5" t="s">
        <v>925</v>
      </c>
      <c r="B186" s="5" t="str">
        <f>VLOOKUP($A186,[1]Sheet1!$A:$B,2,FALSE)</f>
        <v>GO:0008299GO:0046872GO:0030604</v>
      </c>
      <c r="C186" s="2" t="s">
        <v>2273</v>
      </c>
      <c r="D186" s="3" t="s">
        <v>1836</v>
      </c>
      <c r="E186" s="3" t="s">
        <v>1837</v>
      </c>
      <c r="F186" s="3">
        <v>1.1334599999999999</v>
      </c>
      <c r="G186" s="3">
        <v>2.64649</v>
      </c>
      <c r="H186" s="3">
        <v>1.2233400000000001</v>
      </c>
      <c r="I186" s="3" t="s">
        <v>3240</v>
      </c>
      <c r="J186" s="4"/>
      <c r="K186" s="3"/>
      <c r="L186" s="3"/>
    </row>
    <row r="187" spans="1:12" s="2" customFormat="1" ht="15" x14ac:dyDescent="0.2">
      <c r="A187" s="5" t="s">
        <v>487</v>
      </c>
      <c r="B187" s="5" t="e">
        <f>VLOOKUP($A187,[1]Sheet1!$A:$B,2,FALSE)</f>
        <v>#N/A</v>
      </c>
      <c r="C187" s="2" t="s">
        <v>2071</v>
      </c>
      <c r="D187" s="3" t="s">
        <v>1836</v>
      </c>
      <c r="E187" s="3" t="s">
        <v>1837</v>
      </c>
      <c r="F187" s="3">
        <v>0.79222899999999996</v>
      </c>
      <c r="G187" s="3">
        <v>1.8449199999999999</v>
      </c>
      <c r="H187" s="3">
        <v>1.21957</v>
      </c>
      <c r="I187" s="3" t="s">
        <v>3015</v>
      </c>
      <c r="J187" s="3"/>
      <c r="K187" s="3"/>
      <c r="L187" s="3"/>
    </row>
    <row r="188" spans="1:12" s="2" customFormat="1" ht="15" x14ac:dyDescent="0.2">
      <c r="A188" s="5" t="s">
        <v>197</v>
      </c>
      <c r="B188" s="5" t="str">
        <f>VLOOKUP($A188,[1]Sheet1!$A:$B,2,FALSE)</f>
        <v>GO:0007155</v>
      </c>
      <c r="C188" s="2" t="s">
        <v>1935</v>
      </c>
      <c r="D188" s="3" t="s">
        <v>1836</v>
      </c>
      <c r="E188" s="3" t="s">
        <v>1837</v>
      </c>
      <c r="F188" s="3">
        <v>4.6795900000000001</v>
      </c>
      <c r="G188" s="3">
        <v>10.8682</v>
      </c>
      <c r="H188" s="3">
        <v>1.21566</v>
      </c>
      <c r="I188" s="3" t="s">
        <v>3078</v>
      </c>
      <c r="J188" s="3"/>
      <c r="K188" s="3"/>
      <c r="L188" s="3"/>
    </row>
    <row r="189" spans="1:12" s="2" customFormat="1" ht="15" x14ac:dyDescent="0.2">
      <c r="A189" s="5" t="s">
        <v>347</v>
      </c>
      <c r="B189" s="5" t="str">
        <f>VLOOKUP($A189,[1]Sheet1!$A:$B,2,FALSE)</f>
        <v>GO:0050825GO:0042309GO:0050826</v>
      </c>
      <c r="C189" s="2" t="s">
        <v>2004</v>
      </c>
      <c r="D189" s="3" t="s">
        <v>1836</v>
      </c>
      <c r="E189" s="3" t="s">
        <v>1837</v>
      </c>
      <c r="F189" s="3">
        <v>14.196099999999999</v>
      </c>
      <c r="G189" s="3">
        <v>32.954099999999997</v>
      </c>
      <c r="H189" s="3">
        <v>1.21496</v>
      </c>
      <c r="I189" s="3" t="s">
        <v>3030</v>
      </c>
      <c r="J189" s="4"/>
      <c r="K189" s="3"/>
      <c r="L189" s="3"/>
    </row>
    <row r="190" spans="1:12" s="2" customFormat="1" ht="15" x14ac:dyDescent="0.2">
      <c r="A190" s="5" t="s">
        <v>868</v>
      </c>
      <c r="B190" s="5" t="str">
        <f>VLOOKUP($A190,[1]Sheet1!$A:$B,2,FALSE)</f>
        <v>GO:0005743GO:0006810GO:0005488GO:0005215</v>
      </c>
      <c r="C190" s="2" t="s">
        <v>3015</v>
      </c>
      <c r="D190" s="3" t="s">
        <v>1836</v>
      </c>
      <c r="E190" s="3" t="s">
        <v>1837</v>
      </c>
      <c r="F190" s="3">
        <v>1.0250999999999999</v>
      </c>
      <c r="G190" s="3">
        <v>2.3759999999999999</v>
      </c>
      <c r="H190" s="3">
        <v>1.2127699999999999</v>
      </c>
      <c r="I190" s="3" t="s">
        <v>3227</v>
      </c>
      <c r="J190" s="3"/>
      <c r="K190" s="3"/>
      <c r="L190" s="3"/>
    </row>
    <row r="191" spans="1:12" s="2" customFormat="1" ht="15" x14ac:dyDescent="0.2">
      <c r="A191" s="5" t="s">
        <v>1062</v>
      </c>
      <c r="B191" s="5" t="str">
        <f>VLOOKUP($A191,[1]Sheet1!$A:$B,2,FALSE)</f>
        <v>GO:0004601GO:0006979GO:0020037GO:0009055</v>
      </c>
      <c r="C191" s="2" t="s">
        <v>2187</v>
      </c>
      <c r="D191" s="3" t="s">
        <v>1836</v>
      </c>
      <c r="E191" s="3" t="s">
        <v>1837</v>
      </c>
      <c r="F191" s="3">
        <v>4.7833100000000002</v>
      </c>
      <c r="G191" s="3">
        <v>11.0844</v>
      </c>
      <c r="H191" s="3">
        <v>1.21245</v>
      </c>
      <c r="I191" s="3" t="s">
        <v>3049</v>
      </c>
      <c r="J191" s="3"/>
      <c r="K191" s="3"/>
      <c r="L191" s="3"/>
    </row>
    <row r="192" spans="1:12" s="2" customFormat="1" ht="15" x14ac:dyDescent="0.2">
      <c r="A192" s="5" t="s">
        <v>194</v>
      </c>
      <c r="B192" s="5" t="e">
        <f>VLOOKUP($A192,[1]Sheet1!$A:$B,2,FALSE)</f>
        <v>#N/A</v>
      </c>
      <c r="C192" s="2" t="s">
        <v>1933</v>
      </c>
      <c r="D192" s="3" t="s">
        <v>1836</v>
      </c>
      <c r="E192" s="3" t="s">
        <v>1837</v>
      </c>
      <c r="F192" s="3">
        <v>0.89725999999999995</v>
      </c>
      <c r="G192" s="3">
        <v>2.0748000000000002</v>
      </c>
      <c r="H192" s="3">
        <v>1.2093700000000001</v>
      </c>
      <c r="I192" s="3" t="s">
        <v>3015</v>
      </c>
      <c r="J192" s="4"/>
      <c r="K192" s="3"/>
      <c r="L192" s="3"/>
    </row>
    <row r="193" spans="1:12" s="2" customFormat="1" ht="15" x14ac:dyDescent="0.2">
      <c r="A193" s="5" t="s">
        <v>494</v>
      </c>
      <c r="B193" s="5" t="str">
        <f>VLOOKUP($A193,[1]Sheet1!$A:$B,2,FALSE)</f>
        <v>GO:0005506GO:0016491</v>
      </c>
      <c r="C193" s="2" t="s">
        <v>2077</v>
      </c>
      <c r="D193" s="3" t="s">
        <v>1836</v>
      </c>
      <c r="E193" s="3" t="s">
        <v>1837</v>
      </c>
      <c r="F193" s="3">
        <v>3.22445</v>
      </c>
      <c r="G193" s="3">
        <v>7.44794</v>
      </c>
      <c r="H193" s="3">
        <v>1.2077899999999999</v>
      </c>
      <c r="I193" s="3" t="s">
        <v>3089</v>
      </c>
      <c r="J193" s="4"/>
      <c r="K193" s="3"/>
      <c r="L193" s="3"/>
    </row>
    <row r="194" spans="1:12" s="2" customFormat="1" ht="15" x14ac:dyDescent="0.2">
      <c r="A194" s="5" t="s">
        <v>896</v>
      </c>
      <c r="B194" s="5" t="str">
        <f>VLOOKUP($A194,[1]Sheet1!$A:$B,2,FALSE)</f>
        <v>GO:0016020GO:0051260</v>
      </c>
      <c r="C194" s="2" t="s">
        <v>3015</v>
      </c>
      <c r="D194" s="3" t="s">
        <v>1836</v>
      </c>
      <c r="E194" s="3" t="s">
        <v>1837</v>
      </c>
      <c r="F194" s="3">
        <v>0.97496400000000005</v>
      </c>
      <c r="G194" s="3">
        <v>2.2490999999999999</v>
      </c>
      <c r="H194" s="3">
        <v>1.2059299999999999</v>
      </c>
      <c r="I194" s="3" t="s">
        <v>3233</v>
      </c>
      <c r="J194" s="3"/>
      <c r="K194" s="3"/>
      <c r="L194" s="3"/>
    </row>
    <row r="195" spans="1:12" s="2" customFormat="1" ht="15" x14ac:dyDescent="0.2">
      <c r="A195" s="5" t="s">
        <v>1069</v>
      </c>
      <c r="B195" s="5" t="str">
        <f>VLOOKUP($A195,[1]Sheet1!$A:$B,2,FALSE)</f>
        <v>GO:0005576GO:0008083GO:0008283</v>
      </c>
      <c r="C195" s="2" t="s">
        <v>2342</v>
      </c>
      <c r="D195" s="3" t="s">
        <v>1836</v>
      </c>
      <c r="E195" s="3" t="s">
        <v>1837</v>
      </c>
      <c r="F195" s="3">
        <v>17.3825</v>
      </c>
      <c r="G195" s="3">
        <v>39.983400000000003</v>
      </c>
      <c r="H195" s="3">
        <v>1.2017599999999999</v>
      </c>
      <c r="I195" s="3" t="s">
        <v>3264</v>
      </c>
      <c r="J195" s="3"/>
      <c r="K195" s="3"/>
      <c r="L195" s="3"/>
    </row>
    <row r="196" spans="1:12" s="2" customFormat="1" ht="15" x14ac:dyDescent="0.2">
      <c r="A196" s="5" t="s">
        <v>433</v>
      </c>
      <c r="B196" s="5" t="e">
        <f>VLOOKUP($A196,[1]Sheet1!$A:$B,2,FALSE)</f>
        <v>#N/A</v>
      </c>
      <c r="C196" s="2" t="s">
        <v>2045</v>
      </c>
      <c r="D196" s="3" t="s">
        <v>1836</v>
      </c>
      <c r="E196" s="3" t="s">
        <v>1837</v>
      </c>
      <c r="F196" s="3">
        <v>2.8269799999999998</v>
      </c>
      <c r="G196" s="3">
        <v>6.4980200000000004</v>
      </c>
      <c r="H196" s="3">
        <v>1.2007399999999999</v>
      </c>
      <c r="I196" s="3" t="s">
        <v>3015</v>
      </c>
      <c r="J196" s="3"/>
      <c r="K196" s="3"/>
      <c r="L196" s="3"/>
    </row>
    <row r="197" spans="1:12" s="2" customFormat="1" ht="15" x14ac:dyDescent="0.2">
      <c r="A197" s="5" t="s">
        <v>1015</v>
      </c>
      <c r="B197" s="5" t="str">
        <f>VLOOKUP($A197,[1]Sheet1!$A:$B,2,FALSE)</f>
        <v>GO:0016021GO:0006810GO:0042626GO:0005524</v>
      </c>
      <c r="C197" s="2" t="s">
        <v>2319</v>
      </c>
      <c r="D197" s="3" t="s">
        <v>1836</v>
      </c>
      <c r="E197" s="3" t="s">
        <v>1837</v>
      </c>
      <c r="F197" s="3">
        <v>1.1397699999999999</v>
      </c>
      <c r="G197" s="3">
        <v>2.6128800000000001</v>
      </c>
      <c r="H197" s="3">
        <v>1.19689</v>
      </c>
      <c r="I197" s="3" t="s">
        <v>3253</v>
      </c>
      <c r="J197" s="3"/>
      <c r="K197" s="3"/>
      <c r="L197" s="3"/>
    </row>
    <row r="198" spans="1:12" s="2" customFormat="1" ht="15" x14ac:dyDescent="0.2">
      <c r="A198" s="5" t="s">
        <v>762</v>
      </c>
      <c r="B198" s="5" t="str">
        <f>VLOOKUP($A198,[1]Sheet1!$A:$B,2,FALSE)</f>
        <v>GO:0005615</v>
      </c>
      <c r="C198" s="2" t="s">
        <v>2192</v>
      </c>
      <c r="D198" s="3" t="s">
        <v>1836</v>
      </c>
      <c r="E198" s="3" t="s">
        <v>1837</v>
      </c>
      <c r="F198" s="3">
        <v>0.81979900000000006</v>
      </c>
      <c r="G198" s="3">
        <v>1.87635</v>
      </c>
      <c r="H198" s="3">
        <v>1.19459</v>
      </c>
      <c r="I198" s="3" t="s">
        <v>3205</v>
      </c>
      <c r="J198" s="3"/>
      <c r="K198" s="3"/>
      <c r="L198" s="3"/>
    </row>
    <row r="199" spans="1:12" s="2" customFormat="1" ht="15" x14ac:dyDescent="0.2">
      <c r="A199" s="5" t="s">
        <v>1038</v>
      </c>
      <c r="B199" s="5" t="e">
        <f>VLOOKUP($A199,[1]Sheet1!$A:$B,2,FALSE)</f>
        <v>#N/A</v>
      </c>
      <c r="C199" s="2" t="s">
        <v>3015</v>
      </c>
      <c r="D199" s="3" t="s">
        <v>1836</v>
      </c>
      <c r="E199" s="3" t="s">
        <v>1837</v>
      </c>
      <c r="F199" s="3">
        <v>6.1892199999999997</v>
      </c>
      <c r="G199" s="3">
        <v>14.1645</v>
      </c>
      <c r="H199" s="3">
        <v>1.19445</v>
      </c>
      <c r="I199" s="3" t="s">
        <v>3015</v>
      </c>
      <c r="J199" s="3"/>
      <c r="K199" s="3"/>
      <c r="L199" s="3"/>
    </row>
    <row r="200" spans="1:12" s="2" customFormat="1" ht="15" x14ac:dyDescent="0.2">
      <c r="A200" s="5" t="s">
        <v>596</v>
      </c>
      <c r="B200" s="5" t="e">
        <f>VLOOKUP($A200,[1]Sheet1!$A:$B,2,FALSE)</f>
        <v>#N/A</v>
      </c>
      <c r="C200" s="2" t="s">
        <v>2124</v>
      </c>
      <c r="D200" s="3" t="s">
        <v>1836</v>
      </c>
      <c r="E200" s="3" t="s">
        <v>1837</v>
      </c>
      <c r="F200" s="3">
        <v>15.3147</v>
      </c>
      <c r="G200" s="3">
        <v>34.961599999999997</v>
      </c>
      <c r="H200" s="3">
        <v>1.19086</v>
      </c>
      <c r="I200" s="3" t="s">
        <v>3015</v>
      </c>
      <c r="J200" s="4"/>
      <c r="K200" s="3"/>
      <c r="L200" s="3"/>
    </row>
    <row r="201" spans="1:12" s="2" customFormat="1" ht="15" x14ac:dyDescent="0.2">
      <c r="A201" s="5" t="s">
        <v>522</v>
      </c>
      <c r="B201" s="5" t="str">
        <f>VLOOKUP($A201,[1]Sheet1!$A:$B,2,FALSE)</f>
        <v>GO:0005524</v>
      </c>
      <c r="C201" s="2" t="s">
        <v>2090</v>
      </c>
      <c r="D201" s="3" t="s">
        <v>1836</v>
      </c>
      <c r="E201" s="3" t="s">
        <v>1837</v>
      </c>
      <c r="F201" s="3">
        <v>186.999</v>
      </c>
      <c r="G201" s="3">
        <v>426.11099999999999</v>
      </c>
      <c r="H201" s="3">
        <v>1.1881999999999999</v>
      </c>
      <c r="I201" s="3" t="s">
        <v>3153</v>
      </c>
      <c r="J201" s="3"/>
      <c r="K201" s="3"/>
      <c r="L201" s="3"/>
    </row>
    <row r="202" spans="1:12" s="2" customFormat="1" ht="15" x14ac:dyDescent="0.2">
      <c r="A202" s="5" t="s">
        <v>983</v>
      </c>
      <c r="B202" s="5" t="str">
        <f>VLOOKUP($A202,[1]Sheet1!$A:$B,2,FALSE)</f>
        <v>GO:0006950</v>
      </c>
      <c r="C202" s="2" t="s">
        <v>1951</v>
      </c>
      <c r="D202" s="3" t="s">
        <v>1836</v>
      </c>
      <c r="E202" s="3" t="s">
        <v>1837</v>
      </c>
      <c r="F202" s="3">
        <v>3.6309100000000001</v>
      </c>
      <c r="G202" s="3">
        <v>8.2684999999999995</v>
      </c>
      <c r="H202" s="3">
        <v>1.1873</v>
      </c>
      <c r="I202" s="3" t="s">
        <v>3090</v>
      </c>
      <c r="J202" s="4"/>
      <c r="K202" s="3"/>
      <c r="L202" s="3"/>
    </row>
    <row r="203" spans="1:12" s="2" customFormat="1" ht="15" x14ac:dyDescent="0.2">
      <c r="A203" s="5" t="s">
        <v>1059</v>
      </c>
      <c r="B203" s="5" t="str">
        <f>VLOOKUP($A203,[1]Sheet1!$A:$B,2,FALSE)</f>
        <v>GO:0005576GO:0019953</v>
      </c>
      <c r="C203" s="2" t="s">
        <v>1894</v>
      </c>
      <c r="D203" s="3" t="s">
        <v>1836</v>
      </c>
      <c r="E203" s="3" t="s">
        <v>1837</v>
      </c>
      <c r="F203" s="3">
        <v>18.996300000000002</v>
      </c>
      <c r="G203" s="3">
        <v>43.250399999999999</v>
      </c>
      <c r="H203" s="3">
        <v>1.1870000000000001</v>
      </c>
      <c r="I203" s="3" t="s">
        <v>3054</v>
      </c>
      <c r="J203" s="4"/>
      <c r="K203" s="3"/>
      <c r="L203" s="3"/>
    </row>
    <row r="204" spans="1:12" s="2" customFormat="1" ht="15" x14ac:dyDescent="0.2">
      <c r="A204" s="5" t="s">
        <v>166</v>
      </c>
      <c r="B204" s="5" t="str">
        <f>VLOOKUP($A204,[1]Sheet1!$A:$B,2,FALSE)</f>
        <v>GO:0004497GO:0020037GO:0009055</v>
      </c>
      <c r="C204" s="2" t="s">
        <v>1923</v>
      </c>
      <c r="D204" s="3" t="s">
        <v>1836</v>
      </c>
      <c r="E204" s="3" t="s">
        <v>1837</v>
      </c>
      <c r="F204" s="3">
        <v>3.1176300000000001</v>
      </c>
      <c r="G204" s="3">
        <v>7.0826399999999996</v>
      </c>
      <c r="H204" s="3">
        <v>1.18384</v>
      </c>
      <c r="I204" s="3" t="s">
        <v>3045</v>
      </c>
      <c r="J204" s="4"/>
      <c r="K204" s="3"/>
      <c r="L204" s="3"/>
    </row>
    <row r="205" spans="1:12" s="2" customFormat="1" ht="15" x14ac:dyDescent="0.2">
      <c r="A205" s="5" t="s">
        <v>1078</v>
      </c>
      <c r="B205" s="5" t="str">
        <f>VLOOKUP($A205,[1]Sheet1!$A:$B,2,FALSE)</f>
        <v>GO:0006355GO:0005634GO:0003677GO:0009725</v>
      </c>
      <c r="C205" s="2" t="s">
        <v>2348</v>
      </c>
      <c r="D205" s="3" t="s">
        <v>1836</v>
      </c>
      <c r="E205" s="3" t="s">
        <v>1837</v>
      </c>
      <c r="F205" s="3">
        <v>5.76098</v>
      </c>
      <c r="G205" s="3">
        <v>13.0199</v>
      </c>
      <c r="H205" s="3">
        <v>1.1763399999999999</v>
      </c>
      <c r="I205" s="3" t="s">
        <v>3267</v>
      </c>
      <c r="J205" s="4"/>
      <c r="K205" s="3"/>
      <c r="L205" s="3"/>
    </row>
    <row r="206" spans="1:12" s="2" customFormat="1" ht="15" x14ac:dyDescent="0.2">
      <c r="A206" s="5" t="s">
        <v>358</v>
      </c>
      <c r="B206" s="5" t="e">
        <f>VLOOKUP($A206,[1]Sheet1!$A:$B,2,FALSE)</f>
        <v>#N/A</v>
      </c>
      <c r="C206" s="2" t="s">
        <v>3015</v>
      </c>
      <c r="D206" s="3" t="s">
        <v>1836</v>
      </c>
      <c r="E206" s="3" t="s">
        <v>1837</v>
      </c>
      <c r="F206" s="3">
        <v>0.71620300000000003</v>
      </c>
      <c r="G206" s="3">
        <v>1.6185799999999999</v>
      </c>
      <c r="H206" s="3">
        <v>1.1762900000000001</v>
      </c>
      <c r="I206" s="3" t="s">
        <v>3015</v>
      </c>
      <c r="J206" s="3"/>
      <c r="K206" s="3"/>
      <c r="L206" s="3"/>
    </row>
    <row r="207" spans="1:12" s="2" customFormat="1" ht="15" x14ac:dyDescent="0.2">
      <c r="A207" s="5" t="s">
        <v>787</v>
      </c>
      <c r="B207" s="5" t="str">
        <f>VLOOKUP($A207,[1]Sheet1!$A:$B,2,FALSE)</f>
        <v>GO:0016747</v>
      </c>
      <c r="C207" s="2" t="s">
        <v>2018</v>
      </c>
      <c r="D207" s="3" t="s">
        <v>1836</v>
      </c>
      <c r="E207" s="3" t="s">
        <v>1837</v>
      </c>
      <c r="F207" s="3">
        <v>4.77834</v>
      </c>
      <c r="G207" s="3">
        <v>10.790800000000001</v>
      </c>
      <c r="H207" s="3">
        <v>1.1752199999999999</v>
      </c>
      <c r="I207" s="3" t="s">
        <v>3058</v>
      </c>
      <c r="J207" s="4"/>
      <c r="K207" s="3"/>
      <c r="L207" s="3"/>
    </row>
    <row r="208" spans="1:12" s="2" customFormat="1" ht="15" x14ac:dyDescent="0.2">
      <c r="A208" s="5" t="s">
        <v>855</v>
      </c>
      <c r="B208" s="5" t="e">
        <f>VLOOKUP($A208,[1]Sheet1!$A:$B,2,FALSE)</f>
        <v>#N/A</v>
      </c>
      <c r="C208" s="2" t="s">
        <v>2238</v>
      </c>
      <c r="D208" s="3" t="s">
        <v>1836</v>
      </c>
      <c r="E208" s="3" t="s">
        <v>1837</v>
      </c>
      <c r="F208" s="3">
        <v>1.68255</v>
      </c>
      <c r="G208" s="3">
        <v>3.7862399999999998</v>
      </c>
      <c r="H208" s="3">
        <v>1.17012</v>
      </c>
      <c r="I208" s="3" t="s">
        <v>3015</v>
      </c>
      <c r="J208" s="3"/>
      <c r="K208" s="3"/>
      <c r="L208" s="3"/>
    </row>
    <row r="209" spans="1:12" s="2" customFormat="1" ht="15" x14ac:dyDescent="0.2">
      <c r="A209" s="5" t="s">
        <v>840</v>
      </c>
      <c r="B209" s="5" t="e">
        <f>VLOOKUP($A209,[1]Sheet1!$A:$B,2,FALSE)</f>
        <v>#N/A</v>
      </c>
      <c r="C209" s="2" t="s">
        <v>2228</v>
      </c>
      <c r="D209" s="3" t="s">
        <v>1836</v>
      </c>
      <c r="E209" s="3" t="s">
        <v>1837</v>
      </c>
      <c r="F209" s="3">
        <v>1.5313099999999999</v>
      </c>
      <c r="G209" s="3">
        <v>3.4393199999999999</v>
      </c>
      <c r="H209" s="3">
        <v>1.16736</v>
      </c>
      <c r="I209" s="3" t="s">
        <v>3015</v>
      </c>
      <c r="J209" s="4"/>
      <c r="K209" s="3"/>
      <c r="L209" s="3"/>
    </row>
    <row r="210" spans="1:12" s="2" customFormat="1" ht="15" x14ac:dyDescent="0.2">
      <c r="A210" s="5" t="s">
        <v>852</v>
      </c>
      <c r="B210" s="5" t="str">
        <f>VLOOKUP($A210,[1]Sheet1!$A:$B,2,FALSE)</f>
        <v>GO:0016021GO:0006814GO:0006835GO:0015137GO:0015746GO:0017153</v>
      </c>
      <c r="C210" s="2" t="s">
        <v>2236</v>
      </c>
      <c r="D210" s="3" t="s">
        <v>1836</v>
      </c>
      <c r="E210" s="3" t="s">
        <v>1837</v>
      </c>
      <c r="F210" s="3">
        <v>4.0568999999999997</v>
      </c>
      <c r="G210" s="3">
        <v>9.1056600000000003</v>
      </c>
      <c r="H210" s="3">
        <v>1.16638</v>
      </c>
      <c r="I210" s="3" t="s">
        <v>3223</v>
      </c>
      <c r="J210" s="3"/>
      <c r="K210" s="3"/>
      <c r="L210" s="3"/>
    </row>
    <row r="211" spans="1:12" s="2" customFormat="1" ht="15" x14ac:dyDescent="0.2">
      <c r="A211" s="5" t="s">
        <v>349</v>
      </c>
      <c r="B211" s="5" t="str">
        <f>VLOOKUP($A211,[1]Sheet1!$A:$B,2,FALSE)</f>
        <v>GO:0004601GO:0006979GO:0020037GO:0009055</v>
      </c>
      <c r="C211" s="2" t="s">
        <v>2006</v>
      </c>
      <c r="D211" s="3" t="s">
        <v>1836</v>
      </c>
      <c r="E211" s="3" t="s">
        <v>1837</v>
      </c>
      <c r="F211" s="3">
        <v>0.49642900000000001</v>
      </c>
      <c r="G211" s="3">
        <v>1.1128</v>
      </c>
      <c r="H211" s="3">
        <v>1.1645399999999999</v>
      </c>
      <c r="I211" s="3" t="s">
        <v>3049</v>
      </c>
      <c r="J211" s="3"/>
      <c r="K211" s="3"/>
      <c r="L211" s="3"/>
    </row>
    <row r="212" spans="1:12" s="2" customFormat="1" ht="15" x14ac:dyDescent="0.2">
      <c r="A212" s="5" t="s">
        <v>139</v>
      </c>
      <c r="B212" s="5" t="e">
        <f>VLOOKUP($A212,[1]Sheet1!$A:$B,2,FALSE)</f>
        <v>#N/A</v>
      </c>
      <c r="C212" s="2" t="s">
        <v>1907</v>
      </c>
      <c r="D212" s="3" t="s">
        <v>1836</v>
      </c>
      <c r="E212" s="3" t="s">
        <v>1837</v>
      </c>
      <c r="F212" s="3">
        <v>0.70366899999999999</v>
      </c>
      <c r="G212" s="3">
        <v>1.56884</v>
      </c>
      <c r="H212" s="3">
        <v>1.15673</v>
      </c>
      <c r="I212" s="3" t="s">
        <v>3015</v>
      </c>
      <c r="J212" s="4"/>
      <c r="K212" s="3"/>
      <c r="L212" s="3"/>
    </row>
    <row r="213" spans="1:12" s="2" customFormat="1" ht="15" x14ac:dyDescent="0.2">
      <c r="A213" s="5" t="s">
        <v>586</v>
      </c>
      <c r="B213" s="5" t="str">
        <f>VLOOKUP($A213,[1]Sheet1!$A:$B,2,FALSE)</f>
        <v>GO:0004497GO:0020037GO:0009055</v>
      </c>
      <c r="C213" s="2" t="s">
        <v>2119</v>
      </c>
      <c r="D213" s="3" t="s">
        <v>1836</v>
      </c>
      <c r="E213" s="3" t="s">
        <v>1837</v>
      </c>
      <c r="F213" s="3">
        <v>0.57677999999999996</v>
      </c>
      <c r="G213" s="3">
        <v>1.2845800000000001</v>
      </c>
      <c r="H213" s="3">
        <v>1.1552</v>
      </c>
      <c r="I213" s="3" t="s">
        <v>3045</v>
      </c>
      <c r="J213" s="4"/>
      <c r="K213" s="3"/>
      <c r="L213" s="3"/>
    </row>
    <row r="214" spans="1:12" s="2" customFormat="1" ht="15" x14ac:dyDescent="0.2">
      <c r="A214" s="5" t="s">
        <v>970</v>
      </c>
      <c r="B214" s="5" t="str">
        <f>VLOOKUP($A214,[1]Sheet1!$A:$B,2,FALSE)</f>
        <v>GO:0006629</v>
      </c>
      <c r="C214" s="2" t="s">
        <v>2301</v>
      </c>
      <c r="D214" s="3" t="s">
        <v>1836</v>
      </c>
      <c r="E214" s="3" t="s">
        <v>1837</v>
      </c>
      <c r="F214" s="3">
        <v>0.46845700000000001</v>
      </c>
      <c r="G214" s="3">
        <v>1.0429900000000001</v>
      </c>
      <c r="H214" s="3">
        <v>1.15473</v>
      </c>
      <c r="I214" s="3" t="s">
        <v>3180</v>
      </c>
      <c r="J214" s="3"/>
      <c r="K214" s="3"/>
      <c r="L214" s="3"/>
    </row>
    <row r="215" spans="1:12" s="2" customFormat="1" ht="15" x14ac:dyDescent="0.2">
      <c r="A215" s="5" t="s">
        <v>411</v>
      </c>
      <c r="B215" s="5" t="str">
        <f>VLOOKUP($A215,[1]Sheet1!$A:$B,2,FALSE)</f>
        <v>GO:0005576GO:0004867</v>
      </c>
      <c r="C215" s="2" t="s">
        <v>2032</v>
      </c>
      <c r="D215" s="3" t="s">
        <v>1836</v>
      </c>
      <c r="E215" s="3" t="s">
        <v>1837</v>
      </c>
      <c r="F215" s="3">
        <v>92.739599999999996</v>
      </c>
      <c r="G215" s="3">
        <v>206.048</v>
      </c>
      <c r="H215" s="3">
        <v>1.1517200000000001</v>
      </c>
      <c r="I215" s="3" t="s">
        <v>3103</v>
      </c>
      <c r="J215" s="4"/>
      <c r="K215" s="3"/>
      <c r="L215" s="3"/>
    </row>
    <row r="216" spans="1:12" s="2" customFormat="1" ht="15" x14ac:dyDescent="0.2">
      <c r="A216" s="5" t="s">
        <v>9</v>
      </c>
      <c r="B216" s="5" t="str">
        <f>VLOOKUP($A216,[1]Sheet1!$A:$B,2,FALSE)</f>
        <v>GO:0003824GO:0008152</v>
      </c>
      <c r="C216" s="2" t="s">
        <v>1846</v>
      </c>
      <c r="D216" s="3" t="s">
        <v>1836</v>
      </c>
      <c r="E216" s="3" t="s">
        <v>1837</v>
      </c>
      <c r="F216" s="3">
        <v>6.5333800000000002</v>
      </c>
      <c r="G216" s="3">
        <v>14.4376</v>
      </c>
      <c r="H216" s="3">
        <v>1.1439299999999999</v>
      </c>
      <c r="I216" s="3" t="s">
        <v>3025</v>
      </c>
      <c r="J216" s="3"/>
      <c r="K216" s="3"/>
      <c r="L216" s="3"/>
    </row>
    <row r="217" spans="1:12" s="2" customFormat="1" ht="15" x14ac:dyDescent="0.2">
      <c r="A217" s="5" t="s">
        <v>567</v>
      </c>
      <c r="B217" s="5" t="str">
        <f>VLOOKUP($A217,[1]Sheet1!$A:$B,2,FALSE)</f>
        <v>GO:0003852GO:0009098</v>
      </c>
      <c r="C217" s="2" t="s">
        <v>2110</v>
      </c>
      <c r="D217" s="3" t="s">
        <v>1836</v>
      </c>
      <c r="E217" s="3" t="s">
        <v>1837</v>
      </c>
      <c r="F217" s="3">
        <v>12.7011</v>
      </c>
      <c r="G217" s="3">
        <v>28.064499999999999</v>
      </c>
      <c r="H217" s="3">
        <v>1.1437900000000001</v>
      </c>
      <c r="I217" s="3" t="s">
        <v>3162</v>
      </c>
      <c r="J217" s="4"/>
      <c r="K217" s="3"/>
      <c r="L217" s="3"/>
    </row>
    <row r="218" spans="1:12" s="2" customFormat="1" ht="15" x14ac:dyDescent="0.2">
      <c r="A218" s="5" t="s">
        <v>791</v>
      </c>
      <c r="B218" s="5" t="e">
        <f>VLOOKUP($A218,[1]Sheet1!$A:$B,2,FALSE)</f>
        <v>#N/A</v>
      </c>
      <c r="C218" s="2" t="s">
        <v>3015</v>
      </c>
      <c r="D218" s="3" t="s">
        <v>1836</v>
      </c>
      <c r="E218" s="3" t="s">
        <v>1837</v>
      </c>
      <c r="F218" s="3">
        <v>1.13422</v>
      </c>
      <c r="G218" s="3">
        <v>2.50332</v>
      </c>
      <c r="H218" s="3">
        <v>1.1421399999999999</v>
      </c>
      <c r="I218" s="3" t="s">
        <v>3015</v>
      </c>
      <c r="J218" s="4"/>
      <c r="K218" s="3"/>
      <c r="L218" s="3"/>
    </row>
    <row r="219" spans="1:12" s="2" customFormat="1" ht="15" x14ac:dyDescent="0.2">
      <c r="A219" s="5" t="s">
        <v>771</v>
      </c>
      <c r="B219" s="5" t="str">
        <f>VLOOKUP($A219,[1]Sheet1!$A:$B,2,FALSE)</f>
        <v>GO:0004497GO:0020037GO:0009055</v>
      </c>
      <c r="C219" s="2" t="s">
        <v>1923</v>
      </c>
      <c r="D219" s="3" t="s">
        <v>1836</v>
      </c>
      <c r="E219" s="3" t="s">
        <v>1837</v>
      </c>
      <c r="F219" s="3">
        <v>0.85572099999999995</v>
      </c>
      <c r="G219" s="3">
        <v>1.8883799999999999</v>
      </c>
      <c r="H219" s="3">
        <v>1.14194</v>
      </c>
      <c r="I219" s="3" t="s">
        <v>3045</v>
      </c>
      <c r="J219" s="4"/>
      <c r="K219" s="3"/>
      <c r="L219" s="3"/>
    </row>
    <row r="220" spans="1:12" s="2" customFormat="1" ht="15" x14ac:dyDescent="0.2">
      <c r="A220" s="5" t="s">
        <v>516</v>
      </c>
      <c r="B220" s="5" t="str">
        <f>VLOOKUP($A220,[1]Sheet1!$A:$B,2,FALSE)</f>
        <v>GO:0003700GO:0006355GO:0005634GO:0043565</v>
      </c>
      <c r="C220" s="2" t="s">
        <v>1847</v>
      </c>
      <c r="D220" s="3" t="s">
        <v>1836</v>
      </c>
      <c r="E220" s="3" t="s">
        <v>1837</v>
      </c>
      <c r="F220" s="3">
        <v>0.55276400000000003</v>
      </c>
      <c r="G220" s="3">
        <v>1.21946</v>
      </c>
      <c r="H220" s="3">
        <v>1.1415</v>
      </c>
      <c r="I220" s="3" t="s">
        <v>3026</v>
      </c>
      <c r="J220" s="3"/>
      <c r="K220" s="3"/>
      <c r="L220" s="3"/>
    </row>
    <row r="221" spans="1:12" s="2" customFormat="1" ht="15" x14ac:dyDescent="0.2">
      <c r="A221" s="5" t="s">
        <v>1009</v>
      </c>
      <c r="B221" s="5" t="str">
        <f>VLOOKUP($A221,[1]Sheet1!$A:$B,2,FALSE)</f>
        <v>GO:0016021</v>
      </c>
      <c r="C221" s="2" t="s">
        <v>2053</v>
      </c>
      <c r="D221" s="3" t="s">
        <v>1836</v>
      </c>
      <c r="E221" s="3" t="s">
        <v>1837</v>
      </c>
      <c r="F221" s="3">
        <v>0.353271</v>
      </c>
      <c r="G221" s="3">
        <v>0.77896900000000002</v>
      </c>
      <c r="H221" s="3">
        <v>1.14079</v>
      </c>
      <c r="I221" s="3" t="s">
        <v>3024</v>
      </c>
      <c r="J221" s="3"/>
      <c r="K221" s="3"/>
      <c r="L221" s="3"/>
    </row>
    <row r="222" spans="1:12" s="2" customFormat="1" ht="15" x14ac:dyDescent="0.2">
      <c r="A222" s="5" t="s">
        <v>607</v>
      </c>
      <c r="B222" s="5" t="str">
        <f>VLOOKUP($A222,[1]Sheet1!$A:$B,2,FALSE)</f>
        <v>GO:0050660GO:0016491</v>
      </c>
      <c r="C222" s="2" t="s">
        <v>2127</v>
      </c>
      <c r="D222" s="3" t="s">
        <v>1836</v>
      </c>
      <c r="E222" s="3" t="s">
        <v>1837</v>
      </c>
      <c r="F222" s="3">
        <v>2.9726400000000002</v>
      </c>
      <c r="G222" s="3">
        <v>6.5485100000000003</v>
      </c>
      <c r="H222" s="3">
        <v>1.1394200000000001</v>
      </c>
      <c r="I222" s="3" t="s">
        <v>3175</v>
      </c>
      <c r="J222" s="4"/>
      <c r="K222" s="3"/>
      <c r="L222" s="3"/>
    </row>
    <row r="223" spans="1:12" s="2" customFormat="1" ht="15" x14ac:dyDescent="0.2">
      <c r="A223" s="5" t="s">
        <v>816</v>
      </c>
      <c r="B223" s="5" t="str">
        <f>VLOOKUP($A223,[1]Sheet1!$A:$B,2,FALSE)</f>
        <v>GO:0019825GO:0020037GO:0005833GO:0005576GO:0050825GO:0042309GO:0050826GO:0015671</v>
      </c>
      <c r="C223" s="2" t="s">
        <v>2212</v>
      </c>
      <c r="D223" s="3" t="s">
        <v>1836</v>
      </c>
      <c r="E223" s="3" t="s">
        <v>1837</v>
      </c>
      <c r="F223" s="3">
        <v>24.6008</v>
      </c>
      <c r="G223" s="3">
        <v>54.161799999999999</v>
      </c>
      <c r="H223" s="3">
        <v>1.1385700000000001</v>
      </c>
      <c r="I223" s="3" t="s">
        <v>3214</v>
      </c>
      <c r="J223" s="4"/>
      <c r="K223" s="3"/>
      <c r="L223" s="3"/>
    </row>
    <row r="224" spans="1:12" s="2" customFormat="1" ht="15" x14ac:dyDescent="0.2">
      <c r="A224" s="5" t="s">
        <v>805</v>
      </c>
      <c r="B224" s="5" t="str">
        <f>VLOOKUP($A224,[1]Sheet1!$A:$B,2,FALSE)</f>
        <v>GO:0031072GO:0006457GO:0051082</v>
      </c>
      <c r="C224" s="2" t="s">
        <v>2177</v>
      </c>
      <c r="D224" s="3" t="s">
        <v>1836</v>
      </c>
      <c r="E224" s="3" t="s">
        <v>1837</v>
      </c>
      <c r="F224" s="3">
        <v>1.37148</v>
      </c>
      <c r="G224" s="3">
        <v>3.0078100000000001</v>
      </c>
      <c r="H224" s="3">
        <v>1.1329800000000001</v>
      </c>
      <c r="I224" s="3" t="s">
        <v>3104</v>
      </c>
      <c r="J224" s="4"/>
      <c r="K224" s="3"/>
      <c r="L224" s="3"/>
    </row>
    <row r="225" spans="1:12" s="2" customFormat="1" ht="15" x14ac:dyDescent="0.2">
      <c r="A225" s="5" t="s">
        <v>490</v>
      </c>
      <c r="B225" s="5" t="str">
        <f>VLOOKUP($A225,[1]Sheet1!$A:$B,2,FALSE)</f>
        <v>GO:0006810GO:0005622</v>
      </c>
      <c r="C225" s="2" t="s">
        <v>2073</v>
      </c>
      <c r="D225" s="3" t="s">
        <v>1836</v>
      </c>
      <c r="E225" s="3" t="s">
        <v>1837</v>
      </c>
      <c r="F225" s="3">
        <v>1.3246</v>
      </c>
      <c r="G225" s="3">
        <v>2.9032300000000002</v>
      </c>
      <c r="H225" s="3">
        <v>1.1321000000000001</v>
      </c>
      <c r="I225" s="3" t="s">
        <v>3148</v>
      </c>
      <c r="J225" s="3"/>
      <c r="K225" s="3"/>
      <c r="L225" s="3"/>
    </row>
    <row r="226" spans="1:12" s="2" customFormat="1" ht="15" x14ac:dyDescent="0.2">
      <c r="A226" s="5" t="s">
        <v>437</v>
      </c>
      <c r="B226" s="5" t="e">
        <f>VLOOKUP($A226,[1]Sheet1!$A:$B,2,FALSE)</f>
        <v>#N/A</v>
      </c>
      <c r="C226" s="2" t="s">
        <v>3015</v>
      </c>
      <c r="D226" s="3" t="s">
        <v>1836</v>
      </c>
      <c r="E226" s="3" t="s">
        <v>1837</v>
      </c>
      <c r="F226" s="3">
        <v>969.59900000000005</v>
      </c>
      <c r="G226" s="3">
        <v>2122.85</v>
      </c>
      <c r="H226" s="3">
        <v>1.1305400000000001</v>
      </c>
      <c r="I226" s="3" t="s">
        <v>3015</v>
      </c>
      <c r="J226" s="3"/>
      <c r="K226" s="3"/>
      <c r="L226" s="3"/>
    </row>
    <row r="227" spans="1:12" s="2" customFormat="1" ht="15" x14ac:dyDescent="0.2">
      <c r="A227" s="5" t="s">
        <v>636</v>
      </c>
      <c r="B227" s="5" t="str">
        <f>VLOOKUP($A227,[1]Sheet1!$A:$B,2,FALSE)</f>
        <v>GO:0008270GO:0005515</v>
      </c>
      <c r="C227" s="2" t="s">
        <v>2140</v>
      </c>
      <c r="D227" s="3" t="s">
        <v>1836</v>
      </c>
      <c r="E227" s="3" t="s">
        <v>1837</v>
      </c>
      <c r="F227" s="3">
        <v>1.3846499999999999</v>
      </c>
      <c r="G227" s="3">
        <v>3.0305499999999999</v>
      </c>
      <c r="H227" s="3">
        <v>1.1300600000000001</v>
      </c>
      <c r="I227" s="3" t="s">
        <v>3081</v>
      </c>
      <c r="J227" s="3"/>
      <c r="K227" s="3"/>
      <c r="L227" s="3"/>
    </row>
    <row r="228" spans="1:12" s="2" customFormat="1" ht="15" x14ac:dyDescent="0.2">
      <c r="A228" s="5" t="s">
        <v>105</v>
      </c>
      <c r="B228" s="5" t="str">
        <f>VLOOKUP($A228,[1]Sheet1!$A:$B,2,FALSE)</f>
        <v>GO:0006529GO:0004066</v>
      </c>
      <c r="C228" s="2" t="s">
        <v>1888</v>
      </c>
      <c r="D228" s="3" t="s">
        <v>1836</v>
      </c>
      <c r="E228" s="3" t="s">
        <v>1837</v>
      </c>
      <c r="F228" s="3">
        <v>91.526200000000003</v>
      </c>
      <c r="G228" s="3">
        <v>200.28399999999999</v>
      </c>
      <c r="H228" s="3">
        <v>1.1297900000000001</v>
      </c>
      <c r="I228" s="3" t="s">
        <v>3051</v>
      </c>
      <c r="J228" s="4"/>
      <c r="K228" s="3"/>
      <c r="L228" s="3"/>
    </row>
    <row r="229" spans="1:12" s="2" customFormat="1" ht="15" x14ac:dyDescent="0.2">
      <c r="A229" s="5" t="s">
        <v>566</v>
      </c>
      <c r="B229" s="5" t="e">
        <f>VLOOKUP($A229,[1]Sheet1!$A:$B,2,FALSE)</f>
        <v>#N/A</v>
      </c>
      <c r="C229" s="2" t="s">
        <v>3015</v>
      </c>
      <c r="D229" s="3" t="s">
        <v>1836</v>
      </c>
      <c r="E229" s="3" t="s">
        <v>1837</v>
      </c>
      <c r="F229" s="3">
        <v>2.3543799999999999</v>
      </c>
      <c r="G229" s="3">
        <v>5.1345700000000001</v>
      </c>
      <c r="H229" s="3">
        <v>1.1249</v>
      </c>
      <c r="I229" s="3" t="s">
        <v>3015</v>
      </c>
      <c r="J229" s="4"/>
      <c r="K229" s="3"/>
      <c r="L229" s="3"/>
    </row>
    <row r="230" spans="1:12" s="2" customFormat="1" ht="15" x14ac:dyDescent="0.2">
      <c r="A230" s="5" t="s">
        <v>108</v>
      </c>
      <c r="B230" s="5" t="e">
        <f>VLOOKUP($A230,[1]Sheet1!$A:$B,2,FALSE)</f>
        <v>#N/A</v>
      </c>
      <c r="C230" s="2" t="s">
        <v>1889</v>
      </c>
      <c r="D230" s="3" t="s">
        <v>1836</v>
      </c>
      <c r="E230" s="3" t="s">
        <v>1837</v>
      </c>
      <c r="F230" s="3">
        <v>8.4427800000000008</v>
      </c>
      <c r="G230" s="3">
        <v>18.3919</v>
      </c>
      <c r="H230" s="3">
        <v>1.1232800000000001</v>
      </c>
      <c r="I230" s="3" t="s">
        <v>3015</v>
      </c>
      <c r="J230" s="4"/>
      <c r="K230" s="3"/>
      <c r="L230" s="3"/>
    </row>
    <row r="231" spans="1:12" s="2" customFormat="1" ht="15" x14ac:dyDescent="0.2">
      <c r="A231" s="5" t="s">
        <v>879</v>
      </c>
      <c r="B231" s="5" t="str">
        <f>VLOOKUP($A231,[1]Sheet1!$A:$B,2,FALSE)</f>
        <v>GO:0008083GO:0008283GO:0005576GO:0050825GO:0042309GO:0050826</v>
      </c>
      <c r="C231" s="2" t="s">
        <v>2250</v>
      </c>
      <c r="D231" s="3" t="s">
        <v>1836</v>
      </c>
      <c r="E231" s="3" t="s">
        <v>1837</v>
      </c>
      <c r="F231" s="3">
        <v>1.95082</v>
      </c>
      <c r="G231" s="3">
        <v>4.2494300000000003</v>
      </c>
      <c r="H231" s="3">
        <v>1.1231899999999999</v>
      </c>
      <c r="I231" s="3" t="s">
        <v>3230</v>
      </c>
      <c r="J231" s="4"/>
      <c r="K231" s="3"/>
      <c r="L231" s="3"/>
    </row>
    <row r="232" spans="1:12" s="2" customFormat="1" ht="15" x14ac:dyDescent="0.2">
      <c r="A232" s="5" t="s">
        <v>1105</v>
      </c>
      <c r="B232" s="5" t="str">
        <f>VLOOKUP($A232,[1]Sheet1!$A:$B,2,FALSE)</f>
        <v>GO:0005737GO:0004427GO:0000287GO:0006796GO:0004197GO:0006508</v>
      </c>
      <c r="C232" s="2" t="s">
        <v>2358</v>
      </c>
      <c r="D232" s="3" t="s">
        <v>1836</v>
      </c>
      <c r="E232" s="3" t="s">
        <v>1837</v>
      </c>
      <c r="F232" s="3">
        <v>31.058</v>
      </c>
      <c r="G232" s="3">
        <v>67.571799999999996</v>
      </c>
      <c r="H232" s="3">
        <v>1.1214500000000001</v>
      </c>
      <c r="I232" s="3" t="s">
        <v>3270</v>
      </c>
      <c r="J232" s="4"/>
      <c r="K232" s="3"/>
      <c r="L232" s="3"/>
    </row>
    <row r="233" spans="1:12" s="2" customFormat="1" ht="15" x14ac:dyDescent="0.2">
      <c r="A233" s="5" t="s">
        <v>1063</v>
      </c>
      <c r="B233" s="5" t="str">
        <f>VLOOKUP($A233,[1]Sheet1!$A:$B,2,FALSE)</f>
        <v>GO:0006508GO:0004252</v>
      </c>
      <c r="C233" s="2" t="s">
        <v>2339</v>
      </c>
      <c r="D233" s="3" t="s">
        <v>1836</v>
      </c>
      <c r="E233" s="3" t="s">
        <v>1837</v>
      </c>
      <c r="F233" s="3">
        <v>1.3565700000000001</v>
      </c>
      <c r="G233" s="3">
        <v>2.9403000000000001</v>
      </c>
      <c r="H233" s="3">
        <v>1.1160000000000001</v>
      </c>
      <c r="I233" s="3" t="s">
        <v>3113</v>
      </c>
      <c r="J233" s="4"/>
      <c r="K233" s="3"/>
      <c r="L233" s="3"/>
    </row>
    <row r="234" spans="1:12" s="2" customFormat="1" ht="15" x14ac:dyDescent="0.2">
      <c r="A234" s="5" t="s">
        <v>167</v>
      </c>
      <c r="B234" s="5" t="str">
        <f>VLOOKUP($A234,[1]Sheet1!$A:$B,2,FALSE)</f>
        <v>GO:0006508GO:0043086GO:0042802GO:0004252</v>
      </c>
      <c r="C234" s="2" t="s">
        <v>1924</v>
      </c>
      <c r="D234" s="3" t="s">
        <v>1836</v>
      </c>
      <c r="E234" s="3" t="s">
        <v>1837</v>
      </c>
      <c r="F234" s="3">
        <v>1.0370299999999999</v>
      </c>
      <c r="G234" s="3">
        <v>2.24438</v>
      </c>
      <c r="H234" s="3">
        <v>1.1138600000000001</v>
      </c>
      <c r="I234" s="3" t="s">
        <v>3067</v>
      </c>
      <c r="J234" s="3"/>
      <c r="K234" s="3"/>
      <c r="L234" s="3"/>
    </row>
    <row r="235" spans="1:12" s="2" customFormat="1" ht="15" x14ac:dyDescent="0.2">
      <c r="A235" s="5" t="s">
        <v>626</v>
      </c>
      <c r="B235" s="5" t="str">
        <f>VLOOKUP($A235,[1]Sheet1!$A:$B,2,FALSE)</f>
        <v>GO:0050825GO:0042309GO:0050826</v>
      </c>
      <c r="C235" s="2" t="s">
        <v>2135</v>
      </c>
      <c r="D235" s="3" t="s">
        <v>1836</v>
      </c>
      <c r="E235" s="3" t="s">
        <v>1837</v>
      </c>
      <c r="F235" s="3">
        <v>1.58311</v>
      </c>
      <c r="G235" s="3">
        <v>3.4241999999999999</v>
      </c>
      <c r="H235" s="3">
        <v>1.113</v>
      </c>
      <c r="I235" s="3" t="s">
        <v>3030</v>
      </c>
      <c r="J235" s="4"/>
      <c r="K235" s="3"/>
      <c r="L235" s="3"/>
    </row>
    <row r="236" spans="1:12" s="2" customFormat="1" ht="15" x14ac:dyDescent="0.2">
      <c r="A236" s="5" t="s">
        <v>951</v>
      </c>
      <c r="B236" s="5" t="str">
        <f>VLOOKUP($A236,[1]Sheet1!$A:$B,2,FALSE)</f>
        <v>GO:0003824GO:0016020</v>
      </c>
      <c r="C236" s="2" t="s">
        <v>1847</v>
      </c>
      <c r="D236" s="3" t="s">
        <v>1836</v>
      </c>
      <c r="E236" s="3" t="s">
        <v>1837</v>
      </c>
      <c r="F236" s="3">
        <v>27.053000000000001</v>
      </c>
      <c r="G236" s="3">
        <v>58.483199999999997</v>
      </c>
      <c r="H236" s="3">
        <v>1.1122300000000001</v>
      </c>
      <c r="I236" s="3" t="s">
        <v>3245</v>
      </c>
      <c r="J236" s="3"/>
      <c r="K236" s="3"/>
      <c r="L236" s="3"/>
    </row>
    <row r="237" spans="1:12" s="2" customFormat="1" ht="15" x14ac:dyDescent="0.2">
      <c r="A237" s="5" t="s">
        <v>569</v>
      </c>
      <c r="B237" s="5" t="str">
        <f>VLOOKUP($A237,[1]Sheet1!$A:$B,2,FALSE)</f>
        <v>GO:0046983GO:0008171</v>
      </c>
      <c r="C237" s="2" t="s">
        <v>1858</v>
      </c>
      <c r="D237" s="3" t="s">
        <v>1836</v>
      </c>
      <c r="E237" s="3" t="s">
        <v>1837</v>
      </c>
      <c r="F237" s="3">
        <v>0.45652500000000001</v>
      </c>
      <c r="G237" s="3">
        <v>0.98660599999999998</v>
      </c>
      <c r="H237" s="3">
        <v>1.11178</v>
      </c>
      <c r="I237" s="3" t="s">
        <v>3033</v>
      </c>
      <c r="J237" s="4"/>
      <c r="K237" s="3"/>
      <c r="L237" s="3"/>
    </row>
    <row r="238" spans="1:12" s="2" customFormat="1" ht="15" x14ac:dyDescent="0.2">
      <c r="A238" s="5" t="s">
        <v>947</v>
      </c>
      <c r="B238" s="5" t="e">
        <f>VLOOKUP($A238,[1]Sheet1!$A:$B,2,FALSE)</f>
        <v>#N/A</v>
      </c>
      <c r="C238" s="2" t="s">
        <v>3015</v>
      </c>
      <c r="D238" s="3" t="s">
        <v>1836</v>
      </c>
      <c r="E238" s="3" t="s">
        <v>1837</v>
      </c>
      <c r="F238" s="3">
        <v>3.89195</v>
      </c>
      <c r="G238" s="3">
        <v>8.3810099999999998</v>
      </c>
      <c r="H238" s="3">
        <v>1.10663</v>
      </c>
      <c r="I238" s="3" t="s">
        <v>3015</v>
      </c>
      <c r="J238" s="4"/>
      <c r="K238" s="3"/>
      <c r="L238" s="3"/>
    </row>
    <row r="239" spans="1:12" s="2" customFormat="1" ht="15" x14ac:dyDescent="0.2">
      <c r="A239" s="5" t="s">
        <v>46</v>
      </c>
      <c r="B239" s="5" t="e">
        <f>VLOOKUP($A239,[1]Sheet1!$A:$B,2,FALSE)</f>
        <v>#N/A</v>
      </c>
      <c r="C239" s="2" t="s">
        <v>1864</v>
      </c>
      <c r="D239" s="3" t="s">
        <v>1836</v>
      </c>
      <c r="E239" s="3" t="s">
        <v>1837</v>
      </c>
      <c r="F239" s="3">
        <v>0.63086699999999996</v>
      </c>
      <c r="G239" s="3">
        <v>1.3561799999999999</v>
      </c>
      <c r="H239" s="3">
        <v>1.1041399999999999</v>
      </c>
      <c r="I239" s="3" t="s">
        <v>3015</v>
      </c>
      <c r="J239" s="3"/>
      <c r="K239" s="3"/>
      <c r="L239" s="3"/>
    </row>
    <row r="240" spans="1:12" s="2" customFormat="1" ht="15" x14ac:dyDescent="0.2">
      <c r="A240" s="5" t="s">
        <v>511</v>
      </c>
      <c r="B240" s="5" t="str">
        <f>VLOOKUP($A240,[1]Sheet1!$A:$B,2,FALSE)</f>
        <v>GO:0015976GO:0004089GO:0008270</v>
      </c>
      <c r="C240" s="2" t="s">
        <v>2084</v>
      </c>
      <c r="D240" s="3" t="s">
        <v>1836</v>
      </c>
      <c r="E240" s="3" t="s">
        <v>1837</v>
      </c>
      <c r="F240" s="3">
        <v>714.84199999999998</v>
      </c>
      <c r="G240" s="3">
        <v>1536.66</v>
      </c>
      <c r="H240" s="3">
        <v>1.1041099999999999</v>
      </c>
      <c r="I240" s="3" t="s">
        <v>3151</v>
      </c>
      <c r="J240" s="3"/>
      <c r="K240" s="3"/>
      <c r="L240" s="3"/>
    </row>
    <row r="241" spans="1:12" s="2" customFormat="1" ht="15" x14ac:dyDescent="0.2">
      <c r="A241" s="5" t="s">
        <v>140</v>
      </c>
      <c r="B241" s="5" t="str">
        <f>VLOOKUP($A241,[1]Sheet1!$A:$B,2,FALSE)</f>
        <v>GO:0016747</v>
      </c>
      <c r="C241" s="2" t="s">
        <v>1908</v>
      </c>
      <c r="D241" s="3" t="s">
        <v>1836</v>
      </c>
      <c r="E241" s="3" t="s">
        <v>1837</v>
      </c>
      <c r="F241" s="3">
        <v>14.688000000000001</v>
      </c>
      <c r="G241" s="3">
        <v>31.571300000000001</v>
      </c>
      <c r="H241" s="3">
        <v>1.1039699999999999</v>
      </c>
      <c r="I241" s="3" t="s">
        <v>3058</v>
      </c>
      <c r="J241" s="3"/>
      <c r="K241" s="3"/>
      <c r="L241" s="3"/>
    </row>
    <row r="242" spans="1:12" s="2" customFormat="1" ht="15" x14ac:dyDescent="0.2">
      <c r="A242" s="5" t="s">
        <v>710</v>
      </c>
      <c r="B242" s="5" t="e">
        <f>VLOOKUP($A242,[1]Sheet1!$A:$B,2,FALSE)</f>
        <v>#N/A</v>
      </c>
      <c r="C242" s="2" t="s">
        <v>1847</v>
      </c>
      <c r="D242" s="3" t="s">
        <v>1836</v>
      </c>
      <c r="E242" s="3" t="s">
        <v>1837</v>
      </c>
      <c r="F242" s="3">
        <v>2.2034600000000002</v>
      </c>
      <c r="G242" s="3">
        <v>4.7262000000000004</v>
      </c>
      <c r="H242" s="3">
        <v>1.1009100000000001</v>
      </c>
      <c r="I242" s="3" t="s">
        <v>3015</v>
      </c>
      <c r="J242" s="4"/>
      <c r="K242" s="3"/>
      <c r="L242" s="3"/>
    </row>
    <row r="243" spans="1:12" s="2" customFormat="1" ht="15" x14ac:dyDescent="0.2">
      <c r="A243" s="5" t="s">
        <v>491</v>
      </c>
      <c r="B243" s="5" t="e">
        <f>VLOOKUP($A243,[1]Sheet1!$A:$B,2,FALSE)</f>
        <v>#N/A</v>
      </c>
      <c r="C243" s="2" t="s">
        <v>2074</v>
      </c>
      <c r="D243" s="3" t="s">
        <v>1836</v>
      </c>
      <c r="E243" s="3" t="s">
        <v>1837</v>
      </c>
      <c r="F243" s="3">
        <v>0.51229999999999998</v>
      </c>
      <c r="G243" s="3">
        <v>1.09744</v>
      </c>
      <c r="H243" s="3">
        <v>1.0990899999999999</v>
      </c>
      <c r="I243" s="3" t="s">
        <v>3015</v>
      </c>
      <c r="J243" s="3"/>
      <c r="K243" s="3"/>
      <c r="L243" s="3"/>
    </row>
    <row r="244" spans="1:12" s="2" customFormat="1" ht="15" x14ac:dyDescent="0.2">
      <c r="A244" s="5" t="s">
        <v>1092</v>
      </c>
      <c r="B244" s="5" t="e">
        <f>VLOOKUP($A244,[1]Sheet1!$A:$B,2,FALSE)</f>
        <v>#N/A</v>
      </c>
      <c r="C244" s="2" t="s">
        <v>3015</v>
      </c>
      <c r="D244" s="3" t="s">
        <v>1836</v>
      </c>
      <c r="E244" s="3" t="s">
        <v>1837</v>
      </c>
      <c r="F244" s="3">
        <v>2.4702199999999999</v>
      </c>
      <c r="G244" s="3">
        <v>5.2844100000000003</v>
      </c>
      <c r="H244" s="3">
        <v>1.0971</v>
      </c>
      <c r="I244" s="3" t="s">
        <v>3015</v>
      </c>
      <c r="J244" s="4"/>
      <c r="K244" s="3"/>
      <c r="L244" s="3"/>
    </row>
    <row r="245" spans="1:12" s="2" customFormat="1" ht="15" x14ac:dyDescent="0.2">
      <c r="A245" s="5" t="s">
        <v>300</v>
      </c>
      <c r="B245" s="5" t="e">
        <f>VLOOKUP($A245,[1]Sheet1!$A:$B,2,FALSE)</f>
        <v>#N/A</v>
      </c>
      <c r="C245" s="2" t="s">
        <v>1982</v>
      </c>
      <c r="D245" s="3" t="s">
        <v>1836</v>
      </c>
      <c r="E245" s="3" t="s">
        <v>1837</v>
      </c>
      <c r="F245" s="3">
        <v>2.54827</v>
      </c>
      <c r="G245" s="3">
        <v>5.4491100000000001</v>
      </c>
      <c r="H245" s="3">
        <v>1.0965</v>
      </c>
      <c r="I245" s="3" t="s">
        <v>3015</v>
      </c>
      <c r="J245" s="4"/>
      <c r="K245" s="3"/>
      <c r="L245" s="3"/>
    </row>
    <row r="246" spans="1:12" s="2" customFormat="1" ht="15" x14ac:dyDescent="0.2">
      <c r="A246" s="5" t="s">
        <v>535</v>
      </c>
      <c r="B246" s="5" t="str">
        <f>VLOOKUP($A246,[1]Sheet1!$A:$B,2,FALSE)</f>
        <v>GO:0016758GO:0008152</v>
      </c>
      <c r="C246" s="2" t="s">
        <v>1847</v>
      </c>
      <c r="D246" s="3" t="s">
        <v>1836</v>
      </c>
      <c r="E246" s="3" t="s">
        <v>1837</v>
      </c>
      <c r="F246" s="3">
        <v>0.89832699999999999</v>
      </c>
      <c r="G246" s="3">
        <v>1.91737</v>
      </c>
      <c r="H246" s="3">
        <v>1.0938099999999999</v>
      </c>
      <c r="I246" s="3" t="s">
        <v>3100</v>
      </c>
      <c r="J246" s="4"/>
      <c r="K246" s="3"/>
      <c r="L246" s="3"/>
    </row>
    <row r="247" spans="1:12" s="2" customFormat="1" ht="15" x14ac:dyDescent="0.2">
      <c r="A247" s="5" t="s">
        <v>337</v>
      </c>
      <c r="B247" s="5" t="str">
        <f>VLOOKUP($A247,[1]Sheet1!$A:$B,2,FALSE)</f>
        <v>GO:0005737GO:0004812GO:0005524GO:0006418</v>
      </c>
      <c r="C247" s="2" t="s">
        <v>2003</v>
      </c>
      <c r="D247" s="3" t="s">
        <v>1836</v>
      </c>
      <c r="E247" s="3" t="s">
        <v>1837</v>
      </c>
      <c r="F247" s="3">
        <v>0.83150299999999999</v>
      </c>
      <c r="G247" s="3">
        <v>1.7698199999999999</v>
      </c>
      <c r="H247" s="3">
        <v>1.0898099999999999</v>
      </c>
      <c r="I247" s="3" t="s">
        <v>3120</v>
      </c>
      <c r="J247" s="3"/>
      <c r="K247" s="3"/>
      <c r="L247" s="3"/>
    </row>
    <row r="248" spans="1:12" s="2" customFormat="1" ht="15" x14ac:dyDescent="0.2">
      <c r="A248" s="5" t="s">
        <v>1011</v>
      </c>
      <c r="B248" s="5" t="str">
        <f>VLOOKUP($A248,[1]Sheet1!$A:$B,2,FALSE)</f>
        <v>GO:0004806GO:0006629</v>
      </c>
      <c r="C248" s="2" t="s">
        <v>2316</v>
      </c>
      <c r="D248" s="3" t="s">
        <v>1836</v>
      </c>
      <c r="E248" s="3" t="s">
        <v>1837</v>
      </c>
      <c r="F248" s="3">
        <v>7.4150499999999999</v>
      </c>
      <c r="G248" s="3">
        <v>15.7661</v>
      </c>
      <c r="H248" s="3">
        <v>1.0883</v>
      </c>
      <c r="I248" s="3" t="s">
        <v>3256</v>
      </c>
      <c r="J248" s="4"/>
      <c r="K248" s="3"/>
      <c r="L248" s="3"/>
    </row>
    <row r="249" spans="1:12" s="2" customFormat="1" ht="15" x14ac:dyDescent="0.2">
      <c r="A249" s="5" t="s">
        <v>212</v>
      </c>
      <c r="B249" s="5" t="e">
        <f>VLOOKUP($A249,[1]Sheet1!$A:$B,2,FALSE)</f>
        <v>#N/A</v>
      </c>
      <c r="C249" s="2" t="s">
        <v>1944</v>
      </c>
      <c r="D249" s="3" t="s">
        <v>1836</v>
      </c>
      <c r="E249" s="3" t="s">
        <v>1837</v>
      </c>
      <c r="F249" s="3">
        <v>964.51700000000005</v>
      </c>
      <c r="G249" s="3">
        <v>2042.64</v>
      </c>
      <c r="H249" s="3">
        <v>1.08256</v>
      </c>
      <c r="I249" s="3" t="s">
        <v>3015</v>
      </c>
      <c r="J249" s="4"/>
      <c r="K249" s="3"/>
      <c r="L249" s="3"/>
    </row>
    <row r="250" spans="1:12" s="2" customFormat="1" ht="15" x14ac:dyDescent="0.2">
      <c r="A250" s="5" t="s">
        <v>76</v>
      </c>
      <c r="B250" s="5" t="e">
        <f>VLOOKUP($A250,[1]Sheet1!$A:$B,2,FALSE)</f>
        <v>#N/A</v>
      </c>
      <c r="C250" s="2" t="s">
        <v>1847</v>
      </c>
      <c r="D250" s="3" t="s">
        <v>1836</v>
      </c>
      <c r="E250" s="3" t="s">
        <v>1837</v>
      </c>
      <c r="F250" s="3">
        <v>104.093</v>
      </c>
      <c r="G250" s="3">
        <v>219.78299999999999</v>
      </c>
      <c r="H250" s="3">
        <v>1.0782099999999999</v>
      </c>
      <c r="I250" s="3" t="s">
        <v>3015</v>
      </c>
      <c r="J250" s="4"/>
      <c r="K250" s="3"/>
      <c r="L250" s="3"/>
    </row>
    <row r="251" spans="1:12" s="2" customFormat="1" ht="15" x14ac:dyDescent="0.2">
      <c r="A251" s="5" t="s">
        <v>466</v>
      </c>
      <c r="B251" s="5" t="e">
        <f>VLOOKUP($A251,[1]Sheet1!$A:$B,2,FALSE)</f>
        <v>#N/A</v>
      </c>
      <c r="C251" s="2" t="s">
        <v>2063</v>
      </c>
      <c r="D251" s="3" t="s">
        <v>1836</v>
      </c>
      <c r="E251" s="3" t="s">
        <v>1837</v>
      </c>
      <c r="F251" s="3">
        <v>7.7536300000000002</v>
      </c>
      <c r="G251" s="3">
        <v>16.366399999999999</v>
      </c>
      <c r="H251" s="3">
        <v>1.0778000000000001</v>
      </c>
      <c r="I251" s="3" t="s">
        <v>3015</v>
      </c>
      <c r="J251" s="4"/>
      <c r="K251" s="3"/>
      <c r="L251" s="3"/>
    </row>
    <row r="252" spans="1:12" s="2" customFormat="1" ht="15" x14ac:dyDescent="0.2">
      <c r="A252" s="5" t="s">
        <v>146</v>
      </c>
      <c r="B252" s="5" t="str">
        <f>VLOOKUP($A252,[1]Sheet1!$A:$B,2,FALSE)</f>
        <v>GO:0015105GO:0015746GO:0016021GO:0015137</v>
      </c>
      <c r="C252" s="2" t="s">
        <v>1911</v>
      </c>
      <c r="D252" s="3" t="s">
        <v>1836</v>
      </c>
      <c r="E252" s="3" t="s">
        <v>1837</v>
      </c>
      <c r="F252" s="3">
        <v>6.4335599999999999</v>
      </c>
      <c r="G252" s="3">
        <v>13.573600000000001</v>
      </c>
      <c r="H252" s="3">
        <v>1.0771200000000001</v>
      </c>
      <c r="I252" s="3" t="s">
        <v>3060</v>
      </c>
      <c r="J252" s="4"/>
      <c r="K252" s="3"/>
      <c r="L252" s="3"/>
    </row>
    <row r="253" spans="1:12" s="2" customFormat="1" ht="15" x14ac:dyDescent="0.2">
      <c r="A253" s="5" t="s">
        <v>570</v>
      </c>
      <c r="B253" s="5" t="str">
        <f>VLOOKUP($A253,[1]Sheet1!$A:$B,2,FALSE)</f>
        <v>GO:0046983GO:0008171</v>
      </c>
      <c r="C253" s="2" t="s">
        <v>1858</v>
      </c>
      <c r="D253" s="3" t="s">
        <v>1836</v>
      </c>
      <c r="E253" s="3" t="s">
        <v>1837</v>
      </c>
      <c r="F253" s="3">
        <v>0.94239200000000001</v>
      </c>
      <c r="G253" s="3">
        <v>1.98386</v>
      </c>
      <c r="H253" s="3">
        <v>1.0739099999999999</v>
      </c>
      <c r="I253" s="3" t="s">
        <v>3033</v>
      </c>
      <c r="J253" s="4"/>
      <c r="K253" s="3"/>
      <c r="L253" s="3"/>
    </row>
    <row r="254" spans="1:12" s="2" customFormat="1" ht="15" x14ac:dyDescent="0.2">
      <c r="A254" s="5" t="s">
        <v>629</v>
      </c>
      <c r="B254" s="5" t="e">
        <f>VLOOKUP($A254,[1]Sheet1!$A:$B,2,FALSE)</f>
        <v>#N/A</v>
      </c>
      <c r="C254" s="2" t="s">
        <v>2136</v>
      </c>
      <c r="D254" s="3" t="s">
        <v>1836</v>
      </c>
      <c r="E254" s="3" t="s">
        <v>1837</v>
      </c>
      <c r="F254" s="3">
        <v>0.43507899999999999</v>
      </c>
      <c r="G254" s="3">
        <v>0.91546899999999998</v>
      </c>
      <c r="H254" s="3">
        <v>1.0732299999999999</v>
      </c>
      <c r="I254" s="3" t="s">
        <v>3015</v>
      </c>
      <c r="J254" s="4"/>
      <c r="K254" s="3"/>
      <c r="L254" s="3"/>
    </row>
    <row r="255" spans="1:12" s="2" customFormat="1" ht="15" x14ac:dyDescent="0.2">
      <c r="A255" s="5" t="s">
        <v>25</v>
      </c>
      <c r="B255" s="5" t="str">
        <f>VLOOKUP($A255,[1]Sheet1!$A:$B,2,FALSE)</f>
        <v>GO:0006952GO:0009607</v>
      </c>
      <c r="C255" s="2" t="s">
        <v>1853</v>
      </c>
      <c r="D255" s="3" t="s">
        <v>1836</v>
      </c>
      <c r="E255" s="3" t="s">
        <v>1837</v>
      </c>
      <c r="F255" s="3">
        <v>13.486599999999999</v>
      </c>
      <c r="G255" s="3">
        <v>28.3658</v>
      </c>
      <c r="H255" s="3">
        <v>1.07263</v>
      </c>
      <c r="I255" s="3" t="s">
        <v>3029</v>
      </c>
      <c r="J255" s="4"/>
      <c r="K255" s="3"/>
      <c r="L255" s="3"/>
    </row>
    <row r="256" spans="1:12" s="2" customFormat="1" ht="15" x14ac:dyDescent="0.2">
      <c r="A256" s="5" t="s">
        <v>57</v>
      </c>
      <c r="B256" s="5" t="str">
        <f>VLOOKUP($A256,[1]Sheet1!$A:$B,2,FALSE)</f>
        <v>GO:0004857GO:0030599</v>
      </c>
      <c r="C256" s="2" t="s">
        <v>3015</v>
      </c>
      <c r="D256" s="3" t="s">
        <v>1836</v>
      </c>
      <c r="E256" s="3" t="s">
        <v>1837</v>
      </c>
      <c r="F256" s="3">
        <v>222.816</v>
      </c>
      <c r="G256" s="3">
        <v>468.31900000000002</v>
      </c>
      <c r="H256" s="3">
        <v>1.0716399999999999</v>
      </c>
      <c r="I256" s="3" t="s">
        <v>3041</v>
      </c>
      <c r="J256" s="4"/>
      <c r="K256" s="3"/>
      <c r="L256" s="3"/>
    </row>
    <row r="257" spans="1:12" s="2" customFormat="1" ht="15" x14ac:dyDescent="0.2">
      <c r="A257" s="5" t="s">
        <v>448</v>
      </c>
      <c r="B257" s="5" t="str">
        <f>VLOOKUP($A257,[1]Sheet1!$A:$B,2,FALSE)</f>
        <v>GO:0004497GO:0020037GO:0009055</v>
      </c>
      <c r="C257" s="2" t="s">
        <v>2052</v>
      </c>
      <c r="D257" s="3" t="s">
        <v>1836</v>
      </c>
      <c r="E257" s="3" t="s">
        <v>1837</v>
      </c>
      <c r="F257" s="3">
        <v>8.6323699999999999</v>
      </c>
      <c r="G257" s="3">
        <v>18.130500000000001</v>
      </c>
      <c r="H257" s="3">
        <v>1.0705899999999999</v>
      </c>
      <c r="I257" s="3" t="s">
        <v>3045</v>
      </c>
      <c r="J257" s="4"/>
      <c r="K257" s="3"/>
      <c r="L257" s="3"/>
    </row>
    <row r="258" spans="1:12" s="2" customFormat="1" ht="15" x14ac:dyDescent="0.2">
      <c r="A258" s="5" t="s">
        <v>740</v>
      </c>
      <c r="B258" s="5" t="str">
        <f>VLOOKUP($A258,[1]Sheet1!$A:$B,2,FALSE)</f>
        <v>GO:0016020</v>
      </c>
      <c r="C258" s="2" t="s">
        <v>2001</v>
      </c>
      <c r="D258" s="3" t="s">
        <v>1836</v>
      </c>
      <c r="E258" s="3" t="s">
        <v>1837</v>
      </c>
      <c r="F258" s="3">
        <v>21.859400000000001</v>
      </c>
      <c r="G258" s="3">
        <v>45.911200000000001</v>
      </c>
      <c r="H258" s="3">
        <v>1.0705899999999999</v>
      </c>
      <c r="I258" s="3" t="s">
        <v>3200</v>
      </c>
      <c r="J258" s="3"/>
      <c r="K258" s="3"/>
      <c r="L258" s="3"/>
    </row>
    <row r="259" spans="1:12" s="2" customFormat="1" ht="15" x14ac:dyDescent="0.2">
      <c r="A259" s="5" t="s">
        <v>1005</v>
      </c>
      <c r="B259" s="5" t="str">
        <f>VLOOKUP($A259,[1]Sheet1!$A:$B,2,FALSE)</f>
        <v>GO:0006468GO:0004674GO:0005529GO:0050825GO:0004713GO:0042309GO:0050826GO:0005524</v>
      </c>
      <c r="C259" s="2" t="s">
        <v>2313</v>
      </c>
      <c r="D259" s="3" t="s">
        <v>1836</v>
      </c>
      <c r="E259" s="3" t="s">
        <v>1837</v>
      </c>
      <c r="F259" s="3">
        <v>0.75341000000000002</v>
      </c>
      <c r="G259" s="3">
        <v>1.5782700000000001</v>
      </c>
      <c r="H259" s="3">
        <v>1.06684</v>
      </c>
      <c r="I259" s="3" t="s">
        <v>3255</v>
      </c>
      <c r="J259" s="4"/>
      <c r="K259" s="3"/>
      <c r="L259" s="3"/>
    </row>
    <row r="260" spans="1:12" s="2" customFormat="1" ht="15" x14ac:dyDescent="0.2">
      <c r="A260" s="5" t="s">
        <v>869</v>
      </c>
      <c r="B260" s="5" t="str">
        <f>VLOOKUP($A260,[1]Sheet1!$A:$B,2,FALSE)</f>
        <v>GO:0006813GO:0006885GO:0008076GO:0006814GO:0005249GO:0015385</v>
      </c>
      <c r="C260" s="2" t="s">
        <v>2245</v>
      </c>
      <c r="D260" s="3" t="s">
        <v>1836</v>
      </c>
      <c r="E260" s="3" t="s">
        <v>1837</v>
      </c>
      <c r="F260" s="3">
        <v>9.0985600000000009</v>
      </c>
      <c r="G260" s="3">
        <v>18.994599999999998</v>
      </c>
      <c r="H260" s="3">
        <v>1.0618799999999999</v>
      </c>
      <c r="I260" s="3" t="s">
        <v>3228</v>
      </c>
      <c r="J260" s="4"/>
      <c r="K260" s="3"/>
      <c r="L260" s="3"/>
    </row>
    <row r="261" spans="1:12" s="2" customFormat="1" ht="15" x14ac:dyDescent="0.2">
      <c r="A261" s="5" t="s">
        <v>563</v>
      </c>
      <c r="B261" s="5" t="e">
        <f>VLOOKUP($A261,[1]Sheet1!$A:$B,2,FALSE)</f>
        <v>#N/A</v>
      </c>
      <c r="C261" s="2" t="s">
        <v>2108</v>
      </c>
      <c r="D261" s="3" t="s">
        <v>1836</v>
      </c>
      <c r="E261" s="3" t="s">
        <v>1837</v>
      </c>
      <c r="F261" s="3">
        <v>2.34761</v>
      </c>
      <c r="G261" s="3">
        <v>4.8894399999999996</v>
      </c>
      <c r="H261" s="3">
        <v>1.0584800000000001</v>
      </c>
      <c r="I261" s="3" t="s">
        <v>3015</v>
      </c>
      <c r="J261" s="3"/>
      <c r="K261" s="3"/>
      <c r="L261" s="3"/>
    </row>
    <row r="262" spans="1:12" s="2" customFormat="1" ht="15" x14ac:dyDescent="0.2">
      <c r="A262" s="5" t="s">
        <v>652</v>
      </c>
      <c r="B262" s="5" t="str">
        <f>VLOOKUP($A262,[1]Sheet1!$A:$B,2,FALSE)</f>
        <v>GO:0006633GO:0005506GO:0005783GO:0055114GO:0016491</v>
      </c>
      <c r="C262" s="2" t="s">
        <v>2148</v>
      </c>
      <c r="D262" s="3" t="s">
        <v>1836</v>
      </c>
      <c r="E262" s="3" t="s">
        <v>1837</v>
      </c>
      <c r="F262" s="3">
        <v>30.337499999999999</v>
      </c>
      <c r="G262" s="3">
        <v>63.146000000000001</v>
      </c>
      <c r="H262" s="3">
        <v>1.05759</v>
      </c>
      <c r="I262" s="3" t="s">
        <v>3183</v>
      </c>
      <c r="J262" s="3"/>
      <c r="K262" s="3"/>
      <c r="L262" s="3"/>
    </row>
    <row r="263" spans="1:12" s="2" customFormat="1" ht="15" x14ac:dyDescent="0.2">
      <c r="A263" s="5" t="s">
        <v>326</v>
      </c>
      <c r="B263" s="5" t="e">
        <f>VLOOKUP($A263,[1]Sheet1!$A:$B,2,FALSE)</f>
        <v>#N/A</v>
      </c>
      <c r="C263" s="2" t="s">
        <v>1996</v>
      </c>
      <c r="D263" s="3" t="s">
        <v>1836</v>
      </c>
      <c r="E263" s="3" t="s">
        <v>1837</v>
      </c>
      <c r="F263" s="3">
        <v>5.6394900000000003</v>
      </c>
      <c r="G263" s="3">
        <v>11.7193</v>
      </c>
      <c r="H263" s="3">
        <v>1.05525</v>
      </c>
      <c r="I263" s="3" t="s">
        <v>3015</v>
      </c>
      <c r="J263" s="3"/>
      <c r="K263" s="3"/>
      <c r="L263" s="3"/>
    </row>
    <row r="264" spans="1:12" s="2" customFormat="1" ht="15" x14ac:dyDescent="0.2">
      <c r="A264" s="5" t="s">
        <v>1014</v>
      </c>
      <c r="B264" s="5" t="str">
        <f>VLOOKUP($A264,[1]Sheet1!$A:$B,2,FALSE)</f>
        <v>GO:0005509</v>
      </c>
      <c r="C264" s="2" t="s">
        <v>2318</v>
      </c>
      <c r="D264" s="3" t="s">
        <v>1836</v>
      </c>
      <c r="E264" s="3" t="s">
        <v>1837</v>
      </c>
      <c r="F264" s="3">
        <v>3.7312500000000002</v>
      </c>
      <c r="G264" s="3">
        <v>7.7282200000000003</v>
      </c>
      <c r="H264" s="3">
        <v>1.0504800000000001</v>
      </c>
      <c r="I264" s="3" t="s">
        <v>3258</v>
      </c>
      <c r="J264" s="3"/>
      <c r="K264" s="3"/>
      <c r="L264" s="3"/>
    </row>
    <row r="265" spans="1:12" s="2" customFormat="1" ht="15" x14ac:dyDescent="0.2">
      <c r="A265" s="5" t="s">
        <v>610</v>
      </c>
      <c r="B265" s="5" t="e">
        <f>VLOOKUP($A265,[1]Sheet1!$A:$B,2,FALSE)</f>
        <v>#N/A</v>
      </c>
      <c r="C265" s="2" t="s">
        <v>2129</v>
      </c>
      <c r="D265" s="3" t="s">
        <v>1836</v>
      </c>
      <c r="E265" s="3" t="s">
        <v>1837</v>
      </c>
      <c r="F265" s="3">
        <v>6.4315300000000004</v>
      </c>
      <c r="G265" s="3">
        <v>13.305099999999999</v>
      </c>
      <c r="H265" s="3">
        <v>1.0487500000000001</v>
      </c>
      <c r="I265" s="3" t="s">
        <v>3015</v>
      </c>
      <c r="J265" s="4"/>
      <c r="K265" s="3"/>
      <c r="L265" s="3"/>
    </row>
    <row r="266" spans="1:12" s="2" customFormat="1" ht="15" x14ac:dyDescent="0.2">
      <c r="A266" s="5" t="s">
        <v>920</v>
      </c>
      <c r="B266" s="5" t="str">
        <f>VLOOKUP($A266,[1]Sheet1!$A:$B,2,FALSE)</f>
        <v>GO:0003824GO:0009058</v>
      </c>
      <c r="C266" s="2" t="s">
        <v>2271</v>
      </c>
      <c r="D266" s="3" t="s">
        <v>1836</v>
      </c>
      <c r="E266" s="3" t="s">
        <v>1837</v>
      </c>
      <c r="F266" s="3">
        <v>11.293200000000001</v>
      </c>
      <c r="G266" s="3">
        <v>23.361499999999999</v>
      </c>
      <c r="H266" s="3">
        <v>1.0486800000000001</v>
      </c>
      <c r="I266" s="3" t="s">
        <v>3237</v>
      </c>
      <c r="J266" s="4"/>
      <c r="K266" s="3"/>
      <c r="L266" s="3"/>
    </row>
    <row r="267" spans="1:12" s="2" customFormat="1" ht="15" x14ac:dyDescent="0.2">
      <c r="A267" s="5" t="s">
        <v>202</v>
      </c>
      <c r="B267" s="5" t="str">
        <f>VLOOKUP($A267,[1]Sheet1!$A:$B,2,FALSE)</f>
        <v>GO:0016810</v>
      </c>
      <c r="C267" s="2" t="s">
        <v>1939</v>
      </c>
      <c r="D267" s="3" t="s">
        <v>1836</v>
      </c>
      <c r="E267" s="3" t="s">
        <v>1837</v>
      </c>
      <c r="F267" s="3">
        <v>0.92893899999999996</v>
      </c>
      <c r="G267" s="3">
        <v>1.92018</v>
      </c>
      <c r="H267" s="3">
        <v>1.04758</v>
      </c>
      <c r="I267" s="3" t="s">
        <v>3082</v>
      </c>
      <c r="J267" s="4"/>
      <c r="K267" s="3"/>
      <c r="L267" s="3"/>
    </row>
    <row r="268" spans="1:12" s="2" customFormat="1" ht="15" x14ac:dyDescent="0.2">
      <c r="A268" s="5" t="s">
        <v>938</v>
      </c>
      <c r="B268" s="5" t="e">
        <f>VLOOKUP($A268,[1]Sheet1!$A:$B,2,FALSE)</f>
        <v>#N/A</v>
      </c>
      <c r="C268" s="2" t="s">
        <v>2281</v>
      </c>
      <c r="D268" s="3" t="s">
        <v>1836</v>
      </c>
      <c r="E268" s="3" t="s">
        <v>1837</v>
      </c>
      <c r="F268" s="3">
        <v>5.0083200000000003</v>
      </c>
      <c r="G268" s="3">
        <v>10.350300000000001</v>
      </c>
      <c r="H268" s="3">
        <v>1.04728</v>
      </c>
      <c r="I268" s="3" t="s">
        <v>3015</v>
      </c>
      <c r="J268" s="4"/>
      <c r="K268" s="3"/>
      <c r="L268" s="3"/>
    </row>
    <row r="269" spans="1:12" s="2" customFormat="1" ht="15" x14ac:dyDescent="0.2">
      <c r="A269" s="5" t="s">
        <v>875</v>
      </c>
      <c r="B269" s="5" t="str">
        <f>VLOOKUP($A269,[1]Sheet1!$A:$B,2,FALSE)</f>
        <v>GO:0005634GO:0006350GO:0030528GO:0005515GO:0003677</v>
      </c>
      <c r="C269" s="2" t="s">
        <v>3015</v>
      </c>
      <c r="D269" s="3" t="s">
        <v>1836</v>
      </c>
      <c r="E269" s="3" t="s">
        <v>1837</v>
      </c>
      <c r="F269" s="3">
        <v>0.46273399999999998</v>
      </c>
      <c r="G269" s="3">
        <v>0.95488300000000004</v>
      </c>
      <c r="H269" s="3">
        <v>1.04514</v>
      </c>
      <c r="I269" s="3" t="s">
        <v>3229</v>
      </c>
      <c r="J269" s="4"/>
      <c r="K269" s="3"/>
      <c r="L269" s="3"/>
    </row>
    <row r="270" spans="1:12" s="2" customFormat="1" ht="15" x14ac:dyDescent="0.2">
      <c r="A270" s="5" t="s">
        <v>751</v>
      </c>
      <c r="B270" s="5" t="e">
        <f>VLOOKUP($A270,[1]Sheet1!$A:$B,2,FALSE)</f>
        <v>#N/A</v>
      </c>
      <c r="C270" s="2" t="s">
        <v>3015</v>
      </c>
      <c r="D270" s="3" t="s">
        <v>1836</v>
      </c>
      <c r="E270" s="3" t="s">
        <v>1837</v>
      </c>
      <c r="F270" s="3">
        <v>3.2742</v>
      </c>
      <c r="G270" s="3">
        <v>6.75474</v>
      </c>
      <c r="H270" s="3">
        <v>1.0447599999999999</v>
      </c>
      <c r="I270" s="3" t="s">
        <v>3015</v>
      </c>
      <c r="J270" s="4"/>
      <c r="K270" s="3"/>
      <c r="L270" s="3"/>
    </row>
    <row r="271" spans="1:12" s="2" customFormat="1" ht="15" x14ac:dyDescent="0.2">
      <c r="A271" s="5" t="s">
        <v>270</v>
      </c>
      <c r="B271" s="5" t="str">
        <f>VLOOKUP($A271,[1]Sheet1!$A:$B,2,FALSE)</f>
        <v>GO:0050825GO:0042309GO:0050826</v>
      </c>
      <c r="C271" s="2" t="s">
        <v>1847</v>
      </c>
      <c r="D271" s="3" t="s">
        <v>1836</v>
      </c>
      <c r="E271" s="3" t="s">
        <v>1837</v>
      </c>
      <c r="F271" s="3">
        <v>1.2693399999999999</v>
      </c>
      <c r="G271" s="3">
        <v>2.61503</v>
      </c>
      <c r="H271" s="3">
        <v>1.0427500000000001</v>
      </c>
      <c r="I271" s="3" t="s">
        <v>3030</v>
      </c>
      <c r="J271" s="4"/>
      <c r="K271" s="3"/>
      <c r="L271" s="3"/>
    </row>
    <row r="272" spans="1:12" s="2" customFormat="1" ht="15" x14ac:dyDescent="0.2">
      <c r="A272" s="5" t="s">
        <v>893</v>
      </c>
      <c r="B272" s="5" t="str">
        <f>VLOOKUP($A272,[1]Sheet1!$A:$B,2,FALSE)</f>
        <v>GO:0003723</v>
      </c>
      <c r="C272" s="2" t="s">
        <v>2257</v>
      </c>
      <c r="D272" s="3" t="s">
        <v>1836</v>
      </c>
      <c r="E272" s="3" t="s">
        <v>1837</v>
      </c>
      <c r="F272" s="3">
        <v>0.53645200000000004</v>
      </c>
      <c r="G272" s="3">
        <v>1.1041099999999999</v>
      </c>
      <c r="H272" s="3">
        <v>1.0413699999999999</v>
      </c>
      <c r="I272" s="3" t="s">
        <v>3232</v>
      </c>
      <c r="J272" s="4"/>
      <c r="K272" s="3"/>
      <c r="L272" s="3"/>
    </row>
    <row r="273" spans="1:12" s="2" customFormat="1" ht="15" x14ac:dyDescent="0.2">
      <c r="A273" s="5" t="s">
        <v>864</v>
      </c>
      <c r="B273" s="5" t="e">
        <f>VLOOKUP($A273,[1]Sheet1!$A:$B,2,FALSE)</f>
        <v>#N/A</v>
      </c>
      <c r="C273" s="2" t="s">
        <v>2243</v>
      </c>
      <c r="D273" s="3" t="s">
        <v>1836</v>
      </c>
      <c r="E273" s="3" t="s">
        <v>1837</v>
      </c>
      <c r="F273" s="3">
        <v>0.85137499999999999</v>
      </c>
      <c r="G273" s="3">
        <v>1.7514700000000001</v>
      </c>
      <c r="H273" s="3">
        <v>1.0407</v>
      </c>
      <c r="I273" s="3" t="s">
        <v>3015</v>
      </c>
      <c r="J273" s="3"/>
      <c r="K273" s="3"/>
      <c r="L273" s="3"/>
    </row>
    <row r="274" spans="1:12" s="2" customFormat="1" ht="15" x14ac:dyDescent="0.2">
      <c r="A274" s="5" t="s">
        <v>1060</v>
      </c>
      <c r="B274" s="5" t="e">
        <f>VLOOKUP($A274,[1]Sheet1!$A:$B,2,FALSE)</f>
        <v>#N/A</v>
      </c>
      <c r="C274" s="2" t="s">
        <v>2338</v>
      </c>
      <c r="D274" s="3" t="s">
        <v>1836</v>
      </c>
      <c r="E274" s="3" t="s">
        <v>1837</v>
      </c>
      <c r="F274" s="3">
        <v>4.6303799999999997</v>
      </c>
      <c r="G274" s="3">
        <v>9.5002600000000008</v>
      </c>
      <c r="H274" s="3">
        <v>1.03684</v>
      </c>
      <c r="I274" s="3" t="s">
        <v>3015</v>
      </c>
      <c r="J274" s="3"/>
      <c r="K274" s="3"/>
      <c r="L274" s="3"/>
    </row>
    <row r="275" spans="1:12" s="2" customFormat="1" ht="15" x14ac:dyDescent="0.2">
      <c r="A275" s="5" t="s">
        <v>318</v>
      </c>
      <c r="B275" s="5" t="str">
        <f>VLOOKUP($A275,[1]Sheet1!$A:$B,2,FALSE)</f>
        <v>GO:0003700GO:0006355</v>
      </c>
      <c r="C275" s="2" t="s">
        <v>1993</v>
      </c>
      <c r="D275" s="3" t="s">
        <v>1836</v>
      </c>
      <c r="E275" s="3" t="s">
        <v>1837</v>
      </c>
      <c r="F275" s="3">
        <v>1.56128</v>
      </c>
      <c r="G275" s="3">
        <v>3.19055</v>
      </c>
      <c r="H275" s="3">
        <v>1.03108</v>
      </c>
      <c r="I275" s="3" t="s">
        <v>3037</v>
      </c>
      <c r="J275" s="3"/>
      <c r="K275" s="3"/>
      <c r="L275" s="3"/>
    </row>
    <row r="276" spans="1:12" s="2" customFormat="1" ht="15" x14ac:dyDescent="0.2">
      <c r="A276" s="5" t="s">
        <v>334</v>
      </c>
      <c r="B276" s="5" t="e">
        <f>VLOOKUP($A276,[1]Sheet1!$A:$B,2,FALSE)</f>
        <v>#N/A</v>
      </c>
      <c r="C276" s="2" t="s">
        <v>2001</v>
      </c>
      <c r="D276" s="3" t="s">
        <v>1836</v>
      </c>
      <c r="E276" s="3" t="s">
        <v>1837</v>
      </c>
      <c r="F276" s="3">
        <v>1.6221699999999999</v>
      </c>
      <c r="G276" s="3">
        <v>3.3071299999999999</v>
      </c>
      <c r="H276" s="3">
        <v>1.02766</v>
      </c>
      <c r="I276" s="3" t="s">
        <v>3015</v>
      </c>
      <c r="J276" s="3"/>
      <c r="K276" s="3"/>
      <c r="L276" s="3"/>
    </row>
    <row r="277" spans="1:12" s="2" customFormat="1" ht="15" x14ac:dyDescent="0.2">
      <c r="A277" s="5" t="s">
        <v>927</v>
      </c>
      <c r="B277" s="5" t="e">
        <f>VLOOKUP($A277,[1]Sheet1!$A:$B,2,FALSE)</f>
        <v>#N/A</v>
      </c>
      <c r="C277" s="2" t="s">
        <v>2275</v>
      </c>
      <c r="D277" s="3" t="s">
        <v>1836</v>
      </c>
      <c r="E277" s="3" t="s">
        <v>1837</v>
      </c>
      <c r="F277" s="3">
        <v>1.7856099999999999</v>
      </c>
      <c r="G277" s="3">
        <v>3.6374900000000001</v>
      </c>
      <c r="H277" s="3">
        <v>1.0265299999999999</v>
      </c>
      <c r="I277" s="3" t="s">
        <v>3015</v>
      </c>
      <c r="J277" s="4"/>
      <c r="K277" s="3"/>
      <c r="L277" s="3"/>
    </row>
    <row r="278" spans="1:12" s="2" customFormat="1" ht="15" x14ac:dyDescent="0.2">
      <c r="A278" s="5" t="s">
        <v>916</v>
      </c>
      <c r="B278" s="5" t="str">
        <f>VLOOKUP($A278,[1]Sheet1!$A:$B,2,FALSE)</f>
        <v>GO:0003824GO:0008152</v>
      </c>
      <c r="C278" s="2" t="s">
        <v>2269</v>
      </c>
      <c r="D278" s="3" t="s">
        <v>1836</v>
      </c>
      <c r="E278" s="3" t="s">
        <v>1837</v>
      </c>
      <c r="F278" s="3">
        <v>11.9543</v>
      </c>
      <c r="G278" s="3">
        <v>24.328700000000001</v>
      </c>
      <c r="H278" s="3">
        <v>1.0251300000000001</v>
      </c>
      <c r="I278" s="3" t="s">
        <v>3025</v>
      </c>
      <c r="J278" s="4"/>
      <c r="K278" s="3"/>
      <c r="L278" s="3"/>
    </row>
    <row r="279" spans="1:12" s="2" customFormat="1" ht="15" x14ac:dyDescent="0.2">
      <c r="A279" s="5" t="s">
        <v>592</v>
      </c>
      <c r="B279" s="5" t="str">
        <f>VLOOKUP($A279,[1]Sheet1!$A:$B,2,FALSE)</f>
        <v>GO:0005634GO:0000785GO:0003677</v>
      </c>
      <c r="C279" s="2" t="s">
        <v>2122</v>
      </c>
      <c r="D279" s="3" t="s">
        <v>1836</v>
      </c>
      <c r="E279" s="3" t="s">
        <v>1837</v>
      </c>
      <c r="F279" s="3">
        <v>0.52139899999999995</v>
      </c>
      <c r="G279" s="3">
        <v>1.06105</v>
      </c>
      <c r="H279" s="3">
        <v>1.02504</v>
      </c>
      <c r="I279" s="3" t="s">
        <v>3170</v>
      </c>
      <c r="J279" s="4"/>
      <c r="K279" s="3"/>
      <c r="L279" s="3"/>
    </row>
    <row r="280" spans="1:12" s="2" customFormat="1" ht="15" x14ac:dyDescent="0.2">
      <c r="A280" s="5" t="s">
        <v>814</v>
      </c>
      <c r="B280" s="5" t="str">
        <f>VLOOKUP($A280,[1]Sheet1!$A:$B,2,FALSE)</f>
        <v>GO:0046983GO:0008171</v>
      </c>
      <c r="C280" s="2" t="s">
        <v>1858</v>
      </c>
      <c r="D280" s="3" t="s">
        <v>1836</v>
      </c>
      <c r="E280" s="3" t="s">
        <v>1837</v>
      </c>
      <c r="F280" s="3">
        <v>0.741981</v>
      </c>
      <c r="G280" s="3">
        <v>1.5098199999999999</v>
      </c>
      <c r="H280" s="3">
        <v>1.0249200000000001</v>
      </c>
      <c r="I280" s="3" t="s">
        <v>3033</v>
      </c>
      <c r="J280" s="4"/>
      <c r="K280" s="3"/>
      <c r="L280" s="3"/>
    </row>
    <row r="281" spans="1:12" s="2" customFormat="1" ht="15" x14ac:dyDescent="0.2">
      <c r="A281" s="5" t="s">
        <v>114</v>
      </c>
      <c r="B281" s="5" t="str">
        <f>VLOOKUP($A281,[1]Sheet1!$A:$B,2,FALSE)</f>
        <v>GO:0005737GO:0004364GO:0008152</v>
      </c>
      <c r="C281" s="2" t="s">
        <v>1892</v>
      </c>
      <c r="D281" s="3" t="s">
        <v>1836</v>
      </c>
      <c r="E281" s="3" t="s">
        <v>1837</v>
      </c>
      <c r="F281" s="3">
        <v>21.9374</v>
      </c>
      <c r="G281" s="3">
        <v>44.572200000000002</v>
      </c>
      <c r="H281" s="3">
        <v>1.02275</v>
      </c>
      <c r="I281" s="3" t="s">
        <v>3035</v>
      </c>
      <c r="J281" s="3"/>
      <c r="K281" s="3"/>
      <c r="L281" s="3"/>
    </row>
    <row r="282" spans="1:12" s="2" customFormat="1" ht="15" x14ac:dyDescent="0.2">
      <c r="A282" s="5" t="s">
        <v>163</v>
      </c>
      <c r="B282" s="5" t="e">
        <f>VLOOKUP($A282,[1]Sheet1!$A:$B,2,FALSE)</f>
        <v>#N/A</v>
      </c>
      <c r="C282" s="2" t="s">
        <v>1922</v>
      </c>
      <c r="D282" s="3" t="s">
        <v>1836</v>
      </c>
      <c r="E282" s="3" t="s">
        <v>1837</v>
      </c>
      <c r="F282" s="3">
        <v>13.3531</v>
      </c>
      <c r="G282" s="3">
        <v>27.1234</v>
      </c>
      <c r="H282" s="3">
        <v>1.0223599999999999</v>
      </c>
      <c r="I282" s="3" t="s">
        <v>3015</v>
      </c>
      <c r="J282" s="3"/>
      <c r="K282" s="3"/>
      <c r="L282" s="3"/>
    </row>
    <row r="283" spans="1:12" s="2" customFormat="1" ht="15" x14ac:dyDescent="0.2">
      <c r="A283" s="5" t="s">
        <v>528</v>
      </c>
      <c r="B283" s="5" t="e">
        <f>VLOOKUP($A283,[1]Sheet1!$A:$B,2,FALSE)</f>
        <v>#N/A</v>
      </c>
      <c r="C283" s="2" t="s">
        <v>1844</v>
      </c>
      <c r="D283" s="3" t="s">
        <v>1836</v>
      </c>
      <c r="E283" s="3" t="s">
        <v>1837</v>
      </c>
      <c r="F283" s="3">
        <v>14.677199999999999</v>
      </c>
      <c r="G283" s="3">
        <v>29.789000000000001</v>
      </c>
      <c r="H283" s="3">
        <v>1.02121</v>
      </c>
      <c r="I283" s="3" t="s">
        <v>3015</v>
      </c>
      <c r="J283" s="3"/>
      <c r="K283" s="3"/>
      <c r="L283" s="3"/>
    </row>
    <row r="284" spans="1:12" s="2" customFormat="1" ht="15" x14ac:dyDescent="0.2">
      <c r="A284" s="5" t="s">
        <v>833</v>
      </c>
      <c r="B284" s="5" t="e">
        <f>VLOOKUP($A284,[1]Sheet1!$A:$B,2,FALSE)</f>
        <v>#N/A</v>
      </c>
      <c r="C284" s="2" t="s">
        <v>2223</v>
      </c>
      <c r="D284" s="3" t="s">
        <v>1836</v>
      </c>
      <c r="E284" s="3" t="s">
        <v>1837</v>
      </c>
      <c r="F284" s="3">
        <v>0.69544600000000001</v>
      </c>
      <c r="G284" s="3">
        <v>1.41123</v>
      </c>
      <c r="H284" s="3">
        <v>1.02094</v>
      </c>
      <c r="I284" s="3" t="s">
        <v>3015</v>
      </c>
      <c r="J284" s="3"/>
      <c r="K284" s="3"/>
      <c r="L284" s="3"/>
    </row>
    <row r="285" spans="1:12" s="2" customFormat="1" ht="15" x14ac:dyDescent="0.2">
      <c r="A285" s="5" t="s">
        <v>1119</v>
      </c>
      <c r="B285" s="5" t="e">
        <f>VLOOKUP($A285,[1]Sheet1!$A:$B,2,FALSE)</f>
        <v>#N/A</v>
      </c>
      <c r="C285" s="2" t="s">
        <v>3015</v>
      </c>
      <c r="D285" s="3" t="s">
        <v>1836</v>
      </c>
      <c r="E285" s="3" t="s">
        <v>1837</v>
      </c>
      <c r="F285" s="3">
        <v>0.67841700000000005</v>
      </c>
      <c r="G285" s="3">
        <v>1.3751800000000001</v>
      </c>
      <c r="H285" s="3">
        <v>1.01938</v>
      </c>
      <c r="I285" s="3" t="s">
        <v>3015</v>
      </c>
      <c r="J285" s="4"/>
      <c r="K285" s="3"/>
      <c r="L285" s="3"/>
    </row>
    <row r="286" spans="1:12" s="2" customFormat="1" ht="15" x14ac:dyDescent="0.2">
      <c r="A286" s="5" t="s">
        <v>818</v>
      </c>
      <c r="B286" s="5" t="str">
        <f>VLOOKUP($A286,[1]Sheet1!$A:$B,2,FALSE)</f>
        <v>GO:0004437</v>
      </c>
      <c r="C286" s="2" t="s">
        <v>2213</v>
      </c>
      <c r="D286" s="3" t="s">
        <v>1836</v>
      </c>
      <c r="E286" s="3" t="s">
        <v>1837</v>
      </c>
      <c r="F286" s="3">
        <v>0.71716599999999997</v>
      </c>
      <c r="G286" s="3">
        <v>1.4530099999999999</v>
      </c>
      <c r="H286" s="3">
        <v>1.0186599999999999</v>
      </c>
      <c r="I286" s="3" t="s">
        <v>3215</v>
      </c>
      <c r="J286" s="3"/>
      <c r="K286" s="3"/>
      <c r="L286" s="3"/>
    </row>
    <row r="287" spans="1:12" s="2" customFormat="1" ht="15" x14ac:dyDescent="0.2">
      <c r="A287" s="5" t="s">
        <v>41</v>
      </c>
      <c r="B287" s="5" t="e">
        <f>VLOOKUP($A287,[1]Sheet1!$A:$B,2,FALSE)</f>
        <v>#N/A</v>
      </c>
      <c r="C287" s="2" t="s">
        <v>3015</v>
      </c>
      <c r="D287" s="3" t="s">
        <v>1836</v>
      </c>
      <c r="E287" s="3" t="s">
        <v>1837</v>
      </c>
      <c r="F287" s="3">
        <v>14.8834</v>
      </c>
      <c r="G287" s="3">
        <v>30.135200000000001</v>
      </c>
      <c r="H287" s="3">
        <v>1.0177400000000001</v>
      </c>
      <c r="I287" s="3" t="s">
        <v>3015</v>
      </c>
      <c r="J287" s="4"/>
      <c r="K287" s="3"/>
      <c r="L287" s="3"/>
    </row>
    <row r="288" spans="1:12" s="2" customFormat="1" ht="15" x14ac:dyDescent="0.2">
      <c r="A288" s="5" t="s">
        <v>969</v>
      </c>
      <c r="B288" s="5" t="str">
        <f>VLOOKUP($A288,[1]Sheet1!$A:$B,2,FALSE)</f>
        <v>GO:0006508GO:0004197GO:0005198</v>
      </c>
      <c r="C288" s="2" t="s">
        <v>2300</v>
      </c>
      <c r="D288" s="3" t="s">
        <v>1836</v>
      </c>
      <c r="E288" s="3" t="s">
        <v>1837</v>
      </c>
      <c r="F288" s="3">
        <v>1.84158</v>
      </c>
      <c r="G288" s="3">
        <v>3.7256999999999998</v>
      </c>
      <c r="H288" s="3">
        <v>1.01657</v>
      </c>
      <c r="I288" s="3" t="s">
        <v>3250</v>
      </c>
      <c r="J288" s="4"/>
      <c r="K288" s="3"/>
      <c r="L288" s="3"/>
    </row>
    <row r="289" spans="1:12" s="2" customFormat="1" ht="15" x14ac:dyDescent="0.2">
      <c r="A289" s="5" t="s">
        <v>845</v>
      </c>
      <c r="B289" s="5" t="str">
        <f>VLOOKUP($A289,[1]Sheet1!$A:$B,2,FALSE)</f>
        <v>GO:0003700GO:0006355</v>
      </c>
      <c r="C289" s="2" t="s">
        <v>2232</v>
      </c>
      <c r="D289" s="3" t="s">
        <v>1836</v>
      </c>
      <c r="E289" s="3" t="s">
        <v>1837</v>
      </c>
      <c r="F289" s="3">
        <v>0.38727299999999998</v>
      </c>
      <c r="G289" s="3">
        <v>0.78278700000000001</v>
      </c>
      <c r="H289" s="3">
        <v>1.0152699999999999</v>
      </c>
      <c r="I289" s="3" t="s">
        <v>3037</v>
      </c>
      <c r="J289" s="3"/>
      <c r="K289" s="3"/>
      <c r="L289" s="3"/>
    </row>
    <row r="290" spans="1:12" s="2" customFormat="1" ht="15" x14ac:dyDescent="0.2">
      <c r="A290" s="5" t="s">
        <v>283</v>
      </c>
      <c r="B290" s="5" t="str">
        <f>VLOOKUP($A290,[1]Sheet1!$A:$B,2,FALSE)</f>
        <v>GO:0015977GO:0016984</v>
      </c>
      <c r="C290" s="2" t="s">
        <v>1975</v>
      </c>
      <c r="D290" s="3" t="s">
        <v>1836</v>
      </c>
      <c r="E290" s="3" t="s">
        <v>1837</v>
      </c>
      <c r="F290" s="3">
        <v>938.846</v>
      </c>
      <c r="G290" s="3">
        <v>1896.46</v>
      </c>
      <c r="H290" s="3">
        <v>1.0143500000000001</v>
      </c>
      <c r="I290" s="3" t="s">
        <v>3106</v>
      </c>
      <c r="J290" s="4"/>
      <c r="K290" s="3"/>
      <c r="L290" s="3"/>
    </row>
    <row r="291" spans="1:12" s="2" customFormat="1" ht="15" x14ac:dyDescent="0.2">
      <c r="A291" s="5" t="s">
        <v>643</v>
      </c>
      <c r="B291" s="5" t="str">
        <f>VLOOKUP($A291,[1]Sheet1!$A:$B,2,FALSE)</f>
        <v>GO:0006629</v>
      </c>
      <c r="C291" s="2" t="s">
        <v>1847</v>
      </c>
      <c r="D291" s="3" t="s">
        <v>1836</v>
      </c>
      <c r="E291" s="3" t="s">
        <v>1837</v>
      </c>
      <c r="F291" s="3">
        <v>0.49564200000000003</v>
      </c>
      <c r="G291" s="3">
        <v>1.0002899999999999</v>
      </c>
      <c r="H291" s="3">
        <v>1.01305</v>
      </c>
      <c r="I291" s="3" t="s">
        <v>3180</v>
      </c>
      <c r="J291" s="4"/>
      <c r="K291" s="3"/>
      <c r="L291" s="3"/>
    </row>
    <row r="292" spans="1:12" s="2" customFormat="1" ht="15" x14ac:dyDescent="0.2">
      <c r="A292" s="5" t="s">
        <v>418</v>
      </c>
      <c r="B292" s="5" t="e">
        <f>VLOOKUP($A292,[1]Sheet1!$A:$B,2,FALSE)</f>
        <v>#N/A</v>
      </c>
      <c r="C292" s="2" t="s">
        <v>3015</v>
      </c>
      <c r="D292" s="3" t="s">
        <v>1836</v>
      </c>
      <c r="E292" s="3" t="s">
        <v>1837</v>
      </c>
      <c r="F292" s="3">
        <v>2.8628999999999998</v>
      </c>
      <c r="G292" s="3">
        <v>5.7714800000000004</v>
      </c>
      <c r="H292" s="3">
        <v>1.01146</v>
      </c>
      <c r="I292" s="3" t="s">
        <v>3015</v>
      </c>
      <c r="J292" s="4"/>
      <c r="K292" s="3"/>
      <c r="L292" s="3"/>
    </row>
    <row r="293" spans="1:12" s="2" customFormat="1" ht="15" x14ac:dyDescent="0.2">
      <c r="A293" s="5" t="s">
        <v>200</v>
      </c>
      <c r="B293" s="5" t="str">
        <f>VLOOKUP($A293,[1]Sheet1!$A:$B,2,FALSE)</f>
        <v>GO:0045449GO:0003677</v>
      </c>
      <c r="C293" s="2" t="s">
        <v>1937</v>
      </c>
      <c r="D293" s="3" t="s">
        <v>1836</v>
      </c>
      <c r="E293" s="3" t="s">
        <v>1837</v>
      </c>
      <c r="F293" s="3">
        <v>0.47484399999999999</v>
      </c>
      <c r="G293" s="3">
        <v>0.95695600000000003</v>
      </c>
      <c r="H293" s="3">
        <v>1.0109999999999999</v>
      </c>
      <c r="I293" s="3" t="s">
        <v>3080</v>
      </c>
      <c r="J293" s="3"/>
      <c r="K293" s="3"/>
      <c r="L293" s="3"/>
    </row>
    <row r="294" spans="1:12" s="2" customFormat="1" ht="15" x14ac:dyDescent="0.2">
      <c r="A294" s="5" t="s">
        <v>725</v>
      </c>
      <c r="B294" s="5" t="str">
        <f>VLOOKUP($A294,[1]Sheet1!$A:$B,2,FALSE)</f>
        <v>GO:0006813GO:0016021GO:0051260GO:0005249</v>
      </c>
      <c r="C294" s="2" t="s">
        <v>2181</v>
      </c>
      <c r="D294" s="3" t="s">
        <v>1836</v>
      </c>
      <c r="E294" s="3" t="s">
        <v>1837</v>
      </c>
      <c r="F294" s="3">
        <v>21.617899999999999</v>
      </c>
      <c r="G294" s="3">
        <v>43.520499999999998</v>
      </c>
      <c r="H294" s="3">
        <v>1.0094700000000001</v>
      </c>
      <c r="I294" s="3" t="s">
        <v>3198</v>
      </c>
      <c r="J294" s="3"/>
      <c r="K294" s="3"/>
      <c r="L294" s="3"/>
    </row>
    <row r="295" spans="1:12" s="2" customFormat="1" ht="15" x14ac:dyDescent="0.2">
      <c r="A295" s="5" t="s">
        <v>1052</v>
      </c>
      <c r="B295" s="5" t="str">
        <f>VLOOKUP($A295,[1]Sheet1!$A:$B,2,FALSE)</f>
        <v>GO:0005634GO:0045449GO:0030528</v>
      </c>
      <c r="C295" s="2" t="s">
        <v>2336</v>
      </c>
      <c r="D295" s="3" t="s">
        <v>1836</v>
      </c>
      <c r="E295" s="3" t="s">
        <v>1837</v>
      </c>
      <c r="F295" s="3">
        <v>0.87746000000000002</v>
      </c>
      <c r="G295" s="3">
        <v>1.7621899999999999</v>
      </c>
      <c r="H295" s="3">
        <v>1.00597</v>
      </c>
      <c r="I295" s="3" t="s">
        <v>3027</v>
      </c>
      <c r="J295" s="3"/>
      <c r="K295" s="3"/>
      <c r="L295" s="3"/>
    </row>
    <row r="296" spans="1:12" s="2" customFormat="1" ht="15" x14ac:dyDescent="0.2">
      <c r="A296" s="5" t="s">
        <v>660</v>
      </c>
      <c r="B296" s="5" t="e">
        <f>VLOOKUP($A296,[1]Sheet1!$A:$B,2,FALSE)</f>
        <v>#N/A</v>
      </c>
      <c r="C296" s="2" t="s">
        <v>2152</v>
      </c>
      <c r="D296" s="3" t="s">
        <v>1836</v>
      </c>
      <c r="E296" s="3" t="s">
        <v>1837</v>
      </c>
      <c r="F296" s="3">
        <v>0.73051600000000005</v>
      </c>
      <c r="G296" s="3">
        <v>1.46706</v>
      </c>
      <c r="H296" s="3">
        <v>1.0059400000000001</v>
      </c>
      <c r="I296" s="3" t="s">
        <v>3015</v>
      </c>
      <c r="J296" s="4"/>
      <c r="K296" s="3"/>
      <c r="L296" s="3"/>
    </row>
    <row r="297" spans="1:12" s="2" customFormat="1" ht="15" x14ac:dyDescent="0.2">
      <c r="A297" s="5" t="s">
        <v>686</v>
      </c>
      <c r="B297" s="5" t="str">
        <f>VLOOKUP($A297,[1]Sheet1!$A:$B,2,FALSE)</f>
        <v>GO:0004497GO:0020037GO:0009055</v>
      </c>
      <c r="C297" s="2" t="s">
        <v>1923</v>
      </c>
      <c r="D297" s="3" t="s">
        <v>1836</v>
      </c>
      <c r="E297" s="3" t="s">
        <v>1837</v>
      </c>
      <c r="F297" s="3">
        <v>1.31301</v>
      </c>
      <c r="G297" s="3">
        <v>2.63123</v>
      </c>
      <c r="H297" s="3">
        <v>1.0028600000000001</v>
      </c>
      <c r="I297" s="3" t="s">
        <v>3045</v>
      </c>
      <c r="J297" s="3"/>
      <c r="K297" s="3"/>
      <c r="L297" s="3"/>
    </row>
    <row r="298" spans="1:12" s="2" customFormat="1" ht="15" x14ac:dyDescent="0.2">
      <c r="A298" s="5" t="s">
        <v>1070</v>
      </c>
      <c r="B298" s="5" t="str">
        <f>VLOOKUP($A298,[1]Sheet1!$A:$B,2,FALSE)</f>
        <v>GO:0003700GO:0006355</v>
      </c>
      <c r="C298" s="2" t="s">
        <v>2343</v>
      </c>
      <c r="D298" s="3" t="s">
        <v>1836</v>
      </c>
      <c r="E298" s="3" t="s">
        <v>1837</v>
      </c>
      <c r="F298" s="3">
        <v>8.1878200000000003</v>
      </c>
      <c r="G298" s="3">
        <v>16.377600000000001</v>
      </c>
      <c r="H298" s="3">
        <v>1.00017</v>
      </c>
      <c r="I298" s="3" t="s">
        <v>3037</v>
      </c>
      <c r="J298" s="3"/>
      <c r="K298" s="3"/>
      <c r="L298" s="3"/>
    </row>
    <row r="299" spans="1:12" s="2" customFormat="1" ht="15" x14ac:dyDescent="0.2">
      <c r="A299" s="5" t="s">
        <v>42</v>
      </c>
      <c r="B299" s="5" t="e">
        <f>VLOOKUP($A299,[1]Sheet1!$A:$B,2,FALSE)</f>
        <v>#N/A</v>
      </c>
      <c r="C299" s="2" t="s">
        <v>1862</v>
      </c>
      <c r="D299" s="3" t="s">
        <v>1836</v>
      </c>
      <c r="E299" s="3" t="s">
        <v>1837</v>
      </c>
      <c r="F299" s="3">
        <v>0</v>
      </c>
      <c r="G299" s="3">
        <v>1.36839</v>
      </c>
      <c r="H299" s="3" t="s">
        <v>3497</v>
      </c>
      <c r="I299" s="3" t="s">
        <v>3015</v>
      </c>
      <c r="J299" s="4"/>
      <c r="K299" s="3"/>
      <c r="L299" s="3"/>
    </row>
    <row r="300" spans="1:12" s="2" customFormat="1" ht="15" x14ac:dyDescent="0.2">
      <c r="A300" s="5" t="s">
        <v>72</v>
      </c>
      <c r="B300" s="5" t="e">
        <f>VLOOKUP($A300,[1]Sheet1!$A:$B,2,FALSE)</f>
        <v>#N/A</v>
      </c>
      <c r="C300" s="2" t="s">
        <v>3015</v>
      </c>
      <c r="D300" s="3" t="s">
        <v>1836</v>
      </c>
      <c r="E300" s="3" t="s">
        <v>1837</v>
      </c>
      <c r="F300" s="3">
        <v>0</v>
      </c>
      <c r="G300" s="3">
        <v>1.47512</v>
      </c>
      <c r="H300" s="3" t="s">
        <v>3497</v>
      </c>
      <c r="I300" s="3" t="s">
        <v>3015</v>
      </c>
      <c r="J300" s="4"/>
      <c r="K300" s="3"/>
      <c r="L300" s="3"/>
    </row>
    <row r="301" spans="1:12" s="2" customFormat="1" ht="15" x14ac:dyDescent="0.2">
      <c r="A301" s="5" t="s">
        <v>107</v>
      </c>
      <c r="B301" s="5" t="e">
        <f>VLOOKUP($A301,[1]Sheet1!$A:$B,2,FALSE)</f>
        <v>#N/A</v>
      </c>
      <c r="C301" s="2" t="s">
        <v>3015</v>
      </c>
      <c r="D301" s="3" t="s">
        <v>1836</v>
      </c>
      <c r="E301" s="3" t="s">
        <v>1837</v>
      </c>
      <c r="F301" s="3">
        <v>0</v>
      </c>
      <c r="G301" s="3">
        <v>4.8413399999999998</v>
      </c>
      <c r="H301" s="3" t="s">
        <v>3497</v>
      </c>
      <c r="I301" s="3" t="s">
        <v>3015</v>
      </c>
      <c r="J301" s="4"/>
      <c r="K301" s="3"/>
      <c r="L301" s="3"/>
    </row>
    <row r="302" spans="1:12" s="2" customFormat="1" ht="15" x14ac:dyDescent="0.2">
      <c r="A302" s="5" t="s">
        <v>119</v>
      </c>
      <c r="B302" s="5" t="str">
        <f>VLOOKUP($A302,[1]Sheet1!$A:$B,2,FALSE)</f>
        <v>GO:0003735GO:0015934GO:0006412GO:0030528</v>
      </c>
      <c r="C302" s="2" t="s">
        <v>1895</v>
      </c>
      <c r="D302" s="3" t="s">
        <v>1836</v>
      </c>
      <c r="E302" s="3" t="s">
        <v>1837</v>
      </c>
      <c r="F302" s="3">
        <v>0</v>
      </c>
      <c r="G302" s="3">
        <v>1.0642400000000001</v>
      </c>
      <c r="H302" s="3" t="s">
        <v>3497</v>
      </c>
      <c r="I302" s="3" t="s">
        <v>3055</v>
      </c>
      <c r="J302" s="3"/>
      <c r="K302" s="3"/>
      <c r="L302" s="3"/>
    </row>
    <row r="303" spans="1:12" s="2" customFormat="1" ht="15" x14ac:dyDescent="0.2">
      <c r="A303" s="5" t="s">
        <v>147</v>
      </c>
      <c r="B303" s="5" t="str">
        <f>VLOOKUP($A303,[1]Sheet1!$A:$B,2,FALSE)</f>
        <v>GO:0016020GO:0016760GO:0030244</v>
      </c>
      <c r="C303" s="2" t="s">
        <v>1912</v>
      </c>
      <c r="D303" s="3" t="s">
        <v>1836</v>
      </c>
      <c r="E303" s="3" t="s">
        <v>1837</v>
      </c>
      <c r="F303" s="3">
        <v>0</v>
      </c>
      <c r="G303" s="3">
        <v>0.99543999999999999</v>
      </c>
      <c r="H303" s="3" t="s">
        <v>3497</v>
      </c>
      <c r="I303" s="3" t="s">
        <v>3061</v>
      </c>
      <c r="J303" s="3"/>
      <c r="K303" s="3"/>
      <c r="L303" s="3"/>
    </row>
    <row r="304" spans="1:12" s="2" customFormat="1" ht="15" x14ac:dyDescent="0.2">
      <c r="A304" s="5" t="s">
        <v>224</v>
      </c>
      <c r="B304" s="5" t="e">
        <f>VLOOKUP($A304,[1]Sheet1!$A:$B,2,FALSE)</f>
        <v>#N/A</v>
      </c>
      <c r="C304" s="2" t="s">
        <v>1948</v>
      </c>
      <c r="D304" s="3" t="s">
        <v>1836</v>
      </c>
      <c r="E304" s="3" t="s">
        <v>1837</v>
      </c>
      <c r="F304" s="3">
        <v>0</v>
      </c>
      <c r="G304" s="3">
        <v>1.20052</v>
      </c>
      <c r="H304" s="3" t="s">
        <v>3497</v>
      </c>
      <c r="I304" s="3" t="s">
        <v>3015</v>
      </c>
      <c r="J304" s="3"/>
      <c r="K304" s="3"/>
      <c r="L304" s="3"/>
    </row>
    <row r="305" spans="1:12" s="2" customFormat="1" ht="15" x14ac:dyDescent="0.2">
      <c r="A305" s="5" t="s">
        <v>330</v>
      </c>
      <c r="B305" s="5" t="str">
        <f>VLOOKUP($A305,[1]Sheet1!$A:$B,2,FALSE)</f>
        <v>GO:0004497GO:0020037GO:0009055</v>
      </c>
      <c r="C305" s="2" t="s">
        <v>1847</v>
      </c>
      <c r="D305" s="3" t="s">
        <v>1836</v>
      </c>
      <c r="E305" s="3" t="s">
        <v>1837</v>
      </c>
      <c r="F305" s="3">
        <v>0</v>
      </c>
      <c r="G305" s="3">
        <v>1.5365899999999999</v>
      </c>
      <c r="H305" s="3" t="s">
        <v>3497</v>
      </c>
      <c r="I305" s="3" t="s">
        <v>3045</v>
      </c>
      <c r="J305" s="4"/>
      <c r="K305" s="3"/>
      <c r="L305" s="3"/>
    </row>
    <row r="306" spans="1:12" s="2" customFormat="1" ht="15" x14ac:dyDescent="0.2">
      <c r="A306" s="5" t="s">
        <v>344</v>
      </c>
      <c r="B306" s="5" t="e">
        <f>VLOOKUP($A306,[1]Sheet1!$A:$B,2,FALSE)</f>
        <v>#N/A</v>
      </c>
      <c r="C306" s="2" t="s">
        <v>3015</v>
      </c>
      <c r="D306" s="3" t="s">
        <v>1836</v>
      </c>
      <c r="E306" s="3" t="s">
        <v>1837</v>
      </c>
      <c r="F306" s="3">
        <v>0</v>
      </c>
      <c r="G306" s="3">
        <v>3.7902</v>
      </c>
      <c r="H306" s="3" t="s">
        <v>3497</v>
      </c>
      <c r="I306" s="3" t="s">
        <v>3015</v>
      </c>
      <c r="J306" s="4"/>
      <c r="K306" s="3"/>
      <c r="L306" s="3"/>
    </row>
    <row r="307" spans="1:12" s="2" customFormat="1" ht="15" x14ac:dyDescent="0.2">
      <c r="A307" s="5" t="s">
        <v>397</v>
      </c>
      <c r="B307" s="5" t="str">
        <f>VLOOKUP($A307,[1]Sheet1!$A:$B,2,FALSE)</f>
        <v>GO:0046872GO:0019509GO:0051213</v>
      </c>
      <c r="C307" s="2" t="s">
        <v>1871</v>
      </c>
      <c r="D307" s="3" t="s">
        <v>1836</v>
      </c>
      <c r="E307" s="3" t="s">
        <v>1837</v>
      </c>
      <c r="F307" s="3">
        <v>0</v>
      </c>
      <c r="G307" s="3">
        <v>1.88209</v>
      </c>
      <c r="H307" s="3" t="s">
        <v>3497</v>
      </c>
      <c r="I307" s="3" t="s">
        <v>3132</v>
      </c>
      <c r="J307" s="4"/>
      <c r="K307" s="3"/>
      <c r="L307" s="3"/>
    </row>
    <row r="308" spans="1:12" s="2" customFormat="1" ht="15" x14ac:dyDescent="0.2">
      <c r="A308" s="5" t="s">
        <v>402</v>
      </c>
      <c r="B308" s="5" t="e">
        <f>VLOOKUP($A308,[1]Sheet1!$A:$B,2,FALSE)</f>
        <v>#N/A</v>
      </c>
      <c r="C308" s="2" t="s">
        <v>3015</v>
      </c>
      <c r="D308" s="3" t="s">
        <v>1836</v>
      </c>
      <c r="E308" s="3" t="s">
        <v>1837</v>
      </c>
      <c r="F308" s="3">
        <v>0</v>
      </c>
      <c r="G308" s="3">
        <v>1.5880399999999999</v>
      </c>
      <c r="H308" s="3" t="s">
        <v>3497</v>
      </c>
      <c r="I308" s="3" t="s">
        <v>3015</v>
      </c>
      <c r="J308" s="3"/>
      <c r="K308" s="3"/>
      <c r="L308" s="3"/>
    </row>
    <row r="309" spans="1:12" s="2" customFormat="1" ht="15" x14ac:dyDescent="0.2">
      <c r="A309" s="5" t="s">
        <v>444</v>
      </c>
      <c r="B309" s="5" t="str">
        <f>VLOOKUP($A309,[1]Sheet1!$A:$B,2,FALSE)</f>
        <v>GO:0003735GO:0004812GO:0005840GO:0005524GO:0006418</v>
      </c>
      <c r="C309" s="2" t="s">
        <v>3015</v>
      </c>
      <c r="D309" s="3" t="s">
        <v>1836</v>
      </c>
      <c r="E309" s="3" t="s">
        <v>1837</v>
      </c>
      <c r="F309" s="3">
        <v>0</v>
      </c>
      <c r="G309" s="3">
        <v>0.82311900000000005</v>
      </c>
      <c r="H309" s="3" t="s">
        <v>3497</v>
      </c>
      <c r="I309" s="3" t="s">
        <v>3140</v>
      </c>
      <c r="J309" s="4"/>
      <c r="K309" s="3"/>
      <c r="L309" s="3"/>
    </row>
    <row r="310" spans="1:12" s="2" customFormat="1" ht="15" x14ac:dyDescent="0.2">
      <c r="A310" s="5" t="s">
        <v>633</v>
      </c>
      <c r="B310" s="5" t="e">
        <f>VLOOKUP($A310,[1]Sheet1!$A:$B,2,FALSE)</f>
        <v>#N/A</v>
      </c>
      <c r="C310" s="2" t="s">
        <v>2139</v>
      </c>
      <c r="D310" s="3" t="s">
        <v>1836</v>
      </c>
      <c r="E310" s="3" t="s">
        <v>1837</v>
      </c>
      <c r="F310" s="3">
        <v>0</v>
      </c>
      <c r="G310" s="3">
        <v>1.69197</v>
      </c>
      <c r="H310" s="3" t="s">
        <v>3497</v>
      </c>
      <c r="I310" s="3" t="s">
        <v>3015</v>
      </c>
      <c r="J310" s="4"/>
      <c r="K310" s="3"/>
      <c r="L310" s="3"/>
    </row>
    <row r="311" spans="1:12" s="2" customFormat="1" ht="15" x14ac:dyDescent="0.2">
      <c r="A311" s="5" t="s">
        <v>922</v>
      </c>
      <c r="B311" s="5" t="e">
        <f>VLOOKUP($A311,[1]Sheet1!$A:$B,2,FALSE)</f>
        <v>#N/A</v>
      </c>
      <c r="C311" s="2" t="s">
        <v>3015</v>
      </c>
      <c r="D311" s="3" t="s">
        <v>1836</v>
      </c>
      <c r="E311" s="3" t="s">
        <v>1837</v>
      </c>
      <c r="F311" s="3">
        <v>0</v>
      </c>
      <c r="G311" s="3">
        <v>28.310500000000001</v>
      </c>
      <c r="H311" s="3" t="s">
        <v>3497</v>
      </c>
      <c r="I311" s="3" t="s">
        <v>3015</v>
      </c>
      <c r="J311" s="4"/>
      <c r="K311" s="3"/>
      <c r="L311" s="3"/>
    </row>
    <row r="312" spans="1:12" s="2" customFormat="1" ht="15" x14ac:dyDescent="0.2">
      <c r="A312" s="5" t="s">
        <v>933</v>
      </c>
      <c r="B312" s="5" t="e">
        <f>VLOOKUP($A312,[1]Sheet1!$A:$B,2,FALSE)</f>
        <v>#N/A</v>
      </c>
      <c r="C312" s="2" t="s">
        <v>3015</v>
      </c>
      <c r="D312" s="3" t="s">
        <v>1836</v>
      </c>
      <c r="E312" s="3" t="s">
        <v>1837</v>
      </c>
      <c r="F312" s="3">
        <v>0</v>
      </c>
      <c r="G312" s="3">
        <v>21.439699999999998</v>
      </c>
      <c r="H312" s="3" t="s">
        <v>3497</v>
      </c>
      <c r="I312" s="3" t="s">
        <v>3015</v>
      </c>
      <c r="J312" s="4"/>
      <c r="K312" s="3"/>
      <c r="L312" s="3"/>
    </row>
    <row r="313" spans="1:12" s="2" customFormat="1" ht="15" x14ac:dyDescent="0.2">
      <c r="A313" s="5" t="s">
        <v>954</v>
      </c>
      <c r="B313" s="5" t="e">
        <f>VLOOKUP($A313,[1]Sheet1!$A:$B,2,FALSE)</f>
        <v>#N/A</v>
      </c>
      <c r="C313" s="2" t="s">
        <v>3015</v>
      </c>
      <c r="D313" s="3" t="s">
        <v>1836</v>
      </c>
      <c r="E313" s="3" t="s">
        <v>1837</v>
      </c>
      <c r="F313" s="3">
        <v>0</v>
      </c>
      <c r="G313" s="3">
        <v>8.3925999999999998</v>
      </c>
      <c r="H313" s="3" t="s">
        <v>3497</v>
      </c>
      <c r="I313" s="3" t="s">
        <v>3015</v>
      </c>
      <c r="J313" s="3"/>
      <c r="K313" s="3"/>
      <c r="L313" s="3"/>
    </row>
    <row r="314" spans="1:12" s="2" customFormat="1" ht="15" x14ac:dyDescent="0.2">
      <c r="A314" s="5" t="s">
        <v>955</v>
      </c>
      <c r="B314" s="5" t="e">
        <f>VLOOKUP($A314,[1]Sheet1!$A:$B,2,FALSE)</f>
        <v>#N/A</v>
      </c>
      <c r="C314" s="2" t="s">
        <v>2289</v>
      </c>
      <c r="D314" s="3" t="s">
        <v>1836</v>
      </c>
      <c r="E314" s="3" t="s">
        <v>1837</v>
      </c>
      <c r="F314" s="3">
        <v>0</v>
      </c>
      <c r="G314" s="3">
        <v>6.3032000000000004</v>
      </c>
      <c r="H314" s="3" t="s">
        <v>3497</v>
      </c>
      <c r="I314" s="3" t="s">
        <v>3015</v>
      </c>
      <c r="J314" s="4"/>
      <c r="K314" s="3"/>
      <c r="L314" s="3"/>
    </row>
    <row r="315" spans="1:12" s="2" customFormat="1" ht="15" x14ac:dyDescent="0.2">
      <c r="A315" s="5" t="s">
        <v>966</v>
      </c>
      <c r="B315" s="5" t="str">
        <f>VLOOKUP($A315,[1]Sheet1!$A:$B,2,FALSE)</f>
        <v>GO:0006457</v>
      </c>
      <c r="C315" s="2" t="s">
        <v>2298</v>
      </c>
      <c r="D315" s="3" t="s">
        <v>1836</v>
      </c>
      <c r="E315" s="3" t="s">
        <v>1837</v>
      </c>
      <c r="F315" s="3">
        <v>0</v>
      </c>
      <c r="G315" s="3">
        <v>7.9010400000000001</v>
      </c>
      <c r="H315" s="3" t="s">
        <v>3497</v>
      </c>
      <c r="I315" s="3" t="s">
        <v>3249</v>
      </c>
      <c r="J315" s="4"/>
      <c r="K315" s="3"/>
      <c r="L315" s="3"/>
    </row>
    <row r="316" spans="1:12" s="2" customFormat="1" ht="15" x14ac:dyDescent="0.2">
      <c r="A316" s="5" t="s">
        <v>985</v>
      </c>
      <c r="B316" s="5" t="e">
        <f>VLOOKUP($A316,[1]Sheet1!$A:$B,2,FALSE)</f>
        <v>#N/A</v>
      </c>
      <c r="C316" s="2" t="s">
        <v>2308</v>
      </c>
      <c r="D316" s="3" t="s">
        <v>1836</v>
      </c>
      <c r="E316" s="3" t="s">
        <v>1837</v>
      </c>
      <c r="F316" s="3">
        <v>0</v>
      </c>
      <c r="G316" s="3">
        <v>3.1293799999999998</v>
      </c>
      <c r="H316" s="3" t="s">
        <v>3497</v>
      </c>
      <c r="I316" s="3" t="s">
        <v>3015</v>
      </c>
      <c r="J316" s="4"/>
      <c r="K316" s="3"/>
      <c r="L316" s="3"/>
    </row>
    <row r="317" spans="1:12" s="2" customFormat="1" ht="15" x14ac:dyDescent="0.2">
      <c r="A317" s="5" t="s">
        <v>992</v>
      </c>
      <c r="B317" s="5" t="e">
        <f>VLOOKUP($A317,[1]Sheet1!$A:$B,2,FALSE)</f>
        <v>#N/A</v>
      </c>
      <c r="C317" s="2" t="s">
        <v>2311</v>
      </c>
      <c r="D317" s="3" t="s">
        <v>1836</v>
      </c>
      <c r="E317" s="3" t="s">
        <v>1837</v>
      </c>
      <c r="F317" s="3">
        <v>0</v>
      </c>
      <c r="G317" s="3">
        <v>10.190300000000001</v>
      </c>
      <c r="H317" s="3" t="s">
        <v>3497</v>
      </c>
      <c r="I317" s="3" t="s">
        <v>3015</v>
      </c>
      <c r="J317" s="4"/>
      <c r="K317" s="3"/>
      <c r="L317" s="3"/>
    </row>
    <row r="318" spans="1:12" s="2" customFormat="1" ht="15" x14ac:dyDescent="0.2">
      <c r="A318" s="5" t="s">
        <v>1007</v>
      </c>
      <c r="B318" s="5" t="e">
        <f>VLOOKUP($A318,[1]Sheet1!$A:$B,2,FALSE)</f>
        <v>#N/A</v>
      </c>
      <c r="C318" s="2" t="s">
        <v>2314</v>
      </c>
      <c r="D318" s="3" t="s">
        <v>1836</v>
      </c>
      <c r="E318" s="3" t="s">
        <v>1837</v>
      </c>
      <c r="F318" s="3">
        <v>0</v>
      </c>
      <c r="G318" s="3">
        <v>2.7535500000000002</v>
      </c>
      <c r="H318" s="3" t="s">
        <v>3497</v>
      </c>
      <c r="I318" s="3" t="s">
        <v>3015</v>
      </c>
      <c r="J318" s="4"/>
      <c r="K318" s="3"/>
      <c r="L318" s="3"/>
    </row>
    <row r="319" spans="1:12" s="2" customFormat="1" ht="15" x14ac:dyDescent="0.2">
      <c r="A319" s="5" t="s">
        <v>1068</v>
      </c>
      <c r="B319" s="5" t="str">
        <f>VLOOKUP($A319,[1]Sheet1!$A:$B,2,FALSE)</f>
        <v>GO:0019787GO:0043687GO:0051246</v>
      </c>
      <c r="C319" s="2" t="s">
        <v>2341</v>
      </c>
      <c r="D319" s="3" t="s">
        <v>1836</v>
      </c>
      <c r="E319" s="3" t="s">
        <v>1837</v>
      </c>
      <c r="F319" s="3">
        <v>0</v>
      </c>
      <c r="G319" s="3">
        <v>1.20411</v>
      </c>
      <c r="H319" s="3" t="s">
        <v>3497</v>
      </c>
      <c r="I319" s="3" t="s">
        <v>3263</v>
      </c>
      <c r="J319" s="3"/>
      <c r="K319" s="3"/>
      <c r="L319" s="3"/>
    </row>
    <row r="320" spans="1:12" s="2" customFormat="1" ht="15" x14ac:dyDescent="0.2">
      <c r="A320" s="5" t="s">
        <v>1086</v>
      </c>
      <c r="B320" s="5" t="e">
        <f>VLOOKUP($A320,[1]Sheet1!$A:$B,2,FALSE)</f>
        <v>#N/A</v>
      </c>
      <c r="C320" s="2" t="s">
        <v>2351</v>
      </c>
      <c r="D320" s="3" t="s">
        <v>1836</v>
      </c>
      <c r="E320" s="3" t="s">
        <v>1837</v>
      </c>
      <c r="F320" s="3">
        <v>0</v>
      </c>
      <c r="G320" s="3">
        <v>6.4357499999999996</v>
      </c>
      <c r="H320" s="3" t="s">
        <v>3497</v>
      </c>
      <c r="I320" s="3" t="s">
        <v>3015</v>
      </c>
      <c r="J320" s="4"/>
      <c r="K320" s="3"/>
      <c r="L320" s="3"/>
    </row>
    <row r="321" spans="1:12" s="2" customFormat="1" ht="15" x14ac:dyDescent="0.2">
      <c r="A321" s="5" t="s">
        <v>1096</v>
      </c>
      <c r="B321" s="5" t="e">
        <f>VLOOKUP($A321,[1]Sheet1!$A:$B,2,FALSE)</f>
        <v>#N/A</v>
      </c>
      <c r="C321" s="2" t="s">
        <v>1880</v>
      </c>
      <c r="D321" s="3" t="s">
        <v>1836</v>
      </c>
      <c r="E321" s="3" t="s">
        <v>1837</v>
      </c>
      <c r="F321" s="3">
        <v>0</v>
      </c>
      <c r="G321" s="3">
        <v>1.3425800000000001</v>
      </c>
      <c r="H321" s="3" t="s">
        <v>3497</v>
      </c>
      <c r="I321" s="3" t="s">
        <v>3015</v>
      </c>
      <c r="J321" s="4"/>
      <c r="K321" s="3"/>
      <c r="L321" s="3"/>
    </row>
    <row r="322" spans="1:12" s="2" customFormat="1" ht="15" x14ac:dyDescent="0.2">
      <c r="A322" s="5" t="s">
        <v>1097</v>
      </c>
      <c r="B322" s="5" t="e">
        <f>VLOOKUP($A322,[1]Sheet1!$A:$B,2,FALSE)</f>
        <v>#N/A</v>
      </c>
      <c r="C322" s="2" t="s">
        <v>3015</v>
      </c>
      <c r="D322" s="3" t="s">
        <v>1836</v>
      </c>
      <c r="E322" s="3" t="s">
        <v>1837</v>
      </c>
      <c r="F322" s="3">
        <v>0</v>
      </c>
      <c r="G322" s="3">
        <v>4.3985399999999997</v>
      </c>
      <c r="H322" s="3" t="s">
        <v>3497</v>
      </c>
      <c r="I322" s="3" t="s">
        <v>3015</v>
      </c>
      <c r="J322" s="3"/>
      <c r="K322" s="3"/>
      <c r="L322" s="3"/>
    </row>
    <row r="323" spans="1:12" s="2" customFormat="1" ht="15" x14ac:dyDescent="0.2">
      <c r="A323" s="5" t="s">
        <v>1101</v>
      </c>
      <c r="B323" s="5" t="e">
        <f>VLOOKUP($A323,[1]Sheet1!$A:$B,2,FALSE)</f>
        <v>#N/A</v>
      </c>
      <c r="C323" s="2" t="s">
        <v>2357</v>
      </c>
      <c r="D323" s="3" t="s">
        <v>1836</v>
      </c>
      <c r="E323" s="3" t="s">
        <v>1837</v>
      </c>
      <c r="F323" s="3">
        <v>0</v>
      </c>
      <c r="G323" s="3">
        <v>1.4597899999999999</v>
      </c>
      <c r="H323" s="3" t="s">
        <v>3497</v>
      </c>
      <c r="I323" s="3" t="s">
        <v>3015</v>
      </c>
      <c r="J323" s="4"/>
      <c r="K323" s="3"/>
      <c r="L323" s="3"/>
    </row>
    <row r="324" spans="1:12" ht="15" x14ac:dyDescent="0.2">
      <c r="A324" s="5"/>
      <c r="B324" s="5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5" x14ac:dyDescent="0.2">
      <c r="A325" s="5"/>
      <c r="B325" s="5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5" x14ac:dyDescent="0.2">
      <c r="A326" s="5"/>
      <c r="B326" s="5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5" x14ac:dyDescent="0.2">
      <c r="A327" s="5"/>
      <c r="B327" s="5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5" x14ac:dyDescent="0.2">
      <c r="A328" s="5"/>
      <c r="B328" s="5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5" x14ac:dyDescent="0.2">
      <c r="A329" s="5"/>
      <c r="B329" s="5"/>
      <c r="D329" s="3"/>
      <c r="E329" s="3"/>
      <c r="F329" s="3"/>
      <c r="G329" s="3"/>
      <c r="H329" s="3"/>
      <c r="I329" s="3"/>
      <c r="J329" s="4"/>
      <c r="K329" s="3"/>
      <c r="L329" s="3"/>
    </row>
    <row r="330" spans="1:12" ht="15" x14ac:dyDescent="0.2">
      <c r="A330" s="5"/>
      <c r="B330" s="5"/>
      <c r="D330" s="3"/>
      <c r="E330" s="3"/>
      <c r="F330" s="3"/>
      <c r="G330" s="3"/>
      <c r="H330" s="3"/>
      <c r="I330" s="3"/>
      <c r="J330" s="4"/>
      <c r="K330" s="3"/>
      <c r="L330" s="3"/>
    </row>
    <row r="331" spans="1:12" ht="15" x14ac:dyDescent="0.2">
      <c r="A331" s="5"/>
      <c r="B331" s="5"/>
      <c r="D331" s="3"/>
      <c r="E331" s="3"/>
      <c r="F331" s="3"/>
      <c r="G331" s="3"/>
      <c r="H331" s="3"/>
      <c r="I331" s="3"/>
      <c r="J331" s="4"/>
      <c r="K331" s="3"/>
      <c r="L331" s="3"/>
    </row>
    <row r="332" spans="1:12" ht="15" x14ac:dyDescent="0.2">
      <c r="A332" s="5"/>
      <c r="B332" s="5"/>
      <c r="D332" s="3"/>
      <c r="E332" s="3"/>
      <c r="F332" s="3"/>
      <c r="G332" s="3"/>
      <c r="H332" s="3"/>
      <c r="I332" s="3"/>
      <c r="J332" s="4"/>
      <c r="K332" s="3"/>
      <c r="L332" s="3"/>
    </row>
    <row r="333" spans="1:12" ht="15" x14ac:dyDescent="0.2">
      <c r="A333" s="5"/>
      <c r="B333" s="5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5" x14ac:dyDescent="0.2">
      <c r="A334" s="5"/>
      <c r="B334" s="5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5" x14ac:dyDescent="0.2">
      <c r="A335" s="5"/>
      <c r="B335" s="5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5" x14ac:dyDescent="0.2">
      <c r="A336" s="5"/>
      <c r="B336" s="5"/>
      <c r="D336" s="3"/>
      <c r="E336" s="3"/>
      <c r="F336" s="3"/>
      <c r="G336" s="3"/>
      <c r="H336" s="3"/>
      <c r="I336" s="3"/>
      <c r="J336" s="4"/>
      <c r="K336" s="3"/>
      <c r="L336" s="3"/>
    </row>
    <row r="337" spans="1:12" ht="15" x14ac:dyDescent="0.2">
      <c r="A337" s="5"/>
      <c r="B337" s="5"/>
      <c r="D337" s="3"/>
      <c r="E337" s="3"/>
      <c r="F337" s="3"/>
      <c r="G337" s="3"/>
      <c r="H337" s="3"/>
      <c r="I337" s="3"/>
      <c r="J337" s="4"/>
      <c r="K337" s="3"/>
      <c r="L337" s="3"/>
    </row>
    <row r="338" spans="1:12" ht="15" x14ac:dyDescent="0.2">
      <c r="A338" s="5"/>
      <c r="B338" s="5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5" x14ac:dyDescent="0.2">
      <c r="A339" s="5"/>
      <c r="B339" s="5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5" x14ac:dyDescent="0.2">
      <c r="A340" s="5"/>
      <c r="B340" s="5"/>
      <c r="D340" s="3"/>
      <c r="E340" s="3"/>
      <c r="F340" s="3"/>
      <c r="G340" s="3"/>
      <c r="H340" s="3"/>
      <c r="I340" s="3"/>
      <c r="J340" s="4"/>
      <c r="K340" s="3"/>
      <c r="L340" s="3"/>
    </row>
    <row r="341" spans="1:12" ht="15" x14ac:dyDescent="0.2">
      <c r="A341" s="5"/>
      <c r="B341" s="5"/>
      <c r="D341" s="3"/>
      <c r="E341" s="3"/>
      <c r="F341" s="3"/>
      <c r="G341" s="3"/>
      <c r="H341" s="3"/>
      <c r="I341" s="3"/>
      <c r="J341" s="4"/>
      <c r="K341" s="3"/>
      <c r="L341" s="3"/>
    </row>
    <row r="342" spans="1:12" ht="15" x14ac:dyDescent="0.2">
      <c r="A342" s="5"/>
      <c r="B342" s="5"/>
      <c r="D342" s="3"/>
      <c r="E342" s="3"/>
      <c r="F342" s="3"/>
      <c r="G342" s="3"/>
      <c r="H342" s="3"/>
      <c r="I342" s="3"/>
      <c r="J342" s="4"/>
      <c r="K342" s="3"/>
      <c r="L342" s="3"/>
    </row>
    <row r="343" spans="1:12" ht="15" x14ac:dyDescent="0.2">
      <c r="A343" s="5"/>
      <c r="B343" s="5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5" x14ac:dyDescent="0.2">
      <c r="A344" s="5"/>
      <c r="B344" s="5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5" x14ac:dyDescent="0.2">
      <c r="A345" s="5"/>
      <c r="B345" s="5"/>
      <c r="D345" s="3"/>
      <c r="E345" s="3"/>
      <c r="F345" s="3"/>
      <c r="G345" s="3"/>
      <c r="H345" s="3"/>
      <c r="I345" s="3"/>
      <c r="J345" s="4"/>
      <c r="K345" s="3"/>
      <c r="L345" s="3"/>
    </row>
    <row r="346" spans="1:12" ht="15" x14ac:dyDescent="0.2">
      <c r="A346" s="5"/>
      <c r="B346" s="5"/>
      <c r="D346" s="3"/>
      <c r="E346" s="3"/>
      <c r="F346" s="3"/>
      <c r="G346" s="3"/>
      <c r="H346" s="3"/>
      <c r="I346" s="3"/>
      <c r="J346" s="4"/>
      <c r="K346" s="3"/>
      <c r="L346" s="3"/>
    </row>
    <row r="347" spans="1:12" ht="15" x14ac:dyDescent="0.2">
      <c r="A347" s="5"/>
      <c r="B347" s="5"/>
      <c r="D347" s="3"/>
      <c r="E347" s="3"/>
      <c r="F347" s="3"/>
      <c r="G347" s="3"/>
      <c r="H347" s="3"/>
      <c r="I347" s="3"/>
      <c r="J347" s="4"/>
      <c r="K347" s="3"/>
      <c r="L347" s="3"/>
    </row>
    <row r="348" spans="1:12" ht="15" x14ac:dyDescent="0.2">
      <c r="A348" s="5"/>
      <c r="B348" s="5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5" x14ac:dyDescent="0.2">
      <c r="A349" s="5"/>
      <c r="B349" s="5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5" x14ac:dyDescent="0.2">
      <c r="A350" s="5"/>
      <c r="B350" s="5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5" x14ac:dyDescent="0.2">
      <c r="A351" s="5"/>
      <c r="B351" s="5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5" x14ac:dyDescent="0.2">
      <c r="A352" s="5"/>
      <c r="B352" s="5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5" x14ac:dyDescent="0.2">
      <c r="A353" s="5"/>
      <c r="B353" s="5"/>
      <c r="D353" s="3"/>
      <c r="E353" s="3"/>
      <c r="F353" s="3"/>
      <c r="G353" s="3"/>
      <c r="H353" s="3"/>
      <c r="I353" s="3"/>
      <c r="J353" s="4"/>
      <c r="K353" s="3"/>
      <c r="L353" s="3"/>
    </row>
    <row r="354" spans="1:12" ht="15" x14ac:dyDescent="0.2">
      <c r="A354" s="5"/>
      <c r="B354" s="5"/>
      <c r="D354" s="3"/>
      <c r="E354" s="3"/>
      <c r="F354" s="3"/>
      <c r="G354" s="3"/>
      <c r="H354" s="3"/>
      <c r="I354" s="3"/>
      <c r="J354" s="4"/>
      <c r="K354" s="3"/>
      <c r="L354" s="3"/>
    </row>
    <row r="355" spans="1:12" ht="15" x14ac:dyDescent="0.2">
      <c r="A355" s="5"/>
      <c r="B355" s="5"/>
      <c r="D355" s="3"/>
      <c r="E355" s="3"/>
      <c r="F355" s="3"/>
      <c r="G355" s="3"/>
      <c r="H355" s="3"/>
      <c r="I355" s="3"/>
      <c r="J355" s="4"/>
      <c r="K355" s="3"/>
      <c r="L355" s="3"/>
    </row>
    <row r="356" spans="1:12" ht="15" x14ac:dyDescent="0.2">
      <c r="A356" s="5"/>
      <c r="B356" s="5"/>
      <c r="D356" s="3"/>
      <c r="E356" s="3"/>
      <c r="F356" s="3"/>
      <c r="G356" s="3"/>
      <c r="H356" s="3"/>
      <c r="I356" s="3"/>
      <c r="J356" s="4"/>
      <c r="K356" s="3"/>
      <c r="L356" s="3"/>
    </row>
    <row r="357" spans="1:12" ht="15" x14ac:dyDescent="0.2">
      <c r="A357" s="5"/>
      <c r="B357" s="5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5" x14ac:dyDescent="0.2">
      <c r="A358" s="5"/>
      <c r="B358" s="5"/>
      <c r="D358" s="3"/>
      <c r="E358" s="3"/>
      <c r="F358" s="3"/>
      <c r="G358" s="3"/>
      <c r="H358" s="3"/>
      <c r="I358" s="3"/>
      <c r="J358" s="4"/>
      <c r="K358" s="3"/>
      <c r="L358" s="3"/>
    </row>
    <row r="359" spans="1:12" ht="15" x14ac:dyDescent="0.2">
      <c r="A359" s="5"/>
      <c r="B359" s="5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5" x14ac:dyDescent="0.2">
      <c r="A360" s="5"/>
      <c r="B360" s="5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5" x14ac:dyDescent="0.2">
      <c r="A361" s="5"/>
      <c r="B361" s="5"/>
      <c r="D361" s="3"/>
      <c r="E361" s="3"/>
      <c r="F361" s="3"/>
      <c r="G361" s="3"/>
      <c r="H361" s="3"/>
      <c r="I361" s="3"/>
      <c r="J361" s="4"/>
      <c r="K361" s="3"/>
      <c r="L361" s="3"/>
    </row>
    <row r="362" spans="1:12" ht="15" x14ac:dyDescent="0.2">
      <c r="A362" s="5"/>
      <c r="B362" s="5"/>
      <c r="D362" s="3"/>
      <c r="E362" s="3"/>
      <c r="F362" s="3"/>
      <c r="G362" s="3"/>
      <c r="H362" s="3"/>
      <c r="I362" s="3"/>
      <c r="J362" s="4"/>
      <c r="K362" s="3"/>
      <c r="L362" s="3"/>
    </row>
    <row r="363" spans="1:12" ht="15" x14ac:dyDescent="0.2">
      <c r="A363" s="5"/>
      <c r="B363" s="5"/>
      <c r="D363" s="3"/>
      <c r="E363" s="3"/>
      <c r="F363" s="3"/>
      <c r="G363" s="3"/>
      <c r="H363" s="3"/>
      <c r="I363" s="3"/>
      <c r="J363" s="4"/>
      <c r="K363" s="3"/>
      <c r="L363" s="3"/>
    </row>
    <row r="364" spans="1:12" ht="15" x14ac:dyDescent="0.2">
      <c r="A364" s="5"/>
      <c r="B364" s="5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5" x14ac:dyDescent="0.2">
      <c r="A365" s="5"/>
      <c r="B365" s="5"/>
      <c r="D365" s="3"/>
      <c r="E365" s="3"/>
      <c r="F365" s="3"/>
      <c r="G365" s="3"/>
      <c r="H365" s="3"/>
      <c r="I365" s="3"/>
      <c r="J365" s="4"/>
      <c r="K365" s="3"/>
      <c r="L365" s="3"/>
    </row>
    <row r="366" spans="1:12" ht="15" x14ac:dyDescent="0.2">
      <c r="A366" s="5"/>
      <c r="B366" s="5"/>
      <c r="D366" s="3"/>
      <c r="E366" s="3"/>
      <c r="F366" s="3"/>
      <c r="G366" s="3"/>
      <c r="H366" s="3"/>
      <c r="I366" s="3"/>
      <c r="J366" s="4"/>
      <c r="K366" s="3"/>
      <c r="L366" s="3"/>
    </row>
    <row r="367" spans="1:12" ht="15" x14ac:dyDescent="0.2">
      <c r="A367" s="5"/>
      <c r="B367" s="5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5" x14ac:dyDescent="0.2">
      <c r="A368" s="5"/>
      <c r="B368" s="5"/>
      <c r="D368" s="3"/>
      <c r="E368" s="3"/>
      <c r="F368" s="3"/>
      <c r="G368" s="3"/>
      <c r="H368" s="3"/>
      <c r="I368" s="3"/>
      <c r="J368" s="4"/>
      <c r="K368" s="3"/>
      <c r="L368" s="3"/>
    </row>
    <row r="369" spans="1:12" ht="15" x14ac:dyDescent="0.2">
      <c r="A369" s="5"/>
      <c r="B369" s="5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5" x14ac:dyDescent="0.2">
      <c r="A370" s="5"/>
      <c r="B370" s="5"/>
      <c r="D370" s="3"/>
      <c r="E370" s="3"/>
      <c r="F370" s="3"/>
      <c r="G370" s="3"/>
      <c r="H370" s="3"/>
      <c r="I370" s="3"/>
      <c r="J370" s="4"/>
      <c r="K370" s="3"/>
      <c r="L370" s="3"/>
    </row>
    <row r="371" spans="1:12" ht="15" x14ac:dyDescent="0.2">
      <c r="A371" s="5"/>
      <c r="B371" s="5"/>
      <c r="D371" s="3"/>
      <c r="E371" s="3"/>
      <c r="F371" s="3"/>
      <c r="G371" s="3"/>
      <c r="H371" s="3"/>
      <c r="I371" s="3"/>
      <c r="J371" s="4"/>
      <c r="K371" s="3"/>
      <c r="L371" s="3"/>
    </row>
    <row r="372" spans="1:12" ht="15" x14ac:dyDescent="0.2">
      <c r="A372" s="5"/>
      <c r="B372" s="5"/>
      <c r="D372" s="3"/>
      <c r="E372" s="3"/>
      <c r="F372" s="3"/>
      <c r="G372" s="3"/>
      <c r="H372" s="3"/>
      <c r="I372" s="3"/>
      <c r="J372" s="4"/>
      <c r="K372" s="3"/>
      <c r="L372" s="3"/>
    </row>
    <row r="373" spans="1:12" ht="15" x14ac:dyDescent="0.2">
      <c r="A373" s="5"/>
      <c r="B373" s="5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5" x14ac:dyDescent="0.2">
      <c r="A374" s="5"/>
      <c r="B374" s="5"/>
      <c r="D374" s="3"/>
      <c r="E374" s="3"/>
      <c r="F374" s="3"/>
      <c r="G374" s="3"/>
      <c r="H374" s="3"/>
      <c r="I374" s="3"/>
      <c r="J374" s="4"/>
      <c r="K374" s="3"/>
      <c r="L374" s="3"/>
    </row>
    <row r="375" spans="1:12" ht="15" x14ac:dyDescent="0.2">
      <c r="A375" s="5"/>
      <c r="B375" s="5"/>
      <c r="D375" s="3"/>
      <c r="E375" s="3"/>
      <c r="F375" s="3"/>
      <c r="G375" s="3"/>
      <c r="H375" s="3"/>
      <c r="I375" s="3"/>
      <c r="J375" s="4"/>
      <c r="K375" s="3"/>
      <c r="L375" s="3"/>
    </row>
    <row r="376" spans="1:12" ht="15" x14ac:dyDescent="0.2">
      <c r="A376" s="5"/>
      <c r="B376" s="5"/>
      <c r="D376" s="3"/>
      <c r="E376" s="3"/>
      <c r="F376" s="3"/>
      <c r="G376" s="3"/>
      <c r="H376" s="3"/>
      <c r="I376" s="3"/>
      <c r="J376" s="4"/>
      <c r="K376" s="3"/>
      <c r="L376" s="3"/>
    </row>
    <row r="377" spans="1:12" ht="15" x14ac:dyDescent="0.2">
      <c r="A377" s="5"/>
      <c r="B377" s="5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5" x14ac:dyDescent="0.2">
      <c r="A378" s="5"/>
      <c r="B378" s="5"/>
      <c r="D378" s="3"/>
      <c r="E378" s="3"/>
      <c r="F378" s="3"/>
      <c r="G378" s="3"/>
      <c r="H378" s="3"/>
      <c r="I378" s="3"/>
      <c r="J378" s="4"/>
      <c r="K378" s="3"/>
      <c r="L378" s="3"/>
    </row>
    <row r="379" spans="1:12" ht="15" x14ac:dyDescent="0.2">
      <c r="A379" s="5"/>
      <c r="B379" s="5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5" x14ac:dyDescent="0.2">
      <c r="A380" s="5"/>
      <c r="B380" s="5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5" x14ac:dyDescent="0.2">
      <c r="A381" s="5"/>
      <c r="B381" s="5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5" x14ac:dyDescent="0.2">
      <c r="A382" s="5"/>
      <c r="B382" s="5"/>
      <c r="D382" s="3"/>
      <c r="E382" s="3"/>
      <c r="F382" s="3"/>
      <c r="G382" s="3"/>
      <c r="H382" s="3"/>
      <c r="I382" s="3"/>
      <c r="J382" s="4"/>
      <c r="K382" s="3"/>
      <c r="L382" s="3"/>
    </row>
    <row r="383" spans="1:12" ht="15" x14ac:dyDescent="0.2">
      <c r="A383" s="5"/>
      <c r="B383" s="5"/>
      <c r="D383" s="3"/>
      <c r="E383" s="3"/>
      <c r="F383" s="3"/>
      <c r="G383" s="3"/>
      <c r="H383" s="3"/>
      <c r="I383" s="3"/>
      <c r="J383" s="4"/>
      <c r="K383" s="3"/>
      <c r="L383" s="3"/>
    </row>
    <row r="384" spans="1:12" ht="15" x14ac:dyDescent="0.2">
      <c r="A384" s="5"/>
      <c r="B384" s="5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5" x14ac:dyDescent="0.2">
      <c r="A385" s="5"/>
      <c r="B385" s="5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5" x14ac:dyDescent="0.2">
      <c r="A386" s="5"/>
      <c r="B386" s="5"/>
      <c r="D386" s="3"/>
      <c r="E386" s="3"/>
      <c r="F386" s="3"/>
      <c r="G386" s="3"/>
      <c r="H386" s="3"/>
      <c r="I386" s="3"/>
      <c r="J386" s="4"/>
      <c r="K386" s="3"/>
      <c r="L386" s="3"/>
    </row>
    <row r="387" spans="1:12" ht="15" x14ac:dyDescent="0.2">
      <c r="A387" s="5"/>
      <c r="B387" s="5"/>
      <c r="D387" s="3"/>
      <c r="E387" s="3"/>
      <c r="F387" s="3"/>
      <c r="G387" s="3"/>
      <c r="H387" s="3"/>
      <c r="I387" s="3"/>
      <c r="J387" s="4"/>
      <c r="K387" s="3"/>
      <c r="L387" s="3"/>
    </row>
    <row r="388" spans="1:12" ht="15" x14ac:dyDescent="0.2">
      <c r="A388" s="5"/>
      <c r="B388" s="5"/>
      <c r="D388" s="3"/>
      <c r="E388" s="3"/>
      <c r="F388" s="3"/>
      <c r="G388" s="3"/>
      <c r="H388" s="3"/>
      <c r="I388" s="3"/>
      <c r="J388" s="4"/>
      <c r="K388" s="3"/>
      <c r="L388" s="3"/>
    </row>
    <row r="389" spans="1:12" ht="15" x14ac:dyDescent="0.2">
      <c r="A389" s="5"/>
      <c r="B389" s="5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5" x14ac:dyDescent="0.2">
      <c r="A390" s="5"/>
      <c r="B390" s="5"/>
      <c r="D390" s="3"/>
      <c r="E390" s="3"/>
      <c r="F390" s="3"/>
      <c r="G390" s="3"/>
      <c r="H390" s="3"/>
      <c r="I390" s="3"/>
      <c r="J390" s="4"/>
      <c r="K390" s="3"/>
      <c r="L390" s="3"/>
    </row>
    <row r="391" spans="1:12" ht="15" x14ac:dyDescent="0.2">
      <c r="A391" s="5"/>
      <c r="B391" s="5"/>
      <c r="D391" s="3"/>
      <c r="E391" s="3"/>
      <c r="F391" s="3"/>
      <c r="G391" s="3"/>
      <c r="H391" s="3"/>
      <c r="I391" s="3"/>
      <c r="J391" s="4"/>
      <c r="K391" s="3"/>
      <c r="L391" s="3"/>
    </row>
    <row r="392" spans="1:12" ht="15" x14ac:dyDescent="0.2">
      <c r="A392" s="5"/>
      <c r="B392" s="5"/>
      <c r="D392" s="3"/>
      <c r="E392" s="3"/>
      <c r="F392" s="3"/>
      <c r="G392" s="3"/>
      <c r="H392" s="3"/>
      <c r="I392" s="3"/>
      <c r="J392" s="4"/>
      <c r="K392" s="3"/>
      <c r="L392" s="3"/>
    </row>
    <row r="393" spans="1:12" ht="15" x14ac:dyDescent="0.2">
      <c r="A393" s="5"/>
      <c r="B393" s="5"/>
      <c r="D393" s="3"/>
      <c r="E393" s="3"/>
      <c r="F393" s="3"/>
      <c r="G393" s="3"/>
      <c r="H393" s="3"/>
      <c r="I393" s="3"/>
      <c r="J393" s="4"/>
      <c r="K393" s="3"/>
      <c r="L393" s="3"/>
    </row>
    <row r="394" spans="1:12" ht="15" x14ac:dyDescent="0.2">
      <c r="A394" s="5"/>
      <c r="B394" s="5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5" x14ac:dyDescent="0.2">
      <c r="A395" s="5"/>
      <c r="B395" s="5"/>
      <c r="D395" s="3"/>
      <c r="E395" s="3"/>
      <c r="F395" s="3"/>
      <c r="G395" s="3"/>
      <c r="H395" s="3"/>
      <c r="I395" s="3"/>
      <c r="J395" s="4"/>
      <c r="K395" s="3"/>
      <c r="L395" s="3"/>
    </row>
    <row r="396" spans="1:12" ht="15" x14ac:dyDescent="0.2">
      <c r="A396" s="5"/>
      <c r="B396" s="5"/>
      <c r="D396" s="3"/>
      <c r="E396" s="3"/>
      <c r="F396" s="3"/>
      <c r="G396" s="3"/>
      <c r="H396" s="3"/>
      <c r="I396" s="3"/>
      <c r="J396" s="4"/>
      <c r="K396" s="3"/>
      <c r="L396" s="3"/>
    </row>
    <row r="397" spans="1:12" ht="15" x14ac:dyDescent="0.2">
      <c r="A397" s="5"/>
      <c r="B397" s="5"/>
      <c r="D397" s="3"/>
      <c r="E397" s="3"/>
      <c r="F397" s="3"/>
      <c r="G397" s="3"/>
      <c r="H397" s="3"/>
      <c r="I397" s="3"/>
      <c r="J397" s="4"/>
      <c r="K397" s="3"/>
      <c r="L397" s="3"/>
    </row>
    <row r="398" spans="1:12" ht="15" x14ac:dyDescent="0.2">
      <c r="A398" s="5"/>
      <c r="B398" s="5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5" x14ac:dyDescent="0.2">
      <c r="A399" s="5"/>
      <c r="B399" s="5"/>
      <c r="D399" s="3"/>
      <c r="E399" s="3"/>
      <c r="F399" s="3"/>
      <c r="G399" s="3"/>
      <c r="H399" s="3"/>
      <c r="I399" s="3"/>
      <c r="J399" s="4"/>
      <c r="K399" s="3"/>
      <c r="L399" s="3"/>
    </row>
    <row r="400" spans="1:12" ht="15" x14ac:dyDescent="0.2">
      <c r="A400" s="5"/>
      <c r="B400" s="5"/>
      <c r="D400" s="3"/>
      <c r="E400" s="3"/>
      <c r="F400" s="3"/>
      <c r="G400" s="3"/>
      <c r="H400" s="3"/>
      <c r="I400" s="3"/>
      <c r="J400" s="4"/>
      <c r="K400" s="3"/>
      <c r="L400" s="3"/>
    </row>
    <row r="401" spans="1:12" ht="15" x14ac:dyDescent="0.2">
      <c r="A401" s="5"/>
      <c r="B401" s="5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5" x14ac:dyDescent="0.2">
      <c r="A402" s="5"/>
      <c r="B402" s="5"/>
      <c r="D402" s="3"/>
      <c r="E402" s="3"/>
      <c r="F402" s="3"/>
      <c r="G402" s="3"/>
      <c r="H402" s="3"/>
      <c r="I402" s="3"/>
      <c r="J402" s="4"/>
      <c r="K402" s="3"/>
      <c r="L402" s="3"/>
    </row>
    <row r="403" spans="1:12" ht="15" x14ac:dyDescent="0.2">
      <c r="A403" s="5"/>
      <c r="B403" s="5"/>
      <c r="D403" s="3"/>
      <c r="E403" s="3"/>
      <c r="F403" s="3"/>
      <c r="G403" s="3"/>
      <c r="H403" s="3"/>
      <c r="I403" s="3"/>
      <c r="J403" s="4"/>
      <c r="K403" s="3"/>
      <c r="L403" s="3"/>
    </row>
    <row r="404" spans="1:12" ht="15" x14ac:dyDescent="0.2">
      <c r="A404" s="5"/>
      <c r="B404" s="5"/>
      <c r="D404" s="3"/>
      <c r="E404" s="3"/>
      <c r="F404" s="3"/>
      <c r="G404" s="3"/>
      <c r="H404" s="3"/>
      <c r="I404" s="3"/>
      <c r="J404" s="4"/>
      <c r="K404" s="3"/>
      <c r="L404" s="3"/>
    </row>
    <row r="405" spans="1:12" ht="15" x14ac:dyDescent="0.2">
      <c r="A405" s="5"/>
      <c r="B405" s="5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5" x14ac:dyDescent="0.2">
      <c r="A406" s="5"/>
      <c r="B406" s="5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5" x14ac:dyDescent="0.2">
      <c r="A407" s="5"/>
      <c r="B407" s="5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5" x14ac:dyDescent="0.2">
      <c r="A408" s="5"/>
      <c r="B408" s="5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5" x14ac:dyDescent="0.2">
      <c r="A409" s="5"/>
      <c r="B409" s="5"/>
      <c r="D409" s="3"/>
      <c r="E409" s="3"/>
      <c r="F409" s="3"/>
      <c r="G409" s="3"/>
      <c r="H409" s="3"/>
      <c r="I409" s="3"/>
      <c r="J409" s="4"/>
      <c r="K409" s="3"/>
      <c r="L409" s="3"/>
    </row>
    <row r="410" spans="1:12" ht="15" x14ac:dyDescent="0.2">
      <c r="A410" s="5"/>
      <c r="B410" s="5"/>
      <c r="D410" s="3"/>
      <c r="E410" s="3"/>
      <c r="F410" s="3"/>
      <c r="G410" s="3"/>
      <c r="H410" s="3"/>
      <c r="I410" s="3"/>
      <c r="J410" s="4"/>
      <c r="K410" s="3"/>
      <c r="L410" s="3"/>
    </row>
    <row r="411" spans="1:12" ht="15" x14ac:dyDescent="0.2">
      <c r="A411" s="5"/>
      <c r="B411" s="5"/>
      <c r="D411" s="3"/>
      <c r="E411" s="3"/>
      <c r="F411" s="3"/>
      <c r="G411" s="3"/>
      <c r="H411" s="3"/>
      <c r="I411" s="3"/>
      <c r="J411" s="4"/>
      <c r="K411" s="3"/>
      <c r="L411" s="3"/>
    </row>
    <row r="412" spans="1:12" ht="15" x14ac:dyDescent="0.2">
      <c r="A412" s="5"/>
      <c r="B412" s="5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5" x14ac:dyDescent="0.2">
      <c r="A413" s="5"/>
      <c r="B413" s="5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5" x14ac:dyDescent="0.2">
      <c r="A414" s="5"/>
      <c r="B414" s="5"/>
      <c r="D414" s="3"/>
      <c r="E414" s="3"/>
      <c r="F414" s="3"/>
      <c r="G414" s="3"/>
      <c r="H414" s="3"/>
      <c r="I414" s="3"/>
      <c r="J414" s="4"/>
      <c r="K414" s="3"/>
      <c r="L414" s="3"/>
    </row>
    <row r="415" spans="1:12" ht="15" x14ac:dyDescent="0.2">
      <c r="A415" s="5"/>
      <c r="B415" s="5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5" x14ac:dyDescent="0.2">
      <c r="A416" s="5"/>
      <c r="B416" s="5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5" x14ac:dyDescent="0.2">
      <c r="A417" s="5"/>
      <c r="B417" s="5"/>
      <c r="D417" s="3"/>
      <c r="E417" s="3"/>
      <c r="F417" s="3"/>
      <c r="G417" s="3"/>
      <c r="H417" s="3"/>
      <c r="I417" s="3"/>
      <c r="J417" s="4"/>
      <c r="K417" s="3"/>
      <c r="L417" s="3"/>
    </row>
    <row r="418" spans="1:12" ht="15" x14ac:dyDescent="0.2">
      <c r="A418" s="5"/>
      <c r="B418" s="5"/>
      <c r="D418" s="3"/>
      <c r="E418" s="3"/>
      <c r="F418" s="3"/>
      <c r="G418" s="3"/>
      <c r="H418" s="3"/>
      <c r="I418" s="3"/>
      <c r="J418" s="4"/>
      <c r="K418" s="3"/>
      <c r="L418" s="3"/>
    </row>
    <row r="419" spans="1:12" ht="15" x14ac:dyDescent="0.2">
      <c r="A419" s="5"/>
      <c r="B419" s="5"/>
      <c r="D419" s="3"/>
      <c r="E419" s="3"/>
      <c r="F419" s="3"/>
      <c r="G419" s="3"/>
      <c r="H419" s="3"/>
      <c r="I419" s="3"/>
      <c r="J419" s="4"/>
      <c r="K419" s="3"/>
      <c r="L419" s="3"/>
    </row>
    <row r="420" spans="1:12" ht="15" x14ac:dyDescent="0.2">
      <c r="A420" s="5"/>
      <c r="B420" s="5"/>
      <c r="D420" s="3"/>
      <c r="E420" s="3"/>
      <c r="F420" s="3"/>
      <c r="G420" s="3"/>
      <c r="H420" s="3"/>
      <c r="I420" s="3"/>
      <c r="J420" s="4"/>
      <c r="K420" s="3"/>
      <c r="L420" s="3"/>
    </row>
    <row r="421" spans="1:12" ht="15" x14ac:dyDescent="0.2">
      <c r="A421" s="5"/>
      <c r="B421" s="5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5" x14ac:dyDescent="0.2">
      <c r="A422" s="5"/>
      <c r="B422" s="5"/>
      <c r="D422" s="3"/>
      <c r="E422" s="3"/>
      <c r="F422" s="3"/>
      <c r="G422" s="3"/>
      <c r="H422" s="3"/>
      <c r="I422" s="3"/>
      <c r="J422" s="4"/>
      <c r="K422" s="3"/>
      <c r="L422" s="3"/>
    </row>
    <row r="423" spans="1:12" ht="15" x14ac:dyDescent="0.2">
      <c r="A423" s="5"/>
      <c r="B423" s="5"/>
      <c r="D423" s="3"/>
      <c r="E423" s="3"/>
      <c r="F423" s="3"/>
      <c r="G423" s="3"/>
      <c r="H423" s="3"/>
      <c r="I423" s="3"/>
      <c r="J423" s="4"/>
      <c r="K423" s="3"/>
      <c r="L423" s="3"/>
    </row>
    <row r="424" spans="1:12" ht="15" x14ac:dyDescent="0.2">
      <c r="A424" s="5"/>
      <c r="B424" s="5"/>
      <c r="D424" s="3"/>
      <c r="E424" s="3"/>
      <c r="F424" s="3"/>
      <c r="G424" s="3"/>
      <c r="H424" s="3"/>
      <c r="I424" s="3"/>
      <c r="J424" s="4"/>
      <c r="K424" s="3"/>
      <c r="L424" s="3"/>
    </row>
    <row r="425" spans="1:12" ht="15" x14ac:dyDescent="0.2">
      <c r="A425" s="5"/>
      <c r="B425" s="5"/>
      <c r="D425" s="3"/>
      <c r="E425" s="3"/>
      <c r="F425" s="3"/>
      <c r="G425" s="3"/>
      <c r="H425" s="3"/>
      <c r="I425" s="3"/>
      <c r="J425" s="4"/>
      <c r="K425" s="3"/>
      <c r="L425" s="3"/>
    </row>
    <row r="426" spans="1:12" ht="15" x14ac:dyDescent="0.2">
      <c r="A426" s="5"/>
      <c r="B426" s="5"/>
      <c r="D426" s="3"/>
      <c r="E426" s="3"/>
      <c r="F426" s="3"/>
      <c r="G426" s="3"/>
      <c r="H426" s="3"/>
      <c r="I426" s="3"/>
      <c r="J426" s="4"/>
      <c r="K426" s="3"/>
      <c r="L426" s="3"/>
    </row>
    <row r="427" spans="1:12" ht="15" x14ac:dyDescent="0.2">
      <c r="A427" s="5"/>
      <c r="B427" s="5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5" x14ac:dyDescent="0.2">
      <c r="A428" s="5"/>
      <c r="B428" s="5"/>
      <c r="D428" s="3"/>
      <c r="E428" s="3"/>
      <c r="F428" s="3"/>
      <c r="G428" s="3"/>
      <c r="H428" s="3"/>
      <c r="I428" s="3"/>
      <c r="J428" s="4"/>
      <c r="K428" s="3"/>
      <c r="L428" s="3"/>
    </row>
    <row r="429" spans="1:12" ht="15" x14ac:dyDescent="0.2">
      <c r="A429" s="5"/>
      <c r="B429" s="5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5" x14ac:dyDescent="0.2">
      <c r="A430" s="5"/>
      <c r="B430" s="5"/>
      <c r="D430" s="3"/>
      <c r="E430" s="3"/>
      <c r="F430" s="3"/>
      <c r="G430" s="3"/>
      <c r="H430" s="3"/>
      <c r="I430" s="3"/>
      <c r="J430" s="4"/>
      <c r="K430" s="3"/>
      <c r="L430" s="3"/>
    </row>
    <row r="431" spans="1:12" ht="15" x14ac:dyDescent="0.2">
      <c r="A431" s="5"/>
      <c r="B431" s="5"/>
      <c r="D431" s="3"/>
      <c r="E431" s="3"/>
      <c r="F431" s="3"/>
      <c r="G431" s="3"/>
      <c r="H431" s="3"/>
      <c r="I431" s="3"/>
      <c r="J431" s="4"/>
      <c r="K431" s="3"/>
      <c r="L431" s="3"/>
    </row>
    <row r="432" spans="1:12" ht="15" x14ac:dyDescent="0.2">
      <c r="A432" s="5"/>
      <c r="B432" s="5"/>
      <c r="D432" s="3"/>
      <c r="E432" s="3"/>
      <c r="F432" s="3"/>
      <c r="G432" s="3"/>
      <c r="H432" s="3"/>
      <c r="I432" s="3"/>
      <c r="J432" s="4"/>
      <c r="K432" s="3"/>
      <c r="L432" s="3"/>
    </row>
    <row r="433" spans="1:12" ht="15" x14ac:dyDescent="0.2">
      <c r="A433" s="5"/>
      <c r="B433" s="5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5" x14ac:dyDescent="0.2">
      <c r="A434" s="5"/>
      <c r="B434" s="5"/>
      <c r="D434" s="3"/>
      <c r="E434" s="3"/>
      <c r="F434" s="3"/>
      <c r="G434" s="3"/>
      <c r="H434" s="3"/>
      <c r="I434" s="3"/>
      <c r="J434" s="4"/>
      <c r="K434" s="3"/>
      <c r="L434" s="3"/>
    </row>
    <row r="435" spans="1:12" ht="15" x14ac:dyDescent="0.2">
      <c r="A435" s="5"/>
      <c r="B435" s="5"/>
      <c r="D435" s="3"/>
      <c r="E435" s="3"/>
      <c r="F435" s="3"/>
      <c r="G435" s="3"/>
      <c r="H435" s="3"/>
      <c r="I435" s="3"/>
      <c r="J435" s="4"/>
      <c r="K435" s="3"/>
      <c r="L435" s="3"/>
    </row>
    <row r="436" spans="1:12" ht="15" x14ac:dyDescent="0.2">
      <c r="A436" s="5"/>
      <c r="B436" s="5"/>
      <c r="D436" s="3"/>
      <c r="E436" s="3"/>
      <c r="F436" s="3"/>
      <c r="G436" s="3"/>
      <c r="H436" s="3"/>
      <c r="I436" s="3"/>
      <c r="J436" s="4"/>
      <c r="K436" s="3"/>
      <c r="L436" s="3"/>
    </row>
    <row r="437" spans="1:12" ht="15" x14ac:dyDescent="0.2">
      <c r="A437" s="5"/>
      <c r="B437" s="5"/>
      <c r="D437" s="3"/>
      <c r="E437" s="3"/>
      <c r="F437" s="3"/>
      <c r="G437" s="3"/>
      <c r="H437" s="3"/>
      <c r="I437" s="3"/>
      <c r="J437" s="4"/>
      <c r="K437" s="3"/>
      <c r="L437" s="3"/>
    </row>
    <row r="438" spans="1:12" ht="15" x14ac:dyDescent="0.2">
      <c r="A438" s="5"/>
      <c r="B438" s="5"/>
      <c r="D438" s="3"/>
      <c r="E438" s="3"/>
      <c r="F438" s="3"/>
      <c r="G438" s="3"/>
      <c r="H438" s="3"/>
      <c r="I438" s="3"/>
      <c r="J438" s="4"/>
      <c r="K438" s="3"/>
      <c r="L438" s="3"/>
    </row>
    <row r="439" spans="1:12" ht="15" x14ac:dyDescent="0.2">
      <c r="A439" s="5"/>
      <c r="B439" s="5"/>
      <c r="D439" s="3"/>
      <c r="E439" s="3"/>
      <c r="F439" s="3"/>
      <c r="G439" s="3"/>
      <c r="H439" s="3"/>
      <c r="I439" s="3"/>
      <c r="J439" s="4"/>
      <c r="K439" s="3"/>
      <c r="L439" s="3"/>
    </row>
    <row r="440" spans="1:12" ht="15" x14ac:dyDescent="0.2">
      <c r="A440" s="5"/>
      <c r="B440" s="5"/>
      <c r="D440" s="3"/>
      <c r="E440" s="3"/>
      <c r="F440" s="3"/>
      <c r="G440" s="3"/>
      <c r="H440" s="3"/>
      <c r="I440" s="3"/>
      <c r="J440" s="4"/>
      <c r="K440" s="3"/>
      <c r="L440" s="3"/>
    </row>
    <row r="441" spans="1:12" ht="15" x14ac:dyDescent="0.2">
      <c r="A441" s="5"/>
      <c r="B441" s="5"/>
      <c r="D441" s="3"/>
      <c r="E441" s="3"/>
      <c r="F441" s="3"/>
      <c r="G441" s="3"/>
      <c r="H441" s="3"/>
      <c r="I441" s="3"/>
      <c r="J441" s="4"/>
      <c r="K441" s="3"/>
      <c r="L441" s="3"/>
    </row>
    <row r="442" spans="1:12" ht="15" x14ac:dyDescent="0.2">
      <c r="A442" s="5"/>
      <c r="B442" s="5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5" x14ac:dyDescent="0.2">
      <c r="A443" s="5"/>
      <c r="B443" s="5"/>
      <c r="D443" s="3"/>
      <c r="E443" s="3"/>
      <c r="F443" s="3"/>
      <c r="G443" s="3"/>
      <c r="H443" s="3"/>
      <c r="I443" s="3"/>
      <c r="J443" s="4"/>
      <c r="K443" s="3"/>
      <c r="L443" s="3"/>
    </row>
    <row r="444" spans="1:12" ht="15" x14ac:dyDescent="0.2">
      <c r="A444" s="5"/>
      <c r="B444" s="5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5" x14ac:dyDescent="0.2">
      <c r="A445" s="5"/>
      <c r="B445" s="5"/>
      <c r="D445" s="3"/>
      <c r="E445" s="3"/>
      <c r="F445" s="3"/>
      <c r="G445" s="3"/>
      <c r="H445" s="3"/>
      <c r="I445" s="3"/>
      <c r="J445" s="4"/>
      <c r="K445" s="3"/>
      <c r="L445" s="3"/>
    </row>
    <row r="446" spans="1:12" ht="15" x14ac:dyDescent="0.2">
      <c r="A446" s="5"/>
      <c r="B446" s="5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5" x14ac:dyDescent="0.2">
      <c r="A447" s="5"/>
      <c r="B447" s="5"/>
      <c r="D447" s="3"/>
      <c r="E447" s="3"/>
      <c r="F447" s="3"/>
      <c r="G447" s="3"/>
      <c r="H447" s="3"/>
      <c r="I447" s="3"/>
      <c r="J447" s="4"/>
      <c r="K447" s="3"/>
      <c r="L447" s="3"/>
    </row>
    <row r="448" spans="1:12" ht="15" x14ac:dyDescent="0.2">
      <c r="A448" s="5"/>
      <c r="B448" s="5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5" x14ac:dyDescent="0.2">
      <c r="A449" s="5"/>
      <c r="B449" s="5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5" x14ac:dyDescent="0.2">
      <c r="A450" s="5"/>
      <c r="B450" s="5"/>
      <c r="D450" s="3"/>
      <c r="E450" s="3"/>
      <c r="F450" s="3"/>
      <c r="G450" s="3"/>
      <c r="H450" s="3"/>
      <c r="I450" s="3"/>
      <c r="J450" s="4"/>
      <c r="K450" s="3"/>
      <c r="L450" s="3"/>
    </row>
    <row r="451" spans="1:12" ht="15" x14ac:dyDescent="0.2">
      <c r="A451" s="5"/>
      <c r="B451" s="5"/>
      <c r="D451" s="3"/>
      <c r="E451" s="3"/>
      <c r="F451" s="3"/>
      <c r="G451" s="3"/>
      <c r="H451" s="3"/>
      <c r="I451" s="3"/>
      <c r="J451" s="4"/>
      <c r="K451" s="3"/>
      <c r="L451" s="3"/>
    </row>
    <row r="452" spans="1:12" ht="15" x14ac:dyDescent="0.2">
      <c r="A452" s="5"/>
      <c r="B452" s="5"/>
      <c r="D452" s="3"/>
      <c r="E452" s="3"/>
      <c r="F452" s="3"/>
      <c r="G452" s="3"/>
      <c r="H452" s="3"/>
      <c r="I452" s="3"/>
      <c r="J452" s="4"/>
      <c r="K452" s="3"/>
      <c r="L452" s="3"/>
    </row>
    <row r="453" spans="1:12" ht="15" x14ac:dyDescent="0.2">
      <c r="A453" s="5"/>
      <c r="B453" s="5"/>
      <c r="D453" s="3"/>
      <c r="E453" s="3"/>
      <c r="F453" s="3"/>
      <c r="G453" s="3"/>
      <c r="H453" s="3"/>
      <c r="I453" s="3"/>
      <c r="J453" s="4"/>
      <c r="K453" s="3"/>
      <c r="L453" s="3"/>
    </row>
    <row r="454" spans="1:12" ht="15" x14ac:dyDescent="0.2">
      <c r="A454" s="5"/>
      <c r="B454" s="5"/>
      <c r="D454" s="3"/>
      <c r="E454" s="3"/>
      <c r="F454" s="3"/>
      <c r="G454" s="3"/>
      <c r="H454" s="3"/>
      <c r="I454" s="3"/>
      <c r="J454" s="4"/>
      <c r="K454" s="3"/>
      <c r="L454" s="3"/>
    </row>
    <row r="455" spans="1:12" ht="15" x14ac:dyDescent="0.2">
      <c r="A455" s="5"/>
      <c r="B455" s="5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5" x14ac:dyDescent="0.2">
      <c r="A456" s="5"/>
      <c r="B456" s="5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5" x14ac:dyDescent="0.2">
      <c r="A457" s="5"/>
      <c r="B457" s="5"/>
      <c r="D457" s="3"/>
      <c r="E457" s="3"/>
      <c r="F457" s="3"/>
      <c r="G457" s="3"/>
      <c r="H457" s="3"/>
      <c r="I457" s="3"/>
      <c r="J457" s="4"/>
      <c r="K457" s="3"/>
      <c r="L457" s="3"/>
    </row>
    <row r="458" spans="1:12" ht="15" x14ac:dyDescent="0.2">
      <c r="A458" s="5"/>
      <c r="B458" s="5"/>
      <c r="D458" s="3"/>
      <c r="E458" s="3"/>
      <c r="F458" s="3"/>
      <c r="G458" s="3"/>
      <c r="H458" s="3"/>
      <c r="I458" s="3"/>
      <c r="J458" s="4"/>
      <c r="K458" s="3"/>
      <c r="L458" s="3"/>
    </row>
    <row r="459" spans="1:12" ht="15" x14ac:dyDescent="0.2">
      <c r="A459" s="5"/>
      <c r="B459" s="5"/>
      <c r="D459" s="3"/>
      <c r="E459" s="3"/>
      <c r="F459" s="3"/>
      <c r="G459" s="3"/>
      <c r="H459" s="3"/>
      <c r="I459" s="3"/>
      <c r="J459" s="4"/>
      <c r="K459" s="3"/>
      <c r="L459" s="3"/>
    </row>
    <row r="460" spans="1:12" ht="15" x14ac:dyDescent="0.2">
      <c r="A460" s="5"/>
      <c r="B460" s="5"/>
      <c r="D460" s="3"/>
      <c r="E460" s="3"/>
      <c r="F460" s="3"/>
      <c r="G460" s="3"/>
      <c r="H460" s="3"/>
      <c r="I460" s="3"/>
      <c r="J460" s="4"/>
      <c r="K460" s="3"/>
      <c r="L460" s="3"/>
    </row>
    <row r="461" spans="1:12" ht="15" x14ac:dyDescent="0.2">
      <c r="A461" s="5"/>
      <c r="B461" s="5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5" x14ac:dyDescent="0.2">
      <c r="A462" s="5"/>
      <c r="B462" s="5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5" x14ac:dyDescent="0.2">
      <c r="A463" s="5"/>
      <c r="B463" s="5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5" x14ac:dyDescent="0.2">
      <c r="A464" s="5"/>
      <c r="B464" s="5"/>
      <c r="D464" s="3"/>
      <c r="E464" s="3"/>
      <c r="F464" s="3"/>
      <c r="G464" s="3"/>
      <c r="H464" s="3"/>
      <c r="I464" s="3"/>
      <c r="J464" s="4"/>
      <c r="K464" s="3"/>
      <c r="L464" s="3"/>
    </row>
    <row r="465" spans="1:12" ht="15" x14ac:dyDescent="0.2">
      <c r="A465" s="5"/>
      <c r="B465" s="5"/>
      <c r="D465" s="3"/>
      <c r="E465" s="3"/>
      <c r="F465" s="3"/>
      <c r="G465" s="3"/>
      <c r="H465" s="3"/>
      <c r="I465" s="3"/>
      <c r="J465" s="4"/>
      <c r="K465" s="3"/>
      <c r="L465" s="3"/>
    </row>
    <row r="466" spans="1:12" ht="15" x14ac:dyDescent="0.2">
      <c r="A466" s="5"/>
      <c r="B466" s="5"/>
      <c r="D466" s="3"/>
      <c r="E466" s="3"/>
      <c r="F466" s="3"/>
      <c r="G466" s="3"/>
      <c r="H466" s="3"/>
      <c r="I466" s="3"/>
      <c r="J466" s="4"/>
      <c r="K466" s="3"/>
      <c r="L466" s="3"/>
    </row>
    <row r="467" spans="1:12" ht="15" x14ac:dyDescent="0.2">
      <c r="A467" s="5"/>
      <c r="B467" s="5"/>
      <c r="D467" s="3"/>
      <c r="E467" s="3"/>
      <c r="F467" s="3"/>
      <c r="G467" s="3"/>
      <c r="H467" s="3"/>
      <c r="I467" s="3"/>
      <c r="J467" s="4"/>
      <c r="K467" s="3"/>
      <c r="L467" s="3"/>
    </row>
    <row r="468" spans="1:12" ht="15" x14ac:dyDescent="0.2">
      <c r="A468" s="5"/>
      <c r="B468" s="5"/>
      <c r="D468" s="3"/>
      <c r="E468" s="3"/>
      <c r="F468" s="3"/>
      <c r="G468" s="3"/>
      <c r="H468" s="3"/>
      <c r="I468" s="3"/>
      <c r="J468" s="4"/>
      <c r="K468" s="3"/>
      <c r="L468" s="3"/>
    </row>
    <row r="469" spans="1:12" ht="15" x14ac:dyDescent="0.2">
      <c r="A469" s="5"/>
      <c r="B469" s="5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5" x14ac:dyDescent="0.2">
      <c r="A470" s="5"/>
      <c r="B470" s="5"/>
      <c r="D470" s="3"/>
      <c r="E470" s="3"/>
      <c r="F470" s="3"/>
      <c r="G470" s="3"/>
      <c r="H470" s="3"/>
      <c r="I470" s="3"/>
      <c r="J470" s="4"/>
      <c r="K470" s="3"/>
      <c r="L470" s="3"/>
    </row>
    <row r="471" spans="1:12" ht="15" x14ac:dyDescent="0.2">
      <c r="A471" s="5"/>
      <c r="B471" s="5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5" x14ac:dyDescent="0.2">
      <c r="A472" s="5"/>
      <c r="B472" s="5"/>
      <c r="D472" s="3"/>
      <c r="E472" s="3"/>
      <c r="F472" s="3"/>
      <c r="G472" s="3"/>
      <c r="H472" s="3"/>
      <c r="I472" s="3"/>
      <c r="J472" s="4"/>
      <c r="K472" s="3"/>
      <c r="L472" s="3"/>
    </row>
    <row r="473" spans="1:12" ht="15" x14ac:dyDescent="0.2">
      <c r="A473" s="5"/>
      <c r="B473" s="5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5" x14ac:dyDescent="0.2">
      <c r="A474" s="5"/>
      <c r="B474" s="5"/>
      <c r="D474" s="3"/>
      <c r="E474" s="3"/>
      <c r="F474" s="3"/>
      <c r="G474" s="3"/>
      <c r="H474" s="3"/>
      <c r="I474" s="3"/>
      <c r="J474" s="4"/>
      <c r="K474" s="3"/>
      <c r="L474" s="3"/>
    </row>
    <row r="475" spans="1:12" ht="15" x14ac:dyDescent="0.2">
      <c r="A475" s="5"/>
      <c r="B475" s="5"/>
      <c r="D475" s="3"/>
      <c r="E475" s="3"/>
      <c r="F475" s="3"/>
      <c r="G475" s="3"/>
      <c r="H475" s="3"/>
      <c r="I475" s="3"/>
      <c r="J475" s="4"/>
      <c r="K475" s="3"/>
      <c r="L475" s="3"/>
    </row>
    <row r="476" spans="1:12" ht="15" x14ac:dyDescent="0.2">
      <c r="A476" s="5"/>
      <c r="B476" s="5"/>
      <c r="D476" s="3"/>
      <c r="E476" s="3"/>
      <c r="F476" s="3"/>
      <c r="G476" s="3"/>
      <c r="H476" s="3"/>
      <c r="I476" s="3"/>
      <c r="J476" s="4"/>
      <c r="K476" s="3"/>
      <c r="L476" s="3"/>
    </row>
    <row r="477" spans="1:12" ht="15" x14ac:dyDescent="0.2">
      <c r="A477" s="5"/>
      <c r="B477" s="5"/>
      <c r="D477" s="3"/>
      <c r="E477" s="3"/>
      <c r="F477" s="3"/>
      <c r="G477" s="3"/>
      <c r="H477" s="3"/>
      <c r="I477" s="3"/>
      <c r="J477" s="4"/>
      <c r="K477" s="3"/>
      <c r="L477" s="3"/>
    </row>
    <row r="478" spans="1:12" ht="15" x14ac:dyDescent="0.2">
      <c r="A478" s="5"/>
      <c r="B478" s="5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5" x14ac:dyDescent="0.2">
      <c r="A479" s="5"/>
      <c r="B479" s="5"/>
      <c r="D479" s="3"/>
      <c r="E479" s="3"/>
      <c r="F479" s="3"/>
      <c r="G479" s="3"/>
      <c r="H479" s="3"/>
      <c r="I479" s="3"/>
      <c r="J479" s="4"/>
      <c r="K479" s="3"/>
      <c r="L479" s="3"/>
    </row>
    <row r="480" spans="1:12" ht="15" x14ac:dyDescent="0.2">
      <c r="A480" s="5"/>
      <c r="B480" s="5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5" x14ac:dyDescent="0.2">
      <c r="A481" s="5"/>
      <c r="B481" s="5"/>
      <c r="D481" s="3"/>
      <c r="E481" s="3"/>
      <c r="F481" s="3"/>
      <c r="G481" s="3"/>
      <c r="H481" s="3"/>
      <c r="I481" s="3"/>
      <c r="J481" s="4"/>
      <c r="K481" s="3"/>
      <c r="L481" s="3"/>
    </row>
    <row r="482" spans="1:12" ht="15" x14ac:dyDescent="0.2">
      <c r="A482" s="5"/>
      <c r="B482" s="5"/>
      <c r="D482" s="3"/>
      <c r="E482" s="3"/>
      <c r="F482" s="3"/>
      <c r="G482" s="3"/>
      <c r="H482" s="3"/>
      <c r="I482" s="3"/>
      <c r="J482" s="4"/>
      <c r="K482" s="3"/>
      <c r="L482" s="3"/>
    </row>
    <row r="483" spans="1:12" ht="15" x14ac:dyDescent="0.2">
      <c r="A483" s="5"/>
      <c r="B483" s="5"/>
      <c r="D483" s="3"/>
      <c r="E483" s="3"/>
      <c r="F483" s="3"/>
      <c r="G483" s="3"/>
      <c r="H483" s="3"/>
      <c r="I483" s="3"/>
      <c r="J483" s="4"/>
      <c r="K483" s="3"/>
      <c r="L483" s="3"/>
    </row>
    <row r="484" spans="1:12" ht="15" x14ac:dyDescent="0.2">
      <c r="A484" s="5"/>
      <c r="B484" s="5"/>
      <c r="D484" s="3"/>
      <c r="E484" s="3"/>
      <c r="F484" s="3"/>
      <c r="G484" s="3"/>
      <c r="H484" s="3"/>
      <c r="I484" s="3"/>
      <c r="J484" s="4"/>
      <c r="K484" s="3"/>
      <c r="L484" s="3"/>
    </row>
    <row r="485" spans="1:12" ht="15" x14ac:dyDescent="0.2">
      <c r="A485" s="5"/>
      <c r="B485" s="5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5" x14ac:dyDescent="0.2">
      <c r="A486" s="5"/>
      <c r="B486" s="5"/>
      <c r="D486" s="3"/>
      <c r="E486" s="3"/>
      <c r="F486" s="3"/>
      <c r="G486" s="3"/>
      <c r="H486" s="3"/>
      <c r="I486" s="3"/>
      <c r="J486" s="4"/>
      <c r="K486" s="3"/>
      <c r="L486" s="3"/>
    </row>
    <row r="487" spans="1:12" ht="15" x14ac:dyDescent="0.2">
      <c r="A487" s="5"/>
      <c r="B487" s="5"/>
      <c r="D487" s="3"/>
      <c r="E487" s="3"/>
      <c r="F487" s="3"/>
      <c r="G487" s="3"/>
      <c r="H487" s="3"/>
      <c r="I487" s="3"/>
      <c r="J487" s="4"/>
      <c r="K487" s="3"/>
      <c r="L487" s="3"/>
    </row>
    <row r="488" spans="1:12" ht="15" x14ac:dyDescent="0.2">
      <c r="A488" s="5"/>
      <c r="B488" s="5"/>
      <c r="D488" s="3"/>
      <c r="E488" s="3"/>
      <c r="F488" s="3"/>
      <c r="G488" s="3"/>
      <c r="H488" s="3"/>
      <c r="I488" s="3"/>
      <c r="J488" s="4"/>
      <c r="K488" s="3"/>
      <c r="L488" s="3"/>
    </row>
    <row r="489" spans="1:12" ht="15" x14ac:dyDescent="0.2">
      <c r="A489" s="5"/>
      <c r="B489" s="5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5" x14ac:dyDescent="0.2">
      <c r="A490" s="5"/>
      <c r="B490" s="5"/>
      <c r="D490" s="3"/>
      <c r="E490" s="3"/>
      <c r="F490" s="3"/>
      <c r="G490" s="3"/>
      <c r="H490" s="3"/>
      <c r="I490" s="3"/>
      <c r="J490" s="4"/>
      <c r="K490" s="3"/>
      <c r="L490" s="3"/>
    </row>
    <row r="491" spans="1:12" ht="15" x14ac:dyDescent="0.2">
      <c r="A491" s="5"/>
      <c r="B491" s="5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5" x14ac:dyDescent="0.2">
      <c r="A492" s="5"/>
      <c r="B492" s="5"/>
      <c r="D492" s="3"/>
      <c r="E492" s="3"/>
      <c r="F492" s="3"/>
      <c r="G492" s="3"/>
      <c r="H492" s="3"/>
      <c r="I492" s="3"/>
      <c r="J492" s="4"/>
      <c r="K492" s="3"/>
      <c r="L492" s="3"/>
    </row>
    <row r="493" spans="1:12" ht="15" x14ac:dyDescent="0.2">
      <c r="A493" s="5"/>
      <c r="B493" s="5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5" x14ac:dyDescent="0.2">
      <c r="A494" s="5"/>
      <c r="B494" s="5"/>
      <c r="D494" s="3"/>
      <c r="E494" s="3"/>
      <c r="F494" s="3"/>
      <c r="G494" s="3"/>
      <c r="H494" s="3"/>
      <c r="I494" s="3"/>
      <c r="J494" s="4"/>
      <c r="K494" s="3"/>
      <c r="L494" s="3"/>
    </row>
    <row r="495" spans="1:12" ht="15" x14ac:dyDescent="0.2">
      <c r="A495" s="5"/>
      <c r="B495" s="5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5" x14ac:dyDescent="0.2">
      <c r="A496" s="5"/>
      <c r="B496" s="5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5" x14ac:dyDescent="0.2">
      <c r="A497" s="5"/>
      <c r="B497" s="5"/>
      <c r="D497" s="3"/>
      <c r="E497" s="3"/>
      <c r="F497" s="3"/>
      <c r="G497" s="3"/>
      <c r="H497" s="3"/>
      <c r="I497" s="3"/>
      <c r="J497" s="4"/>
      <c r="K497" s="3"/>
      <c r="L497" s="3"/>
    </row>
    <row r="498" spans="1:12" ht="15" x14ac:dyDescent="0.2">
      <c r="A498" s="5"/>
      <c r="B498" s="5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5" x14ac:dyDescent="0.2">
      <c r="A499" s="5"/>
      <c r="B499" s="5"/>
      <c r="D499" s="3"/>
      <c r="E499" s="3"/>
      <c r="F499" s="3"/>
      <c r="G499" s="3"/>
      <c r="H499" s="3"/>
      <c r="I499" s="3"/>
      <c r="J499" s="4"/>
      <c r="K499" s="3"/>
      <c r="L499" s="3"/>
    </row>
    <row r="500" spans="1:12" ht="15" x14ac:dyDescent="0.2">
      <c r="A500" s="5"/>
      <c r="B500" s="5"/>
      <c r="D500" s="3"/>
      <c r="E500" s="3"/>
      <c r="F500" s="3"/>
      <c r="G500" s="3"/>
      <c r="H500" s="3"/>
      <c r="I500" s="3"/>
      <c r="J500" s="4"/>
      <c r="K500" s="3"/>
      <c r="L500" s="3"/>
    </row>
    <row r="501" spans="1:12" ht="15" x14ac:dyDescent="0.2">
      <c r="A501" s="5"/>
      <c r="B501" s="5"/>
      <c r="D501" s="3"/>
      <c r="E501" s="3"/>
      <c r="F501" s="3"/>
      <c r="G501" s="3"/>
      <c r="H501" s="3"/>
      <c r="I501" s="3"/>
      <c r="J501" s="4"/>
      <c r="K501" s="3"/>
      <c r="L501" s="3"/>
    </row>
    <row r="502" spans="1:12" ht="15" x14ac:dyDescent="0.2">
      <c r="A502" s="5"/>
      <c r="B502" s="5"/>
      <c r="D502" s="3"/>
      <c r="E502" s="3"/>
      <c r="F502" s="3"/>
      <c r="G502" s="3"/>
      <c r="H502" s="3"/>
      <c r="I502" s="3"/>
      <c r="J502" s="4"/>
      <c r="K502" s="3"/>
      <c r="L502" s="3"/>
    </row>
    <row r="503" spans="1:12" ht="15" x14ac:dyDescent="0.2">
      <c r="A503" s="5"/>
      <c r="B503" s="5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5" x14ac:dyDescent="0.2">
      <c r="A504" s="5"/>
      <c r="B504" s="5"/>
      <c r="D504" s="3"/>
      <c r="E504" s="3"/>
      <c r="F504" s="3"/>
      <c r="G504" s="3"/>
      <c r="H504" s="3"/>
      <c r="I504" s="3"/>
      <c r="J504" s="4"/>
      <c r="K504" s="3"/>
      <c r="L504" s="3"/>
    </row>
    <row r="505" spans="1:12" ht="15" x14ac:dyDescent="0.2">
      <c r="A505" s="5"/>
      <c r="B505" s="5"/>
      <c r="D505" s="3"/>
      <c r="E505" s="3"/>
      <c r="F505" s="3"/>
      <c r="G505" s="3"/>
      <c r="H505" s="3"/>
      <c r="I505" s="3"/>
      <c r="J505" s="4"/>
      <c r="K505" s="3"/>
      <c r="L505" s="3"/>
    </row>
    <row r="506" spans="1:12" ht="15" x14ac:dyDescent="0.2">
      <c r="A506" s="5"/>
      <c r="B506" s="5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5" x14ac:dyDescent="0.2">
      <c r="A507" s="5"/>
      <c r="B507" s="5"/>
      <c r="D507" s="3"/>
      <c r="E507" s="3"/>
      <c r="F507" s="3"/>
      <c r="G507" s="3"/>
      <c r="H507" s="3"/>
      <c r="I507" s="3"/>
      <c r="J507" s="4"/>
      <c r="K507" s="3"/>
      <c r="L507" s="3"/>
    </row>
    <row r="508" spans="1:12" ht="15" x14ac:dyDescent="0.2">
      <c r="A508" s="5"/>
      <c r="B508" s="5"/>
      <c r="D508" s="3"/>
      <c r="E508" s="3"/>
      <c r="F508" s="3"/>
      <c r="G508" s="3"/>
      <c r="H508" s="3"/>
      <c r="I508" s="3"/>
      <c r="J508" s="4"/>
      <c r="K508" s="3"/>
      <c r="L508" s="3"/>
    </row>
    <row r="509" spans="1:12" ht="15" x14ac:dyDescent="0.2">
      <c r="A509" s="5"/>
      <c r="B509" s="5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5" x14ac:dyDescent="0.2">
      <c r="A510" s="5"/>
      <c r="B510" s="5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5" x14ac:dyDescent="0.2">
      <c r="A511" s="5"/>
      <c r="B511" s="5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5" x14ac:dyDescent="0.2">
      <c r="A512" s="5"/>
      <c r="B512" s="5"/>
      <c r="D512" s="3"/>
      <c r="E512" s="3"/>
      <c r="F512" s="3"/>
      <c r="G512" s="3"/>
      <c r="H512" s="3"/>
      <c r="I512" s="3"/>
      <c r="J512" s="4"/>
      <c r="K512" s="3"/>
      <c r="L512" s="3"/>
    </row>
    <row r="513" spans="1:12" ht="15" x14ac:dyDescent="0.2">
      <c r="A513" s="5"/>
      <c r="B513" s="5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5" x14ac:dyDescent="0.2">
      <c r="A514" s="5"/>
      <c r="B514" s="5"/>
      <c r="D514" s="3"/>
      <c r="E514" s="3"/>
      <c r="F514" s="3"/>
      <c r="G514" s="3"/>
      <c r="H514" s="3"/>
      <c r="I514" s="3"/>
      <c r="J514" s="4"/>
      <c r="K514" s="3"/>
      <c r="L514" s="3"/>
    </row>
    <row r="515" spans="1:12" ht="15" x14ac:dyDescent="0.2">
      <c r="A515" s="5"/>
      <c r="B515" s="5"/>
      <c r="D515" s="3"/>
      <c r="E515" s="3"/>
      <c r="F515" s="3"/>
      <c r="G515" s="3"/>
      <c r="H515" s="3"/>
      <c r="I515" s="3"/>
      <c r="J515" s="4"/>
      <c r="K515" s="3"/>
      <c r="L515" s="3"/>
    </row>
    <row r="516" spans="1:12" ht="15" x14ac:dyDescent="0.2">
      <c r="A516" s="5"/>
      <c r="B516" s="5"/>
      <c r="D516" s="3"/>
      <c r="E516" s="3"/>
      <c r="F516" s="3"/>
      <c r="G516" s="3"/>
      <c r="H516" s="3"/>
      <c r="I516" s="3"/>
      <c r="J516" s="4"/>
      <c r="K516" s="3"/>
      <c r="L516" s="3"/>
    </row>
    <row r="517" spans="1:12" ht="15" x14ac:dyDescent="0.2">
      <c r="A517" s="5"/>
      <c r="B517" s="5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5" x14ac:dyDescent="0.2">
      <c r="A518" s="5"/>
      <c r="B518" s="5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5" x14ac:dyDescent="0.2">
      <c r="A519" s="5"/>
      <c r="B519" s="5"/>
      <c r="D519" s="3"/>
      <c r="E519" s="3"/>
      <c r="F519" s="3"/>
      <c r="G519" s="3"/>
      <c r="H519" s="3"/>
      <c r="I519" s="3"/>
      <c r="J519" s="4"/>
      <c r="K519" s="3"/>
      <c r="L519" s="3"/>
    </row>
    <row r="520" spans="1:12" ht="15" x14ac:dyDescent="0.2">
      <c r="A520" s="5"/>
      <c r="B520" s="5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5" x14ac:dyDescent="0.2">
      <c r="A521" s="5"/>
      <c r="B521" s="5"/>
      <c r="D521" s="3"/>
      <c r="E521" s="3"/>
      <c r="F521" s="3"/>
      <c r="G521" s="3"/>
      <c r="H521" s="3"/>
      <c r="I521" s="3"/>
      <c r="J521" s="4"/>
      <c r="K521" s="3"/>
      <c r="L521" s="3"/>
    </row>
    <row r="522" spans="1:12" ht="15" x14ac:dyDescent="0.2">
      <c r="A522" s="5"/>
      <c r="B522" s="5"/>
      <c r="D522" s="3"/>
      <c r="E522" s="3"/>
      <c r="F522" s="3"/>
      <c r="G522" s="3"/>
      <c r="H522" s="3"/>
      <c r="I522" s="3"/>
      <c r="J522" s="4"/>
      <c r="K522" s="3"/>
      <c r="L522" s="3"/>
    </row>
    <row r="523" spans="1:12" ht="15" x14ac:dyDescent="0.2">
      <c r="A523" s="5"/>
      <c r="B523" s="5"/>
      <c r="D523" s="3"/>
      <c r="E523" s="3"/>
      <c r="F523" s="3"/>
      <c r="G523" s="3"/>
      <c r="H523" s="3"/>
      <c r="I523" s="3"/>
      <c r="J523" s="4"/>
      <c r="K523" s="3"/>
      <c r="L523" s="3"/>
    </row>
    <row r="524" spans="1:12" ht="15" x14ac:dyDescent="0.2">
      <c r="A524" s="5"/>
      <c r="B524" s="5"/>
      <c r="D524" s="3"/>
      <c r="E524" s="3"/>
      <c r="F524" s="3"/>
      <c r="G524" s="3"/>
      <c r="H524" s="3"/>
      <c r="I524" s="3"/>
      <c r="J524" s="4"/>
      <c r="K524" s="3"/>
      <c r="L524" s="3"/>
    </row>
    <row r="525" spans="1:12" ht="15" x14ac:dyDescent="0.2">
      <c r="A525" s="5"/>
      <c r="B525" s="5"/>
      <c r="D525" s="3"/>
      <c r="E525" s="3"/>
      <c r="F525" s="3"/>
      <c r="G525" s="3"/>
      <c r="H525" s="3"/>
      <c r="I525" s="3"/>
      <c r="J525" s="4"/>
      <c r="K525" s="3"/>
      <c r="L525" s="3"/>
    </row>
    <row r="526" spans="1:12" ht="15" x14ac:dyDescent="0.2">
      <c r="A526" s="5"/>
      <c r="B526" s="5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5" x14ac:dyDescent="0.2">
      <c r="A527" s="5"/>
      <c r="B527" s="5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5" x14ac:dyDescent="0.2">
      <c r="A528" s="5"/>
      <c r="B528" s="5"/>
      <c r="D528" s="3"/>
      <c r="E528" s="3"/>
      <c r="F528" s="3"/>
      <c r="G528" s="3"/>
      <c r="H528" s="3"/>
      <c r="I528" s="3"/>
      <c r="J528" s="4"/>
      <c r="K528" s="3"/>
      <c r="L528" s="3"/>
    </row>
    <row r="529" spans="1:12" ht="15" x14ac:dyDescent="0.2">
      <c r="A529" s="5"/>
      <c r="B529" s="5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5" x14ac:dyDescent="0.2">
      <c r="A530" s="5"/>
      <c r="B530" s="5"/>
      <c r="D530" s="3"/>
      <c r="E530" s="3"/>
      <c r="F530" s="3"/>
      <c r="G530" s="3"/>
      <c r="H530" s="3"/>
      <c r="I530" s="3"/>
      <c r="J530" s="4"/>
      <c r="K530" s="3"/>
      <c r="L530" s="3"/>
    </row>
    <row r="531" spans="1:12" ht="15" x14ac:dyDescent="0.2">
      <c r="A531" s="5"/>
      <c r="B531" s="5"/>
      <c r="D531" s="3"/>
      <c r="E531" s="3"/>
      <c r="F531" s="3"/>
      <c r="G531" s="3"/>
      <c r="H531" s="3"/>
      <c r="I531" s="3"/>
      <c r="J531" s="4"/>
      <c r="K531" s="3"/>
      <c r="L531" s="3"/>
    </row>
    <row r="532" spans="1:12" ht="15" x14ac:dyDescent="0.2">
      <c r="A532" s="5"/>
      <c r="B532" s="5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5" x14ac:dyDescent="0.2">
      <c r="A533" s="5"/>
      <c r="B533" s="5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5" x14ac:dyDescent="0.2">
      <c r="A534" s="5"/>
      <c r="B534" s="5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5" x14ac:dyDescent="0.2">
      <c r="A535" s="5"/>
      <c r="B535" s="5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5" x14ac:dyDescent="0.2">
      <c r="A536" s="5"/>
      <c r="B536" s="5"/>
      <c r="D536" s="3"/>
      <c r="E536" s="3"/>
      <c r="F536" s="3"/>
      <c r="G536" s="3"/>
      <c r="H536" s="3"/>
      <c r="I536" s="3"/>
      <c r="J536" s="4"/>
      <c r="K536" s="3"/>
      <c r="L536" s="3"/>
    </row>
    <row r="537" spans="1:12" ht="15" x14ac:dyDescent="0.2">
      <c r="A537" s="5"/>
      <c r="B537" s="5"/>
      <c r="D537" s="3"/>
      <c r="E537" s="3"/>
      <c r="F537" s="3"/>
      <c r="G537" s="3"/>
      <c r="H537" s="3"/>
      <c r="I537" s="3"/>
      <c r="J537" s="4"/>
      <c r="K537" s="3"/>
      <c r="L537" s="3"/>
    </row>
    <row r="538" spans="1:12" ht="15" x14ac:dyDescent="0.2">
      <c r="A538" s="5"/>
      <c r="B538" s="5"/>
      <c r="D538" s="3"/>
      <c r="E538" s="3"/>
      <c r="F538" s="3"/>
      <c r="G538" s="3"/>
      <c r="H538" s="3"/>
      <c r="I538" s="3"/>
      <c r="J538" s="4"/>
      <c r="K538" s="3"/>
      <c r="L538" s="3"/>
    </row>
    <row r="539" spans="1:12" ht="15" x14ac:dyDescent="0.2">
      <c r="A539" s="5"/>
      <c r="B539" s="5"/>
      <c r="D539" s="3"/>
      <c r="E539" s="3"/>
      <c r="F539" s="3"/>
      <c r="G539" s="3"/>
      <c r="H539" s="3"/>
      <c r="I539" s="3"/>
      <c r="J539" s="4"/>
      <c r="K539" s="3"/>
      <c r="L539" s="3"/>
    </row>
    <row r="540" spans="1:12" ht="15" x14ac:dyDescent="0.2">
      <c r="A540" s="5"/>
      <c r="B540" s="5"/>
      <c r="D540" s="3"/>
      <c r="E540" s="3"/>
      <c r="F540" s="3"/>
      <c r="G540" s="3"/>
      <c r="H540" s="3"/>
      <c r="I540" s="3"/>
      <c r="J540" s="4"/>
      <c r="K540" s="3"/>
      <c r="L540" s="3"/>
    </row>
    <row r="541" spans="1:12" ht="15" x14ac:dyDescent="0.2">
      <c r="A541" s="5"/>
      <c r="B541" s="5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5" x14ac:dyDescent="0.2">
      <c r="A542" s="5"/>
      <c r="B542" s="5"/>
      <c r="D542" s="3"/>
      <c r="E542" s="3"/>
      <c r="F542" s="3"/>
      <c r="G542" s="3"/>
      <c r="H542" s="3"/>
      <c r="I542" s="3"/>
      <c r="J542" s="4"/>
      <c r="K542" s="3"/>
      <c r="L542" s="3"/>
    </row>
    <row r="543" spans="1:12" ht="15" x14ac:dyDescent="0.2">
      <c r="A543" s="5"/>
      <c r="B543" s="5"/>
      <c r="D543" s="3"/>
      <c r="E543" s="3"/>
      <c r="F543" s="3"/>
      <c r="G543" s="3"/>
      <c r="H543" s="3"/>
      <c r="I543" s="3"/>
      <c r="J543" s="4"/>
      <c r="K543" s="3"/>
      <c r="L543" s="3"/>
    </row>
    <row r="544" spans="1:12" ht="15" x14ac:dyDescent="0.2">
      <c r="A544" s="5"/>
      <c r="B544" s="5"/>
      <c r="D544" s="3"/>
      <c r="E544" s="3"/>
      <c r="F544" s="3"/>
      <c r="G544" s="3"/>
      <c r="H544" s="3"/>
      <c r="I544" s="3"/>
      <c r="J544" s="4"/>
      <c r="K544" s="3"/>
      <c r="L544" s="3"/>
    </row>
    <row r="545" spans="1:12" ht="15" x14ac:dyDescent="0.2">
      <c r="A545" s="5"/>
      <c r="B545" s="5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5" x14ac:dyDescent="0.2">
      <c r="A546" s="5"/>
      <c r="B546" s="5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5" x14ac:dyDescent="0.2">
      <c r="A547" s="5"/>
      <c r="B547" s="5"/>
      <c r="D547" s="3"/>
      <c r="E547" s="3"/>
      <c r="F547" s="3"/>
      <c r="G547" s="3"/>
      <c r="H547" s="3"/>
      <c r="I547" s="3"/>
      <c r="J547" s="4"/>
      <c r="K547" s="3"/>
      <c r="L547" s="3"/>
    </row>
    <row r="548" spans="1:12" ht="15" x14ac:dyDescent="0.2">
      <c r="A548" s="5"/>
      <c r="B548" s="5"/>
      <c r="D548" s="3"/>
      <c r="E548" s="3"/>
      <c r="F548" s="3"/>
      <c r="G548" s="3"/>
      <c r="H548" s="3"/>
      <c r="I548" s="3"/>
      <c r="J548" s="4"/>
      <c r="K548" s="3"/>
      <c r="L548" s="3"/>
    </row>
    <row r="549" spans="1:12" ht="15" x14ac:dyDescent="0.2">
      <c r="A549" s="5"/>
      <c r="B549" s="5"/>
      <c r="D549" s="3"/>
      <c r="E549" s="3"/>
      <c r="F549" s="3"/>
      <c r="G549" s="3"/>
      <c r="H549" s="3"/>
      <c r="I549" s="3"/>
      <c r="J549" s="4"/>
      <c r="K549" s="3"/>
      <c r="L549" s="3"/>
    </row>
    <row r="550" spans="1:12" ht="15" x14ac:dyDescent="0.2">
      <c r="A550" s="5"/>
      <c r="B550" s="5"/>
      <c r="D550" s="3"/>
      <c r="E550" s="3"/>
      <c r="F550" s="3"/>
      <c r="G550" s="3"/>
      <c r="H550" s="3"/>
      <c r="I550" s="3"/>
      <c r="J550" s="4"/>
      <c r="K550" s="3"/>
      <c r="L550" s="3"/>
    </row>
    <row r="551" spans="1:12" ht="15" x14ac:dyDescent="0.2">
      <c r="A551" s="5"/>
      <c r="B551" s="5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5" x14ac:dyDescent="0.2">
      <c r="A552" s="5"/>
      <c r="B552" s="5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5" x14ac:dyDescent="0.2">
      <c r="A553" s="5"/>
      <c r="B553" s="5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5" x14ac:dyDescent="0.2">
      <c r="A554" s="5"/>
      <c r="B554" s="5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5" x14ac:dyDescent="0.2">
      <c r="A555" s="5"/>
      <c r="B555" s="5"/>
      <c r="D555" s="3"/>
      <c r="E555" s="3"/>
      <c r="F555" s="3"/>
      <c r="G555" s="3"/>
      <c r="H555" s="3"/>
      <c r="I555" s="3"/>
      <c r="J555" s="4"/>
      <c r="K555" s="3"/>
      <c r="L555" s="3"/>
    </row>
    <row r="556" spans="1:12" ht="15" x14ac:dyDescent="0.2">
      <c r="A556" s="5"/>
      <c r="B556" s="5"/>
      <c r="D556" s="3"/>
      <c r="E556" s="3"/>
      <c r="F556" s="3"/>
      <c r="G556" s="3"/>
      <c r="H556" s="3"/>
      <c r="I556" s="3"/>
      <c r="J556" s="4"/>
      <c r="K556" s="3"/>
      <c r="L556" s="3"/>
    </row>
    <row r="557" spans="1:12" ht="15" x14ac:dyDescent="0.2">
      <c r="A557" s="5"/>
      <c r="B557" s="5"/>
      <c r="D557" s="3"/>
      <c r="E557" s="3"/>
      <c r="F557" s="3"/>
      <c r="G557" s="3"/>
      <c r="H557" s="3"/>
      <c r="I557" s="3"/>
      <c r="J557" s="4"/>
      <c r="K557" s="3"/>
      <c r="L557" s="3"/>
    </row>
    <row r="558" spans="1:12" ht="15" x14ac:dyDescent="0.2">
      <c r="A558" s="5"/>
      <c r="B558" s="5"/>
      <c r="D558" s="3"/>
      <c r="E558" s="3"/>
      <c r="F558" s="3"/>
      <c r="G558" s="3"/>
      <c r="H558" s="3"/>
      <c r="I558" s="3"/>
      <c r="J558" s="4"/>
      <c r="K558" s="3"/>
      <c r="L558" s="3"/>
    </row>
    <row r="559" spans="1:12" ht="15" x14ac:dyDescent="0.2">
      <c r="A559" s="5"/>
      <c r="B559" s="5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5" x14ac:dyDescent="0.2">
      <c r="A560" s="5"/>
      <c r="B560" s="5"/>
      <c r="D560" s="3"/>
      <c r="E560" s="3"/>
      <c r="F560" s="3"/>
      <c r="G560" s="3"/>
      <c r="H560" s="3"/>
      <c r="I560" s="3"/>
      <c r="J560" s="4"/>
      <c r="K560" s="3"/>
      <c r="L560" s="3"/>
    </row>
    <row r="561" spans="1:12" ht="15" x14ac:dyDescent="0.2">
      <c r="A561" s="5"/>
      <c r="B561" s="5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5" x14ac:dyDescent="0.2">
      <c r="A562" s="5"/>
      <c r="B562" s="5"/>
      <c r="D562" s="3"/>
      <c r="E562" s="3"/>
      <c r="F562" s="3"/>
      <c r="G562" s="3"/>
      <c r="H562" s="3"/>
      <c r="I562" s="3"/>
      <c r="J562" s="4"/>
      <c r="K562" s="3"/>
      <c r="L562" s="3"/>
    </row>
    <row r="563" spans="1:12" ht="15" x14ac:dyDescent="0.2">
      <c r="A563" s="5"/>
      <c r="B563" s="5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5" x14ac:dyDescent="0.2">
      <c r="A564" s="5"/>
      <c r="B564" s="5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5" x14ac:dyDescent="0.2">
      <c r="A565" s="5"/>
      <c r="B565" s="5"/>
      <c r="D565" s="3"/>
      <c r="E565" s="3"/>
      <c r="F565" s="3"/>
      <c r="G565" s="3"/>
      <c r="H565" s="3"/>
      <c r="I565" s="3"/>
      <c r="J565" s="4"/>
      <c r="K565" s="3"/>
      <c r="L565" s="3"/>
    </row>
    <row r="566" spans="1:12" ht="15" x14ac:dyDescent="0.2">
      <c r="A566" s="5"/>
      <c r="B566" s="5"/>
      <c r="D566" s="3"/>
      <c r="E566" s="3"/>
      <c r="F566" s="3"/>
      <c r="G566" s="3"/>
      <c r="H566" s="3"/>
      <c r="I566" s="3"/>
      <c r="J566" s="4"/>
      <c r="K566" s="3"/>
      <c r="L566" s="3"/>
    </row>
    <row r="567" spans="1:12" ht="15" x14ac:dyDescent="0.2">
      <c r="A567" s="5"/>
      <c r="B567" s="5"/>
      <c r="D567" s="3"/>
      <c r="E567" s="3"/>
      <c r="F567" s="3"/>
      <c r="G567" s="3"/>
      <c r="H567" s="3"/>
      <c r="I567" s="3"/>
      <c r="J567" s="4"/>
      <c r="K567" s="3"/>
      <c r="L567" s="3"/>
    </row>
    <row r="568" spans="1:12" ht="15" x14ac:dyDescent="0.2">
      <c r="A568" s="5"/>
      <c r="B568" s="5"/>
      <c r="D568" s="3"/>
      <c r="E568" s="3"/>
      <c r="F568" s="3"/>
      <c r="G568" s="3"/>
      <c r="H568" s="3"/>
      <c r="I568" s="3"/>
      <c r="J568" s="4"/>
      <c r="K568" s="3"/>
      <c r="L568" s="3"/>
    </row>
    <row r="569" spans="1:12" ht="15" x14ac:dyDescent="0.2">
      <c r="A569" s="5"/>
      <c r="B569" s="5"/>
      <c r="D569" s="3"/>
      <c r="E569" s="3"/>
      <c r="F569" s="3"/>
      <c r="G569" s="3"/>
      <c r="H569" s="3"/>
      <c r="I569" s="3"/>
      <c r="J569" s="4"/>
      <c r="K569" s="3"/>
      <c r="L569" s="3"/>
    </row>
    <row r="570" spans="1:12" ht="15" x14ac:dyDescent="0.2">
      <c r="A570" s="5"/>
      <c r="B570" s="5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5" x14ac:dyDescent="0.2">
      <c r="A571" s="5"/>
      <c r="B571" s="5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5" x14ac:dyDescent="0.2">
      <c r="A572" s="5"/>
      <c r="B572" s="5"/>
      <c r="D572" s="3"/>
      <c r="E572" s="3"/>
      <c r="F572" s="3"/>
      <c r="G572" s="3"/>
      <c r="H572" s="3"/>
      <c r="I572" s="3"/>
      <c r="J572" s="4"/>
      <c r="K572" s="3"/>
      <c r="L572" s="3"/>
    </row>
    <row r="573" spans="1:12" ht="15" x14ac:dyDescent="0.2">
      <c r="A573" s="5"/>
      <c r="B573" s="5"/>
      <c r="D573" s="3"/>
      <c r="E573" s="3"/>
      <c r="F573" s="3"/>
      <c r="G573" s="3"/>
      <c r="H573" s="3"/>
      <c r="I573" s="3"/>
      <c r="J573" s="4"/>
      <c r="K573" s="3"/>
      <c r="L573" s="3"/>
    </row>
    <row r="574" spans="1:12" ht="15" x14ac:dyDescent="0.2">
      <c r="A574" s="5"/>
      <c r="B574" s="5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5" x14ac:dyDescent="0.2">
      <c r="A575" s="5"/>
      <c r="B575" s="5"/>
      <c r="D575" s="3"/>
      <c r="E575" s="3"/>
      <c r="F575" s="3"/>
      <c r="G575" s="3"/>
      <c r="H575" s="3"/>
      <c r="I575" s="3"/>
      <c r="J575" s="4"/>
      <c r="K575" s="3"/>
      <c r="L575" s="3"/>
    </row>
    <row r="576" spans="1:12" ht="15" x14ac:dyDescent="0.2">
      <c r="A576" s="5"/>
      <c r="B576" s="5"/>
      <c r="D576" s="3"/>
      <c r="E576" s="3"/>
      <c r="F576" s="3"/>
      <c r="G576" s="3"/>
      <c r="H576" s="3"/>
      <c r="I576" s="3"/>
      <c r="J576" s="4"/>
      <c r="K576" s="3"/>
      <c r="L576" s="3"/>
    </row>
    <row r="577" spans="1:12" ht="15" x14ac:dyDescent="0.2">
      <c r="A577" s="5"/>
      <c r="B577" s="5"/>
      <c r="D577" s="3"/>
      <c r="E577" s="3"/>
      <c r="F577" s="3"/>
      <c r="G577" s="3"/>
      <c r="H577" s="3"/>
      <c r="I577" s="3"/>
      <c r="J577" s="4"/>
      <c r="K577" s="3"/>
      <c r="L577" s="3"/>
    </row>
    <row r="578" spans="1:12" ht="15" x14ac:dyDescent="0.2">
      <c r="A578" s="5"/>
      <c r="B578" s="5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5" x14ac:dyDescent="0.2">
      <c r="A579" s="5"/>
      <c r="B579" s="5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5" x14ac:dyDescent="0.2">
      <c r="A580" s="5"/>
      <c r="B580" s="5"/>
      <c r="D580" s="3"/>
      <c r="E580" s="3"/>
      <c r="F580" s="3"/>
      <c r="G580" s="3"/>
      <c r="H580" s="3"/>
      <c r="I580" s="3"/>
      <c r="J580" s="4"/>
      <c r="K580" s="3"/>
      <c r="L580" s="3"/>
    </row>
    <row r="581" spans="1:12" ht="15" x14ac:dyDescent="0.2">
      <c r="A581" s="5"/>
      <c r="B581" s="5"/>
      <c r="D581" s="3"/>
      <c r="E581" s="3"/>
      <c r="F581" s="3"/>
      <c r="G581" s="3"/>
      <c r="H581" s="3"/>
      <c r="I581" s="3"/>
      <c r="J581" s="4"/>
      <c r="K581" s="3"/>
      <c r="L581" s="3"/>
    </row>
    <row r="582" spans="1:12" ht="15" x14ac:dyDescent="0.2">
      <c r="A582" s="5"/>
      <c r="B582" s="5"/>
      <c r="D582" s="3"/>
      <c r="E582" s="3"/>
      <c r="F582" s="3"/>
      <c r="G582" s="3"/>
      <c r="H582" s="3"/>
      <c r="I582" s="3"/>
      <c r="J582" s="4"/>
      <c r="K582" s="3"/>
      <c r="L582" s="3"/>
    </row>
    <row r="583" spans="1:12" ht="15" x14ac:dyDescent="0.2">
      <c r="A583" s="5"/>
      <c r="B583" s="5"/>
      <c r="D583" s="3"/>
      <c r="E583" s="3"/>
      <c r="F583" s="3"/>
      <c r="G583" s="3"/>
      <c r="H583" s="3"/>
      <c r="I583" s="3"/>
      <c r="J583" s="4"/>
      <c r="K583" s="3"/>
      <c r="L583" s="3"/>
    </row>
    <row r="584" spans="1:12" ht="15" x14ac:dyDescent="0.2">
      <c r="A584" s="5"/>
      <c r="B584" s="5"/>
      <c r="D584" s="3"/>
      <c r="E584" s="3"/>
      <c r="F584" s="3"/>
      <c r="G584" s="3"/>
      <c r="H584" s="3"/>
      <c r="I584" s="3"/>
      <c r="J584" s="4"/>
      <c r="K584" s="3"/>
      <c r="L584" s="3"/>
    </row>
    <row r="585" spans="1:12" ht="15" x14ac:dyDescent="0.2">
      <c r="A585" s="5"/>
      <c r="B585" s="5"/>
      <c r="D585" s="3"/>
      <c r="E585" s="3"/>
      <c r="F585" s="3"/>
      <c r="G585" s="3"/>
      <c r="H585" s="3"/>
      <c r="I585" s="3"/>
      <c r="J585" s="4"/>
      <c r="K585" s="3"/>
      <c r="L585" s="3"/>
    </row>
    <row r="586" spans="1:12" ht="15" x14ac:dyDescent="0.2">
      <c r="A586" s="5"/>
      <c r="B586" s="5"/>
      <c r="D586" s="3"/>
      <c r="E586" s="3"/>
      <c r="F586" s="3"/>
      <c r="G586" s="3"/>
      <c r="H586" s="3"/>
      <c r="I586" s="3"/>
      <c r="J586" s="4"/>
      <c r="K586" s="3"/>
      <c r="L586" s="3"/>
    </row>
    <row r="587" spans="1:12" ht="15" x14ac:dyDescent="0.2">
      <c r="A587" s="5"/>
      <c r="B587" s="5"/>
      <c r="D587" s="3"/>
      <c r="E587" s="3"/>
      <c r="F587" s="3"/>
      <c r="G587" s="3"/>
      <c r="H587" s="3"/>
      <c r="I587" s="3"/>
      <c r="J587" s="4"/>
      <c r="K587" s="3"/>
      <c r="L587" s="3"/>
    </row>
    <row r="588" spans="1:12" ht="15" x14ac:dyDescent="0.2">
      <c r="A588" s="5"/>
      <c r="B588" s="5"/>
      <c r="D588" s="3"/>
      <c r="E588" s="3"/>
      <c r="F588" s="3"/>
      <c r="G588" s="3"/>
      <c r="H588" s="3"/>
      <c r="I588" s="3"/>
      <c r="J588" s="4"/>
      <c r="K588" s="3"/>
      <c r="L588" s="3"/>
    </row>
    <row r="589" spans="1:12" ht="15" x14ac:dyDescent="0.2">
      <c r="A589" s="5"/>
      <c r="B589" s="5"/>
      <c r="D589" s="3"/>
      <c r="E589" s="3"/>
      <c r="F589" s="3"/>
      <c r="G589" s="3"/>
      <c r="H589" s="3"/>
      <c r="I589" s="3"/>
      <c r="J589" s="4"/>
      <c r="K589" s="3"/>
      <c r="L589" s="3"/>
    </row>
    <row r="590" spans="1:12" ht="15" x14ac:dyDescent="0.2">
      <c r="A590" s="5"/>
      <c r="B590" s="5"/>
      <c r="D590" s="3"/>
      <c r="E590" s="3"/>
      <c r="F590" s="3"/>
      <c r="G590" s="3"/>
      <c r="H590" s="3"/>
      <c r="I590" s="3"/>
      <c r="J590" s="4"/>
      <c r="K590" s="3"/>
      <c r="L590" s="3"/>
    </row>
    <row r="591" spans="1:12" ht="15" x14ac:dyDescent="0.2">
      <c r="A591" s="5"/>
      <c r="B591" s="5"/>
      <c r="D591" s="3"/>
      <c r="E591" s="3"/>
      <c r="F591" s="3"/>
      <c r="G591" s="3"/>
      <c r="H591" s="3"/>
      <c r="I591" s="3"/>
      <c r="J591" s="4"/>
      <c r="K591" s="3"/>
      <c r="L591" s="3"/>
    </row>
    <row r="592" spans="1:12" ht="15" x14ac:dyDescent="0.2">
      <c r="A592" s="5"/>
      <c r="B592" s="5"/>
      <c r="D592" s="3"/>
      <c r="E592" s="3"/>
      <c r="F592" s="3"/>
      <c r="G592" s="3"/>
      <c r="H592" s="3"/>
      <c r="I592" s="3"/>
      <c r="J592" s="4"/>
      <c r="K592" s="3"/>
      <c r="L592" s="3"/>
    </row>
    <row r="593" spans="1:12" ht="15" x14ac:dyDescent="0.2">
      <c r="A593" s="5"/>
      <c r="B593" s="5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5" x14ac:dyDescent="0.2">
      <c r="A594" s="5"/>
      <c r="B594" s="5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5" x14ac:dyDescent="0.2">
      <c r="A595" s="5"/>
      <c r="B595" s="5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5" x14ac:dyDescent="0.2">
      <c r="A596" s="5"/>
      <c r="B596" s="5"/>
      <c r="D596" s="3"/>
      <c r="E596" s="3"/>
      <c r="F596" s="3"/>
      <c r="G596" s="3"/>
      <c r="H596" s="3"/>
      <c r="I596" s="3"/>
      <c r="J596" s="4"/>
      <c r="K596" s="3"/>
      <c r="L596" s="3"/>
    </row>
    <row r="597" spans="1:12" ht="15" x14ac:dyDescent="0.2">
      <c r="A597" s="5"/>
      <c r="B597" s="5"/>
      <c r="D597" s="3"/>
      <c r="E597" s="3"/>
      <c r="F597" s="3"/>
      <c r="G597" s="3"/>
      <c r="H597" s="3"/>
      <c r="I597" s="3"/>
      <c r="J597" s="4"/>
      <c r="K597" s="3"/>
      <c r="L597" s="3"/>
    </row>
    <row r="598" spans="1:12" ht="15" x14ac:dyDescent="0.2">
      <c r="A598" s="5"/>
      <c r="B598" s="5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5" x14ac:dyDescent="0.2">
      <c r="A599" s="5"/>
      <c r="B599" s="5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5" x14ac:dyDescent="0.2">
      <c r="A600" s="5"/>
      <c r="B600" s="5"/>
      <c r="D600" s="3"/>
      <c r="E600" s="3"/>
      <c r="F600" s="3"/>
      <c r="G600" s="3"/>
      <c r="H600" s="3"/>
      <c r="I600" s="3"/>
      <c r="J600" s="4"/>
      <c r="K600" s="3"/>
      <c r="L600" s="3"/>
    </row>
    <row r="601" spans="1:12" ht="15" x14ac:dyDescent="0.2">
      <c r="A601" s="5"/>
      <c r="B601" s="5"/>
      <c r="D601" s="3"/>
      <c r="E601" s="3"/>
      <c r="F601" s="3"/>
      <c r="G601" s="3"/>
      <c r="H601" s="3"/>
      <c r="I601" s="3"/>
      <c r="J601" s="4"/>
      <c r="K601" s="3"/>
      <c r="L601" s="3"/>
    </row>
    <row r="602" spans="1:12" ht="15" x14ac:dyDescent="0.2">
      <c r="A602" s="5"/>
      <c r="B602" s="5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5" x14ac:dyDescent="0.2">
      <c r="A603" s="5"/>
      <c r="B603" s="5"/>
      <c r="D603" s="3"/>
      <c r="E603" s="3"/>
      <c r="F603" s="3"/>
      <c r="G603" s="3"/>
      <c r="H603" s="3"/>
      <c r="I603" s="3"/>
      <c r="J603" s="4"/>
      <c r="K603" s="3"/>
      <c r="L603" s="3"/>
    </row>
    <row r="604" spans="1:12" ht="15" x14ac:dyDescent="0.2">
      <c r="A604" s="5"/>
      <c r="B604" s="5"/>
      <c r="D604" s="3"/>
      <c r="E604" s="3"/>
      <c r="F604" s="3"/>
      <c r="G604" s="3"/>
      <c r="H604" s="3"/>
      <c r="I604" s="3"/>
      <c r="J604" s="4"/>
      <c r="K604" s="3"/>
      <c r="L604" s="3"/>
    </row>
    <row r="605" spans="1:12" ht="15" x14ac:dyDescent="0.2">
      <c r="A605" s="5"/>
      <c r="B605" s="5"/>
      <c r="D605" s="3"/>
      <c r="E605" s="3"/>
      <c r="F605" s="3"/>
      <c r="G605" s="3"/>
      <c r="H605" s="3"/>
      <c r="I605" s="3"/>
      <c r="J605" s="4"/>
      <c r="K605" s="3"/>
      <c r="L605" s="3"/>
    </row>
    <row r="606" spans="1:12" ht="15" x14ac:dyDescent="0.2">
      <c r="A606" s="5"/>
      <c r="B606" s="5"/>
      <c r="D606" s="3"/>
      <c r="E606" s="3"/>
      <c r="F606" s="3"/>
      <c r="G606" s="3"/>
      <c r="H606" s="3"/>
      <c r="I606" s="3"/>
      <c r="J606" s="4"/>
      <c r="K606" s="3"/>
      <c r="L606" s="3"/>
    </row>
    <row r="607" spans="1:12" ht="15" x14ac:dyDescent="0.2">
      <c r="A607" s="5"/>
      <c r="B607" s="5"/>
      <c r="D607" s="3"/>
      <c r="E607" s="3"/>
      <c r="F607" s="3"/>
      <c r="G607" s="3"/>
      <c r="H607" s="3"/>
      <c r="I607" s="3"/>
      <c r="J607" s="4"/>
      <c r="K607" s="3"/>
      <c r="L607" s="3"/>
    </row>
    <row r="608" spans="1:12" ht="15" x14ac:dyDescent="0.2">
      <c r="A608" s="5"/>
      <c r="B608" s="5"/>
      <c r="D608" s="3"/>
      <c r="E608" s="3"/>
      <c r="F608" s="3"/>
      <c r="G608" s="3"/>
      <c r="H608" s="3"/>
      <c r="I608" s="3"/>
      <c r="J608" s="4"/>
      <c r="K608" s="3"/>
      <c r="L608" s="3"/>
    </row>
    <row r="609" spans="1:12" ht="15" x14ac:dyDescent="0.2">
      <c r="A609" s="5"/>
      <c r="B609" s="5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5" x14ac:dyDescent="0.2">
      <c r="A610" s="5"/>
      <c r="B610" s="5"/>
      <c r="D610" s="3"/>
      <c r="E610" s="3"/>
      <c r="F610" s="3"/>
      <c r="G610" s="3"/>
      <c r="H610" s="3"/>
      <c r="I610" s="3"/>
      <c r="J610" s="4"/>
      <c r="K610" s="3"/>
      <c r="L610" s="3"/>
    </row>
    <row r="611" spans="1:12" ht="15" x14ac:dyDescent="0.2">
      <c r="A611" s="5"/>
      <c r="B611" s="5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5" x14ac:dyDescent="0.2">
      <c r="A612" s="5"/>
      <c r="B612" s="5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5" x14ac:dyDescent="0.2">
      <c r="A613" s="5"/>
      <c r="B613" s="5"/>
      <c r="D613" s="3"/>
      <c r="E613" s="3"/>
      <c r="F613" s="3"/>
      <c r="G613" s="3"/>
      <c r="H613" s="3"/>
      <c r="I613" s="3"/>
      <c r="J613" s="4"/>
      <c r="K613" s="3"/>
      <c r="L613" s="3"/>
    </row>
    <row r="614" spans="1:12" ht="15" x14ac:dyDescent="0.2">
      <c r="A614" s="5"/>
      <c r="B614" s="5"/>
      <c r="D614" s="3"/>
      <c r="E614" s="3"/>
      <c r="F614" s="3"/>
      <c r="G614" s="3"/>
      <c r="H614" s="3"/>
      <c r="I614" s="3"/>
      <c r="J614" s="4"/>
      <c r="K614" s="3"/>
      <c r="L614" s="3"/>
    </row>
    <row r="615" spans="1:12" ht="15" x14ac:dyDescent="0.2">
      <c r="A615" s="5"/>
      <c r="B615" s="5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5" x14ac:dyDescent="0.2">
      <c r="A616" s="5"/>
      <c r="B616" s="5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5" x14ac:dyDescent="0.2">
      <c r="A617" s="5"/>
      <c r="B617" s="5"/>
      <c r="D617" s="3"/>
      <c r="E617" s="3"/>
      <c r="F617" s="3"/>
      <c r="G617" s="3"/>
      <c r="H617" s="3"/>
      <c r="I617" s="3"/>
      <c r="J617" s="4"/>
      <c r="K617" s="3"/>
      <c r="L617" s="3"/>
    </row>
    <row r="618" spans="1:12" ht="15" x14ac:dyDescent="0.2">
      <c r="A618" s="5"/>
      <c r="B618" s="5"/>
      <c r="D618" s="3"/>
      <c r="E618" s="3"/>
      <c r="F618" s="3"/>
      <c r="G618" s="3"/>
      <c r="H618" s="3"/>
      <c r="I618" s="3"/>
      <c r="J618" s="4"/>
      <c r="K618" s="3"/>
      <c r="L618" s="3"/>
    </row>
    <row r="619" spans="1:12" ht="15" x14ac:dyDescent="0.2">
      <c r="A619" s="5"/>
      <c r="B619" s="5"/>
      <c r="D619" s="3"/>
      <c r="E619" s="3"/>
      <c r="F619" s="3"/>
      <c r="G619" s="3"/>
      <c r="H619" s="3"/>
      <c r="I619" s="3"/>
      <c r="J619" s="4"/>
      <c r="K619" s="3"/>
      <c r="L619" s="3"/>
    </row>
    <row r="620" spans="1:12" ht="15" x14ac:dyDescent="0.2">
      <c r="A620" s="5"/>
      <c r="B620" s="5"/>
      <c r="D620" s="3"/>
      <c r="E620" s="3"/>
      <c r="F620" s="3"/>
      <c r="G620" s="3"/>
      <c r="H620" s="3"/>
      <c r="I620" s="3"/>
      <c r="J620" s="4"/>
      <c r="K620" s="3"/>
      <c r="L620" s="3"/>
    </row>
    <row r="621" spans="1:12" ht="15" x14ac:dyDescent="0.2">
      <c r="A621" s="5"/>
      <c r="B621" s="5"/>
      <c r="D621" s="3"/>
      <c r="E621" s="3"/>
      <c r="F621" s="3"/>
      <c r="G621" s="3"/>
      <c r="H621" s="3"/>
      <c r="I621" s="3"/>
      <c r="J621" s="4"/>
      <c r="K621" s="3"/>
      <c r="L621" s="3"/>
    </row>
    <row r="622" spans="1:12" ht="15" x14ac:dyDescent="0.2">
      <c r="A622" s="5"/>
      <c r="B622" s="5"/>
      <c r="D622" s="3"/>
      <c r="E622" s="3"/>
      <c r="F622" s="3"/>
      <c r="G622" s="3"/>
      <c r="H622" s="3"/>
      <c r="I622" s="3"/>
      <c r="J622" s="4"/>
      <c r="K622" s="3"/>
      <c r="L622" s="3"/>
    </row>
    <row r="623" spans="1:12" ht="15" x14ac:dyDescent="0.2">
      <c r="A623" s="5"/>
      <c r="B623" s="5"/>
      <c r="D623" s="3"/>
      <c r="E623" s="3"/>
      <c r="F623" s="3"/>
      <c r="G623" s="3"/>
      <c r="H623" s="3"/>
      <c r="I623" s="3"/>
      <c r="J623" s="4"/>
      <c r="K623" s="3"/>
      <c r="L623" s="3"/>
    </row>
    <row r="624" spans="1:12" ht="15" x14ac:dyDescent="0.2">
      <c r="A624" s="5"/>
      <c r="B624" s="5"/>
      <c r="D624" s="3"/>
      <c r="E624" s="3"/>
      <c r="F624" s="3"/>
      <c r="G624" s="3"/>
      <c r="H624" s="3"/>
      <c r="I624" s="3"/>
      <c r="J624" s="4"/>
      <c r="K624" s="3"/>
      <c r="L624" s="3"/>
    </row>
    <row r="625" spans="1:12" ht="15" x14ac:dyDescent="0.2">
      <c r="A625" s="5"/>
      <c r="B625" s="5"/>
      <c r="D625" s="3"/>
      <c r="E625" s="3"/>
      <c r="F625" s="3"/>
      <c r="G625" s="3"/>
      <c r="H625" s="3"/>
      <c r="I625" s="3"/>
      <c r="J625" s="4"/>
      <c r="K625" s="3"/>
      <c r="L625" s="3"/>
    </row>
    <row r="626" spans="1:12" ht="15" x14ac:dyDescent="0.2">
      <c r="A626" s="5"/>
      <c r="B626" s="5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5" x14ac:dyDescent="0.2">
      <c r="A627" s="5"/>
      <c r="B627" s="5"/>
      <c r="D627" s="3"/>
      <c r="E627" s="3"/>
      <c r="F627" s="3"/>
      <c r="G627" s="3"/>
      <c r="H627" s="3"/>
      <c r="I627" s="3"/>
      <c r="J627" s="4"/>
      <c r="K627" s="3"/>
      <c r="L627" s="3"/>
    </row>
    <row r="628" spans="1:12" ht="15" x14ac:dyDescent="0.2">
      <c r="A628" s="5"/>
      <c r="B628" s="5"/>
      <c r="D628" s="3"/>
      <c r="E628" s="3"/>
      <c r="F628" s="3"/>
      <c r="G628" s="3"/>
      <c r="H628" s="3"/>
      <c r="I628" s="3"/>
      <c r="J628" s="4"/>
      <c r="K628" s="3"/>
      <c r="L628" s="3"/>
    </row>
    <row r="629" spans="1:12" ht="15" x14ac:dyDescent="0.2">
      <c r="A629" s="5"/>
      <c r="B629" s="5"/>
      <c r="D629" s="3"/>
      <c r="E629" s="3"/>
      <c r="F629" s="3"/>
      <c r="G629" s="3"/>
      <c r="H629" s="3"/>
      <c r="I629" s="3"/>
      <c r="J629" s="4"/>
      <c r="K629" s="3"/>
      <c r="L629" s="3"/>
    </row>
    <row r="630" spans="1:12" ht="15" x14ac:dyDescent="0.2">
      <c r="A630" s="5"/>
      <c r="B630" s="5"/>
      <c r="D630" s="3"/>
      <c r="E630" s="3"/>
      <c r="F630" s="3"/>
      <c r="G630" s="3"/>
      <c r="H630" s="3"/>
      <c r="I630" s="3"/>
      <c r="J630" s="4"/>
      <c r="K630" s="3"/>
      <c r="L630" s="3"/>
    </row>
    <row r="631" spans="1:12" ht="15" x14ac:dyDescent="0.2">
      <c r="A631" s="5"/>
      <c r="B631" s="5"/>
      <c r="D631" s="3"/>
      <c r="E631" s="3"/>
      <c r="F631" s="3"/>
      <c r="G631" s="3"/>
      <c r="H631" s="3"/>
      <c r="I631" s="3"/>
      <c r="J631" s="4"/>
      <c r="K631" s="3"/>
      <c r="L631" s="3"/>
    </row>
    <row r="632" spans="1:12" ht="15" x14ac:dyDescent="0.2">
      <c r="A632" s="5"/>
      <c r="B632" s="5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5" x14ac:dyDescent="0.2">
      <c r="A633" s="5"/>
      <c r="B633" s="5"/>
      <c r="D633" s="3"/>
      <c r="E633" s="3"/>
      <c r="F633" s="3"/>
      <c r="G633" s="3"/>
      <c r="H633" s="3"/>
      <c r="I633" s="3"/>
      <c r="J633" s="4"/>
      <c r="K633" s="3"/>
      <c r="L633" s="3"/>
    </row>
    <row r="634" spans="1:12" ht="15" x14ac:dyDescent="0.2">
      <c r="A634" s="5"/>
      <c r="B634" s="5"/>
      <c r="D634" s="3"/>
      <c r="E634" s="3"/>
      <c r="F634" s="3"/>
      <c r="G634" s="3"/>
      <c r="H634" s="3"/>
      <c r="I634" s="3"/>
      <c r="J634" s="4"/>
      <c r="K634" s="3"/>
      <c r="L634" s="3"/>
    </row>
    <row r="635" spans="1:12" ht="15" x14ac:dyDescent="0.2">
      <c r="A635" s="5"/>
      <c r="B635" s="5"/>
      <c r="D635" s="3"/>
      <c r="E635" s="3"/>
      <c r="F635" s="3"/>
      <c r="G635" s="3"/>
      <c r="H635" s="3"/>
      <c r="I635" s="3"/>
      <c r="J635" s="4"/>
      <c r="K635" s="3"/>
      <c r="L635" s="3"/>
    </row>
    <row r="636" spans="1:12" ht="15" x14ac:dyDescent="0.2">
      <c r="A636" s="5"/>
      <c r="B636" s="5"/>
      <c r="D636" s="3"/>
      <c r="E636" s="3"/>
      <c r="F636" s="3"/>
      <c r="G636" s="3"/>
      <c r="H636" s="3"/>
      <c r="I636" s="3"/>
      <c r="J636" s="4"/>
      <c r="K636" s="3"/>
      <c r="L636" s="3"/>
    </row>
    <row r="637" spans="1:12" ht="15" x14ac:dyDescent="0.2">
      <c r="A637" s="5"/>
      <c r="B637" s="5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5" x14ac:dyDescent="0.2">
      <c r="A638" s="5"/>
      <c r="B638" s="5"/>
      <c r="D638" s="3"/>
      <c r="E638" s="3"/>
      <c r="F638" s="3"/>
      <c r="G638" s="3"/>
      <c r="H638" s="3"/>
      <c r="I638" s="3"/>
      <c r="J638" s="4"/>
      <c r="K638" s="3"/>
      <c r="L638" s="3"/>
    </row>
    <row r="639" spans="1:12" ht="15" x14ac:dyDescent="0.2">
      <c r="A639" s="5"/>
      <c r="B639" s="5"/>
      <c r="D639" s="3"/>
      <c r="E639" s="3"/>
      <c r="F639" s="3"/>
      <c r="G639" s="3"/>
      <c r="H639" s="3"/>
      <c r="I639" s="3"/>
      <c r="J639" s="4"/>
      <c r="K639" s="3"/>
      <c r="L639" s="3"/>
    </row>
    <row r="640" spans="1:12" ht="15" x14ac:dyDescent="0.2">
      <c r="A640" s="5"/>
      <c r="B640" s="5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5" x14ac:dyDescent="0.2">
      <c r="A641" s="5"/>
      <c r="B641" s="5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5" x14ac:dyDescent="0.2">
      <c r="A642" s="5"/>
      <c r="B642" s="5"/>
      <c r="D642" s="3"/>
      <c r="E642" s="3"/>
      <c r="F642" s="3"/>
      <c r="G642" s="3"/>
      <c r="H642" s="3"/>
      <c r="I642" s="3"/>
      <c r="J642" s="4"/>
      <c r="K642" s="3"/>
      <c r="L642" s="3"/>
    </row>
    <row r="643" spans="1:12" ht="15" x14ac:dyDescent="0.2">
      <c r="A643" s="5"/>
      <c r="B643" s="5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5" x14ac:dyDescent="0.2">
      <c r="A644" s="5"/>
      <c r="B644" s="5"/>
      <c r="D644" s="3"/>
      <c r="E644" s="3"/>
      <c r="F644" s="3"/>
      <c r="G644" s="3"/>
      <c r="H644" s="3"/>
      <c r="I644" s="3"/>
      <c r="J644" s="4"/>
      <c r="K644" s="3"/>
      <c r="L644" s="3"/>
    </row>
    <row r="645" spans="1:12" ht="15" x14ac:dyDescent="0.2">
      <c r="A645" s="5"/>
      <c r="B645" s="5"/>
      <c r="D645" s="3"/>
      <c r="E645" s="3"/>
      <c r="F645" s="3"/>
      <c r="G645" s="3"/>
      <c r="H645" s="3"/>
      <c r="I645" s="3"/>
      <c r="J645" s="4"/>
      <c r="K645" s="3"/>
      <c r="L645" s="3"/>
    </row>
    <row r="646" spans="1:12" ht="15" x14ac:dyDescent="0.2">
      <c r="A646" s="5"/>
      <c r="B646" s="5"/>
      <c r="D646" s="3"/>
      <c r="E646" s="3"/>
      <c r="F646" s="3"/>
      <c r="G646" s="3"/>
      <c r="H646" s="3"/>
      <c r="I646" s="3"/>
      <c r="J646" s="4"/>
      <c r="K646" s="3"/>
      <c r="L646" s="3"/>
    </row>
    <row r="647" spans="1:12" ht="15" x14ac:dyDescent="0.2">
      <c r="A647" s="5"/>
      <c r="B647" s="5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5" x14ac:dyDescent="0.2">
      <c r="A648" s="5"/>
      <c r="B648" s="5"/>
      <c r="D648" s="3"/>
      <c r="E648" s="3"/>
      <c r="F648" s="3"/>
      <c r="G648" s="3"/>
      <c r="H648" s="3"/>
      <c r="I648" s="3"/>
      <c r="J648" s="4"/>
      <c r="K648" s="3"/>
      <c r="L648" s="3"/>
    </row>
    <row r="649" spans="1:12" ht="15" x14ac:dyDescent="0.2">
      <c r="A649" s="5"/>
      <c r="B649" s="5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5" x14ac:dyDescent="0.2">
      <c r="A650" s="5"/>
      <c r="B650" s="5"/>
      <c r="D650" s="3"/>
      <c r="E650" s="3"/>
      <c r="F650" s="3"/>
      <c r="G650" s="3"/>
      <c r="H650" s="3"/>
      <c r="I650" s="3"/>
      <c r="J650" s="4"/>
      <c r="K650" s="3"/>
      <c r="L650" s="3"/>
    </row>
    <row r="651" spans="1:12" ht="15" x14ac:dyDescent="0.2">
      <c r="A651" s="5"/>
      <c r="B651" s="5"/>
      <c r="D651" s="3"/>
      <c r="E651" s="3"/>
      <c r="F651" s="3"/>
      <c r="G651" s="3"/>
      <c r="H651" s="3"/>
      <c r="I651" s="3"/>
      <c r="J651" s="4"/>
      <c r="K651" s="3"/>
      <c r="L651" s="3"/>
    </row>
    <row r="652" spans="1:12" ht="15" x14ac:dyDescent="0.2">
      <c r="A652" s="5"/>
      <c r="B652" s="5"/>
      <c r="D652" s="3"/>
      <c r="E652" s="3"/>
      <c r="F652" s="3"/>
      <c r="G652" s="3"/>
      <c r="H652" s="3"/>
      <c r="I652" s="3"/>
      <c r="J652" s="4"/>
      <c r="K652" s="3"/>
      <c r="L652" s="3"/>
    </row>
    <row r="653" spans="1:12" ht="15" x14ac:dyDescent="0.2">
      <c r="A653" s="5"/>
      <c r="B653" s="5"/>
      <c r="D653" s="3"/>
      <c r="E653" s="3"/>
      <c r="F653" s="3"/>
      <c r="G653" s="3"/>
      <c r="H653" s="3"/>
      <c r="I653" s="3"/>
      <c r="J653" s="4"/>
      <c r="K653" s="3"/>
      <c r="L653" s="3"/>
    </row>
    <row r="654" spans="1:12" ht="15" x14ac:dyDescent="0.2">
      <c r="A654" s="5"/>
      <c r="B654" s="5"/>
      <c r="D654" s="3"/>
      <c r="E654" s="3"/>
      <c r="F654" s="3"/>
      <c r="G654" s="3"/>
      <c r="H654" s="3"/>
      <c r="I654" s="3"/>
      <c r="J654" s="4"/>
      <c r="K654" s="3"/>
      <c r="L654" s="3"/>
    </row>
    <row r="655" spans="1:12" ht="15" x14ac:dyDescent="0.2">
      <c r="A655" s="5"/>
      <c r="B655" s="5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5" x14ac:dyDescent="0.2">
      <c r="A656" s="5"/>
      <c r="B656" s="5"/>
      <c r="D656" s="3"/>
      <c r="E656" s="3"/>
      <c r="F656" s="3"/>
      <c r="G656" s="3"/>
      <c r="H656" s="3"/>
      <c r="I656" s="3"/>
      <c r="J656" s="4"/>
      <c r="K656" s="3"/>
      <c r="L656" s="3"/>
    </row>
    <row r="657" spans="1:12" ht="15" x14ac:dyDescent="0.2">
      <c r="A657" s="5"/>
      <c r="B657" s="5"/>
      <c r="D657" s="3"/>
      <c r="E657" s="3"/>
      <c r="F657" s="3"/>
      <c r="G657" s="3"/>
      <c r="H657" s="3"/>
      <c r="I657" s="3"/>
      <c r="J657" s="4"/>
      <c r="K657" s="3"/>
      <c r="L657" s="3"/>
    </row>
    <row r="658" spans="1:12" ht="15" x14ac:dyDescent="0.2">
      <c r="A658" s="5"/>
      <c r="B658" s="5"/>
      <c r="D658" s="3"/>
      <c r="E658" s="3"/>
      <c r="F658" s="3"/>
      <c r="G658" s="3"/>
      <c r="H658" s="3"/>
      <c r="I658" s="3"/>
      <c r="J658" s="4"/>
      <c r="K658" s="3"/>
      <c r="L658" s="3"/>
    </row>
    <row r="659" spans="1:12" ht="15" x14ac:dyDescent="0.2">
      <c r="A659" s="5"/>
      <c r="B659" s="5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5" x14ac:dyDescent="0.2">
      <c r="A660" s="5"/>
      <c r="B660" s="5"/>
      <c r="D660" s="3"/>
      <c r="E660" s="3"/>
      <c r="F660" s="3"/>
      <c r="G660" s="3"/>
      <c r="H660" s="3"/>
      <c r="I660" s="3"/>
      <c r="J660" s="4"/>
      <c r="K660" s="3"/>
      <c r="L660" s="3"/>
    </row>
    <row r="661" spans="1:12" ht="15" x14ac:dyDescent="0.2">
      <c r="A661" s="5"/>
      <c r="B661" s="5"/>
      <c r="D661" s="3"/>
      <c r="E661" s="3"/>
      <c r="F661" s="3"/>
      <c r="G661" s="3"/>
      <c r="H661" s="3"/>
      <c r="I661" s="3"/>
      <c r="J661" s="4"/>
      <c r="K661" s="3"/>
      <c r="L661" s="3"/>
    </row>
    <row r="662" spans="1:12" ht="15" x14ac:dyDescent="0.2">
      <c r="A662" s="5"/>
      <c r="B662" s="5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5" x14ac:dyDescent="0.2">
      <c r="A663" s="5"/>
      <c r="B663" s="5"/>
      <c r="D663" s="3"/>
      <c r="E663" s="3"/>
      <c r="F663" s="3"/>
      <c r="G663" s="3"/>
      <c r="H663" s="3"/>
      <c r="I663" s="3"/>
      <c r="J663" s="4"/>
      <c r="K663" s="3"/>
      <c r="L663" s="3"/>
    </row>
    <row r="664" spans="1:12" ht="15" x14ac:dyDescent="0.2">
      <c r="A664" s="5"/>
      <c r="B664" s="5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5" x14ac:dyDescent="0.2">
      <c r="A665" s="5"/>
      <c r="B665" s="5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5" x14ac:dyDescent="0.2">
      <c r="A666" s="5"/>
      <c r="B666" s="5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5" x14ac:dyDescent="0.2">
      <c r="A667" s="5"/>
      <c r="B667" s="5"/>
      <c r="D667" s="3"/>
      <c r="E667" s="3"/>
      <c r="F667" s="3"/>
      <c r="G667" s="3"/>
      <c r="H667" s="3"/>
      <c r="I667" s="3"/>
      <c r="J667" s="4"/>
      <c r="K667" s="3"/>
      <c r="L667" s="3"/>
    </row>
    <row r="668" spans="1:12" ht="15" x14ac:dyDescent="0.2">
      <c r="A668" s="5"/>
      <c r="B668" s="5"/>
      <c r="D668" s="3"/>
      <c r="E668" s="3"/>
      <c r="F668" s="3"/>
      <c r="G668" s="3"/>
      <c r="H668" s="3"/>
      <c r="I668" s="3"/>
      <c r="J668" s="4"/>
      <c r="K668" s="3"/>
      <c r="L668" s="3"/>
    </row>
    <row r="669" spans="1:12" ht="15" x14ac:dyDescent="0.2">
      <c r="A669" s="5"/>
      <c r="B669" s="5"/>
      <c r="D669" s="3"/>
      <c r="E669" s="3"/>
      <c r="F669" s="3"/>
      <c r="G669" s="3"/>
      <c r="H669" s="3"/>
      <c r="I669" s="3"/>
      <c r="J669" s="4"/>
      <c r="K669" s="3"/>
      <c r="L669" s="3"/>
    </row>
    <row r="670" spans="1:12" ht="15" x14ac:dyDescent="0.2">
      <c r="A670" s="5"/>
      <c r="B670" s="5"/>
      <c r="D670" s="3"/>
      <c r="E670" s="3"/>
      <c r="F670" s="3"/>
      <c r="G670" s="3"/>
      <c r="H670" s="3"/>
      <c r="I670" s="3"/>
      <c r="J670" s="4"/>
      <c r="K670" s="3"/>
      <c r="L670" s="3"/>
    </row>
    <row r="671" spans="1:12" ht="15" x14ac:dyDescent="0.2">
      <c r="A671" s="5"/>
      <c r="B671" s="5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5" x14ac:dyDescent="0.2">
      <c r="A672" s="5"/>
      <c r="B672" s="5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5" x14ac:dyDescent="0.2">
      <c r="A673" s="5"/>
      <c r="B673" s="5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5" x14ac:dyDescent="0.2">
      <c r="A674" s="5"/>
      <c r="B674" s="5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5" x14ac:dyDescent="0.2">
      <c r="A675" s="5"/>
      <c r="B675" s="5"/>
      <c r="D675" s="3"/>
      <c r="E675" s="3"/>
      <c r="F675" s="3"/>
      <c r="G675" s="3"/>
      <c r="H675" s="3"/>
      <c r="I675" s="3"/>
      <c r="J675" s="4"/>
      <c r="K675" s="3"/>
      <c r="L675" s="3"/>
    </row>
    <row r="676" spans="1:12" ht="15" x14ac:dyDescent="0.2">
      <c r="A676" s="5"/>
      <c r="B676" s="5"/>
      <c r="D676" s="3"/>
      <c r="E676" s="3"/>
      <c r="F676" s="3"/>
      <c r="G676" s="3"/>
      <c r="H676" s="3"/>
      <c r="I676" s="3"/>
      <c r="J676" s="4"/>
      <c r="K676" s="3"/>
      <c r="L676" s="3"/>
    </row>
    <row r="677" spans="1:12" ht="15" x14ac:dyDescent="0.2">
      <c r="A677" s="5"/>
      <c r="B677" s="5"/>
      <c r="D677" s="3"/>
      <c r="E677" s="3"/>
      <c r="F677" s="3"/>
      <c r="G677" s="3"/>
      <c r="H677" s="3"/>
      <c r="I677" s="3"/>
      <c r="J677" s="4"/>
      <c r="K677" s="3"/>
      <c r="L677" s="3"/>
    </row>
    <row r="678" spans="1:12" ht="15" x14ac:dyDescent="0.2">
      <c r="A678" s="5"/>
      <c r="B678" s="5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5" x14ac:dyDescent="0.2">
      <c r="A679" s="5"/>
      <c r="B679" s="5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5" x14ac:dyDescent="0.2">
      <c r="A680" s="5"/>
      <c r="B680" s="5"/>
      <c r="D680" s="3"/>
      <c r="E680" s="3"/>
      <c r="F680" s="3"/>
      <c r="G680" s="3"/>
      <c r="H680" s="3"/>
      <c r="I680" s="3"/>
      <c r="J680" s="4"/>
      <c r="K680" s="3"/>
      <c r="L680" s="3"/>
    </row>
    <row r="681" spans="1:12" ht="15" x14ac:dyDescent="0.2">
      <c r="A681" s="5"/>
      <c r="B681" s="5"/>
      <c r="D681" s="3"/>
      <c r="E681" s="3"/>
      <c r="F681" s="3"/>
      <c r="G681" s="3"/>
      <c r="H681" s="3"/>
      <c r="I681" s="3"/>
      <c r="J681" s="4"/>
      <c r="K681" s="3"/>
      <c r="L681" s="3"/>
    </row>
    <row r="682" spans="1:12" ht="15" x14ac:dyDescent="0.2">
      <c r="A682" s="5"/>
      <c r="B682" s="5"/>
      <c r="D682" s="3"/>
      <c r="E682" s="3"/>
      <c r="F682" s="3"/>
      <c r="G682" s="3"/>
      <c r="H682" s="3"/>
      <c r="I682" s="3"/>
      <c r="J682" s="4"/>
      <c r="K682" s="3"/>
      <c r="L682" s="3"/>
    </row>
    <row r="683" spans="1:12" ht="15" x14ac:dyDescent="0.2">
      <c r="A683" s="5"/>
      <c r="B683" s="5"/>
      <c r="D683" s="3"/>
      <c r="E683" s="3"/>
      <c r="F683" s="3"/>
      <c r="G683" s="3"/>
      <c r="H683" s="3"/>
      <c r="I683" s="3"/>
      <c r="J683" s="4"/>
      <c r="K683" s="3"/>
      <c r="L683" s="3"/>
    </row>
    <row r="684" spans="1:12" ht="15" x14ac:dyDescent="0.2">
      <c r="A684" s="5"/>
      <c r="B684" s="5"/>
      <c r="D684" s="3"/>
      <c r="E684" s="3"/>
      <c r="F684" s="3"/>
      <c r="G684" s="3"/>
      <c r="H684" s="3"/>
      <c r="I684" s="3"/>
      <c r="J684" s="4"/>
      <c r="K684" s="3"/>
      <c r="L684" s="3"/>
    </row>
    <row r="685" spans="1:12" ht="15" x14ac:dyDescent="0.2">
      <c r="A685" s="5"/>
      <c r="B685" s="5"/>
      <c r="D685" s="3"/>
      <c r="E685" s="3"/>
      <c r="F685" s="3"/>
      <c r="G685" s="3"/>
      <c r="H685" s="3"/>
      <c r="I685" s="3"/>
      <c r="J685" s="4"/>
      <c r="K685" s="3"/>
      <c r="L685" s="3"/>
    </row>
    <row r="686" spans="1:12" ht="15" x14ac:dyDescent="0.2">
      <c r="A686" s="5"/>
      <c r="B686" s="5"/>
      <c r="D686" s="3"/>
      <c r="E686" s="3"/>
      <c r="F686" s="3"/>
      <c r="G686" s="3"/>
      <c r="H686" s="3"/>
      <c r="I686" s="3"/>
      <c r="J686" s="4"/>
      <c r="K686" s="3"/>
      <c r="L686" s="3"/>
    </row>
    <row r="687" spans="1:12" ht="15" x14ac:dyDescent="0.2">
      <c r="A687" s="5"/>
      <c r="B687" s="5"/>
      <c r="D687" s="3"/>
      <c r="E687" s="3"/>
      <c r="F687" s="3"/>
      <c r="G687" s="3"/>
      <c r="H687" s="3"/>
      <c r="I687" s="3"/>
      <c r="J687" s="4"/>
      <c r="K687" s="3"/>
      <c r="L687" s="3"/>
    </row>
    <row r="688" spans="1:12" ht="15" x14ac:dyDescent="0.2">
      <c r="A688" s="5"/>
      <c r="B688" s="5"/>
      <c r="D688" s="3"/>
      <c r="E688" s="3"/>
      <c r="F688" s="3"/>
      <c r="G688" s="3"/>
      <c r="H688" s="3"/>
      <c r="I688" s="3"/>
      <c r="J688" s="4"/>
      <c r="K688" s="3"/>
      <c r="L688" s="3"/>
    </row>
    <row r="689" spans="1:12" ht="15" x14ac:dyDescent="0.2">
      <c r="A689" s="5"/>
      <c r="B689" s="5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5" x14ac:dyDescent="0.2">
      <c r="A690" s="5"/>
      <c r="B690" s="5"/>
      <c r="D690" s="3"/>
      <c r="E690" s="3"/>
      <c r="F690" s="3"/>
      <c r="G690" s="3"/>
      <c r="H690" s="3"/>
      <c r="I690" s="3"/>
      <c r="J690" s="4"/>
      <c r="K690" s="3"/>
      <c r="L690" s="3"/>
    </row>
    <row r="691" spans="1:12" ht="15" x14ac:dyDescent="0.2">
      <c r="A691" s="5"/>
      <c r="B691" s="5"/>
      <c r="D691" s="3"/>
      <c r="E691" s="3"/>
      <c r="F691" s="3"/>
      <c r="G691" s="3"/>
      <c r="H691" s="3"/>
      <c r="I691" s="3"/>
      <c r="J691" s="4"/>
      <c r="K691" s="3"/>
      <c r="L691" s="3"/>
    </row>
    <row r="692" spans="1:12" ht="15" x14ac:dyDescent="0.2">
      <c r="A692" s="5"/>
      <c r="B692" s="5"/>
      <c r="D692" s="3"/>
      <c r="E692" s="3"/>
      <c r="F692" s="3"/>
      <c r="G692" s="3"/>
      <c r="H692" s="3"/>
      <c r="I692" s="3"/>
      <c r="J692" s="4"/>
      <c r="K692" s="3"/>
      <c r="L692" s="3"/>
    </row>
    <row r="693" spans="1:12" ht="15" x14ac:dyDescent="0.2">
      <c r="A693" s="5"/>
      <c r="B693" s="5"/>
      <c r="D693" s="3"/>
      <c r="E693" s="3"/>
      <c r="F693" s="3"/>
      <c r="G693" s="3"/>
      <c r="H693" s="3"/>
      <c r="I693" s="3"/>
      <c r="J693" s="4"/>
      <c r="K693" s="3"/>
      <c r="L693" s="3"/>
    </row>
    <row r="694" spans="1:12" ht="15" x14ac:dyDescent="0.2">
      <c r="A694" s="5"/>
      <c r="B694" s="5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5" x14ac:dyDescent="0.2">
      <c r="A695" s="5"/>
      <c r="B695" s="5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5" x14ac:dyDescent="0.2">
      <c r="A696" s="5"/>
      <c r="B696" s="5"/>
      <c r="D696" s="3"/>
      <c r="E696" s="3"/>
      <c r="F696" s="3"/>
      <c r="G696" s="3"/>
      <c r="H696" s="3"/>
      <c r="I696" s="3"/>
      <c r="J696" s="4"/>
      <c r="K696" s="3"/>
      <c r="L696" s="3"/>
    </row>
    <row r="697" spans="1:12" ht="15" x14ac:dyDescent="0.2">
      <c r="A697" s="5"/>
      <c r="B697" s="5"/>
      <c r="D697" s="3"/>
      <c r="E697" s="3"/>
      <c r="F697" s="3"/>
      <c r="G697" s="3"/>
      <c r="H697" s="3"/>
      <c r="I697" s="3"/>
      <c r="J697" s="4"/>
      <c r="K697" s="3"/>
      <c r="L697" s="3"/>
    </row>
    <row r="698" spans="1:12" ht="15" x14ac:dyDescent="0.2">
      <c r="A698" s="5"/>
      <c r="B698" s="5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5" x14ac:dyDescent="0.2">
      <c r="A699" s="5"/>
      <c r="B699" s="5"/>
      <c r="D699" s="3"/>
      <c r="E699" s="3"/>
      <c r="F699" s="3"/>
      <c r="G699" s="3"/>
      <c r="H699" s="3"/>
      <c r="I699" s="3"/>
      <c r="J699" s="4"/>
      <c r="K699" s="3"/>
      <c r="L699" s="3"/>
    </row>
    <row r="700" spans="1:12" ht="15" x14ac:dyDescent="0.2">
      <c r="A700" s="5"/>
      <c r="B700" s="5"/>
      <c r="D700" s="3"/>
      <c r="E700" s="3"/>
      <c r="F700" s="3"/>
      <c r="G700" s="3"/>
      <c r="H700" s="3"/>
      <c r="I700" s="3"/>
      <c r="J700" s="4"/>
      <c r="K700" s="3"/>
      <c r="L700" s="3"/>
    </row>
    <row r="701" spans="1:12" ht="15" x14ac:dyDescent="0.2">
      <c r="A701" s="5"/>
      <c r="B701" s="5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5" x14ac:dyDescent="0.2">
      <c r="A702" s="5"/>
      <c r="B702" s="5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5" x14ac:dyDescent="0.2">
      <c r="A703" s="5"/>
      <c r="B703" s="5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5" x14ac:dyDescent="0.2">
      <c r="A704" s="5"/>
      <c r="B704" s="5"/>
      <c r="D704" s="3"/>
      <c r="E704" s="3"/>
      <c r="F704" s="3"/>
      <c r="G704" s="3"/>
      <c r="H704" s="3"/>
      <c r="I704" s="3"/>
      <c r="J704" s="4"/>
      <c r="K704" s="3"/>
      <c r="L704" s="3"/>
    </row>
    <row r="705" spans="1:12" ht="15" x14ac:dyDescent="0.2">
      <c r="A705" s="5"/>
      <c r="B705" s="5"/>
      <c r="D705" s="3"/>
      <c r="E705" s="3"/>
      <c r="F705" s="3"/>
      <c r="G705" s="3"/>
      <c r="H705" s="3"/>
      <c r="I705" s="3"/>
      <c r="J705" s="4"/>
      <c r="K705" s="3"/>
      <c r="L705" s="3"/>
    </row>
    <row r="706" spans="1:12" ht="15" x14ac:dyDescent="0.2">
      <c r="A706" s="5"/>
      <c r="B706" s="5"/>
      <c r="D706" s="3"/>
      <c r="E706" s="3"/>
      <c r="F706" s="3"/>
      <c r="G706" s="3"/>
      <c r="H706" s="3"/>
      <c r="I706" s="3"/>
      <c r="J706" s="4"/>
      <c r="K706" s="3"/>
      <c r="L706" s="3"/>
    </row>
    <row r="707" spans="1:12" ht="15" x14ac:dyDescent="0.2">
      <c r="A707" s="5"/>
      <c r="B707" s="5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5" x14ac:dyDescent="0.2">
      <c r="A708" s="5"/>
      <c r="B708" s="5"/>
      <c r="D708" s="3"/>
      <c r="E708" s="3"/>
      <c r="F708" s="3"/>
      <c r="G708" s="3"/>
      <c r="H708" s="3"/>
      <c r="I708" s="3"/>
      <c r="J708" s="4"/>
      <c r="K708" s="3"/>
      <c r="L708" s="3"/>
    </row>
    <row r="709" spans="1:12" ht="15" x14ac:dyDescent="0.2">
      <c r="A709" s="5"/>
      <c r="B709" s="5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5" x14ac:dyDescent="0.2">
      <c r="A710" s="5"/>
      <c r="B710" s="5"/>
      <c r="D710" s="3"/>
      <c r="E710" s="3"/>
      <c r="F710" s="3"/>
      <c r="G710" s="3"/>
      <c r="H710" s="3"/>
      <c r="I710" s="3"/>
      <c r="J710" s="4"/>
      <c r="K710" s="3"/>
      <c r="L710" s="3"/>
    </row>
    <row r="711" spans="1:12" ht="15" x14ac:dyDescent="0.2">
      <c r="A711" s="5"/>
      <c r="B711" s="5"/>
      <c r="D711" s="3"/>
      <c r="E711" s="3"/>
      <c r="F711" s="3"/>
      <c r="G711" s="3"/>
      <c r="H711" s="3"/>
      <c r="I711" s="3"/>
      <c r="J711" s="4"/>
      <c r="K711" s="3"/>
      <c r="L711" s="3"/>
    </row>
    <row r="712" spans="1:12" ht="15" x14ac:dyDescent="0.2">
      <c r="A712" s="5"/>
      <c r="B712" s="5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5" x14ac:dyDescent="0.2">
      <c r="A713" s="5"/>
      <c r="B713" s="5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5" x14ac:dyDescent="0.2">
      <c r="A714" s="5"/>
      <c r="B714" s="5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5" x14ac:dyDescent="0.2">
      <c r="A715" s="5"/>
      <c r="B715" s="5"/>
      <c r="D715" s="3"/>
      <c r="E715" s="3"/>
      <c r="F715" s="3"/>
      <c r="G715" s="3"/>
      <c r="H715" s="3"/>
      <c r="I715" s="3"/>
      <c r="J715" s="4"/>
      <c r="K715" s="3"/>
      <c r="L715" s="3"/>
    </row>
    <row r="716" spans="1:12" ht="15" x14ac:dyDescent="0.2">
      <c r="A716" s="5"/>
      <c r="B716" s="5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5" x14ac:dyDescent="0.2">
      <c r="A717" s="5"/>
      <c r="B717" s="5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5" x14ac:dyDescent="0.2">
      <c r="A718" s="5"/>
      <c r="B718" s="5"/>
      <c r="D718" s="3"/>
      <c r="E718" s="3"/>
      <c r="F718" s="3"/>
      <c r="G718" s="3"/>
      <c r="H718" s="3"/>
      <c r="I718" s="3"/>
      <c r="J718" s="4"/>
      <c r="K718" s="3"/>
      <c r="L718" s="3"/>
    </row>
    <row r="719" spans="1:12" ht="15" x14ac:dyDescent="0.2">
      <c r="A719" s="5"/>
      <c r="B719" s="5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5" x14ac:dyDescent="0.2">
      <c r="A720" s="5"/>
      <c r="B720" s="5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5" x14ac:dyDescent="0.2">
      <c r="A721" s="5"/>
      <c r="B721" s="5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5" x14ac:dyDescent="0.2">
      <c r="A722" s="5"/>
      <c r="B722" s="5"/>
      <c r="D722" s="3"/>
      <c r="E722" s="3"/>
      <c r="F722" s="3"/>
      <c r="G722" s="3"/>
      <c r="H722" s="3"/>
      <c r="I722" s="3"/>
      <c r="J722" s="3"/>
      <c r="K722" s="3"/>
      <c r="L722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"/>
  <sheetViews>
    <sheetView workbookViewId="0"/>
  </sheetViews>
  <sheetFormatPr defaultColWidth="8.875" defaultRowHeight="15" x14ac:dyDescent="0.2"/>
  <cols>
    <col min="1" max="2" width="20.625" style="2" customWidth="1"/>
    <col min="3" max="3" width="53.375" style="2" customWidth="1"/>
    <col min="4" max="4" width="13.375" style="2" customWidth="1"/>
    <col min="5" max="11" width="8.875" style="2"/>
    <col min="12" max="12" width="8.875" style="15"/>
    <col min="13" max="16384" width="8.875" style="2"/>
  </cols>
  <sheetData>
    <row r="1" spans="1:12" s="25" customFormat="1" ht="20.25" x14ac:dyDescent="0.2">
      <c r="A1" s="11" t="s">
        <v>3532</v>
      </c>
      <c r="L1" s="33"/>
    </row>
    <row r="2" spans="1:12" s="25" customFormat="1" ht="18.75" x14ac:dyDescent="0.2">
      <c r="A2" s="28" t="s">
        <v>3538</v>
      </c>
      <c r="L2" s="33"/>
    </row>
    <row r="3" spans="1:12" s="25" customFormat="1" ht="18.75" x14ac:dyDescent="0.2">
      <c r="A3" s="25" t="s">
        <v>3540</v>
      </c>
      <c r="L3" s="33"/>
    </row>
    <row r="4" spans="1:12" s="25" customFormat="1" ht="18.75" customHeight="1" x14ac:dyDescent="0.25">
      <c r="A4" s="31" t="s">
        <v>3502</v>
      </c>
      <c r="B4" s="31" t="s">
        <v>3023</v>
      </c>
      <c r="C4" s="25" t="s">
        <v>1843</v>
      </c>
      <c r="D4" s="32" t="s">
        <v>0</v>
      </c>
      <c r="E4" s="32" t="s">
        <v>1</v>
      </c>
      <c r="F4" s="32" t="s">
        <v>2</v>
      </c>
      <c r="G4" s="32" t="s">
        <v>3</v>
      </c>
      <c r="H4" s="32" t="s">
        <v>4</v>
      </c>
      <c r="I4" s="32"/>
      <c r="J4" s="32"/>
      <c r="K4" s="32"/>
      <c r="L4" s="34"/>
    </row>
    <row r="5" spans="1:12" x14ac:dyDescent="0.2">
      <c r="A5" s="2" t="s">
        <v>269</v>
      </c>
      <c r="B5" s="2" t="s">
        <v>3523</v>
      </c>
      <c r="C5" s="2" t="s">
        <v>1970</v>
      </c>
      <c r="D5" s="2" t="s">
        <v>1836</v>
      </c>
      <c r="E5" s="2" t="s">
        <v>1838</v>
      </c>
      <c r="F5" s="2">
        <v>0.62646100000000005</v>
      </c>
      <c r="G5" s="2">
        <v>38.702599999999997</v>
      </c>
      <c r="H5" s="15">
        <v>5.9490600000000002</v>
      </c>
    </row>
    <row r="6" spans="1:12" x14ac:dyDescent="0.2">
      <c r="A6" s="2" t="s">
        <v>145</v>
      </c>
      <c r="B6" s="2" t="s">
        <v>3015</v>
      </c>
      <c r="C6" s="2" t="s">
        <v>1910</v>
      </c>
      <c r="D6" s="2" t="s">
        <v>1836</v>
      </c>
      <c r="E6" s="2" t="s">
        <v>1838</v>
      </c>
      <c r="F6" s="2">
        <v>0.19189600000000001</v>
      </c>
      <c r="G6" s="2">
        <v>7.9798400000000003</v>
      </c>
      <c r="H6" s="15">
        <v>5.3779700000000004</v>
      </c>
      <c r="J6" s="18"/>
    </row>
    <row r="7" spans="1:12" x14ac:dyDescent="0.2">
      <c r="A7" s="2" t="s">
        <v>266</v>
      </c>
      <c r="B7" s="2" t="s">
        <v>3103</v>
      </c>
      <c r="C7" s="2" t="s">
        <v>3015</v>
      </c>
      <c r="D7" s="2" t="s">
        <v>1836</v>
      </c>
      <c r="E7" s="2" t="s">
        <v>1838</v>
      </c>
      <c r="F7" s="2">
        <v>1.0129300000000001</v>
      </c>
      <c r="G7" s="2">
        <v>35.860199999999999</v>
      </c>
      <c r="H7" s="15">
        <v>5.1457800000000002</v>
      </c>
    </row>
    <row r="8" spans="1:12" x14ac:dyDescent="0.2">
      <c r="A8" s="2" t="s">
        <v>1143</v>
      </c>
      <c r="B8" s="2" t="s">
        <v>3179</v>
      </c>
      <c r="C8" s="2" t="s">
        <v>2375</v>
      </c>
      <c r="D8" s="2" t="s">
        <v>1836</v>
      </c>
      <c r="E8" s="2" t="s">
        <v>1838</v>
      </c>
      <c r="F8" s="2">
        <v>0.117338</v>
      </c>
      <c r="G8" s="2">
        <v>1.6271</v>
      </c>
      <c r="H8" s="15">
        <v>3.7935599999999998</v>
      </c>
    </row>
    <row r="9" spans="1:12" x14ac:dyDescent="0.2">
      <c r="A9" s="2" t="s">
        <v>345</v>
      </c>
      <c r="B9" s="2" t="s">
        <v>3122</v>
      </c>
      <c r="C9" s="2" t="s">
        <v>1847</v>
      </c>
      <c r="D9" s="2" t="s">
        <v>1836</v>
      </c>
      <c r="E9" s="2" t="s">
        <v>1838</v>
      </c>
      <c r="F9" s="2">
        <v>0.44957799999999998</v>
      </c>
      <c r="G9" s="2">
        <v>4.5030999999999999</v>
      </c>
      <c r="H9" s="15">
        <v>3.3242799999999999</v>
      </c>
      <c r="J9" s="18"/>
    </row>
    <row r="10" spans="1:12" x14ac:dyDescent="0.2">
      <c r="A10" s="2" t="s">
        <v>3524</v>
      </c>
      <c r="B10" s="2" t="s">
        <v>3049</v>
      </c>
      <c r="C10" s="2" t="s">
        <v>1847</v>
      </c>
      <c r="D10" s="2" t="s">
        <v>1836</v>
      </c>
      <c r="E10" s="2" t="s">
        <v>1838</v>
      </c>
      <c r="F10" s="2">
        <v>0.26123499999999999</v>
      </c>
      <c r="G10" s="2">
        <v>1.6354200000000001</v>
      </c>
      <c r="H10" s="15">
        <v>2.6462400000000001</v>
      </c>
      <c r="J10" s="18"/>
    </row>
    <row r="11" spans="1:12" x14ac:dyDescent="0.2">
      <c r="A11" s="2" t="s">
        <v>1456</v>
      </c>
      <c r="B11" s="2" t="s">
        <v>3015</v>
      </c>
      <c r="C11" s="2" t="s">
        <v>2603</v>
      </c>
      <c r="D11" s="2" t="s">
        <v>1836</v>
      </c>
      <c r="E11" s="2" t="s">
        <v>1838</v>
      </c>
      <c r="F11" s="2">
        <v>0.21152599999999999</v>
      </c>
      <c r="G11" s="2">
        <v>1.27582</v>
      </c>
      <c r="H11" s="15">
        <v>2.59253</v>
      </c>
    </row>
    <row r="12" spans="1:12" x14ac:dyDescent="0.2">
      <c r="A12" s="2" t="s">
        <v>952</v>
      </c>
      <c r="B12" s="2" t="s">
        <v>3256</v>
      </c>
      <c r="C12" s="2" t="s">
        <v>2316</v>
      </c>
      <c r="D12" s="2" t="s">
        <v>1836</v>
      </c>
      <c r="E12" s="2" t="s">
        <v>1838</v>
      </c>
      <c r="F12" s="2">
        <v>1.94963</v>
      </c>
      <c r="G12" s="2">
        <v>11.5223</v>
      </c>
      <c r="H12" s="15">
        <v>2.5631599999999999</v>
      </c>
    </row>
    <row r="13" spans="1:12" x14ac:dyDescent="0.2">
      <c r="A13" s="2" t="s">
        <v>1270</v>
      </c>
      <c r="B13" s="2" t="s">
        <v>3327</v>
      </c>
      <c r="C13" s="2" t="s">
        <v>2474</v>
      </c>
      <c r="D13" s="2" t="s">
        <v>1836</v>
      </c>
      <c r="E13" s="2" t="s">
        <v>1838</v>
      </c>
      <c r="F13" s="2">
        <v>0.164627</v>
      </c>
      <c r="G13" s="2">
        <v>0.92244099999999996</v>
      </c>
      <c r="H13" s="15">
        <v>2.4862600000000001</v>
      </c>
      <c r="J13" s="18"/>
    </row>
    <row r="14" spans="1:12" x14ac:dyDescent="0.2">
      <c r="A14" s="2" t="s">
        <v>476</v>
      </c>
      <c r="B14" s="2" t="s">
        <v>3147</v>
      </c>
      <c r="C14" s="2" t="s">
        <v>2066</v>
      </c>
      <c r="D14" s="2" t="s">
        <v>1836</v>
      </c>
      <c r="E14" s="2" t="s">
        <v>1838</v>
      </c>
      <c r="F14" s="2">
        <v>0.87570499999999996</v>
      </c>
      <c r="G14" s="2">
        <v>4.8879900000000003</v>
      </c>
      <c r="H14" s="15">
        <v>2.4807199999999998</v>
      </c>
    </row>
    <row r="15" spans="1:12" x14ac:dyDescent="0.2">
      <c r="A15" s="2" t="s">
        <v>1240</v>
      </c>
      <c r="B15" s="2" t="s">
        <v>3316</v>
      </c>
      <c r="C15" s="2" t="s">
        <v>2448</v>
      </c>
      <c r="D15" s="2" t="s">
        <v>1836</v>
      </c>
      <c r="E15" s="2" t="s">
        <v>1838</v>
      </c>
      <c r="F15" s="2">
        <v>2.6519499999999998</v>
      </c>
      <c r="G15" s="2">
        <v>14.186400000000001</v>
      </c>
      <c r="H15" s="15">
        <v>2.4193899999999999</v>
      </c>
    </row>
    <row r="16" spans="1:12" x14ac:dyDescent="0.2">
      <c r="A16" s="2" t="s">
        <v>438</v>
      </c>
      <c r="B16" s="2" t="s">
        <v>3138</v>
      </c>
      <c r="C16" s="2" t="s">
        <v>2047</v>
      </c>
      <c r="D16" s="2" t="s">
        <v>1836</v>
      </c>
      <c r="E16" s="2" t="s">
        <v>1838</v>
      </c>
      <c r="F16" s="2">
        <v>86.625299999999996</v>
      </c>
      <c r="G16" s="2">
        <v>428.19299999999998</v>
      </c>
      <c r="H16" s="15">
        <v>2.3054000000000001</v>
      </c>
      <c r="J16" s="18"/>
    </row>
    <row r="17" spans="1:10" x14ac:dyDescent="0.2">
      <c r="A17" s="2" t="s">
        <v>1093</v>
      </c>
      <c r="B17" s="2" t="s">
        <v>3268</v>
      </c>
      <c r="C17" s="2" t="s">
        <v>2355</v>
      </c>
      <c r="D17" s="2" t="s">
        <v>1836</v>
      </c>
      <c r="E17" s="2" t="s">
        <v>1838</v>
      </c>
      <c r="F17" s="2">
        <v>0.173149</v>
      </c>
      <c r="G17" s="2">
        <v>0.852545</v>
      </c>
      <c r="H17" s="15">
        <v>2.29976</v>
      </c>
      <c r="J17" s="18"/>
    </row>
    <row r="18" spans="1:10" x14ac:dyDescent="0.2">
      <c r="A18" s="2" t="s">
        <v>1359</v>
      </c>
      <c r="B18" s="2" t="s">
        <v>3015</v>
      </c>
      <c r="C18" s="2" t="s">
        <v>3015</v>
      </c>
      <c r="D18" s="2" t="s">
        <v>1836</v>
      </c>
      <c r="E18" s="2" t="s">
        <v>1838</v>
      </c>
      <c r="F18" s="2">
        <v>2.1955100000000001</v>
      </c>
      <c r="G18" s="2">
        <v>10.702400000000001</v>
      </c>
      <c r="H18" s="15">
        <v>2.28531</v>
      </c>
    </row>
    <row r="19" spans="1:10" x14ac:dyDescent="0.2">
      <c r="A19" s="2" t="s">
        <v>1461</v>
      </c>
      <c r="B19" s="2" t="s">
        <v>3015</v>
      </c>
      <c r="C19" s="2" t="s">
        <v>2608</v>
      </c>
      <c r="D19" s="2" t="s">
        <v>1836</v>
      </c>
      <c r="E19" s="2" t="s">
        <v>1838</v>
      </c>
      <c r="F19" s="2">
        <v>0.466306</v>
      </c>
      <c r="G19" s="2">
        <v>2.1493500000000001</v>
      </c>
      <c r="H19" s="15">
        <v>2.2045499999999998</v>
      </c>
    </row>
    <row r="20" spans="1:10" x14ac:dyDescent="0.2">
      <c r="A20" s="2" t="s">
        <v>431</v>
      </c>
      <c r="B20" s="2" t="s">
        <v>3015</v>
      </c>
      <c r="C20" s="2" t="s">
        <v>3015</v>
      </c>
      <c r="D20" s="2" t="s">
        <v>1836</v>
      </c>
      <c r="E20" s="2" t="s">
        <v>1838</v>
      </c>
      <c r="F20" s="2">
        <v>5.0835900000000001</v>
      </c>
      <c r="G20" s="2">
        <v>23.232900000000001</v>
      </c>
      <c r="H20" s="15">
        <v>2.19225</v>
      </c>
    </row>
    <row r="21" spans="1:10" x14ac:dyDescent="0.2">
      <c r="A21" s="2" t="s">
        <v>556</v>
      </c>
      <c r="B21" s="2" t="s">
        <v>3158</v>
      </c>
      <c r="C21" s="2" t="s">
        <v>1858</v>
      </c>
      <c r="D21" s="2" t="s">
        <v>1836</v>
      </c>
      <c r="E21" s="2" t="s">
        <v>1838</v>
      </c>
      <c r="F21" s="2">
        <v>0.26356299999999999</v>
      </c>
      <c r="G21" s="2">
        <v>1.16221</v>
      </c>
      <c r="H21" s="15">
        <v>2.1406499999999999</v>
      </c>
      <c r="J21" s="18"/>
    </row>
    <row r="22" spans="1:10" x14ac:dyDescent="0.2">
      <c r="A22" s="2" t="s">
        <v>799</v>
      </c>
      <c r="B22" s="2" t="s">
        <v>3085</v>
      </c>
      <c r="C22" s="2" t="s">
        <v>2207</v>
      </c>
      <c r="D22" s="2" t="s">
        <v>1836</v>
      </c>
      <c r="E22" s="2" t="s">
        <v>1838</v>
      </c>
      <c r="F22" s="2">
        <v>1.37991</v>
      </c>
      <c r="G22" s="2">
        <v>5.8302100000000001</v>
      </c>
      <c r="H22" s="15">
        <v>2.07897</v>
      </c>
    </row>
    <row r="23" spans="1:10" x14ac:dyDescent="0.2">
      <c r="A23" s="2" t="s">
        <v>60</v>
      </c>
      <c r="B23" s="2" t="s">
        <v>3015</v>
      </c>
      <c r="C23" s="2" t="s">
        <v>1871</v>
      </c>
      <c r="D23" s="2" t="s">
        <v>1836</v>
      </c>
      <c r="E23" s="2" t="s">
        <v>1838</v>
      </c>
      <c r="F23" s="2">
        <v>1.17746</v>
      </c>
      <c r="G23" s="2">
        <v>4.7757300000000003</v>
      </c>
      <c r="H23" s="15">
        <v>2.0200399999999998</v>
      </c>
    </row>
    <row r="24" spans="1:10" x14ac:dyDescent="0.2">
      <c r="A24" s="2" t="s">
        <v>1263</v>
      </c>
      <c r="B24" s="2" t="s">
        <v>3323</v>
      </c>
      <c r="C24" s="2" t="s">
        <v>2191</v>
      </c>
      <c r="D24" s="2" t="s">
        <v>1836</v>
      </c>
      <c r="E24" s="2" t="s">
        <v>1838</v>
      </c>
      <c r="F24" s="2">
        <v>0.479522</v>
      </c>
      <c r="G24" s="2">
        <v>1.9263999999999999</v>
      </c>
      <c r="H24" s="15">
        <v>2.00624</v>
      </c>
      <c r="J24" s="18"/>
    </row>
    <row r="25" spans="1:10" x14ac:dyDescent="0.2">
      <c r="A25" s="2" t="s">
        <v>1201</v>
      </c>
      <c r="B25" s="2" t="s">
        <v>3015</v>
      </c>
      <c r="C25" s="2" t="s">
        <v>2425</v>
      </c>
      <c r="D25" s="2" t="s">
        <v>1836</v>
      </c>
      <c r="E25" s="2" t="s">
        <v>1838</v>
      </c>
      <c r="F25" s="2">
        <v>7.3511199999999999</v>
      </c>
      <c r="G25" s="2">
        <v>29.153300000000002</v>
      </c>
      <c r="H25" s="15">
        <v>1.98763</v>
      </c>
    </row>
    <row r="26" spans="1:10" x14ac:dyDescent="0.2">
      <c r="A26" s="2" t="s">
        <v>395</v>
      </c>
      <c r="B26" s="2" t="s">
        <v>3015</v>
      </c>
      <c r="C26" s="2" t="s">
        <v>3015</v>
      </c>
      <c r="D26" s="2" t="s">
        <v>1836</v>
      </c>
      <c r="E26" s="2" t="s">
        <v>1838</v>
      </c>
      <c r="F26" s="2">
        <v>0.39205699999999999</v>
      </c>
      <c r="G26" s="2">
        <v>1.54118</v>
      </c>
      <c r="H26" s="15">
        <v>1.9749000000000001</v>
      </c>
      <c r="J26" s="18"/>
    </row>
    <row r="27" spans="1:10" x14ac:dyDescent="0.2">
      <c r="A27" s="2" t="s">
        <v>549</v>
      </c>
      <c r="B27" s="2" t="s">
        <v>3053</v>
      </c>
      <c r="C27" s="2" t="s">
        <v>2103</v>
      </c>
      <c r="D27" s="2" t="s">
        <v>1836</v>
      </c>
      <c r="E27" s="2" t="s">
        <v>1838</v>
      </c>
      <c r="F27" s="2">
        <v>1.39297</v>
      </c>
      <c r="G27" s="2">
        <v>5.1764799999999997</v>
      </c>
      <c r="H27" s="15">
        <v>1.89381</v>
      </c>
      <c r="J27" s="18"/>
    </row>
    <row r="28" spans="1:10" x14ac:dyDescent="0.2">
      <c r="A28" s="2" t="s">
        <v>1146</v>
      </c>
      <c r="B28" s="2" t="s">
        <v>3284</v>
      </c>
      <c r="C28" s="2" t="s">
        <v>2378</v>
      </c>
      <c r="D28" s="2" t="s">
        <v>1836</v>
      </c>
      <c r="E28" s="2" t="s">
        <v>1838</v>
      </c>
      <c r="F28" s="2">
        <v>4.0926499999999999</v>
      </c>
      <c r="G28" s="2">
        <v>15.0375</v>
      </c>
      <c r="H28" s="15">
        <v>1.8774599999999999</v>
      </c>
      <c r="J28" s="18"/>
    </row>
    <row r="29" spans="1:10" x14ac:dyDescent="0.2">
      <c r="A29" s="2" t="s">
        <v>1147</v>
      </c>
      <c r="B29" s="2" t="s">
        <v>3285</v>
      </c>
      <c r="C29" s="2" t="s">
        <v>2379</v>
      </c>
      <c r="D29" s="2" t="s">
        <v>1836</v>
      </c>
      <c r="E29" s="2" t="s">
        <v>1838</v>
      </c>
      <c r="F29" s="2">
        <v>0.70819200000000004</v>
      </c>
      <c r="G29" s="2">
        <v>2.5365199999999999</v>
      </c>
      <c r="H29" s="15">
        <v>1.8406400000000001</v>
      </c>
    </row>
    <row r="30" spans="1:10" x14ac:dyDescent="0.2">
      <c r="A30" s="2" t="s">
        <v>382</v>
      </c>
      <c r="B30" s="2" t="s">
        <v>3030</v>
      </c>
      <c r="C30" s="2" t="s">
        <v>2467</v>
      </c>
      <c r="D30" s="2" t="s">
        <v>1836</v>
      </c>
      <c r="E30" s="2" t="s">
        <v>1838</v>
      </c>
      <c r="F30" s="2">
        <v>15.6236</v>
      </c>
      <c r="G30" s="2">
        <v>55.630099999999999</v>
      </c>
      <c r="H30" s="15">
        <v>1.8321400000000001</v>
      </c>
    </row>
    <row r="31" spans="1:10" x14ac:dyDescent="0.2">
      <c r="A31" s="2" t="s">
        <v>1434</v>
      </c>
      <c r="B31" s="2" t="s">
        <v>3015</v>
      </c>
      <c r="C31" s="2" t="s">
        <v>3015</v>
      </c>
      <c r="D31" s="2" t="s">
        <v>1836</v>
      </c>
      <c r="E31" s="2" t="s">
        <v>1838</v>
      </c>
      <c r="F31" s="2">
        <v>0.7994</v>
      </c>
      <c r="G31" s="2">
        <v>2.8257500000000002</v>
      </c>
      <c r="H31" s="15">
        <v>1.8216399999999999</v>
      </c>
      <c r="J31" s="18"/>
    </row>
    <row r="32" spans="1:10" x14ac:dyDescent="0.2">
      <c r="A32" s="2" t="s">
        <v>82</v>
      </c>
      <c r="B32" s="2" t="s">
        <v>3048</v>
      </c>
      <c r="C32" s="2" t="s">
        <v>1881</v>
      </c>
      <c r="D32" s="2" t="s">
        <v>1836</v>
      </c>
      <c r="E32" s="2" t="s">
        <v>1838</v>
      </c>
      <c r="F32" s="2">
        <v>0.47378100000000001</v>
      </c>
      <c r="G32" s="2">
        <v>1.6698599999999999</v>
      </c>
      <c r="H32" s="15">
        <v>1.8174300000000001</v>
      </c>
    </row>
    <row r="33" spans="1:10" x14ac:dyDescent="0.2">
      <c r="A33" s="2" t="s">
        <v>1415</v>
      </c>
      <c r="B33" s="2" t="s">
        <v>3047</v>
      </c>
      <c r="C33" s="2" t="s">
        <v>2585</v>
      </c>
      <c r="D33" s="2" t="s">
        <v>1836</v>
      </c>
      <c r="E33" s="2" t="s">
        <v>1838</v>
      </c>
      <c r="F33" s="2">
        <v>13.834199999999999</v>
      </c>
      <c r="G33" s="2">
        <v>47.928699999999999</v>
      </c>
      <c r="H33" s="15">
        <v>1.7926500000000001</v>
      </c>
      <c r="J33" s="18"/>
    </row>
    <row r="34" spans="1:10" x14ac:dyDescent="0.2">
      <c r="A34" s="2" t="s">
        <v>1383</v>
      </c>
      <c r="B34" s="2" t="s">
        <v>3015</v>
      </c>
      <c r="C34" s="2" t="s">
        <v>2559</v>
      </c>
      <c r="D34" s="2" t="s">
        <v>1836</v>
      </c>
      <c r="E34" s="2" t="s">
        <v>1838</v>
      </c>
      <c r="F34" s="2">
        <v>2.9943599999999999</v>
      </c>
      <c r="G34" s="2">
        <v>10.129099999999999</v>
      </c>
      <c r="H34" s="15">
        <v>1.7581899999999999</v>
      </c>
      <c r="J34" s="18"/>
    </row>
    <row r="35" spans="1:10" x14ac:dyDescent="0.2">
      <c r="A35" s="2" t="s">
        <v>1340</v>
      </c>
      <c r="B35" s="2" t="s">
        <v>3350</v>
      </c>
      <c r="C35" s="2" t="s">
        <v>2535</v>
      </c>
      <c r="D35" s="2" t="s">
        <v>1836</v>
      </c>
      <c r="E35" s="2" t="s">
        <v>1838</v>
      </c>
      <c r="F35" s="2">
        <v>0.65120900000000004</v>
      </c>
      <c r="G35" s="2">
        <v>2.1782300000000001</v>
      </c>
      <c r="H35" s="2">
        <v>1.74196</v>
      </c>
    </row>
    <row r="36" spans="1:10" x14ac:dyDescent="0.2">
      <c r="A36" s="2" t="s">
        <v>353</v>
      </c>
      <c r="B36" s="2" t="s">
        <v>3123</v>
      </c>
      <c r="C36" s="2" t="s">
        <v>2007</v>
      </c>
      <c r="D36" s="2" t="s">
        <v>1836</v>
      </c>
      <c r="E36" s="2" t="s">
        <v>1838</v>
      </c>
      <c r="F36" s="2">
        <v>0.59132899999999999</v>
      </c>
      <c r="G36" s="2">
        <v>1.97414</v>
      </c>
      <c r="H36" s="2">
        <v>1.73919</v>
      </c>
      <c r="J36" s="18"/>
    </row>
    <row r="37" spans="1:10" x14ac:dyDescent="0.2">
      <c r="A37" s="2" t="s">
        <v>1087</v>
      </c>
      <c r="B37" s="2" t="s">
        <v>3015</v>
      </c>
      <c r="C37" s="2" t="s">
        <v>2352</v>
      </c>
      <c r="D37" s="2" t="s">
        <v>1836</v>
      </c>
      <c r="E37" s="2" t="s">
        <v>1838</v>
      </c>
      <c r="F37" s="2">
        <v>0.59982000000000002</v>
      </c>
      <c r="G37" s="2">
        <v>1.9970600000000001</v>
      </c>
      <c r="H37" s="2">
        <v>1.7352799999999999</v>
      </c>
    </row>
    <row r="38" spans="1:10" x14ac:dyDescent="0.2">
      <c r="A38" s="2" t="s">
        <v>1120</v>
      </c>
      <c r="B38" s="2" t="s">
        <v>3015</v>
      </c>
      <c r="C38" s="2" t="s">
        <v>2378</v>
      </c>
      <c r="D38" s="2" t="s">
        <v>1836</v>
      </c>
      <c r="E38" s="2" t="s">
        <v>1838</v>
      </c>
      <c r="F38" s="2">
        <v>3.2463899999999999</v>
      </c>
      <c r="G38" s="2">
        <v>10.4946</v>
      </c>
      <c r="H38" s="2">
        <v>1.6927399999999999</v>
      </c>
    </row>
    <row r="39" spans="1:10" x14ac:dyDescent="0.2">
      <c r="A39" s="2" t="s">
        <v>1224</v>
      </c>
      <c r="B39" s="2" t="s">
        <v>3308</v>
      </c>
      <c r="C39" s="2" t="s">
        <v>1976</v>
      </c>
      <c r="D39" s="2" t="s">
        <v>1836</v>
      </c>
      <c r="E39" s="2" t="s">
        <v>1838</v>
      </c>
      <c r="F39" s="2">
        <v>0.530559</v>
      </c>
      <c r="G39" s="2">
        <v>1.6916500000000001</v>
      </c>
      <c r="H39" s="2">
        <v>1.6728499999999999</v>
      </c>
      <c r="J39" s="18"/>
    </row>
    <row r="40" spans="1:10" x14ac:dyDescent="0.2">
      <c r="A40" s="2" t="s">
        <v>1470</v>
      </c>
      <c r="B40" s="2" t="s">
        <v>3015</v>
      </c>
      <c r="C40" s="2" t="s">
        <v>3015</v>
      </c>
      <c r="D40" s="2" t="s">
        <v>1836</v>
      </c>
      <c r="E40" s="2" t="s">
        <v>1838</v>
      </c>
      <c r="F40" s="2">
        <v>1.01044</v>
      </c>
      <c r="G40" s="2">
        <v>3.2186599999999999</v>
      </c>
      <c r="H40" s="2">
        <v>1.6714800000000001</v>
      </c>
      <c r="J40" s="18"/>
    </row>
    <row r="41" spans="1:10" x14ac:dyDescent="0.2">
      <c r="A41" s="2" t="s">
        <v>328</v>
      </c>
      <c r="B41" s="2" t="s">
        <v>3115</v>
      </c>
      <c r="C41" s="2" t="s">
        <v>1997</v>
      </c>
      <c r="D41" s="2" t="s">
        <v>1836</v>
      </c>
      <c r="E41" s="2" t="s">
        <v>1838</v>
      </c>
      <c r="F41" s="2">
        <v>0.91765699999999994</v>
      </c>
      <c r="G41" s="2">
        <v>2.9170199999999999</v>
      </c>
      <c r="H41" s="2">
        <v>1.6684699999999999</v>
      </c>
    </row>
    <row r="42" spans="1:10" x14ac:dyDescent="0.2">
      <c r="A42" s="2" t="s">
        <v>722</v>
      </c>
      <c r="B42" s="2" t="s">
        <v>3015</v>
      </c>
      <c r="C42" s="2" t="s">
        <v>3015</v>
      </c>
      <c r="D42" s="2" t="s">
        <v>1836</v>
      </c>
      <c r="E42" s="2" t="s">
        <v>1838</v>
      </c>
      <c r="F42" s="2">
        <v>2.3320099999999999</v>
      </c>
      <c r="G42" s="2">
        <v>7.2999700000000001</v>
      </c>
      <c r="H42" s="2">
        <v>1.6463099999999999</v>
      </c>
    </row>
    <row r="43" spans="1:10" x14ac:dyDescent="0.2">
      <c r="A43" s="2" t="s">
        <v>1369</v>
      </c>
      <c r="B43" s="2" t="s">
        <v>3209</v>
      </c>
      <c r="C43" s="2" t="s">
        <v>2205</v>
      </c>
      <c r="D43" s="2" t="s">
        <v>1836</v>
      </c>
      <c r="E43" s="2" t="s">
        <v>1838</v>
      </c>
      <c r="F43" s="2">
        <v>0.31018000000000001</v>
      </c>
      <c r="G43" s="2">
        <v>0.96739299999999995</v>
      </c>
      <c r="H43" s="2">
        <v>1.641</v>
      </c>
      <c r="J43" s="18"/>
    </row>
    <row r="44" spans="1:10" x14ac:dyDescent="0.2">
      <c r="A44" s="2" t="s">
        <v>179</v>
      </c>
      <c r="B44" s="2" t="s">
        <v>3073</v>
      </c>
      <c r="C44" s="2" t="s">
        <v>3015</v>
      </c>
      <c r="D44" s="2" t="s">
        <v>1836</v>
      </c>
      <c r="E44" s="2" t="s">
        <v>1838</v>
      </c>
      <c r="F44" s="2">
        <v>0.39915200000000001</v>
      </c>
      <c r="G44" s="2">
        <v>1.2174</v>
      </c>
      <c r="H44" s="2">
        <v>1.6088</v>
      </c>
    </row>
    <row r="45" spans="1:10" x14ac:dyDescent="0.2">
      <c r="A45" s="2" t="s">
        <v>1423</v>
      </c>
      <c r="B45" s="2" t="s">
        <v>3015</v>
      </c>
      <c r="C45" s="2" t="s">
        <v>2586</v>
      </c>
      <c r="D45" s="2" t="s">
        <v>1836</v>
      </c>
      <c r="E45" s="2" t="s">
        <v>1838</v>
      </c>
      <c r="F45" s="2">
        <v>0.56464999999999999</v>
      </c>
      <c r="G45" s="2">
        <v>1.6894100000000001</v>
      </c>
      <c r="H45" s="2">
        <v>1.5810900000000001</v>
      </c>
      <c r="J45" s="18"/>
    </row>
    <row r="46" spans="1:10" x14ac:dyDescent="0.2">
      <c r="A46" s="2" t="s">
        <v>651</v>
      </c>
      <c r="B46" s="2" t="s">
        <v>3015</v>
      </c>
      <c r="C46" s="2" t="s">
        <v>2147</v>
      </c>
      <c r="D46" s="2" t="s">
        <v>1836</v>
      </c>
      <c r="E46" s="2" t="s">
        <v>1838</v>
      </c>
      <c r="F46" s="2">
        <v>2.0388500000000001</v>
      </c>
      <c r="G46" s="2">
        <v>6.0813100000000002</v>
      </c>
      <c r="H46" s="2">
        <v>1.57663</v>
      </c>
    </row>
    <row r="47" spans="1:10" x14ac:dyDescent="0.2">
      <c r="A47" s="2" t="s">
        <v>1187</v>
      </c>
      <c r="B47" s="2" t="s">
        <v>3015</v>
      </c>
      <c r="C47" s="2" t="s">
        <v>2413</v>
      </c>
      <c r="D47" s="2" t="s">
        <v>1836</v>
      </c>
      <c r="E47" s="2" t="s">
        <v>1838</v>
      </c>
      <c r="F47" s="2">
        <v>3.30965</v>
      </c>
      <c r="G47" s="2">
        <v>9.8173600000000008</v>
      </c>
      <c r="H47" s="2">
        <v>1.5686599999999999</v>
      </c>
      <c r="J47" s="18"/>
    </row>
    <row r="48" spans="1:10" x14ac:dyDescent="0.2">
      <c r="A48" s="2" t="s">
        <v>194</v>
      </c>
      <c r="B48" s="2" t="s">
        <v>3015</v>
      </c>
      <c r="C48" s="2" t="s">
        <v>1933</v>
      </c>
      <c r="D48" s="2" t="s">
        <v>1836</v>
      </c>
      <c r="E48" s="2" t="s">
        <v>1838</v>
      </c>
      <c r="F48" s="2">
        <v>0.89725999999999995</v>
      </c>
      <c r="G48" s="2">
        <v>2.6488700000000001</v>
      </c>
      <c r="H48" s="2">
        <v>1.5617799999999999</v>
      </c>
    </row>
    <row r="49" spans="1:10" x14ac:dyDescent="0.2">
      <c r="A49" s="2" t="s">
        <v>1284</v>
      </c>
      <c r="B49" s="2" t="s">
        <v>3103</v>
      </c>
      <c r="C49" s="2" t="s">
        <v>2400</v>
      </c>
      <c r="D49" s="2" t="s">
        <v>1836</v>
      </c>
      <c r="E49" s="2" t="s">
        <v>1838</v>
      </c>
      <c r="F49" s="2">
        <v>0.76064500000000002</v>
      </c>
      <c r="G49" s="2">
        <v>2.2421199999999999</v>
      </c>
      <c r="H49" s="2">
        <v>1.5595699999999999</v>
      </c>
      <c r="J49" s="18"/>
    </row>
    <row r="50" spans="1:10" x14ac:dyDescent="0.2">
      <c r="A50" s="2" t="s">
        <v>590</v>
      </c>
      <c r="B50" s="2" t="s">
        <v>3015</v>
      </c>
      <c r="C50" s="2" t="s">
        <v>3015</v>
      </c>
      <c r="D50" s="2" t="s">
        <v>1836</v>
      </c>
      <c r="E50" s="2" t="s">
        <v>1838</v>
      </c>
      <c r="F50" s="2">
        <v>0.33421000000000001</v>
      </c>
      <c r="G50" s="2">
        <v>0.97919599999999996</v>
      </c>
      <c r="H50" s="2">
        <v>1.55084</v>
      </c>
      <c r="J50" s="18"/>
    </row>
    <row r="51" spans="1:10" x14ac:dyDescent="0.2">
      <c r="A51" s="2" t="s">
        <v>1442</v>
      </c>
      <c r="B51" s="2" t="s">
        <v>3047</v>
      </c>
      <c r="C51" s="2" t="s">
        <v>2597</v>
      </c>
      <c r="D51" s="2" t="s">
        <v>1836</v>
      </c>
      <c r="E51" s="2" t="s">
        <v>1838</v>
      </c>
      <c r="F51" s="2">
        <v>0.46690999999999999</v>
      </c>
      <c r="G51" s="2">
        <v>1.361</v>
      </c>
      <c r="H51" s="2">
        <v>1.54345</v>
      </c>
    </row>
    <row r="52" spans="1:10" x14ac:dyDescent="0.2">
      <c r="A52" s="2" t="s">
        <v>1170</v>
      </c>
      <c r="B52" s="2" t="s">
        <v>3290</v>
      </c>
      <c r="C52" s="2" t="s">
        <v>3015</v>
      </c>
      <c r="D52" s="2" t="s">
        <v>1836</v>
      </c>
      <c r="E52" s="2" t="s">
        <v>1838</v>
      </c>
      <c r="F52" s="2">
        <v>1.9573</v>
      </c>
      <c r="G52" s="2">
        <v>5.6913900000000002</v>
      </c>
      <c r="H52" s="2">
        <v>1.53992</v>
      </c>
    </row>
    <row r="53" spans="1:10" x14ac:dyDescent="0.2">
      <c r="A53" s="2" t="s">
        <v>895</v>
      </c>
      <c r="B53" s="2" t="s">
        <v>3047</v>
      </c>
      <c r="C53" s="2" t="s">
        <v>2258</v>
      </c>
      <c r="D53" s="2" t="s">
        <v>1836</v>
      </c>
      <c r="E53" s="2" t="s">
        <v>1838</v>
      </c>
      <c r="F53" s="2">
        <v>2.7345100000000002</v>
      </c>
      <c r="G53" s="2">
        <v>7.7873999999999999</v>
      </c>
      <c r="H53" s="2">
        <v>1.50986</v>
      </c>
    </row>
    <row r="54" spans="1:10" x14ac:dyDescent="0.2">
      <c r="A54" s="2" t="s">
        <v>1119</v>
      </c>
      <c r="B54" s="2" t="s">
        <v>3015</v>
      </c>
      <c r="C54" s="2" t="s">
        <v>3015</v>
      </c>
      <c r="D54" s="2" t="s">
        <v>1836</v>
      </c>
      <c r="E54" s="2" t="s">
        <v>1838</v>
      </c>
      <c r="F54" s="2">
        <v>0.67841700000000005</v>
      </c>
      <c r="G54" s="2">
        <v>1.9271</v>
      </c>
      <c r="H54" s="2">
        <v>1.5061899999999999</v>
      </c>
      <c r="J54" s="18"/>
    </row>
    <row r="55" spans="1:10" x14ac:dyDescent="0.2">
      <c r="A55" s="2" t="s">
        <v>1308</v>
      </c>
      <c r="B55" s="2" t="s">
        <v>3344</v>
      </c>
      <c r="C55" s="2" t="s">
        <v>2512</v>
      </c>
      <c r="D55" s="2" t="s">
        <v>1836</v>
      </c>
      <c r="E55" s="2" t="s">
        <v>1838</v>
      </c>
      <c r="F55" s="2">
        <v>0.49915300000000001</v>
      </c>
      <c r="G55" s="2">
        <v>1.4171499999999999</v>
      </c>
      <c r="H55" s="2">
        <v>1.5054399999999999</v>
      </c>
      <c r="J55" s="18"/>
    </row>
    <row r="56" spans="1:10" x14ac:dyDescent="0.2">
      <c r="A56" s="2" t="s">
        <v>1441</v>
      </c>
      <c r="B56" s="2" t="s">
        <v>3047</v>
      </c>
      <c r="C56" s="2" t="s">
        <v>2596</v>
      </c>
      <c r="D56" s="2" t="s">
        <v>1836</v>
      </c>
      <c r="E56" s="2" t="s">
        <v>1838</v>
      </c>
      <c r="F56" s="2">
        <v>1.2577100000000001</v>
      </c>
      <c r="G56" s="2">
        <v>3.5581200000000002</v>
      </c>
      <c r="H56" s="2">
        <v>1.5003200000000001</v>
      </c>
      <c r="J56" s="18"/>
    </row>
    <row r="57" spans="1:10" x14ac:dyDescent="0.2">
      <c r="A57" s="2" t="s">
        <v>114</v>
      </c>
      <c r="B57" s="2" t="s">
        <v>3035</v>
      </c>
      <c r="C57" s="2" t="s">
        <v>1892</v>
      </c>
      <c r="D57" s="2" t="s">
        <v>1836</v>
      </c>
      <c r="E57" s="2" t="s">
        <v>1838</v>
      </c>
      <c r="F57" s="2">
        <v>21.9374</v>
      </c>
      <c r="G57" s="2">
        <v>61.789200000000001</v>
      </c>
      <c r="H57" s="2">
        <v>1.49396</v>
      </c>
    </row>
    <row r="58" spans="1:10" x14ac:dyDescent="0.2">
      <c r="A58" s="2" t="s">
        <v>104</v>
      </c>
      <c r="B58" s="2" t="s">
        <v>3015</v>
      </c>
      <c r="C58" s="2" t="s">
        <v>1847</v>
      </c>
      <c r="D58" s="2" t="s">
        <v>1836</v>
      </c>
      <c r="E58" s="2" t="s">
        <v>1838</v>
      </c>
      <c r="F58" s="2">
        <v>0.459146</v>
      </c>
      <c r="G58" s="2">
        <v>1.28393</v>
      </c>
      <c r="H58" s="2">
        <v>1.4835400000000001</v>
      </c>
      <c r="J58" s="18"/>
    </row>
    <row r="59" spans="1:10" x14ac:dyDescent="0.2">
      <c r="A59" s="2" t="s">
        <v>585</v>
      </c>
      <c r="B59" s="2" t="s">
        <v>3343</v>
      </c>
      <c r="C59" s="2" t="s">
        <v>1943</v>
      </c>
      <c r="D59" s="2" t="s">
        <v>1836</v>
      </c>
      <c r="E59" s="2" t="s">
        <v>1838</v>
      </c>
      <c r="F59" s="2">
        <v>5.5301799999999997</v>
      </c>
      <c r="G59" s="2">
        <v>15.433</v>
      </c>
      <c r="H59" s="2">
        <v>1.48062</v>
      </c>
      <c r="J59" s="18"/>
    </row>
    <row r="60" spans="1:10" x14ac:dyDescent="0.2">
      <c r="A60" s="2" t="s">
        <v>1214</v>
      </c>
      <c r="B60" s="2" t="s">
        <v>3015</v>
      </c>
      <c r="C60" s="2" t="s">
        <v>2432</v>
      </c>
      <c r="D60" s="2" t="s">
        <v>1836</v>
      </c>
      <c r="E60" s="2" t="s">
        <v>1838</v>
      </c>
      <c r="F60" s="2">
        <v>0.56082100000000001</v>
      </c>
      <c r="G60" s="2">
        <v>1.55565</v>
      </c>
      <c r="H60" s="2">
        <v>1.4719</v>
      </c>
    </row>
    <row r="61" spans="1:10" x14ac:dyDescent="0.2">
      <c r="A61" s="2" t="s">
        <v>658</v>
      </c>
      <c r="B61" s="2" t="s">
        <v>3015</v>
      </c>
      <c r="C61" s="2" t="s">
        <v>2151</v>
      </c>
      <c r="D61" s="2" t="s">
        <v>1836</v>
      </c>
      <c r="E61" s="2" t="s">
        <v>1838</v>
      </c>
      <c r="F61" s="2">
        <v>1.1596200000000001</v>
      </c>
      <c r="G61" s="2">
        <v>3.2066599999999998</v>
      </c>
      <c r="H61" s="2">
        <v>1.4674199999999999</v>
      </c>
    </row>
    <row r="62" spans="1:10" x14ac:dyDescent="0.2">
      <c r="A62" s="2" t="s">
        <v>318</v>
      </c>
      <c r="B62" s="2" t="s">
        <v>3037</v>
      </c>
      <c r="C62" s="2" t="s">
        <v>1993</v>
      </c>
      <c r="D62" s="2" t="s">
        <v>1836</v>
      </c>
      <c r="E62" s="2" t="s">
        <v>1838</v>
      </c>
      <c r="F62" s="2">
        <v>1.56128</v>
      </c>
      <c r="G62" s="2">
        <v>4.2362599999999997</v>
      </c>
      <c r="H62" s="2">
        <v>1.4400599999999999</v>
      </c>
      <c r="J62" s="18"/>
    </row>
    <row r="63" spans="1:10" x14ac:dyDescent="0.2">
      <c r="A63" s="2" t="s">
        <v>197</v>
      </c>
      <c r="B63" s="2" t="s">
        <v>3078</v>
      </c>
      <c r="C63" s="2" t="s">
        <v>1935</v>
      </c>
      <c r="D63" s="2" t="s">
        <v>1836</v>
      </c>
      <c r="E63" s="2" t="s">
        <v>1838</v>
      </c>
      <c r="F63" s="2">
        <v>4.6795900000000001</v>
      </c>
      <c r="G63" s="2">
        <v>12.617000000000001</v>
      </c>
      <c r="H63" s="2">
        <v>1.4309099999999999</v>
      </c>
      <c r="J63" s="18"/>
    </row>
    <row r="64" spans="1:10" x14ac:dyDescent="0.2">
      <c r="A64" s="2" t="s">
        <v>1127</v>
      </c>
      <c r="B64" s="2" t="s">
        <v>3073</v>
      </c>
      <c r="C64" s="2" t="s">
        <v>2363</v>
      </c>
      <c r="D64" s="2" t="s">
        <v>1836</v>
      </c>
      <c r="E64" s="2" t="s">
        <v>1838</v>
      </c>
      <c r="F64" s="2">
        <v>0.37703700000000001</v>
      </c>
      <c r="G64" s="2">
        <v>1.01488</v>
      </c>
      <c r="H64" s="2">
        <v>1.4285300000000001</v>
      </c>
      <c r="J64" s="18"/>
    </row>
    <row r="65" spans="1:10" x14ac:dyDescent="0.2">
      <c r="A65" s="2" t="s">
        <v>845</v>
      </c>
      <c r="B65" s="2" t="s">
        <v>3037</v>
      </c>
      <c r="C65" s="2" t="s">
        <v>2232</v>
      </c>
      <c r="D65" s="2" t="s">
        <v>1836</v>
      </c>
      <c r="E65" s="2" t="s">
        <v>1838</v>
      </c>
      <c r="F65" s="2">
        <v>0.38727299999999998</v>
      </c>
      <c r="G65" s="2">
        <v>1.0321899999999999</v>
      </c>
      <c r="H65" s="2">
        <v>1.41429</v>
      </c>
      <c r="J65" s="18"/>
    </row>
    <row r="66" spans="1:10" x14ac:dyDescent="0.2">
      <c r="A66" s="2" t="s">
        <v>1396</v>
      </c>
      <c r="B66" s="2" t="s">
        <v>3015</v>
      </c>
      <c r="C66" s="2" t="s">
        <v>1847</v>
      </c>
      <c r="D66" s="2" t="s">
        <v>1836</v>
      </c>
      <c r="E66" s="2" t="s">
        <v>1838</v>
      </c>
      <c r="F66" s="2">
        <v>6.4174300000000004</v>
      </c>
      <c r="G66" s="2">
        <v>17.0655</v>
      </c>
      <c r="H66" s="2">
        <v>1.4110199999999999</v>
      </c>
      <c r="J66" s="18"/>
    </row>
    <row r="67" spans="1:10" x14ac:dyDescent="0.2">
      <c r="A67" s="2" t="s">
        <v>1399</v>
      </c>
      <c r="B67" s="2" t="s">
        <v>3366</v>
      </c>
      <c r="C67" s="2" t="s">
        <v>2576</v>
      </c>
      <c r="D67" s="2" t="s">
        <v>1836</v>
      </c>
      <c r="E67" s="2" t="s">
        <v>1838</v>
      </c>
      <c r="F67" s="2">
        <v>2.7787999999999999</v>
      </c>
      <c r="G67" s="2">
        <v>7.3628499999999999</v>
      </c>
      <c r="H67" s="2">
        <v>1.4057999999999999</v>
      </c>
      <c r="J67" s="18"/>
    </row>
    <row r="68" spans="1:10" x14ac:dyDescent="0.2">
      <c r="A68" s="2" t="s">
        <v>1225</v>
      </c>
      <c r="B68" s="2" t="s">
        <v>3015</v>
      </c>
      <c r="C68" s="2" t="s">
        <v>2400</v>
      </c>
      <c r="D68" s="2" t="s">
        <v>1836</v>
      </c>
      <c r="E68" s="2" t="s">
        <v>1838</v>
      </c>
      <c r="F68" s="2">
        <v>0.297433</v>
      </c>
      <c r="G68" s="2">
        <v>0.78163700000000003</v>
      </c>
      <c r="H68" s="2">
        <v>1.3939299999999999</v>
      </c>
    </row>
    <row r="69" spans="1:10" x14ac:dyDescent="0.2">
      <c r="A69" s="2" t="s">
        <v>1210</v>
      </c>
      <c r="B69" s="2" t="s">
        <v>3081</v>
      </c>
      <c r="C69" s="2" t="s">
        <v>2353</v>
      </c>
      <c r="D69" s="2" t="s">
        <v>1836</v>
      </c>
      <c r="E69" s="2" t="s">
        <v>1838</v>
      </c>
      <c r="F69" s="2">
        <v>37.006500000000003</v>
      </c>
      <c r="G69" s="2">
        <v>96.716399999999993</v>
      </c>
      <c r="H69" s="2">
        <v>1.38598</v>
      </c>
      <c r="J69" s="18"/>
    </row>
    <row r="70" spans="1:10" x14ac:dyDescent="0.2">
      <c r="A70" s="2" t="s">
        <v>623</v>
      </c>
      <c r="B70" s="2" t="s">
        <v>3015</v>
      </c>
      <c r="C70" s="2" t="s">
        <v>1862</v>
      </c>
      <c r="D70" s="2" t="s">
        <v>1836</v>
      </c>
      <c r="E70" s="2" t="s">
        <v>1838</v>
      </c>
      <c r="F70" s="2">
        <v>2.3878300000000001</v>
      </c>
      <c r="G70" s="2">
        <v>6.2337499999999997</v>
      </c>
      <c r="H70" s="2">
        <v>1.3844000000000001</v>
      </c>
    </row>
    <row r="71" spans="1:10" x14ac:dyDescent="0.2">
      <c r="A71" s="2" t="s">
        <v>211</v>
      </c>
      <c r="B71" s="2" t="s">
        <v>3086</v>
      </c>
      <c r="C71" s="2" t="s">
        <v>3015</v>
      </c>
      <c r="D71" s="2" t="s">
        <v>1836</v>
      </c>
      <c r="E71" s="2" t="s">
        <v>1838</v>
      </c>
      <c r="F71" s="2">
        <v>0.982734</v>
      </c>
      <c r="G71" s="2">
        <v>2.5551400000000002</v>
      </c>
      <c r="H71" s="2">
        <v>1.37853</v>
      </c>
      <c r="J71" s="18"/>
    </row>
    <row r="72" spans="1:10" x14ac:dyDescent="0.2">
      <c r="A72" s="2" t="s">
        <v>1471</v>
      </c>
      <c r="B72" s="2" t="s">
        <v>3015</v>
      </c>
      <c r="C72" s="2" t="s">
        <v>3015</v>
      </c>
      <c r="D72" s="2" t="s">
        <v>1836</v>
      </c>
      <c r="E72" s="2" t="s">
        <v>1838</v>
      </c>
      <c r="F72" s="2">
        <v>3.2059600000000001</v>
      </c>
      <c r="G72" s="2">
        <v>8.1875</v>
      </c>
      <c r="H72" s="2">
        <v>1.35267</v>
      </c>
    </row>
    <row r="73" spans="1:10" x14ac:dyDescent="0.2">
      <c r="A73" s="2" t="s">
        <v>858</v>
      </c>
      <c r="B73" s="2" t="s">
        <v>3224</v>
      </c>
      <c r="C73" s="2" t="s">
        <v>2240</v>
      </c>
      <c r="D73" s="2" t="s">
        <v>1836</v>
      </c>
      <c r="E73" s="2" t="s">
        <v>1838</v>
      </c>
      <c r="F73" s="2">
        <v>2.8285800000000001</v>
      </c>
      <c r="G73" s="2">
        <v>7.1889099999999999</v>
      </c>
      <c r="H73" s="2">
        <v>1.3456999999999999</v>
      </c>
      <c r="J73" s="18"/>
    </row>
    <row r="74" spans="1:10" x14ac:dyDescent="0.2">
      <c r="A74" s="2" t="s">
        <v>473</v>
      </c>
      <c r="B74" s="2" t="s">
        <v>3015</v>
      </c>
      <c r="C74" s="2" t="s">
        <v>1847</v>
      </c>
      <c r="D74" s="2" t="s">
        <v>1836</v>
      </c>
      <c r="E74" s="2" t="s">
        <v>1838</v>
      </c>
      <c r="F74" s="2">
        <v>234.28299999999999</v>
      </c>
      <c r="G74" s="2">
        <v>592.55499999999995</v>
      </c>
      <c r="H74" s="2">
        <v>1.3387</v>
      </c>
    </row>
    <row r="75" spans="1:10" x14ac:dyDescent="0.2">
      <c r="A75" s="2" t="s">
        <v>1099</v>
      </c>
      <c r="B75" s="2" t="s">
        <v>3382</v>
      </c>
      <c r="C75" s="2" t="s">
        <v>3015</v>
      </c>
      <c r="D75" s="2" t="s">
        <v>1836</v>
      </c>
      <c r="E75" s="2" t="s">
        <v>1838</v>
      </c>
      <c r="F75" s="2">
        <v>6.0348600000000001</v>
      </c>
      <c r="G75" s="2">
        <v>15.2623</v>
      </c>
      <c r="H75" s="2">
        <v>1.3385800000000001</v>
      </c>
      <c r="J75" s="18"/>
    </row>
    <row r="76" spans="1:10" x14ac:dyDescent="0.2">
      <c r="A76" s="2" t="s">
        <v>1279</v>
      </c>
      <c r="B76" s="2" t="s">
        <v>3015</v>
      </c>
      <c r="C76" s="2" t="s">
        <v>1847</v>
      </c>
      <c r="D76" s="2" t="s">
        <v>1836</v>
      </c>
      <c r="E76" s="2" t="s">
        <v>1838</v>
      </c>
      <c r="F76" s="2">
        <v>1.3089599999999999</v>
      </c>
      <c r="G76" s="2">
        <v>3.30504</v>
      </c>
      <c r="H76" s="2">
        <v>1.3362499999999999</v>
      </c>
      <c r="J76" s="18"/>
    </row>
    <row r="77" spans="1:10" x14ac:dyDescent="0.2">
      <c r="A77" s="2" t="s">
        <v>786</v>
      </c>
      <c r="B77" s="2" t="s">
        <v>3361</v>
      </c>
      <c r="C77" s="2" t="s">
        <v>2566</v>
      </c>
      <c r="D77" s="2" t="s">
        <v>1836</v>
      </c>
      <c r="E77" s="2" t="s">
        <v>1838</v>
      </c>
      <c r="F77" s="2">
        <v>484.92500000000001</v>
      </c>
      <c r="G77" s="2">
        <v>1223.5999999999999</v>
      </c>
      <c r="H77" s="2">
        <v>1.3352900000000001</v>
      </c>
      <c r="J77" s="18"/>
    </row>
    <row r="78" spans="1:10" x14ac:dyDescent="0.2">
      <c r="A78" s="2" t="s">
        <v>186</v>
      </c>
      <c r="B78" s="2" t="s">
        <v>3075</v>
      </c>
      <c r="C78" s="2" t="s">
        <v>1931</v>
      </c>
      <c r="D78" s="2" t="s">
        <v>1836</v>
      </c>
      <c r="E78" s="2" t="s">
        <v>1838</v>
      </c>
      <c r="F78" s="2">
        <v>0.72375800000000001</v>
      </c>
      <c r="G78" s="2">
        <v>1.81793</v>
      </c>
      <c r="H78" s="2">
        <v>1.3287199999999999</v>
      </c>
      <c r="J78" s="18"/>
    </row>
    <row r="79" spans="1:10" x14ac:dyDescent="0.2">
      <c r="A79" s="2" t="s">
        <v>588</v>
      </c>
      <c r="B79" s="2" t="s">
        <v>3015</v>
      </c>
      <c r="C79" s="2" t="s">
        <v>2120</v>
      </c>
      <c r="D79" s="2" t="s">
        <v>1836</v>
      </c>
      <c r="E79" s="2" t="s">
        <v>1838</v>
      </c>
      <c r="F79" s="2">
        <v>4.5272600000000001</v>
      </c>
      <c r="G79" s="2">
        <v>11.312799999999999</v>
      </c>
      <c r="H79" s="2">
        <v>1.32124</v>
      </c>
    </row>
    <row r="80" spans="1:10" x14ac:dyDescent="0.2">
      <c r="A80" s="2" t="s">
        <v>1236</v>
      </c>
      <c r="B80" s="2" t="s">
        <v>3015</v>
      </c>
      <c r="C80" s="2" t="s">
        <v>3015</v>
      </c>
      <c r="D80" s="2" t="s">
        <v>1836</v>
      </c>
      <c r="E80" s="2" t="s">
        <v>1838</v>
      </c>
      <c r="F80" s="2">
        <v>1.4484900000000001</v>
      </c>
      <c r="G80" s="2">
        <v>3.6059800000000002</v>
      </c>
      <c r="H80" s="2">
        <v>1.3158399999999999</v>
      </c>
    </row>
    <row r="81" spans="1:10" x14ac:dyDescent="0.2">
      <c r="A81" s="2" t="s">
        <v>1128</v>
      </c>
      <c r="B81" s="2" t="s">
        <v>3279</v>
      </c>
      <c r="C81" s="2" t="s">
        <v>3015</v>
      </c>
      <c r="D81" s="2" t="s">
        <v>1836</v>
      </c>
      <c r="E81" s="2" t="s">
        <v>1838</v>
      </c>
      <c r="F81" s="2">
        <v>21.359500000000001</v>
      </c>
      <c r="G81" s="2">
        <v>52.918700000000001</v>
      </c>
      <c r="H81" s="2">
        <v>1.3089</v>
      </c>
      <c r="J81" s="18"/>
    </row>
    <row r="82" spans="1:10" x14ac:dyDescent="0.2">
      <c r="A82" s="2" t="s">
        <v>1405</v>
      </c>
      <c r="B82" s="2" t="s">
        <v>3015</v>
      </c>
      <c r="C82" s="2" t="s">
        <v>3015</v>
      </c>
      <c r="D82" s="2" t="s">
        <v>1836</v>
      </c>
      <c r="E82" s="2" t="s">
        <v>1838</v>
      </c>
      <c r="F82" s="2">
        <v>4.9256500000000001</v>
      </c>
      <c r="G82" s="2">
        <v>12.1843</v>
      </c>
      <c r="H82" s="2">
        <v>1.30664</v>
      </c>
    </row>
    <row r="83" spans="1:10" x14ac:dyDescent="0.2">
      <c r="A83" s="2" t="s">
        <v>1261</v>
      </c>
      <c r="B83" s="2" t="s">
        <v>3015</v>
      </c>
      <c r="C83" s="2" t="s">
        <v>2464</v>
      </c>
      <c r="D83" s="2" t="s">
        <v>1836</v>
      </c>
      <c r="E83" s="2" t="s">
        <v>1838</v>
      </c>
      <c r="F83" s="2">
        <v>0.63845200000000002</v>
      </c>
      <c r="G83" s="2">
        <v>1.57091</v>
      </c>
      <c r="H83" s="2">
        <v>1.29895</v>
      </c>
    </row>
    <row r="84" spans="1:10" x14ac:dyDescent="0.2">
      <c r="A84" s="2" t="s">
        <v>1140</v>
      </c>
      <c r="B84" s="2" t="s">
        <v>3282</v>
      </c>
      <c r="C84" s="2" t="s">
        <v>2373</v>
      </c>
      <c r="D84" s="2" t="s">
        <v>1836</v>
      </c>
      <c r="E84" s="2" t="s">
        <v>1838</v>
      </c>
      <c r="F84" s="2">
        <v>0.69743999999999995</v>
      </c>
      <c r="G84" s="2">
        <v>1.7045399999999999</v>
      </c>
      <c r="H84" s="2">
        <v>1.2892399999999999</v>
      </c>
      <c r="J84" s="18"/>
    </row>
    <row r="85" spans="1:10" x14ac:dyDescent="0.2">
      <c r="A85" s="2" t="s">
        <v>1152</v>
      </c>
      <c r="B85" s="2" t="s">
        <v>3030</v>
      </c>
      <c r="C85" s="2" t="s">
        <v>1847</v>
      </c>
      <c r="D85" s="2" t="s">
        <v>1836</v>
      </c>
      <c r="E85" s="2" t="s">
        <v>1838</v>
      </c>
      <c r="F85" s="2">
        <v>1.1608499999999999</v>
      </c>
      <c r="G85" s="2">
        <v>2.83175</v>
      </c>
      <c r="H85" s="2">
        <v>1.2865200000000001</v>
      </c>
    </row>
    <row r="86" spans="1:10" x14ac:dyDescent="0.2">
      <c r="A86" s="2" t="s">
        <v>254</v>
      </c>
      <c r="B86" s="2" t="s">
        <v>3089</v>
      </c>
      <c r="C86" s="2" t="s">
        <v>1847</v>
      </c>
      <c r="D86" s="2" t="s">
        <v>1836</v>
      </c>
      <c r="E86" s="2" t="s">
        <v>1838</v>
      </c>
      <c r="F86" s="2">
        <v>1.2150399999999999</v>
      </c>
      <c r="G86" s="2">
        <v>2.9602900000000001</v>
      </c>
      <c r="H86" s="2">
        <v>1.28474</v>
      </c>
    </row>
    <row r="87" spans="1:10" x14ac:dyDescent="0.2">
      <c r="A87" s="2" t="s">
        <v>551</v>
      </c>
      <c r="B87" s="2" t="s">
        <v>3338</v>
      </c>
      <c r="C87" s="2" t="s">
        <v>2503</v>
      </c>
      <c r="D87" s="2" t="s">
        <v>1836</v>
      </c>
      <c r="E87" s="2" t="s">
        <v>1838</v>
      </c>
      <c r="F87" s="2">
        <v>1.58613</v>
      </c>
      <c r="G87" s="2">
        <v>3.82646</v>
      </c>
      <c r="H87" s="2">
        <v>1.2705</v>
      </c>
      <c r="J87" s="18"/>
    </row>
    <row r="88" spans="1:10" x14ac:dyDescent="0.2">
      <c r="A88" s="2" t="s">
        <v>356</v>
      </c>
      <c r="B88" s="2" t="s">
        <v>3320</v>
      </c>
      <c r="C88" s="2" t="s">
        <v>3015</v>
      </c>
      <c r="D88" s="2" t="s">
        <v>1836</v>
      </c>
      <c r="E88" s="2" t="s">
        <v>1838</v>
      </c>
      <c r="F88" s="2">
        <v>74.275999999999996</v>
      </c>
      <c r="G88" s="2">
        <v>178.358</v>
      </c>
      <c r="H88" s="2">
        <v>1.2638100000000001</v>
      </c>
      <c r="J88" s="18"/>
    </row>
    <row r="89" spans="1:10" x14ac:dyDescent="0.2">
      <c r="A89" s="2" t="s">
        <v>357</v>
      </c>
      <c r="B89" s="2" t="s">
        <v>3027</v>
      </c>
      <c r="C89" s="2" t="s">
        <v>2460</v>
      </c>
      <c r="D89" s="2" t="s">
        <v>1836</v>
      </c>
      <c r="E89" s="2" t="s">
        <v>1838</v>
      </c>
      <c r="F89" s="2">
        <v>2.51153</v>
      </c>
      <c r="G89" s="2">
        <v>6.02583</v>
      </c>
      <c r="H89" s="2">
        <v>1.2625900000000001</v>
      </c>
      <c r="J89" s="18"/>
    </row>
    <row r="90" spans="1:10" x14ac:dyDescent="0.2">
      <c r="A90" s="2" t="s">
        <v>1320</v>
      </c>
      <c r="B90" s="2" t="s">
        <v>3015</v>
      </c>
      <c r="C90" s="2" t="s">
        <v>2518</v>
      </c>
      <c r="D90" s="2" t="s">
        <v>1836</v>
      </c>
      <c r="E90" s="2" t="s">
        <v>1838</v>
      </c>
      <c r="F90" s="2">
        <v>0.58475500000000002</v>
      </c>
      <c r="G90" s="2">
        <v>1.3972199999999999</v>
      </c>
      <c r="H90" s="2">
        <v>1.2566600000000001</v>
      </c>
      <c r="J90" s="18"/>
    </row>
    <row r="91" spans="1:10" x14ac:dyDescent="0.2">
      <c r="A91" s="2" t="s">
        <v>351</v>
      </c>
      <c r="B91" s="2" t="s">
        <v>3015</v>
      </c>
      <c r="C91" s="2" t="s">
        <v>2457</v>
      </c>
      <c r="D91" s="2" t="s">
        <v>1836</v>
      </c>
      <c r="E91" s="2" t="s">
        <v>1838</v>
      </c>
      <c r="F91" s="2">
        <v>1.3466400000000001</v>
      </c>
      <c r="G91" s="2">
        <v>3.2138499999999999</v>
      </c>
      <c r="H91" s="2">
        <v>1.2549399999999999</v>
      </c>
      <c r="J91" s="18"/>
    </row>
    <row r="92" spans="1:10" x14ac:dyDescent="0.2">
      <c r="A92" s="2" t="s">
        <v>1370</v>
      </c>
      <c r="B92" s="2" t="s">
        <v>3015</v>
      </c>
      <c r="C92" s="2" t="s">
        <v>2551</v>
      </c>
      <c r="D92" s="2" t="s">
        <v>1836</v>
      </c>
      <c r="E92" s="2" t="s">
        <v>1838</v>
      </c>
      <c r="F92" s="2">
        <v>0.78463899999999998</v>
      </c>
      <c r="G92" s="2">
        <v>1.86758</v>
      </c>
      <c r="H92" s="2">
        <v>1.2510699999999999</v>
      </c>
      <c r="J92" s="18"/>
    </row>
    <row r="93" spans="1:10" x14ac:dyDescent="0.2">
      <c r="A93" s="2" t="s">
        <v>1230</v>
      </c>
      <c r="B93" s="2" t="s">
        <v>3209</v>
      </c>
      <c r="C93" s="2" t="s">
        <v>2441</v>
      </c>
      <c r="D93" s="2" t="s">
        <v>1836</v>
      </c>
      <c r="E93" s="2" t="s">
        <v>1838</v>
      </c>
      <c r="F93" s="2">
        <v>0.94985399999999998</v>
      </c>
      <c r="G93" s="2">
        <v>2.2563300000000002</v>
      </c>
      <c r="H93" s="2">
        <v>1.2482</v>
      </c>
    </row>
    <row r="94" spans="1:10" x14ac:dyDescent="0.2">
      <c r="A94" s="2" t="s">
        <v>1257</v>
      </c>
      <c r="B94" s="2" t="s">
        <v>3322</v>
      </c>
      <c r="C94" s="2" t="s">
        <v>1847</v>
      </c>
      <c r="D94" s="2" t="s">
        <v>1836</v>
      </c>
      <c r="E94" s="2" t="s">
        <v>1838</v>
      </c>
      <c r="F94" s="2">
        <v>0.66781500000000005</v>
      </c>
      <c r="G94" s="2">
        <v>1.5792900000000001</v>
      </c>
      <c r="H94" s="2">
        <v>1.2417499999999999</v>
      </c>
      <c r="J94" s="18"/>
    </row>
    <row r="95" spans="1:10" x14ac:dyDescent="0.2">
      <c r="A95" s="2" t="s">
        <v>293</v>
      </c>
      <c r="B95" s="2" t="s">
        <v>3309</v>
      </c>
      <c r="C95" s="2" t="s">
        <v>2436</v>
      </c>
      <c r="D95" s="2" t="s">
        <v>1836</v>
      </c>
      <c r="E95" s="2" t="s">
        <v>1838</v>
      </c>
      <c r="F95" s="2">
        <v>1241.23</v>
      </c>
      <c r="G95" s="2">
        <v>2929.94</v>
      </c>
      <c r="H95" s="2">
        <v>1.2391000000000001</v>
      </c>
    </row>
    <row r="96" spans="1:10" x14ac:dyDescent="0.2">
      <c r="A96" s="2" t="s">
        <v>200</v>
      </c>
      <c r="B96" s="2" t="s">
        <v>3080</v>
      </c>
      <c r="C96" s="2" t="s">
        <v>1937</v>
      </c>
      <c r="D96" s="2" t="s">
        <v>1836</v>
      </c>
      <c r="E96" s="2" t="s">
        <v>1838</v>
      </c>
      <c r="F96" s="2">
        <v>0.47484399999999999</v>
      </c>
      <c r="G96" s="2">
        <v>1.11741</v>
      </c>
      <c r="H96" s="2">
        <v>1.2346299999999999</v>
      </c>
      <c r="J96" s="18"/>
    </row>
    <row r="97" spans="1:10" x14ac:dyDescent="0.2">
      <c r="A97" s="2" t="s">
        <v>1288</v>
      </c>
      <c r="B97" s="2" t="s">
        <v>3015</v>
      </c>
      <c r="C97" s="2" t="s">
        <v>2496</v>
      </c>
      <c r="D97" s="2" t="s">
        <v>1836</v>
      </c>
      <c r="E97" s="2" t="s">
        <v>1838</v>
      </c>
      <c r="F97" s="2">
        <v>17.877300000000002</v>
      </c>
      <c r="G97" s="2">
        <v>41.685499999999998</v>
      </c>
      <c r="H97" s="2">
        <v>1.2214100000000001</v>
      </c>
    </row>
    <row r="98" spans="1:10" x14ac:dyDescent="0.2">
      <c r="A98" s="2" t="s">
        <v>326</v>
      </c>
      <c r="B98" s="2" t="s">
        <v>3015</v>
      </c>
      <c r="C98" s="2" t="s">
        <v>1996</v>
      </c>
      <c r="D98" s="2" t="s">
        <v>1836</v>
      </c>
      <c r="E98" s="2" t="s">
        <v>1838</v>
      </c>
      <c r="F98" s="2">
        <v>5.6394900000000003</v>
      </c>
      <c r="G98" s="2">
        <v>13.122400000000001</v>
      </c>
      <c r="H98" s="2">
        <v>1.2183900000000001</v>
      </c>
    </row>
    <row r="99" spans="1:10" x14ac:dyDescent="0.2">
      <c r="A99" s="2" t="s">
        <v>1272</v>
      </c>
      <c r="B99" s="2" t="s">
        <v>3015</v>
      </c>
      <c r="C99" s="2" t="s">
        <v>3015</v>
      </c>
      <c r="D99" s="2" t="s">
        <v>1836</v>
      </c>
      <c r="E99" s="2" t="s">
        <v>1838</v>
      </c>
      <c r="F99" s="2">
        <v>1.5209299999999999</v>
      </c>
      <c r="G99" s="2">
        <v>3.51709</v>
      </c>
      <c r="H99" s="2">
        <v>1.20943</v>
      </c>
      <c r="J99" s="18"/>
    </row>
    <row r="100" spans="1:10" x14ac:dyDescent="0.2">
      <c r="A100" s="2" t="s">
        <v>640</v>
      </c>
      <c r="B100" s="2" t="s">
        <v>3015</v>
      </c>
      <c r="C100" s="2" t="s">
        <v>2525</v>
      </c>
      <c r="D100" s="2" t="s">
        <v>1836</v>
      </c>
      <c r="E100" s="2" t="s">
        <v>1838</v>
      </c>
      <c r="F100" s="2">
        <v>46.662599999999998</v>
      </c>
      <c r="G100" s="2">
        <v>107.848</v>
      </c>
      <c r="H100" s="2">
        <v>1.20865</v>
      </c>
    </row>
    <row r="101" spans="1:10" x14ac:dyDescent="0.2">
      <c r="A101" s="2" t="s">
        <v>1445</v>
      </c>
      <c r="B101" s="2" t="s">
        <v>3015</v>
      </c>
      <c r="C101" s="2" t="s">
        <v>1847</v>
      </c>
      <c r="D101" s="2" t="s">
        <v>1836</v>
      </c>
      <c r="E101" s="2" t="s">
        <v>1838</v>
      </c>
      <c r="F101" s="2">
        <v>0.91420599999999996</v>
      </c>
      <c r="G101" s="2">
        <v>2.1057299999999999</v>
      </c>
      <c r="H101" s="2">
        <v>1.20373</v>
      </c>
    </row>
    <row r="102" spans="1:10" x14ac:dyDescent="0.2">
      <c r="A102" s="2" t="s">
        <v>337</v>
      </c>
      <c r="B102" s="2" t="s">
        <v>3120</v>
      </c>
      <c r="C102" s="2" t="s">
        <v>2003</v>
      </c>
      <c r="D102" s="2" t="s">
        <v>1836</v>
      </c>
      <c r="E102" s="2" t="s">
        <v>1838</v>
      </c>
      <c r="F102" s="2">
        <v>0.83150299999999999</v>
      </c>
      <c r="G102" s="2">
        <v>1.91486</v>
      </c>
      <c r="H102" s="2">
        <v>1.2034499999999999</v>
      </c>
    </row>
    <row r="103" spans="1:10" x14ac:dyDescent="0.2">
      <c r="A103" s="2" t="s">
        <v>26</v>
      </c>
      <c r="B103" s="2" t="s">
        <v>3029</v>
      </c>
      <c r="C103" s="2" t="s">
        <v>1853</v>
      </c>
      <c r="D103" s="2" t="s">
        <v>1836</v>
      </c>
      <c r="E103" s="2" t="s">
        <v>1838</v>
      </c>
      <c r="F103" s="2">
        <v>11.0341</v>
      </c>
      <c r="G103" s="2">
        <v>25.37</v>
      </c>
      <c r="H103" s="2">
        <v>1.20116</v>
      </c>
      <c r="J103" s="18"/>
    </row>
    <row r="104" spans="1:10" x14ac:dyDescent="0.2">
      <c r="A104" s="2" t="s">
        <v>862</v>
      </c>
      <c r="B104" s="2" t="s">
        <v>3015</v>
      </c>
      <c r="C104" s="2" t="s">
        <v>3015</v>
      </c>
      <c r="D104" s="2" t="s">
        <v>1836</v>
      </c>
      <c r="E104" s="2" t="s">
        <v>1838</v>
      </c>
      <c r="F104" s="2">
        <v>22.916599999999999</v>
      </c>
      <c r="G104" s="2">
        <v>52.510100000000001</v>
      </c>
      <c r="H104" s="2">
        <v>1.19621</v>
      </c>
    </row>
    <row r="105" spans="1:10" x14ac:dyDescent="0.2">
      <c r="A105" s="2" t="s">
        <v>1327</v>
      </c>
      <c r="B105" s="2" t="s">
        <v>3047</v>
      </c>
      <c r="C105" s="2" t="s">
        <v>1879</v>
      </c>
      <c r="D105" s="2" t="s">
        <v>1836</v>
      </c>
      <c r="E105" s="2" t="s">
        <v>1838</v>
      </c>
      <c r="F105" s="2">
        <v>3.17502</v>
      </c>
      <c r="G105" s="2">
        <v>7.2730499999999996</v>
      </c>
      <c r="H105" s="2">
        <v>1.1957899999999999</v>
      </c>
    </row>
    <row r="106" spans="1:10" x14ac:dyDescent="0.2">
      <c r="A106" s="2" t="s">
        <v>268</v>
      </c>
      <c r="B106" s="2" t="s">
        <v>3104</v>
      </c>
      <c r="C106" s="2" t="s">
        <v>1969</v>
      </c>
      <c r="D106" s="2" t="s">
        <v>1836</v>
      </c>
      <c r="E106" s="2" t="s">
        <v>1838</v>
      </c>
      <c r="F106" s="2">
        <v>11.0479</v>
      </c>
      <c r="G106" s="2">
        <v>25.287500000000001</v>
      </c>
      <c r="H106" s="2">
        <v>1.1946600000000001</v>
      </c>
      <c r="J106" s="18"/>
    </row>
    <row r="107" spans="1:10" x14ac:dyDescent="0.2">
      <c r="A107" s="2" t="s">
        <v>1278</v>
      </c>
      <c r="B107" s="2" t="s">
        <v>3330</v>
      </c>
      <c r="C107" s="2" t="s">
        <v>1880</v>
      </c>
      <c r="D107" s="2" t="s">
        <v>1836</v>
      </c>
      <c r="E107" s="2" t="s">
        <v>1838</v>
      </c>
      <c r="F107" s="2">
        <v>3.4627599999999998</v>
      </c>
      <c r="G107" s="2">
        <v>7.8988100000000001</v>
      </c>
      <c r="H107" s="2">
        <v>1.18971</v>
      </c>
      <c r="J107" s="18"/>
    </row>
    <row r="108" spans="1:10" x14ac:dyDescent="0.2">
      <c r="A108" s="2" t="s">
        <v>195</v>
      </c>
      <c r="B108" s="2" t="s">
        <v>3015</v>
      </c>
      <c r="C108" s="2" t="s">
        <v>1847</v>
      </c>
      <c r="D108" s="2" t="s">
        <v>1836</v>
      </c>
      <c r="E108" s="2" t="s">
        <v>1838</v>
      </c>
      <c r="F108" s="2">
        <v>0.57696999999999998</v>
      </c>
      <c r="G108" s="2">
        <v>1.31413</v>
      </c>
      <c r="H108" s="2">
        <v>1.18753</v>
      </c>
      <c r="J108" s="18"/>
    </row>
    <row r="109" spans="1:10" x14ac:dyDescent="0.2">
      <c r="A109" s="2" t="s">
        <v>1339</v>
      </c>
      <c r="B109" s="2" t="s">
        <v>3015</v>
      </c>
      <c r="C109" s="2" t="s">
        <v>2534</v>
      </c>
      <c r="D109" s="2" t="s">
        <v>1836</v>
      </c>
      <c r="E109" s="2" t="s">
        <v>1838</v>
      </c>
      <c r="F109" s="2">
        <v>6.9119400000000004</v>
      </c>
      <c r="G109" s="2">
        <v>15.720599999999999</v>
      </c>
      <c r="H109" s="2">
        <v>1.1855</v>
      </c>
      <c r="J109" s="18"/>
    </row>
    <row r="110" spans="1:10" x14ac:dyDescent="0.2">
      <c r="A110" s="2" t="s">
        <v>1175</v>
      </c>
      <c r="B110" s="2" t="s">
        <v>3094</v>
      </c>
      <c r="C110" s="2" t="s">
        <v>3015</v>
      </c>
      <c r="D110" s="2" t="s">
        <v>1836</v>
      </c>
      <c r="E110" s="2" t="s">
        <v>1838</v>
      </c>
      <c r="F110" s="2">
        <v>0.627579</v>
      </c>
      <c r="G110" s="2">
        <v>1.427</v>
      </c>
      <c r="H110" s="2">
        <v>1.18512</v>
      </c>
    </row>
    <row r="111" spans="1:10" x14ac:dyDescent="0.2">
      <c r="A111" s="2" t="s">
        <v>1356</v>
      </c>
      <c r="B111" s="2" t="s">
        <v>3038</v>
      </c>
      <c r="C111" s="2" t="s">
        <v>2544</v>
      </c>
      <c r="D111" s="2" t="s">
        <v>1836</v>
      </c>
      <c r="E111" s="2" t="s">
        <v>1838</v>
      </c>
      <c r="F111" s="2">
        <v>0.51043799999999995</v>
      </c>
      <c r="G111" s="2">
        <v>1.1597999999999999</v>
      </c>
      <c r="H111" s="2">
        <v>1.18407</v>
      </c>
    </row>
    <row r="112" spans="1:10" x14ac:dyDescent="0.2">
      <c r="A112" s="2" t="s">
        <v>1244</v>
      </c>
      <c r="B112" s="2" t="s">
        <v>3317</v>
      </c>
      <c r="C112" s="2" t="s">
        <v>2452</v>
      </c>
      <c r="D112" s="2" t="s">
        <v>1836</v>
      </c>
      <c r="E112" s="2" t="s">
        <v>1838</v>
      </c>
      <c r="F112" s="2">
        <v>51.436199999999999</v>
      </c>
      <c r="G112" s="2">
        <v>116.819</v>
      </c>
      <c r="H112" s="2">
        <v>1.18343</v>
      </c>
      <c r="J112" s="18"/>
    </row>
    <row r="113" spans="1:10" x14ac:dyDescent="0.2">
      <c r="A113" s="2" t="s">
        <v>329</v>
      </c>
      <c r="B113" s="2" t="s">
        <v>3116</v>
      </c>
      <c r="C113" s="2" t="s">
        <v>1998</v>
      </c>
      <c r="D113" s="2" t="s">
        <v>1836</v>
      </c>
      <c r="E113" s="2" t="s">
        <v>1838</v>
      </c>
      <c r="F113" s="2">
        <v>1.83968</v>
      </c>
      <c r="G113" s="2">
        <v>4.1704499999999998</v>
      </c>
      <c r="H113" s="2">
        <v>1.18075</v>
      </c>
      <c r="J113" s="18"/>
    </row>
    <row r="114" spans="1:10" x14ac:dyDescent="0.2">
      <c r="A114" s="2" t="s">
        <v>1316</v>
      </c>
      <c r="B114" s="2" t="s">
        <v>3345</v>
      </c>
      <c r="C114" s="2" t="s">
        <v>2516</v>
      </c>
      <c r="D114" s="2" t="s">
        <v>1836</v>
      </c>
      <c r="E114" s="2" t="s">
        <v>1838</v>
      </c>
      <c r="F114" s="2">
        <v>12.3963</v>
      </c>
      <c r="G114" s="2">
        <v>28.085799999999999</v>
      </c>
      <c r="H114" s="2">
        <v>1.1799299999999999</v>
      </c>
      <c r="J114" s="18"/>
    </row>
    <row r="115" spans="1:10" x14ac:dyDescent="0.2">
      <c r="A115" s="2" t="s">
        <v>301</v>
      </c>
      <c r="B115" s="2" t="s">
        <v>3312</v>
      </c>
      <c r="C115" s="2" t="s">
        <v>2442</v>
      </c>
      <c r="D115" s="2" t="s">
        <v>1836</v>
      </c>
      <c r="E115" s="2" t="s">
        <v>1838</v>
      </c>
      <c r="F115" s="2">
        <v>19.254300000000001</v>
      </c>
      <c r="G115" s="2">
        <v>43.332999999999998</v>
      </c>
      <c r="H115" s="2">
        <v>1.1702900000000001</v>
      </c>
      <c r="J115" s="18"/>
    </row>
    <row r="116" spans="1:10" x14ac:dyDescent="0.2">
      <c r="A116" s="2" t="s">
        <v>924</v>
      </c>
      <c r="B116" s="2" t="s">
        <v>3239</v>
      </c>
      <c r="C116" s="2" t="s">
        <v>1847</v>
      </c>
      <c r="D116" s="2" t="s">
        <v>1836</v>
      </c>
      <c r="E116" s="2" t="s">
        <v>1838</v>
      </c>
      <c r="F116" s="2">
        <v>0.68254000000000004</v>
      </c>
      <c r="G116" s="2">
        <v>1.5218100000000001</v>
      </c>
      <c r="H116" s="2">
        <v>1.1568099999999999</v>
      </c>
      <c r="J116" s="18"/>
    </row>
    <row r="117" spans="1:10" x14ac:dyDescent="0.2">
      <c r="A117" s="2" t="s">
        <v>334</v>
      </c>
      <c r="B117" s="2" t="s">
        <v>3015</v>
      </c>
      <c r="C117" s="2" t="s">
        <v>2001</v>
      </c>
      <c r="D117" s="2" t="s">
        <v>1836</v>
      </c>
      <c r="E117" s="2" t="s">
        <v>1838</v>
      </c>
      <c r="F117" s="2">
        <v>1.6221699999999999</v>
      </c>
      <c r="G117" s="2">
        <v>3.6160999999999999</v>
      </c>
      <c r="H117" s="2">
        <v>1.1565099999999999</v>
      </c>
      <c r="J117" s="18"/>
    </row>
    <row r="118" spans="1:10" x14ac:dyDescent="0.2">
      <c r="A118" s="2" t="s">
        <v>1422</v>
      </c>
      <c r="B118" s="2" t="s">
        <v>3047</v>
      </c>
      <c r="C118" s="2" t="s">
        <v>2277</v>
      </c>
      <c r="D118" s="2" t="s">
        <v>1836</v>
      </c>
      <c r="E118" s="2" t="s">
        <v>1838</v>
      </c>
      <c r="F118" s="2">
        <v>3.0713300000000001</v>
      </c>
      <c r="G118" s="2">
        <v>6.8282499999999997</v>
      </c>
      <c r="H118" s="2">
        <v>1.15265</v>
      </c>
    </row>
    <row r="119" spans="1:10" x14ac:dyDescent="0.2">
      <c r="A119" s="2" t="s">
        <v>1133</v>
      </c>
      <c r="B119" s="2" t="s">
        <v>3015</v>
      </c>
      <c r="C119" s="2" t="s">
        <v>2369</v>
      </c>
      <c r="D119" s="2" t="s">
        <v>1836</v>
      </c>
      <c r="E119" s="2" t="s">
        <v>1838</v>
      </c>
      <c r="F119" s="2">
        <v>0.54098000000000002</v>
      </c>
      <c r="G119" s="2">
        <v>1.20217</v>
      </c>
      <c r="H119" s="2">
        <v>1.1519999999999999</v>
      </c>
      <c r="J119" s="18"/>
    </row>
    <row r="120" spans="1:10" x14ac:dyDescent="0.2">
      <c r="A120" s="2" t="s">
        <v>1132</v>
      </c>
      <c r="B120" s="2" t="s">
        <v>3015</v>
      </c>
      <c r="C120" s="2" t="s">
        <v>2368</v>
      </c>
      <c r="D120" s="2" t="s">
        <v>1836</v>
      </c>
      <c r="E120" s="2" t="s">
        <v>1838</v>
      </c>
      <c r="F120" s="2">
        <v>0.38418600000000003</v>
      </c>
      <c r="G120" s="2">
        <v>0.85360000000000003</v>
      </c>
      <c r="H120" s="2">
        <v>1.1517500000000001</v>
      </c>
      <c r="J120" s="18"/>
    </row>
    <row r="121" spans="1:10" x14ac:dyDescent="0.2">
      <c r="A121" s="2" t="s">
        <v>170</v>
      </c>
      <c r="B121" s="2" t="s">
        <v>3015</v>
      </c>
      <c r="C121" s="2" t="s">
        <v>2414</v>
      </c>
      <c r="D121" s="2" t="s">
        <v>1836</v>
      </c>
      <c r="E121" s="2" t="s">
        <v>1838</v>
      </c>
      <c r="F121" s="2">
        <v>6.3341500000000002</v>
      </c>
      <c r="G121" s="2">
        <v>14.055199999999999</v>
      </c>
      <c r="H121" s="2">
        <v>1.14988</v>
      </c>
      <c r="J121" s="18"/>
    </row>
    <row r="122" spans="1:10" x14ac:dyDescent="0.2">
      <c r="A122" s="2" t="s">
        <v>299</v>
      </c>
      <c r="B122" s="2" t="s">
        <v>3311</v>
      </c>
      <c r="C122" s="2" t="s">
        <v>3015</v>
      </c>
      <c r="D122" s="2" t="s">
        <v>1836</v>
      </c>
      <c r="E122" s="2" t="s">
        <v>1838</v>
      </c>
      <c r="F122" s="2">
        <v>331.98500000000001</v>
      </c>
      <c r="G122" s="2">
        <v>736.31</v>
      </c>
      <c r="H122" s="2">
        <v>1.1491899999999999</v>
      </c>
    </row>
    <row r="123" spans="1:10" x14ac:dyDescent="0.2">
      <c r="A123" s="2" t="s">
        <v>1190</v>
      </c>
      <c r="B123" s="2" t="s">
        <v>3047</v>
      </c>
      <c r="C123" s="2" t="s">
        <v>2418</v>
      </c>
      <c r="D123" s="2" t="s">
        <v>1836</v>
      </c>
      <c r="E123" s="2" t="s">
        <v>1838</v>
      </c>
      <c r="F123" s="2">
        <v>81.566500000000005</v>
      </c>
      <c r="G123" s="2">
        <v>180.59299999999999</v>
      </c>
      <c r="H123" s="2">
        <v>1.1467000000000001</v>
      </c>
    </row>
    <row r="124" spans="1:10" x14ac:dyDescent="0.2">
      <c r="A124" s="2" t="s">
        <v>118</v>
      </c>
      <c r="B124" s="2" t="s">
        <v>3054</v>
      </c>
      <c r="C124" s="2" t="s">
        <v>1894</v>
      </c>
      <c r="D124" s="2" t="s">
        <v>1836</v>
      </c>
      <c r="E124" s="2" t="s">
        <v>1838</v>
      </c>
      <c r="F124" s="2">
        <v>1.6789400000000001</v>
      </c>
      <c r="G124" s="2">
        <v>3.70723</v>
      </c>
      <c r="H124" s="2">
        <v>1.14279</v>
      </c>
      <c r="J124" s="18"/>
    </row>
    <row r="125" spans="1:10" x14ac:dyDescent="0.2">
      <c r="A125" s="2" t="s">
        <v>1346</v>
      </c>
      <c r="B125" s="2" t="s">
        <v>3352</v>
      </c>
      <c r="C125" s="2" t="s">
        <v>2226</v>
      </c>
      <c r="D125" s="2" t="s">
        <v>1836</v>
      </c>
      <c r="E125" s="2" t="s">
        <v>1838</v>
      </c>
      <c r="F125" s="2">
        <v>1.8791800000000001</v>
      </c>
      <c r="G125" s="2">
        <v>4.1360799999999998</v>
      </c>
      <c r="H125" s="2">
        <v>1.1381600000000001</v>
      </c>
      <c r="J125" s="18"/>
    </row>
    <row r="126" spans="1:10" x14ac:dyDescent="0.2">
      <c r="A126" s="2" t="s">
        <v>1062</v>
      </c>
      <c r="B126" s="2" t="s">
        <v>3049</v>
      </c>
      <c r="C126" s="2" t="s">
        <v>2187</v>
      </c>
      <c r="D126" s="2" t="s">
        <v>1836</v>
      </c>
      <c r="E126" s="2" t="s">
        <v>1838</v>
      </c>
      <c r="F126" s="2">
        <v>4.7833100000000002</v>
      </c>
      <c r="G126" s="2">
        <v>10.507199999999999</v>
      </c>
      <c r="H126" s="2">
        <v>1.1352899999999999</v>
      </c>
    </row>
    <row r="127" spans="1:10" x14ac:dyDescent="0.2">
      <c r="A127" s="2" t="s">
        <v>10</v>
      </c>
      <c r="B127" s="2" t="s">
        <v>3278</v>
      </c>
      <c r="C127" s="2" t="s">
        <v>2361</v>
      </c>
      <c r="D127" s="2" t="s">
        <v>1836</v>
      </c>
      <c r="E127" s="2" t="s">
        <v>1838</v>
      </c>
      <c r="F127" s="2">
        <v>2.24098</v>
      </c>
      <c r="G127" s="2">
        <v>4.9192200000000001</v>
      </c>
      <c r="H127" s="2">
        <v>1.1343000000000001</v>
      </c>
      <c r="J127" s="18"/>
    </row>
    <row r="128" spans="1:10" x14ac:dyDescent="0.2">
      <c r="A128" s="2" t="s">
        <v>1011</v>
      </c>
      <c r="B128" s="2" t="s">
        <v>3256</v>
      </c>
      <c r="C128" s="2" t="s">
        <v>2316</v>
      </c>
      <c r="D128" s="2" t="s">
        <v>1836</v>
      </c>
      <c r="E128" s="2" t="s">
        <v>1838</v>
      </c>
      <c r="F128" s="2">
        <v>7.4150499999999999</v>
      </c>
      <c r="G128" s="2">
        <v>16.168600000000001</v>
      </c>
      <c r="H128" s="2">
        <v>1.12466</v>
      </c>
    </row>
    <row r="129" spans="1:10" x14ac:dyDescent="0.2">
      <c r="A129" s="2" t="s">
        <v>1161</v>
      </c>
      <c r="B129" s="2" t="s">
        <v>3015</v>
      </c>
      <c r="C129" s="2" t="s">
        <v>2395</v>
      </c>
      <c r="D129" s="2" t="s">
        <v>1836</v>
      </c>
      <c r="E129" s="2" t="s">
        <v>1838</v>
      </c>
      <c r="F129" s="2">
        <v>0.55568300000000004</v>
      </c>
      <c r="G129" s="2">
        <v>1.2110099999999999</v>
      </c>
      <c r="H129" s="2">
        <v>1.12388</v>
      </c>
      <c r="J129" s="18"/>
    </row>
    <row r="130" spans="1:10" x14ac:dyDescent="0.2">
      <c r="A130" s="2" t="s">
        <v>1352</v>
      </c>
      <c r="B130" s="2" t="s">
        <v>3015</v>
      </c>
      <c r="C130" s="2" t="s">
        <v>2542</v>
      </c>
      <c r="D130" s="2" t="s">
        <v>1836</v>
      </c>
      <c r="E130" s="2" t="s">
        <v>1838</v>
      </c>
      <c r="F130" s="2">
        <v>95.010800000000003</v>
      </c>
      <c r="G130" s="2">
        <v>206.60599999999999</v>
      </c>
      <c r="H130" s="2">
        <v>1.1207199999999999</v>
      </c>
    </row>
    <row r="131" spans="1:10" x14ac:dyDescent="0.2">
      <c r="A131" s="2" t="s">
        <v>1171</v>
      </c>
      <c r="B131" s="2" t="s">
        <v>3094</v>
      </c>
      <c r="C131" s="2" t="s">
        <v>2304</v>
      </c>
      <c r="D131" s="2" t="s">
        <v>1836</v>
      </c>
      <c r="E131" s="2" t="s">
        <v>1838</v>
      </c>
      <c r="F131" s="2">
        <v>4.2204899999999999</v>
      </c>
      <c r="G131" s="2">
        <v>9.1387099999999997</v>
      </c>
      <c r="H131" s="2">
        <v>1.1145799999999999</v>
      </c>
    </row>
    <row r="132" spans="1:10" x14ac:dyDescent="0.2">
      <c r="A132" s="2" t="s">
        <v>1038</v>
      </c>
      <c r="B132" s="2" t="s">
        <v>3015</v>
      </c>
      <c r="C132" s="2" t="s">
        <v>3015</v>
      </c>
      <c r="D132" s="2" t="s">
        <v>1836</v>
      </c>
      <c r="E132" s="2" t="s">
        <v>1838</v>
      </c>
      <c r="F132" s="2">
        <v>6.1892199999999997</v>
      </c>
      <c r="G132" s="2">
        <v>13.3963</v>
      </c>
      <c r="H132" s="2">
        <v>1.1140099999999999</v>
      </c>
    </row>
    <row r="133" spans="1:10" x14ac:dyDescent="0.2">
      <c r="A133" s="2" t="s">
        <v>489</v>
      </c>
      <c r="B133" s="2" t="s">
        <v>3015</v>
      </c>
      <c r="C133" s="2" t="s">
        <v>2486</v>
      </c>
      <c r="D133" s="2" t="s">
        <v>1836</v>
      </c>
      <c r="E133" s="2" t="s">
        <v>1838</v>
      </c>
      <c r="F133" s="2">
        <v>2.1898399999999998</v>
      </c>
      <c r="G133" s="2">
        <v>4.7293500000000002</v>
      </c>
      <c r="H133" s="2">
        <v>1.1108100000000001</v>
      </c>
      <c r="J133" s="18"/>
    </row>
    <row r="134" spans="1:10" x14ac:dyDescent="0.2">
      <c r="A134" s="2" t="s">
        <v>455</v>
      </c>
      <c r="B134" s="2" t="s">
        <v>3329</v>
      </c>
      <c r="C134" s="2" t="s">
        <v>2481</v>
      </c>
      <c r="D134" s="2" t="s">
        <v>1836</v>
      </c>
      <c r="E134" s="2" t="s">
        <v>1838</v>
      </c>
      <c r="F134" s="2">
        <v>41.568199999999997</v>
      </c>
      <c r="G134" s="2">
        <v>89.528700000000001</v>
      </c>
      <c r="H134" s="2">
        <v>1.10687</v>
      </c>
      <c r="J134" s="18"/>
    </row>
    <row r="135" spans="1:10" x14ac:dyDescent="0.2">
      <c r="A135" s="2" t="s">
        <v>896</v>
      </c>
      <c r="B135" s="2" t="s">
        <v>3233</v>
      </c>
      <c r="C135" s="2" t="s">
        <v>3015</v>
      </c>
      <c r="D135" s="2" t="s">
        <v>1836</v>
      </c>
      <c r="E135" s="2" t="s">
        <v>1838</v>
      </c>
      <c r="F135" s="2">
        <v>0.97496400000000005</v>
      </c>
      <c r="G135" s="2">
        <v>2.0994899999999999</v>
      </c>
      <c r="H135" s="2">
        <v>1.1066199999999999</v>
      </c>
      <c r="J135" s="18"/>
    </row>
    <row r="136" spans="1:10" x14ac:dyDescent="0.2">
      <c r="A136" s="2" t="s">
        <v>1265</v>
      </c>
      <c r="B136" s="2" t="s">
        <v>3324</v>
      </c>
      <c r="C136" s="2" t="s">
        <v>2468</v>
      </c>
      <c r="D136" s="2" t="s">
        <v>1836</v>
      </c>
      <c r="E136" s="2" t="s">
        <v>1838</v>
      </c>
      <c r="F136" s="2">
        <v>0.78157299999999996</v>
      </c>
      <c r="G136" s="2">
        <v>1.6790099999999999</v>
      </c>
      <c r="H136" s="2">
        <v>1.1031599999999999</v>
      </c>
      <c r="J136" s="18"/>
    </row>
    <row r="137" spans="1:10" x14ac:dyDescent="0.2">
      <c r="A137" s="2" t="s">
        <v>90</v>
      </c>
      <c r="B137" s="2" t="s">
        <v>3046</v>
      </c>
      <c r="C137" s="2" t="s">
        <v>3015</v>
      </c>
      <c r="D137" s="2" t="s">
        <v>1836</v>
      </c>
      <c r="E137" s="2" t="s">
        <v>1838</v>
      </c>
      <c r="F137" s="2">
        <v>2.78518</v>
      </c>
      <c r="G137" s="2">
        <v>5.9831599999999998</v>
      </c>
      <c r="H137" s="2">
        <v>1.10314</v>
      </c>
      <c r="J137" s="18"/>
    </row>
    <row r="138" spans="1:10" x14ac:dyDescent="0.2">
      <c r="A138" s="2" t="s">
        <v>1103</v>
      </c>
      <c r="B138" s="2" t="s">
        <v>3054</v>
      </c>
      <c r="C138" s="2" t="s">
        <v>1894</v>
      </c>
      <c r="D138" s="2" t="s">
        <v>1836</v>
      </c>
      <c r="E138" s="2" t="s">
        <v>1838</v>
      </c>
      <c r="F138" s="2">
        <v>1.12259</v>
      </c>
      <c r="G138" s="2">
        <v>2.4033500000000001</v>
      </c>
      <c r="H138" s="2">
        <v>1.09822</v>
      </c>
      <c r="J138" s="18"/>
    </row>
    <row r="139" spans="1:10" x14ac:dyDescent="0.2">
      <c r="A139" s="2" t="s">
        <v>199</v>
      </c>
      <c r="B139" s="2" t="s">
        <v>3015</v>
      </c>
      <c r="C139" s="2" t="s">
        <v>3015</v>
      </c>
      <c r="D139" s="2" t="s">
        <v>1836</v>
      </c>
      <c r="E139" s="2" t="s">
        <v>1838</v>
      </c>
      <c r="F139" s="2">
        <v>2.2997200000000002</v>
      </c>
      <c r="G139" s="2">
        <v>4.9198300000000001</v>
      </c>
      <c r="H139" s="2">
        <v>1.0971500000000001</v>
      </c>
      <c r="J139" s="18"/>
    </row>
    <row r="140" spans="1:10" x14ac:dyDescent="0.2">
      <c r="A140" s="2" t="s">
        <v>481</v>
      </c>
      <c r="B140" s="2" t="s">
        <v>3100</v>
      </c>
      <c r="C140" s="2" t="s">
        <v>2206</v>
      </c>
      <c r="D140" s="2" t="s">
        <v>1836</v>
      </c>
      <c r="E140" s="2" t="s">
        <v>1838</v>
      </c>
      <c r="F140" s="2">
        <v>5.45547</v>
      </c>
      <c r="G140" s="2">
        <v>11.6709</v>
      </c>
      <c r="H140" s="2">
        <v>1.09714</v>
      </c>
    </row>
    <row r="141" spans="1:10" x14ac:dyDescent="0.2">
      <c r="A141" s="2" t="s">
        <v>677</v>
      </c>
      <c r="B141" s="2" t="s">
        <v>3190</v>
      </c>
      <c r="C141" s="2" t="s">
        <v>2159</v>
      </c>
      <c r="D141" s="2" t="s">
        <v>1836</v>
      </c>
      <c r="E141" s="2" t="s">
        <v>1838</v>
      </c>
      <c r="F141" s="2">
        <v>0.83784499999999995</v>
      </c>
      <c r="G141" s="2">
        <v>1.79189</v>
      </c>
      <c r="H141" s="2">
        <v>1.09673</v>
      </c>
      <c r="J141" s="18"/>
    </row>
    <row r="142" spans="1:10" x14ac:dyDescent="0.2">
      <c r="A142" s="2" t="s">
        <v>714</v>
      </c>
      <c r="B142" s="2" t="s">
        <v>3015</v>
      </c>
      <c r="C142" s="2" t="s">
        <v>3015</v>
      </c>
      <c r="D142" s="2" t="s">
        <v>1836</v>
      </c>
      <c r="E142" s="2" t="s">
        <v>1838</v>
      </c>
      <c r="F142" s="2">
        <v>41.402299999999997</v>
      </c>
      <c r="G142" s="2">
        <v>88.274900000000002</v>
      </c>
      <c r="H142" s="2">
        <v>1.09229</v>
      </c>
      <c r="J142" s="18"/>
    </row>
    <row r="143" spans="1:10" x14ac:dyDescent="0.2">
      <c r="A143" s="2" t="s">
        <v>1387</v>
      </c>
      <c r="B143" s="2" t="s">
        <v>3015</v>
      </c>
      <c r="C143" s="2" t="s">
        <v>2564</v>
      </c>
      <c r="D143" s="2" t="s">
        <v>1836</v>
      </c>
      <c r="E143" s="2" t="s">
        <v>1838</v>
      </c>
      <c r="F143" s="2">
        <v>3.1528999999999998</v>
      </c>
      <c r="G143" s="2">
        <v>6.7159300000000002</v>
      </c>
      <c r="H143" s="2">
        <v>1.09091</v>
      </c>
    </row>
    <row r="144" spans="1:10" x14ac:dyDescent="0.2">
      <c r="A144" s="2" t="s">
        <v>662</v>
      </c>
      <c r="B144" s="2" t="s">
        <v>3349</v>
      </c>
      <c r="C144" s="2" t="s">
        <v>2533</v>
      </c>
      <c r="D144" s="2" t="s">
        <v>1836</v>
      </c>
      <c r="E144" s="2" t="s">
        <v>1838</v>
      </c>
      <c r="F144" s="2">
        <v>2.92117</v>
      </c>
      <c r="G144" s="2">
        <v>6.2160399999999996</v>
      </c>
      <c r="H144" s="2">
        <v>1.08945</v>
      </c>
      <c r="J144" s="18"/>
    </row>
    <row r="145" spans="1:10" x14ac:dyDescent="0.2">
      <c r="A145" s="2" t="s">
        <v>457</v>
      </c>
      <c r="B145" s="2" t="s">
        <v>3015</v>
      </c>
      <c r="C145" s="2" t="s">
        <v>3015</v>
      </c>
      <c r="D145" s="2" t="s">
        <v>1836</v>
      </c>
      <c r="E145" s="2" t="s">
        <v>1838</v>
      </c>
      <c r="F145" s="2">
        <v>1.3376999999999999</v>
      </c>
      <c r="G145" s="2">
        <v>2.83894</v>
      </c>
      <c r="H145" s="2">
        <v>1.0855999999999999</v>
      </c>
      <c r="J145" s="18"/>
    </row>
    <row r="146" spans="1:10" x14ac:dyDescent="0.2">
      <c r="A146" s="2" t="s">
        <v>1391</v>
      </c>
      <c r="B146" s="2" t="s">
        <v>3363</v>
      </c>
      <c r="C146" s="2" t="s">
        <v>2570</v>
      </c>
      <c r="D146" s="2" t="s">
        <v>1836</v>
      </c>
      <c r="E146" s="2" t="s">
        <v>1838</v>
      </c>
      <c r="F146" s="2">
        <v>3.7051799999999999</v>
      </c>
      <c r="G146" s="2">
        <v>7.8455199999999996</v>
      </c>
      <c r="H146" s="2">
        <v>1.0823199999999999</v>
      </c>
      <c r="J146" s="18"/>
    </row>
    <row r="147" spans="1:10" x14ac:dyDescent="0.2">
      <c r="A147" s="2" t="s">
        <v>1376</v>
      </c>
      <c r="B147" s="2" t="s">
        <v>3356</v>
      </c>
      <c r="C147" s="2" t="s">
        <v>2554</v>
      </c>
      <c r="D147" s="2" t="s">
        <v>1836</v>
      </c>
      <c r="E147" s="2" t="s">
        <v>1838</v>
      </c>
      <c r="F147" s="2">
        <v>3.20777</v>
      </c>
      <c r="G147" s="2">
        <v>6.7915999999999999</v>
      </c>
      <c r="H147" s="2">
        <v>1.0821799999999999</v>
      </c>
      <c r="J147" s="18"/>
    </row>
    <row r="148" spans="1:10" x14ac:dyDescent="0.2">
      <c r="A148" s="2" t="s">
        <v>1233</v>
      </c>
      <c r="B148" s="2" t="s">
        <v>3015</v>
      </c>
      <c r="C148" s="2" t="s">
        <v>1880</v>
      </c>
      <c r="D148" s="2" t="s">
        <v>1836</v>
      </c>
      <c r="E148" s="2" t="s">
        <v>1838</v>
      </c>
      <c r="F148" s="2">
        <v>9.1437299999999997</v>
      </c>
      <c r="G148" s="2">
        <v>19.3537</v>
      </c>
      <c r="H148" s="2">
        <v>1.08175</v>
      </c>
      <c r="J148" s="18"/>
    </row>
    <row r="149" spans="1:10" x14ac:dyDescent="0.2">
      <c r="A149" s="2" t="s">
        <v>29</v>
      </c>
      <c r="B149" s="2" t="s">
        <v>3031</v>
      </c>
      <c r="C149" s="2" t="s">
        <v>1856</v>
      </c>
      <c r="D149" s="2" t="s">
        <v>1836</v>
      </c>
      <c r="E149" s="2" t="s">
        <v>1838</v>
      </c>
      <c r="F149" s="2">
        <v>1.19275</v>
      </c>
      <c r="G149" s="2">
        <v>2.5233400000000001</v>
      </c>
      <c r="H149" s="2">
        <v>1.08104</v>
      </c>
      <c r="J149" s="18"/>
    </row>
    <row r="150" spans="1:10" x14ac:dyDescent="0.2">
      <c r="A150" s="2" t="s">
        <v>1355</v>
      </c>
      <c r="B150" s="2" t="s">
        <v>3030</v>
      </c>
      <c r="C150" s="2" t="s">
        <v>3015</v>
      </c>
      <c r="D150" s="2" t="s">
        <v>1836</v>
      </c>
      <c r="E150" s="2" t="s">
        <v>1838</v>
      </c>
      <c r="F150" s="2">
        <v>2.3224499999999999</v>
      </c>
      <c r="G150" s="2">
        <v>4.9056699999999998</v>
      </c>
      <c r="H150" s="2">
        <v>1.07881</v>
      </c>
    </row>
    <row r="151" spans="1:10" x14ac:dyDescent="0.2">
      <c r="A151" s="2" t="s">
        <v>440</v>
      </c>
      <c r="B151" s="2" t="s">
        <v>3138</v>
      </c>
      <c r="C151" s="2" t="s">
        <v>1847</v>
      </c>
      <c r="D151" s="2" t="s">
        <v>1836</v>
      </c>
      <c r="E151" s="2" t="s">
        <v>1838</v>
      </c>
      <c r="F151" s="2">
        <v>326.73700000000002</v>
      </c>
      <c r="G151" s="2">
        <v>688.04499999999996</v>
      </c>
      <c r="H151" s="2">
        <v>1.07437</v>
      </c>
      <c r="J151" s="18"/>
    </row>
    <row r="152" spans="1:10" x14ac:dyDescent="0.2">
      <c r="A152" s="2" t="s">
        <v>52</v>
      </c>
      <c r="B152" s="2" t="s">
        <v>3015</v>
      </c>
      <c r="C152" s="2" t="s">
        <v>2377</v>
      </c>
      <c r="D152" s="2" t="s">
        <v>1836</v>
      </c>
      <c r="E152" s="2" t="s">
        <v>1838</v>
      </c>
      <c r="F152" s="2">
        <v>1.27573</v>
      </c>
      <c r="G152" s="2">
        <v>2.6837</v>
      </c>
      <c r="H152" s="2">
        <v>1.0729</v>
      </c>
    </row>
    <row r="153" spans="1:10" x14ac:dyDescent="0.2">
      <c r="A153" s="2" t="s">
        <v>389</v>
      </c>
      <c r="B153" s="2" t="s">
        <v>3015</v>
      </c>
      <c r="C153" s="2" t="s">
        <v>2024</v>
      </c>
      <c r="D153" s="2" t="s">
        <v>1836</v>
      </c>
      <c r="E153" s="2" t="s">
        <v>1838</v>
      </c>
      <c r="F153" s="2">
        <v>2.2618100000000001</v>
      </c>
      <c r="G153" s="2">
        <v>4.7413499999999997</v>
      </c>
      <c r="H153" s="2">
        <v>1.06782</v>
      </c>
    </row>
    <row r="154" spans="1:10" x14ac:dyDescent="0.2">
      <c r="A154" s="2" t="s">
        <v>1467</v>
      </c>
      <c r="B154" s="2" t="s">
        <v>3383</v>
      </c>
      <c r="C154" s="2" t="s">
        <v>3015</v>
      </c>
      <c r="D154" s="2" t="s">
        <v>1836</v>
      </c>
      <c r="E154" s="2" t="s">
        <v>1838</v>
      </c>
      <c r="F154" s="2">
        <v>18.880099999999999</v>
      </c>
      <c r="G154" s="2">
        <v>39.562199999999997</v>
      </c>
      <c r="H154" s="2">
        <v>1.06725</v>
      </c>
      <c r="J154" s="18"/>
    </row>
    <row r="155" spans="1:10" x14ac:dyDescent="0.2">
      <c r="A155" s="2" t="s">
        <v>1144</v>
      </c>
      <c r="B155" s="2" t="s">
        <v>3171</v>
      </c>
      <c r="C155" s="2" t="s">
        <v>2376</v>
      </c>
      <c r="D155" s="2" t="s">
        <v>1836</v>
      </c>
      <c r="E155" s="2" t="s">
        <v>1838</v>
      </c>
      <c r="F155" s="2">
        <v>0.38331100000000001</v>
      </c>
      <c r="G155" s="2">
        <v>0.79693800000000004</v>
      </c>
      <c r="H155" s="2">
        <v>1.0559499999999999</v>
      </c>
      <c r="J155" s="18"/>
    </row>
    <row r="156" spans="1:10" x14ac:dyDescent="0.2">
      <c r="A156" s="2" t="s">
        <v>1176</v>
      </c>
      <c r="B156" s="2" t="s">
        <v>3015</v>
      </c>
      <c r="C156" s="2" t="s">
        <v>3015</v>
      </c>
      <c r="D156" s="2" t="s">
        <v>1836</v>
      </c>
      <c r="E156" s="2" t="s">
        <v>1838</v>
      </c>
      <c r="F156" s="2">
        <v>2.88089</v>
      </c>
      <c r="G156" s="2">
        <v>5.9770799999999999</v>
      </c>
      <c r="H156" s="2">
        <v>1.0529200000000001</v>
      </c>
      <c r="J156" s="18"/>
    </row>
    <row r="157" spans="1:10" x14ac:dyDescent="0.2">
      <c r="A157" s="2" t="s">
        <v>421</v>
      </c>
      <c r="B157" s="2" t="s">
        <v>3038</v>
      </c>
      <c r="C157" s="2" t="s">
        <v>2475</v>
      </c>
      <c r="D157" s="2" t="s">
        <v>1836</v>
      </c>
      <c r="E157" s="2" t="s">
        <v>1838</v>
      </c>
      <c r="F157" s="2">
        <v>3.9441999999999999</v>
      </c>
      <c r="G157" s="2">
        <v>8.1803500000000007</v>
      </c>
      <c r="H157" s="2">
        <v>1.05243</v>
      </c>
    </row>
    <row r="158" spans="1:10" x14ac:dyDescent="0.2">
      <c r="A158" s="2" t="s">
        <v>1388</v>
      </c>
      <c r="B158" s="2" t="s">
        <v>3030</v>
      </c>
      <c r="C158" s="2" t="s">
        <v>2565</v>
      </c>
      <c r="D158" s="2" t="s">
        <v>1836</v>
      </c>
      <c r="E158" s="2" t="s">
        <v>1838</v>
      </c>
      <c r="F158" s="2">
        <v>12.2989</v>
      </c>
      <c r="G158" s="2">
        <v>25.370100000000001</v>
      </c>
      <c r="H158" s="2">
        <v>1.0446</v>
      </c>
    </row>
    <row r="159" spans="1:10" x14ac:dyDescent="0.2">
      <c r="A159" s="2" t="s">
        <v>307</v>
      </c>
      <c r="B159" s="2" t="s">
        <v>3314</v>
      </c>
      <c r="C159" s="2" t="s">
        <v>2446</v>
      </c>
      <c r="D159" s="2" t="s">
        <v>1836</v>
      </c>
      <c r="E159" s="2" t="s">
        <v>1838</v>
      </c>
      <c r="F159" s="2">
        <v>129.273</v>
      </c>
      <c r="G159" s="2">
        <v>266.649</v>
      </c>
      <c r="H159" s="2">
        <v>1.0445199999999999</v>
      </c>
    </row>
    <row r="160" spans="1:10" x14ac:dyDescent="0.2">
      <c r="A160" s="2" t="s">
        <v>277</v>
      </c>
      <c r="B160" s="2" t="s">
        <v>3015</v>
      </c>
      <c r="C160" s="2" t="s">
        <v>1847</v>
      </c>
      <c r="D160" s="2" t="s">
        <v>1836</v>
      </c>
      <c r="E160" s="2" t="s">
        <v>1838</v>
      </c>
      <c r="F160" s="2">
        <v>10.777100000000001</v>
      </c>
      <c r="G160" s="2">
        <v>22.2104</v>
      </c>
      <c r="H160" s="2">
        <v>1.0432600000000001</v>
      </c>
      <c r="J160" s="18"/>
    </row>
    <row r="161" spans="1:10" x14ac:dyDescent="0.2">
      <c r="A161" s="2" t="s">
        <v>205</v>
      </c>
      <c r="B161" s="2" t="s">
        <v>3138</v>
      </c>
      <c r="C161" s="2" t="s">
        <v>2422</v>
      </c>
      <c r="D161" s="2" t="s">
        <v>1836</v>
      </c>
      <c r="E161" s="2" t="s">
        <v>1838</v>
      </c>
      <c r="F161" s="2">
        <v>788.52700000000004</v>
      </c>
      <c r="G161" s="2">
        <v>1624.43</v>
      </c>
      <c r="H161" s="2">
        <v>1.04271</v>
      </c>
      <c r="J161" s="18"/>
    </row>
    <row r="162" spans="1:10" x14ac:dyDescent="0.2">
      <c r="A162" s="2" t="s">
        <v>283</v>
      </c>
      <c r="B162" s="2" t="s">
        <v>3106</v>
      </c>
      <c r="C162" s="2" t="s">
        <v>1975</v>
      </c>
      <c r="D162" s="2" t="s">
        <v>1836</v>
      </c>
      <c r="E162" s="2" t="s">
        <v>1838</v>
      </c>
      <c r="F162" s="2">
        <v>938.846</v>
      </c>
      <c r="G162" s="2">
        <v>1930.97</v>
      </c>
      <c r="H162" s="2">
        <v>1.04036</v>
      </c>
    </row>
    <row r="163" spans="1:10" x14ac:dyDescent="0.2">
      <c r="A163" s="2" t="s">
        <v>1177</v>
      </c>
      <c r="B163" s="2" t="s">
        <v>3015</v>
      </c>
      <c r="C163" s="2" t="s">
        <v>2299</v>
      </c>
      <c r="D163" s="2" t="s">
        <v>1836</v>
      </c>
      <c r="E163" s="2" t="s">
        <v>1838</v>
      </c>
      <c r="F163" s="2">
        <v>1.06619</v>
      </c>
      <c r="G163" s="2">
        <v>2.18913</v>
      </c>
      <c r="H163" s="2">
        <v>1.03789</v>
      </c>
    </row>
    <row r="164" spans="1:10" x14ac:dyDescent="0.2">
      <c r="A164" s="2" t="s">
        <v>1432</v>
      </c>
      <c r="B164" s="2" t="s">
        <v>3375</v>
      </c>
      <c r="C164" s="2" t="s">
        <v>2591</v>
      </c>
      <c r="D164" s="2" t="s">
        <v>1836</v>
      </c>
      <c r="E164" s="2" t="s">
        <v>1838</v>
      </c>
      <c r="F164" s="2">
        <v>0.83064499999999997</v>
      </c>
      <c r="G164" s="2">
        <v>1.70174</v>
      </c>
      <c r="H164" s="2">
        <v>1.03471</v>
      </c>
      <c r="J164" s="18"/>
    </row>
    <row r="165" spans="1:10" x14ac:dyDescent="0.2">
      <c r="A165" s="2" t="s">
        <v>1343</v>
      </c>
      <c r="B165" s="2" t="s">
        <v>3015</v>
      </c>
      <c r="C165" s="2" t="s">
        <v>3015</v>
      </c>
      <c r="D165" s="2" t="s">
        <v>1836</v>
      </c>
      <c r="E165" s="2" t="s">
        <v>1838</v>
      </c>
      <c r="F165" s="2">
        <v>12.464600000000001</v>
      </c>
      <c r="G165" s="2">
        <v>25.498000000000001</v>
      </c>
      <c r="H165" s="2">
        <v>1.0325500000000001</v>
      </c>
      <c r="J165" s="18"/>
    </row>
    <row r="166" spans="1:10" x14ac:dyDescent="0.2">
      <c r="A166" s="2" t="s">
        <v>972</v>
      </c>
      <c r="B166" s="2" t="s">
        <v>3030</v>
      </c>
      <c r="C166" s="2" t="s">
        <v>3015</v>
      </c>
      <c r="D166" s="2" t="s">
        <v>1836</v>
      </c>
      <c r="E166" s="2" t="s">
        <v>1838</v>
      </c>
      <c r="F166" s="2">
        <v>38.310400000000001</v>
      </c>
      <c r="G166" s="2">
        <v>78.247299999999996</v>
      </c>
      <c r="H166" s="2">
        <v>1.0303</v>
      </c>
      <c r="J166" s="18"/>
    </row>
    <row r="167" spans="1:10" x14ac:dyDescent="0.2">
      <c r="A167" s="2" t="s">
        <v>437</v>
      </c>
      <c r="B167" s="2" t="s">
        <v>3015</v>
      </c>
      <c r="C167" s="2" t="s">
        <v>3015</v>
      </c>
      <c r="D167" s="2" t="s">
        <v>1836</v>
      </c>
      <c r="E167" s="2" t="s">
        <v>1838</v>
      </c>
      <c r="F167" s="2">
        <v>969.59900000000005</v>
      </c>
      <c r="G167" s="2">
        <v>1976.82</v>
      </c>
      <c r="H167" s="2">
        <v>1.02772</v>
      </c>
    </row>
    <row r="168" spans="1:10" x14ac:dyDescent="0.2">
      <c r="A168" s="2" t="s">
        <v>1183</v>
      </c>
      <c r="B168" s="2" t="s">
        <v>3296</v>
      </c>
      <c r="C168" s="2" t="s">
        <v>2410</v>
      </c>
      <c r="D168" s="2" t="s">
        <v>1836</v>
      </c>
      <c r="E168" s="2" t="s">
        <v>1838</v>
      </c>
      <c r="F168" s="2">
        <v>0.70583600000000002</v>
      </c>
      <c r="G168" s="2">
        <v>1.4380500000000001</v>
      </c>
      <c r="H168" s="2">
        <v>1.02671</v>
      </c>
    </row>
    <row r="169" spans="1:10" x14ac:dyDescent="0.2">
      <c r="A169" s="2" t="s">
        <v>1395</v>
      </c>
      <c r="B169" s="2" t="s">
        <v>3087</v>
      </c>
      <c r="C169" s="2" t="s">
        <v>2572</v>
      </c>
      <c r="D169" s="2" t="s">
        <v>1836</v>
      </c>
      <c r="E169" s="2" t="s">
        <v>1838</v>
      </c>
      <c r="F169" s="2">
        <v>310.68599999999998</v>
      </c>
      <c r="G169" s="2">
        <v>632.19399999999996</v>
      </c>
      <c r="H169" s="2">
        <v>1.02491</v>
      </c>
      <c r="J169" s="18"/>
    </row>
    <row r="170" spans="1:10" x14ac:dyDescent="0.2">
      <c r="A170" s="2" t="s">
        <v>1463</v>
      </c>
      <c r="B170" s="2" t="s">
        <v>3068</v>
      </c>
      <c r="C170" s="2" t="s">
        <v>2610</v>
      </c>
      <c r="D170" s="2" t="s">
        <v>1836</v>
      </c>
      <c r="E170" s="2" t="s">
        <v>1838</v>
      </c>
      <c r="F170" s="2">
        <v>6.8632299999999997</v>
      </c>
      <c r="G170" s="2">
        <v>13.948700000000001</v>
      </c>
      <c r="H170" s="2">
        <v>1.0231699999999999</v>
      </c>
    </row>
    <row r="171" spans="1:10" x14ac:dyDescent="0.2">
      <c r="A171" s="2" t="s">
        <v>281</v>
      </c>
      <c r="B171" s="2" t="s">
        <v>3015</v>
      </c>
      <c r="C171" s="2" t="s">
        <v>3015</v>
      </c>
      <c r="D171" s="2" t="s">
        <v>1836</v>
      </c>
      <c r="E171" s="2" t="s">
        <v>1838</v>
      </c>
      <c r="F171" s="2">
        <v>7.2518099999999999</v>
      </c>
      <c r="G171" s="2">
        <v>14.7172</v>
      </c>
      <c r="H171" s="2">
        <v>1.0210900000000001</v>
      </c>
      <c r="J171" s="18"/>
    </row>
    <row r="172" spans="1:10" x14ac:dyDescent="0.2">
      <c r="A172" s="2" t="s">
        <v>1366</v>
      </c>
      <c r="B172" s="2" t="s">
        <v>3027</v>
      </c>
      <c r="C172" s="2" t="s">
        <v>2550</v>
      </c>
      <c r="D172" s="2" t="s">
        <v>1836</v>
      </c>
      <c r="E172" s="2" t="s">
        <v>1838</v>
      </c>
      <c r="F172" s="2">
        <v>1.6348</v>
      </c>
      <c r="G172" s="2">
        <v>3.31107</v>
      </c>
      <c r="H172" s="2">
        <v>1.0181899999999999</v>
      </c>
    </row>
    <row r="173" spans="1:10" x14ac:dyDescent="0.2">
      <c r="A173" s="2" t="s">
        <v>1268</v>
      </c>
      <c r="B173" s="2" t="s">
        <v>3015</v>
      </c>
      <c r="C173" s="2" t="s">
        <v>2471</v>
      </c>
      <c r="D173" s="2" t="s">
        <v>1836</v>
      </c>
      <c r="E173" s="2" t="s">
        <v>1838</v>
      </c>
      <c r="F173" s="2">
        <v>1.57084</v>
      </c>
      <c r="G173" s="2">
        <v>3.1724600000000001</v>
      </c>
      <c r="H173" s="2">
        <v>1.01406</v>
      </c>
      <c r="J173" s="18"/>
    </row>
    <row r="174" spans="1:10" x14ac:dyDescent="0.2">
      <c r="A174" s="2" t="s">
        <v>1472</v>
      </c>
      <c r="B174" s="2" t="s">
        <v>3015</v>
      </c>
      <c r="C174" s="2" t="s">
        <v>2612</v>
      </c>
      <c r="D174" s="2" t="s">
        <v>1836</v>
      </c>
      <c r="E174" s="2" t="s">
        <v>1838</v>
      </c>
      <c r="F174" s="2">
        <v>8.5740200000000009</v>
      </c>
      <c r="G174" s="2">
        <v>17.3049</v>
      </c>
      <c r="H174" s="2">
        <v>1.0131399999999999</v>
      </c>
      <c r="J174" s="18"/>
    </row>
    <row r="175" spans="1:10" x14ac:dyDescent="0.2">
      <c r="A175" s="2" t="s">
        <v>340</v>
      </c>
      <c r="B175" s="2" t="s">
        <v>3015</v>
      </c>
      <c r="C175" s="2" t="s">
        <v>2453</v>
      </c>
      <c r="D175" s="2" t="s">
        <v>1836</v>
      </c>
      <c r="E175" s="2" t="s">
        <v>1838</v>
      </c>
      <c r="F175" s="2">
        <v>2.8148300000000002</v>
      </c>
      <c r="G175" s="2">
        <v>5.67835</v>
      </c>
      <c r="H175" s="2">
        <v>1.0124200000000001</v>
      </c>
    </row>
    <row r="176" spans="1:10" x14ac:dyDescent="0.2">
      <c r="A176" s="2" t="s">
        <v>767</v>
      </c>
      <c r="B176" s="2" t="s">
        <v>3359</v>
      </c>
      <c r="C176" s="2" t="s">
        <v>2561</v>
      </c>
      <c r="D176" s="2" t="s">
        <v>1836</v>
      </c>
      <c r="E176" s="2" t="s">
        <v>1838</v>
      </c>
      <c r="F176" s="2">
        <v>10.242100000000001</v>
      </c>
      <c r="G176" s="2">
        <v>20.5258</v>
      </c>
      <c r="H176" s="2">
        <v>1.0029300000000001</v>
      </c>
      <c r="J176" s="18"/>
    </row>
    <row r="177" spans="1:10" x14ac:dyDescent="0.2">
      <c r="A177" s="2" t="s">
        <v>1137</v>
      </c>
      <c r="B177" s="2" t="s">
        <v>3015</v>
      </c>
      <c r="C177" s="2" t="s">
        <v>3015</v>
      </c>
      <c r="D177" s="2" t="s">
        <v>1836</v>
      </c>
      <c r="E177" s="2" t="s">
        <v>1838</v>
      </c>
      <c r="F177" s="2">
        <v>0</v>
      </c>
      <c r="G177" s="2">
        <v>1.2870999999999999</v>
      </c>
      <c r="H177" s="2" t="s">
        <v>3503</v>
      </c>
      <c r="J177" s="18"/>
    </row>
    <row r="178" spans="1:10" x14ac:dyDescent="0.2">
      <c r="A178" s="2" t="s">
        <v>1165</v>
      </c>
      <c r="B178" s="2" t="s">
        <v>3047</v>
      </c>
      <c r="C178" s="2" t="s">
        <v>1928</v>
      </c>
      <c r="D178" s="2" t="s">
        <v>1836</v>
      </c>
      <c r="E178" s="2" t="s">
        <v>1838</v>
      </c>
      <c r="F178" s="2">
        <v>0</v>
      </c>
      <c r="G178" s="2">
        <v>0.86233199999999999</v>
      </c>
      <c r="H178" s="2" t="s">
        <v>3503</v>
      </c>
    </row>
    <row r="179" spans="1:10" x14ac:dyDescent="0.2">
      <c r="A179" s="2" t="s">
        <v>1188</v>
      </c>
      <c r="B179" s="2" t="s">
        <v>3297</v>
      </c>
      <c r="C179" s="2" t="s">
        <v>2416</v>
      </c>
      <c r="D179" s="2" t="s">
        <v>1836</v>
      </c>
      <c r="E179" s="2" t="s">
        <v>1838</v>
      </c>
      <c r="F179" s="2">
        <v>0</v>
      </c>
      <c r="G179" s="2">
        <v>0.99651500000000004</v>
      </c>
      <c r="H179" s="2" t="s">
        <v>3503</v>
      </c>
    </row>
    <row r="180" spans="1:10" x14ac:dyDescent="0.2">
      <c r="A180" s="2" t="s">
        <v>1217</v>
      </c>
      <c r="B180" s="2" t="s">
        <v>3015</v>
      </c>
      <c r="C180" s="2" t="s">
        <v>3015</v>
      </c>
      <c r="D180" s="2" t="s">
        <v>1836</v>
      </c>
      <c r="E180" s="2" t="s">
        <v>1838</v>
      </c>
      <c r="F180" s="2">
        <v>0</v>
      </c>
      <c r="G180" s="2">
        <v>2.1271399999999998</v>
      </c>
      <c r="H180" s="2" t="s">
        <v>3503</v>
      </c>
    </row>
    <row r="181" spans="1:10" x14ac:dyDescent="0.2">
      <c r="A181" s="2" t="s">
        <v>1218</v>
      </c>
      <c r="B181" s="2" t="s">
        <v>3015</v>
      </c>
      <c r="C181" s="2" t="s">
        <v>2434</v>
      </c>
      <c r="D181" s="2" t="s">
        <v>1836</v>
      </c>
      <c r="E181" s="2" t="s">
        <v>1838</v>
      </c>
      <c r="F181" s="2">
        <v>0</v>
      </c>
      <c r="G181" s="2">
        <v>1.44764</v>
      </c>
      <c r="H181" s="2" t="s">
        <v>3503</v>
      </c>
    </row>
    <row r="182" spans="1:10" x14ac:dyDescent="0.2">
      <c r="A182" s="2" t="s">
        <v>1243</v>
      </c>
      <c r="B182" s="2" t="s">
        <v>3015</v>
      </c>
      <c r="C182" s="2" t="s">
        <v>2451</v>
      </c>
      <c r="D182" s="2" t="s">
        <v>1836</v>
      </c>
      <c r="E182" s="2" t="s">
        <v>1838</v>
      </c>
      <c r="F182" s="2">
        <v>0</v>
      </c>
      <c r="G182" s="2">
        <v>1.1641600000000001</v>
      </c>
      <c r="H182" s="2" t="s">
        <v>3503</v>
      </c>
      <c r="J182" s="18"/>
    </row>
    <row r="183" spans="1:10" x14ac:dyDescent="0.2">
      <c r="A183" s="2" t="s">
        <v>1273</v>
      </c>
      <c r="B183" s="2" t="s">
        <v>3015</v>
      </c>
      <c r="C183" s="2" t="s">
        <v>3015</v>
      </c>
      <c r="D183" s="2" t="s">
        <v>1836</v>
      </c>
      <c r="E183" s="2" t="s">
        <v>1838</v>
      </c>
      <c r="F183" s="2">
        <v>0</v>
      </c>
      <c r="G183" s="2">
        <v>4.2510199999999996</v>
      </c>
      <c r="H183" s="2" t="s">
        <v>3503</v>
      </c>
      <c r="J183" s="18"/>
    </row>
    <row r="184" spans="1:10" x14ac:dyDescent="0.2">
      <c r="A184" s="2" t="s">
        <v>1302</v>
      </c>
      <c r="B184" s="2" t="s">
        <v>3015</v>
      </c>
      <c r="C184" s="2" t="s">
        <v>2506</v>
      </c>
      <c r="D184" s="2" t="s">
        <v>1836</v>
      </c>
      <c r="E184" s="2" t="s">
        <v>1838</v>
      </c>
      <c r="F184" s="2">
        <v>0</v>
      </c>
      <c r="G184" s="2">
        <v>2.0526200000000001</v>
      </c>
      <c r="H184" s="2" t="s">
        <v>3503</v>
      </c>
      <c r="J184" s="18"/>
    </row>
    <row r="185" spans="1:10" x14ac:dyDescent="0.2">
      <c r="A185" s="2" t="s">
        <v>1332</v>
      </c>
      <c r="B185" s="2" t="s">
        <v>3348</v>
      </c>
      <c r="C185" s="2" t="s">
        <v>2527</v>
      </c>
      <c r="D185" s="2" t="s">
        <v>1836</v>
      </c>
      <c r="E185" s="2" t="s">
        <v>1838</v>
      </c>
      <c r="F185" s="2">
        <v>0</v>
      </c>
      <c r="G185" s="2">
        <v>1.7381500000000001</v>
      </c>
      <c r="H185" s="2" t="s">
        <v>3503</v>
      </c>
      <c r="J185" s="18"/>
    </row>
    <row r="186" spans="1:10" x14ac:dyDescent="0.2">
      <c r="A186" s="2" t="s">
        <v>1385</v>
      </c>
      <c r="B186" s="2" t="s">
        <v>3015</v>
      </c>
      <c r="C186" s="2" t="s">
        <v>3015</v>
      </c>
      <c r="D186" s="2" t="s">
        <v>1836</v>
      </c>
      <c r="E186" s="2" t="s">
        <v>1838</v>
      </c>
      <c r="F186" s="2">
        <v>0</v>
      </c>
      <c r="G186" s="2">
        <v>0.95873600000000003</v>
      </c>
      <c r="H186" s="2" t="s">
        <v>3503</v>
      </c>
      <c r="J186" s="18"/>
    </row>
    <row r="187" spans="1:10" x14ac:dyDescent="0.2">
      <c r="A187" s="2" t="s">
        <v>955</v>
      </c>
      <c r="B187" s="2" t="s">
        <v>3015</v>
      </c>
      <c r="C187" s="2" t="s">
        <v>2289</v>
      </c>
      <c r="D187" s="2" t="s">
        <v>1836</v>
      </c>
      <c r="E187" s="2" t="s">
        <v>1838</v>
      </c>
      <c r="F187" s="2">
        <v>0</v>
      </c>
      <c r="G187" s="2">
        <v>5.8176600000000001</v>
      </c>
      <c r="H187" s="2" t="s">
        <v>3503</v>
      </c>
      <c r="J187" s="18"/>
    </row>
    <row r="188" spans="1:10" x14ac:dyDescent="0.2">
      <c r="A188" s="2" t="s">
        <v>1452</v>
      </c>
      <c r="B188" s="2" t="s">
        <v>3015</v>
      </c>
      <c r="C188" s="2" t="s">
        <v>3015</v>
      </c>
      <c r="D188" s="2" t="s">
        <v>1836</v>
      </c>
      <c r="E188" s="2" t="s">
        <v>1838</v>
      </c>
      <c r="F188" s="2">
        <v>0</v>
      </c>
      <c r="G188" s="2">
        <v>0.99831700000000001</v>
      </c>
      <c r="H188" s="2" t="s">
        <v>3503</v>
      </c>
      <c r="J188" s="18"/>
    </row>
    <row r="189" spans="1:10" x14ac:dyDescent="0.2">
      <c r="A189" s="2" t="s">
        <v>1086</v>
      </c>
      <c r="B189" s="2" t="s">
        <v>3015</v>
      </c>
      <c r="C189" s="2" t="s">
        <v>2351</v>
      </c>
      <c r="D189" s="2" t="s">
        <v>1836</v>
      </c>
      <c r="E189" s="2" t="s">
        <v>1838</v>
      </c>
      <c r="F189" s="2">
        <v>0</v>
      </c>
      <c r="G189" s="2">
        <v>13.0952</v>
      </c>
      <c r="H189" s="2" t="s">
        <v>3503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9"/>
  <sheetViews>
    <sheetView workbookViewId="0"/>
  </sheetViews>
  <sheetFormatPr defaultColWidth="8.875" defaultRowHeight="14.25" x14ac:dyDescent="0.2"/>
  <cols>
    <col min="1" max="2" width="24.125" style="19" customWidth="1"/>
    <col min="3" max="3" width="57.125" style="19" customWidth="1"/>
    <col min="4" max="4" width="15.125" style="19" customWidth="1"/>
    <col min="5" max="5" width="14.5" style="19" customWidth="1"/>
    <col min="6" max="16384" width="8.875" style="19"/>
  </cols>
  <sheetData>
    <row r="1" spans="1:8" ht="20.25" x14ac:dyDescent="0.2">
      <c r="A1" s="11" t="s">
        <v>3532</v>
      </c>
    </row>
    <row r="2" spans="1:8" s="25" customFormat="1" ht="18.75" x14ac:dyDescent="0.2">
      <c r="A2" s="28" t="s">
        <v>3538</v>
      </c>
    </row>
    <row r="3" spans="1:8" s="25" customFormat="1" ht="18.75" x14ac:dyDescent="0.2">
      <c r="A3" s="25" t="s">
        <v>3541</v>
      </c>
    </row>
    <row r="4" spans="1:8" s="25" customFormat="1" ht="18" x14ac:dyDescent="0.25">
      <c r="A4" s="31" t="s">
        <v>3502</v>
      </c>
      <c r="B4" s="31" t="s">
        <v>3023</v>
      </c>
      <c r="C4" s="25" t="s">
        <v>1843</v>
      </c>
      <c r="D4" s="25" t="s">
        <v>0</v>
      </c>
      <c r="E4" s="25" t="s">
        <v>1</v>
      </c>
      <c r="F4" s="25" t="s">
        <v>2</v>
      </c>
      <c r="G4" s="25" t="s">
        <v>3</v>
      </c>
      <c r="H4" s="25" t="s">
        <v>4</v>
      </c>
    </row>
    <row r="5" spans="1:8" s="2" customFormat="1" ht="15" x14ac:dyDescent="0.2">
      <c r="A5" s="2" t="s">
        <v>823</v>
      </c>
      <c r="B5" s="2" t="s">
        <v>3015</v>
      </c>
      <c r="C5" s="2" t="s">
        <v>2218</v>
      </c>
      <c r="D5" s="2" t="s">
        <v>1839</v>
      </c>
      <c r="E5" s="2" t="s">
        <v>1841</v>
      </c>
      <c r="F5" s="2">
        <v>0.13825399999999999</v>
      </c>
      <c r="G5" s="2">
        <v>11.494999999999999</v>
      </c>
      <c r="H5" s="15">
        <v>6.3775399999999998</v>
      </c>
    </row>
    <row r="6" spans="1:8" s="2" customFormat="1" ht="15" x14ac:dyDescent="0.2">
      <c r="A6" s="2" t="s">
        <v>498</v>
      </c>
      <c r="B6" s="2" t="s">
        <v>3015</v>
      </c>
      <c r="C6" s="2" t="s">
        <v>2078</v>
      </c>
      <c r="D6" s="2" t="s">
        <v>1839</v>
      </c>
      <c r="E6" s="2" t="s">
        <v>1841</v>
      </c>
      <c r="F6" s="2">
        <v>1.70723</v>
      </c>
      <c r="G6" s="2">
        <v>62.0608</v>
      </c>
      <c r="H6" s="15">
        <v>5.1839500000000003</v>
      </c>
    </row>
    <row r="7" spans="1:8" s="2" customFormat="1" ht="15" x14ac:dyDescent="0.2">
      <c r="A7" s="2" t="s">
        <v>630</v>
      </c>
      <c r="B7" s="2" t="s">
        <v>3179</v>
      </c>
      <c r="C7" s="2" t="s">
        <v>2137</v>
      </c>
      <c r="D7" s="2" t="s">
        <v>1839</v>
      </c>
      <c r="E7" s="2" t="s">
        <v>1841</v>
      </c>
      <c r="F7" s="2">
        <v>1.19113</v>
      </c>
      <c r="G7" s="2">
        <v>41.421999999999997</v>
      </c>
      <c r="H7" s="15">
        <v>5.1199899999999996</v>
      </c>
    </row>
    <row r="8" spans="1:8" s="2" customFormat="1" ht="15" x14ac:dyDescent="0.2">
      <c r="A8" s="2" t="s">
        <v>581</v>
      </c>
      <c r="B8" s="2" t="s">
        <v>3167</v>
      </c>
      <c r="C8" s="2" t="s">
        <v>2117</v>
      </c>
      <c r="D8" s="2" t="s">
        <v>1839</v>
      </c>
      <c r="E8" s="2" t="s">
        <v>1841</v>
      </c>
      <c r="F8" s="2">
        <v>6.3385999999999996</v>
      </c>
      <c r="G8" s="2">
        <v>201.72900000000001</v>
      </c>
      <c r="H8" s="15">
        <v>4.9921100000000003</v>
      </c>
    </row>
    <row r="9" spans="1:8" s="2" customFormat="1" ht="15" x14ac:dyDescent="0.2">
      <c r="A9" s="2" t="s">
        <v>579</v>
      </c>
      <c r="B9" s="2" t="s">
        <v>3341</v>
      </c>
      <c r="C9" s="2" t="s">
        <v>2509</v>
      </c>
      <c r="D9" s="2" t="s">
        <v>1839</v>
      </c>
      <c r="E9" s="2" t="s">
        <v>1841</v>
      </c>
      <c r="F9" s="2">
        <v>0.404387</v>
      </c>
      <c r="G9" s="2">
        <v>8.2021099999999993</v>
      </c>
      <c r="H9" s="15">
        <v>4.3421900000000004</v>
      </c>
    </row>
    <row r="10" spans="1:8" s="2" customFormat="1" ht="15" x14ac:dyDescent="0.2">
      <c r="A10" s="2" t="s">
        <v>61</v>
      </c>
      <c r="B10" s="2" t="s">
        <v>3043</v>
      </c>
      <c r="C10" s="2" t="s">
        <v>1872</v>
      </c>
      <c r="D10" s="2" t="s">
        <v>1839</v>
      </c>
      <c r="E10" s="2" t="s">
        <v>1841</v>
      </c>
      <c r="F10" s="2">
        <v>0.49207600000000001</v>
      </c>
      <c r="G10" s="2">
        <v>8.6511999999999993</v>
      </c>
      <c r="H10" s="15">
        <v>4.1359500000000002</v>
      </c>
    </row>
    <row r="11" spans="1:8" s="2" customFormat="1" ht="15" x14ac:dyDescent="0.2">
      <c r="A11" s="2" t="s">
        <v>825</v>
      </c>
      <c r="B11" s="2" t="s">
        <v>3015</v>
      </c>
      <c r="C11" s="2" t="s">
        <v>2579</v>
      </c>
      <c r="D11" s="2" t="s">
        <v>1839</v>
      </c>
      <c r="E11" s="2" t="s">
        <v>1841</v>
      </c>
      <c r="F11" s="2">
        <v>1.14524</v>
      </c>
      <c r="G11" s="2">
        <v>16.429500000000001</v>
      </c>
      <c r="H11" s="15">
        <v>3.8425600000000002</v>
      </c>
    </row>
    <row r="12" spans="1:8" s="2" customFormat="1" ht="15" x14ac:dyDescent="0.2">
      <c r="A12" s="2" t="s">
        <v>136</v>
      </c>
      <c r="B12" s="2" t="s">
        <v>3037</v>
      </c>
      <c r="C12" s="2" t="s">
        <v>2232</v>
      </c>
      <c r="D12" s="2" t="s">
        <v>1839</v>
      </c>
      <c r="E12" s="2" t="s">
        <v>1841</v>
      </c>
      <c r="F12" s="2">
        <v>0.93967500000000004</v>
      </c>
      <c r="G12" s="2">
        <v>13.369</v>
      </c>
      <c r="H12" s="15">
        <v>3.8305899999999999</v>
      </c>
    </row>
    <row r="13" spans="1:8" s="2" customFormat="1" ht="15" x14ac:dyDescent="0.2">
      <c r="A13" s="2" t="s">
        <v>360</v>
      </c>
      <c r="B13" s="2" t="s">
        <v>3124</v>
      </c>
      <c r="C13" s="2" t="s">
        <v>3015</v>
      </c>
      <c r="D13" s="2" t="s">
        <v>1839</v>
      </c>
      <c r="E13" s="2" t="s">
        <v>1841</v>
      </c>
      <c r="F13" s="2">
        <v>0.32437300000000002</v>
      </c>
      <c r="G13" s="2">
        <v>4.2087300000000001</v>
      </c>
      <c r="H13" s="15">
        <v>3.6976599999999999</v>
      </c>
    </row>
    <row r="14" spans="1:8" s="2" customFormat="1" ht="15" x14ac:dyDescent="0.2">
      <c r="A14" s="2" t="s">
        <v>406</v>
      </c>
      <c r="B14" s="2" t="s">
        <v>3326</v>
      </c>
      <c r="C14" s="2" t="s">
        <v>2473</v>
      </c>
      <c r="D14" s="2" t="s">
        <v>1839</v>
      </c>
      <c r="E14" s="2" t="s">
        <v>1841</v>
      </c>
      <c r="F14" s="2">
        <v>4.2021199999999999</v>
      </c>
      <c r="G14" s="2">
        <v>53.833199999999998</v>
      </c>
      <c r="H14" s="15">
        <v>3.6793100000000001</v>
      </c>
    </row>
    <row r="15" spans="1:8" s="2" customFormat="1" ht="15" x14ac:dyDescent="0.2">
      <c r="A15" s="2" t="s">
        <v>1755</v>
      </c>
      <c r="B15" s="2" t="s">
        <v>3015</v>
      </c>
      <c r="C15" s="2" t="s">
        <v>2924</v>
      </c>
      <c r="D15" s="2" t="s">
        <v>1839</v>
      </c>
      <c r="E15" s="2" t="s">
        <v>1841</v>
      </c>
      <c r="F15" s="2">
        <v>0.23058999999999999</v>
      </c>
      <c r="G15" s="2">
        <v>2.76789</v>
      </c>
      <c r="H15" s="15">
        <v>3.5853899999999999</v>
      </c>
    </row>
    <row r="16" spans="1:8" s="2" customFormat="1" ht="15" x14ac:dyDescent="0.2">
      <c r="A16" s="2" t="s">
        <v>1259</v>
      </c>
      <c r="B16" s="2" t="s">
        <v>3015</v>
      </c>
      <c r="C16" s="2" t="s">
        <v>3015</v>
      </c>
      <c r="D16" s="2" t="s">
        <v>1839</v>
      </c>
      <c r="E16" s="2" t="s">
        <v>1841</v>
      </c>
      <c r="F16" s="2">
        <v>0.92873600000000001</v>
      </c>
      <c r="G16" s="2">
        <v>10.382899999999999</v>
      </c>
      <c r="H16" s="15">
        <v>3.4827900000000001</v>
      </c>
    </row>
    <row r="17" spans="1:8" s="2" customFormat="1" ht="15" x14ac:dyDescent="0.2">
      <c r="A17" s="2" t="s">
        <v>1362</v>
      </c>
      <c r="B17" s="2" t="s">
        <v>3353</v>
      </c>
      <c r="C17" s="2" t="s">
        <v>2548</v>
      </c>
      <c r="D17" s="2" t="s">
        <v>1839</v>
      </c>
      <c r="E17" s="2" t="s">
        <v>1841</v>
      </c>
      <c r="F17" s="2">
        <v>0.39604699999999998</v>
      </c>
      <c r="G17" s="2">
        <v>4.3617699999999999</v>
      </c>
      <c r="H17" s="15">
        <v>3.4611700000000001</v>
      </c>
    </row>
    <row r="18" spans="1:8" s="2" customFormat="1" ht="15" x14ac:dyDescent="0.2">
      <c r="A18" s="2" t="s">
        <v>738</v>
      </c>
      <c r="B18" s="2" t="s">
        <v>3015</v>
      </c>
      <c r="C18" s="2" t="s">
        <v>1847</v>
      </c>
      <c r="D18" s="2" t="s">
        <v>1839</v>
      </c>
      <c r="E18" s="2" t="s">
        <v>1841</v>
      </c>
      <c r="F18" s="2">
        <v>0.96927700000000006</v>
      </c>
      <c r="G18" s="2">
        <v>10.285399999999999</v>
      </c>
      <c r="H18" s="15">
        <v>3.40754</v>
      </c>
    </row>
    <row r="19" spans="1:8" s="2" customFormat="1" ht="15" x14ac:dyDescent="0.2">
      <c r="A19" s="2" t="s">
        <v>528</v>
      </c>
      <c r="B19" s="2" t="s">
        <v>3015</v>
      </c>
      <c r="C19" s="2" t="s">
        <v>1844</v>
      </c>
      <c r="D19" s="2" t="s">
        <v>1839</v>
      </c>
      <c r="E19" s="2" t="s">
        <v>1841</v>
      </c>
      <c r="F19" s="2">
        <v>1.0430699999999999</v>
      </c>
      <c r="G19" s="2">
        <v>10.1744</v>
      </c>
      <c r="H19" s="15">
        <v>3.2860399999999998</v>
      </c>
    </row>
    <row r="20" spans="1:8" s="2" customFormat="1" ht="15" x14ac:dyDescent="0.2">
      <c r="A20" s="2" t="s">
        <v>628</v>
      </c>
      <c r="B20" s="2" t="s">
        <v>3178</v>
      </c>
      <c r="C20" s="2" t="s">
        <v>2087</v>
      </c>
      <c r="D20" s="2" t="s">
        <v>1839</v>
      </c>
      <c r="E20" s="2" t="s">
        <v>1841</v>
      </c>
      <c r="F20" s="2">
        <v>0.51327699999999998</v>
      </c>
      <c r="G20" s="2">
        <v>4.8539099999999999</v>
      </c>
      <c r="H20" s="15">
        <v>3.2413400000000001</v>
      </c>
    </row>
    <row r="21" spans="1:8" s="2" customFormat="1" ht="15" x14ac:dyDescent="0.2">
      <c r="A21" s="2" t="s">
        <v>1057</v>
      </c>
      <c r="B21" s="2" t="s">
        <v>3183</v>
      </c>
      <c r="C21" s="2" t="s">
        <v>2958</v>
      </c>
      <c r="D21" s="2" t="s">
        <v>1839</v>
      </c>
      <c r="E21" s="2" t="s">
        <v>1841</v>
      </c>
      <c r="F21" s="2">
        <v>2.9749599999999998</v>
      </c>
      <c r="G21" s="2">
        <v>26.625800000000002</v>
      </c>
      <c r="H21" s="15">
        <v>3.16188</v>
      </c>
    </row>
    <row r="22" spans="1:8" s="2" customFormat="1" ht="15" x14ac:dyDescent="0.2">
      <c r="A22" s="2" t="s">
        <v>1096</v>
      </c>
      <c r="B22" s="2" t="s">
        <v>3015</v>
      </c>
      <c r="C22" s="2" t="s">
        <v>1880</v>
      </c>
      <c r="D22" s="2" t="s">
        <v>1839</v>
      </c>
      <c r="E22" s="2" t="s">
        <v>1841</v>
      </c>
      <c r="F22" s="2">
        <v>0.56859899999999997</v>
      </c>
      <c r="G22" s="2">
        <v>4.9472199999999997</v>
      </c>
      <c r="H22" s="15">
        <v>3.12113</v>
      </c>
    </row>
    <row r="23" spans="1:8" s="2" customFormat="1" ht="15" x14ac:dyDescent="0.2">
      <c r="A23" s="2" t="s">
        <v>1466</v>
      </c>
      <c r="B23" s="2" t="s">
        <v>3313</v>
      </c>
      <c r="C23" s="2" t="s">
        <v>2479</v>
      </c>
      <c r="D23" s="2" t="s">
        <v>1839</v>
      </c>
      <c r="E23" s="2" t="s">
        <v>1841</v>
      </c>
      <c r="F23" s="2">
        <v>1.80616</v>
      </c>
      <c r="G23" s="2">
        <v>15.4863</v>
      </c>
      <c r="H23" s="15">
        <v>3.09999</v>
      </c>
    </row>
    <row r="24" spans="1:8" s="2" customFormat="1" ht="15" x14ac:dyDescent="0.2">
      <c r="A24" s="2" t="s">
        <v>768</v>
      </c>
      <c r="B24" s="2" t="s">
        <v>3460</v>
      </c>
      <c r="C24" s="2" t="s">
        <v>3015</v>
      </c>
      <c r="D24" s="2" t="s">
        <v>1839</v>
      </c>
      <c r="E24" s="2" t="s">
        <v>1841</v>
      </c>
      <c r="F24" s="2">
        <v>0.20096900000000001</v>
      </c>
      <c r="G24" s="2">
        <v>1.71706</v>
      </c>
      <c r="H24" s="15">
        <v>3.0949</v>
      </c>
    </row>
    <row r="25" spans="1:8" s="2" customFormat="1" ht="15" x14ac:dyDescent="0.2">
      <c r="A25" s="2" t="s">
        <v>1691</v>
      </c>
      <c r="B25" s="2" t="s">
        <v>3015</v>
      </c>
      <c r="C25" s="2" t="s">
        <v>3015</v>
      </c>
      <c r="D25" s="2" t="s">
        <v>1839</v>
      </c>
      <c r="E25" s="2" t="s">
        <v>1841</v>
      </c>
      <c r="F25" s="2">
        <v>0.51646899999999996</v>
      </c>
      <c r="G25" s="2">
        <v>4.0503099999999996</v>
      </c>
      <c r="H25" s="15">
        <v>2.9712800000000001</v>
      </c>
    </row>
    <row r="26" spans="1:8" s="2" customFormat="1" ht="15" x14ac:dyDescent="0.2">
      <c r="A26" s="2" t="s">
        <v>1307</v>
      </c>
      <c r="B26" s="2" t="s">
        <v>3336</v>
      </c>
      <c r="C26" s="2" t="s">
        <v>2498</v>
      </c>
      <c r="D26" s="2" t="s">
        <v>1839</v>
      </c>
      <c r="E26" s="2" t="s">
        <v>1841</v>
      </c>
      <c r="F26" s="2">
        <v>19.782</v>
      </c>
      <c r="G26" s="2">
        <v>153.86199999999999</v>
      </c>
      <c r="H26" s="15">
        <v>2.9593799999999999</v>
      </c>
    </row>
    <row r="27" spans="1:8" s="2" customFormat="1" ht="15" x14ac:dyDescent="0.2">
      <c r="A27" s="2" t="s">
        <v>1450</v>
      </c>
      <c r="B27" s="2" t="s">
        <v>3175</v>
      </c>
      <c r="C27" s="2" t="s">
        <v>2557</v>
      </c>
      <c r="D27" s="2" t="s">
        <v>1839</v>
      </c>
      <c r="E27" s="2" t="s">
        <v>1841</v>
      </c>
      <c r="F27" s="2">
        <v>0.23741799999999999</v>
      </c>
      <c r="G27" s="2">
        <v>1.8116300000000001</v>
      </c>
      <c r="H27" s="15">
        <v>2.9317899999999999</v>
      </c>
    </row>
    <row r="28" spans="1:8" s="2" customFormat="1" ht="15" x14ac:dyDescent="0.2">
      <c r="A28" s="2" t="s">
        <v>988</v>
      </c>
      <c r="B28" s="2" t="s">
        <v>3047</v>
      </c>
      <c r="C28" s="2" t="s">
        <v>2277</v>
      </c>
      <c r="D28" s="2" t="s">
        <v>1839</v>
      </c>
      <c r="E28" s="2" t="s">
        <v>1841</v>
      </c>
      <c r="F28" s="2">
        <v>0.210979</v>
      </c>
      <c r="G28" s="2">
        <v>1.6082099999999999</v>
      </c>
      <c r="H28" s="15">
        <v>2.9302800000000002</v>
      </c>
    </row>
    <row r="29" spans="1:8" s="2" customFormat="1" ht="15" x14ac:dyDescent="0.2">
      <c r="A29" s="2" t="s">
        <v>1290</v>
      </c>
      <c r="B29" s="2" t="s">
        <v>3336</v>
      </c>
      <c r="C29" s="2" t="s">
        <v>2498</v>
      </c>
      <c r="D29" s="2" t="s">
        <v>1839</v>
      </c>
      <c r="E29" s="2" t="s">
        <v>1841</v>
      </c>
      <c r="F29" s="2">
        <v>13.4184</v>
      </c>
      <c r="G29" s="2">
        <v>100.02200000000001</v>
      </c>
      <c r="H29" s="15">
        <v>2.8980399999999999</v>
      </c>
    </row>
    <row r="30" spans="1:8" s="2" customFormat="1" ht="15" x14ac:dyDescent="0.2">
      <c r="A30" s="2" t="s">
        <v>339</v>
      </c>
      <c r="B30" s="2" t="s">
        <v>3109</v>
      </c>
      <c r="C30" s="2" t="s">
        <v>2734</v>
      </c>
      <c r="D30" s="2" t="s">
        <v>1839</v>
      </c>
      <c r="E30" s="2" t="s">
        <v>1841</v>
      </c>
      <c r="F30" s="2">
        <v>1.31606</v>
      </c>
      <c r="G30" s="2">
        <v>9.2818699999999996</v>
      </c>
      <c r="H30" s="15">
        <v>2.81819</v>
      </c>
    </row>
    <row r="31" spans="1:8" s="2" customFormat="1" ht="15" x14ac:dyDescent="0.2">
      <c r="A31" s="2" t="s">
        <v>858</v>
      </c>
      <c r="B31" s="2" t="s">
        <v>3224</v>
      </c>
      <c r="C31" s="2" t="s">
        <v>2240</v>
      </c>
      <c r="D31" s="2" t="s">
        <v>1839</v>
      </c>
      <c r="E31" s="2" t="s">
        <v>1841</v>
      </c>
      <c r="F31" s="2">
        <v>1.2313700000000001</v>
      </c>
      <c r="G31" s="2">
        <v>8.5493500000000004</v>
      </c>
      <c r="H31" s="15">
        <v>2.79555</v>
      </c>
    </row>
    <row r="32" spans="1:8" s="2" customFormat="1" ht="15" x14ac:dyDescent="0.2">
      <c r="A32" s="2" t="s">
        <v>1475</v>
      </c>
      <c r="B32" s="2" t="s">
        <v>3386</v>
      </c>
      <c r="C32" s="2" t="s">
        <v>1917</v>
      </c>
      <c r="D32" s="2" t="s">
        <v>1839</v>
      </c>
      <c r="E32" s="2" t="s">
        <v>1841</v>
      </c>
      <c r="F32" s="2">
        <v>0.13027</v>
      </c>
      <c r="G32" s="2">
        <v>0.89085199999999998</v>
      </c>
      <c r="H32" s="15">
        <v>2.7736800000000001</v>
      </c>
    </row>
    <row r="33" spans="1:8" s="2" customFormat="1" ht="15" x14ac:dyDescent="0.2">
      <c r="A33" s="2" t="s">
        <v>821</v>
      </c>
      <c r="B33" s="2" t="s">
        <v>3015</v>
      </c>
      <c r="C33" s="2" t="s">
        <v>2216</v>
      </c>
      <c r="D33" s="2" t="s">
        <v>1839</v>
      </c>
      <c r="E33" s="2" t="s">
        <v>1841</v>
      </c>
      <c r="F33" s="2">
        <v>0.26499899999999998</v>
      </c>
      <c r="G33" s="2">
        <v>1.73248</v>
      </c>
      <c r="H33" s="15">
        <v>2.70878</v>
      </c>
    </row>
    <row r="34" spans="1:8" s="2" customFormat="1" ht="15" x14ac:dyDescent="0.2">
      <c r="A34" s="2" t="s">
        <v>1610</v>
      </c>
      <c r="B34" s="2" t="s">
        <v>3087</v>
      </c>
      <c r="C34" s="2" t="s">
        <v>2771</v>
      </c>
      <c r="D34" s="2" t="s">
        <v>1839</v>
      </c>
      <c r="E34" s="2" t="s">
        <v>1841</v>
      </c>
      <c r="F34" s="2">
        <v>0.29669000000000001</v>
      </c>
      <c r="G34" s="2">
        <v>1.8984799999999999</v>
      </c>
      <c r="H34" s="15">
        <v>2.6778200000000001</v>
      </c>
    </row>
    <row r="35" spans="1:8" s="2" customFormat="1" ht="15" x14ac:dyDescent="0.2">
      <c r="A35" s="2" t="s">
        <v>1437</v>
      </c>
      <c r="B35" s="2" t="s">
        <v>3015</v>
      </c>
      <c r="C35" s="2" t="s">
        <v>1847</v>
      </c>
      <c r="D35" s="2" t="s">
        <v>1839</v>
      </c>
      <c r="E35" s="2" t="s">
        <v>1841</v>
      </c>
      <c r="F35" s="2">
        <v>0.459756</v>
      </c>
      <c r="G35" s="2">
        <v>2.9192900000000002</v>
      </c>
      <c r="H35" s="2">
        <v>2.6666799999999999</v>
      </c>
    </row>
    <row r="36" spans="1:8" s="2" customFormat="1" ht="15" x14ac:dyDescent="0.2">
      <c r="A36" s="2" t="s">
        <v>1095</v>
      </c>
      <c r="B36" s="2" t="s">
        <v>3015</v>
      </c>
      <c r="C36" s="2" t="s">
        <v>1880</v>
      </c>
      <c r="D36" s="2" t="s">
        <v>1839</v>
      </c>
      <c r="E36" s="2" t="s">
        <v>1841</v>
      </c>
      <c r="F36" s="2">
        <v>1.5256700000000001</v>
      </c>
      <c r="G36" s="2">
        <v>9.6262799999999995</v>
      </c>
      <c r="H36" s="2">
        <v>2.65754</v>
      </c>
    </row>
    <row r="37" spans="1:8" s="2" customFormat="1" ht="15" x14ac:dyDescent="0.2">
      <c r="A37" s="2" t="s">
        <v>811</v>
      </c>
      <c r="B37" s="2" t="s">
        <v>3464</v>
      </c>
      <c r="C37" s="2" t="s">
        <v>2886</v>
      </c>
      <c r="D37" s="2" t="s">
        <v>1839</v>
      </c>
      <c r="E37" s="2" t="s">
        <v>1841</v>
      </c>
      <c r="F37" s="2">
        <v>0.179226</v>
      </c>
      <c r="G37" s="2">
        <v>1.12802</v>
      </c>
      <c r="H37" s="2">
        <v>2.65394</v>
      </c>
    </row>
    <row r="38" spans="1:8" s="2" customFormat="1" ht="15" x14ac:dyDescent="0.2">
      <c r="A38" s="2" t="s">
        <v>1596</v>
      </c>
      <c r="B38" s="2" t="s">
        <v>3424</v>
      </c>
      <c r="C38" s="2" t="s">
        <v>3015</v>
      </c>
      <c r="D38" s="2" t="s">
        <v>1839</v>
      </c>
      <c r="E38" s="2" t="s">
        <v>1841</v>
      </c>
      <c r="F38" s="2">
        <v>0.15182799999999999</v>
      </c>
      <c r="G38" s="2">
        <v>0.94114600000000004</v>
      </c>
      <c r="H38" s="2">
        <v>2.63198</v>
      </c>
    </row>
    <row r="39" spans="1:8" s="2" customFormat="1" ht="15" x14ac:dyDescent="0.2">
      <c r="A39" s="2" t="s">
        <v>1237</v>
      </c>
      <c r="B39" s="2" t="s">
        <v>3313</v>
      </c>
      <c r="C39" s="2" t="s">
        <v>2445</v>
      </c>
      <c r="D39" s="2" t="s">
        <v>1839</v>
      </c>
      <c r="E39" s="2" t="s">
        <v>1841</v>
      </c>
      <c r="F39" s="2">
        <v>0.46317900000000001</v>
      </c>
      <c r="G39" s="2">
        <v>2.8207300000000002</v>
      </c>
      <c r="H39" s="2">
        <v>2.60643</v>
      </c>
    </row>
    <row r="40" spans="1:8" s="2" customFormat="1" ht="15" x14ac:dyDescent="0.2">
      <c r="A40" s="2" t="s">
        <v>514</v>
      </c>
      <c r="B40" s="2" t="s">
        <v>3045</v>
      </c>
      <c r="C40" s="2" t="s">
        <v>2491</v>
      </c>
      <c r="D40" s="2" t="s">
        <v>1839</v>
      </c>
      <c r="E40" s="2" t="s">
        <v>1841</v>
      </c>
      <c r="F40" s="2">
        <v>1.5641799999999999</v>
      </c>
      <c r="G40" s="2">
        <v>9.4170499999999997</v>
      </c>
      <c r="H40" s="2">
        <v>2.5898599999999998</v>
      </c>
    </row>
    <row r="41" spans="1:8" s="2" customFormat="1" ht="15" x14ac:dyDescent="0.2">
      <c r="A41" s="2" t="s">
        <v>1351</v>
      </c>
      <c r="B41" s="2" t="s">
        <v>3031</v>
      </c>
      <c r="C41" s="2" t="s">
        <v>2831</v>
      </c>
      <c r="D41" s="2" t="s">
        <v>1839</v>
      </c>
      <c r="E41" s="2" t="s">
        <v>1841</v>
      </c>
      <c r="F41" s="2">
        <v>1.4604900000000001</v>
      </c>
      <c r="G41" s="2">
        <v>8.7434100000000008</v>
      </c>
      <c r="H41" s="2">
        <v>2.5817399999999999</v>
      </c>
    </row>
    <row r="42" spans="1:8" s="2" customFormat="1" ht="15" x14ac:dyDescent="0.2">
      <c r="A42" s="2" t="s">
        <v>1242</v>
      </c>
      <c r="B42" s="2" t="s">
        <v>3300</v>
      </c>
      <c r="C42" s="2" t="s">
        <v>2450</v>
      </c>
      <c r="D42" s="2" t="s">
        <v>1839</v>
      </c>
      <c r="E42" s="2" t="s">
        <v>1841</v>
      </c>
      <c r="F42" s="2">
        <v>0.81349899999999997</v>
      </c>
      <c r="G42" s="2">
        <v>4.5639700000000003</v>
      </c>
      <c r="H42" s="2">
        <v>2.4880800000000001</v>
      </c>
    </row>
    <row r="43" spans="1:8" s="2" customFormat="1" ht="15" x14ac:dyDescent="0.2">
      <c r="A43" s="2" t="s">
        <v>1709</v>
      </c>
      <c r="B43" s="2" t="s">
        <v>3129</v>
      </c>
      <c r="C43" s="2" t="s">
        <v>2595</v>
      </c>
      <c r="D43" s="2" t="s">
        <v>1839</v>
      </c>
      <c r="E43" s="2" t="s">
        <v>1841</v>
      </c>
      <c r="F43" s="2">
        <v>0.46269300000000002</v>
      </c>
      <c r="G43" s="2">
        <v>2.58744</v>
      </c>
      <c r="H43" s="2">
        <v>2.4834000000000001</v>
      </c>
    </row>
    <row r="44" spans="1:8" s="2" customFormat="1" ht="15" x14ac:dyDescent="0.2">
      <c r="A44" s="2" t="s">
        <v>150</v>
      </c>
      <c r="B44" s="2" t="s">
        <v>3015</v>
      </c>
      <c r="C44" s="2" t="s">
        <v>2409</v>
      </c>
      <c r="D44" s="2" t="s">
        <v>1839</v>
      </c>
      <c r="E44" s="2" t="s">
        <v>1841</v>
      </c>
      <c r="F44" s="2">
        <v>0.62633300000000003</v>
      </c>
      <c r="G44" s="2">
        <v>3.4843099999999998</v>
      </c>
      <c r="H44" s="2">
        <v>2.47587</v>
      </c>
    </row>
    <row r="45" spans="1:8" s="2" customFormat="1" ht="15" x14ac:dyDescent="0.2">
      <c r="A45" s="2" t="s">
        <v>103</v>
      </c>
      <c r="B45" s="2" t="s">
        <v>3015</v>
      </c>
      <c r="C45" s="2" t="s">
        <v>1887</v>
      </c>
      <c r="D45" s="2" t="s">
        <v>1839</v>
      </c>
      <c r="E45" s="2" t="s">
        <v>1841</v>
      </c>
      <c r="F45" s="2">
        <v>0.67612799999999995</v>
      </c>
      <c r="G45" s="2">
        <v>3.7468900000000001</v>
      </c>
      <c r="H45" s="2">
        <v>2.4703200000000001</v>
      </c>
    </row>
    <row r="46" spans="1:8" s="2" customFormat="1" ht="15" x14ac:dyDescent="0.2">
      <c r="A46" s="2" t="s">
        <v>143</v>
      </c>
      <c r="B46" s="2" t="s">
        <v>3294</v>
      </c>
      <c r="C46" s="2" t="s">
        <v>2407</v>
      </c>
      <c r="D46" s="2" t="s">
        <v>1839</v>
      </c>
      <c r="E46" s="2" t="s">
        <v>1841</v>
      </c>
      <c r="F46" s="2">
        <v>1.6326099999999999</v>
      </c>
      <c r="G46" s="2">
        <v>9.0201600000000006</v>
      </c>
      <c r="H46" s="2">
        <v>2.46597</v>
      </c>
    </row>
    <row r="47" spans="1:8" s="2" customFormat="1" ht="15" x14ac:dyDescent="0.2">
      <c r="A47" s="2" t="s">
        <v>1425</v>
      </c>
      <c r="B47" s="2" t="s">
        <v>3081</v>
      </c>
      <c r="C47" s="2" t="s">
        <v>1965</v>
      </c>
      <c r="D47" s="2" t="s">
        <v>1839</v>
      </c>
      <c r="E47" s="2" t="s">
        <v>1841</v>
      </c>
      <c r="F47" s="2">
        <v>0.75607899999999995</v>
      </c>
      <c r="G47" s="2">
        <v>4.1680299999999999</v>
      </c>
      <c r="H47" s="2">
        <v>2.4627599999999998</v>
      </c>
    </row>
    <row r="48" spans="1:8" s="2" customFormat="1" ht="15" x14ac:dyDescent="0.2">
      <c r="A48" s="2" t="s">
        <v>807</v>
      </c>
      <c r="B48" s="2" t="s">
        <v>3212</v>
      </c>
      <c r="C48" s="2" t="s">
        <v>2211</v>
      </c>
      <c r="D48" s="2" t="s">
        <v>1839</v>
      </c>
      <c r="E48" s="2" t="s">
        <v>1841</v>
      </c>
      <c r="F48" s="2">
        <v>1.7720499999999999</v>
      </c>
      <c r="G48" s="2">
        <v>9.7557700000000001</v>
      </c>
      <c r="H48" s="2">
        <v>2.4608300000000001</v>
      </c>
    </row>
    <row r="49" spans="1:8" s="2" customFormat="1" ht="15" x14ac:dyDescent="0.2">
      <c r="A49" s="2" t="s">
        <v>127</v>
      </c>
      <c r="B49" s="2" t="s">
        <v>3015</v>
      </c>
      <c r="C49" s="2" t="s">
        <v>1902</v>
      </c>
      <c r="D49" s="2" t="s">
        <v>1839</v>
      </c>
      <c r="E49" s="2" t="s">
        <v>1841</v>
      </c>
      <c r="F49" s="2">
        <v>0.425844</v>
      </c>
      <c r="G49" s="2">
        <v>2.30871</v>
      </c>
      <c r="H49" s="2">
        <v>2.4386899999999998</v>
      </c>
    </row>
    <row r="50" spans="1:8" s="2" customFormat="1" ht="15" x14ac:dyDescent="0.2">
      <c r="A50" s="2" t="s">
        <v>1584</v>
      </c>
      <c r="B50" s="2" t="s">
        <v>3094</v>
      </c>
      <c r="C50" s="2" t="s">
        <v>2304</v>
      </c>
      <c r="D50" s="2" t="s">
        <v>1839</v>
      </c>
      <c r="E50" s="2" t="s">
        <v>1841</v>
      </c>
      <c r="F50" s="2">
        <v>0.442056</v>
      </c>
      <c r="G50" s="2">
        <v>2.3745799999999999</v>
      </c>
      <c r="H50" s="2">
        <v>2.42537</v>
      </c>
    </row>
    <row r="51" spans="1:8" s="2" customFormat="1" ht="15" x14ac:dyDescent="0.2">
      <c r="A51" s="2" t="s">
        <v>1134</v>
      </c>
      <c r="B51" s="2" t="s">
        <v>3089</v>
      </c>
      <c r="C51" s="2" t="s">
        <v>2622</v>
      </c>
      <c r="D51" s="2" t="s">
        <v>1839</v>
      </c>
      <c r="E51" s="2" t="s">
        <v>1841</v>
      </c>
      <c r="F51" s="2">
        <v>1.7720800000000001</v>
      </c>
      <c r="G51" s="2">
        <v>9.49057</v>
      </c>
      <c r="H51" s="2">
        <v>2.4210500000000001</v>
      </c>
    </row>
    <row r="52" spans="1:8" s="2" customFormat="1" ht="15" x14ac:dyDescent="0.2">
      <c r="A52" s="2" t="s">
        <v>1619</v>
      </c>
      <c r="B52" s="2" t="s">
        <v>3432</v>
      </c>
      <c r="C52" s="2" t="s">
        <v>1972</v>
      </c>
      <c r="D52" s="2" t="s">
        <v>1839</v>
      </c>
      <c r="E52" s="2" t="s">
        <v>1841</v>
      </c>
      <c r="F52" s="2">
        <v>0.145126</v>
      </c>
      <c r="G52" s="2">
        <v>0.76788500000000004</v>
      </c>
      <c r="H52" s="2">
        <v>2.4035899999999999</v>
      </c>
    </row>
    <row r="53" spans="1:8" s="2" customFormat="1" ht="15" x14ac:dyDescent="0.2">
      <c r="A53" s="2" t="s">
        <v>1082</v>
      </c>
      <c r="B53" s="2" t="s">
        <v>3015</v>
      </c>
      <c r="C53" s="2" t="s">
        <v>2349</v>
      </c>
      <c r="D53" s="2" t="s">
        <v>1839</v>
      </c>
      <c r="E53" s="2" t="s">
        <v>1841</v>
      </c>
      <c r="F53" s="2">
        <v>1.1978800000000001</v>
      </c>
      <c r="G53" s="2">
        <v>6.3005100000000001</v>
      </c>
      <c r="H53" s="2">
        <v>2.39499</v>
      </c>
    </row>
    <row r="54" spans="1:8" s="2" customFormat="1" ht="15" x14ac:dyDescent="0.2">
      <c r="A54" s="2" t="s">
        <v>1490</v>
      </c>
      <c r="B54" s="2" t="s">
        <v>3047</v>
      </c>
      <c r="C54" s="2" t="s">
        <v>2634</v>
      </c>
      <c r="D54" s="2" t="s">
        <v>1839</v>
      </c>
      <c r="E54" s="2" t="s">
        <v>1841</v>
      </c>
      <c r="F54" s="2">
        <v>0.34293400000000002</v>
      </c>
      <c r="G54" s="2">
        <v>1.7581199999999999</v>
      </c>
      <c r="H54" s="2">
        <v>2.3580299999999998</v>
      </c>
    </row>
    <row r="55" spans="1:8" s="2" customFormat="1" ht="15" x14ac:dyDescent="0.2">
      <c r="A55" s="2" t="s">
        <v>661</v>
      </c>
      <c r="B55" s="2" t="s">
        <v>3015</v>
      </c>
      <c r="C55" s="2" t="s">
        <v>2834</v>
      </c>
      <c r="D55" s="2" t="s">
        <v>1839</v>
      </c>
      <c r="E55" s="2" t="s">
        <v>1841</v>
      </c>
      <c r="F55" s="2">
        <v>14.642799999999999</v>
      </c>
      <c r="G55" s="2">
        <v>74.968400000000003</v>
      </c>
      <c r="H55" s="2">
        <v>2.35609</v>
      </c>
    </row>
    <row r="56" spans="1:8" s="2" customFormat="1" ht="15" x14ac:dyDescent="0.2">
      <c r="A56" s="2" t="s">
        <v>1469</v>
      </c>
      <c r="B56" s="2" t="s">
        <v>3253</v>
      </c>
      <c r="C56" s="2" t="s">
        <v>2611</v>
      </c>
      <c r="D56" s="2" t="s">
        <v>1839</v>
      </c>
      <c r="E56" s="2" t="s">
        <v>1841</v>
      </c>
      <c r="F56" s="2">
        <v>0.27337699999999998</v>
      </c>
      <c r="G56" s="2">
        <v>1.3577300000000001</v>
      </c>
      <c r="H56" s="2">
        <v>2.31223</v>
      </c>
    </row>
    <row r="57" spans="1:8" s="2" customFormat="1" ht="15" x14ac:dyDescent="0.2">
      <c r="A57" s="2" t="s">
        <v>1666</v>
      </c>
      <c r="B57" s="2" t="s">
        <v>3031</v>
      </c>
      <c r="C57" s="2" t="s">
        <v>2831</v>
      </c>
      <c r="D57" s="2" t="s">
        <v>1839</v>
      </c>
      <c r="E57" s="2" t="s">
        <v>1841</v>
      </c>
      <c r="F57" s="2">
        <v>0.30907800000000002</v>
      </c>
      <c r="G57" s="2">
        <v>1.51953</v>
      </c>
      <c r="H57" s="2">
        <v>2.29759</v>
      </c>
    </row>
    <row r="58" spans="1:8" s="2" customFormat="1" ht="15" x14ac:dyDescent="0.2">
      <c r="A58" s="2" t="s">
        <v>322</v>
      </c>
      <c r="B58" s="2" t="s">
        <v>3015</v>
      </c>
      <c r="C58" s="2" t="s">
        <v>1995</v>
      </c>
      <c r="D58" s="2" t="s">
        <v>1839</v>
      </c>
      <c r="E58" s="2" t="s">
        <v>1841</v>
      </c>
      <c r="F58" s="2">
        <v>0.44319599999999998</v>
      </c>
      <c r="G58" s="2">
        <v>2.1774300000000002</v>
      </c>
      <c r="H58" s="2">
        <v>2.2966099999999998</v>
      </c>
    </row>
    <row r="59" spans="1:8" s="2" customFormat="1" ht="15" x14ac:dyDescent="0.2">
      <c r="A59" s="2" t="s">
        <v>1781</v>
      </c>
      <c r="B59" s="2" t="s">
        <v>3015</v>
      </c>
      <c r="C59" s="2" t="s">
        <v>2231</v>
      </c>
      <c r="D59" s="2" t="s">
        <v>1839</v>
      </c>
      <c r="E59" s="2" t="s">
        <v>1841</v>
      </c>
      <c r="F59" s="2">
        <v>0.204984</v>
      </c>
      <c r="G59" s="2">
        <v>0.99812699999999999</v>
      </c>
      <c r="H59" s="2">
        <v>2.2837100000000001</v>
      </c>
    </row>
    <row r="60" spans="1:8" s="2" customFormat="1" ht="15" x14ac:dyDescent="0.2">
      <c r="A60" s="2" t="s">
        <v>669</v>
      </c>
      <c r="B60" s="2" t="s">
        <v>3015</v>
      </c>
      <c r="C60" s="2" t="s">
        <v>2154</v>
      </c>
      <c r="D60" s="2" t="s">
        <v>1839</v>
      </c>
      <c r="E60" s="2" t="s">
        <v>1841</v>
      </c>
      <c r="F60" s="2">
        <v>138.417</v>
      </c>
      <c r="G60" s="2">
        <v>672.24199999999996</v>
      </c>
      <c r="H60" s="2">
        <v>2.27996</v>
      </c>
    </row>
    <row r="61" spans="1:8" s="2" customFormat="1" ht="15" x14ac:dyDescent="0.2">
      <c r="A61" s="2" t="s">
        <v>792</v>
      </c>
      <c r="B61" s="2" t="s">
        <v>3015</v>
      </c>
      <c r="C61" s="2" t="s">
        <v>2882</v>
      </c>
      <c r="D61" s="2" t="s">
        <v>1839</v>
      </c>
      <c r="E61" s="2" t="s">
        <v>1841</v>
      </c>
      <c r="F61" s="2">
        <v>0.77653799999999995</v>
      </c>
      <c r="G61" s="2">
        <v>3.7486000000000002</v>
      </c>
      <c r="H61" s="2">
        <v>2.27122</v>
      </c>
    </row>
    <row r="62" spans="1:8" s="2" customFormat="1" ht="15" x14ac:dyDescent="0.2">
      <c r="A62" s="2" t="s">
        <v>848</v>
      </c>
      <c r="B62" s="2" t="s">
        <v>3015</v>
      </c>
      <c r="C62" s="2" t="s">
        <v>2234</v>
      </c>
      <c r="D62" s="2" t="s">
        <v>1839</v>
      </c>
      <c r="E62" s="2" t="s">
        <v>1841</v>
      </c>
      <c r="F62" s="2">
        <v>0.214089</v>
      </c>
      <c r="G62" s="2">
        <v>1.0317499999999999</v>
      </c>
      <c r="H62" s="2">
        <v>2.2688000000000001</v>
      </c>
    </row>
    <row r="63" spans="1:8" s="2" customFormat="1" ht="15" x14ac:dyDescent="0.2">
      <c r="A63" s="2" t="s">
        <v>509</v>
      </c>
      <c r="B63" s="2" t="s">
        <v>3043</v>
      </c>
      <c r="C63" s="2" t="s">
        <v>2781</v>
      </c>
      <c r="D63" s="2" t="s">
        <v>1839</v>
      </c>
      <c r="E63" s="2" t="s">
        <v>1841</v>
      </c>
      <c r="F63" s="2">
        <v>18.654299999999999</v>
      </c>
      <c r="G63" s="2">
        <v>89.846400000000003</v>
      </c>
      <c r="H63" s="2">
        <v>2.2679499999999999</v>
      </c>
    </row>
    <row r="64" spans="1:8" s="2" customFormat="1" ht="15" x14ac:dyDescent="0.2">
      <c r="A64" s="2" t="s">
        <v>1795</v>
      </c>
      <c r="B64" s="2" t="s">
        <v>3261</v>
      </c>
      <c r="C64" s="2" t="s">
        <v>2975</v>
      </c>
      <c r="D64" s="2" t="s">
        <v>1839</v>
      </c>
      <c r="E64" s="2" t="s">
        <v>1841</v>
      </c>
      <c r="F64" s="2">
        <v>0.262797</v>
      </c>
      <c r="G64" s="2">
        <v>1.2638799999999999</v>
      </c>
      <c r="H64" s="2">
        <v>2.2658399999999999</v>
      </c>
    </row>
    <row r="65" spans="1:8" s="2" customFormat="1" ht="15" x14ac:dyDescent="0.2">
      <c r="A65" s="2" t="s">
        <v>389</v>
      </c>
      <c r="B65" s="2" t="s">
        <v>3015</v>
      </c>
      <c r="C65" s="2" t="s">
        <v>2024</v>
      </c>
      <c r="D65" s="2" t="s">
        <v>1839</v>
      </c>
      <c r="E65" s="2" t="s">
        <v>1841</v>
      </c>
      <c r="F65" s="2">
        <v>0.82890799999999998</v>
      </c>
      <c r="G65" s="2">
        <v>3.9839600000000002</v>
      </c>
      <c r="H65" s="2">
        <v>2.26492</v>
      </c>
    </row>
    <row r="66" spans="1:8" s="2" customFormat="1" ht="15" x14ac:dyDescent="0.2">
      <c r="A66" s="2" t="s">
        <v>1651</v>
      </c>
      <c r="B66" s="2" t="s">
        <v>3158</v>
      </c>
      <c r="C66" s="2" t="s">
        <v>2819</v>
      </c>
      <c r="D66" s="2" t="s">
        <v>1839</v>
      </c>
      <c r="E66" s="2" t="s">
        <v>1841</v>
      </c>
      <c r="F66" s="2">
        <v>1.2241899999999999</v>
      </c>
      <c r="G66" s="2">
        <v>5.8654200000000003</v>
      </c>
      <c r="H66" s="2">
        <v>2.2604000000000002</v>
      </c>
    </row>
    <row r="67" spans="1:8" s="2" customFormat="1" ht="15" x14ac:dyDescent="0.2">
      <c r="A67" s="2" t="s">
        <v>1282</v>
      </c>
      <c r="B67" s="2" t="s">
        <v>3047</v>
      </c>
      <c r="C67" s="2" t="s">
        <v>1879</v>
      </c>
      <c r="D67" s="2" t="s">
        <v>1839</v>
      </c>
      <c r="E67" s="2" t="s">
        <v>1841</v>
      </c>
      <c r="F67" s="2">
        <v>0.170211</v>
      </c>
      <c r="G67" s="2">
        <v>0.80313500000000004</v>
      </c>
      <c r="H67" s="2">
        <v>2.2383199999999999</v>
      </c>
    </row>
    <row r="68" spans="1:8" s="2" customFormat="1" ht="15" x14ac:dyDescent="0.2">
      <c r="A68" s="2" t="s">
        <v>1213</v>
      </c>
      <c r="B68" s="2" t="s">
        <v>3015</v>
      </c>
      <c r="C68" s="2" t="s">
        <v>2431</v>
      </c>
      <c r="D68" s="2" t="s">
        <v>1839</v>
      </c>
      <c r="E68" s="2" t="s">
        <v>1841</v>
      </c>
      <c r="F68" s="2">
        <v>5.5097300000000002</v>
      </c>
      <c r="G68" s="2">
        <v>25.9848</v>
      </c>
      <c r="H68" s="2">
        <v>2.2376100000000001</v>
      </c>
    </row>
    <row r="69" spans="1:8" s="2" customFormat="1" ht="15" x14ac:dyDescent="0.2">
      <c r="A69" s="2" t="s">
        <v>1457</v>
      </c>
      <c r="B69" s="2" t="s">
        <v>3015</v>
      </c>
      <c r="C69" s="2" t="s">
        <v>3015</v>
      </c>
      <c r="D69" s="2" t="s">
        <v>1839</v>
      </c>
      <c r="E69" s="2" t="s">
        <v>1841</v>
      </c>
      <c r="F69" s="2">
        <v>0.18639900000000001</v>
      </c>
      <c r="G69" s="2">
        <v>0.86850899999999998</v>
      </c>
      <c r="H69" s="2">
        <v>2.2201399999999998</v>
      </c>
    </row>
    <row r="70" spans="1:8" s="2" customFormat="1" ht="15" x14ac:dyDescent="0.2">
      <c r="A70" s="2" t="s">
        <v>887</v>
      </c>
      <c r="B70" s="2" t="s">
        <v>3015</v>
      </c>
      <c r="C70" s="2" t="s">
        <v>3015</v>
      </c>
      <c r="D70" s="2" t="s">
        <v>1839</v>
      </c>
      <c r="E70" s="2" t="s">
        <v>1841</v>
      </c>
      <c r="F70" s="2">
        <v>0.517127</v>
      </c>
      <c r="G70" s="2">
        <v>2.4022100000000002</v>
      </c>
      <c r="H70" s="2">
        <v>2.21577</v>
      </c>
    </row>
    <row r="71" spans="1:8" s="2" customFormat="1" ht="15" x14ac:dyDescent="0.2">
      <c r="A71" s="2" t="s">
        <v>573</v>
      </c>
      <c r="B71" s="2" t="s">
        <v>3164</v>
      </c>
      <c r="C71" s="2" t="s">
        <v>2112</v>
      </c>
      <c r="D71" s="2" t="s">
        <v>1839</v>
      </c>
      <c r="E71" s="2" t="s">
        <v>1841</v>
      </c>
      <c r="F71" s="2">
        <v>9.1393500000000003</v>
      </c>
      <c r="G71" s="2">
        <v>42.3917</v>
      </c>
      <c r="H71" s="2">
        <v>2.2136200000000001</v>
      </c>
    </row>
    <row r="72" spans="1:8" s="2" customFormat="1" ht="15" x14ac:dyDescent="0.2">
      <c r="A72" s="2" t="s">
        <v>290</v>
      </c>
      <c r="B72" s="2" t="s">
        <v>3015</v>
      </c>
      <c r="C72" s="2" t="s">
        <v>1986</v>
      </c>
      <c r="D72" s="2" t="s">
        <v>1839</v>
      </c>
      <c r="E72" s="2" t="s">
        <v>1841</v>
      </c>
      <c r="F72" s="2">
        <v>0.68375399999999997</v>
      </c>
      <c r="G72" s="2">
        <v>3.1685699999999999</v>
      </c>
      <c r="H72" s="2">
        <v>2.2122799999999998</v>
      </c>
    </row>
    <row r="73" spans="1:8" s="2" customFormat="1" ht="15" x14ac:dyDescent="0.2">
      <c r="A73" s="2" t="s">
        <v>724</v>
      </c>
      <c r="B73" s="2" t="s">
        <v>3037</v>
      </c>
      <c r="C73" s="2" t="s">
        <v>2180</v>
      </c>
      <c r="D73" s="2" t="s">
        <v>1839</v>
      </c>
      <c r="E73" s="2" t="s">
        <v>1841</v>
      </c>
      <c r="F73" s="2">
        <v>0.78131499999999998</v>
      </c>
      <c r="G73" s="2">
        <v>3.6014699999999999</v>
      </c>
      <c r="H73" s="2">
        <v>2.2046100000000002</v>
      </c>
    </row>
    <row r="74" spans="1:8" s="2" customFormat="1" ht="15" x14ac:dyDescent="0.2">
      <c r="A74" s="2" t="s">
        <v>1070</v>
      </c>
      <c r="B74" s="2" t="s">
        <v>3037</v>
      </c>
      <c r="C74" s="2" t="s">
        <v>2343</v>
      </c>
      <c r="D74" s="2" t="s">
        <v>1839</v>
      </c>
      <c r="E74" s="2" t="s">
        <v>1841</v>
      </c>
      <c r="F74" s="2">
        <v>3.4451800000000001</v>
      </c>
      <c r="G74" s="2">
        <v>15.7372</v>
      </c>
      <c r="H74" s="2">
        <v>2.1915300000000002</v>
      </c>
    </row>
    <row r="75" spans="1:8" s="2" customFormat="1" ht="15" x14ac:dyDescent="0.2">
      <c r="A75" s="2" t="s">
        <v>504</v>
      </c>
      <c r="B75" s="2" t="s">
        <v>3253</v>
      </c>
      <c r="C75" s="2" t="s">
        <v>3015</v>
      </c>
      <c r="D75" s="2" t="s">
        <v>1839</v>
      </c>
      <c r="E75" s="2" t="s">
        <v>1841</v>
      </c>
      <c r="F75" s="2">
        <v>0.21365000000000001</v>
      </c>
      <c r="G75" s="2">
        <v>0.95785299999999995</v>
      </c>
      <c r="H75" s="2">
        <v>2.1645500000000002</v>
      </c>
    </row>
    <row r="76" spans="1:8" s="2" customFormat="1" ht="15" x14ac:dyDescent="0.2">
      <c r="A76" s="2" t="s">
        <v>952</v>
      </c>
      <c r="B76" s="2" t="s">
        <v>3256</v>
      </c>
      <c r="C76" s="2" t="s">
        <v>2316</v>
      </c>
      <c r="D76" s="2" t="s">
        <v>1839</v>
      </c>
      <c r="E76" s="2" t="s">
        <v>1841</v>
      </c>
      <c r="F76" s="2">
        <v>0.29367100000000002</v>
      </c>
      <c r="G76" s="2">
        <v>1.3001100000000001</v>
      </c>
      <c r="H76" s="2">
        <v>2.14636</v>
      </c>
    </row>
    <row r="77" spans="1:8" s="2" customFormat="1" ht="15" x14ac:dyDescent="0.2">
      <c r="A77" s="2" t="s">
        <v>876</v>
      </c>
      <c r="B77" s="2" t="s">
        <v>3191</v>
      </c>
      <c r="C77" s="2" t="s">
        <v>2248</v>
      </c>
      <c r="D77" s="2" t="s">
        <v>1839</v>
      </c>
      <c r="E77" s="2" t="s">
        <v>1841</v>
      </c>
      <c r="F77" s="2">
        <v>3.03437</v>
      </c>
      <c r="G77" s="2">
        <v>13.402699999999999</v>
      </c>
      <c r="H77" s="2">
        <v>2.1430600000000002</v>
      </c>
    </row>
    <row r="78" spans="1:8" s="2" customFormat="1" ht="15" x14ac:dyDescent="0.2">
      <c r="A78" s="2" t="s">
        <v>870</v>
      </c>
      <c r="B78" s="2" t="s">
        <v>3015</v>
      </c>
      <c r="C78" s="2" t="s">
        <v>1847</v>
      </c>
      <c r="D78" s="2" t="s">
        <v>1839</v>
      </c>
      <c r="E78" s="2" t="s">
        <v>1841</v>
      </c>
      <c r="F78" s="2">
        <v>8.5692299999999992</v>
      </c>
      <c r="G78" s="2">
        <v>37.3872</v>
      </c>
      <c r="H78" s="2">
        <v>2.1253099999999998</v>
      </c>
    </row>
    <row r="79" spans="1:8" s="2" customFormat="1" ht="15" x14ac:dyDescent="0.2">
      <c r="A79" s="2" t="s">
        <v>937</v>
      </c>
      <c r="B79" s="2" t="s">
        <v>3137</v>
      </c>
      <c r="C79" s="2" t="s">
        <v>2280</v>
      </c>
      <c r="D79" s="2" t="s">
        <v>1839</v>
      </c>
      <c r="E79" s="2" t="s">
        <v>1841</v>
      </c>
      <c r="F79" s="2">
        <v>1.85599</v>
      </c>
      <c r="G79" s="2">
        <v>7.8863500000000002</v>
      </c>
      <c r="H79" s="2">
        <v>2.08717</v>
      </c>
    </row>
    <row r="80" spans="1:8" s="2" customFormat="1" ht="15" x14ac:dyDescent="0.2">
      <c r="A80" s="2" t="s">
        <v>1429</v>
      </c>
      <c r="B80" s="2" t="s">
        <v>3093</v>
      </c>
      <c r="C80" s="2" t="s">
        <v>2589</v>
      </c>
      <c r="D80" s="2" t="s">
        <v>1839</v>
      </c>
      <c r="E80" s="2" t="s">
        <v>1841</v>
      </c>
      <c r="F80" s="2">
        <v>0.30116199999999999</v>
      </c>
      <c r="G80" s="2">
        <v>1.2758100000000001</v>
      </c>
      <c r="H80" s="2">
        <v>2.0828099999999998</v>
      </c>
    </row>
    <row r="81" spans="1:8" s="2" customFormat="1" ht="15" x14ac:dyDescent="0.2">
      <c r="A81" s="2" t="s">
        <v>1505</v>
      </c>
      <c r="B81" s="2" t="s">
        <v>3015</v>
      </c>
      <c r="C81" s="2" t="s">
        <v>2655</v>
      </c>
      <c r="D81" s="2" t="s">
        <v>1839</v>
      </c>
      <c r="E81" s="2" t="s">
        <v>1841</v>
      </c>
      <c r="F81" s="2">
        <v>0.189944</v>
      </c>
      <c r="G81" s="2">
        <v>0.79780700000000004</v>
      </c>
      <c r="H81" s="2">
        <v>2.0704699999999998</v>
      </c>
    </row>
    <row r="82" spans="1:8" s="2" customFormat="1" ht="15" x14ac:dyDescent="0.2">
      <c r="A82" s="2" t="s">
        <v>160</v>
      </c>
      <c r="B82" s="2" t="s">
        <v>3209</v>
      </c>
      <c r="C82" s="2" t="s">
        <v>2670</v>
      </c>
      <c r="D82" s="2" t="s">
        <v>1839</v>
      </c>
      <c r="E82" s="2" t="s">
        <v>1841</v>
      </c>
      <c r="F82" s="2">
        <v>0.77662600000000004</v>
      </c>
      <c r="G82" s="2">
        <v>3.2541000000000002</v>
      </c>
      <c r="H82" s="2">
        <v>2.06697</v>
      </c>
    </row>
    <row r="83" spans="1:8" s="2" customFormat="1" ht="15" x14ac:dyDescent="0.2">
      <c r="A83" s="2" t="s">
        <v>1254</v>
      </c>
      <c r="B83" s="2" t="s">
        <v>3038</v>
      </c>
      <c r="C83" s="2" t="s">
        <v>2742</v>
      </c>
      <c r="D83" s="2" t="s">
        <v>1839</v>
      </c>
      <c r="E83" s="2" t="s">
        <v>1841</v>
      </c>
      <c r="F83" s="2">
        <v>0.23902599999999999</v>
      </c>
      <c r="G83" s="2">
        <v>0.99580800000000003</v>
      </c>
      <c r="H83" s="2">
        <v>2.0587</v>
      </c>
    </row>
    <row r="84" spans="1:8" s="2" customFormat="1" ht="15" x14ac:dyDescent="0.2">
      <c r="A84" s="2" t="s">
        <v>1544</v>
      </c>
      <c r="B84" s="2" t="s">
        <v>3015</v>
      </c>
      <c r="C84" s="2" t="s">
        <v>2218</v>
      </c>
      <c r="D84" s="2" t="s">
        <v>1839</v>
      </c>
      <c r="E84" s="2" t="s">
        <v>1841</v>
      </c>
      <c r="F84" s="2">
        <v>1.4461900000000001</v>
      </c>
      <c r="G84" s="2">
        <v>6.0044199999999996</v>
      </c>
      <c r="H84" s="2">
        <v>2.05376</v>
      </c>
    </row>
    <row r="85" spans="1:8" s="2" customFormat="1" ht="15" x14ac:dyDescent="0.2">
      <c r="A85" s="2" t="s">
        <v>847</v>
      </c>
      <c r="B85" s="2" t="s">
        <v>3045</v>
      </c>
      <c r="C85" s="2" t="s">
        <v>1986</v>
      </c>
      <c r="D85" s="2" t="s">
        <v>1839</v>
      </c>
      <c r="E85" s="2" t="s">
        <v>1841</v>
      </c>
      <c r="F85" s="2">
        <v>3.3915799999999998</v>
      </c>
      <c r="G85" s="2">
        <v>13.915800000000001</v>
      </c>
      <c r="H85" s="2">
        <v>2.0366900000000001</v>
      </c>
    </row>
    <row r="86" spans="1:8" s="2" customFormat="1" ht="15" x14ac:dyDescent="0.2">
      <c r="A86" s="2" t="s">
        <v>1151</v>
      </c>
      <c r="B86" s="2" t="s">
        <v>3015</v>
      </c>
      <c r="C86" s="2" t="s">
        <v>2636</v>
      </c>
      <c r="D86" s="2" t="s">
        <v>1839</v>
      </c>
      <c r="E86" s="2" t="s">
        <v>1841</v>
      </c>
      <c r="F86" s="2">
        <v>0.53334999999999999</v>
      </c>
      <c r="G86" s="2">
        <v>2.17767</v>
      </c>
      <c r="H86" s="2">
        <v>2.02963</v>
      </c>
    </row>
    <row r="87" spans="1:8" s="2" customFormat="1" ht="15" x14ac:dyDescent="0.2">
      <c r="A87" s="2" t="s">
        <v>70</v>
      </c>
      <c r="B87" s="2" t="s">
        <v>3301</v>
      </c>
      <c r="C87" s="2" t="s">
        <v>2638</v>
      </c>
      <c r="D87" s="2" t="s">
        <v>1839</v>
      </c>
      <c r="E87" s="2" t="s">
        <v>1841</v>
      </c>
      <c r="F87" s="2">
        <v>2.01763</v>
      </c>
      <c r="G87" s="2">
        <v>8.1595300000000002</v>
      </c>
      <c r="H87" s="2">
        <v>2.0158299999999998</v>
      </c>
    </row>
    <row r="88" spans="1:8" s="2" customFormat="1" ht="15" x14ac:dyDescent="0.2">
      <c r="A88" s="2" t="s">
        <v>1345</v>
      </c>
      <c r="B88" s="2" t="s">
        <v>3015</v>
      </c>
      <c r="C88" s="2" t="s">
        <v>2539</v>
      </c>
      <c r="D88" s="2" t="s">
        <v>1839</v>
      </c>
      <c r="E88" s="2" t="s">
        <v>1841</v>
      </c>
      <c r="F88" s="2">
        <v>0.43188900000000002</v>
      </c>
      <c r="G88" s="2">
        <v>1.74657</v>
      </c>
      <c r="H88" s="2">
        <v>2.01579</v>
      </c>
    </row>
    <row r="89" spans="1:8" s="2" customFormat="1" ht="15" x14ac:dyDescent="0.2">
      <c r="A89" s="2" t="s">
        <v>81</v>
      </c>
      <c r="B89" s="2" t="s">
        <v>3271</v>
      </c>
      <c r="C89" s="2" t="s">
        <v>2386</v>
      </c>
      <c r="D89" s="2" t="s">
        <v>1839</v>
      </c>
      <c r="E89" s="2" t="s">
        <v>1841</v>
      </c>
      <c r="F89" s="2">
        <v>0.707202</v>
      </c>
      <c r="G89" s="2">
        <v>2.8582399999999999</v>
      </c>
      <c r="H89" s="2">
        <v>2.0149300000000001</v>
      </c>
    </row>
    <row r="90" spans="1:8" s="2" customFormat="1" ht="15" x14ac:dyDescent="0.2">
      <c r="A90" s="2" t="s">
        <v>259</v>
      </c>
      <c r="B90" s="2" t="s">
        <v>3197</v>
      </c>
      <c r="C90" s="2" t="s">
        <v>2179</v>
      </c>
      <c r="D90" s="2" t="s">
        <v>1839</v>
      </c>
      <c r="E90" s="2" t="s">
        <v>1841</v>
      </c>
      <c r="F90" s="2">
        <v>0.39105699999999999</v>
      </c>
      <c r="G90" s="2">
        <v>1.5764899999999999</v>
      </c>
      <c r="H90" s="2">
        <v>2.01126</v>
      </c>
    </row>
    <row r="91" spans="1:8" s="2" customFormat="1" ht="15" x14ac:dyDescent="0.2">
      <c r="A91" s="2" t="s">
        <v>1700</v>
      </c>
      <c r="B91" s="2" t="s">
        <v>3015</v>
      </c>
      <c r="C91" s="2" t="s">
        <v>2188</v>
      </c>
      <c r="D91" s="2" t="s">
        <v>1839</v>
      </c>
      <c r="E91" s="2" t="s">
        <v>1841</v>
      </c>
      <c r="F91" s="2">
        <v>0.23753199999999999</v>
      </c>
      <c r="G91" s="2">
        <v>0.95703400000000005</v>
      </c>
      <c r="H91" s="2">
        <v>2.0104500000000001</v>
      </c>
    </row>
    <row r="92" spans="1:8" s="2" customFormat="1" ht="15" x14ac:dyDescent="0.2">
      <c r="A92" s="2" t="s">
        <v>1485</v>
      </c>
      <c r="B92" s="2" t="s">
        <v>3015</v>
      </c>
      <c r="C92" s="2" t="s">
        <v>2626</v>
      </c>
      <c r="D92" s="2" t="s">
        <v>1839</v>
      </c>
      <c r="E92" s="2" t="s">
        <v>1841</v>
      </c>
      <c r="F92" s="2">
        <v>0.22892100000000001</v>
      </c>
      <c r="G92" s="2">
        <v>0.91931700000000005</v>
      </c>
      <c r="H92" s="2">
        <v>2.0057100000000001</v>
      </c>
    </row>
    <row r="93" spans="1:8" s="2" customFormat="1" ht="15" x14ac:dyDescent="0.2">
      <c r="A93" s="2" t="s">
        <v>1601</v>
      </c>
      <c r="B93" s="2" t="s">
        <v>3047</v>
      </c>
      <c r="C93" s="2" t="s">
        <v>2762</v>
      </c>
      <c r="D93" s="2" t="s">
        <v>1839</v>
      </c>
      <c r="E93" s="2" t="s">
        <v>1841</v>
      </c>
      <c r="F93" s="2">
        <v>0.19380500000000001</v>
      </c>
      <c r="G93" s="2">
        <v>0.77738600000000002</v>
      </c>
      <c r="H93" s="2">
        <v>2.0040200000000001</v>
      </c>
    </row>
    <row r="94" spans="1:8" s="2" customFormat="1" ht="15" x14ac:dyDescent="0.2">
      <c r="A94" s="2" t="s">
        <v>383</v>
      </c>
      <c r="B94" s="2" t="s">
        <v>3015</v>
      </c>
      <c r="C94" s="2" t="s">
        <v>3015</v>
      </c>
      <c r="D94" s="2" t="s">
        <v>1839</v>
      </c>
      <c r="E94" s="2" t="s">
        <v>1841</v>
      </c>
      <c r="F94" s="2">
        <v>1.82996</v>
      </c>
      <c r="G94" s="2">
        <v>7.3208299999999999</v>
      </c>
      <c r="H94" s="2">
        <v>2.0002</v>
      </c>
    </row>
    <row r="95" spans="1:8" s="2" customFormat="1" ht="15" x14ac:dyDescent="0.2">
      <c r="A95" s="2" t="s">
        <v>1377</v>
      </c>
      <c r="B95" s="2" t="s">
        <v>3080</v>
      </c>
      <c r="C95" s="2" t="s">
        <v>2866</v>
      </c>
      <c r="D95" s="2" t="s">
        <v>1839</v>
      </c>
      <c r="E95" s="2" t="s">
        <v>1841</v>
      </c>
      <c r="F95" s="2">
        <v>0.60714400000000002</v>
      </c>
      <c r="G95" s="2">
        <v>2.4113600000000002</v>
      </c>
      <c r="H95" s="2">
        <v>1.9897400000000001</v>
      </c>
    </row>
    <row r="96" spans="1:8" s="2" customFormat="1" ht="15" x14ac:dyDescent="0.2">
      <c r="A96" s="2" t="s">
        <v>898</v>
      </c>
      <c r="B96" s="2" t="s">
        <v>3015</v>
      </c>
      <c r="C96" s="2" t="s">
        <v>1847</v>
      </c>
      <c r="D96" s="2" t="s">
        <v>1839</v>
      </c>
      <c r="E96" s="2" t="s">
        <v>1841</v>
      </c>
      <c r="F96" s="2">
        <v>1.7448900000000001</v>
      </c>
      <c r="G96" s="2">
        <v>6.8705800000000004</v>
      </c>
      <c r="H96" s="2">
        <v>1.9773000000000001</v>
      </c>
    </row>
    <row r="97" spans="1:8" s="2" customFormat="1" ht="15" x14ac:dyDescent="0.2">
      <c r="A97" s="2" t="s">
        <v>155</v>
      </c>
      <c r="B97" s="2" t="s">
        <v>3100</v>
      </c>
      <c r="C97" s="2" t="s">
        <v>1847</v>
      </c>
      <c r="D97" s="2" t="s">
        <v>1839</v>
      </c>
      <c r="E97" s="2" t="s">
        <v>1841</v>
      </c>
      <c r="F97" s="2">
        <v>0.646173</v>
      </c>
      <c r="G97" s="2">
        <v>2.5180699999999998</v>
      </c>
      <c r="H97" s="2">
        <v>1.9623299999999999</v>
      </c>
    </row>
    <row r="98" spans="1:8" s="2" customFormat="1" ht="15" x14ac:dyDescent="0.2">
      <c r="A98" s="2" t="s">
        <v>664</v>
      </c>
      <c r="B98" s="2" t="s">
        <v>3243</v>
      </c>
      <c r="C98" s="2" t="s">
        <v>2835</v>
      </c>
      <c r="D98" s="2" t="s">
        <v>1839</v>
      </c>
      <c r="E98" s="2" t="s">
        <v>1841</v>
      </c>
      <c r="F98" s="2">
        <v>6.0672199999999998</v>
      </c>
      <c r="G98" s="2">
        <v>23.596599999999999</v>
      </c>
      <c r="H98" s="2">
        <v>1.95947</v>
      </c>
    </row>
    <row r="99" spans="1:8" s="2" customFormat="1" ht="15" x14ac:dyDescent="0.2">
      <c r="A99" s="2" t="s">
        <v>1253</v>
      </c>
      <c r="B99" s="2" t="s">
        <v>3321</v>
      </c>
      <c r="C99" s="2" t="s">
        <v>2461</v>
      </c>
      <c r="D99" s="2" t="s">
        <v>1839</v>
      </c>
      <c r="E99" s="2" t="s">
        <v>1841</v>
      </c>
      <c r="F99" s="2">
        <v>1.15072</v>
      </c>
      <c r="G99" s="2">
        <v>4.4716699999999996</v>
      </c>
      <c r="H99" s="2">
        <v>1.95828</v>
      </c>
    </row>
    <row r="100" spans="1:8" s="2" customFormat="1" ht="15" x14ac:dyDescent="0.2">
      <c r="A100" s="2" t="s">
        <v>532</v>
      </c>
      <c r="B100" s="2" t="s">
        <v>3043</v>
      </c>
      <c r="C100" s="2" t="s">
        <v>2095</v>
      </c>
      <c r="D100" s="2" t="s">
        <v>1839</v>
      </c>
      <c r="E100" s="2" t="s">
        <v>1841</v>
      </c>
      <c r="F100" s="2">
        <v>4.3198600000000003</v>
      </c>
      <c r="G100" s="2">
        <v>16.761800000000001</v>
      </c>
      <c r="H100" s="2">
        <v>1.9561200000000001</v>
      </c>
    </row>
    <row r="101" spans="1:8" s="2" customFormat="1" ht="15" x14ac:dyDescent="0.2">
      <c r="A101" s="2" t="s">
        <v>1028</v>
      </c>
      <c r="B101" s="2" t="s">
        <v>3015</v>
      </c>
      <c r="C101" s="2" t="s">
        <v>2326</v>
      </c>
      <c r="D101" s="2" t="s">
        <v>1839</v>
      </c>
      <c r="E101" s="2" t="s">
        <v>1841</v>
      </c>
      <c r="F101" s="2">
        <v>6.3791099999999998</v>
      </c>
      <c r="G101" s="2">
        <v>24.348800000000001</v>
      </c>
      <c r="H101" s="2">
        <v>1.93242</v>
      </c>
    </row>
    <row r="102" spans="1:8" s="2" customFormat="1" ht="15" x14ac:dyDescent="0.2">
      <c r="A102" s="2" t="s">
        <v>311</v>
      </c>
      <c r="B102" s="2" t="s">
        <v>3111</v>
      </c>
      <c r="C102" s="2" t="s">
        <v>1988</v>
      </c>
      <c r="D102" s="2" t="s">
        <v>1839</v>
      </c>
      <c r="E102" s="2" t="s">
        <v>1841</v>
      </c>
      <c r="F102" s="2">
        <v>0.44609300000000002</v>
      </c>
      <c r="G102" s="2">
        <v>1.70025</v>
      </c>
      <c r="H102" s="2">
        <v>1.9303399999999999</v>
      </c>
    </row>
    <row r="103" spans="1:8" s="2" customFormat="1" ht="15" x14ac:dyDescent="0.2">
      <c r="A103" s="2" t="s">
        <v>1000</v>
      </c>
      <c r="B103" s="2" t="s">
        <v>3015</v>
      </c>
      <c r="C103" s="2" t="s">
        <v>3015</v>
      </c>
      <c r="D103" s="2" t="s">
        <v>1839</v>
      </c>
      <c r="E103" s="2" t="s">
        <v>1841</v>
      </c>
      <c r="F103" s="2">
        <v>0.38102799999999998</v>
      </c>
      <c r="G103" s="2">
        <v>1.43371</v>
      </c>
      <c r="H103" s="2">
        <v>1.9117900000000001</v>
      </c>
    </row>
    <row r="104" spans="1:8" s="2" customFormat="1" ht="15" x14ac:dyDescent="0.2">
      <c r="A104" s="2" t="s">
        <v>1611</v>
      </c>
      <c r="B104" s="2" t="s">
        <v>3428</v>
      </c>
      <c r="C104" s="2" t="s">
        <v>2773</v>
      </c>
      <c r="D104" s="2" t="s">
        <v>1839</v>
      </c>
      <c r="E104" s="2" t="s">
        <v>1841</v>
      </c>
      <c r="F104" s="2">
        <v>0.29382799999999998</v>
      </c>
      <c r="G104" s="2">
        <v>1.1048800000000001</v>
      </c>
      <c r="H104" s="2">
        <v>1.9108499999999999</v>
      </c>
    </row>
    <row r="105" spans="1:8" s="2" customFormat="1" ht="15" x14ac:dyDescent="0.2">
      <c r="A105" s="2" t="s">
        <v>652</v>
      </c>
      <c r="B105" s="2" t="s">
        <v>3183</v>
      </c>
      <c r="C105" s="2" t="s">
        <v>2148</v>
      </c>
      <c r="D105" s="2" t="s">
        <v>1839</v>
      </c>
      <c r="E105" s="2" t="s">
        <v>1841</v>
      </c>
      <c r="F105" s="2">
        <v>12.494300000000001</v>
      </c>
      <c r="G105" s="2">
        <v>46.430199999999999</v>
      </c>
      <c r="H105" s="2">
        <v>1.8937900000000001</v>
      </c>
    </row>
    <row r="106" spans="1:8" s="2" customFormat="1" ht="15" x14ac:dyDescent="0.2">
      <c r="A106" s="2" t="s">
        <v>1681</v>
      </c>
      <c r="B106" s="2" t="s">
        <v>3453</v>
      </c>
      <c r="C106" s="2" t="s">
        <v>2847</v>
      </c>
      <c r="D106" s="2" t="s">
        <v>1839</v>
      </c>
      <c r="E106" s="2" t="s">
        <v>1841</v>
      </c>
      <c r="F106" s="2">
        <v>0.37701000000000001</v>
      </c>
      <c r="G106" s="2">
        <v>1.39706</v>
      </c>
      <c r="H106" s="2">
        <v>1.8897200000000001</v>
      </c>
    </row>
    <row r="107" spans="1:8" s="2" customFormat="1" ht="15" x14ac:dyDescent="0.2">
      <c r="A107" s="2" t="s">
        <v>470</v>
      </c>
      <c r="B107" s="2" t="s">
        <v>3015</v>
      </c>
      <c r="C107" s="2" t="s">
        <v>2769</v>
      </c>
      <c r="D107" s="2" t="s">
        <v>1839</v>
      </c>
      <c r="E107" s="2" t="s">
        <v>1841</v>
      </c>
      <c r="F107" s="2">
        <v>60.847099999999998</v>
      </c>
      <c r="G107" s="2">
        <v>224.78800000000001</v>
      </c>
      <c r="H107" s="2">
        <v>1.88531</v>
      </c>
    </row>
    <row r="108" spans="1:8" s="2" customFormat="1" ht="15" x14ac:dyDescent="0.2">
      <c r="A108" s="2" t="s">
        <v>507</v>
      </c>
      <c r="B108" s="2" t="s">
        <v>3015</v>
      </c>
      <c r="C108" s="2" t="s">
        <v>2082</v>
      </c>
      <c r="D108" s="2" t="s">
        <v>1839</v>
      </c>
      <c r="E108" s="2" t="s">
        <v>1841</v>
      </c>
      <c r="F108" s="2">
        <v>0.61633300000000002</v>
      </c>
      <c r="G108" s="2">
        <v>2.2754799999999999</v>
      </c>
      <c r="H108" s="2">
        <v>1.88439</v>
      </c>
    </row>
    <row r="109" spans="1:8" s="2" customFormat="1" ht="15" x14ac:dyDescent="0.2">
      <c r="A109" s="2" t="s">
        <v>1306</v>
      </c>
      <c r="B109" s="2" t="s">
        <v>3015</v>
      </c>
      <c r="C109" s="2" t="s">
        <v>2806</v>
      </c>
      <c r="D109" s="2" t="s">
        <v>1839</v>
      </c>
      <c r="E109" s="2" t="s">
        <v>1841</v>
      </c>
      <c r="F109" s="2">
        <v>0.834148</v>
      </c>
      <c r="G109" s="2">
        <v>3.0684300000000002</v>
      </c>
      <c r="H109" s="2">
        <v>1.8791199999999999</v>
      </c>
    </row>
    <row r="110" spans="1:8" s="2" customFormat="1" ht="15" x14ac:dyDescent="0.2">
      <c r="A110" s="2" t="s">
        <v>1477</v>
      </c>
      <c r="B110" s="2" t="s">
        <v>3015</v>
      </c>
      <c r="C110" s="2" t="s">
        <v>2618</v>
      </c>
      <c r="D110" s="2" t="s">
        <v>1839</v>
      </c>
      <c r="E110" s="2" t="s">
        <v>1841</v>
      </c>
      <c r="F110" s="2">
        <v>0.28669899999999998</v>
      </c>
      <c r="G110" s="2">
        <v>1.0542199999999999</v>
      </c>
      <c r="H110" s="2">
        <v>1.8785700000000001</v>
      </c>
    </row>
    <row r="111" spans="1:8" s="2" customFormat="1" ht="15" x14ac:dyDescent="0.2">
      <c r="A111" s="2" t="s">
        <v>1404</v>
      </c>
      <c r="B111" s="2" t="s">
        <v>3015</v>
      </c>
      <c r="C111" s="2" t="s">
        <v>2893</v>
      </c>
      <c r="D111" s="2" t="s">
        <v>1839</v>
      </c>
      <c r="E111" s="2" t="s">
        <v>1841</v>
      </c>
      <c r="F111" s="2">
        <v>0.32739800000000002</v>
      </c>
      <c r="G111" s="2">
        <v>1.20146</v>
      </c>
      <c r="H111" s="2">
        <v>1.8756699999999999</v>
      </c>
    </row>
    <row r="112" spans="1:8" s="2" customFormat="1" ht="15" x14ac:dyDescent="0.2">
      <c r="A112" s="2" t="s">
        <v>288</v>
      </c>
      <c r="B112" s="2" t="s">
        <v>3410</v>
      </c>
      <c r="C112" s="2" t="s">
        <v>2717</v>
      </c>
      <c r="D112" s="2" t="s">
        <v>1839</v>
      </c>
      <c r="E112" s="2" t="s">
        <v>1841</v>
      </c>
      <c r="F112" s="2">
        <v>2.1268799999999999</v>
      </c>
      <c r="G112" s="2">
        <v>7.7660299999999998</v>
      </c>
      <c r="H112" s="2">
        <v>1.8684400000000001</v>
      </c>
    </row>
    <row r="113" spans="1:8" s="2" customFormat="1" ht="15" x14ac:dyDescent="0.2">
      <c r="A113" s="2" t="s">
        <v>306</v>
      </c>
      <c r="B113" s="2" t="s">
        <v>3045</v>
      </c>
      <c r="C113" s="2" t="s">
        <v>1986</v>
      </c>
      <c r="D113" s="2" t="s">
        <v>1839</v>
      </c>
      <c r="E113" s="2" t="s">
        <v>1841</v>
      </c>
      <c r="F113" s="2">
        <v>2.29678</v>
      </c>
      <c r="G113" s="2">
        <v>8.3637899999999998</v>
      </c>
      <c r="H113" s="2">
        <v>1.8645400000000001</v>
      </c>
    </row>
    <row r="114" spans="1:8" s="2" customFormat="1" ht="15" x14ac:dyDescent="0.2">
      <c r="A114" s="2" t="s">
        <v>1621</v>
      </c>
      <c r="B114" s="2" t="s">
        <v>3434</v>
      </c>
      <c r="C114" s="2" t="s">
        <v>2787</v>
      </c>
      <c r="D114" s="2" t="s">
        <v>1839</v>
      </c>
      <c r="E114" s="2" t="s">
        <v>1841</v>
      </c>
      <c r="F114" s="2">
        <v>0.38133099999999998</v>
      </c>
      <c r="G114" s="2">
        <v>1.3755200000000001</v>
      </c>
      <c r="H114" s="2">
        <v>1.8508599999999999</v>
      </c>
    </row>
    <row r="115" spans="1:8" s="2" customFormat="1" ht="15" x14ac:dyDescent="0.2">
      <c r="A115" s="2" t="s">
        <v>1756</v>
      </c>
      <c r="B115" s="2" t="s">
        <v>3245</v>
      </c>
      <c r="C115" s="2" t="s">
        <v>2590</v>
      </c>
      <c r="D115" s="2" t="s">
        <v>1839</v>
      </c>
      <c r="E115" s="2" t="s">
        <v>1841</v>
      </c>
      <c r="F115" s="2">
        <v>0.361294</v>
      </c>
      <c r="G115" s="2">
        <v>1.30298</v>
      </c>
      <c r="H115" s="2">
        <v>1.85057</v>
      </c>
    </row>
    <row r="116" spans="1:8" s="2" customFormat="1" ht="15" x14ac:dyDescent="0.2">
      <c r="A116" s="2" t="s">
        <v>1521</v>
      </c>
      <c r="B116" s="2" t="s">
        <v>3015</v>
      </c>
      <c r="C116" s="2" t="s">
        <v>2674</v>
      </c>
      <c r="D116" s="2" t="s">
        <v>1839</v>
      </c>
      <c r="E116" s="2" t="s">
        <v>1841</v>
      </c>
      <c r="F116" s="2">
        <v>0.435699</v>
      </c>
      <c r="G116" s="2">
        <v>1.5700700000000001</v>
      </c>
      <c r="H116" s="2">
        <v>1.8494299999999999</v>
      </c>
    </row>
    <row r="117" spans="1:8" s="2" customFormat="1" ht="15" x14ac:dyDescent="0.2">
      <c r="A117" s="2" t="s">
        <v>1723</v>
      </c>
      <c r="B117" s="2" t="s">
        <v>3015</v>
      </c>
      <c r="C117" s="2" t="s">
        <v>2887</v>
      </c>
      <c r="D117" s="2" t="s">
        <v>1839</v>
      </c>
      <c r="E117" s="2" t="s">
        <v>1841</v>
      </c>
      <c r="F117" s="2">
        <v>0.77668300000000001</v>
      </c>
      <c r="G117" s="2">
        <v>2.7851300000000001</v>
      </c>
      <c r="H117" s="2">
        <v>1.8423499999999999</v>
      </c>
    </row>
    <row r="118" spans="1:8" s="2" customFormat="1" ht="15" x14ac:dyDescent="0.2">
      <c r="A118" s="2" t="s">
        <v>486</v>
      </c>
      <c r="B118" s="2" t="s">
        <v>3015</v>
      </c>
      <c r="C118" s="2" t="s">
        <v>1847</v>
      </c>
      <c r="D118" s="2" t="s">
        <v>1839</v>
      </c>
      <c r="E118" s="2" t="s">
        <v>1841</v>
      </c>
      <c r="F118" s="2">
        <v>27.205400000000001</v>
      </c>
      <c r="G118" s="2">
        <v>97.192999999999998</v>
      </c>
      <c r="H118" s="2">
        <v>1.8369599999999999</v>
      </c>
    </row>
    <row r="119" spans="1:8" s="2" customFormat="1" ht="15" x14ac:dyDescent="0.2">
      <c r="A119" s="2" t="s">
        <v>770</v>
      </c>
      <c r="B119" s="2" t="s">
        <v>3189</v>
      </c>
      <c r="C119" s="2" t="s">
        <v>2761</v>
      </c>
      <c r="D119" s="2" t="s">
        <v>1839</v>
      </c>
      <c r="E119" s="2" t="s">
        <v>1841</v>
      </c>
      <c r="F119" s="2">
        <v>0.41989100000000001</v>
      </c>
      <c r="G119" s="2">
        <v>1.49617</v>
      </c>
      <c r="H119" s="2">
        <v>1.8331900000000001</v>
      </c>
    </row>
    <row r="120" spans="1:8" s="2" customFormat="1" ht="15" x14ac:dyDescent="0.2">
      <c r="A120" s="2" t="s">
        <v>1415</v>
      </c>
      <c r="B120" s="2" t="s">
        <v>3047</v>
      </c>
      <c r="C120" s="2" t="s">
        <v>2585</v>
      </c>
      <c r="D120" s="2" t="s">
        <v>1839</v>
      </c>
      <c r="E120" s="2" t="s">
        <v>1841</v>
      </c>
      <c r="F120" s="2">
        <v>1.0212699999999999</v>
      </c>
      <c r="G120" s="2">
        <v>3.63408</v>
      </c>
      <c r="H120" s="2">
        <v>1.8312299999999999</v>
      </c>
    </row>
    <row r="121" spans="1:8" s="2" customFormat="1" ht="15" x14ac:dyDescent="0.2">
      <c r="A121" s="2" t="s">
        <v>1154</v>
      </c>
      <c r="B121" s="2" t="s">
        <v>3087</v>
      </c>
      <c r="C121" s="2" t="s">
        <v>2643</v>
      </c>
      <c r="D121" s="2" t="s">
        <v>1839</v>
      </c>
      <c r="E121" s="2" t="s">
        <v>1841</v>
      </c>
      <c r="F121" s="2">
        <v>0.59479300000000002</v>
      </c>
      <c r="G121" s="2">
        <v>2.1133600000000001</v>
      </c>
      <c r="H121" s="2">
        <v>1.82908</v>
      </c>
    </row>
    <row r="122" spans="1:8" s="2" customFormat="1" ht="15" x14ac:dyDescent="0.2">
      <c r="A122" s="2" t="s">
        <v>1317</v>
      </c>
      <c r="B122" s="2" t="s">
        <v>3197</v>
      </c>
      <c r="C122" s="2" t="s">
        <v>2179</v>
      </c>
      <c r="D122" s="2" t="s">
        <v>1839</v>
      </c>
      <c r="E122" s="2" t="s">
        <v>1841</v>
      </c>
      <c r="F122" s="2">
        <v>5.4893999999999998</v>
      </c>
      <c r="G122" s="2">
        <v>19.483899999999998</v>
      </c>
      <c r="H122" s="2">
        <v>1.8275600000000001</v>
      </c>
    </row>
    <row r="123" spans="1:8" s="2" customFormat="1" ht="15" x14ac:dyDescent="0.2">
      <c r="A123" s="2" t="s">
        <v>1712</v>
      </c>
      <c r="B123" s="2" t="s">
        <v>3131</v>
      </c>
      <c r="C123" s="2" t="s">
        <v>2874</v>
      </c>
      <c r="D123" s="2" t="s">
        <v>1839</v>
      </c>
      <c r="E123" s="2" t="s">
        <v>1841</v>
      </c>
      <c r="F123" s="2">
        <v>0.54596299999999998</v>
      </c>
      <c r="G123" s="2">
        <v>1.9349099999999999</v>
      </c>
      <c r="H123" s="2">
        <v>1.8253900000000001</v>
      </c>
    </row>
    <row r="124" spans="1:8" s="2" customFormat="1" ht="15" x14ac:dyDescent="0.2">
      <c r="A124" s="2" t="s">
        <v>1193</v>
      </c>
      <c r="B124" s="2" t="s">
        <v>3399</v>
      </c>
      <c r="C124" s="2" t="s">
        <v>2003</v>
      </c>
      <c r="D124" s="2" t="s">
        <v>1839</v>
      </c>
      <c r="E124" s="2" t="s">
        <v>1841</v>
      </c>
      <c r="F124" s="2">
        <v>0.42597400000000002</v>
      </c>
      <c r="G124" s="2">
        <v>1.49268</v>
      </c>
      <c r="H124" s="2">
        <v>1.80907</v>
      </c>
    </row>
    <row r="125" spans="1:8" s="2" customFormat="1" ht="15" x14ac:dyDescent="0.2">
      <c r="A125" s="2" t="s">
        <v>260</v>
      </c>
      <c r="B125" s="2" t="s">
        <v>3197</v>
      </c>
      <c r="C125" s="2" t="s">
        <v>2179</v>
      </c>
      <c r="D125" s="2" t="s">
        <v>1839</v>
      </c>
      <c r="E125" s="2" t="s">
        <v>1841</v>
      </c>
      <c r="F125" s="2">
        <v>1.93509</v>
      </c>
      <c r="G125" s="2">
        <v>6.7788000000000004</v>
      </c>
      <c r="H125" s="2">
        <v>1.80863</v>
      </c>
    </row>
    <row r="126" spans="1:8" s="2" customFormat="1" ht="15" x14ac:dyDescent="0.2">
      <c r="A126" s="2" t="s">
        <v>436</v>
      </c>
      <c r="B126" s="2" t="s">
        <v>3323</v>
      </c>
      <c r="C126" s="2" t="s">
        <v>2760</v>
      </c>
      <c r="D126" s="2" t="s">
        <v>1839</v>
      </c>
      <c r="E126" s="2" t="s">
        <v>1841</v>
      </c>
      <c r="F126" s="2">
        <v>2.0226899999999999</v>
      </c>
      <c r="G126" s="2">
        <v>7.0304599999999997</v>
      </c>
      <c r="H126" s="2">
        <v>1.79735</v>
      </c>
    </row>
    <row r="127" spans="1:8" s="2" customFormat="1" ht="15" x14ac:dyDescent="0.2">
      <c r="A127" s="2" t="s">
        <v>1034</v>
      </c>
      <c r="B127" s="2" t="s">
        <v>3015</v>
      </c>
      <c r="C127" s="2" t="s">
        <v>2949</v>
      </c>
      <c r="D127" s="2" t="s">
        <v>1839</v>
      </c>
      <c r="E127" s="2" t="s">
        <v>1841</v>
      </c>
      <c r="F127" s="2">
        <v>1.6415200000000001</v>
      </c>
      <c r="G127" s="2">
        <v>5.6986100000000004</v>
      </c>
      <c r="H127" s="2">
        <v>1.79558</v>
      </c>
    </row>
    <row r="128" spans="1:8" s="2" customFormat="1" ht="15" x14ac:dyDescent="0.2">
      <c r="A128" s="2" t="s">
        <v>425</v>
      </c>
      <c r="B128" s="2" t="s">
        <v>3015</v>
      </c>
      <c r="C128" s="2" t="s">
        <v>2040</v>
      </c>
      <c r="D128" s="2" t="s">
        <v>1839</v>
      </c>
      <c r="E128" s="2" t="s">
        <v>1841</v>
      </c>
      <c r="F128" s="2">
        <v>0.50812999999999997</v>
      </c>
      <c r="G128" s="2">
        <v>1.7610600000000001</v>
      </c>
      <c r="H128" s="2">
        <v>1.7931699999999999</v>
      </c>
    </row>
    <row r="129" spans="1:8" s="2" customFormat="1" ht="15" x14ac:dyDescent="0.2">
      <c r="A129" s="2" t="s">
        <v>1291</v>
      </c>
      <c r="B129" s="2" t="s">
        <v>3015</v>
      </c>
      <c r="C129" s="2" t="s">
        <v>2499</v>
      </c>
      <c r="D129" s="2" t="s">
        <v>1839</v>
      </c>
      <c r="E129" s="2" t="s">
        <v>1841</v>
      </c>
      <c r="F129" s="2">
        <v>6.3823800000000004</v>
      </c>
      <c r="G129" s="2">
        <v>22.118400000000001</v>
      </c>
      <c r="H129" s="2">
        <v>1.79308</v>
      </c>
    </row>
    <row r="130" spans="1:8" s="2" customFormat="1" ht="15" x14ac:dyDescent="0.2">
      <c r="A130" s="2" t="s">
        <v>1509</v>
      </c>
      <c r="B130" s="2" t="s">
        <v>3396</v>
      </c>
      <c r="C130" s="2" t="s">
        <v>2662</v>
      </c>
      <c r="D130" s="2" t="s">
        <v>1839</v>
      </c>
      <c r="E130" s="2" t="s">
        <v>1841</v>
      </c>
      <c r="F130" s="2">
        <v>0.58434699999999995</v>
      </c>
      <c r="G130" s="2">
        <v>2.0105499999999998</v>
      </c>
      <c r="H130" s="2">
        <v>1.7826900000000001</v>
      </c>
    </row>
    <row r="131" spans="1:8" s="2" customFormat="1" ht="15" x14ac:dyDescent="0.2">
      <c r="A131" s="2" t="s">
        <v>1258</v>
      </c>
      <c r="B131" s="2" t="s">
        <v>3153</v>
      </c>
      <c r="C131" s="2" t="s">
        <v>2462</v>
      </c>
      <c r="D131" s="2" t="s">
        <v>1839</v>
      </c>
      <c r="E131" s="2" t="s">
        <v>1841</v>
      </c>
      <c r="F131" s="2">
        <v>5.0748800000000003</v>
      </c>
      <c r="G131" s="2">
        <v>17.291799999999999</v>
      </c>
      <c r="H131" s="2">
        <v>1.76864</v>
      </c>
    </row>
    <row r="132" spans="1:8" s="2" customFormat="1" ht="15" x14ac:dyDescent="0.2">
      <c r="A132" s="2" t="s">
        <v>1495</v>
      </c>
      <c r="B132" s="2" t="s">
        <v>3015</v>
      </c>
      <c r="C132" s="2" t="s">
        <v>2639</v>
      </c>
      <c r="D132" s="2" t="s">
        <v>1839</v>
      </c>
      <c r="E132" s="2" t="s">
        <v>1841</v>
      </c>
      <c r="F132" s="2">
        <v>4.1367599999999998</v>
      </c>
      <c r="G132" s="2">
        <v>14.0306</v>
      </c>
      <c r="H132" s="2">
        <v>1.762</v>
      </c>
    </row>
    <row r="133" spans="1:8" s="2" customFormat="1" ht="15" x14ac:dyDescent="0.2">
      <c r="A133" s="2" t="s">
        <v>125</v>
      </c>
      <c r="B133" s="2" t="s">
        <v>3015</v>
      </c>
      <c r="C133" s="2" t="s">
        <v>2400</v>
      </c>
      <c r="D133" s="2" t="s">
        <v>1839</v>
      </c>
      <c r="E133" s="2" t="s">
        <v>1841</v>
      </c>
      <c r="F133" s="2">
        <v>125.63200000000001</v>
      </c>
      <c r="G133" s="2">
        <v>425.64400000000001</v>
      </c>
      <c r="H133" s="2">
        <v>1.7604500000000001</v>
      </c>
    </row>
    <row r="134" spans="1:8" s="2" customFormat="1" ht="15" x14ac:dyDescent="0.2">
      <c r="A134" s="2" t="s">
        <v>981</v>
      </c>
      <c r="B134" s="2" t="s">
        <v>3015</v>
      </c>
      <c r="C134" s="2" t="s">
        <v>2942</v>
      </c>
      <c r="D134" s="2" t="s">
        <v>1839</v>
      </c>
      <c r="E134" s="2" t="s">
        <v>1841</v>
      </c>
      <c r="F134" s="2">
        <v>0.95325400000000005</v>
      </c>
      <c r="G134" s="2">
        <v>3.2276699999999998</v>
      </c>
      <c r="H134" s="2">
        <v>1.75956</v>
      </c>
    </row>
    <row r="135" spans="1:8" s="2" customFormat="1" ht="15" x14ac:dyDescent="0.2">
      <c r="A135" s="2" t="s">
        <v>1676</v>
      </c>
      <c r="B135" s="2" t="s">
        <v>3015</v>
      </c>
      <c r="C135" s="2" t="s">
        <v>2843</v>
      </c>
      <c r="D135" s="2" t="s">
        <v>1839</v>
      </c>
      <c r="E135" s="2" t="s">
        <v>1841</v>
      </c>
      <c r="F135" s="2">
        <v>0.81266099999999997</v>
      </c>
      <c r="G135" s="2">
        <v>2.7509299999999999</v>
      </c>
      <c r="H135" s="2">
        <v>1.75919</v>
      </c>
    </row>
    <row r="136" spans="1:8" s="2" customFormat="1" ht="15" x14ac:dyDescent="0.2">
      <c r="A136" s="2" t="s">
        <v>1566</v>
      </c>
      <c r="B136" s="2" t="s">
        <v>3258</v>
      </c>
      <c r="C136" s="2" t="s">
        <v>2720</v>
      </c>
      <c r="D136" s="2" t="s">
        <v>1839</v>
      </c>
      <c r="E136" s="2" t="s">
        <v>1841</v>
      </c>
      <c r="F136" s="2">
        <v>0.46696199999999999</v>
      </c>
      <c r="G136" s="2">
        <v>1.5773200000000001</v>
      </c>
      <c r="H136" s="2">
        <v>1.7561</v>
      </c>
    </row>
    <row r="137" spans="1:8" s="2" customFormat="1" ht="15" x14ac:dyDescent="0.2">
      <c r="A137" s="2" t="s">
        <v>539</v>
      </c>
      <c r="B137" s="2" t="s">
        <v>3015</v>
      </c>
      <c r="C137" s="2" t="s">
        <v>2098</v>
      </c>
      <c r="D137" s="2" t="s">
        <v>1839</v>
      </c>
      <c r="E137" s="2" t="s">
        <v>1841</v>
      </c>
      <c r="F137" s="2">
        <v>42.533700000000003</v>
      </c>
      <c r="G137" s="2">
        <v>142.87100000000001</v>
      </c>
      <c r="H137" s="2">
        <v>1.74804</v>
      </c>
    </row>
    <row r="138" spans="1:8" s="2" customFormat="1" ht="15" x14ac:dyDescent="0.2">
      <c r="A138" s="2" t="s">
        <v>1722</v>
      </c>
      <c r="B138" s="2" t="s">
        <v>3015</v>
      </c>
      <c r="C138" s="2" t="s">
        <v>3408</v>
      </c>
      <c r="D138" s="2" t="s">
        <v>1839</v>
      </c>
      <c r="E138" s="2" t="s">
        <v>1841</v>
      </c>
      <c r="F138" s="2">
        <v>1.63693</v>
      </c>
      <c r="G138" s="2">
        <v>5.4935099999999997</v>
      </c>
      <c r="H138" s="2">
        <v>1.74674</v>
      </c>
    </row>
    <row r="139" spans="1:8" s="2" customFormat="1" ht="15" x14ac:dyDescent="0.2">
      <c r="A139" s="2" t="s">
        <v>1035</v>
      </c>
      <c r="B139" s="2" t="s">
        <v>3015</v>
      </c>
      <c r="C139" s="2" t="s">
        <v>2951</v>
      </c>
      <c r="D139" s="2" t="s">
        <v>1839</v>
      </c>
      <c r="E139" s="2" t="s">
        <v>1841</v>
      </c>
      <c r="F139" s="2">
        <v>1.56921</v>
      </c>
      <c r="G139" s="2">
        <v>5.2470699999999999</v>
      </c>
      <c r="H139" s="2">
        <v>1.7414700000000001</v>
      </c>
    </row>
    <row r="140" spans="1:8" s="2" customFormat="1" ht="15" x14ac:dyDescent="0.2">
      <c r="A140" s="2" t="s">
        <v>1195</v>
      </c>
      <c r="B140" s="2" t="s">
        <v>3400</v>
      </c>
      <c r="C140" s="2" t="s">
        <v>2430</v>
      </c>
      <c r="D140" s="2" t="s">
        <v>1839</v>
      </c>
      <c r="E140" s="2" t="s">
        <v>1841</v>
      </c>
      <c r="F140" s="2">
        <v>0.93444300000000002</v>
      </c>
      <c r="G140" s="2">
        <v>3.1159300000000001</v>
      </c>
      <c r="H140" s="2">
        <v>1.7374799999999999</v>
      </c>
    </row>
    <row r="141" spans="1:8" s="2" customFormat="1" ht="15" x14ac:dyDescent="0.2">
      <c r="A141" s="2" t="s">
        <v>3022</v>
      </c>
      <c r="B141" s="2" t="s">
        <v>3015</v>
      </c>
      <c r="C141" s="2" t="s">
        <v>3015</v>
      </c>
      <c r="D141" s="2" t="s">
        <v>1839</v>
      </c>
      <c r="E141" s="2" t="s">
        <v>1841</v>
      </c>
      <c r="F141" s="2">
        <v>0.64634400000000003</v>
      </c>
      <c r="G141" s="2">
        <v>2.1168100000000001</v>
      </c>
      <c r="H141" s="2">
        <v>1.7115100000000001</v>
      </c>
    </row>
    <row r="142" spans="1:8" s="2" customFormat="1" ht="15" x14ac:dyDescent="0.2">
      <c r="A142" s="2" t="s">
        <v>562</v>
      </c>
      <c r="B142" s="2" t="s">
        <v>3160</v>
      </c>
      <c r="C142" s="2" t="s">
        <v>2098</v>
      </c>
      <c r="D142" s="2" t="s">
        <v>1839</v>
      </c>
      <c r="E142" s="2" t="s">
        <v>1841</v>
      </c>
      <c r="F142" s="2">
        <v>1.7665</v>
      </c>
      <c r="G142" s="2">
        <v>5.7663200000000003</v>
      </c>
      <c r="H142" s="2">
        <v>1.70675</v>
      </c>
    </row>
    <row r="143" spans="1:8" s="2" customFormat="1" ht="15" x14ac:dyDescent="0.2">
      <c r="A143" s="2" t="s">
        <v>1413</v>
      </c>
      <c r="B143" s="2" t="s">
        <v>3466</v>
      </c>
      <c r="C143" s="2" t="s">
        <v>2720</v>
      </c>
      <c r="D143" s="2" t="s">
        <v>1839</v>
      </c>
      <c r="E143" s="2" t="s">
        <v>1841</v>
      </c>
      <c r="F143" s="2">
        <v>1.31369</v>
      </c>
      <c r="G143" s="2">
        <v>4.2734699999999997</v>
      </c>
      <c r="H143" s="2">
        <v>1.7017800000000001</v>
      </c>
    </row>
    <row r="144" spans="1:8" s="2" customFormat="1" ht="15" x14ac:dyDescent="0.2">
      <c r="A144" s="2" t="s">
        <v>1653</v>
      </c>
      <c r="B144" s="2" t="s">
        <v>3038</v>
      </c>
      <c r="C144" s="2" t="s">
        <v>2820</v>
      </c>
      <c r="D144" s="2" t="s">
        <v>1839</v>
      </c>
      <c r="E144" s="2" t="s">
        <v>1841</v>
      </c>
      <c r="F144" s="2">
        <v>0.48227799999999998</v>
      </c>
      <c r="G144" s="2">
        <v>1.55585</v>
      </c>
      <c r="H144" s="2">
        <v>1.68977</v>
      </c>
    </row>
    <row r="145" spans="1:8" s="2" customFormat="1" ht="15" x14ac:dyDescent="0.2">
      <c r="A145" s="2" t="s">
        <v>422</v>
      </c>
      <c r="B145" s="2" t="s">
        <v>3136</v>
      </c>
      <c r="C145" s="2" t="s">
        <v>2039</v>
      </c>
      <c r="D145" s="2" t="s">
        <v>1839</v>
      </c>
      <c r="E145" s="2" t="s">
        <v>1841</v>
      </c>
      <c r="F145" s="2">
        <v>0.24396300000000001</v>
      </c>
      <c r="G145" s="2">
        <v>0.78491599999999995</v>
      </c>
      <c r="H145" s="2">
        <v>1.68588</v>
      </c>
    </row>
    <row r="146" spans="1:8" s="2" customFormat="1" ht="15" x14ac:dyDescent="0.2">
      <c r="A146" s="2" t="s">
        <v>1657</v>
      </c>
      <c r="B146" s="2" t="s">
        <v>3015</v>
      </c>
      <c r="C146" s="2" t="s">
        <v>2825</v>
      </c>
      <c r="D146" s="2" t="s">
        <v>1839</v>
      </c>
      <c r="E146" s="2" t="s">
        <v>1841</v>
      </c>
      <c r="F146" s="2">
        <v>0.95603800000000005</v>
      </c>
      <c r="G146" s="2">
        <v>3.0633499999999998</v>
      </c>
      <c r="H146" s="2">
        <v>1.67997</v>
      </c>
    </row>
    <row r="147" spans="1:8" s="2" customFormat="1" ht="15" x14ac:dyDescent="0.2">
      <c r="A147" s="2" t="s">
        <v>999</v>
      </c>
      <c r="B147" s="2" t="s">
        <v>3478</v>
      </c>
      <c r="C147" s="2" t="s">
        <v>2943</v>
      </c>
      <c r="D147" s="2" t="s">
        <v>1839</v>
      </c>
      <c r="E147" s="2" t="s">
        <v>1841</v>
      </c>
      <c r="F147" s="2">
        <v>0.60204199999999997</v>
      </c>
      <c r="G147" s="2">
        <v>1.9290400000000001</v>
      </c>
      <c r="H147" s="2">
        <v>1.67994</v>
      </c>
    </row>
    <row r="148" spans="1:8" s="2" customFormat="1" ht="15" x14ac:dyDescent="0.2">
      <c r="A148" s="2" t="s">
        <v>673</v>
      </c>
      <c r="B148" s="2" t="s">
        <v>3188</v>
      </c>
      <c r="C148" s="2" t="s">
        <v>2156</v>
      </c>
      <c r="D148" s="2" t="s">
        <v>1839</v>
      </c>
      <c r="E148" s="2" t="s">
        <v>1841</v>
      </c>
      <c r="F148" s="2">
        <v>1.6027400000000001</v>
      </c>
      <c r="G148" s="2">
        <v>5.1239999999999997</v>
      </c>
      <c r="H148" s="2">
        <v>1.6767399999999999</v>
      </c>
    </row>
    <row r="149" spans="1:8" s="2" customFormat="1" ht="15" x14ac:dyDescent="0.2">
      <c r="A149" s="2" t="s">
        <v>746</v>
      </c>
      <c r="B149" s="2" t="s">
        <v>3062</v>
      </c>
      <c r="C149" s="2" t="s">
        <v>2865</v>
      </c>
      <c r="D149" s="2" t="s">
        <v>1839</v>
      </c>
      <c r="E149" s="2" t="s">
        <v>1841</v>
      </c>
      <c r="F149" s="2">
        <v>9.2404299999999999</v>
      </c>
      <c r="G149" s="2">
        <v>29.498699999999999</v>
      </c>
      <c r="H149" s="2">
        <v>1.67462</v>
      </c>
    </row>
    <row r="150" spans="1:8" s="2" customFormat="1" ht="15" x14ac:dyDescent="0.2">
      <c r="A150" s="2" t="s">
        <v>1624</v>
      </c>
      <c r="B150" s="2" t="s">
        <v>3015</v>
      </c>
      <c r="C150" s="2" t="s">
        <v>2788</v>
      </c>
      <c r="D150" s="2" t="s">
        <v>1839</v>
      </c>
      <c r="E150" s="2" t="s">
        <v>1841</v>
      </c>
      <c r="F150" s="2">
        <v>1.4815799999999999</v>
      </c>
      <c r="G150" s="2">
        <v>4.7215600000000002</v>
      </c>
      <c r="H150" s="2">
        <v>1.6721299999999999</v>
      </c>
    </row>
    <row r="151" spans="1:8" s="2" customFormat="1" ht="15" x14ac:dyDescent="0.2">
      <c r="A151" s="2" t="s">
        <v>938</v>
      </c>
      <c r="B151" s="2" t="s">
        <v>3015</v>
      </c>
      <c r="C151" s="2" t="s">
        <v>2281</v>
      </c>
      <c r="D151" s="2" t="s">
        <v>1839</v>
      </c>
      <c r="E151" s="2" t="s">
        <v>1841</v>
      </c>
      <c r="F151" s="2">
        <v>2.2892700000000001</v>
      </c>
      <c r="G151" s="2">
        <v>7.2955199999999998</v>
      </c>
      <c r="H151" s="2">
        <v>1.6721200000000001</v>
      </c>
    </row>
    <row r="152" spans="1:8" s="2" customFormat="1" ht="15" x14ac:dyDescent="0.2">
      <c r="A152" s="2" t="s">
        <v>1194</v>
      </c>
      <c r="B152" s="2" t="s">
        <v>3300</v>
      </c>
      <c r="C152" s="2" t="s">
        <v>2420</v>
      </c>
      <c r="D152" s="2" t="s">
        <v>1839</v>
      </c>
      <c r="E152" s="2" t="s">
        <v>1841</v>
      </c>
      <c r="F152" s="2">
        <v>0.49527199999999999</v>
      </c>
      <c r="G152" s="2">
        <v>1.57497</v>
      </c>
      <c r="H152" s="2">
        <v>1.66903</v>
      </c>
    </row>
    <row r="153" spans="1:8" s="2" customFormat="1" ht="15" x14ac:dyDescent="0.2">
      <c r="A153" s="2" t="s">
        <v>881</v>
      </c>
      <c r="B153" s="2" t="s">
        <v>3045</v>
      </c>
      <c r="C153" s="2" t="s">
        <v>1986</v>
      </c>
      <c r="D153" s="2" t="s">
        <v>1839</v>
      </c>
      <c r="E153" s="2" t="s">
        <v>1841</v>
      </c>
      <c r="F153" s="2">
        <v>4.1311</v>
      </c>
      <c r="G153" s="2">
        <v>13.113300000000001</v>
      </c>
      <c r="H153" s="2">
        <v>1.6664300000000001</v>
      </c>
    </row>
    <row r="154" spans="1:8" s="2" customFormat="1" ht="15" x14ac:dyDescent="0.2">
      <c r="A154" s="2" t="s">
        <v>656</v>
      </c>
      <c r="B154" s="2" t="s">
        <v>3015</v>
      </c>
      <c r="C154" s="2" t="s">
        <v>3015</v>
      </c>
      <c r="D154" s="2" t="s">
        <v>1839</v>
      </c>
      <c r="E154" s="2" t="s">
        <v>1841</v>
      </c>
      <c r="F154" s="2">
        <v>1.2096899999999999</v>
      </c>
      <c r="G154" s="2">
        <v>3.8378100000000002</v>
      </c>
      <c r="H154" s="2">
        <v>1.6656500000000001</v>
      </c>
    </row>
    <row r="155" spans="1:8" s="2" customFormat="1" ht="15" x14ac:dyDescent="0.2">
      <c r="A155" s="2" t="s">
        <v>691</v>
      </c>
      <c r="B155" s="2" t="s">
        <v>3015</v>
      </c>
      <c r="C155" s="2" t="s">
        <v>2164</v>
      </c>
      <c r="D155" s="2" t="s">
        <v>1839</v>
      </c>
      <c r="E155" s="2" t="s">
        <v>1841</v>
      </c>
      <c r="F155" s="2">
        <v>0.30870500000000001</v>
      </c>
      <c r="G155" s="2">
        <v>0.97344200000000003</v>
      </c>
      <c r="H155" s="2">
        <v>1.65686</v>
      </c>
    </row>
    <row r="156" spans="1:8" s="2" customFormat="1" ht="15" x14ac:dyDescent="0.2">
      <c r="A156" s="2" t="s">
        <v>331</v>
      </c>
      <c r="B156" s="2" t="s">
        <v>3117</v>
      </c>
      <c r="C156" s="2" t="s">
        <v>1999</v>
      </c>
      <c r="D156" s="2" t="s">
        <v>1839</v>
      </c>
      <c r="E156" s="2" t="s">
        <v>1841</v>
      </c>
      <c r="F156" s="2">
        <v>4.7731000000000003</v>
      </c>
      <c r="G156" s="2">
        <v>14.983499999999999</v>
      </c>
      <c r="H156" s="2">
        <v>1.6503699999999999</v>
      </c>
    </row>
    <row r="157" spans="1:8" s="2" customFormat="1" ht="15" x14ac:dyDescent="0.2">
      <c r="A157" s="2" t="s">
        <v>1534</v>
      </c>
      <c r="B157" s="2" t="s">
        <v>3015</v>
      </c>
      <c r="C157" s="2" t="s">
        <v>2685</v>
      </c>
      <c r="D157" s="2" t="s">
        <v>1839</v>
      </c>
      <c r="E157" s="2" t="s">
        <v>1841</v>
      </c>
      <c r="F157" s="2">
        <v>1.5906100000000001</v>
      </c>
      <c r="G157" s="2">
        <v>4.9900200000000003</v>
      </c>
      <c r="H157" s="2">
        <v>1.64947</v>
      </c>
    </row>
    <row r="158" spans="1:8" s="2" customFormat="1" ht="15" x14ac:dyDescent="0.2">
      <c r="A158" s="2" t="s">
        <v>55</v>
      </c>
      <c r="B158" s="2" t="s">
        <v>3372</v>
      </c>
      <c r="C158" s="2" t="s">
        <v>2226</v>
      </c>
      <c r="D158" s="2" t="s">
        <v>1839</v>
      </c>
      <c r="E158" s="2" t="s">
        <v>1841</v>
      </c>
      <c r="F158" s="2">
        <v>5.0469600000000003</v>
      </c>
      <c r="G158" s="2">
        <v>15.788600000000001</v>
      </c>
      <c r="H158" s="2">
        <v>1.6454</v>
      </c>
    </row>
    <row r="159" spans="1:8" s="2" customFormat="1" ht="15" x14ac:dyDescent="0.2">
      <c r="A159" s="2" t="s">
        <v>685</v>
      </c>
      <c r="B159" s="2" t="s">
        <v>3015</v>
      </c>
      <c r="C159" s="2" t="s">
        <v>2161</v>
      </c>
      <c r="D159" s="2" t="s">
        <v>1839</v>
      </c>
      <c r="E159" s="2" t="s">
        <v>1841</v>
      </c>
      <c r="F159" s="2">
        <v>9.2467400000000008</v>
      </c>
      <c r="G159" s="2">
        <v>28.836400000000001</v>
      </c>
      <c r="H159" s="2">
        <v>1.6408700000000001</v>
      </c>
    </row>
    <row r="160" spans="1:8" s="2" customFormat="1" ht="15" x14ac:dyDescent="0.2">
      <c r="A160" s="2" t="s">
        <v>859</v>
      </c>
      <c r="B160" s="2" t="s">
        <v>3015</v>
      </c>
      <c r="C160" s="2" t="s">
        <v>2241</v>
      </c>
      <c r="D160" s="2" t="s">
        <v>1839</v>
      </c>
      <c r="E160" s="2" t="s">
        <v>1841</v>
      </c>
      <c r="F160" s="2">
        <v>0.56196800000000002</v>
      </c>
      <c r="G160" s="2">
        <v>1.7454499999999999</v>
      </c>
      <c r="H160" s="2">
        <v>1.63504</v>
      </c>
    </row>
    <row r="161" spans="1:8" s="2" customFormat="1" ht="15" x14ac:dyDescent="0.2">
      <c r="A161" s="2" t="s">
        <v>1439</v>
      </c>
      <c r="B161" s="2" t="s">
        <v>3129</v>
      </c>
      <c r="C161" s="2" t="s">
        <v>2595</v>
      </c>
      <c r="D161" s="2" t="s">
        <v>1839</v>
      </c>
      <c r="E161" s="2" t="s">
        <v>1841</v>
      </c>
      <c r="F161" s="2">
        <v>0.46313100000000001</v>
      </c>
      <c r="G161" s="2">
        <v>1.4236200000000001</v>
      </c>
      <c r="H161" s="2">
        <v>1.6200699999999999</v>
      </c>
    </row>
    <row r="162" spans="1:8" s="2" customFormat="1" ht="15" x14ac:dyDescent="0.2">
      <c r="A162" s="2" t="s">
        <v>1498</v>
      </c>
      <c r="B162" s="2" t="s">
        <v>3015</v>
      </c>
      <c r="C162" s="2" t="s">
        <v>2646</v>
      </c>
      <c r="D162" s="2" t="s">
        <v>1839</v>
      </c>
      <c r="E162" s="2" t="s">
        <v>1841</v>
      </c>
      <c r="F162" s="2">
        <v>1.17777</v>
      </c>
      <c r="G162" s="2">
        <v>3.61958</v>
      </c>
      <c r="H162" s="2">
        <v>1.6197600000000001</v>
      </c>
    </row>
    <row r="163" spans="1:8" s="2" customFormat="1" ht="15" x14ac:dyDescent="0.2">
      <c r="A163" s="2" t="s">
        <v>128</v>
      </c>
      <c r="B163" s="2" t="s">
        <v>3397</v>
      </c>
      <c r="C163" s="2" t="s">
        <v>1902</v>
      </c>
      <c r="D163" s="2" t="s">
        <v>1839</v>
      </c>
      <c r="E163" s="2" t="s">
        <v>1841</v>
      </c>
      <c r="F163" s="2">
        <v>1.1677</v>
      </c>
      <c r="G163" s="2">
        <v>3.5741000000000001</v>
      </c>
      <c r="H163" s="2">
        <v>1.61392</v>
      </c>
    </row>
    <row r="164" spans="1:8" s="2" customFormat="1" ht="15" x14ac:dyDescent="0.2">
      <c r="A164" s="2" t="s">
        <v>1365</v>
      </c>
      <c r="B164" s="2" t="s">
        <v>3081</v>
      </c>
      <c r="C164" s="2" t="s">
        <v>1965</v>
      </c>
      <c r="D164" s="2" t="s">
        <v>1839</v>
      </c>
      <c r="E164" s="2" t="s">
        <v>1841</v>
      </c>
      <c r="F164" s="2">
        <v>0.33297500000000002</v>
      </c>
      <c r="G164" s="2">
        <v>1.0188900000000001</v>
      </c>
      <c r="H164" s="2">
        <v>1.6135200000000001</v>
      </c>
    </row>
    <row r="165" spans="1:8" s="2" customFormat="1" ht="15" x14ac:dyDescent="0.2">
      <c r="A165" s="2" t="s">
        <v>1670</v>
      </c>
      <c r="B165" s="2" t="s">
        <v>3015</v>
      </c>
      <c r="C165" s="2" t="s">
        <v>3015</v>
      </c>
      <c r="D165" s="2" t="s">
        <v>1839</v>
      </c>
      <c r="E165" s="2" t="s">
        <v>1841</v>
      </c>
      <c r="F165" s="2">
        <v>4.8124200000000004</v>
      </c>
      <c r="G165" s="2">
        <v>14.701000000000001</v>
      </c>
      <c r="H165" s="2">
        <v>1.6110800000000001</v>
      </c>
    </row>
    <row r="166" spans="1:8" s="2" customFormat="1" ht="15" x14ac:dyDescent="0.2">
      <c r="A166" s="2" t="s">
        <v>1313</v>
      </c>
      <c r="B166" s="2" t="s">
        <v>3441</v>
      </c>
      <c r="C166" s="2" t="s">
        <v>3015</v>
      </c>
      <c r="D166" s="2" t="s">
        <v>1839</v>
      </c>
      <c r="E166" s="2" t="s">
        <v>1841</v>
      </c>
      <c r="F166" s="2">
        <v>0.44244800000000001</v>
      </c>
      <c r="G166" s="2">
        <v>1.3504100000000001</v>
      </c>
      <c r="H166" s="2">
        <v>1.60982</v>
      </c>
    </row>
    <row r="167" spans="1:8" s="2" customFormat="1" ht="15" x14ac:dyDescent="0.2">
      <c r="A167" s="2" t="s">
        <v>1298</v>
      </c>
      <c r="B167" s="2" t="s">
        <v>3068</v>
      </c>
      <c r="C167" s="2" t="s">
        <v>2799</v>
      </c>
      <c r="D167" s="2" t="s">
        <v>1839</v>
      </c>
      <c r="E167" s="2" t="s">
        <v>1841</v>
      </c>
      <c r="F167" s="2">
        <v>0.70306900000000006</v>
      </c>
      <c r="G167" s="2">
        <v>2.1451099999999999</v>
      </c>
      <c r="H167" s="2">
        <v>1.60931</v>
      </c>
    </row>
    <row r="168" spans="1:8" s="2" customFormat="1" ht="15" x14ac:dyDescent="0.2">
      <c r="A168" s="2" t="s">
        <v>1552</v>
      </c>
      <c r="B168" s="2" t="s">
        <v>3015</v>
      </c>
      <c r="C168" s="2" t="s">
        <v>2704</v>
      </c>
      <c r="D168" s="2" t="s">
        <v>1839</v>
      </c>
      <c r="E168" s="2" t="s">
        <v>1841</v>
      </c>
      <c r="F168" s="2">
        <v>1.2105300000000001</v>
      </c>
      <c r="G168" s="2">
        <v>3.6908799999999999</v>
      </c>
      <c r="H168" s="2">
        <v>1.60832</v>
      </c>
    </row>
    <row r="169" spans="1:8" s="2" customFormat="1" ht="15" x14ac:dyDescent="0.2">
      <c r="A169" s="2" t="s">
        <v>790</v>
      </c>
      <c r="B169" s="2" t="s">
        <v>3015</v>
      </c>
      <c r="C169" s="2" t="s">
        <v>2202</v>
      </c>
      <c r="D169" s="2" t="s">
        <v>1839</v>
      </c>
      <c r="E169" s="2" t="s">
        <v>1841</v>
      </c>
      <c r="F169" s="2">
        <v>0.54452599999999995</v>
      </c>
      <c r="G169" s="2">
        <v>1.6599699999999999</v>
      </c>
      <c r="H169" s="2">
        <v>1.60808</v>
      </c>
    </row>
    <row r="170" spans="1:8" s="2" customFormat="1" ht="15" x14ac:dyDescent="0.2">
      <c r="A170" s="2" t="s">
        <v>1131</v>
      </c>
      <c r="B170" s="2" t="s">
        <v>3015</v>
      </c>
      <c r="C170" s="2" t="s">
        <v>2054</v>
      </c>
      <c r="D170" s="2" t="s">
        <v>1839</v>
      </c>
      <c r="E170" s="2" t="s">
        <v>1841</v>
      </c>
      <c r="F170" s="2">
        <v>1.11351</v>
      </c>
      <c r="G170" s="2">
        <v>3.3804099999999999</v>
      </c>
      <c r="H170" s="2">
        <v>1.60209</v>
      </c>
    </row>
    <row r="171" spans="1:8" s="2" customFormat="1" ht="15" x14ac:dyDescent="0.2">
      <c r="A171" s="2" t="s">
        <v>702</v>
      </c>
      <c r="B171" s="2" t="s">
        <v>3015</v>
      </c>
      <c r="C171" s="2" t="s">
        <v>2852</v>
      </c>
      <c r="D171" s="2" t="s">
        <v>1839</v>
      </c>
      <c r="E171" s="2" t="s">
        <v>1841</v>
      </c>
      <c r="F171" s="2">
        <v>3.8462800000000001</v>
      </c>
      <c r="G171" s="2">
        <v>11.664199999999999</v>
      </c>
      <c r="H171" s="2">
        <v>1.6005499999999999</v>
      </c>
    </row>
    <row r="172" spans="1:8" s="2" customFormat="1" ht="15" x14ac:dyDescent="0.2">
      <c r="A172" s="2" t="s">
        <v>1558</v>
      </c>
      <c r="B172" s="2" t="s">
        <v>3015</v>
      </c>
      <c r="C172" s="2" t="s">
        <v>2710</v>
      </c>
      <c r="D172" s="2" t="s">
        <v>1839</v>
      </c>
      <c r="E172" s="2" t="s">
        <v>1841</v>
      </c>
      <c r="F172" s="2">
        <v>0.30795</v>
      </c>
      <c r="G172" s="2">
        <v>0.93127300000000002</v>
      </c>
      <c r="H172" s="2">
        <v>1.5965100000000001</v>
      </c>
    </row>
    <row r="173" spans="1:8" s="2" customFormat="1" ht="15" x14ac:dyDescent="0.2">
      <c r="A173" s="2" t="s">
        <v>535</v>
      </c>
      <c r="B173" s="2" t="s">
        <v>3100</v>
      </c>
      <c r="C173" s="2" t="s">
        <v>1847</v>
      </c>
      <c r="D173" s="2" t="s">
        <v>1839</v>
      </c>
      <c r="E173" s="2" t="s">
        <v>1841</v>
      </c>
      <c r="F173" s="2">
        <v>0.781802</v>
      </c>
      <c r="G173" s="2">
        <v>2.35975</v>
      </c>
      <c r="H173" s="2">
        <v>1.5937600000000001</v>
      </c>
    </row>
    <row r="174" spans="1:8" s="2" customFormat="1" ht="15" x14ac:dyDescent="0.2">
      <c r="A174" s="2" t="s">
        <v>1616</v>
      </c>
      <c r="B174" s="2" t="s">
        <v>3015</v>
      </c>
      <c r="C174" s="2" t="s">
        <v>3015</v>
      </c>
      <c r="D174" s="2" t="s">
        <v>1839</v>
      </c>
      <c r="E174" s="2" t="s">
        <v>1841</v>
      </c>
      <c r="F174" s="2">
        <v>0.33174199999999998</v>
      </c>
      <c r="G174" s="2">
        <v>0.99999800000000005</v>
      </c>
      <c r="H174" s="2">
        <v>1.5918600000000001</v>
      </c>
    </row>
    <row r="175" spans="1:8" s="2" customFormat="1" ht="15" x14ac:dyDescent="0.2">
      <c r="A175" s="2" t="s">
        <v>1734</v>
      </c>
      <c r="B175" s="2" t="s">
        <v>3015</v>
      </c>
      <c r="C175" s="2" t="s">
        <v>2160</v>
      </c>
      <c r="D175" s="2" t="s">
        <v>1839</v>
      </c>
      <c r="E175" s="2" t="s">
        <v>1841</v>
      </c>
      <c r="F175" s="2">
        <v>0.31065199999999998</v>
      </c>
      <c r="G175" s="2">
        <v>0.92958200000000002</v>
      </c>
      <c r="H175" s="2">
        <v>1.58128</v>
      </c>
    </row>
    <row r="176" spans="1:8" s="2" customFormat="1" ht="15" x14ac:dyDescent="0.2">
      <c r="A176" s="2" t="s">
        <v>449</v>
      </c>
      <c r="B176" s="2" t="s">
        <v>3024</v>
      </c>
      <c r="C176" s="2" t="s">
        <v>2053</v>
      </c>
      <c r="D176" s="2" t="s">
        <v>1839</v>
      </c>
      <c r="E176" s="2" t="s">
        <v>1841</v>
      </c>
      <c r="F176" s="2">
        <v>0.63944900000000005</v>
      </c>
      <c r="G176" s="2">
        <v>1.9082399999999999</v>
      </c>
      <c r="H176" s="2">
        <v>1.57734</v>
      </c>
    </row>
    <row r="177" spans="1:8" s="2" customFormat="1" ht="15" x14ac:dyDescent="0.2">
      <c r="A177" s="2" t="s">
        <v>1520</v>
      </c>
      <c r="B177" s="2" t="s">
        <v>3015</v>
      </c>
      <c r="C177" s="2" t="s">
        <v>2673</v>
      </c>
      <c r="D177" s="2" t="s">
        <v>1839</v>
      </c>
      <c r="E177" s="2" t="s">
        <v>1841</v>
      </c>
      <c r="F177" s="2">
        <v>0.39066600000000001</v>
      </c>
      <c r="G177" s="2">
        <v>1.1645300000000001</v>
      </c>
      <c r="H177" s="2">
        <v>1.5757399999999999</v>
      </c>
    </row>
    <row r="178" spans="1:8" s="2" customFormat="1" ht="15" x14ac:dyDescent="0.2">
      <c r="A178" s="2" t="s">
        <v>797</v>
      </c>
      <c r="B178" s="2" t="s">
        <v>3209</v>
      </c>
      <c r="C178" s="2" t="s">
        <v>2205</v>
      </c>
      <c r="D178" s="2" t="s">
        <v>1839</v>
      </c>
      <c r="E178" s="2" t="s">
        <v>1841</v>
      </c>
      <c r="F178" s="2">
        <v>4.9151699999999998</v>
      </c>
      <c r="G178" s="2">
        <v>14.630599999999999</v>
      </c>
      <c r="H178" s="2">
        <v>1.57368</v>
      </c>
    </row>
    <row r="179" spans="1:8" s="2" customFormat="1" ht="15" x14ac:dyDescent="0.2">
      <c r="A179" s="2" t="s">
        <v>188</v>
      </c>
      <c r="B179" s="2" t="s">
        <v>3037</v>
      </c>
      <c r="C179" s="2" t="s">
        <v>2677</v>
      </c>
      <c r="D179" s="2" t="s">
        <v>1839</v>
      </c>
      <c r="E179" s="2" t="s">
        <v>1841</v>
      </c>
      <c r="F179" s="2">
        <v>0.72560400000000003</v>
      </c>
      <c r="G179" s="2">
        <v>2.1555300000000002</v>
      </c>
      <c r="H179" s="2">
        <v>1.5707899999999999</v>
      </c>
    </row>
    <row r="180" spans="1:8" s="2" customFormat="1" ht="15" x14ac:dyDescent="0.2">
      <c r="A180" s="2" t="s">
        <v>1402</v>
      </c>
      <c r="B180" s="2" t="s">
        <v>3015</v>
      </c>
      <c r="C180" s="2" t="s">
        <v>2891</v>
      </c>
      <c r="D180" s="2" t="s">
        <v>1839</v>
      </c>
      <c r="E180" s="2" t="s">
        <v>1841</v>
      </c>
      <c r="F180" s="2">
        <v>1.9628399999999999</v>
      </c>
      <c r="G180" s="2">
        <v>5.8297800000000004</v>
      </c>
      <c r="H180" s="2">
        <v>1.5705</v>
      </c>
    </row>
    <row r="181" spans="1:8" s="2" customFormat="1" ht="15" x14ac:dyDescent="0.2">
      <c r="A181" s="2" t="s">
        <v>1182</v>
      </c>
      <c r="B181" s="2" t="s">
        <v>3295</v>
      </c>
      <c r="C181" s="2" t="s">
        <v>2409</v>
      </c>
      <c r="D181" s="2" t="s">
        <v>1839</v>
      </c>
      <c r="E181" s="2" t="s">
        <v>1841</v>
      </c>
      <c r="F181" s="2">
        <v>1.20204</v>
      </c>
      <c r="G181" s="2">
        <v>3.56819</v>
      </c>
      <c r="H181" s="2">
        <v>1.5697000000000001</v>
      </c>
    </row>
    <row r="182" spans="1:8" s="2" customFormat="1" ht="15" x14ac:dyDescent="0.2">
      <c r="A182" s="2" t="s">
        <v>660</v>
      </c>
      <c r="B182" s="2" t="s">
        <v>3015</v>
      </c>
      <c r="C182" s="2" t="s">
        <v>2152</v>
      </c>
      <c r="D182" s="2" t="s">
        <v>1839</v>
      </c>
      <c r="E182" s="2" t="s">
        <v>1841</v>
      </c>
      <c r="F182" s="2">
        <v>0.74981500000000001</v>
      </c>
      <c r="G182" s="2">
        <v>2.2230400000000001</v>
      </c>
      <c r="H182" s="2">
        <v>1.56793</v>
      </c>
    </row>
    <row r="183" spans="1:8" s="2" customFormat="1" ht="15" x14ac:dyDescent="0.2">
      <c r="A183" s="2" t="s">
        <v>782</v>
      </c>
      <c r="B183" s="2" t="s">
        <v>3208</v>
      </c>
      <c r="C183" s="2" t="s">
        <v>2199</v>
      </c>
      <c r="D183" s="2" t="s">
        <v>1839</v>
      </c>
      <c r="E183" s="2" t="s">
        <v>1841</v>
      </c>
      <c r="F183" s="2">
        <v>0.47748299999999999</v>
      </c>
      <c r="G183" s="2">
        <v>1.4133199999999999</v>
      </c>
      <c r="H183" s="2">
        <v>1.5655699999999999</v>
      </c>
    </row>
    <row r="184" spans="1:8" s="2" customFormat="1" ht="15" x14ac:dyDescent="0.2">
      <c r="A184" s="2" t="s">
        <v>574</v>
      </c>
      <c r="B184" s="2" t="s">
        <v>3439</v>
      </c>
      <c r="C184" s="2" t="s">
        <v>1847</v>
      </c>
      <c r="D184" s="2" t="s">
        <v>1839</v>
      </c>
      <c r="E184" s="2" t="s">
        <v>1841</v>
      </c>
      <c r="F184" s="2">
        <v>4.7276600000000002</v>
      </c>
      <c r="G184" s="2">
        <v>13.949</v>
      </c>
      <c r="H184" s="2">
        <v>1.56097</v>
      </c>
    </row>
    <row r="185" spans="1:8" s="2" customFormat="1" ht="15" x14ac:dyDescent="0.2">
      <c r="A185" s="2" t="s">
        <v>408</v>
      </c>
      <c r="B185" s="2" t="s">
        <v>3015</v>
      </c>
      <c r="C185" s="2" t="s">
        <v>2755</v>
      </c>
      <c r="D185" s="2" t="s">
        <v>1839</v>
      </c>
      <c r="E185" s="2" t="s">
        <v>1841</v>
      </c>
      <c r="F185" s="2">
        <v>1.3965799999999999</v>
      </c>
      <c r="G185" s="2">
        <v>4.1144100000000003</v>
      </c>
      <c r="H185" s="2">
        <v>1.5587899999999999</v>
      </c>
    </row>
    <row r="186" spans="1:8" s="2" customFormat="1" ht="15" x14ac:dyDescent="0.2">
      <c r="A186" s="2" t="s">
        <v>487</v>
      </c>
      <c r="B186" s="2" t="s">
        <v>3015</v>
      </c>
      <c r="C186" s="2" t="s">
        <v>2071</v>
      </c>
      <c r="D186" s="2" t="s">
        <v>1839</v>
      </c>
      <c r="E186" s="2" t="s">
        <v>1841</v>
      </c>
      <c r="F186" s="2">
        <v>1.4330700000000001</v>
      </c>
      <c r="G186" s="2">
        <v>4.2088799999999997</v>
      </c>
      <c r="H186" s="2">
        <v>1.55433</v>
      </c>
    </row>
    <row r="187" spans="1:8" s="2" customFormat="1" ht="15" x14ac:dyDescent="0.2">
      <c r="A187" s="2" t="s">
        <v>1089</v>
      </c>
      <c r="B187" s="2" t="s">
        <v>3015</v>
      </c>
      <c r="C187" s="2" t="s">
        <v>1917</v>
      </c>
      <c r="D187" s="2" t="s">
        <v>1839</v>
      </c>
      <c r="E187" s="2" t="s">
        <v>1841</v>
      </c>
      <c r="F187" s="2">
        <v>0.76492800000000005</v>
      </c>
      <c r="G187" s="2">
        <v>2.2381199999999999</v>
      </c>
      <c r="H187" s="2">
        <v>1.5488900000000001</v>
      </c>
    </row>
    <row r="188" spans="1:8" s="2" customFormat="1" ht="15" x14ac:dyDescent="0.2">
      <c r="A188" s="2" t="s">
        <v>1761</v>
      </c>
      <c r="B188" s="2" t="s">
        <v>3476</v>
      </c>
      <c r="C188" s="2" t="s">
        <v>2932</v>
      </c>
      <c r="D188" s="2" t="s">
        <v>1839</v>
      </c>
      <c r="E188" s="2" t="s">
        <v>1841</v>
      </c>
      <c r="F188" s="2">
        <v>0.50963599999999998</v>
      </c>
      <c r="G188" s="2">
        <v>1.4873799999999999</v>
      </c>
      <c r="H188" s="2">
        <v>1.5452399999999999</v>
      </c>
    </row>
    <row r="189" spans="1:8" s="2" customFormat="1" ht="15" x14ac:dyDescent="0.2">
      <c r="A189" s="2" t="s">
        <v>1763</v>
      </c>
      <c r="B189" s="2" t="s">
        <v>3058</v>
      </c>
      <c r="C189" s="2" t="s">
        <v>2935</v>
      </c>
      <c r="D189" s="2" t="s">
        <v>1839</v>
      </c>
      <c r="E189" s="2" t="s">
        <v>1841</v>
      </c>
      <c r="F189" s="2">
        <v>0.62070499999999995</v>
      </c>
      <c r="G189" s="2">
        <v>1.80515</v>
      </c>
      <c r="H189" s="2">
        <v>1.5401400000000001</v>
      </c>
    </row>
    <row r="190" spans="1:8" s="2" customFormat="1" ht="15" x14ac:dyDescent="0.2">
      <c r="A190" s="2" t="s">
        <v>378</v>
      </c>
      <c r="B190" s="2" t="s">
        <v>3030</v>
      </c>
      <c r="C190" s="2" t="s">
        <v>2749</v>
      </c>
      <c r="D190" s="2" t="s">
        <v>1839</v>
      </c>
      <c r="E190" s="2" t="s">
        <v>1841</v>
      </c>
      <c r="F190" s="2">
        <v>2.7991700000000002</v>
      </c>
      <c r="G190" s="2">
        <v>8.1217000000000006</v>
      </c>
      <c r="H190" s="2">
        <v>1.53678</v>
      </c>
    </row>
    <row r="191" spans="1:8" s="2" customFormat="1" ht="15" x14ac:dyDescent="0.2">
      <c r="A191" s="2" t="s">
        <v>949</v>
      </c>
      <c r="B191" s="2" t="s">
        <v>3015</v>
      </c>
      <c r="C191" s="2" t="s">
        <v>2929</v>
      </c>
      <c r="D191" s="2" t="s">
        <v>1839</v>
      </c>
      <c r="E191" s="2" t="s">
        <v>1841</v>
      </c>
      <c r="F191" s="2">
        <v>2.8840499999999998</v>
      </c>
      <c r="G191" s="2">
        <v>8.3601100000000006</v>
      </c>
      <c r="H191" s="2">
        <v>1.5354300000000001</v>
      </c>
    </row>
    <row r="192" spans="1:8" s="2" customFormat="1" ht="15" x14ac:dyDescent="0.2">
      <c r="A192" s="2" t="s">
        <v>886</v>
      </c>
      <c r="B192" s="2" t="s">
        <v>3469</v>
      </c>
      <c r="C192" s="2" t="s">
        <v>2302</v>
      </c>
      <c r="D192" s="2" t="s">
        <v>1839</v>
      </c>
      <c r="E192" s="2" t="s">
        <v>1841</v>
      </c>
      <c r="F192" s="2">
        <v>1.405</v>
      </c>
      <c r="G192" s="2">
        <v>4.0664999999999996</v>
      </c>
      <c r="H192" s="2">
        <v>1.53321</v>
      </c>
    </row>
    <row r="193" spans="1:8" s="2" customFormat="1" ht="15" x14ac:dyDescent="0.2">
      <c r="A193" s="2" t="s">
        <v>1500</v>
      </c>
      <c r="B193" s="2" t="s">
        <v>3015</v>
      </c>
      <c r="C193" s="2" t="s">
        <v>2647</v>
      </c>
      <c r="D193" s="2" t="s">
        <v>1839</v>
      </c>
      <c r="E193" s="2" t="s">
        <v>1841</v>
      </c>
      <c r="F193" s="2">
        <v>0.30820399999999998</v>
      </c>
      <c r="G193" s="2">
        <v>0.89049400000000001</v>
      </c>
      <c r="H193" s="2">
        <v>1.5307200000000001</v>
      </c>
    </row>
    <row r="194" spans="1:8" s="2" customFormat="1" ht="15" x14ac:dyDescent="0.2">
      <c r="A194" s="2" t="s">
        <v>109</v>
      </c>
      <c r="B194" s="2" t="s">
        <v>3394</v>
      </c>
      <c r="C194" s="2" t="s">
        <v>2656</v>
      </c>
      <c r="D194" s="2" t="s">
        <v>1839</v>
      </c>
      <c r="E194" s="2" t="s">
        <v>1841</v>
      </c>
      <c r="F194" s="2">
        <v>31.8279</v>
      </c>
      <c r="G194" s="2">
        <v>91.931899999999999</v>
      </c>
      <c r="H194" s="2">
        <v>1.53027</v>
      </c>
    </row>
    <row r="195" spans="1:8" s="2" customFormat="1" ht="15" x14ac:dyDescent="0.2">
      <c r="A195" s="2" t="s">
        <v>1684</v>
      </c>
      <c r="B195" s="2" t="s">
        <v>3041</v>
      </c>
      <c r="C195" s="2" t="s">
        <v>2850</v>
      </c>
      <c r="D195" s="2" t="s">
        <v>1839</v>
      </c>
      <c r="E195" s="2" t="s">
        <v>1841</v>
      </c>
      <c r="F195" s="2">
        <v>0.41499999999999998</v>
      </c>
      <c r="G195" s="2">
        <v>1.1960900000000001</v>
      </c>
      <c r="H195" s="2">
        <v>1.52715</v>
      </c>
    </row>
    <row r="196" spans="1:8" s="2" customFormat="1" ht="15" x14ac:dyDescent="0.2">
      <c r="A196" s="2" t="s">
        <v>98</v>
      </c>
      <c r="B196" s="2" t="s">
        <v>3045</v>
      </c>
      <c r="C196" s="2" t="s">
        <v>1875</v>
      </c>
      <c r="D196" s="2" t="s">
        <v>1839</v>
      </c>
      <c r="E196" s="2" t="s">
        <v>1841</v>
      </c>
      <c r="F196" s="2">
        <v>0.44071100000000002</v>
      </c>
      <c r="G196" s="2">
        <v>1.2642500000000001</v>
      </c>
      <c r="H196" s="2">
        <v>1.52037</v>
      </c>
    </row>
    <row r="197" spans="1:8" s="2" customFormat="1" ht="15" x14ac:dyDescent="0.2">
      <c r="A197" s="2" t="s">
        <v>648</v>
      </c>
      <c r="B197" s="2" t="s">
        <v>3015</v>
      </c>
      <c r="C197" s="2" t="s">
        <v>2145</v>
      </c>
      <c r="D197" s="2" t="s">
        <v>1839</v>
      </c>
      <c r="E197" s="2" t="s">
        <v>1841</v>
      </c>
      <c r="F197" s="2">
        <v>4.2740600000000004</v>
      </c>
      <c r="G197" s="2">
        <v>12.2417</v>
      </c>
      <c r="H197" s="2">
        <v>1.51813</v>
      </c>
    </row>
    <row r="198" spans="1:8" s="2" customFormat="1" ht="15" x14ac:dyDescent="0.2">
      <c r="A198" s="2" t="s">
        <v>270</v>
      </c>
      <c r="B198" s="2" t="s">
        <v>3030</v>
      </c>
      <c r="C198" s="2" t="s">
        <v>1847</v>
      </c>
      <c r="D198" s="2" t="s">
        <v>1839</v>
      </c>
      <c r="E198" s="2" t="s">
        <v>1841</v>
      </c>
      <c r="F198" s="2">
        <v>0.84190299999999996</v>
      </c>
      <c r="G198" s="2">
        <v>2.4096299999999999</v>
      </c>
      <c r="H198" s="2">
        <v>1.51708</v>
      </c>
    </row>
    <row r="199" spans="1:8" s="2" customFormat="1" ht="15" x14ac:dyDescent="0.2">
      <c r="A199" s="2" t="s">
        <v>1543</v>
      </c>
      <c r="B199" s="2" t="s">
        <v>3046</v>
      </c>
      <c r="C199" s="2" t="s">
        <v>2693</v>
      </c>
      <c r="D199" s="2" t="s">
        <v>1839</v>
      </c>
      <c r="E199" s="2" t="s">
        <v>1841</v>
      </c>
      <c r="F199" s="2">
        <v>0.66617300000000002</v>
      </c>
      <c r="G199" s="2">
        <v>1.901</v>
      </c>
      <c r="H199" s="2">
        <v>1.5127900000000001</v>
      </c>
    </row>
    <row r="200" spans="1:8" s="2" customFormat="1" ht="15" x14ac:dyDescent="0.2">
      <c r="A200" s="2" t="s">
        <v>1157</v>
      </c>
      <c r="B200" s="2" t="s">
        <v>3286</v>
      </c>
      <c r="C200" s="2" t="s">
        <v>2391</v>
      </c>
      <c r="D200" s="2" t="s">
        <v>1839</v>
      </c>
      <c r="E200" s="2" t="s">
        <v>1841</v>
      </c>
      <c r="F200" s="2">
        <v>1.6700600000000001</v>
      </c>
      <c r="G200" s="2">
        <v>4.7575200000000004</v>
      </c>
      <c r="H200" s="2">
        <v>1.51031</v>
      </c>
    </row>
    <row r="201" spans="1:8" s="2" customFormat="1" ht="15" x14ac:dyDescent="0.2">
      <c r="A201" s="2" t="s">
        <v>1753</v>
      </c>
      <c r="B201" s="2" t="s">
        <v>3293</v>
      </c>
      <c r="C201" s="2" t="s">
        <v>2923</v>
      </c>
      <c r="D201" s="2" t="s">
        <v>1839</v>
      </c>
      <c r="E201" s="2" t="s">
        <v>1841</v>
      </c>
      <c r="F201" s="2">
        <v>1.4831399999999999</v>
      </c>
      <c r="G201" s="2">
        <v>4.2195600000000004</v>
      </c>
      <c r="H201" s="2">
        <v>1.50844</v>
      </c>
    </row>
    <row r="202" spans="1:8" s="2" customFormat="1" ht="15" x14ac:dyDescent="0.2">
      <c r="A202" s="2" t="s">
        <v>1695</v>
      </c>
      <c r="B202" s="2" t="s">
        <v>3015</v>
      </c>
      <c r="C202" s="2" t="s">
        <v>3015</v>
      </c>
      <c r="D202" s="2" t="s">
        <v>1839</v>
      </c>
      <c r="E202" s="2" t="s">
        <v>1841</v>
      </c>
      <c r="F202" s="2">
        <v>2.5118200000000002</v>
      </c>
      <c r="G202" s="2">
        <v>7.13354</v>
      </c>
      <c r="H202" s="2">
        <v>1.5058800000000001</v>
      </c>
    </row>
    <row r="203" spans="1:8" s="2" customFormat="1" ht="15" x14ac:dyDescent="0.2">
      <c r="A203" s="2" t="s">
        <v>433</v>
      </c>
      <c r="B203" s="2" t="s">
        <v>3015</v>
      </c>
      <c r="C203" s="2" t="s">
        <v>2045</v>
      </c>
      <c r="D203" s="2" t="s">
        <v>1839</v>
      </c>
      <c r="E203" s="2" t="s">
        <v>1841</v>
      </c>
      <c r="F203" s="2">
        <v>2.0567600000000001</v>
      </c>
      <c r="G203" s="2">
        <v>5.8240299999999996</v>
      </c>
      <c r="H203" s="2">
        <v>1.5016499999999999</v>
      </c>
    </row>
    <row r="204" spans="1:8" s="2" customFormat="1" ht="15" x14ac:dyDescent="0.2">
      <c r="A204" s="2" t="s">
        <v>1515</v>
      </c>
      <c r="B204" s="2" t="s">
        <v>3015</v>
      </c>
      <c r="C204" s="2" t="s">
        <v>2667</v>
      </c>
      <c r="D204" s="2" t="s">
        <v>1839</v>
      </c>
      <c r="E204" s="2" t="s">
        <v>1841</v>
      </c>
      <c r="F204" s="2">
        <v>2.4035199999999999</v>
      </c>
      <c r="G204" s="2">
        <v>6.8044500000000001</v>
      </c>
      <c r="H204" s="2">
        <v>1.5013300000000001</v>
      </c>
    </row>
    <row r="205" spans="1:8" s="2" customFormat="1" ht="15" x14ac:dyDescent="0.2">
      <c r="A205" s="2" t="s">
        <v>1714</v>
      </c>
      <c r="B205" s="2" t="s">
        <v>3038</v>
      </c>
      <c r="C205" s="2" t="s">
        <v>2877</v>
      </c>
      <c r="D205" s="2" t="s">
        <v>1839</v>
      </c>
      <c r="E205" s="2" t="s">
        <v>1841</v>
      </c>
      <c r="F205" s="2">
        <v>0.500023</v>
      </c>
      <c r="G205" s="2">
        <v>1.4145799999999999</v>
      </c>
      <c r="H205" s="2">
        <v>1.50031</v>
      </c>
    </row>
    <row r="206" spans="1:8" s="2" customFormat="1" ht="15" x14ac:dyDescent="0.2">
      <c r="A206" s="2" t="s">
        <v>482</v>
      </c>
      <c r="B206" s="2" t="s">
        <v>3015</v>
      </c>
      <c r="C206" s="2" t="s">
        <v>2069</v>
      </c>
      <c r="D206" s="2" t="s">
        <v>1839</v>
      </c>
      <c r="E206" s="2" t="s">
        <v>1841</v>
      </c>
      <c r="F206" s="2">
        <v>1.67394</v>
      </c>
      <c r="G206" s="2">
        <v>4.7269800000000002</v>
      </c>
      <c r="H206" s="2">
        <v>1.4976700000000001</v>
      </c>
    </row>
    <row r="207" spans="1:8" s="2" customFormat="1" ht="15" x14ac:dyDescent="0.2">
      <c r="A207" s="2" t="s">
        <v>427</v>
      </c>
      <c r="B207" s="2" t="s">
        <v>3015</v>
      </c>
      <c r="C207" s="2" t="s">
        <v>2477</v>
      </c>
      <c r="D207" s="2" t="s">
        <v>1839</v>
      </c>
      <c r="E207" s="2" t="s">
        <v>1841</v>
      </c>
      <c r="F207" s="2">
        <v>1.16214</v>
      </c>
      <c r="G207" s="2">
        <v>3.27102</v>
      </c>
      <c r="H207" s="2">
        <v>1.4929600000000001</v>
      </c>
    </row>
    <row r="208" spans="1:8" s="2" customFormat="1" ht="15" x14ac:dyDescent="0.2">
      <c r="A208" s="2" t="s">
        <v>14</v>
      </c>
      <c r="B208" s="2" t="s">
        <v>3015</v>
      </c>
      <c r="C208" s="2" t="s">
        <v>2362</v>
      </c>
      <c r="D208" s="2" t="s">
        <v>1839</v>
      </c>
      <c r="E208" s="2" t="s">
        <v>1841</v>
      </c>
      <c r="F208" s="2">
        <v>0.96564899999999998</v>
      </c>
      <c r="G208" s="2">
        <v>2.7130200000000002</v>
      </c>
      <c r="H208" s="2">
        <v>1.4903299999999999</v>
      </c>
    </row>
    <row r="209" spans="1:8" s="2" customFormat="1" ht="15" x14ac:dyDescent="0.2">
      <c r="A209" s="2" t="s">
        <v>697</v>
      </c>
      <c r="B209" s="2" t="s">
        <v>3058</v>
      </c>
      <c r="C209" s="2" t="s">
        <v>2167</v>
      </c>
      <c r="D209" s="2" t="s">
        <v>1839</v>
      </c>
      <c r="E209" s="2" t="s">
        <v>1841</v>
      </c>
      <c r="F209" s="2">
        <v>0.91968000000000005</v>
      </c>
      <c r="G209" s="2">
        <v>2.5836299999999999</v>
      </c>
      <c r="H209" s="2">
        <v>1.4902</v>
      </c>
    </row>
    <row r="210" spans="1:8" s="2" customFormat="1" ht="15" x14ac:dyDescent="0.2">
      <c r="A210" s="2" t="s">
        <v>1492</v>
      </c>
      <c r="B210" s="2" t="s">
        <v>3049</v>
      </c>
      <c r="C210" s="2" t="s">
        <v>1884</v>
      </c>
      <c r="D210" s="2" t="s">
        <v>1839</v>
      </c>
      <c r="E210" s="2" t="s">
        <v>1841</v>
      </c>
      <c r="F210" s="2">
        <v>0.37637599999999999</v>
      </c>
      <c r="G210" s="2">
        <v>1.05711</v>
      </c>
      <c r="H210" s="2">
        <v>1.4898800000000001</v>
      </c>
    </row>
    <row r="211" spans="1:8" s="2" customFormat="1" ht="15" x14ac:dyDescent="0.2">
      <c r="A211" s="2" t="s">
        <v>1663</v>
      </c>
      <c r="B211" s="2" t="s">
        <v>3015</v>
      </c>
      <c r="C211" s="2" t="s">
        <v>1914</v>
      </c>
      <c r="D211" s="2" t="s">
        <v>1839</v>
      </c>
      <c r="E211" s="2" t="s">
        <v>1841</v>
      </c>
      <c r="F211" s="2">
        <v>1.6556900000000001</v>
      </c>
      <c r="G211" s="2">
        <v>4.63774</v>
      </c>
      <c r="H211" s="2">
        <v>1.4859899999999999</v>
      </c>
    </row>
    <row r="212" spans="1:8" s="2" customFormat="1" ht="15" x14ac:dyDescent="0.2">
      <c r="A212" s="2" t="s">
        <v>1264</v>
      </c>
      <c r="B212" s="2" t="s">
        <v>3015</v>
      </c>
      <c r="C212" s="2" t="s">
        <v>2748</v>
      </c>
      <c r="D212" s="2" t="s">
        <v>1839</v>
      </c>
      <c r="E212" s="2" t="s">
        <v>1841</v>
      </c>
      <c r="F212" s="2">
        <v>1.1138399999999999</v>
      </c>
      <c r="G212" s="2">
        <v>3.1180599999999998</v>
      </c>
      <c r="H212" s="2">
        <v>1.4851099999999999</v>
      </c>
    </row>
    <row r="213" spans="1:8" s="2" customFormat="1" ht="15" x14ac:dyDescent="0.2">
      <c r="A213" s="2" t="s">
        <v>1117</v>
      </c>
      <c r="B213" s="2" t="s">
        <v>3486</v>
      </c>
      <c r="C213" s="2" t="s">
        <v>2976</v>
      </c>
      <c r="D213" s="2" t="s">
        <v>1839</v>
      </c>
      <c r="E213" s="2" t="s">
        <v>1841</v>
      </c>
      <c r="F213" s="2">
        <v>1.8320399999999999</v>
      </c>
      <c r="G213" s="2">
        <v>5.1180399999999997</v>
      </c>
      <c r="H213" s="2">
        <v>1.48214</v>
      </c>
    </row>
    <row r="214" spans="1:8" s="2" customFormat="1" ht="15" x14ac:dyDescent="0.2">
      <c r="A214" s="2" t="s">
        <v>1711</v>
      </c>
      <c r="B214" s="2" t="s">
        <v>3461</v>
      </c>
      <c r="C214" s="2" t="s">
        <v>3015</v>
      </c>
      <c r="D214" s="2" t="s">
        <v>1839</v>
      </c>
      <c r="E214" s="2" t="s">
        <v>1841</v>
      </c>
      <c r="F214" s="2">
        <v>0.53763899999999998</v>
      </c>
      <c r="G214" s="2">
        <v>1.50166</v>
      </c>
      <c r="H214" s="2">
        <v>1.4818499999999999</v>
      </c>
    </row>
    <row r="215" spans="1:8" s="2" customFormat="1" ht="15" x14ac:dyDescent="0.2">
      <c r="A215" s="2" t="s">
        <v>73</v>
      </c>
      <c r="B215" s="2" t="s">
        <v>3015</v>
      </c>
      <c r="C215" s="2" t="s">
        <v>1880</v>
      </c>
      <c r="D215" s="2" t="s">
        <v>1839</v>
      </c>
      <c r="E215" s="2" t="s">
        <v>1841</v>
      </c>
      <c r="F215" s="2">
        <v>1.0872599999999999</v>
      </c>
      <c r="G215" s="2">
        <v>3.03199</v>
      </c>
      <c r="H215" s="2">
        <v>1.4795700000000001</v>
      </c>
    </row>
    <row r="216" spans="1:8" s="2" customFormat="1" ht="15" x14ac:dyDescent="0.2">
      <c r="A216" s="2" t="s">
        <v>567</v>
      </c>
      <c r="B216" s="2" t="s">
        <v>3162</v>
      </c>
      <c r="C216" s="2" t="s">
        <v>2110</v>
      </c>
      <c r="D216" s="2" t="s">
        <v>1839</v>
      </c>
      <c r="E216" s="2" t="s">
        <v>1841</v>
      </c>
      <c r="F216" s="2">
        <v>5.0034799999999997</v>
      </c>
      <c r="G216" s="2">
        <v>13.9476</v>
      </c>
      <c r="H216" s="2">
        <v>1.4790099999999999</v>
      </c>
    </row>
    <row r="217" spans="1:8" s="2" customFormat="1" ht="15" x14ac:dyDescent="0.2">
      <c r="A217" s="2" t="s">
        <v>1419</v>
      </c>
      <c r="B217" s="2" t="s">
        <v>3200</v>
      </c>
      <c r="C217" s="2" t="s">
        <v>2812</v>
      </c>
      <c r="D217" s="2" t="s">
        <v>1839</v>
      </c>
      <c r="E217" s="2" t="s">
        <v>1841</v>
      </c>
      <c r="F217" s="2">
        <v>0.420429</v>
      </c>
      <c r="G217" s="2">
        <v>1.1713199999999999</v>
      </c>
      <c r="H217" s="2">
        <v>1.47821</v>
      </c>
    </row>
    <row r="218" spans="1:8" s="2" customFormat="1" ht="15" x14ac:dyDescent="0.2">
      <c r="A218" s="2" t="s">
        <v>289</v>
      </c>
      <c r="B218" s="2" t="s">
        <v>3258</v>
      </c>
      <c r="C218" s="2" t="s">
        <v>2718</v>
      </c>
      <c r="D218" s="2" t="s">
        <v>1839</v>
      </c>
      <c r="E218" s="2" t="s">
        <v>1841</v>
      </c>
      <c r="F218" s="2">
        <v>2.0773899999999998</v>
      </c>
      <c r="G218" s="2">
        <v>5.76708</v>
      </c>
      <c r="H218" s="2">
        <v>1.47306</v>
      </c>
    </row>
    <row r="219" spans="1:8" s="2" customFormat="1" ht="15" x14ac:dyDescent="0.2">
      <c r="A219" s="2" t="s">
        <v>1752</v>
      </c>
      <c r="B219" s="2" t="s">
        <v>3026</v>
      </c>
      <c r="C219" s="2" t="s">
        <v>2921</v>
      </c>
      <c r="D219" s="2" t="s">
        <v>1839</v>
      </c>
      <c r="E219" s="2" t="s">
        <v>1841</v>
      </c>
      <c r="F219" s="2">
        <v>0.33645799999999998</v>
      </c>
      <c r="G219" s="2">
        <v>0.93263399999999996</v>
      </c>
      <c r="H219" s="2">
        <v>1.47089</v>
      </c>
    </row>
    <row r="220" spans="1:8" s="2" customFormat="1" ht="15" x14ac:dyDescent="0.2">
      <c r="A220" s="2" t="s">
        <v>1202</v>
      </c>
      <c r="B220" s="2" t="s">
        <v>3015</v>
      </c>
      <c r="C220" s="2" t="s">
        <v>3015</v>
      </c>
      <c r="D220" s="2" t="s">
        <v>1839</v>
      </c>
      <c r="E220" s="2" t="s">
        <v>1841</v>
      </c>
      <c r="F220" s="2">
        <v>0.68654099999999996</v>
      </c>
      <c r="G220" s="2">
        <v>1.8973</v>
      </c>
      <c r="H220" s="2">
        <v>1.4665299999999999</v>
      </c>
    </row>
    <row r="221" spans="1:8" s="2" customFormat="1" ht="15" x14ac:dyDescent="0.2">
      <c r="A221" s="2" t="s">
        <v>544</v>
      </c>
      <c r="B221" s="2" t="s">
        <v>3063</v>
      </c>
      <c r="C221" s="2" t="s">
        <v>2794</v>
      </c>
      <c r="D221" s="2" t="s">
        <v>1839</v>
      </c>
      <c r="E221" s="2" t="s">
        <v>1841</v>
      </c>
      <c r="F221" s="2">
        <v>2.6823899999999998</v>
      </c>
      <c r="G221" s="2">
        <v>7.3887799999999997</v>
      </c>
      <c r="H221" s="2">
        <v>1.4618199999999999</v>
      </c>
    </row>
    <row r="222" spans="1:8" s="2" customFormat="1" ht="15" x14ac:dyDescent="0.2">
      <c r="A222" s="2" t="s">
        <v>947</v>
      </c>
      <c r="B222" s="2" t="s">
        <v>3015</v>
      </c>
      <c r="C222" s="2" t="s">
        <v>3015</v>
      </c>
      <c r="D222" s="2" t="s">
        <v>1839</v>
      </c>
      <c r="E222" s="2" t="s">
        <v>1841</v>
      </c>
      <c r="F222" s="2">
        <v>2.4474</v>
      </c>
      <c r="G222" s="2">
        <v>6.7236500000000001</v>
      </c>
      <c r="H222" s="2">
        <v>1.458</v>
      </c>
    </row>
    <row r="223" spans="1:8" s="2" customFormat="1" ht="15" x14ac:dyDescent="0.2">
      <c r="A223" s="2" t="s">
        <v>1770</v>
      </c>
      <c r="B223" s="2" t="s">
        <v>3037</v>
      </c>
      <c r="C223" s="2" t="s">
        <v>2216</v>
      </c>
      <c r="D223" s="2" t="s">
        <v>1839</v>
      </c>
      <c r="E223" s="2" t="s">
        <v>1841</v>
      </c>
      <c r="F223" s="2">
        <v>0.37495400000000001</v>
      </c>
      <c r="G223" s="2">
        <v>1.02996</v>
      </c>
      <c r="H223" s="2">
        <v>1.4578</v>
      </c>
    </row>
    <row r="224" spans="1:8" s="2" customFormat="1" ht="15" x14ac:dyDescent="0.2">
      <c r="A224" s="2" t="s">
        <v>1628</v>
      </c>
      <c r="B224" s="2" t="s">
        <v>3436</v>
      </c>
      <c r="C224" s="2" t="s">
        <v>3015</v>
      </c>
      <c r="D224" s="2" t="s">
        <v>1839</v>
      </c>
      <c r="E224" s="2" t="s">
        <v>1841</v>
      </c>
      <c r="F224" s="2">
        <v>0.68365500000000001</v>
      </c>
      <c r="G224" s="2">
        <v>1.8754900000000001</v>
      </c>
      <c r="H224" s="2">
        <v>1.4559299999999999</v>
      </c>
    </row>
    <row r="225" spans="1:8" s="2" customFormat="1" ht="15" x14ac:dyDescent="0.2">
      <c r="A225" s="2" t="s">
        <v>1574</v>
      </c>
      <c r="B225" s="2" t="s">
        <v>3015</v>
      </c>
      <c r="C225" s="2" t="s">
        <v>2731</v>
      </c>
      <c r="D225" s="2" t="s">
        <v>1839</v>
      </c>
      <c r="E225" s="2" t="s">
        <v>1841</v>
      </c>
      <c r="F225" s="2">
        <v>1.40825</v>
      </c>
      <c r="G225" s="2">
        <v>3.8596699999999999</v>
      </c>
      <c r="H225" s="2">
        <v>1.45458</v>
      </c>
    </row>
    <row r="226" spans="1:8" s="2" customFormat="1" ht="15" x14ac:dyDescent="0.2">
      <c r="A226" s="2" t="s">
        <v>1689</v>
      </c>
      <c r="B226" s="2" t="s">
        <v>3015</v>
      </c>
      <c r="C226" s="2" t="s">
        <v>2858</v>
      </c>
      <c r="D226" s="2" t="s">
        <v>1839</v>
      </c>
      <c r="E226" s="2" t="s">
        <v>1841</v>
      </c>
      <c r="F226" s="2">
        <v>0.40572999999999998</v>
      </c>
      <c r="G226" s="2">
        <v>1.1085100000000001</v>
      </c>
      <c r="H226" s="2">
        <v>1.4500299999999999</v>
      </c>
    </row>
    <row r="227" spans="1:8" s="2" customFormat="1" ht="15" x14ac:dyDescent="0.2">
      <c r="A227" s="2" t="s">
        <v>663</v>
      </c>
      <c r="B227" s="2" t="s">
        <v>3186</v>
      </c>
      <c r="C227" s="2" t="s">
        <v>2153</v>
      </c>
      <c r="D227" s="2" t="s">
        <v>1839</v>
      </c>
      <c r="E227" s="2" t="s">
        <v>1841</v>
      </c>
      <c r="F227" s="2">
        <v>1.1287400000000001</v>
      </c>
      <c r="G227" s="2">
        <v>3.07979</v>
      </c>
      <c r="H227" s="2">
        <v>1.4481200000000001</v>
      </c>
    </row>
    <row r="228" spans="1:8" s="2" customFormat="1" ht="15" x14ac:dyDescent="0.2">
      <c r="A228" s="2" t="s">
        <v>568</v>
      </c>
      <c r="B228" s="2" t="s">
        <v>3163</v>
      </c>
      <c r="C228" s="2" t="s">
        <v>2111</v>
      </c>
      <c r="D228" s="2" t="s">
        <v>1839</v>
      </c>
      <c r="E228" s="2" t="s">
        <v>1841</v>
      </c>
      <c r="F228" s="2">
        <v>11.287599999999999</v>
      </c>
      <c r="G228" s="2">
        <v>30.769400000000001</v>
      </c>
      <c r="H228" s="2">
        <v>1.44675</v>
      </c>
    </row>
    <row r="229" spans="1:8" s="2" customFormat="1" ht="15" x14ac:dyDescent="0.2">
      <c r="A229" s="2" t="s">
        <v>817</v>
      </c>
      <c r="B229" s="2" t="s">
        <v>3015</v>
      </c>
      <c r="C229" s="2" t="s">
        <v>2575</v>
      </c>
      <c r="D229" s="2" t="s">
        <v>1839</v>
      </c>
      <c r="E229" s="2" t="s">
        <v>1841</v>
      </c>
      <c r="F229" s="2">
        <v>1.07145</v>
      </c>
      <c r="G229" s="2">
        <v>2.9190200000000002</v>
      </c>
      <c r="H229" s="2">
        <v>1.4459200000000001</v>
      </c>
    </row>
    <row r="230" spans="1:8" s="2" customFormat="1" ht="15" x14ac:dyDescent="0.2">
      <c r="A230" s="2" t="s">
        <v>519</v>
      </c>
      <c r="B230" s="2" t="s">
        <v>3433</v>
      </c>
      <c r="C230" s="2" t="s">
        <v>2784</v>
      </c>
      <c r="D230" s="2" t="s">
        <v>1839</v>
      </c>
      <c r="E230" s="2" t="s">
        <v>1841</v>
      </c>
      <c r="F230" s="2">
        <v>0.319575</v>
      </c>
      <c r="G230" s="2">
        <v>0.86953499999999995</v>
      </c>
      <c r="H230" s="2">
        <v>1.4440900000000001</v>
      </c>
    </row>
    <row r="231" spans="1:8" s="2" customFormat="1" ht="15" x14ac:dyDescent="0.2">
      <c r="A231" s="2" t="s">
        <v>1593</v>
      </c>
      <c r="B231" s="2" t="s">
        <v>3015</v>
      </c>
      <c r="C231" s="2" t="s">
        <v>2752</v>
      </c>
      <c r="D231" s="2" t="s">
        <v>1839</v>
      </c>
      <c r="E231" s="2" t="s">
        <v>1841</v>
      </c>
      <c r="F231" s="2">
        <v>0.31079000000000001</v>
      </c>
      <c r="G231" s="2">
        <v>0.84506700000000001</v>
      </c>
      <c r="H231" s="2">
        <v>1.44313</v>
      </c>
    </row>
    <row r="232" spans="1:8" s="2" customFormat="1" ht="15" x14ac:dyDescent="0.2">
      <c r="A232" s="2" t="s">
        <v>134</v>
      </c>
      <c r="B232" s="2" t="s">
        <v>3292</v>
      </c>
      <c r="C232" s="2" t="s">
        <v>2406</v>
      </c>
      <c r="D232" s="2" t="s">
        <v>1839</v>
      </c>
      <c r="E232" s="2" t="s">
        <v>1841</v>
      </c>
      <c r="F232" s="2">
        <v>0.831847</v>
      </c>
      <c r="G232" s="2">
        <v>2.2604799999999998</v>
      </c>
      <c r="H232" s="2">
        <v>1.44224</v>
      </c>
    </row>
    <row r="233" spans="1:8" s="2" customFormat="1" ht="15" x14ac:dyDescent="0.2">
      <c r="A233" s="2" t="s">
        <v>1785</v>
      </c>
      <c r="B233" s="2" t="s">
        <v>3299</v>
      </c>
      <c r="C233" s="2" t="s">
        <v>2962</v>
      </c>
      <c r="D233" s="2" t="s">
        <v>1839</v>
      </c>
      <c r="E233" s="2" t="s">
        <v>1841</v>
      </c>
      <c r="F233" s="2">
        <v>0.299373</v>
      </c>
      <c r="G233" s="2">
        <v>0.81180200000000002</v>
      </c>
      <c r="H233" s="2">
        <v>1.43919</v>
      </c>
    </row>
    <row r="234" spans="1:8" s="2" customFormat="1" ht="15" x14ac:dyDescent="0.2">
      <c r="A234" s="2" t="s">
        <v>552</v>
      </c>
      <c r="B234" s="2" t="s">
        <v>3015</v>
      </c>
      <c r="C234" s="2" t="s">
        <v>2800</v>
      </c>
      <c r="D234" s="2" t="s">
        <v>1839</v>
      </c>
      <c r="E234" s="2" t="s">
        <v>1841</v>
      </c>
      <c r="F234" s="2">
        <v>0.52746800000000005</v>
      </c>
      <c r="G234" s="2">
        <v>1.4289700000000001</v>
      </c>
      <c r="H234" s="2">
        <v>1.4378200000000001</v>
      </c>
    </row>
    <row r="235" spans="1:8" s="2" customFormat="1" ht="15" x14ac:dyDescent="0.2">
      <c r="A235" s="2" t="s">
        <v>1514</v>
      </c>
      <c r="B235" s="2" t="s">
        <v>3015</v>
      </c>
      <c r="C235" s="2" t="s">
        <v>2504</v>
      </c>
      <c r="D235" s="2" t="s">
        <v>1839</v>
      </c>
      <c r="E235" s="2" t="s">
        <v>1841</v>
      </c>
      <c r="F235" s="2">
        <v>0.301068</v>
      </c>
      <c r="G235" s="2">
        <v>0.81553600000000004</v>
      </c>
      <c r="H235" s="2">
        <v>1.4376599999999999</v>
      </c>
    </row>
    <row r="236" spans="1:8" s="2" customFormat="1" ht="15" x14ac:dyDescent="0.2">
      <c r="A236" s="2" t="s">
        <v>1662</v>
      </c>
      <c r="B236" s="2" t="s">
        <v>3038</v>
      </c>
      <c r="C236" s="2" t="s">
        <v>2828</v>
      </c>
      <c r="D236" s="2" t="s">
        <v>1839</v>
      </c>
      <c r="E236" s="2" t="s">
        <v>1841</v>
      </c>
      <c r="F236" s="2">
        <v>1.68712</v>
      </c>
      <c r="G236" s="2">
        <v>4.5646000000000004</v>
      </c>
      <c r="H236" s="2">
        <v>1.4359200000000001</v>
      </c>
    </row>
    <row r="237" spans="1:8" s="2" customFormat="1" ht="15" x14ac:dyDescent="0.2">
      <c r="A237" s="2" t="s">
        <v>49</v>
      </c>
      <c r="B237" s="2" t="s">
        <v>3195</v>
      </c>
      <c r="C237" s="2" t="s">
        <v>2630</v>
      </c>
      <c r="D237" s="2" t="s">
        <v>1839</v>
      </c>
      <c r="E237" s="2" t="s">
        <v>1841</v>
      </c>
      <c r="F237" s="2">
        <v>2.1010300000000002</v>
      </c>
      <c r="G237" s="2">
        <v>5.6729599999999998</v>
      </c>
      <c r="H237" s="2">
        <v>1.4330000000000001</v>
      </c>
    </row>
    <row r="238" spans="1:8" s="2" customFormat="1" ht="15" x14ac:dyDescent="0.2">
      <c r="A238" s="2" t="s">
        <v>272</v>
      </c>
      <c r="B238" s="2" t="s">
        <v>3307</v>
      </c>
      <c r="C238" s="2" t="s">
        <v>2433</v>
      </c>
      <c r="D238" s="2" t="s">
        <v>1839</v>
      </c>
      <c r="E238" s="2" t="s">
        <v>1841</v>
      </c>
      <c r="F238" s="2">
        <v>4.5541499999999999</v>
      </c>
      <c r="G238" s="2">
        <v>12.2842</v>
      </c>
      <c r="H238" s="2">
        <v>1.4315500000000001</v>
      </c>
    </row>
    <row r="239" spans="1:8" s="2" customFormat="1" ht="15" x14ac:dyDescent="0.2">
      <c r="A239" s="2" t="s">
        <v>1374</v>
      </c>
      <c r="B239" s="2" t="s">
        <v>3015</v>
      </c>
      <c r="C239" s="2" t="s">
        <v>1847</v>
      </c>
      <c r="D239" s="2" t="s">
        <v>1839</v>
      </c>
      <c r="E239" s="2" t="s">
        <v>1841</v>
      </c>
      <c r="F239" s="2">
        <v>2.72722</v>
      </c>
      <c r="G239" s="2">
        <v>7.3509200000000003</v>
      </c>
      <c r="H239" s="2">
        <v>1.4305000000000001</v>
      </c>
    </row>
    <row r="240" spans="1:8" s="2" customFormat="1" ht="15" x14ac:dyDescent="0.2">
      <c r="A240" s="2" t="s">
        <v>788</v>
      </c>
      <c r="B240" s="2" t="s">
        <v>3301</v>
      </c>
      <c r="C240" s="2" t="s">
        <v>2567</v>
      </c>
      <c r="D240" s="2" t="s">
        <v>1839</v>
      </c>
      <c r="E240" s="2" t="s">
        <v>1841</v>
      </c>
      <c r="F240" s="2">
        <v>22.408300000000001</v>
      </c>
      <c r="G240" s="2">
        <v>60.201300000000003</v>
      </c>
      <c r="H240" s="2">
        <v>1.4257599999999999</v>
      </c>
    </row>
    <row r="241" spans="1:8" s="2" customFormat="1" ht="15" x14ac:dyDescent="0.2">
      <c r="A241" s="2" t="s">
        <v>1480</v>
      </c>
      <c r="B241" s="2" t="s">
        <v>3015</v>
      </c>
      <c r="C241" s="2" t="s">
        <v>2620</v>
      </c>
      <c r="D241" s="2" t="s">
        <v>1839</v>
      </c>
      <c r="E241" s="2" t="s">
        <v>1841</v>
      </c>
      <c r="F241" s="2">
        <v>1.7198199999999999</v>
      </c>
      <c r="G241" s="2">
        <v>4.6197699999999999</v>
      </c>
      <c r="H241" s="2">
        <v>1.4255599999999999</v>
      </c>
    </row>
    <row r="242" spans="1:8" s="2" customFormat="1" ht="15" x14ac:dyDescent="0.2">
      <c r="A242" s="2" t="s">
        <v>287</v>
      </c>
      <c r="B242" s="2" t="s">
        <v>3015</v>
      </c>
      <c r="C242" s="2" t="s">
        <v>2714</v>
      </c>
      <c r="D242" s="2" t="s">
        <v>1839</v>
      </c>
      <c r="E242" s="2" t="s">
        <v>1841</v>
      </c>
      <c r="F242" s="2">
        <v>1.24552</v>
      </c>
      <c r="G242" s="2">
        <v>3.3439000000000001</v>
      </c>
      <c r="H242" s="2">
        <v>1.42479</v>
      </c>
    </row>
    <row r="243" spans="1:8" s="2" customFormat="1" ht="15" x14ac:dyDescent="0.2">
      <c r="A243" s="2" t="s">
        <v>1074</v>
      </c>
      <c r="B243" s="2" t="s">
        <v>3015</v>
      </c>
      <c r="C243" s="2" t="s">
        <v>2345</v>
      </c>
      <c r="D243" s="2" t="s">
        <v>1839</v>
      </c>
      <c r="E243" s="2" t="s">
        <v>1841</v>
      </c>
      <c r="F243" s="2">
        <v>13.383599999999999</v>
      </c>
      <c r="G243" s="2">
        <v>35.924999999999997</v>
      </c>
      <c r="H243" s="2">
        <v>1.42452</v>
      </c>
    </row>
    <row r="244" spans="1:8" s="2" customFormat="1" ht="15" x14ac:dyDescent="0.2">
      <c r="A244" s="2" t="s">
        <v>1114</v>
      </c>
      <c r="B244" s="2" t="s">
        <v>3015</v>
      </c>
      <c r="C244" s="2" t="s">
        <v>2974</v>
      </c>
      <c r="D244" s="2" t="s">
        <v>1839</v>
      </c>
      <c r="E244" s="2" t="s">
        <v>1841</v>
      </c>
      <c r="F244" s="2">
        <v>0.34355400000000003</v>
      </c>
      <c r="G244" s="2">
        <v>0.92218599999999995</v>
      </c>
      <c r="H244" s="2">
        <v>1.42452</v>
      </c>
    </row>
    <row r="245" spans="1:8" s="2" customFormat="1" ht="15" x14ac:dyDescent="0.2">
      <c r="A245" s="2" t="s">
        <v>463</v>
      </c>
      <c r="B245" s="2" t="s">
        <v>3015</v>
      </c>
      <c r="C245" s="2" t="s">
        <v>2482</v>
      </c>
      <c r="D245" s="2" t="s">
        <v>1839</v>
      </c>
      <c r="E245" s="2" t="s">
        <v>1841</v>
      </c>
      <c r="F245" s="2">
        <v>1.1751799999999999</v>
      </c>
      <c r="G245" s="2">
        <v>3.1450200000000001</v>
      </c>
      <c r="H245" s="2">
        <v>1.4201900000000001</v>
      </c>
    </row>
    <row r="246" spans="1:8" s="2" customFormat="1" ht="15" x14ac:dyDescent="0.2">
      <c r="A246" s="2" t="s">
        <v>1499</v>
      </c>
      <c r="B246" s="2" t="s">
        <v>3045</v>
      </c>
      <c r="C246" s="2" t="s">
        <v>1875</v>
      </c>
      <c r="D246" s="2" t="s">
        <v>1839</v>
      </c>
      <c r="E246" s="2" t="s">
        <v>1841</v>
      </c>
      <c r="F246" s="2">
        <v>0.63804400000000006</v>
      </c>
      <c r="G246" s="2">
        <v>1.7019299999999999</v>
      </c>
      <c r="H246" s="2">
        <v>1.4154500000000001</v>
      </c>
    </row>
    <row r="247" spans="1:8" s="2" customFormat="1" ht="15" x14ac:dyDescent="0.2">
      <c r="A247" s="2" t="s">
        <v>1158</v>
      </c>
      <c r="B247" s="2" t="s">
        <v>3391</v>
      </c>
      <c r="C247" s="2" t="s">
        <v>2650</v>
      </c>
      <c r="D247" s="2" t="s">
        <v>1839</v>
      </c>
      <c r="E247" s="2" t="s">
        <v>1841</v>
      </c>
      <c r="F247" s="2">
        <v>7.3723299999999998</v>
      </c>
      <c r="G247" s="2">
        <v>19.6144</v>
      </c>
      <c r="H247" s="2">
        <v>1.4117200000000001</v>
      </c>
    </row>
    <row r="248" spans="1:8" s="2" customFormat="1" ht="15" x14ac:dyDescent="0.2">
      <c r="A248" s="2" t="s">
        <v>733</v>
      </c>
      <c r="B248" s="2" t="s">
        <v>3015</v>
      </c>
      <c r="C248" s="2" t="s">
        <v>2098</v>
      </c>
      <c r="D248" s="2" t="s">
        <v>1839</v>
      </c>
      <c r="E248" s="2" t="s">
        <v>1841</v>
      </c>
      <c r="F248" s="2">
        <v>2.6822900000000001</v>
      </c>
      <c r="G248" s="2">
        <v>7.1115300000000001</v>
      </c>
      <c r="H248" s="2">
        <v>1.40669</v>
      </c>
    </row>
    <row r="249" spans="1:8" s="2" customFormat="1" ht="15" x14ac:dyDescent="0.2">
      <c r="A249" s="2" t="s">
        <v>1406</v>
      </c>
      <c r="B249" s="2" t="s">
        <v>3209</v>
      </c>
      <c r="C249" s="2" t="s">
        <v>2580</v>
      </c>
      <c r="D249" s="2" t="s">
        <v>1839</v>
      </c>
      <c r="E249" s="2" t="s">
        <v>1841</v>
      </c>
      <c r="F249" s="2">
        <v>1.94476</v>
      </c>
      <c r="G249" s="2">
        <v>5.1548400000000001</v>
      </c>
      <c r="H249" s="2">
        <v>1.4063300000000001</v>
      </c>
    </row>
    <row r="250" spans="1:8" s="2" customFormat="1" ht="15" x14ac:dyDescent="0.2">
      <c r="A250" s="2" t="s">
        <v>1381</v>
      </c>
      <c r="B250" s="2" t="s">
        <v>3175</v>
      </c>
      <c r="C250" s="2" t="s">
        <v>2557</v>
      </c>
      <c r="D250" s="2" t="s">
        <v>1839</v>
      </c>
      <c r="E250" s="2" t="s">
        <v>1841</v>
      </c>
      <c r="F250" s="2">
        <v>0.32317499999999999</v>
      </c>
      <c r="G250" s="2">
        <v>0.85633999999999999</v>
      </c>
      <c r="H250" s="2">
        <v>1.40587</v>
      </c>
    </row>
    <row r="251" spans="1:8" s="2" customFormat="1" ht="15" x14ac:dyDescent="0.2">
      <c r="A251" s="2" t="s">
        <v>559</v>
      </c>
      <c r="B251" s="2" t="s">
        <v>3189</v>
      </c>
      <c r="C251" s="2" t="s">
        <v>2761</v>
      </c>
      <c r="D251" s="2" t="s">
        <v>1839</v>
      </c>
      <c r="E251" s="2" t="s">
        <v>1841</v>
      </c>
      <c r="F251" s="2">
        <v>12.8048</v>
      </c>
      <c r="G251" s="2">
        <v>33.519599999999997</v>
      </c>
      <c r="H251" s="2">
        <v>1.38832</v>
      </c>
    </row>
    <row r="252" spans="1:8" s="2" customFormat="1" ht="15" x14ac:dyDescent="0.2">
      <c r="A252" s="2" t="s">
        <v>996</v>
      </c>
      <c r="B252" s="2" t="s">
        <v>3047</v>
      </c>
      <c r="C252" s="2" t="s">
        <v>2277</v>
      </c>
      <c r="D252" s="2" t="s">
        <v>1839</v>
      </c>
      <c r="E252" s="2" t="s">
        <v>1841</v>
      </c>
      <c r="F252" s="2">
        <v>1.44367</v>
      </c>
      <c r="G252" s="2">
        <v>3.7760500000000001</v>
      </c>
      <c r="H252" s="2">
        <v>1.38714</v>
      </c>
    </row>
    <row r="253" spans="1:8" s="2" customFormat="1" ht="15" x14ac:dyDescent="0.2">
      <c r="A253" s="2" t="s">
        <v>1656</v>
      </c>
      <c r="B253" s="2" t="s">
        <v>3015</v>
      </c>
      <c r="C253" s="2" t="s">
        <v>2823</v>
      </c>
      <c r="D253" s="2" t="s">
        <v>1839</v>
      </c>
      <c r="E253" s="2" t="s">
        <v>1841</v>
      </c>
      <c r="F253" s="2">
        <v>0.69017099999999998</v>
      </c>
      <c r="G253" s="2">
        <v>1.80497</v>
      </c>
      <c r="H253" s="2">
        <v>1.3869499999999999</v>
      </c>
    </row>
    <row r="254" spans="1:8" s="2" customFormat="1" ht="15" x14ac:dyDescent="0.2">
      <c r="A254" s="2" t="s">
        <v>1719</v>
      </c>
      <c r="B254" s="2" t="s">
        <v>3015</v>
      </c>
      <c r="C254" s="2" t="s">
        <v>2884</v>
      </c>
      <c r="D254" s="2" t="s">
        <v>1839</v>
      </c>
      <c r="E254" s="2" t="s">
        <v>1841</v>
      </c>
      <c r="F254" s="2">
        <v>0.400281</v>
      </c>
      <c r="G254" s="2">
        <v>1.04478</v>
      </c>
      <c r="H254" s="2">
        <v>1.38412</v>
      </c>
    </row>
    <row r="255" spans="1:8" s="2" customFormat="1" ht="15" x14ac:dyDescent="0.2">
      <c r="A255" s="2" t="s">
        <v>1564</v>
      </c>
      <c r="B255" s="2" t="s">
        <v>3411</v>
      </c>
      <c r="C255" s="2" t="s">
        <v>3015</v>
      </c>
      <c r="D255" s="2" t="s">
        <v>1839</v>
      </c>
      <c r="E255" s="2" t="s">
        <v>1841</v>
      </c>
      <c r="F255" s="2">
        <v>0.91415199999999996</v>
      </c>
      <c r="G255" s="2">
        <v>2.3768199999999999</v>
      </c>
      <c r="H255" s="2">
        <v>1.37853</v>
      </c>
    </row>
    <row r="256" spans="1:8" s="2" customFormat="1" ht="15" x14ac:dyDescent="0.2">
      <c r="A256" s="2" t="s">
        <v>104</v>
      </c>
      <c r="B256" s="2" t="s">
        <v>3015</v>
      </c>
      <c r="C256" s="2" t="s">
        <v>1847</v>
      </c>
      <c r="D256" s="2" t="s">
        <v>1839</v>
      </c>
      <c r="E256" s="2" t="s">
        <v>1841</v>
      </c>
      <c r="F256" s="2">
        <v>1.7171799999999999</v>
      </c>
      <c r="G256" s="2">
        <v>4.4603799999999998</v>
      </c>
      <c r="H256" s="2">
        <v>1.37713</v>
      </c>
    </row>
    <row r="257" spans="1:8" s="2" customFormat="1" ht="15" x14ac:dyDescent="0.2">
      <c r="A257" s="2" t="s">
        <v>350</v>
      </c>
      <c r="B257" s="2" t="s">
        <v>3419</v>
      </c>
      <c r="C257" s="2" t="s">
        <v>2738</v>
      </c>
      <c r="D257" s="2" t="s">
        <v>1839</v>
      </c>
      <c r="E257" s="2" t="s">
        <v>1841</v>
      </c>
      <c r="F257" s="2">
        <v>2.7732299999999999</v>
      </c>
      <c r="G257" s="2">
        <v>7.1933100000000003</v>
      </c>
      <c r="H257" s="2">
        <v>1.3750899999999999</v>
      </c>
    </row>
    <row r="258" spans="1:8" s="2" customFormat="1" ht="15" x14ac:dyDescent="0.2">
      <c r="A258" s="2" t="s">
        <v>919</v>
      </c>
      <c r="B258" s="2" t="s">
        <v>3015</v>
      </c>
      <c r="C258" s="2" t="s">
        <v>1862</v>
      </c>
      <c r="D258" s="2" t="s">
        <v>1839</v>
      </c>
      <c r="E258" s="2" t="s">
        <v>1841</v>
      </c>
      <c r="F258" s="2">
        <v>0.52248799999999995</v>
      </c>
      <c r="G258" s="2">
        <v>1.3511500000000001</v>
      </c>
      <c r="H258" s="2">
        <v>1.3707199999999999</v>
      </c>
    </row>
    <row r="259" spans="1:8" s="2" customFormat="1" ht="15" x14ac:dyDescent="0.2">
      <c r="A259" s="2" t="s">
        <v>34</v>
      </c>
      <c r="B259" s="2" t="s">
        <v>3281</v>
      </c>
      <c r="C259" s="2" t="s">
        <v>2367</v>
      </c>
      <c r="D259" s="2" t="s">
        <v>1839</v>
      </c>
      <c r="E259" s="2" t="s">
        <v>1841</v>
      </c>
      <c r="F259" s="2">
        <v>0.84092699999999998</v>
      </c>
      <c r="G259" s="2">
        <v>2.1631</v>
      </c>
      <c r="H259" s="2">
        <v>1.3630500000000001</v>
      </c>
    </row>
    <row r="260" spans="1:8" s="2" customFormat="1" ht="15" x14ac:dyDescent="0.2">
      <c r="A260" s="2" t="s">
        <v>1206</v>
      </c>
      <c r="B260" s="2" t="s">
        <v>3403</v>
      </c>
      <c r="C260" s="2" t="s">
        <v>2694</v>
      </c>
      <c r="D260" s="2" t="s">
        <v>1839</v>
      </c>
      <c r="E260" s="2" t="s">
        <v>1841</v>
      </c>
      <c r="F260" s="2">
        <v>5.7483899999999997</v>
      </c>
      <c r="G260" s="2">
        <v>14.751300000000001</v>
      </c>
      <c r="H260" s="2">
        <v>1.3596200000000001</v>
      </c>
    </row>
    <row r="261" spans="1:8" s="2" customFormat="1" ht="15" x14ac:dyDescent="0.2">
      <c r="A261" s="2" t="s">
        <v>1067</v>
      </c>
      <c r="B261" s="2" t="s">
        <v>3030</v>
      </c>
      <c r="C261" s="2" t="s">
        <v>2967</v>
      </c>
      <c r="D261" s="2" t="s">
        <v>1839</v>
      </c>
      <c r="E261" s="2" t="s">
        <v>1841</v>
      </c>
      <c r="F261" s="2">
        <v>1.2996300000000001</v>
      </c>
      <c r="G261" s="2">
        <v>3.33284</v>
      </c>
      <c r="H261" s="2">
        <v>1.3586499999999999</v>
      </c>
    </row>
    <row r="262" spans="1:8" s="2" customFormat="1" ht="15" x14ac:dyDescent="0.2">
      <c r="A262" s="2" t="s">
        <v>1603</v>
      </c>
      <c r="B262" s="2" t="s">
        <v>3426</v>
      </c>
      <c r="C262" s="2" t="s">
        <v>1847</v>
      </c>
      <c r="D262" s="2" t="s">
        <v>1839</v>
      </c>
      <c r="E262" s="2" t="s">
        <v>1841</v>
      </c>
      <c r="F262" s="2">
        <v>1.02538</v>
      </c>
      <c r="G262" s="2">
        <v>2.6231900000000001</v>
      </c>
      <c r="H262" s="2">
        <v>1.35517</v>
      </c>
    </row>
    <row r="263" spans="1:8" s="2" customFormat="1" ht="15" x14ac:dyDescent="0.2">
      <c r="A263" s="2" t="s">
        <v>1386</v>
      </c>
      <c r="B263" s="2" t="s">
        <v>3068</v>
      </c>
      <c r="C263" s="2" t="s">
        <v>2562</v>
      </c>
      <c r="D263" s="2" t="s">
        <v>1839</v>
      </c>
      <c r="E263" s="2" t="s">
        <v>1841</v>
      </c>
      <c r="F263" s="2">
        <v>1.14445</v>
      </c>
      <c r="G263" s="2">
        <v>2.9258299999999999</v>
      </c>
      <c r="H263" s="2">
        <v>1.35419</v>
      </c>
    </row>
    <row r="264" spans="1:8" s="2" customFormat="1" ht="15" x14ac:dyDescent="0.2">
      <c r="A264" s="2" t="s">
        <v>1742</v>
      </c>
      <c r="B264" s="2" t="s">
        <v>3038</v>
      </c>
      <c r="C264" s="2" t="s">
        <v>2487</v>
      </c>
      <c r="D264" s="2" t="s">
        <v>1839</v>
      </c>
      <c r="E264" s="2" t="s">
        <v>1841</v>
      </c>
      <c r="F264" s="2">
        <v>0.775922</v>
      </c>
      <c r="G264" s="2">
        <v>1.98156</v>
      </c>
      <c r="H264" s="2">
        <v>1.3526499999999999</v>
      </c>
    </row>
    <row r="265" spans="1:8" s="2" customFormat="1" ht="15" x14ac:dyDescent="0.2">
      <c r="A265" s="2" t="s">
        <v>1739</v>
      </c>
      <c r="B265" s="2" t="s">
        <v>3468</v>
      </c>
      <c r="C265" s="2" t="s">
        <v>2909</v>
      </c>
      <c r="D265" s="2" t="s">
        <v>1839</v>
      </c>
      <c r="E265" s="2" t="s">
        <v>1841</v>
      </c>
      <c r="F265" s="2">
        <v>0.69711299999999998</v>
      </c>
      <c r="G265" s="2">
        <v>1.7802500000000001</v>
      </c>
      <c r="H265" s="2">
        <v>1.3526199999999999</v>
      </c>
    </row>
    <row r="266" spans="1:8" s="2" customFormat="1" ht="15" x14ac:dyDescent="0.2">
      <c r="A266" s="2" t="s">
        <v>494</v>
      </c>
      <c r="B266" s="2" t="s">
        <v>3089</v>
      </c>
      <c r="C266" s="2" t="s">
        <v>2077</v>
      </c>
      <c r="D266" s="2" t="s">
        <v>1839</v>
      </c>
      <c r="E266" s="2" t="s">
        <v>1841</v>
      </c>
      <c r="F266" s="2">
        <v>1.06881</v>
      </c>
      <c r="G266" s="2">
        <v>2.7290100000000002</v>
      </c>
      <c r="H266" s="2">
        <v>1.3523799999999999</v>
      </c>
    </row>
    <row r="267" spans="1:8" s="2" customFormat="1" ht="15" x14ac:dyDescent="0.2">
      <c r="A267" s="2" t="s">
        <v>1597</v>
      </c>
      <c r="B267" s="2" t="s">
        <v>3049</v>
      </c>
      <c r="C267" s="2" t="s">
        <v>2759</v>
      </c>
      <c r="D267" s="2" t="s">
        <v>1839</v>
      </c>
      <c r="E267" s="2" t="s">
        <v>1841</v>
      </c>
      <c r="F267" s="2">
        <v>1.4579800000000001</v>
      </c>
      <c r="G267" s="2">
        <v>3.7193299999999998</v>
      </c>
      <c r="H267" s="2">
        <v>1.35107</v>
      </c>
    </row>
    <row r="268" spans="1:8" s="2" customFormat="1" ht="15" x14ac:dyDescent="0.2">
      <c r="A268" s="2" t="s">
        <v>1079</v>
      </c>
      <c r="B268" s="2" t="s">
        <v>3081</v>
      </c>
      <c r="C268" s="2" t="s">
        <v>2968</v>
      </c>
      <c r="D268" s="2" t="s">
        <v>1839</v>
      </c>
      <c r="E268" s="2" t="s">
        <v>1841</v>
      </c>
      <c r="F268" s="2">
        <v>1.0480100000000001</v>
      </c>
      <c r="G268" s="2">
        <v>2.67205</v>
      </c>
      <c r="H268" s="2">
        <v>1.35029</v>
      </c>
    </row>
    <row r="269" spans="1:8" s="2" customFormat="1" ht="15" x14ac:dyDescent="0.2">
      <c r="A269" s="2" t="s">
        <v>1390</v>
      </c>
      <c r="B269" s="2" t="s">
        <v>3362</v>
      </c>
      <c r="C269" s="2" t="s">
        <v>2569</v>
      </c>
      <c r="D269" s="2" t="s">
        <v>1839</v>
      </c>
      <c r="E269" s="2" t="s">
        <v>1841</v>
      </c>
      <c r="F269" s="2">
        <v>0.70224500000000001</v>
      </c>
      <c r="G269" s="2">
        <v>1.78921</v>
      </c>
      <c r="H269" s="2">
        <v>1.34928</v>
      </c>
    </row>
    <row r="270" spans="1:8" s="2" customFormat="1" ht="15" x14ac:dyDescent="0.2">
      <c r="A270" s="2" t="s">
        <v>908</v>
      </c>
      <c r="B270" s="2" t="s">
        <v>3015</v>
      </c>
      <c r="C270" s="2" t="s">
        <v>2916</v>
      </c>
      <c r="D270" s="2" t="s">
        <v>1839</v>
      </c>
      <c r="E270" s="2" t="s">
        <v>1841</v>
      </c>
      <c r="F270" s="2">
        <v>2.0800700000000001</v>
      </c>
      <c r="G270" s="2">
        <v>5.2853599999999998</v>
      </c>
      <c r="H270" s="2">
        <v>1.34537</v>
      </c>
    </row>
    <row r="271" spans="1:8" s="2" customFormat="1" ht="15" x14ac:dyDescent="0.2">
      <c r="A271" s="2" t="s">
        <v>1728</v>
      </c>
      <c r="B271" s="2" t="s">
        <v>3038</v>
      </c>
      <c r="C271" s="2" t="s">
        <v>2895</v>
      </c>
      <c r="D271" s="2" t="s">
        <v>1839</v>
      </c>
      <c r="E271" s="2" t="s">
        <v>1841</v>
      </c>
      <c r="F271" s="2">
        <v>1.41951</v>
      </c>
      <c r="G271" s="2">
        <v>3.60676</v>
      </c>
      <c r="H271" s="2">
        <v>1.34531</v>
      </c>
    </row>
    <row r="272" spans="1:8" s="2" customFormat="1" ht="15" x14ac:dyDescent="0.2">
      <c r="A272" s="2" t="s">
        <v>501</v>
      </c>
      <c r="B272" s="2" t="s">
        <v>3015</v>
      </c>
      <c r="C272" s="2" t="s">
        <v>2488</v>
      </c>
      <c r="D272" s="2" t="s">
        <v>1839</v>
      </c>
      <c r="E272" s="2" t="s">
        <v>1841</v>
      </c>
      <c r="F272" s="2">
        <v>4.2759799999999997</v>
      </c>
      <c r="G272" s="2">
        <v>10.8622</v>
      </c>
      <c r="H272" s="2">
        <v>1.3449800000000001</v>
      </c>
    </row>
    <row r="273" spans="1:8" s="2" customFormat="1" ht="15" x14ac:dyDescent="0.2">
      <c r="A273" s="2" t="s">
        <v>1102</v>
      </c>
      <c r="B273" s="2" t="s">
        <v>3015</v>
      </c>
      <c r="C273" s="2" t="s">
        <v>2972</v>
      </c>
      <c r="D273" s="2" t="s">
        <v>1839</v>
      </c>
      <c r="E273" s="2" t="s">
        <v>1841</v>
      </c>
      <c r="F273" s="2">
        <v>1.7233400000000001</v>
      </c>
      <c r="G273" s="2">
        <v>4.3716699999999999</v>
      </c>
      <c r="H273" s="2">
        <v>1.34297</v>
      </c>
    </row>
    <row r="274" spans="1:8" s="2" customFormat="1" ht="15" x14ac:dyDescent="0.2">
      <c r="A274" s="2" t="s">
        <v>1677</v>
      </c>
      <c r="B274" s="2" t="s">
        <v>3015</v>
      </c>
      <c r="C274" s="2" t="s">
        <v>2844</v>
      </c>
      <c r="D274" s="2" t="s">
        <v>1839</v>
      </c>
      <c r="E274" s="2" t="s">
        <v>1841</v>
      </c>
      <c r="F274" s="2">
        <v>0.435002</v>
      </c>
      <c r="G274" s="2">
        <v>1.10229</v>
      </c>
      <c r="H274" s="2">
        <v>1.3413999999999999</v>
      </c>
    </row>
    <row r="275" spans="1:8" s="2" customFormat="1" ht="15" x14ac:dyDescent="0.2">
      <c r="A275" s="2" t="s">
        <v>598</v>
      </c>
      <c r="B275" s="2" t="s">
        <v>3038</v>
      </c>
      <c r="C275" s="2" t="s">
        <v>2514</v>
      </c>
      <c r="D275" s="2" t="s">
        <v>1839</v>
      </c>
      <c r="E275" s="2" t="s">
        <v>1841</v>
      </c>
      <c r="F275" s="2">
        <v>0.98475000000000001</v>
      </c>
      <c r="G275" s="2">
        <v>2.4946299999999999</v>
      </c>
      <c r="H275" s="2">
        <v>1.341</v>
      </c>
    </row>
    <row r="276" spans="1:8" s="2" customFormat="1" ht="15" x14ac:dyDescent="0.2">
      <c r="A276" s="2" t="s">
        <v>1607</v>
      </c>
      <c r="B276" s="2" t="s">
        <v>3015</v>
      </c>
      <c r="C276" s="2" t="s">
        <v>1847</v>
      </c>
      <c r="D276" s="2" t="s">
        <v>1839</v>
      </c>
      <c r="E276" s="2" t="s">
        <v>1841</v>
      </c>
      <c r="F276" s="2">
        <v>0.32757199999999997</v>
      </c>
      <c r="G276" s="2">
        <v>0.82906500000000005</v>
      </c>
      <c r="H276" s="2">
        <v>1.3396699999999999</v>
      </c>
    </row>
    <row r="277" spans="1:8" s="2" customFormat="1" ht="15" x14ac:dyDescent="0.2">
      <c r="A277" s="2" t="s">
        <v>1608</v>
      </c>
      <c r="B277" s="2" t="s">
        <v>3015</v>
      </c>
      <c r="C277" s="2" t="s">
        <v>3015</v>
      </c>
      <c r="D277" s="2" t="s">
        <v>1839</v>
      </c>
      <c r="E277" s="2" t="s">
        <v>1841</v>
      </c>
      <c r="F277" s="2">
        <v>2.8765800000000001</v>
      </c>
      <c r="G277" s="2">
        <v>7.26668</v>
      </c>
      <c r="H277" s="2">
        <v>1.33694</v>
      </c>
    </row>
    <row r="278" spans="1:8" s="2" customFormat="1" ht="15" x14ac:dyDescent="0.2">
      <c r="A278" s="2" t="s">
        <v>515</v>
      </c>
      <c r="B278" s="2" t="s">
        <v>3045</v>
      </c>
      <c r="C278" s="2" t="s">
        <v>2492</v>
      </c>
      <c r="D278" s="2" t="s">
        <v>1839</v>
      </c>
      <c r="E278" s="2" t="s">
        <v>1841</v>
      </c>
      <c r="F278" s="2">
        <v>10.161300000000001</v>
      </c>
      <c r="G278" s="2">
        <v>25.654699999999998</v>
      </c>
      <c r="H278" s="2">
        <v>1.3361400000000001</v>
      </c>
    </row>
    <row r="279" spans="1:8" s="2" customFormat="1" ht="15" x14ac:dyDescent="0.2">
      <c r="A279" s="2" t="s">
        <v>1363</v>
      </c>
      <c r="B279" s="2" t="s">
        <v>3201</v>
      </c>
      <c r="C279" s="2" t="s">
        <v>2860</v>
      </c>
      <c r="D279" s="2" t="s">
        <v>1839</v>
      </c>
      <c r="E279" s="2" t="s">
        <v>1841</v>
      </c>
      <c r="F279" s="2">
        <v>1.9721599999999999</v>
      </c>
      <c r="G279" s="2">
        <v>4.9792100000000001</v>
      </c>
      <c r="H279" s="2">
        <v>1.3361400000000001</v>
      </c>
    </row>
    <row r="280" spans="1:8" s="2" customFormat="1" ht="15" x14ac:dyDescent="0.2">
      <c r="A280" s="2" t="s">
        <v>1727</v>
      </c>
      <c r="B280" s="2" t="s">
        <v>3015</v>
      </c>
      <c r="C280" s="2" t="s">
        <v>2894</v>
      </c>
      <c r="D280" s="2" t="s">
        <v>1839</v>
      </c>
      <c r="E280" s="2" t="s">
        <v>1841</v>
      </c>
      <c r="F280" s="2">
        <v>0.355991</v>
      </c>
      <c r="G280" s="2">
        <v>0.89873599999999998</v>
      </c>
      <c r="H280" s="2">
        <v>1.33606</v>
      </c>
    </row>
    <row r="281" spans="1:8" s="2" customFormat="1" ht="15" x14ac:dyDescent="0.2">
      <c r="A281" s="2" t="s">
        <v>1720</v>
      </c>
      <c r="B281" s="2" t="s">
        <v>3463</v>
      </c>
      <c r="C281" s="2" t="s">
        <v>1847</v>
      </c>
      <c r="D281" s="2" t="s">
        <v>1839</v>
      </c>
      <c r="E281" s="2" t="s">
        <v>1841</v>
      </c>
      <c r="F281" s="2">
        <v>1.34111</v>
      </c>
      <c r="G281" s="2">
        <v>3.3776899999999999</v>
      </c>
      <c r="H281" s="2">
        <v>1.3326100000000001</v>
      </c>
    </row>
    <row r="282" spans="1:8" s="2" customFormat="1" ht="15" x14ac:dyDescent="0.2">
      <c r="A282" s="2" t="s">
        <v>1570</v>
      </c>
      <c r="B282" s="2" t="s">
        <v>3063</v>
      </c>
      <c r="C282" s="2" t="s">
        <v>2727</v>
      </c>
      <c r="D282" s="2" t="s">
        <v>1839</v>
      </c>
      <c r="E282" s="2" t="s">
        <v>1841</v>
      </c>
      <c r="F282" s="2">
        <v>2.2791899999999998</v>
      </c>
      <c r="G282" s="2">
        <v>5.7371499999999997</v>
      </c>
      <c r="H282" s="2">
        <v>1.3318099999999999</v>
      </c>
    </row>
    <row r="283" spans="1:8" s="2" customFormat="1" ht="15" x14ac:dyDescent="0.2">
      <c r="A283" s="2" t="s">
        <v>1679</v>
      </c>
      <c r="B283" s="2" t="s">
        <v>3452</v>
      </c>
      <c r="C283" s="2" t="s">
        <v>1981</v>
      </c>
      <c r="D283" s="2" t="s">
        <v>1839</v>
      </c>
      <c r="E283" s="2" t="s">
        <v>1841</v>
      </c>
      <c r="F283" s="2">
        <v>0.33635900000000002</v>
      </c>
      <c r="G283" s="2">
        <v>0.84657099999999996</v>
      </c>
      <c r="H283" s="2">
        <v>1.3316300000000001</v>
      </c>
    </row>
    <row r="284" spans="1:8" s="2" customFormat="1" ht="15" x14ac:dyDescent="0.2">
      <c r="A284" s="2" t="s">
        <v>1528</v>
      </c>
      <c r="B284" s="2" t="s">
        <v>3015</v>
      </c>
      <c r="C284" s="2" t="s">
        <v>2679</v>
      </c>
      <c r="D284" s="2" t="s">
        <v>1839</v>
      </c>
      <c r="E284" s="2" t="s">
        <v>1841</v>
      </c>
      <c r="F284" s="2">
        <v>1.22532</v>
      </c>
      <c r="G284" s="2">
        <v>3.0823999999999998</v>
      </c>
      <c r="H284" s="2">
        <v>1.3309</v>
      </c>
    </row>
    <row r="285" spans="1:8" s="2" customFormat="1" ht="15" x14ac:dyDescent="0.2">
      <c r="A285" s="2" t="s">
        <v>335</v>
      </c>
      <c r="B285" s="2" t="s">
        <v>3015</v>
      </c>
      <c r="C285" s="2" t="s">
        <v>2002</v>
      </c>
      <c r="D285" s="2" t="s">
        <v>1839</v>
      </c>
      <c r="E285" s="2" t="s">
        <v>1841</v>
      </c>
      <c r="F285" s="2">
        <v>1.7890600000000001</v>
      </c>
      <c r="G285" s="2">
        <v>4.4913800000000004</v>
      </c>
      <c r="H285" s="2">
        <v>1.32795</v>
      </c>
    </row>
    <row r="286" spans="1:8" s="2" customFormat="1" ht="15" x14ac:dyDescent="0.2">
      <c r="A286" s="2" t="s">
        <v>1493</v>
      </c>
      <c r="B286" s="2" t="s">
        <v>3095</v>
      </c>
      <c r="C286" s="2" t="s">
        <v>2637</v>
      </c>
      <c r="D286" s="2" t="s">
        <v>1839</v>
      </c>
      <c r="E286" s="2" t="s">
        <v>1841</v>
      </c>
      <c r="F286" s="2">
        <v>0.421456</v>
      </c>
      <c r="G286" s="2">
        <v>1.0553300000000001</v>
      </c>
      <c r="H286" s="2">
        <v>1.3242400000000001</v>
      </c>
    </row>
    <row r="287" spans="1:8" s="2" customFormat="1" ht="15" x14ac:dyDescent="0.2">
      <c r="A287" s="2" t="s">
        <v>78</v>
      </c>
      <c r="B287" s="2" t="s">
        <v>3288</v>
      </c>
      <c r="C287" s="2" t="s">
        <v>2641</v>
      </c>
      <c r="D287" s="2" t="s">
        <v>1839</v>
      </c>
      <c r="E287" s="2" t="s">
        <v>1841</v>
      </c>
      <c r="F287" s="2">
        <v>13.1106</v>
      </c>
      <c r="G287" s="2">
        <v>32.755000000000003</v>
      </c>
      <c r="H287" s="2">
        <v>1.32098</v>
      </c>
    </row>
    <row r="288" spans="1:8" s="2" customFormat="1" ht="15" x14ac:dyDescent="0.2">
      <c r="A288" s="2" t="s">
        <v>513</v>
      </c>
      <c r="B288" s="2" t="s">
        <v>3431</v>
      </c>
      <c r="C288" s="2" t="s">
        <v>2783</v>
      </c>
      <c r="D288" s="2" t="s">
        <v>1839</v>
      </c>
      <c r="E288" s="2" t="s">
        <v>1841</v>
      </c>
      <c r="F288" s="2">
        <v>6.2676499999999997</v>
      </c>
      <c r="G288" s="2">
        <v>15.6577</v>
      </c>
      <c r="H288" s="2">
        <v>1.3208800000000001</v>
      </c>
    </row>
    <row r="289" spans="1:8" s="2" customFormat="1" ht="15" x14ac:dyDescent="0.2">
      <c r="A289" s="2" t="s">
        <v>1350</v>
      </c>
      <c r="B289" s="2" t="s">
        <v>3030</v>
      </c>
      <c r="C289" s="2" t="s">
        <v>2540</v>
      </c>
      <c r="D289" s="2" t="s">
        <v>1839</v>
      </c>
      <c r="E289" s="2" t="s">
        <v>1841</v>
      </c>
      <c r="F289" s="2">
        <v>5.3435300000000003</v>
      </c>
      <c r="G289" s="2">
        <v>13.323600000000001</v>
      </c>
      <c r="H289" s="2">
        <v>1.31812</v>
      </c>
    </row>
    <row r="290" spans="1:8" s="2" customFormat="1" ht="15" x14ac:dyDescent="0.2">
      <c r="A290" s="2" t="s">
        <v>1221</v>
      </c>
      <c r="B290" s="2" t="s">
        <v>3409</v>
      </c>
      <c r="C290" s="2" t="s">
        <v>2712</v>
      </c>
      <c r="D290" s="2" t="s">
        <v>1839</v>
      </c>
      <c r="E290" s="2" t="s">
        <v>1841</v>
      </c>
      <c r="F290" s="2">
        <v>3.3682099999999999</v>
      </c>
      <c r="G290" s="2">
        <v>8.3827499999999997</v>
      </c>
      <c r="H290" s="2">
        <v>1.3154399999999999</v>
      </c>
    </row>
    <row r="291" spans="1:8" s="2" customFormat="1" ht="15" x14ac:dyDescent="0.2">
      <c r="A291" s="2" t="s">
        <v>388</v>
      </c>
      <c r="B291" s="2" t="s">
        <v>3015</v>
      </c>
      <c r="C291" s="2" t="s">
        <v>2023</v>
      </c>
      <c r="D291" s="2" t="s">
        <v>1839</v>
      </c>
      <c r="E291" s="2" t="s">
        <v>1841</v>
      </c>
      <c r="F291" s="2">
        <v>2.80626</v>
      </c>
      <c r="G291" s="2">
        <v>6.9825200000000001</v>
      </c>
      <c r="H291" s="2">
        <v>1.3150999999999999</v>
      </c>
    </row>
    <row r="292" spans="1:8" s="2" customFormat="1" ht="15" x14ac:dyDescent="0.2">
      <c r="A292" s="2" t="s">
        <v>742</v>
      </c>
      <c r="B292" s="2" t="s">
        <v>3058</v>
      </c>
      <c r="C292" s="2" t="s">
        <v>2185</v>
      </c>
      <c r="D292" s="2" t="s">
        <v>1839</v>
      </c>
      <c r="E292" s="2" t="s">
        <v>1841</v>
      </c>
      <c r="F292" s="2">
        <v>0.49836200000000003</v>
      </c>
      <c r="G292" s="2">
        <v>1.23603</v>
      </c>
      <c r="H292" s="2">
        <v>1.3104499999999999</v>
      </c>
    </row>
    <row r="293" spans="1:8" s="2" customFormat="1" ht="15" x14ac:dyDescent="0.2">
      <c r="A293" s="2" t="s">
        <v>1626</v>
      </c>
      <c r="B293" s="2" t="s">
        <v>3015</v>
      </c>
      <c r="C293" s="2" t="s">
        <v>2790</v>
      </c>
      <c r="D293" s="2" t="s">
        <v>1839</v>
      </c>
      <c r="E293" s="2" t="s">
        <v>1841</v>
      </c>
      <c r="F293" s="2">
        <v>6.2104999999999997</v>
      </c>
      <c r="G293" s="2">
        <v>15.3865</v>
      </c>
      <c r="H293" s="2">
        <v>1.30888</v>
      </c>
    </row>
    <row r="294" spans="1:8" s="2" customFormat="1" ht="15" x14ac:dyDescent="0.2">
      <c r="A294" s="2" t="s">
        <v>252</v>
      </c>
      <c r="B294" s="2" t="s">
        <v>3099</v>
      </c>
      <c r="C294" s="2" t="s">
        <v>1964</v>
      </c>
      <c r="D294" s="2" t="s">
        <v>1839</v>
      </c>
      <c r="E294" s="2" t="s">
        <v>1841</v>
      </c>
      <c r="F294" s="2">
        <v>3.9460600000000001</v>
      </c>
      <c r="G294" s="2">
        <v>9.7537099999999999</v>
      </c>
      <c r="H294" s="2">
        <v>1.3055399999999999</v>
      </c>
    </row>
    <row r="295" spans="1:8" s="2" customFormat="1" ht="15" x14ac:dyDescent="0.2">
      <c r="A295" s="2" t="s">
        <v>506</v>
      </c>
      <c r="B295" s="2" t="s">
        <v>3015</v>
      </c>
      <c r="C295" s="2" t="s">
        <v>2779</v>
      </c>
      <c r="D295" s="2" t="s">
        <v>1839</v>
      </c>
      <c r="E295" s="2" t="s">
        <v>1841</v>
      </c>
      <c r="F295" s="2">
        <v>2.5784600000000002</v>
      </c>
      <c r="G295" s="2">
        <v>6.3716799999999996</v>
      </c>
      <c r="H295" s="2">
        <v>1.3051600000000001</v>
      </c>
    </row>
    <row r="296" spans="1:8" s="2" customFormat="1" ht="15" x14ac:dyDescent="0.2">
      <c r="A296" s="2" t="s">
        <v>923</v>
      </c>
      <c r="B296" s="2" t="s">
        <v>3473</v>
      </c>
      <c r="C296" s="2" t="s">
        <v>2925</v>
      </c>
      <c r="D296" s="2" t="s">
        <v>1839</v>
      </c>
      <c r="E296" s="2" t="s">
        <v>1841</v>
      </c>
      <c r="F296" s="2">
        <v>4.2315100000000001</v>
      </c>
      <c r="G296" s="2">
        <v>10.4399</v>
      </c>
      <c r="H296" s="2">
        <v>1.3028599999999999</v>
      </c>
    </row>
    <row r="297" spans="1:8" s="2" customFormat="1" ht="15" x14ac:dyDescent="0.2">
      <c r="A297" s="2" t="s">
        <v>850</v>
      </c>
      <c r="B297" s="2" t="s">
        <v>3015</v>
      </c>
      <c r="C297" s="2" t="s">
        <v>2899</v>
      </c>
      <c r="D297" s="2" t="s">
        <v>1839</v>
      </c>
      <c r="E297" s="2" t="s">
        <v>1841</v>
      </c>
      <c r="F297" s="2">
        <v>1.10076</v>
      </c>
      <c r="G297" s="2">
        <v>2.7155499999999999</v>
      </c>
      <c r="H297" s="2">
        <v>1.3027500000000001</v>
      </c>
    </row>
    <row r="298" spans="1:8" s="2" customFormat="1" ht="15" x14ac:dyDescent="0.2">
      <c r="A298" s="2" t="s">
        <v>593</v>
      </c>
      <c r="B298" s="2" t="s">
        <v>3015</v>
      </c>
      <c r="C298" s="2" t="s">
        <v>2810</v>
      </c>
      <c r="D298" s="2" t="s">
        <v>1839</v>
      </c>
      <c r="E298" s="2" t="s">
        <v>1841</v>
      </c>
      <c r="F298" s="2">
        <v>2.2961800000000001</v>
      </c>
      <c r="G298" s="2">
        <v>5.6645700000000003</v>
      </c>
      <c r="H298" s="2">
        <v>1.3027299999999999</v>
      </c>
    </row>
    <row r="299" spans="1:8" s="2" customFormat="1" ht="15" x14ac:dyDescent="0.2">
      <c r="A299" s="2" t="s">
        <v>1108</v>
      </c>
      <c r="B299" s="2" t="s">
        <v>3258</v>
      </c>
      <c r="C299" s="2" t="s">
        <v>2973</v>
      </c>
      <c r="D299" s="2" t="s">
        <v>1839</v>
      </c>
      <c r="E299" s="2" t="s">
        <v>1841</v>
      </c>
      <c r="F299" s="2">
        <v>14.395200000000001</v>
      </c>
      <c r="G299" s="2">
        <v>35.425899999999999</v>
      </c>
      <c r="H299" s="2">
        <v>1.29922</v>
      </c>
    </row>
    <row r="300" spans="1:8" s="2" customFormat="1" ht="15" x14ac:dyDescent="0.2">
      <c r="A300" s="2" t="s">
        <v>1310</v>
      </c>
      <c r="B300" s="2" t="s">
        <v>3015</v>
      </c>
      <c r="C300" s="2" t="s">
        <v>2808</v>
      </c>
      <c r="D300" s="2" t="s">
        <v>1839</v>
      </c>
      <c r="E300" s="2" t="s">
        <v>1841</v>
      </c>
      <c r="F300" s="2">
        <v>6.4358700000000004</v>
      </c>
      <c r="G300" s="2">
        <v>15.832100000000001</v>
      </c>
      <c r="H300" s="2">
        <v>1.29864</v>
      </c>
    </row>
    <row r="301" spans="1:8" s="2" customFormat="1" ht="15" x14ac:dyDescent="0.2">
      <c r="A301" s="2" t="s">
        <v>1496</v>
      </c>
      <c r="B301" s="2" t="s">
        <v>3045</v>
      </c>
      <c r="C301" s="2" t="s">
        <v>1923</v>
      </c>
      <c r="D301" s="2" t="s">
        <v>1839</v>
      </c>
      <c r="E301" s="2" t="s">
        <v>1841</v>
      </c>
      <c r="F301" s="2">
        <v>0.54065200000000002</v>
      </c>
      <c r="G301" s="2">
        <v>1.3278000000000001</v>
      </c>
      <c r="H301" s="2">
        <v>1.29626</v>
      </c>
    </row>
    <row r="302" spans="1:8" s="2" customFormat="1" ht="15" x14ac:dyDescent="0.2">
      <c r="A302" s="2" t="s">
        <v>284</v>
      </c>
      <c r="B302" s="2" t="s">
        <v>3226</v>
      </c>
      <c r="C302" s="2" t="s">
        <v>2711</v>
      </c>
      <c r="D302" s="2" t="s">
        <v>1839</v>
      </c>
      <c r="E302" s="2" t="s">
        <v>1841</v>
      </c>
      <c r="F302" s="2">
        <v>4.4112299999999998</v>
      </c>
      <c r="G302" s="2">
        <v>10.8224</v>
      </c>
      <c r="H302" s="2">
        <v>1.29477</v>
      </c>
    </row>
    <row r="303" spans="1:8" s="2" customFormat="1" ht="15" x14ac:dyDescent="0.2">
      <c r="A303" s="2" t="s">
        <v>1347</v>
      </c>
      <c r="B303" s="2" t="s">
        <v>3450</v>
      </c>
      <c r="C303" s="2" t="s">
        <v>2841</v>
      </c>
      <c r="D303" s="2" t="s">
        <v>1839</v>
      </c>
      <c r="E303" s="2" t="s">
        <v>1841</v>
      </c>
      <c r="F303" s="2">
        <v>10.7033</v>
      </c>
      <c r="G303" s="2">
        <v>26.236000000000001</v>
      </c>
      <c r="H303" s="2">
        <v>1.2935000000000001</v>
      </c>
    </row>
    <row r="304" spans="1:8" s="2" customFormat="1" ht="15" x14ac:dyDescent="0.2">
      <c r="A304" s="2" t="s">
        <v>1571</v>
      </c>
      <c r="B304" s="2" t="s">
        <v>3415</v>
      </c>
      <c r="C304" s="2" t="s">
        <v>2728</v>
      </c>
      <c r="D304" s="2" t="s">
        <v>1839</v>
      </c>
      <c r="E304" s="2" t="s">
        <v>1841</v>
      </c>
      <c r="F304" s="2">
        <v>0.50380199999999997</v>
      </c>
      <c r="G304" s="2">
        <v>1.23194</v>
      </c>
      <c r="H304" s="2">
        <v>1.29</v>
      </c>
    </row>
    <row r="305" spans="1:8" s="2" customFormat="1" ht="15" x14ac:dyDescent="0.2">
      <c r="A305" s="2" t="s">
        <v>1048</v>
      </c>
      <c r="B305" s="2" t="s">
        <v>3481</v>
      </c>
      <c r="C305" s="2" t="s">
        <v>2955</v>
      </c>
      <c r="D305" s="2" t="s">
        <v>1839</v>
      </c>
      <c r="E305" s="2" t="s">
        <v>1841</v>
      </c>
      <c r="F305" s="2">
        <v>1.02586</v>
      </c>
      <c r="G305" s="2">
        <v>2.5047000000000001</v>
      </c>
      <c r="H305" s="2">
        <v>1.2878000000000001</v>
      </c>
    </row>
    <row r="306" spans="1:8" s="2" customFormat="1" ht="15" x14ac:dyDescent="0.2">
      <c r="A306" s="2" t="s">
        <v>1348</v>
      </c>
      <c r="B306" s="2" t="s">
        <v>3451</v>
      </c>
      <c r="C306" s="2" t="s">
        <v>2842</v>
      </c>
      <c r="D306" s="2" t="s">
        <v>1839</v>
      </c>
      <c r="E306" s="2" t="s">
        <v>1841</v>
      </c>
      <c r="F306" s="2">
        <v>0.52523900000000001</v>
      </c>
      <c r="G306" s="2">
        <v>1.2808999999999999</v>
      </c>
      <c r="H306" s="2">
        <v>1.2861100000000001</v>
      </c>
    </row>
    <row r="307" spans="1:8" s="2" customFormat="1" ht="15" x14ac:dyDescent="0.2">
      <c r="A307" s="2" t="s">
        <v>1479</v>
      </c>
      <c r="B307" s="2" t="s">
        <v>3015</v>
      </c>
      <c r="C307" s="2" t="s">
        <v>3015</v>
      </c>
      <c r="D307" s="2" t="s">
        <v>1839</v>
      </c>
      <c r="E307" s="2" t="s">
        <v>1841</v>
      </c>
      <c r="F307" s="2">
        <v>0.938913</v>
      </c>
      <c r="G307" s="2">
        <v>2.28762</v>
      </c>
      <c r="H307" s="2">
        <v>1.28478</v>
      </c>
    </row>
    <row r="308" spans="1:8" s="2" customFormat="1" ht="15" x14ac:dyDescent="0.2">
      <c r="A308" s="2" t="s">
        <v>459</v>
      </c>
      <c r="B308" s="2" t="s">
        <v>3015</v>
      </c>
      <c r="C308" s="2" t="s">
        <v>2765</v>
      </c>
      <c r="D308" s="2" t="s">
        <v>1839</v>
      </c>
      <c r="E308" s="2" t="s">
        <v>1841</v>
      </c>
      <c r="F308" s="2">
        <v>0.56391100000000005</v>
      </c>
      <c r="G308" s="2">
        <v>1.3731100000000001</v>
      </c>
      <c r="H308" s="2">
        <v>1.2839100000000001</v>
      </c>
    </row>
    <row r="309" spans="1:8" s="2" customFormat="1" ht="15" x14ac:dyDescent="0.2">
      <c r="A309" s="2" t="s">
        <v>1725</v>
      </c>
      <c r="B309" s="2" t="s">
        <v>3396</v>
      </c>
      <c r="C309" s="2" t="s">
        <v>2889</v>
      </c>
      <c r="D309" s="2" t="s">
        <v>1839</v>
      </c>
      <c r="E309" s="2" t="s">
        <v>1841</v>
      </c>
      <c r="F309" s="2">
        <v>3.1679300000000001</v>
      </c>
      <c r="G309" s="2">
        <v>7.7061400000000004</v>
      </c>
      <c r="H309" s="2">
        <v>1.28247</v>
      </c>
    </row>
    <row r="310" spans="1:8" s="2" customFormat="1" ht="15" x14ac:dyDescent="0.2">
      <c r="A310" s="2" t="s">
        <v>1578</v>
      </c>
      <c r="B310" s="2" t="s">
        <v>3015</v>
      </c>
      <c r="C310" s="2" t="s">
        <v>2735</v>
      </c>
      <c r="D310" s="2" t="s">
        <v>1839</v>
      </c>
      <c r="E310" s="2" t="s">
        <v>1841</v>
      </c>
      <c r="F310" s="2">
        <v>1.0672200000000001</v>
      </c>
      <c r="G310" s="2">
        <v>2.5940799999999999</v>
      </c>
      <c r="H310" s="2">
        <v>1.2813699999999999</v>
      </c>
    </row>
    <row r="311" spans="1:8" s="2" customFormat="1" ht="15" x14ac:dyDescent="0.2">
      <c r="A311" s="2" t="s">
        <v>1330</v>
      </c>
      <c r="B311" s="2" t="s">
        <v>3042</v>
      </c>
      <c r="C311" s="2" t="s">
        <v>1870</v>
      </c>
      <c r="D311" s="2" t="s">
        <v>1839</v>
      </c>
      <c r="E311" s="2" t="s">
        <v>1841</v>
      </c>
      <c r="F311" s="2">
        <v>20.258900000000001</v>
      </c>
      <c r="G311" s="2">
        <v>49.096699999999998</v>
      </c>
      <c r="H311" s="2">
        <v>1.2770699999999999</v>
      </c>
    </row>
    <row r="312" spans="1:8" s="2" customFormat="1" ht="15" x14ac:dyDescent="0.2">
      <c r="A312" s="2" t="s">
        <v>1530</v>
      </c>
      <c r="B312" s="2" t="s">
        <v>3401</v>
      </c>
      <c r="C312" s="2" t="s">
        <v>2680</v>
      </c>
      <c r="D312" s="2" t="s">
        <v>1839</v>
      </c>
      <c r="E312" s="2" t="s">
        <v>1841</v>
      </c>
      <c r="F312" s="2">
        <v>1.00353</v>
      </c>
      <c r="G312" s="2">
        <v>2.4254199999999999</v>
      </c>
      <c r="H312" s="2">
        <v>1.2731600000000001</v>
      </c>
    </row>
    <row r="313" spans="1:8" s="2" customFormat="1" ht="15" x14ac:dyDescent="0.2">
      <c r="A313" s="2" t="s">
        <v>1549</v>
      </c>
      <c r="B313" s="2" t="s">
        <v>3015</v>
      </c>
      <c r="C313" s="2" t="s">
        <v>2700</v>
      </c>
      <c r="D313" s="2" t="s">
        <v>1839</v>
      </c>
      <c r="E313" s="2" t="s">
        <v>1841</v>
      </c>
      <c r="F313" s="2">
        <v>3.9051200000000001</v>
      </c>
      <c r="G313" s="2">
        <v>9.4354499999999994</v>
      </c>
      <c r="H313" s="2">
        <v>1.2727299999999999</v>
      </c>
    </row>
    <row r="314" spans="1:8" s="2" customFormat="1" ht="15" x14ac:dyDescent="0.2">
      <c r="A314" s="2" t="s">
        <v>1454</v>
      </c>
      <c r="B314" s="2" t="s">
        <v>3391</v>
      </c>
      <c r="C314" s="2" t="s">
        <v>2966</v>
      </c>
      <c r="D314" s="2" t="s">
        <v>1839</v>
      </c>
      <c r="E314" s="2" t="s">
        <v>1841</v>
      </c>
      <c r="F314" s="2">
        <v>3.53843</v>
      </c>
      <c r="G314" s="2">
        <v>8.5492600000000003</v>
      </c>
      <c r="H314" s="2">
        <v>1.2726900000000001</v>
      </c>
    </row>
    <row r="315" spans="1:8" s="2" customFormat="1" ht="15" x14ac:dyDescent="0.2">
      <c r="A315" s="2" t="s">
        <v>19</v>
      </c>
      <c r="B315" s="2" t="s">
        <v>3387</v>
      </c>
      <c r="C315" s="2" t="s">
        <v>2616</v>
      </c>
      <c r="D315" s="2" t="s">
        <v>1839</v>
      </c>
      <c r="E315" s="2" t="s">
        <v>1841</v>
      </c>
      <c r="F315" s="2">
        <v>5.0181800000000001</v>
      </c>
      <c r="G315" s="2">
        <v>12.123699999999999</v>
      </c>
      <c r="H315" s="2">
        <v>1.2726</v>
      </c>
    </row>
    <row r="316" spans="1:8" s="2" customFormat="1" ht="15" x14ac:dyDescent="0.2">
      <c r="A316" s="2" t="s">
        <v>750</v>
      </c>
      <c r="B316" s="2" t="s">
        <v>3047</v>
      </c>
      <c r="C316" s="2" t="s">
        <v>3015</v>
      </c>
      <c r="D316" s="2" t="s">
        <v>1839</v>
      </c>
      <c r="E316" s="2" t="s">
        <v>1841</v>
      </c>
      <c r="F316" s="2">
        <v>0.47537499999999999</v>
      </c>
      <c r="G316" s="2">
        <v>1.14802</v>
      </c>
      <c r="H316" s="2">
        <v>1.2720199999999999</v>
      </c>
    </row>
    <row r="317" spans="1:8" s="2" customFormat="1" ht="15" x14ac:dyDescent="0.2">
      <c r="A317" s="2" t="s">
        <v>1772</v>
      </c>
      <c r="B317" s="2" t="s">
        <v>3015</v>
      </c>
      <c r="C317" s="2" t="s">
        <v>2944</v>
      </c>
      <c r="D317" s="2" t="s">
        <v>1839</v>
      </c>
      <c r="E317" s="2" t="s">
        <v>1841</v>
      </c>
      <c r="F317" s="2">
        <v>0.64837500000000003</v>
      </c>
      <c r="G317" s="2">
        <v>1.5657700000000001</v>
      </c>
      <c r="H317" s="2">
        <v>1.27197</v>
      </c>
    </row>
    <row r="318" spans="1:8" s="2" customFormat="1" ht="15" x14ac:dyDescent="0.2">
      <c r="A318" s="2" t="s">
        <v>1594</v>
      </c>
      <c r="B318" s="2" t="s">
        <v>3015</v>
      </c>
      <c r="C318" s="2" t="s">
        <v>2202</v>
      </c>
      <c r="D318" s="2" t="s">
        <v>1839</v>
      </c>
      <c r="E318" s="2" t="s">
        <v>1841</v>
      </c>
      <c r="F318" s="2">
        <v>1.60328</v>
      </c>
      <c r="G318" s="2">
        <v>3.8715099999999998</v>
      </c>
      <c r="H318" s="2">
        <v>1.2718700000000001</v>
      </c>
    </row>
    <row r="319" spans="1:8" s="2" customFormat="1" ht="15" x14ac:dyDescent="0.2">
      <c r="A319" s="2" t="s">
        <v>1600</v>
      </c>
      <c r="B319" s="2" t="s">
        <v>3015</v>
      </c>
      <c r="C319" s="2" t="s">
        <v>3015</v>
      </c>
      <c r="D319" s="2" t="s">
        <v>1839</v>
      </c>
      <c r="E319" s="2" t="s">
        <v>1841</v>
      </c>
      <c r="F319" s="2">
        <v>0.65798100000000004</v>
      </c>
      <c r="G319" s="2">
        <v>1.5885400000000001</v>
      </c>
      <c r="H319" s="2">
        <v>1.27159</v>
      </c>
    </row>
    <row r="320" spans="1:8" s="2" customFormat="1" ht="15" x14ac:dyDescent="0.2">
      <c r="A320" s="2" t="s">
        <v>778</v>
      </c>
      <c r="B320" s="2" t="s">
        <v>3094</v>
      </c>
      <c r="C320" s="2" t="s">
        <v>2321</v>
      </c>
      <c r="D320" s="2" t="s">
        <v>1839</v>
      </c>
      <c r="E320" s="2" t="s">
        <v>1841</v>
      </c>
      <c r="F320" s="2">
        <v>1.22292</v>
      </c>
      <c r="G320" s="2">
        <v>2.9515799999999999</v>
      </c>
      <c r="H320" s="2">
        <v>1.2711600000000001</v>
      </c>
    </row>
    <row r="321" spans="1:8" s="2" customFormat="1" ht="15" x14ac:dyDescent="0.2">
      <c r="A321" s="2" t="s">
        <v>632</v>
      </c>
      <c r="B321" s="2" t="s">
        <v>3015</v>
      </c>
      <c r="C321" s="2" t="s">
        <v>3015</v>
      </c>
      <c r="D321" s="2" t="s">
        <v>1839</v>
      </c>
      <c r="E321" s="2" t="s">
        <v>1841</v>
      </c>
      <c r="F321" s="2">
        <v>14.6378</v>
      </c>
      <c r="G321" s="2">
        <v>35.284799999999997</v>
      </c>
      <c r="H321" s="2">
        <v>1.26935</v>
      </c>
    </row>
    <row r="322" spans="1:8" s="2" customFormat="1" ht="15" x14ac:dyDescent="0.2">
      <c r="A322" s="2" t="s">
        <v>596</v>
      </c>
      <c r="B322" s="2" t="s">
        <v>3015</v>
      </c>
      <c r="C322" s="2" t="s">
        <v>2124</v>
      </c>
      <c r="D322" s="2" t="s">
        <v>1839</v>
      </c>
      <c r="E322" s="2" t="s">
        <v>1841</v>
      </c>
      <c r="F322" s="2">
        <v>21.138500000000001</v>
      </c>
      <c r="G322" s="2">
        <v>50.905999999999999</v>
      </c>
      <c r="H322" s="2">
        <v>1.26797</v>
      </c>
    </row>
    <row r="323" spans="1:8" s="2" customFormat="1" ht="15" x14ac:dyDescent="0.2">
      <c r="A323" s="2" t="s">
        <v>716</v>
      </c>
      <c r="B323" s="2" t="s">
        <v>3083</v>
      </c>
      <c r="C323" s="2" t="s">
        <v>2546</v>
      </c>
      <c r="D323" s="2" t="s">
        <v>1839</v>
      </c>
      <c r="E323" s="2" t="s">
        <v>1841</v>
      </c>
      <c r="F323" s="2">
        <v>5.02677</v>
      </c>
      <c r="G323" s="2">
        <v>12.0924</v>
      </c>
      <c r="H323" s="2">
        <v>1.2663899999999999</v>
      </c>
    </row>
    <row r="324" spans="1:8" s="2" customFormat="1" ht="15" x14ac:dyDescent="0.2">
      <c r="A324" s="2" t="s">
        <v>1733</v>
      </c>
      <c r="B324" s="2" t="s">
        <v>3015</v>
      </c>
      <c r="C324" s="2" t="s">
        <v>2900</v>
      </c>
      <c r="D324" s="2" t="s">
        <v>1839</v>
      </c>
      <c r="E324" s="2" t="s">
        <v>1841</v>
      </c>
      <c r="F324" s="2">
        <v>0.364674</v>
      </c>
      <c r="G324" s="2">
        <v>0.87666100000000002</v>
      </c>
      <c r="H324" s="2">
        <v>1.2654099999999999</v>
      </c>
    </row>
    <row r="325" spans="1:8" s="2" customFormat="1" ht="15" x14ac:dyDescent="0.2">
      <c r="A325" s="2" t="s">
        <v>822</v>
      </c>
      <c r="B325" s="2" t="s">
        <v>3217</v>
      </c>
      <c r="C325" s="2" t="s">
        <v>2217</v>
      </c>
      <c r="D325" s="2" t="s">
        <v>1839</v>
      </c>
      <c r="E325" s="2" t="s">
        <v>1841</v>
      </c>
      <c r="F325" s="2">
        <v>1.76353</v>
      </c>
      <c r="G325" s="2">
        <v>4.2376300000000002</v>
      </c>
      <c r="H325" s="2">
        <v>1.2647900000000001</v>
      </c>
    </row>
    <row r="326" spans="1:8" s="2" customFormat="1" ht="15" x14ac:dyDescent="0.2">
      <c r="A326" s="2" t="s">
        <v>1680</v>
      </c>
      <c r="B326" s="2" t="s">
        <v>3053</v>
      </c>
      <c r="C326" s="2" t="s">
        <v>2845</v>
      </c>
      <c r="D326" s="2" t="s">
        <v>1839</v>
      </c>
      <c r="E326" s="2" t="s">
        <v>1841</v>
      </c>
      <c r="F326" s="2">
        <v>0.34714400000000001</v>
      </c>
      <c r="G326" s="2">
        <v>0.83340700000000001</v>
      </c>
      <c r="H326" s="2">
        <v>1.26349</v>
      </c>
    </row>
    <row r="327" spans="1:8" s="2" customFormat="1" ht="15" x14ac:dyDescent="0.2">
      <c r="A327" s="2" t="s">
        <v>330</v>
      </c>
      <c r="B327" s="2" t="s">
        <v>3045</v>
      </c>
      <c r="C327" s="2" t="s">
        <v>1847</v>
      </c>
      <c r="D327" s="2" t="s">
        <v>1839</v>
      </c>
      <c r="E327" s="2" t="s">
        <v>1841</v>
      </c>
      <c r="F327" s="2">
        <v>1.4519500000000001</v>
      </c>
      <c r="G327" s="2">
        <v>3.48325</v>
      </c>
      <c r="H327" s="2">
        <v>1.26244</v>
      </c>
    </row>
    <row r="328" spans="1:8" s="2" customFormat="1" ht="15" x14ac:dyDescent="0.2">
      <c r="A328" s="2" t="s">
        <v>359</v>
      </c>
      <c r="B328" s="2" t="s">
        <v>3045</v>
      </c>
      <c r="C328" s="2" t="s">
        <v>1923</v>
      </c>
      <c r="D328" s="2" t="s">
        <v>1839</v>
      </c>
      <c r="E328" s="2" t="s">
        <v>1841</v>
      </c>
      <c r="F328" s="2">
        <v>30.4953</v>
      </c>
      <c r="G328" s="2">
        <v>73.027000000000001</v>
      </c>
      <c r="H328" s="2">
        <v>1.2598400000000001</v>
      </c>
    </row>
    <row r="329" spans="1:8" s="2" customFormat="1" ht="15" x14ac:dyDescent="0.2">
      <c r="A329" s="2" t="s">
        <v>1234</v>
      </c>
      <c r="B329" s="2" t="s">
        <v>3015</v>
      </c>
      <c r="C329" s="2" t="s">
        <v>2722</v>
      </c>
      <c r="D329" s="2" t="s">
        <v>1839</v>
      </c>
      <c r="E329" s="2" t="s">
        <v>1841</v>
      </c>
      <c r="F329" s="2">
        <v>3.2721900000000002</v>
      </c>
      <c r="G329" s="2">
        <v>7.8181599999999998</v>
      </c>
      <c r="H329" s="2">
        <v>1.25657</v>
      </c>
    </row>
    <row r="330" spans="1:8" s="2" customFormat="1" ht="15" x14ac:dyDescent="0.2">
      <c r="A330" s="2" t="s">
        <v>1627</v>
      </c>
      <c r="B330" s="2" t="s">
        <v>3189</v>
      </c>
      <c r="C330" s="2" t="s">
        <v>2791</v>
      </c>
      <c r="D330" s="2" t="s">
        <v>1839</v>
      </c>
      <c r="E330" s="2" t="s">
        <v>1841</v>
      </c>
      <c r="F330" s="2">
        <v>0.33396700000000001</v>
      </c>
      <c r="G330" s="2">
        <v>0.79764900000000005</v>
      </c>
      <c r="H330" s="2">
        <v>1.2560500000000001</v>
      </c>
    </row>
    <row r="331" spans="1:8" s="2" customFormat="1" ht="15" x14ac:dyDescent="0.2">
      <c r="A331" s="2" t="s">
        <v>1672</v>
      </c>
      <c r="B331" s="2" t="s">
        <v>3015</v>
      </c>
      <c r="C331" s="2" t="s">
        <v>1847</v>
      </c>
      <c r="D331" s="2" t="s">
        <v>1839</v>
      </c>
      <c r="E331" s="2" t="s">
        <v>1841</v>
      </c>
      <c r="F331" s="2">
        <v>2.3948900000000002</v>
      </c>
      <c r="G331" s="2">
        <v>5.70939</v>
      </c>
      <c r="H331" s="2">
        <v>1.2533799999999999</v>
      </c>
    </row>
    <row r="332" spans="1:8" s="2" customFormat="1" ht="15" x14ac:dyDescent="0.2">
      <c r="A332" s="2" t="s">
        <v>162</v>
      </c>
      <c r="B332" s="2" t="s">
        <v>3066</v>
      </c>
      <c r="C332" s="2" t="s">
        <v>3015</v>
      </c>
      <c r="D332" s="2" t="s">
        <v>1839</v>
      </c>
      <c r="E332" s="2" t="s">
        <v>1841</v>
      </c>
      <c r="F332" s="2">
        <v>2.7787299999999999</v>
      </c>
      <c r="G332" s="2">
        <v>6.6166099999999997</v>
      </c>
      <c r="H332" s="2">
        <v>1.25166</v>
      </c>
    </row>
    <row r="333" spans="1:8" s="2" customFormat="1" ht="15" x14ac:dyDescent="0.2">
      <c r="A333" s="2" t="s">
        <v>1507</v>
      </c>
      <c r="B333" s="2" t="s">
        <v>3256</v>
      </c>
      <c r="C333" s="2" t="s">
        <v>2661</v>
      </c>
      <c r="D333" s="2" t="s">
        <v>1839</v>
      </c>
      <c r="E333" s="2" t="s">
        <v>1841</v>
      </c>
      <c r="F333" s="2">
        <v>0.60361100000000001</v>
      </c>
      <c r="G333" s="2">
        <v>1.43668</v>
      </c>
      <c r="H333" s="2">
        <v>1.2510399999999999</v>
      </c>
    </row>
    <row r="334" spans="1:8" s="2" customFormat="1" ht="15" x14ac:dyDescent="0.2">
      <c r="A334" s="2" t="s">
        <v>1373</v>
      </c>
      <c r="B334" s="2" t="s">
        <v>3355</v>
      </c>
      <c r="C334" s="2" t="s">
        <v>2552</v>
      </c>
      <c r="D334" s="2" t="s">
        <v>1839</v>
      </c>
      <c r="E334" s="2" t="s">
        <v>1841</v>
      </c>
      <c r="F334" s="2">
        <v>0.87867499999999998</v>
      </c>
      <c r="G334" s="2">
        <v>2.08894</v>
      </c>
      <c r="H334" s="2">
        <v>1.2493700000000001</v>
      </c>
    </row>
    <row r="335" spans="1:8" s="2" customFormat="1" ht="15" x14ac:dyDescent="0.2">
      <c r="A335" s="2" t="s">
        <v>1274</v>
      </c>
      <c r="B335" s="2" t="s">
        <v>3189</v>
      </c>
      <c r="C335" s="2" t="s">
        <v>2761</v>
      </c>
      <c r="D335" s="2" t="s">
        <v>1839</v>
      </c>
      <c r="E335" s="2" t="s">
        <v>1841</v>
      </c>
      <c r="F335" s="2">
        <v>6.1191800000000001</v>
      </c>
      <c r="G335" s="2">
        <v>14.524900000000001</v>
      </c>
      <c r="H335" s="2">
        <v>1.24712</v>
      </c>
    </row>
    <row r="336" spans="1:8" s="2" customFormat="1" ht="15" x14ac:dyDescent="0.2">
      <c r="A336" s="2" t="s">
        <v>666</v>
      </c>
      <c r="B336" s="2" t="s">
        <v>3344</v>
      </c>
      <c r="C336" s="2" t="s">
        <v>2536</v>
      </c>
      <c r="D336" s="2" t="s">
        <v>1839</v>
      </c>
      <c r="E336" s="2" t="s">
        <v>1841</v>
      </c>
      <c r="F336" s="2">
        <v>0.34978199999999998</v>
      </c>
      <c r="G336" s="2">
        <v>0.82903800000000005</v>
      </c>
      <c r="H336" s="2">
        <v>1.24498</v>
      </c>
    </row>
    <row r="337" spans="1:8" s="2" customFormat="1" ht="15" x14ac:dyDescent="0.2">
      <c r="A337" s="2" t="s">
        <v>1380</v>
      </c>
      <c r="B337" s="2" t="s">
        <v>3024</v>
      </c>
      <c r="C337" s="2" t="s">
        <v>2556</v>
      </c>
      <c r="D337" s="2" t="s">
        <v>1839</v>
      </c>
      <c r="E337" s="2" t="s">
        <v>1841</v>
      </c>
      <c r="F337" s="2">
        <v>0.88056500000000004</v>
      </c>
      <c r="G337" s="2">
        <v>2.0870600000000001</v>
      </c>
      <c r="H337" s="2">
        <v>1.2449699999999999</v>
      </c>
    </row>
    <row r="338" spans="1:8" s="2" customFormat="1" ht="15" x14ac:dyDescent="0.2">
      <c r="A338" s="2" t="s">
        <v>106</v>
      </c>
      <c r="B338" s="2" t="s">
        <v>3015</v>
      </c>
      <c r="C338" s="2" t="s">
        <v>2393</v>
      </c>
      <c r="D338" s="2" t="s">
        <v>1839</v>
      </c>
      <c r="E338" s="2" t="s">
        <v>1841</v>
      </c>
      <c r="F338" s="2">
        <v>7.6625800000000002</v>
      </c>
      <c r="G338" s="2">
        <v>18.136500000000002</v>
      </c>
      <c r="H338" s="2">
        <v>1.2430000000000001</v>
      </c>
    </row>
    <row r="339" spans="1:8" s="2" customFormat="1" ht="15" x14ac:dyDescent="0.2">
      <c r="A339" s="2" t="s">
        <v>1562</v>
      </c>
      <c r="B339" s="2" t="s">
        <v>3081</v>
      </c>
      <c r="C339" s="2" t="s">
        <v>2716</v>
      </c>
      <c r="D339" s="2" t="s">
        <v>1839</v>
      </c>
      <c r="E339" s="2" t="s">
        <v>1841</v>
      </c>
      <c r="F339" s="2">
        <v>0.62666100000000002</v>
      </c>
      <c r="G339" s="2">
        <v>1.48289</v>
      </c>
      <c r="H339" s="2">
        <v>1.24265</v>
      </c>
    </row>
    <row r="340" spans="1:8" s="2" customFormat="1" ht="15" x14ac:dyDescent="0.2">
      <c r="A340" s="2" t="s">
        <v>1729</v>
      </c>
      <c r="B340" s="2" t="s">
        <v>3015</v>
      </c>
      <c r="C340" s="2" t="s">
        <v>2896</v>
      </c>
      <c r="D340" s="2" t="s">
        <v>1839</v>
      </c>
      <c r="E340" s="2" t="s">
        <v>1841</v>
      </c>
      <c r="F340" s="2">
        <v>2.5253899999999998</v>
      </c>
      <c r="G340" s="2">
        <v>5.9718299999999997</v>
      </c>
      <c r="H340" s="2">
        <v>1.2416700000000001</v>
      </c>
    </row>
    <row r="341" spans="1:8" s="2" customFormat="1" ht="15" x14ac:dyDescent="0.2">
      <c r="A341" s="2" t="s">
        <v>594</v>
      </c>
      <c r="B341" s="2" t="s">
        <v>3015</v>
      </c>
      <c r="C341" s="2" t="s">
        <v>3015</v>
      </c>
      <c r="D341" s="2" t="s">
        <v>1839</v>
      </c>
      <c r="E341" s="2" t="s">
        <v>1841</v>
      </c>
      <c r="F341" s="2">
        <v>0.76069600000000004</v>
      </c>
      <c r="G341" s="2">
        <v>1.7986500000000001</v>
      </c>
      <c r="H341" s="2">
        <v>1.24152</v>
      </c>
    </row>
    <row r="342" spans="1:8" s="2" customFormat="1" ht="15" x14ac:dyDescent="0.2">
      <c r="A342" s="2" t="s">
        <v>1506</v>
      </c>
      <c r="B342" s="2" t="s">
        <v>3015</v>
      </c>
      <c r="C342" s="2" t="s">
        <v>3015</v>
      </c>
      <c r="D342" s="2" t="s">
        <v>1839</v>
      </c>
      <c r="E342" s="2" t="s">
        <v>1841</v>
      </c>
      <c r="F342" s="2">
        <v>1.07138</v>
      </c>
      <c r="G342" s="2">
        <v>2.53234</v>
      </c>
      <c r="H342" s="2">
        <v>1.2410000000000001</v>
      </c>
    </row>
    <row r="343" spans="1:8" s="2" customFormat="1" ht="15" x14ac:dyDescent="0.2">
      <c r="A343" s="2" t="s">
        <v>31</v>
      </c>
      <c r="B343" s="2" t="s">
        <v>3038</v>
      </c>
      <c r="C343" s="2" t="s">
        <v>2366</v>
      </c>
      <c r="D343" s="2" t="s">
        <v>1839</v>
      </c>
      <c r="E343" s="2" t="s">
        <v>1841</v>
      </c>
      <c r="F343" s="2">
        <v>1.65849</v>
      </c>
      <c r="G343" s="2">
        <v>3.91994</v>
      </c>
      <c r="H343" s="2">
        <v>1.2409600000000001</v>
      </c>
    </row>
    <row r="344" spans="1:8" s="2" customFormat="1" ht="15" x14ac:dyDescent="0.2">
      <c r="A344" s="2" t="s">
        <v>911</v>
      </c>
      <c r="B344" s="2" t="s">
        <v>3472</v>
      </c>
      <c r="C344" s="2" t="s">
        <v>2919</v>
      </c>
      <c r="D344" s="2" t="s">
        <v>1839</v>
      </c>
      <c r="E344" s="2" t="s">
        <v>1841</v>
      </c>
      <c r="F344" s="2">
        <v>2.5417000000000001</v>
      </c>
      <c r="G344" s="2">
        <v>6.0068599999999996</v>
      </c>
      <c r="H344" s="2">
        <v>1.24081</v>
      </c>
    </row>
    <row r="345" spans="1:8" s="2" customFormat="1" ht="15" x14ac:dyDescent="0.2">
      <c r="A345" s="2" t="s">
        <v>1612</v>
      </c>
      <c r="B345" s="2" t="s">
        <v>3015</v>
      </c>
      <c r="C345" s="2" t="s">
        <v>2774</v>
      </c>
      <c r="D345" s="2" t="s">
        <v>1839</v>
      </c>
      <c r="E345" s="2" t="s">
        <v>1841</v>
      </c>
      <c r="F345" s="2">
        <v>0.53267799999999998</v>
      </c>
      <c r="G345" s="2">
        <v>1.25807</v>
      </c>
      <c r="H345" s="2">
        <v>1.2398800000000001</v>
      </c>
    </row>
    <row r="346" spans="1:8" s="2" customFormat="1" ht="15" x14ac:dyDescent="0.2">
      <c r="A346" s="2" t="s">
        <v>1731</v>
      </c>
      <c r="B346" s="2" t="s">
        <v>3295</v>
      </c>
      <c r="C346" s="2" t="s">
        <v>2898</v>
      </c>
      <c r="D346" s="2" t="s">
        <v>1839</v>
      </c>
      <c r="E346" s="2" t="s">
        <v>1841</v>
      </c>
      <c r="F346" s="2">
        <v>0.49774800000000002</v>
      </c>
      <c r="G346" s="2">
        <v>1.1755599999999999</v>
      </c>
      <c r="H346" s="2">
        <v>1.23987</v>
      </c>
    </row>
    <row r="347" spans="1:8" s="2" customFormat="1" ht="15" x14ac:dyDescent="0.2">
      <c r="A347" s="2" t="s">
        <v>1394</v>
      </c>
      <c r="B347" s="2" t="s">
        <v>3443</v>
      </c>
      <c r="C347" s="2" t="s">
        <v>2883</v>
      </c>
      <c r="D347" s="2" t="s">
        <v>1839</v>
      </c>
      <c r="E347" s="2" t="s">
        <v>1841</v>
      </c>
      <c r="F347" s="2">
        <v>4.7904</v>
      </c>
      <c r="G347" s="2">
        <v>11.307700000000001</v>
      </c>
      <c r="H347" s="2">
        <v>1.23909</v>
      </c>
    </row>
    <row r="348" spans="1:8" s="2" customFormat="1" ht="15" x14ac:dyDescent="0.2">
      <c r="A348" s="2" t="s">
        <v>1787</v>
      </c>
      <c r="B348" s="2" t="s">
        <v>3302</v>
      </c>
      <c r="C348" s="2" t="s">
        <v>2963</v>
      </c>
      <c r="D348" s="2" t="s">
        <v>1839</v>
      </c>
      <c r="E348" s="2" t="s">
        <v>1841</v>
      </c>
      <c r="F348" s="2">
        <v>1.82846</v>
      </c>
      <c r="G348" s="2">
        <v>4.3132900000000003</v>
      </c>
      <c r="H348" s="2">
        <v>1.2381599999999999</v>
      </c>
    </row>
    <row r="349" spans="1:8" s="2" customFormat="1" ht="15" x14ac:dyDescent="0.2">
      <c r="A349" s="2" t="s">
        <v>1162</v>
      </c>
      <c r="B349" s="2" t="s">
        <v>3126</v>
      </c>
      <c r="C349" s="2" t="s">
        <v>2011</v>
      </c>
      <c r="D349" s="2" t="s">
        <v>1839</v>
      </c>
      <c r="E349" s="2" t="s">
        <v>1841</v>
      </c>
      <c r="F349" s="2">
        <v>0.436892</v>
      </c>
      <c r="G349" s="2">
        <v>1.03007</v>
      </c>
      <c r="H349" s="2">
        <v>1.2374000000000001</v>
      </c>
    </row>
    <row r="350" spans="1:8" s="2" customFormat="1" ht="15" x14ac:dyDescent="0.2">
      <c r="A350" s="2" t="s">
        <v>1675</v>
      </c>
      <c r="B350" s="2" t="s">
        <v>3449</v>
      </c>
      <c r="C350" s="2" t="s">
        <v>2840</v>
      </c>
      <c r="D350" s="2" t="s">
        <v>1839</v>
      </c>
      <c r="E350" s="2" t="s">
        <v>1841</v>
      </c>
      <c r="F350" s="2">
        <v>0.39154499999999998</v>
      </c>
      <c r="G350" s="2">
        <v>0.92306699999999997</v>
      </c>
      <c r="H350" s="2">
        <v>1.23726</v>
      </c>
    </row>
    <row r="351" spans="1:8" s="2" customFormat="1" ht="15" x14ac:dyDescent="0.2">
      <c r="A351" s="2" t="s">
        <v>1750</v>
      </c>
      <c r="B351" s="2" t="s">
        <v>3287</v>
      </c>
      <c r="C351" s="2" t="s">
        <v>2045</v>
      </c>
      <c r="D351" s="2" t="s">
        <v>1839</v>
      </c>
      <c r="E351" s="2" t="s">
        <v>1841</v>
      </c>
      <c r="F351" s="2">
        <v>1.4910000000000001</v>
      </c>
      <c r="G351" s="2">
        <v>3.5146600000000001</v>
      </c>
      <c r="H351" s="2">
        <v>1.2371000000000001</v>
      </c>
    </row>
    <row r="352" spans="1:8" s="2" customFormat="1" ht="15" x14ac:dyDescent="0.2">
      <c r="A352" s="2" t="s">
        <v>1713</v>
      </c>
      <c r="B352" s="2" t="s">
        <v>3015</v>
      </c>
      <c r="C352" s="2" t="s">
        <v>2875</v>
      </c>
      <c r="D352" s="2" t="s">
        <v>1839</v>
      </c>
      <c r="E352" s="2" t="s">
        <v>1841</v>
      </c>
      <c r="F352" s="2">
        <v>1.0409200000000001</v>
      </c>
      <c r="G352" s="2">
        <v>2.4532099999999999</v>
      </c>
      <c r="H352" s="2">
        <v>1.23681</v>
      </c>
    </row>
    <row r="353" spans="1:8" s="2" customFormat="1" ht="15" x14ac:dyDescent="0.2">
      <c r="A353" s="2" t="s">
        <v>164</v>
      </c>
      <c r="B353" s="2" t="s">
        <v>3058</v>
      </c>
      <c r="C353" s="2" t="s">
        <v>2671</v>
      </c>
      <c r="D353" s="2" t="s">
        <v>1839</v>
      </c>
      <c r="E353" s="2" t="s">
        <v>1841</v>
      </c>
      <c r="F353" s="2">
        <v>3.81942</v>
      </c>
      <c r="G353" s="2">
        <v>8.9963899999999999</v>
      </c>
      <c r="H353" s="2">
        <v>1.2359899999999999</v>
      </c>
    </row>
    <row r="354" spans="1:8" s="2" customFormat="1" ht="15" x14ac:dyDescent="0.2">
      <c r="A354" s="2" t="s">
        <v>694</v>
      </c>
      <c r="B354" s="2" t="s">
        <v>3062</v>
      </c>
      <c r="C354" s="2" t="s">
        <v>2188</v>
      </c>
      <c r="D354" s="2" t="s">
        <v>1839</v>
      </c>
      <c r="E354" s="2" t="s">
        <v>1841</v>
      </c>
      <c r="F354" s="2">
        <v>3.1656900000000001</v>
      </c>
      <c r="G354" s="2">
        <v>7.4479600000000001</v>
      </c>
      <c r="H354" s="2">
        <v>1.2343200000000001</v>
      </c>
    </row>
    <row r="355" spans="1:8" s="2" customFormat="1" ht="15" x14ac:dyDescent="0.2">
      <c r="A355" s="2" t="s">
        <v>43</v>
      </c>
      <c r="B355" s="2" t="s">
        <v>3015</v>
      </c>
      <c r="C355" s="2" t="s">
        <v>2627</v>
      </c>
      <c r="D355" s="2" t="s">
        <v>1839</v>
      </c>
      <c r="E355" s="2" t="s">
        <v>1841</v>
      </c>
      <c r="F355" s="2">
        <v>6.0851499999999996</v>
      </c>
      <c r="G355" s="2">
        <v>14.311500000000001</v>
      </c>
      <c r="H355" s="2">
        <v>1.2338100000000001</v>
      </c>
    </row>
    <row r="356" spans="1:8" s="2" customFormat="1" ht="15" x14ac:dyDescent="0.2">
      <c r="A356" s="2" t="s">
        <v>193</v>
      </c>
      <c r="B356" s="2" t="s">
        <v>3103</v>
      </c>
      <c r="C356" s="2" t="s">
        <v>2678</v>
      </c>
      <c r="D356" s="2" t="s">
        <v>1839</v>
      </c>
      <c r="E356" s="2" t="s">
        <v>1841</v>
      </c>
      <c r="F356" s="2">
        <v>1.0705899999999999</v>
      </c>
      <c r="G356" s="2">
        <v>2.51512</v>
      </c>
      <c r="H356" s="2">
        <v>1.2322200000000001</v>
      </c>
    </row>
    <row r="357" spans="1:8" s="2" customFormat="1" ht="15" x14ac:dyDescent="0.2">
      <c r="A357" s="2" t="s">
        <v>1323</v>
      </c>
      <c r="B357" s="2" t="s">
        <v>3093</v>
      </c>
      <c r="C357" s="2" t="s">
        <v>2473</v>
      </c>
      <c r="D357" s="2" t="s">
        <v>1839</v>
      </c>
      <c r="E357" s="2" t="s">
        <v>1841</v>
      </c>
      <c r="F357" s="2">
        <v>0.41998000000000002</v>
      </c>
      <c r="G357" s="2">
        <v>0.98652399999999996</v>
      </c>
      <c r="H357" s="2">
        <v>1.23203</v>
      </c>
    </row>
    <row r="358" spans="1:8" s="2" customFormat="1" ht="15" x14ac:dyDescent="0.2">
      <c r="A358" s="2" t="s">
        <v>1655</v>
      </c>
      <c r="B358" s="2" t="s">
        <v>3095</v>
      </c>
      <c r="C358" s="2" t="s">
        <v>2822</v>
      </c>
      <c r="D358" s="2" t="s">
        <v>1839</v>
      </c>
      <c r="E358" s="2" t="s">
        <v>1841</v>
      </c>
      <c r="F358" s="2">
        <v>0.60057799999999995</v>
      </c>
      <c r="G358" s="2">
        <v>1.4106000000000001</v>
      </c>
      <c r="H358" s="2">
        <v>1.2318899999999999</v>
      </c>
    </row>
    <row r="359" spans="1:8" s="2" customFormat="1" ht="15" x14ac:dyDescent="0.2">
      <c r="A359" s="2" t="s">
        <v>1639</v>
      </c>
      <c r="B359" s="2" t="s">
        <v>3025</v>
      </c>
      <c r="C359" s="2" t="s">
        <v>2805</v>
      </c>
      <c r="D359" s="2" t="s">
        <v>1839</v>
      </c>
      <c r="E359" s="2" t="s">
        <v>1841</v>
      </c>
      <c r="F359" s="2">
        <v>0.66335900000000003</v>
      </c>
      <c r="G359" s="2">
        <v>1.5526800000000001</v>
      </c>
      <c r="H359" s="2">
        <v>1.2269000000000001</v>
      </c>
    </row>
    <row r="360" spans="1:8" s="2" customFormat="1" ht="15" x14ac:dyDescent="0.2">
      <c r="A360" s="2" t="s">
        <v>1430</v>
      </c>
      <c r="B360" s="2" t="s">
        <v>3474</v>
      </c>
      <c r="C360" s="2" t="s">
        <v>2930</v>
      </c>
      <c r="D360" s="2" t="s">
        <v>1839</v>
      </c>
      <c r="E360" s="2" t="s">
        <v>1841</v>
      </c>
      <c r="F360" s="2">
        <v>45.774299999999997</v>
      </c>
      <c r="G360" s="2">
        <v>107.11</v>
      </c>
      <c r="H360" s="2">
        <v>1.2264900000000001</v>
      </c>
    </row>
    <row r="361" spans="1:8" s="2" customFormat="1" ht="15" x14ac:dyDescent="0.2">
      <c r="A361" s="2" t="s">
        <v>624</v>
      </c>
      <c r="B361" s="2" t="s">
        <v>3158</v>
      </c>
      <c r="C361" s="2" t="s">
        <v>2520</v>
      </c>
      <c r="D361" s="2" t="s">
        <v>1839</v>
      </c>
      <c r="E361" s="2" t="s">
        <v>1841</v>
      </c>
      <c r="F361" s="2">
        <v>4.3082799999999999</v>
      </c>
      <c r="G361" s="2">
        <v>10.0657</v>
      </c>
      <c r="H361" s="2">
        <v>1.2242599999999999</v>
      </c>
    </row>
    <row r="362" spans="1:8" s="2" customFormat="1" ht="15" x14ac:dyDescent="0.2">
      <c r="A362" s="2" t="s">
        <v>920</v>
      </c>
      <c r="B362" s="2" t="s">
        <v>3237</v>
      </c>
      <c r="C362" s="2" t="s">
        <v>2271</v>
      </c>
      <c r="D362" s="2" t="s">
        <v>1839</v>
      </c>
      <c r="E362" s="2" t="s">
        <v>1841</v>
      </c>
      <c r="F362" s="2">
        <v>15.658099999999999</v>
      </c>
      <c r="G362" s="2">
        <v>36.575099999999999</v>
      </c>
      <c r="H362" s="2">
        <v>1.2239500000000001</v>
      </c>
    </row>
    <row r="363" spans="1:8" s="2" customFormat="1" ht="15" x14ac:dyDescent="0.2">
      <c r="A363" s="2" t="s">
        <v>497</v>
      </c>
      <c r="B363" s="2" t="s">
        <v>3030</v>
      </c>
      <c r="C363" s="2" t="s">
        <v>2017</v>
      </c>
      <c r="D363" s="2" t="s">
        <v>1839</v>
      </c>
      <c r="E363" s="2" t="s">
        <v>1841</v>
      </c>
      <c r="F363" s="2">
        <v>1.67099</v>
      </c>
      <c r="G363" s="2">
        <v>3.90021</v>
      </c>
      <c r="H363" s="2">
        <v>1.22285</v>
      </c>
    </row>
    <row r="364" spans="1:8" s="2" customFormat="1" ht="15" x14ac:dyDescent="0.2">
      <c r="A364" s="2" t="s">
        <v>1563</v>
      </c>
      <c r="B364" s="2" t="s">
        <v>3351</v>
      </c>
      <c r="C364" s="2" t="s">
        <v>1964</v>
      </c>
      <c r="D364" s="2" t="s">
        <v>1839</v>
      </c>
      <c r="E364" s="2" t="s">
        <v>1841</v>
      </c>
      <c r="F364" s="2">
        <v>0.50949100000000003</v>
      </c>
      <c r="G364" s="2">
        <v>1.1873</v>
      </c>
      <c r="H364" s="2">
        <v>1.22055</v>
      </c>
    </row>
    <row r="365" spans="1:8" s="2" customFormat="1" ht="15" x14ac:dyDescent="0.2">
      <c r="A365" s="2" t="s">
        <v>310</v>
      </c>
      <c r="B365" s="2" t="s">
        <v>3416</v>
      </c>
      <c r="C365" s="2" t="s">
        <v>1847</v>
      </c>
      <c r="D365" s="2" t="s">
        <v>1839</v>
      </c>
      <c r="E365" s="2" t="s">
        <v>1841</v>
      </c>
      <c r="F365" s="2">
        <v>0.66113299999999997</v>
      </c>
      <c r="G365" s="2">
        <v>1.53881</v>
      </c>
      <c r="H365" s="2">
        <v>1.2188000000000001</v>
      </c>
    </row>
    <row r="366" spans="1:8" s="2" customFormat="1" ht="15" x14ac:dyDescent="0.2">
      <c r="A366" s="2" t="s">
        <v>68</v>
      </c>
      <c r="B366" s="2" t="s">
        <v>3015</v>
      </c>
      <c r="C366" s="2" t="s">
        <v>2383</v>
      </c>
      <c r="D366" s="2" t="s">
        <v>1839</v>
      </c>
      <c r="E366" s="2" t="s">
        <v>1841</v>
      </c>
      <c r="F366" s="2">
        <v>12.084199999999999</v>
      </c>
      <c r="G366" s="2">
        <v>28.123899999999999</v>
      </c>
      <c r="H366" s="2">
        <v>1.2186699999999999</v>
      </c>
    </row>
    <row r="367" spans="1:8" s="2" customFormat="1" ht="15" x14ac:dyDescent="0.2">
      <c r="A367" s="2" t="s">
        <v>659</v>
      </c>
      <c r="B367" s="2" t="s">
        <v>3301</v>
      </c>
      <c r="C367" s="2" t="s">
        <v>2269</v>
      </c>
      <c r="D367" s="2" t="s">
        <v>1839</v>
      </c>
      <c r="E367" s="2" t="s">
        <v>1841</v>
      </c>
      <c r="F367" s="2">
        <v>0.57785600000000004</v>
      </c>
      <c r="G367" s="2">
        <v>1.3446400000000001</v>
      </c>
      <c r="H367" s="2">
        <v>1.21844</v>
      </c>
    </row>
    <row r="368" spans="1:8" s="2" customFormat="1" ht="15" x14ac:dyDescent="0.2">
      <c r="A368" s="2" t="s">
        <v>1081</v>
      </c>
      <c r="B368" s="2" t="s">
        <v>3158</v>
      </c>
      <c r="C368" s="2" t="s">
        <v>2607</v>
      </c>
      <c r="D368" s="2" t="s">
        <v>1839</v>
      </c>
      <c r="E368" s="2" t="s">
        <v>1841</v>
      </c>
      <c r="F368" s="2">
        <v>4.2150699999999999</v>
      </c>
      <c r="G368" s="2">
        <v>9.8080400000000001</v>
      </c>
      <c r="H368" s="2">
        <v>1.21841</v>
      </c>
    </row>
    <row r="369" spans="1:8" s="2" customFormat="1" ht="15" x14ac:dyDescent="0.2">
      <c r="A369" s="2" t="s">
        <v>1532</v>
      </c>
      <c r="B369" s="2" t="s">
        <v>3015</v>
      </c>
      <c r="C369" s="2" t="s">
        <v>3015</v>
      </c>
      <c r="D369" s="2" t="s">
        <v>1839</v>
      </c>
      <c r="E369" s="2" t="s">
        <v>1841</v>
      </c>
      <c r="F369" s="2">
        <v>0.90350799999999998</v>
      </c>
      <c r="G369" s="2">
        <v>2.1022599999999998</v>
      </c>
      <c r="H369" s="2">
        <v>1.2183299999999999</v>
      </c>
    </row>
    <row r="370" spans="1:8" s="2" customFormat="1" ht="15" x14ac:dyDescent="0.2">
      <c r="A370" s="2" t="s">
        <v>776</v>
      </c>
      <c r="B370" s="2" t="s">
        <v>3015</v>
      </c>
      <c r="C370" s="2" t="s">
        <v>2876</v>
      </c>
      <c r="D370" s="2" t="s">
        <v>1839</v>
      </c>
      <c r="E370" s="2" t="s">
        <v>1841</v>
      </c>
      <c r="F370" s="2">
        <v>2.4123600000000001</v>
      </c>
      <c r="G370" s="2">
        <v>5.59551</v>
      </c>
      <c r="H370" s="2">
        <v>1.2138199999999999</v>
      </c>
    </row>
    <row r="371" spans="1:8" s="2" customFormat="1" ht="15" x14ac:dyDescent="0.2">
      <c r="A371" s="2" t="s">
        <v>1077</v>
      </c>
      <c r="B371" s="2" t="s">
        <v>3159</v>
      </c>
      <c r="C371" s="2" t="s">
        <v>2107</v>
      </c>
      <c r="D371" s="2" t="s">
        <v>1839</v>
      </c>
      <c r="E371" s="2" t="s">
        <v>1841</v>
      </c>
      <c r="F371" s="2">
        <v>24.973500000000001</v>
      </c>
      <c r="G371" s="2">
        <v>57.8658</v>
      </c>
      <c r="H371" s="2">
        <v>1.21231</v>
      </c>
    </row>
    <row r="372" spans="1:8" s="2" customFormat="1" ht="15" x14ac:dyDescent="0.2">
      <c r="A372" s="2" t="s">
        <v>536</v>
      </c>
      <c r="B372" s="2" t="s">
        <v>3094</v>
      </c>
      <c r="C372" s="2" t="s">
        <v>2792</v>
      </c>
      <c r="D372" s="2" t="s">
        <v>1839</v>
      </c>
      <c r="E372" s="2" t="s">
        <v>1841</v>
      </c>
      <c r="F372" s="2">
        <v>3.5234299999999998</v>
      </c>
      <c r="G372" s="2">
        <v>8.1548099999999994</v>
      </c>
      <c r="H372" s="2">
        <v>1.2106699999999999</v>
      </c>
    </row>
    <row r="373" spans="1:8" s="2" customFormat="1" ht="15" x14ac:dyDescent="0.2">
      <c r="A373" s="2" t="s">
        <v>1643</v>
      </c>
      <c r="B373" s="2" t="s">
        <v>3256</v>
      </c>
      <c r="C373" s="2" t="s">
        <v>2811</v>
      </c>
      <c r="D373" s="2" t="s">
        <v>1839</v>
      </c>
      <c r="E373" s="2" t="s">
        <v>1841</v>
      </c>
      <c r="F373" s="2">
        <v>1.3195300000000001</v>
      </c>
      <c r="G373" s="2">
        <v>3.05009</v>
      </c>
      <c r="H373" s="2">
        <v>1.2088300000000001</v>
      </c>
    </row>
    <row r="374" spans="1:8" s="2" customFormat="1" ht="15" x14ac:dyDescent="0.2">
      <c r="A374" s="2" t="s">
        <v>296</v>
      </c>
      <c r="B374" s="2" t="s">
        <v>3412</v>
      </c>
      <c r="C374" s="2" t="s">
        <v>1923</v>
      </c>
      <c r="D374" s="2" t="s">
        <v>1839</v>
      </c>
      <c r="E374" s="2" t="s">
        <v>1841</v>
      </c>
      <c r="F374" s="2">
        <v>15.673500000000001</v>
      </c>
      <c r="G374" s="2">
        <v>36.181800000000003</v>
      </c>
      <c r="H374" s="2">
        <v>1.2069399999999999</v>
      </c>
    </row>
    <row r="375" spans="1:8" s="2" customFormat="1" ht="15" x14ac:dyDescent="0.2">
      <c r="A375" s="2" t="s">
        <v>1738</v>
      </c>
      <c r="B375" s="2" t="s">
        <v>3467</v>
      </c>
      <c r="C375" s="2" t="s">
        <v>2908</v>
      </c>
      <c r="D375" s="2" t="s">
        <v>1839</v>
      </c>
      <c r="E375" s="2" t="s">
        <v>1841</v>
      </c>
      <c r="F375" s="2">
        <v>1.65524</v>
      </c>
      <c r="G375" s="2">
        <v>3.8149500000000001</v>
      </c>
      <c r="H375" s="2">
        <v>1.20462</v>
      </c>
    </row>
    <row r="376" spans="1:8" s="2" customFormat="1" ht="15" x14ac:dyDescent="0.2">
      <c r="A376" s="2" t="s">
        <v>1219</v>
      </c>
      <c r="B376" s="2" t="s">
        <v>3015</v>
      </c>
      <c r="C376" s="2" t="s">
        <v>2708</v>
      </c>
      <c r="D376" s="2" t="s">
        <v>1839</v>
      </c>
      <c r="E376" s="2" t="s">
        <v>1841</v>
      </c>
      <c r="F376" s="2">
        <v>1.08778</v>
      </c>
      <c r="G376" s="2">
        <v>2.5056699999999998</v>
      </c>
      <c r="H376" s="2">
        <v>1.20381</v>
      </c>
    </row>
    <row r="377" spans="1:8" s="2" customFormat="1" ht="15" x14ac:dyDescent="0.2">
      <c r="A377" s="2" t="s">
        <v>116</v>
      </c>
      <c r="B377" s="2" t="s">
        <v>3395</v>
      </c>
      <c r="C377" s="2" t="s">
        <v>2660</v>
      </c>
      <c r="D377" s="2" t="s">
        <v>1839</v>
      </c>
      <c r="E377" s="2" t="s">
        <v>1841</v>
      </c>
      <c r="F377" s="2">
        <v>2.3894500000000001</v>
      </c>
      <c r="G377" s="2">
        <v>5.4891100000000002</v>
      </c>
      <c r="H377" s="2">
        <v>1.1999</v>
      </c>
    </row>
    <row r="378" spans="1:8" s="2" customFormat="1" ht="15" x14ac:dyDescent="0.2">
      <c r="A378" s="2" t="s">
        <v>1012</v>
      </c>
      <c r="B378" s="2" t="s">
        <v>3015</v>
      </c>
      <c r="C378" s="2" t="s">
        <v>2317</v>
      </c>
      <c r="D378" s="2" t="s">
        <v>1839</v>
      </c>
      <c r="E378" s="2" t="s">
        <v>1841</v>
      </c>
      <c r="F378" s="2">
        <v>0.33588400000000002</v>
      </c>
      <c r="G378" s="2">
        <v>0.77074299999999996</v>
      </c>
      <c r="H378" s="2">
        <v>1.1982900000000001</v>
      </c>
    </row>
    <row r="379" spans="1:8" s="2" customFormat="1" ht="15" x14ac:dyDescent="0.2">
      <c r="A379" s="2" t="s">
        <v>1488</v>
      </c>
      <c r="B379" s="2" t="s">
        <v>3015</v>
      </c>
      <c r="C379" s="2" t="s">
        <v>3015</v>
      </c>
      <c r="D379" s="2" t="s">
        <v>1839</v>
      </c>
      <c r="E379" s="2" t="s">
        <v>1841</v>
      </c>
      <c r="F379" s="2">
        <v>0.391291</v>
      </c>
      <c r="G379" s="2">
        <v>0.89585899999999996</v>
      </c>
      <c r="H379" s="2">
        <v>1.19503</v>
      </c>
    </row>
    <row r="380" spans="1:8" s="2" customFormat="1" ht="15" x14ac:dyDescent="0.2">
      <c r="A380" s="2" t="s">
        <v>221</v>
      </c>
      <c r="B380" s="2" t="s">
        <v>3189</v>
      </c>
      <c r="C380" s="2" t="s">
        <v>2684</v>
      </c>
      <c r="D380" s="2" t="s">
        <v>1839</v>
      </c>
      <c r="E380" s="2" t="s">
        <v>1841</v>
      </c>
      <c r="F380" s="2">
        <v>1.7461899999999999</v>
      </c>
      <c r="G380" s="2">
        <v>3.9952000000000001</v>
      </c>
      <c r="H380" s="2">
        <v>1.1940500000000001</v>
      </c>
    </row>
    <row r="381" spans="1:8" s="2" customFormat="1" ht="15" x14ac:dyDescent="0.2">
      <c r="A381" s="2" t="s">
        <v>1779</v>
      </c>
      <c r="B381" s="2" t="s">
        <v>3015</v>
      </c>
      <c r="C381" s="2" t="s">
        <v>1862</v>
      </c>
      <c r="D381" s="2" t="s">
        <v>1839</v>
      </c>
      <c r="E381" s="2" t="s">
        <v>1841</v>
      </c>
      <c r="F381" s="2">
        <v>3.2970199999999998</v>
      </c>
      <c r="G381" s="2">
        <v>7.5392400000000004</v>
      </c>
      <c r="H381" s="2">
        <v>1.19326</v>
      </c>
    </row>
    <row r="382" spans="1:8" s="2" customFormat="1" ht="15" x14ac:dyDescent="0.2">
      <c r="A382" s="2" t="s">
        <v>1683</v>
      </c>
      <c r="B382" s="2" t="s">
        <v>3454</v>
      </c>
      <c r="C382" s="2" t="s">
        <v>2849</v>
      </c>
      <c r="D382" s="2" t="s">
        <v>1839</v>
      </c>
      <c r="E382" s="2" t="s">
        <v>1841</v>
      </c>
      <c r="F382" s="2">
        <v>0.38610899999999998</v>
      </c>
      <c r="G382" s="2">
        <v>0.881942</v>
      </c>
      <c r="H382" s="2">
        <v>1.1916800000000001</v>
      </c>
    </row>
    <row r="383" spans="1:8" s="2" customFormat="1" ht="15" x14ac:dyDescent="0.2">
      <c r="A383" s="2" t="s">
        <v>1212</v>
      </c>
      <c r="B383" s="2" t="s">
        <v>3306</v>
      </c>
      <c r="C383" s="2" t="s">
        <v>2430</v>
      </c>
      <c r="D383" s="2" t="s">
        <v>1839</v>
      </c>
      <c r="E383" s="2" t="s">
        <v>1841</v>
      </c>
      <c r="F383" s="2">
        <v>4.1922699999999997</v>
      </c>
      <c r="G383" s="2">
        <v>9.57057</v>
      </c>
      <c r="H383" s="2">
        <v>1.1908700000000001</v>
      </c>
    </row>
    <row r="384" spans="1:8" s="2" customFormat="1" ht="15" x14ac:dyDescent="0.2">
      <c r="A384" s="2" t="s">
        <v>1245</v>
      </c>
      <c r="B384" s="2" t="s">
        <v>3058</v>
      </c>
      <c r="C384" s="2" t="s">
        <v>1908</v>
      </c>
      <c r="D384" s="2" t="s">
        <v>1839</v>
      </c>
      <c r="E384" s="2" t="s">
        <v>1841</v>
      </c>
      <c r="F384" s="2">
        <v>5.6033999999999997</v>
      </c>
      <c r="G384" s="2">
        <v>12.7828</v>
      </c>
      <c r="H384" s="2">
        <v>1.1898299999999999</v>
      </c>
    </row>
    <row r="385" spans="1:8" s="2" customFormat="1" ht="15" x14ac:dyDescent="0.2">
      <c r="A385" s="2" t="s">
        <v>1602</v>
      </c>
      <c r="B385" s="2" t="s">
        <v>3015</v>
      </c>
      <c r="C385" s="2" t="s">
        <v>2764</v>
      </c>
      <c r="D385" s="2" t="s">
        <v>1839</v>
      </c>
      <c r="E385" s="2" t="s">
        <v>1841</v>
      </c>
      <c r="F385" s="2">
        <v>1.2925</v>
      </c>
      <c r="G385" s="2">
        <v>2.9485399999999999</v>
      </c>
      <c r="H385" s="2">
        <v>1.1898299999999999</v>
      </c>
    </row>
    <row r="386" spans="1:8" s="2" customFormat="1" ht="15" x14ac:dyDescent="0.2">
      <c r="A386" s="2" t="s">
        <v>1793</v>
      </c>
      <c r="B386" s="2" t="s">
        <v>3015</v>
      </c>
      <c r="C386" s="2" t="s">
        <v>2970</v>
      </c>
      <c r="D386" s="2" t="s">
        <v>1839</v>
      </c>
      <c r="E386" s="2" t="s">
        <v>1841</v>
      </c>
      <c r="F386" s="2">
        <v>0.85757099999999997</v>
      </c>
      <c r="G386" s="2">
        <v>1.95587</v>
      </c>
      <c r="H386" s="2">
        <v>1.1894800000000001</v>
      </c>
    </row>
    <row r="387" spans="1:8" s="2" customFormat="1" ht="15" x14ac:dyDescent="0.2">
      <c r="A387" s="2" t="s">
        <v>1484</v>
      </c>
      <c r="B387" s="2" t="s">
        <v>3015</v>
      </c>
      <c r="C387" s="2" t="s">
        <v>2625</v>
      </c>
      <c r="D387" s="2" t="s">
        <v>1839</v>
      </c>
      <c r="E387" s="2" t="s">
        <v>1841</v>
      </c>
      <c r="F387" s="2">
        <v>0.76190500000000005</v>
      </c>
      <c r="G387" s="2">
        <v>1.73407</v>
      </c>
      <c r="H387" s="2">
        <v>1.18648</v>
      </c>
    </row>
    <row r="388" spans="1:8" s="2" customFormat="1" ht="15" x14ac:dyDescent="0.2">
      <c r="A388" s="2" t="s">
        <v>327</v>
      </c>
      <c r="B388" s="2" t="s">
        <v>3315</v>
      </c>
      <c r="C388" s="2" t="s">
        <v>2421</v>
      </c>
      <c r="D388" s="2" t="s">
        <v>1839</v>
      </c>
      <c r="E388" s="2" t="s">
        <v>1841</v>
      </c>
      <c r="F388" s="2">
        <v>0.690662</v>
      </c>
      <c r="G388" s="2">
        <v>1.5649900000000001</v>
      </c>
      <c r="H388" s="2">
        <v>1.1800999999999999</v>
      </c>
    </row>
    <row r="389" spans="1:8" s="2" customFormat="1" ht="15" x14ac:dyDescent="0.2">
      <c r="A389" s="2" t="s">
        <v>1773</v>
      </c>
      <c r="B389" s="2" t="s">
        <v>3038</v>
      </c>
      <c r="C389" s="2" t="s">
        <v>2946</v>
      </c>
      <c r="D389" s="2" t="s">
        <v>1839</v>
      </c>
      <c r="E389" s="2" t="s">
        <v>1841</v>
      </c>
      <c r="F389" s="2">
        <v>0.70381199999999999</v>
      </c>
      <c r="G389" s="2">
        <v>1.5930599999999999</v>
      </c>
      <c r="H389" s="2">
        <v>1.1785399999999999</v>
      </c>
    </row>
    <row r="390" spans="1:8" s="2" customFormat="1" ht="15" x14ac:dyDescent="0.2">
      <c r="A390" s="2" t="s">
        <v>1717</v>
      </c>
      <c r="B390" s="2" t="s">
        <v>3015</v>
      </c>
      <c r="C390" s="2" t="s">
        <v>2880</v>
      </c>
      <c r="D390" s="2" t="s">
        <v>1839</v>
      </c>
      <c r="E390" s="2" t="s">
        <v>1841</v>
      </c>
      <c r="F390" s="2">
        <v>1.2552000000000001</v>
      </c>
      <c r="G390" s="2">
        <v>2.84104</v>
      </c>
      <c r="H390" s="2">
        <v>1.1785099999999999</v>
      </c>
    </row>
    <row r="391" spans="1:8" s="2" customFormat="1" ht="15" x14ac:dyDescent="0.2">
      <c r="A391" s="2" t="s">
        <v>1179</v>
      </c>
      <c r="B391" s="2" t="s">
        <v>3293</v>
      </c>
      <c r="C391" s="2" t="s">
        <v>1847</v>
      </c>
      <c r="D391" s="2" t="s">
        <v>1839</v>
      </c>
      <c r="E391" s="2" t="s">
        <v>1841</v>
      </c>
      <c r="F391" s="2">
        <v>5.3293799999999996</v>
      </c>
      <c r="G391" s="2">
        <v>12.057700000000001</v>
      </c>
      <c r="H391" s="2">
        <v>1.1779200000000001</v>
      </c>
    </row>
    <row r="392" spans="1:8" s="2" customFormat="1" ht="15" x14ac:dyDescent="0.2">
      <c r="A392" s="2" t="s">
        <v>537</v>
      </c>
      <c r="B392" s="2" t="s">
        <v>3352</v>
      </c>
      <c r="C392" s="2" t="s">
        <v>2793</v>
      </c>
      <c r="D392" s="2" t="s">
        <v>1839</v>
      </c>
      <c r="E392" s="2" t="s">
        <v>1841</v>
      </c>
      <c r="F392" s="2">
        <v>21.1876</v>
      </c>
      <c r="G392" s="2">
        <v>47.917700000000004</v>
      </c>
      <c r="H392" s="2">
        <v>1.1773400000000001</v>
      </c>
    </row>
    <row r="393" spans="1:8" s="2" customFormat="1" ht="15" x14ac:dyDescent="0.2">
      <c r="A393" s="2" t="s">
        <v>1630</v>
      </c>
      <c r="B393" s="2" t="s">
        <v>3437</v>
      </c>
      <c r="C393" s="2" t="s">
        <v>1847</v>
      </c>
      <c r="D393" s="2" t="s">
        <v>1839</v>
      </c>
      <c r="E393" s="2" t="s">
        <v>1841</v>
      </c>
      <c r="F393" s="2">
        <v>1.69774</v>
      </c>
      <c r="G393" s="2">
        <v>3.8383699999999998</v>
      </c>
      <c r="H393" s="2">
        <v>1.1768799999999999</v>
      </c>
    </row>
    <row r="394" spans="1:8" s="2" customFormat="1" ht="15" x14ac:dyDescent="0.2">
      <c r="A394" s="2" t="s">
        <v>1181</v>
      </c>
      <c r="B394" s="2" t="s">
        <v>3398</v>
      </c>
      <c r="C394" s="2" t="s">
        <v>2668</v>
      </c>
      <c r="D394" s="2" t="s">
        <v>1839</v>
      </c>
      <c r="E394" s="2" t="s">
        <v>1841</v>
      </c>
      <c r="F394" s="2">
        <v>10.0108</v>
      </c>
      <c r="G394" s="2">
        <v>22.5809</v>
      </c>
      <c r="H394" s="2">
        <v>1.1735500000000001</v>
      </c>
    </row>
    <row r="395" spans="1:8" s="2" customFormat="1" ht="15" x14ac:dyDescent="0.2">
      <c r="A395" s="2" t="s">
        <v>309</v>
      </c>
      <c r="B395" s="2" t="s">
        <v>3063</v>
      </c>
      <c r="C395" s="2" t="s">
        <v>2726</v>
      </c>
      <c r="D395" s="2" t="s">
        <v>1839</v>
      </c>
      <c r="E395" s="2" t="s">
        <v>1841</v>
      </c>
      <c r="F395" s="2">
        <v>2.2638600000000002</v>
      </c>
      <c r="G395" s="2">
        <v>5.1023300000000003</v>
      </c>
      <c r="H395" s="2">
        <v>1.1723699999999999</v>
      </c>
    </row>
    <row r="396" spans="1:8" s="2" customFormat="1" ht="15" x14ac:dyDescent="0.2">
      <c r="A396" s="2" t="s">
        <v>1512</v>
      </c>
      <c r="B396" s="2" t="s">
        <v>3357</v>
      </c>
      <c r="C396" s="2" t="s">
        <v>2664</v>
      </c>
      <c r="D396" s="2" t="s">
        <v>1839</v>
      </c>
      <c r="E396" s="2" t="s">
        <v>1841</v>
      </c>
      <c r="F396" s="2">
        <v>8.1190700000000007</v>
      </c>
      <c r="G396" s="2">
        <v>18.287099999999999</v>
      </c>
      <c r="H396" s="2">
        <v>1.17144</v>
      </c>
    </row>
    <row r="397" spans="1:8" s="2" customFormat="1" ht="15" x14ac:dyDescent="0.2">
      <c r="A397" s="2" t="s">
        <v>1379</v>
      </c>
      <c r="B397" s="2" t="s">
        <v>3403</v>
      </c>
      <c r="C397" s="2" t="s">
        <v>2867</v>
      </c>
      <c r="D397" s="2" t="s">
        <v>1839</v>
      </c>
      <c r="E397" s="2" t="s">
        <v>1841</v>
      </c>
      <c r="F397" s="2">
        <v>6.1627099999999997</v>
      </c>
      <c r="G397" s="2">
        <v>13.867599999999999</v>
      </c>
      <c r="H397" s="2">
        <v>1.17008</v>
      </c>
    </row>
    <row r="398" spans="1:8" s="2" customFormat="1" ht="15" x14ac:dyDescent="0.2">
      <c r="A398" s="2" t="s">
        <v>1685</v>
      </c>
      <c r="B398" s="2" t="s">
        <v>3015</v>
      </c>
      <c r="C398" s="2" t="s">
        <v>2854</v>
      </c>
      <c r="D398" s="2" t="s">
        <v>1839</v>
      </c>
      <c r="E398" s="2" t="s">
        <v>1841</v>
      </c>
      <c r="F398" s="2">
        <v>0.83279300000000001</v>
      </c>
      <c r="G398" s="2">
        <v>1.8693599999999999</v>
      </c>
      <c r="H398" s="2">
        <v>1.1665099999999999</v>
      </c>
    </row>
    <row r="399" spans="1:8" s="2" customFormat="1" ht="15" x14ac:dyDescent="0.2">
      <c r="A399" s="2" t="s">
        <v>1519</v>
      </c>
      <c r="B399" s="2" t="s">
        <v>3015</v>
      </c>
      <c r="C399" s="2" t="s">
        <v>1862</v>
      </c>
      <c r="D399" s="2" t="s">
        <v>1839</v>
      </c>
      <c r="E399" s="2" t="s">
        <v>1841</v>
      </c>
      <c r="F399" s="2">
        <v>0.623367</v>
      </c>
      <c r="G399" s="2">
        <v>1.3989100000000001</v>
      </c>
      <c r="H399" s="2">
        <v>1.16615</v>
      </c>
    </row>
    <row r="400" spans="1:8" s="2" customFormat="1" ht="15" x14ac:dyDescent="0.2">
      <c r="A400" s="2" t="s">
        <v>1736</v>
      </c>
      <c r="B400" s="2" t="s">
        <v>3015</v>
      </c>
      <c r="C400" s="2" t="s">
        <v>2903</v>
      </c>
      <c r="D400" s="2" t="s">
        <v>1839</v>
      </c>
      <c r="E400" s="2" t="s">
        <v>1841</v>
      </c>
      <c r="F400" s="2">
        <v>0.893648</v>
      </c>
      <c r="G400" s="2">
        <v>2.00495</v>
      </c>
      <c r="H400" s="2">
        <v>1.1657900000000001</v>
      </c>
    </row>
    <row r="401" spans="1:8" s="2" customFormat="1" ht="15" x14ac:dyDescent="0.2">
      <c r="A401" s="2" t="s">
        <v>403</v>
      </c>
      <c r="B401" s="2" t="s">
        <v>3035</v>
      </c>
      <c r="C401" s="2" t="s">
        <v>1892</v>
      </c>
      <c r="D401" s="2" t="s">
        <v>1839</v>
      </c>
      <c r="E401" s="2" t="s">
        <v>1841</v>
      </c>
      <c r="F401" s="2">
        <v>5.3833000000000002</v>
      </c>
      <c r="G401" s="2">
        <v>12.045999999999999</v>
      </c>
      <c r="H401" s="2">
        <v>1.1619900000000001</v>
      </c>
    </row>
    <row r="402" spans="1:8" s="2" customFormat="1" ht="15" x14ac:dyDescent="0.2">
      <c r="A402" s="2" t="s">
        <v>1238</v>
      </c>
      <c r="B402" s="2" t="s">
        <v>3417</v>
      </c>
      <c r="C402" s="2" t="s">
        <v>1844</v>
      </c>
      <c r="D402" s="2" t="s">
        <v>1839</v>
      </c>
      <c r="E402" s="2" t="s">
        <v>1841</v>
      </c>
      <c r="F402" s="2">
        <v>3.0264099999999998</v>
      </c>
      <c r="G402" s="2">
        <v>6.7654800000000002</v>
      </c>
      <c r="H402" s="2">
        <v>1.1605799999999999</v>
      </c>
    </row>
    <row r="403" spans="1:8" s="2" customFormat="1" ht="15" x14ac:dyDescent="0.2">
      <c r="A403" s="2" t="s">
        <v>1577</v>
      </c>
      <c r="B403" s="2" t="s">
        <v>3015</v>
      </c>
      <c r="C403" s="2" t="s">
        <v>1847</v>
      </c>
      <c r="D403" s="2" t="s">
        <v>1839</v>
      </c>
      <c r="E403" s="2" t="s">
        <v>1841</v>
      </c>
      <c r="F403" s="2">
        <v>1.33785</v>
      </c>
      <c r="G403" s="2">
        <v>2.9873599999999998</v>
      </c>
      <c r="H403" s="2">
        <v>1.15896</v>
      </c>
    </row>
    <row r="404" spans="1:8" s="2" customFormat="1" ht="15" x14ac:dyDescent="0.2">
      <c r="A404" s="2" t="s">
        <v>1529</v>
      </c>
      <c r="B404" s="2" t="s">
        <v>3037</v>
      </c>
      <c r="C404" s="2" t="s">
        <v>2677</v>
      </c>
      <c r="D404" s="2" t="s">
        <v>1839</v>
      </c>
      <c r="E404" s="2" t="s">
        <v>1841</v>
      </c>
      <c r="F404" s="2">
        <v>3.7332700000000001</v>
      </c>
      <c r="G404" s="2">
        <v>8.3323900000000002</v>
      </c>
      <c r="H404" s="2">
        <v>1.15829</v>
      </c>
    </row>
    <row r="405" spans="1:8" s="2" customFormat="1" ht="15" x14ac:dyDescent="0.2">
      <c r="A405" s="2" t="s">
        <v>1789</v>
      </c>
      <c r="B405" s="2" t="s">
        <v>3483</v>
      </c>
      <c r="C405" s="2" t="s">
        <v>2965</v>
      </c>
      <c r="D405" s="2" t="s">
        <v>1839</v>
      </c>
      <c r="E405" s="2" t="s">
        <v>1841</v>
      </c>
      <c r="F405" s="2">
        <v>0.37468699999999999</v>
      </c>
      <c r="G405" s="2">
        <v>0.836256</v>
      </c>
      <c r="H405" s="2">
        <v>1.1582600000000001</v>
      </c>
    </row>
    <row r="406" spans="1:8" s="2" customFormat="1" ht="15" x14ac:dyDescent="0.2">
      <c r="A406" s="2" t="s">
        <v>1764</v>
      </c>
      <c r="B406" s="2" t="s">
        <v>3015</v>
      </c>
      <c r="C406" s="2" t="s">
        <v>2936</v>
      </c>
      <c r="D406" s="2" t="s">
        <v>1839</v>
      </c>
      <c r="E406" s="2" t="s">
        <v>1841</v>
      </c>
      <c r="F406" s="2">
        <v>1.6423300000000001</v>
      </c>
      <c r="G406" s="2">
        <v>3.6625700000000001</v>
      </c>
      <c r="H406" s="2">
        <v>1.1571100000000001</v>
      </c>
    </row>
    <row r="407" spans="1:8" s="2" customFormat="1" ht="15" x14ac:dyDescent="0.2">
      <c r="A407" s="2" t="s">
        <v>1468</v>
      </c>
      <c r="B407" s="2" t="s">
        <v>3015</v>
      </c>
      <c r="C407" s="2" t="s">
        <v>3015</v>
      </c>
      <c r="D407" s="2" t="s">
        <v>1839</v>
      </c>
      <c r="E407" s="2" t="s">
        <v>1841</v>
      </c>
      <c r="F407" s="2">
        <v>0.67998400000000003</v>
      </c>
      <c r="G407" s="2">
        <v>1.51502</v>
      </c>
      <c r="H407" s="2">
        <v>1.1557599999999999</v>
      </c>
    </row>
    <row r="408" spans="1:8" s="2" customFormat="1" ht="15" x14ac:dyDescent="0.2">
      <c r="A408" s="2" t="s">
        <v>607</v>
      </c>
      <c r="B408" s="2" t="s">
        <v>3175</v>
      </c>
      <c r="C408" s="2" t="s">
        <v>2127</v>
      </c>
      <c r="D408" s="2" t="s">
        <v>1839</v>
      </c>
      <c r="E408" s="2" t="s">
        <v>1841</v>
      </c>
      <c r="F408" s="2">
        <v>1.6270100000000001</v>
      </c>
      <c r="G408" s="2">
        <v>3.6110699999999998</v>
      </c>
      <c r="H408" s="2">
        <v>1.15021</v>
      </c>
    </row>
    <row r="409" spans="1:8" s="2" customFormat="1" ht="15" x14ac:dyDescent="0.2">
      <c r="A409" s="2" t="s">
        <v>1384</v>
      </c>
      <c r="B409" s="2" t="s">
        <v>3095</v>
      </c>
      <c r="C409" s="2" t="s">
        <v>2560</v>
      </c>
      <c r="D409" s="2" t="s">
        <v>1839</v>
      </c>
      <c r="E409" s="2" t="s">
        <v>1841</v>
      </c>
      <c r="F409" s="2">
        <v>0.45470500000000003</v>
      </c>
      <c r="G409" s="2">
        <v>1.0083899999999999</v>
      </c>
      <c r="H409" s="2">
        <v>1.1490499999999999</v>
      </c>
    </row>
    <row r="410" spans="1:8" s="2" customFormat="1" ht="15" x14ac:dyDescent="0.2">
      <c r="A410" s="2" t="s">
        <v>1703</v>
      </c>
      <c r="B410" s="2" t="s">
        <v>3276</v>
      </c>
      <c r="C410" s="2" t="s">
        <v>2868</v>
      </c>
      <c r="D410" s="2" t="s">
        <v>1839</v>
      </c>
      <c r="E410" s="2" t="s">
        <v>1841</v>
      </c>
      <c r="F410" s="2">
        <v>0.71282599999999996</v>
      </c>
      <c r="G410" s="2">
        <v>1.5795399999999999</v>
      </c>
      <c r="H410" s="2">
        <v>1.14788</v>
      </c>
    </row>
    <row r="411" spans="1:8" s="2" customFormat="1" ht="15" x14ac:dyDescent="0.2">
      <c r="A411" s="2" t="s">
        <v>111</v>
      </c>
      <c r="B411" s="2" t="s">
        <v>3015</v>
      </c>
      <c r="C411" s="2" t="s">
        <v>2658</v>
      </c>
      <c r="D411" s="2" t="s">
        <v>1839</v>
      </c>
      <c r="E411" s="2" t="s">
        <v>1841</v>
      </c>
      <c r="F411" s="2">
        <v>9.8488500000000005</v>
      </c>
      <c r="G411" s="2">
        <v>21.789000000000001</v>
      </c>
      <c r="H411" s="2">
        <v>1.14557</v>
      </c>
    </row>
    <row r="412" spans="1:8" s="2" customFormat="1" ht="15" x14ac:dyDescent="0.2">
      <c r="A412" s="2" t="s">
        <v>76</v>
      </c>
      <c r="B412" s="2" t="s">
        <v>3015</v>
      </c>
      <c r="C412" s="2" t="s">
        <v>1847</v>
      </c>
      <c r="D412" s="2" t="s">
        <v>1839</v>
      </c>
      <c r="E412" s="2" t="s">
        <v>1841</v>
      </c>
      <c r="F412" s="2">
        <v>97.059200000000004</v>
      </c>
      <c r="G412" s="2">
        <v>214.61699999999999</v>
      </c>
      <c r="H412" s="2">
        <v>1.14483</v>
      </c>
    </row>
    <row r="413" spans="1:8" s="2" customFormat="1" ht="15" x14ac:dyDescent="0.2">
      <c r="A413" s="2" t="s">
        <v>1083</v>
      </c>
      <c r="B413" s="2" t="s">
        <v>3080</v>
      </c>
      <c r="C413" s="2" t="s">
        <v>2350</v>
      </c>
      <c r="D413" s="2" t="s">
        <v>1839</v>
      </c>
      <c r="E413" s="2" t="s">
        <v>1841</v>
      </c>
      <c r="F413" s="2">
        <v>1.18364</v>
      </c>
      <c r="G413" s="2">
        <v>2.6086100000000001</v>
      </c>
      <c r="H413" s="2">
        <v>1.14005</v>
      </c>
    </row>
    <row r="414" spans="1:8" s="2" customFormat="1" ht="15" x14ac:dyDescent="0.2">
      <c r="A414" s="2" t="s">
        <v>96</v>
      </c>
      <c r="B414" s="2" t="s">
        <v>3390</v>
      </c>
      <c r="C414" s="2" t="s">
        <v>2649</v>
      </c>
      <c r="D414" s="2" t="s">
        <v>1839</v>
      </c>
      <c r="E414" s="2" t="s">
        <v>1841</v>
      </c>
      <c r="F414" s="2">
        <v>25.674299999999999</v>
      </c>
      <c r="G414" s="2">
        <v>56.570999999999998</v>
      </c>
      <c r="H414" s="2">
        <v>1.13974</v>
      </c>
    </row>
    <row r="415" spans="1:8" s="2" customFormat="1" ht="15" x14ac:dyDescent="0.2">
      <c r="A415" s="2" t="s">
        <v>1678</v>
      </c>
      <c r="B415" s="2" t="s">
        <v>3015</v>
      </c>
      <c r="C415" s="2" t="s">
        <v>2092</v>
      </c>
      <c r="D415" s="2" t="s">
        <v>1839</v>
      </c>
      <c r="E415" s="2" t="s">
        <v>1841</v>
      </c>
      <c r="F415" s="2">
        <v>0.91045100000000001</v>
      </c>
      <c r="G415" s="2">
        <v>2.0038399999999998</v>
      </c>
      <c r="H415" s="2">
        <v>1.13811</v>
      </c>
    </row>
    <row r="416" spans="1:8" s="2" customFormat="1" ht="15" x14ac:dyDescent="0.2">
      <c r="A416" s="2" t="s">
        <v>1215</v>
      </c>
      <c r="B416" s="2" t="s">
        <v>3032</v>
      </c>
      <c r="C416" s="2" t="s">
        <v>2230</v>
      </c>
      <c r="D416" s="2" t="s">
        <v>1839</v>
      </c>
      <c r="E416" s="2" t="s">
        <v>1841</v>
      </c>
      <c r="F416" s="2">
        <v>1.17964</v>
      </c>
      <c r="G416" s="2">
        <v>2.5957300000000001</v>
      </c>
      <c r="H416" s="2">
        <v>1.1377900000000001</v>
      </c>
    </row>
    <row r="417" spans="1:8" s="2" customFormat="1" ht="15" x14ac:dyDescent="0.2">
      <c r="A417" s="2" t="s">
        <v>100</v>
      </c>
      <c r="B417" s="2" t="s">
        <v>3393</v>
      </c>
      <c r="C417" s="2" t="s">
        <v>2653</v>
      </c>
      <c r="D417" s="2" t="s">
        <v>1839</v>
      </c>
      <c r="E417" s="2" t="s">
        <v>1841</v>
      </c>
      <c r="F417" s="2">
        <v>0.52422000000000002</v>
      </c>
      <c r="G417" s="2">
        <v>1.1523600000000001</v>
      </c>
      <c r="H417" s="2">
        <v>1.13635</v>
      </c>
    </row>
    <row r="418" spans="1:8" s="2" customFormat="1" ht="15" x14ac:dyDescent="0.2">
      <c r="A418" s="2" t="s">
        <v>1745</v>
      </c>
      <c r="B418" s="2" t="s">
        <v>3015</v>
      </c>
      <c r="C418" s="2" t="s">
        <v>2129</v>
      </c>
      <c r="D418" s="2" t="s">
        <v>1839</v>
      </c>
      <c r="E418" s="2" t="s">
        <v>1841</v>
      </c>
      <c r="F418" s="2">
        <v>0.79022199999999998</v>
      </c>
      <c r="G418" s="2">
        <v>1.73672</v>
      </c>
      <c r="H418" s="2">
        <v>1.1360399999999999</v>
      </c>
    </row>
    <row r="419" spans="1:8" s="2" customFormat="1" ht="15" x14ac:dyDescent="0.2">
      <c r="A419" s="2" t="s">
        <v>856</v>
      </c>
      <c r="B419" s="2" t="s">
        <v>3443</v>
      </c>
      <c r="C419" s="2" t="s">
        <v>2901</v>
      </c>
      <c r="D419" s="2" t="s">
        <v>1839</v>
      </c>
      <c r="E419" s="2" t="s">
        <v>1841</v>
      </c>
      <c r="F419" s="2">
        <v>13.021100000000001</v>
      </c>
      <c r="G419" s="2">
        <v>28.611000000000001</v>
      </c>
      <c r="H419" s="2">
        <v>1.13571</v>
      </c>
    </row>
    <row r="420" spans="1:8" s="2" customFormat="1" ht="15" x14ac:dyDescent="0.2">
      <c r="A420" s="2" t="s">
        <v>720</v>
      </c>
      <c r="B420" s="2" t="s">
        <v>3037</v>
      </c>
      <c r="C420" s="2" t="s">
        <v>2216</v>
      </c>
      <c r="D420" s="2" t="s">
        <v>1839</v>
      </c>
      <c r="E420" s="2" t="s">
        <v>1841</v>
      </c>
      <c r="F420" s="2">
        <v>0.68738100000000002</v>
      </c>
      <c r="G420" s="2">
        <v>1.50952</v>
      </c>
      <c r="H420" s="2">
        <v>1.1349</v>
      </c>
    </row>
    <row r="421" spans="1:8" s="2" customFormat="1" ht="15" x14ac:dyDescent="0.2">
      <c r="A421" s="2" t="s">
        <v>87</v>
      </c>
      <c r="B421" s="2" t="s">
        <v>3080</v>
      </c>
      <c r="C421" s="2" t="s">
        <v>1937</v>
      </c>
      <c r="D421" s="2" t="s">
        <v>1839</v>
      </c>
      <c r="E421" s="2" t="s">
        <v>1841</v>
      </c>
      <c r="F421" s="2">
        <v>1.36158</v>
      </c>
      <c r="G421" s="2">
        <v>2.9870199999999998</v>
      </c>
      <c r="H421" s="2">
        <v>1.1334299999999999</v>
      </c>
    </row>
    <row r="422" spans="1:8" s="2" customFormat="1" ht="15" x14ac:dyDescent="0.2">
      <c r="A422" s="2" t="s">
        <v>1640</v>
      </c>
      <c r="B422" s="2" t="s">
        <v>3015</v>
      </c>
      <c r="C422" s="2" t="s">
        <v>3015</v>
      </c>
      <c r="D422" s="2" t="s">
        <v>1839</v>
      </c>
      <c r="E422" s="2" t="s">
        <v>1841</v>
      </c>
      <c r="F422" s="2">
        <v>0.47049099999999999</v>
      </c>
      <c r="G422" s="2">
        <v>1.0304</v>
      </c>
      <c r="H422" s="2">
        <v>1.13097</v>
      </c>
    </row>
    <row r="423" spans="1:8" s="2" customFormat="1" ht="15" x14ac:dyDescent="0.2">
      <c r="A423" s="2" t="s">
        <v>1235</v>
      </c>
      <c r="B423" s="2" t="s">
        <v>3015</v>
      </c>
      <c r="C423" s="2" t="s">
        <v>2444</v>
      </c>
      <c r="D423" s="2" t="s">
        <v>1839</v>
      </c>
      <c r="E423" s="2" t="s">
        <v>1841</v>
      </c>
      <c r="F423" s="2">
        <v>3.1591900000000002</v>
      </c>
      <c r="G423" s="2">
        <v>6.9088200000000004</v>
      </c>
      <c r="H423" s="2">
        <v>1.1288800000000001</v>
      </c>
    </row>
    <row r="424" spans="1:8" s="2" customFormat="1" ht="15" x14ac:dyDescent="0.2">
      <c r="A424" s="2" t="s">
        <v>1256</v>
      </c>
      <c r="B424" s="2" t="s">
        <v>3421</v>
      </c>
      <c r="C424" s="2" t="s">
        <v>2743</v>
      </c>
      <c r="D424" s="2" t="s">
        <v>1839</v>
      </c>
      <c r="E424" s="2" t="s">
        <v>1841</v>
      </c>
      <c r="F424" s="2">
        <v>9.58202</v>
      </c>
      <c r="G424" s="2">
        <v>20.922799999999999</v>
      </c>
      <c r="H424" s="2">
        <v>1.1266700000000001</v>
      </c>
    </row>
    <row r="425" spans="1:8" s="2" customFormat="1" ht="15" x14ac:dyDescent="0.2">
      <c r="A425" s="2" t="s">
        <v>765</v>
      </c>
      <c r="B425" s="2" t="s">
        <v>3081</v>
      </c>
      <c r="C425" s="2" t="s">
        <v>2353</v>
      </c>
      <c r="D425" s="2" t="s">
        <v>1839</v>
      </c>
      <c r="E425" s="2" t="s">
        <v>1841</v>
      </c>
      <c r="F425" s="2">
        <v>2.0183</v>
      </c>
      <c r="G425" s="2">
        <v>4.4062799999999998</v>
      </c>
      <c r="H425" s="2">
        <v>1.12642</v>
      </c>
    </row>
    <row r="426" spans="1:8" s="2" customFormat="1" ht="15" x14ac:dyDescent="0.2">
      <c r="A426" s="2" t="s">
        <v>722</v>
      </c>
      <c r="B426" s="2" t="s">
        <v>3015</v>
      </c>
      <c r="C426" s="2" t="s">
        <v>3015</v>
      </c>
      <c r="D426" s="2" t="s">
        <v>1839</v>
      </c>
      <c r="E426" s="2" t="s">
        <v>1841</v>
      </c>
      <c r="F426" s="2">
        <v>1.2039800000000001</v>
      </c>
      <c r="G426" s="2">
        <v>2.62662</v>
      </c>
      <c r="H426" s="2">
        <v>1.1253899999999999</v>
      </c>
    </row>
    <row r="427" spans="1:8" s="2" customFormat="1" ht="15" x14ac:dyDescent="0.2">
      <c r="A427" s="2" t="s">
        <v>483</v>
      </c>
      <c r="B427" s="2" t="s">
        <v>3429</v>
      </c>
      <c r="C427" s="2" t="s">
        <v>2777</v>
      </c>
      <c r="D427" s="2" t="s">
        <v>1839</v>
      </c>
      <c r="E427" s="2" t="s">
        <v>1841</v>
      </c>
      <c r="F427" s="2">
        <v>17.624400000000001</v>
      </c>
      <c r="G427" s="2">
        <v>38.436599999999999</v>
      </c>
      <c r="H427" s="2">
        <v>1.1249100000000001</v>
      </c>
    </row>
    <row r="428" spans="1:8" s="2" customFormat="1" ht="15" x14ac:dyDescent="0.2">
      <c r="A428" s="2" t="s">
        <v>1790</v>
      </c>
      <c r="B428" s="2" t="s">
        <v>3015</v>
      </c>
      <c r="C428" s="2" t="s">
        <v>1860</v>
      </c>
      <c r="D428" s="2" t="s">
        <v>1839</v>
      </c>
      <c r="E428" s="2" t="s">
        <v>1841</v>
      </c>
      <c r="F428" s="2">
        <v>2.52827</v>
      </c>
      <c r="G428" s="2">
        <v>5.5043699999999998</v>
      </c>
      <c r="H428" s="2">
        <v>1.12243</v>
      </c>
    </row>
    <row r="429" spans="1:8" s="2" customFormat="1" ht="15" x14ac:dyDescent="0.2">
      <c r="A429" s="2" t="s">
        <v>37</v>
      </c>
      <c r="B429" s="2" t="s">
        <v>3035</v>
      </c>
      <c r="C429" s="2" t="s">
        <v>1860</v>
      </c>
      <c r="D429" s="2" t="s">
        <v>1839</v>
      </c>
      <c r="E429" s="2" t="s">
        <v>1841</v>
      </c>
      <c r="F429" s="2">
        <v>8.3416099999999993</v>
      </c>
      <c r="G429" s="2">
        <v>18.156600000000001</v>
      </c>
      <c r="H429" s="2">
        <v>1.12209</v>
      </c>
    </row>
    <row r="430" spans="1:8" s="2" customFormat="1" ht="15" x14ac:dyDescent="0.2">
      <c r="A430" s="2" t="s">
        <v>1104</v>
      </c>
      <c r="B430" s="2" t="s">
        <v>3015</v>
      </c>
      <c r="C430" s="2" t="s">
        <v>3015</v>
      </c>
      <c r="D430" s="2" t="s">
        <v>1839</v>
      </c>
      <c r="E430" s="2" t="s">
        <v>1841</v>
      </c>
      <c r="F430" s="2">
        <v>10.9194</v>
      </c>
      <c r="G430" s="2">
        <v>23.761399999999998</v>
      </c>
      <c r="H430" s="2">
        <v>1.1217200000000001</v>
      </c>
    </row>
    <row r="431" spans="1:8" s="2" customFormat="1" ht="15" x14ac:dyDescent="0.2">
      <c r="A431" s="2" t="s">
        <v>916</v>
      </c>
      <c r="B431" s="2" t="s">
        <v>3025</v>
      </c>
      <c r="C431" s="2" t="s">
        <v>2269</v>
      </c>
      <c r="D431" s="2" t="s">
        <v>1839</v>
      </c>
      <c r="E431" s="2" t="s">
        <v>1841</v>
      </c>
      <c r="F431" s="2">
        <v>10.5304</v>
      </c>
      <c r="G431" s="2">
        <v>22.888300000000001</v>
      </c>
      <c r="H431" s="2">
        <v>1.12005</v>
      </c>
    </row>
    <row r="432" spans="1:8" s="2" customFormat="1" ht="15" x14ac:dyDescent="0.2">
      <c r="A432" s="2" t="s">
        <v>1023</v>
      </c>
      <c r="B432" s="2" t="s">
        <v>3089</v>
      </c>
      <c r="C432" s="2" t="s">
        <v>2775</v>
      </c>
      <c r="D432" s="2" t="s">
        <v>1839</v>
      </c>
      <c r="E432" s="2" t="s">
        <v>1841</v>
      </c>
      <c r="F432" s="2">
        <v>7.5493800000000002</v>
      </c>
      <c r="G432" s="2">
        <v>16.404699999999998</v>
      </c>
      <c r="H432" s="2">
        <v>1.11968</v>
      </c>
    </row>
    <row r="433" spans="1:8" s="2" customFormat="1" ht="15" x14ac:dyDescent="0.2">
      <c r="A433" s="2" t="s">
        <v>1591</v>
      </c>
      <c r="B433" s="2" t="s">
        <v>3015</v>
      </c>
      <c r="C433" s="2" t="s">
        <v>1847</v>
      </c>
      <c r="D433" s="2" t="s">
        <v>1839</v>
      </c>
      <c r="E433" s="2" t="s">
        <v>1841</v>
      </c>
      <c r="F433" s="2">
        <v>1.95821</v>
      </c>
      <c r="G433" s="2">
        <v>4.2521399999999998</v>
      </c>
      <c r="H433" s="2">
        <v>1.1186499999999999</v>
      </c>
    </row>
    <row r="434" spans="1:8" s="2" customFormat="1" ht="15" x14ac:dyDescent="0.2">
      <c r="A434" s="2" t="s">
        <v>1342</v>
      </c>
      <c r="B434" s="2" t="s">
        <v>3024</v>
      </c>
      <c r="C434" s="2" t="s">
        <v>2838</v>
      </c>
      <c r="D434" s="2" t="s">
        <v>1839</v>
      </c>
      <c r="E434" s="2" t="s">
        <v>1841</v>
      </c>
      <c r="F434" s="2">
        <v>5.1620499999999998</v>
      </c>
      <c r="G434" s="2">
        <v>11.202299999999999</v>
      </c>
      <c r="H434" s="2">
        <v>1.11778</v>
      </c>
    </row>
    <row r="435" spans="1:8" s="2" customFormat="1" ht="15" x14ac:dyDescent="0.2">
      <c r="A435" s="2" t="s">
        <v>1769</v>
      </c>
      <c r="B435" s="2" t="s">
        <v>3168</v>
      </c>
      <c r="C435" s="2" t="s">
        <v>2941</v>
      </c>
      <c r="D435" s="2" t="s">
        <v>1839</v>
      </c>
      <c r="E435" s="2" t="s">
        <v>1841</v>
      </c>
      <c r="F435" s="2">
        <v>0.83296000000000003</v>
      </c>
      <c r="G435" s="2">
        <v>1.80724</v>
      </c>
      <c r="H435" s="2">
        <v>1.11747</v>
      </c>
    </row>
    <row r="436" spans="1:8" s="2" customFormat="1" ht="15" x14ac:dyDescent="0.2">
      <c r="A436" s="2" t="s">
        <v>1239</v>
      </c>
      <c r="B436" s="2" t="s">
        <v>3015</v>
      </c>
      <c r="C436" s="2" t="s">
        <v>2730</v>
      </c>
      <c r="D436" s="2" t="s">
        <v>1839</v>
      </c>
      <c r="E436" s="2" t="s">
        <v>1841</v>
      </c>
      <c r="F436" s="2">
        <v>1.1563000000000001</v>
      </c>
      <c r="G436" s="2">
        <v>2.5048300000000001</v>
      </c>
      <c r="H436" s="2">
        <v>1.1152</v>
      </c>
    </row>
    <row r="437" spans="1:8" s="2" customFormat="1" ht="15" x14ac:dyDescent="0.2">
      <c r="A437" s="2" t="s">
        <v>1039</v>
      </c>
      <c r="B437" s="2" t="s">
        <v>3015</v>
      </c>
      <c r="C437" s="2" t="s">
        <v>2952</v>
      </c>
      <c r="D437" s="2" t="s">
        <v>1839</v>
      </c>
      <c r="E437" s="2" t="s">
        <v>1841</v>
      </c>
      <c r="F437" s="2">
        <v>1.22424</v>
      </c>
      <c r="G437" s="2">
        <v>2.6453700000000002</v>
      </c>
      <c r="H437" s="2">
        <v>1.1115900000000001</v>
      </c>
    </row>
    <row r="438" spans="1:8" s="2" customFormat="1" ht="15" x14ac:dyDescent="0.2">
      <c r="A438" s="2" t="s">
        <v>584</v>
      </c>
      <c r="B438" s="2" t="s">
        <v>3168</v>
      </c>
      <c r="C438" s="2" t="s">
        <v>2118</v>
      </c>
      <c r="D438" s="2" t="s">
        <v>1839</v>
      </c>
      <c r="E438" s="2" t="s">
        <v>1841</v>
      </c>
      <c r="F438" s="2">
        <v>13.6313</v>
      </c>
      <c r="G438" s="2">
        <v>29.420400000000001</v>
      </c>
      <c r="H438" s="2">
        <v>1.1099000000000001</v>
      </c>
    </row>
    <row r="439" spans="1:8" s="2" customFormat="1" ht="15" x14ac:dyDescent="0.2">
      <c r="A439" s="2" t="s">
        <v>1504</v>
      </c>
      <c r="B439" s="2" t="s">
        <v>3015</v>
      </c>
      <c r="C439" s="2" t="s">
        <v>2652</v>
      </c>
      <c r="D439" s="2" t="s">
        <v>1839</v>
      </c>
      <c r="E439" s="2" t="s">
        <v>1841</v>
      </c>
      <c r="F439" s="2">
        <v>2.3792</v>
      </c>
      <c r="G439" s="2">
        <v>5.1320600000000001</v>
      </c>
      <c r="H439" s="2">
        <v>1.1090599999999999</v>
      </c>
    </row>
    <row r="440" spans="1:8" s="2" customFormat="1" ht="15" x14ac:dyDescent="0.2">
      <c r="A440" s="2" t="s">
        <v>816</v>
      </c>
      <c r="B440" s="2" t="s">
        <v>3214</v>
      </c>
      <c r="C440" s="2" t="s">
        <v>2212</v>
      </c>
      <c r="D440" s="2" t="s">
        <v>1839</v>
      </c>
      <c r="E440" s="2" t="s">
        <v>1841</v>
      </c>
      <c r="F440" s="2">
        <v>46.926099999999998</v>
      </c>
      <c r="G440" s="2">
        <v>100.944</v>
      </c>
      <c r="H440" s="2">
        <v>1.1050899999999999</v>
      </c>
    </row>
    <row r="441" spans="1:8" s="2" customFormat="1" ht="15" x14ac:dyDescent="0.2">
      <c r="A441" s="2" t="s">
        <v>1426</v>
      </c>
      <c r="B441" s="2" t="s">
        <v>3182</v>
      </c>
      <c r="C441" s="2" t="s">
        <v>2587</v>
      </c>
      <c r="D441" s="2" t="s">
        <v>1839</v>
      </c>
      <c r="E441" s="2" t="s">
        <v>1841</v>
      </c>
      <c r="F441" s="2">
        <v>0.59368600000000005</v>
      </c>
      <c r="G441" s="2">
        <v>1.27322</v>
      </c>
      <c r="H441" s="2">
        <v>1.1007199999999999</v>
      </c>
    </row>
    <row r="442" spans="1:8" s="2" customFormat="1" ht="15" x14ac:dyDescent="0.2">
      <c r="A442" s="2" t="s">
        <v>1629</v>
      </c>
      <c r="B442" s="2" t="s">
        <v>3015</v>
      </c>
      <c r="C442" s="2" t="s">
        <v>3015</v>
      </c>
      <c r="D442" s="2" t="s">
        <v>1839</v>
      </c>
      <c r="E442" s="2" t="s">
        <v>1841</v>
      </c>
      <c r="F442" s="2">
        <v>7.4179599999999999</v>
      </c>
      <c r="G442" s="2">
        <v>15.8736</v>
      </c>
      <c r="H442" s="2">
        <v>1.09754</v>
      </c>
    </row>
    <row r="443" spans="1:8" s="2" customFormat="1" ht="15" x14ac:dyDescent="0.2">
      <c r="A443" s="2" t="s">
        <v>1550</v>
      </c>
      <c r="B443" s="2" t="s">
        <v>3200</v>
      </c>
      <c r="C443" s="2" t="s">
        <v>2701</v>
      </c>
      <c r="D443" s="2" t="s">
        <v>1839</v>
      </c>
      <c r="E443" s="2" t="s">
        <v>1841</v>
      </c>
      <c r="F443" s="2">
        <v>0.44907799999999998</v>
      </c>
      <c r="G443" s="2">
        <v>0.96097200000000005</v>
      </c>
      <c r="H443" s="2">
        <v>1.0975299999999999</v>
      </c>
    </row>
    <row r="444" spans="1:8" s="2" customFormat="1" ht="15" x14ac:dyDescent="0.2">
      <c r="A444" s="2" t="s">
        <v>1518</v>
      </c>
      <c r="B444" s="2" t="s">
        <v>3155</v>
      </c>
      <c r="C444" s="2" t="s">
        <v>2672</v>
      </c>
      <c r="D444" s="2" t="s">
        <v>1839</v>
      </c>
      <c r="E444" s="2" t="s">
        <v>1841</v>
      </c>
      <c r="F444" s="2">
        <v>1.00902</v>
      </c>
      <c r="G444" s="2">
        <v>2.1587200000000002</v>
      </c>
      <c r="H444" s="2">
        <v>1.0972200000000001</v>
      </c>
    </row>
    <row r="445" spans="1:8" s="2" customFormat="1" ht="15" x14ac:dyDescent="0.2">
      <c r="A445" s="2" t="s">
        <v>400</v>
      </c>
      <c r="B445" s="2" t="s">
        <v>3015</v>
      </c>
      <c r="C445" s="2" t="s">
        <v>2028</v>
      </c>
      <c r="D445" s="2" t="s">
        <v>1839</v>
      </c>
      <c r="E445" s="2" t="s">
        <v>1841</v>
      </c>
      <c r="F445" s="2">
        <v>0.70577100000000004</v>
      </c>
      <c r="G445" s="2">
        <v>1.50701</v>
      </c>
      <c r="H445" s="2">
        <v>1.0944100000000001</v>
      </c>
    </row>
    <row r="446" spans="1:8" s="2" customFormat="1" ht="15" x14ac:dyDescent="0.2">
      <c r="A446" s="2" t="s">
        <v>1617</v>
      </c>
      <c r="B446" s="2" t="s">
        <v>3430</v>
      </c>
      <c r="C446" s="2" t="s">
        <v>2780</v>
      </c>
      <c r="D446" s="2" t="s">
        <v>1839</v>
      </c>
      <c r="E446" s="2" t="s">
        <v>1841</v>
      </c>
      <c r="F446" s="2">
        <v>1.6963200000000001</v>
      </c>
      <c r="G446" s="2">
        <v>3.6210800000000001</v>
      </c>
      <c r="H446" s="2">
        <v>1.0940099999999999</v>
      </c>
    </row>
    <row r="447" spans="1:8" s="2" customFormat="1" ht="15" x14ac:dyDescent="0.2">
      <c r="A447" s="2" t="s">
        <v>1184</v>
      </c>
      <c r="B447" s="2" t="s">
        <v>3215</v>
      </c>
      <c r="C447" s="2" t="s">
        <v>2669</v>
      </c>
      <c r="D447" s="2" t="s">
        <v>1839</v>
      </c>
      <c r="E447" s="2" t="s">
        <v>1841</v>
      </c>
      <c r="F447" s="2">
        <v>1.34727</v>
      </c>
      <c r="G447" s="2">
        <v>2.87384</v>
      </c>
      <c r="H447" s="2">
        <v>1.09294</v>
      </c>
    </row>
    <row r="448" spans="1:8" s="2" customFormat="1" ht="15" x14ac:dyDescent="0.2">
      <c r="A448" s="2" t="s">
        <v>1590</v>
      </c>
      <c r="B448" s="2" t="s">
        <v>3273</v>
      </c>
      <c r="C448" s="2" t="s">
        <v>2747</v>
      </c>
      <c r="D448" s="2" t="s">
        <v>1839</v>
      </c>
      <c r="E448" s="2" t="s">
        <v>1841</v>
      </c>
      <c r="F448" s="2">
        <v>0.39851799999999998</v>
      </c>
      <c r="G448" s="2">
        <v>0.84970900000000005</v>
      </c>
      <c r="H448" s="2">
        <v>1.09232</v>
      </c>
    </row>
    <row r="449" spans="1:8" s="2" customFormat="1" ht="15" x14ac:dyDescent="0.2">
      <c r="A449" s="2" t="s">
        <v>1625</v>
      </c>
      <c r="B449" s="2" t="s">
        <v>3015</v>
      </c>
      <c r="C449" s="2" t="s">
        <v>2789</v>
      </c>
      <c r="D449" s="2" t="s">
        <v>1839</v>
      </c>
      <c r="E449" s="2" t="s">
        <v>1841</v>
      </c>
      <c r="F449" s="2">
        <v>1.2562</v>
      </c>
      <c r="G449" s="2">
        <v>2.6742300000000001</v>
      </c>
      <c r="H449" s="2">
        <v>1.09006</v>
      </c>
    </row>
    <row r="450" spans="1:8" s="2" customFormat="1" ht="15" x14ac:dyDescent="0.2">
      <c r="A450" s="2" t="s">
        <v>774</v>
      </c>
      <c r="B450" s="2" t="s">
        <v>3045</v>
      </c>
      <c r="C450" s="2" t="s">
        <v>1923</v>
      </c>
      <c r="D450" s="2" t="s">
        <v>1839</v>
      </c>
      <c r="E450" s="2" t="s">
        <v>1841</v>
      </c>
      <c r="F450" s="2">
        <v>2.2259799999999998</v>
      </c>
      <c r="G450" s="2">
        <v>4.7320399999999996</v>
      </c>
      <c r="H450" s="2">
        <v>1.08802</v>
      </c>
    </row>
    <row r="451" spans="1:8" s="2" customFormat="1" ht="15" x14ac:dyDescent="0.2">
      <c r="A451" s="2" t="s">
        <v>708</v>
      </c>
      <c r="B451" s="2" t="s">
        <v>3015</v>
      </c>
      <c r="C451" s="2" t="s">
        <v>2856</v>
      </c>
      <c r="D451" s="2" t="s">
        <v>1839</v>
      </c>
      <c r="E451" s="2" t="s">
        <v>1841</v>
      </c>
      <c r="F451" s="2">
        <v>0.72157800000000005</v>
      </c>
      <c r="G451" s="2">
        <v>1.5330999999999999</v>
      </c>
      <c r="H451" s="2">
        <v>1.0872299999999999</v>
      </c>
    </row>
    <row r="452" spans="1:8" s="2" customFormat="1" ht="15" x14ac:dyDescent="0.2">
      <c r="A452" s="2" t="s">
        <v>1420</v>
      </c>
      <c r="B452" s="2" t="s">
        <v>3470</v>
      </c>
      <c r="C452" s="2" t="s">
        <v>2742</v>
      </c>
      <c r="D452" s="2" t="s">
        <v>1839</v>
      </c>
      <c r="E452" s="2" t="s">
        <v>1841</v>
      </c>
      <c r="F452" s="2">
        <v>1.0811500000000001</v>
      </c>
      <c r="G452" s="2">
        <v>2.2970600000000001</v>
      </c>
      <c r="H452" s="2">
        <v>1.08721</v>
      </c>
    </row>
    <row r="453" spans="1:8" s="2" customFormat="1" ht="15" x14ac:dyDescent="0.2">
      <c r="A453" s="2" t="s">
        <v>1210</v>
      </c>
      <c r="B453" s="2" t="s">
        <v>3081</v>
      </c>
      <c r="C453" s="2" t="s">
        <v>2353</v>
      </c>
      <c r="D453" s="2" t="s">
        <v>1839</v>
      </c>
      <c r="E453" s="2" t="s">
        <v>1841</v>
      </c>
      <c r="F453" s="2">
        <v>2.10982</v>
      </c>
      <c r="G453" s="2">
        <v>4.4795800000000003</v>
      </c>
      <c r="H453" s="2">
        <v>1.0862400000000001</v>
      </c>
    </row>
    <row r="454" spans="1:8" s="2" customFormat="1" ht="15" x14ac:dyDescent="0.2">
      <c r="A454" s="2" t="s">
        <v>884</v>
      </c>
      <c r="B454" s="2" t="s">
        <v>3067</v>
      </c>
      <c r="C454" s="2" t="s">
        <v>2254</v>
      </c>
      <c r="D454" s="2" t="s">
        <v>1839</v>
      </c>
      <c r="E454" s="2" t="s">
        <v>1841</v>
      </c>
      <c r="F454" s="2">
        <v>1.6393899999999999</v>
      </c>
      <c r="G454" s="2">
        <v>3.4804400000000002</v>
      </c>
      <c r="H454" s="2">
        <v>1.0861099999999999</v>
      </c>
    </row>
    <row r="455" spans="1:8" s="2" customFormat="1" ht="15" x14ac:dyDescent="0.2">
      <c r="A455" s="2" t="s">
        <v>74</v>
      </c>
      <c r="B455" s="2" t="s">
        <v>3027</v>
      </c>
      <c r="C455" s="2" t="s">
        <v>2640</v>
      </c>
      <c r="D455" s="2" t="s">
        <v>1839</v>
      </c>
      <c r="E455" s="2" t="s">
        <v>1841</v>
      </c>
      <c r="F455" s="2">
        <v>1.57118</v>
      </c>
      <c r="G455" s="2">
        <v>3.3333499999999998</v>
      </c>
      <c r="H455" s="2">
        <v>1.0851299999999999</v>
      </c>
    </row>
    <row r="456" spans="1:8" s="2" customFormat="1" ht="15" x14ac:dyDescent="0.2">
      <c r="A456" s="2" t="s">
        <v>1730</v>
      </c>
      <c r="B456" s="2" t="s">
        <v>3465</v>
      </c>
      <c r="C456" s="2" t="s">
        <v>2897</v>
      </c>
      <c r="D456" s="2" t="s">
        <v>1839</v>
      </c>
      <c r="E456" s="2" t="s">
        <v>1841</v>
      </c>
      <c r="F456" s="2">
        <v>0.63943399999999995</v>
      </c>
      <c r="G456" s="2">
        <v>1.35609</v>
      </c>
      <c r="H456" s="2">
        <v>1.0845899999999999</v>
      </c>
    </row>
    <row r="457" spans="1:8" s="2" customFormat="1" ht="15" x14ac:dyDescent="0.2">
      <c r="A457" s="2" t="s">
        <v>783</v>
      </c>
      <c r="B457" s="2" t="s">
        <v>3015</v>
      </c>
      <c r="C457" s="2" t="s">
        <v>2017</v>
      </c>
      <c r="D457" s="2" t="s">
        <v>1839</v>
      </c>
      <c r="E457" s="2" t="s">
        <v>1841</v>
      </c>
      <c r="F457" s="2">
        <v>3.1243599999999998</v>
      </c>
      <c r="G457" s="2">
        <v>6.6216100000000004</v>
      </c>
      <c r="H457" s="2">
        <v>1.08362</v>
      </c>
    </row>
    <row r="458" spans="1:8" s="2" customFormat="1" ht="15" x14ac:dyDescent="0.2">
      <c r="A458" s="2" t="s">
        <v>1078</v>
      </c>
      <c r="B458" s="2" t="s">
        <v>3267</v>
      </c>
      <c r="C458" s="2" t="s">
        <v>2348</v>
      </c>
      <c r="D458" s="2" t="s">
        <v>1839</v>
      </c>
      <c r="E458" s="2" t="s">
        <v>1841</v>
      </c>
      <c r="F458" s="2">
        <v>2.11565</v>
      </c>
      <c r="G458" s="2">
        <v>4.4827399999999997</v>
      </c>
      <c r="H458" s="2">
        <v>1.08328</v>
      </c>
    </row>
    <row r="459" spans="1:8" s="2" customFormat="1" ht="15" x14ac:dyDescent="0.2">
      <c r="A459" s="2" t="s">
        <v>50</v>
      </c>
      <c r="B459" s="2" t="s">
        <v>3249</v>
      </c>
      <c r="C459" s="2" t="s">
        <v>2631</v>
      </c>
      <c r="D459" s="2" t="s">
        <v>1839</v>
      </c>
      <c r="E459" s="2" t="s">
        <v>1841</v>
      </c>
      <c r="F459" s="2">
        <v>19.522400000000001</v>
      </c>
      <c r="G459" s="2">
        <v>41.346299999999999</v>
      </c>
      <c r="H459" s="2">
        <v>1.08263</v>
      </c>
    </row>
    <row r="460" spans="1:8" s="2" customFormat="1" ht="15" x14ac:dyDescent="0.2">
      <c r="A460" s="2" t="s">
        <v>1598</v>
      </c>
      <c r="B460" s="2" t="s">
        <v>3425</v>
      </c>
      <c r="C460" s="2" t="s">
        <v>1847</v>
      </c>
      <c r="D460" s="2" t="s">
        <v>1839</v>
      </c>
      <c r="E460" s="2" t="s">
        <v>1841</v>
      </c>
      <c r="F460" s="2">
        <v>1.4422299999999999</v>
      </c>
      <c r="G460" s="2">
        <v>3.0524200000000001</v>
      </c>
      <c r="H460" s="2">
        <v>1.08165</v>
      </c>
    </row>
    <row r="461" spans="1:8" s="2" customFormat="1" ht="15" x14ac:dyDescent="0.2">
      <c r="A461" s="2" t="s">
        <v>11</v>
      </c>
      <c r="B461" s="2" t="s">
        <v>3385</v>
      </c>
      <c r="C461" s="2" t="s">
        <v>2613</v>
      </c>
      <c r="D461" s="2" t="s">
        <v>1839</v>
      </c>
      <c r="E461" s="2" t="s">
        <v>1841</v>
      </c>
      <c r="F461" s="2">
        <v>1.6253299999999999</v>
      </c>
      <c r="G461" s="2">
        <v>3.4377800000000001</v>
      </c>
      <c r="H461" s="2">
        <v>1.08074</v>
      </c>
    </row>
    <row r="462" spans="1:8" s="2" customFormat="1" ht="15" x14ac:dyDescent="0.2">
      <c r="A462" s="2" t="s">
        <v>381</v>
      </c>
      <c r="B462" s="2" t="s">
        <v>3058</v>
      </c>
      <c r="C462" s="2" t="s">
        <v>3015</v>
      </c>
      <c r="D462" s="2" t="s">
        <v>1839</v>
      </c>
      <c r="E462" s="2" t="s">
        <v>1841</v>
      </c>
      <c r="F462" s="2">
        <v>2.82795</v>
      </c>
      <c r="G462" s="2">
        <v>5.9757800000000003</v>
      </c>
      <c r="H462" s="2">
        <v>1.0793699999999999</v>
      </c>
    </row>
    <row r="463" spans="1:8" s="2" customFormat="1" ht="15" x14ac:dyDescent="0.2">
      <c r="A463" s="2" t="s">
        <v>962</v>
      </c>
      <c r="B463" s="2" t="s">
        <v>3245</v>
      </c>
      <c r="C463" s="2" t="s">
        <v>2590</v>
      </c>
      <c r="D463" s="2" t="s">
        <v>1839</v>
      </c>
      <c r="E463" s="2" t="s">
        <v>1841</v>
      </c>
      <c r="F463" s="2">
        <v>3.03356</v>
      </c>
      <c r="G463" s="2">
        <v>6.3860599999999996</v>
      </c>
      <c r="H463" s="2">
        <v>1.0739099999999999</v>
      </c>
    </row>
    <row r="464" spans="1:8" s="2" customFormat="1" ht="15" x14ac:dyDescent="0.2">
      <c r="A464" s="2" t="s">
        <v>1522</v>
      </c>
      <c r="B464" s="2" t="s">
        <v>3015</v>
      </c>
      <c r="C464" s="2" t="s">
        <v>2675</v>
      </c>
      <c r="D464" s="2" t="s">
        <v>1839</v>
      </c>
      <c r="E464" s="2" t="s">
        <v>1841</v>
      </c>
      <c r="F464" s="2">
        <v>4.1999500000000003</v>
      </c>
      <c r="G464" s="2">
        <v>8.8174799999999998</v>
      </c>
      <c r="H464" s="2">
        <v>1.06999</v>
      </c>
    </row>
    <row r="465" spans="1:8" s="2" customFormat="1" ht="15" x14ac:dyDescent="0.2">
      <c r="A465" s="2" t="s">
        <v>1634</v>
      </c>
      <c r="B465" s="2" t="s">
        <v>3129</v>
      </c>
      <c r="C465" s="2" t="s">
        <v>2797</v>
      </c>
      <c r="D465" s="2" t="s">
        <v>1839</v>
      </c>
      <c r="E465" s="2" t="s">
        <v>1841</v>
      </c>
      <c r="F465" s="2">
        <v>4.5910000000000002</v>
      </c>
      <c r="G465" s="2">
        <v>9.6365499999999997</v>
      </c>
      <c r="H465" s="2">
        <v>1.0697099999999999</v>
      </c>
    </row>
    <row r="466" spans="1:8" s="2" customFormat="1" ht="15" x14ac:dyDescent="0.2">
      <c r="A466" s="2" t="s">
        <v>1511</v>
      </c>
      <c r="B466" s="2" t="s">
        <v>3287</v>
      </c>
      <c r="C466" s="2" t="s">
        <v>2045</v>
      </c>
      <c r="D466" s="2" t="s">
        <v>1839</v>
      </c>
      <c r="E466" s="2" t="s">
        <v>1841</v>
      </c>
      <c r="F466" s="2">
        <v>1.1180300000000001</v>
      </c>
      <c r="G466" s="2">
        <v>2.34552</v>
      </c>
      <c r="H466" s="2">
        <v>1.0689500000000001</v>
      </c>
    </row>
    <row r="467" spans="1:8" s="2" customFormat="1" ht="15" x14ac:dyDescent="0.2">
      <c r="A467" s="2" t="s">
        <v>1314</v>
      </c>
      <c r="B467" s="2" t="s">
        <v>3015</v>
      </c>
      <c r="C467" s="2" t="s">
        <v>2813</v>
      </c>
      <c r="D467" s="2" t="s">
        <v>1839</v>
      </c>
      <c r="E467" s="2" t="s">
        <v>1841</v>
      </c>
      <c r="F467" s="2">
        <v>1.83457</v>
      </c>
      <c r="G467" s="2">
        <v>3.84307</v>
      </c>
      <c r="H467" s="2">
        <v>1.06681</v>
      </c>
    </row>
    <row r="468" spans="1:8" s="2" customFormat="1" ht="15" x14ac:dyDescent="0.2">
      <c r="A468" s="2" t="s">
        <v>1129</v>
      </c>
      <c r="B468" s="2" t="s">
        <v>3280</v>
      </c>
      <c r="C468" s="2" t="s">
        <v>2364</v>
      </c>
      <c r="D468" s="2" t="s">
        <v>1839</v>
      </c>
      <c r="E468" s="2" t="s">
        <v>1841</v>
      </c>
      <c r="F468" s="2">
        <v>0.98850700000000002</v>
      </c>
      <c r="G468" s="2">
        <v>2.07043</v>
      </c>
      <c r="H468" s="2">
        <v>1.0666100000000001</v>
      </c>
    </row>
    <row r="469" spans="1:8" s="2" customFormat="1" ht="15" x14ac:dyDescent="0.2">
      <c r="A469" s="2" t="s">
        <v>1687</v>
      </c>
      <c r="B469" s="2" t="s">
        <v>3455</v>
      </c>
      <c r="C469" s="2" t="s">
        <v>1948</v>
      </c>
      <c r="D469" s="2" t="s">
        <v>1839</v>
      </c>
      <c r="E469" s="2" t="s">
        <v>1841</v>
      </c>
      <c r="F469" s="2">
        <v>1.66523</v>
      </c>
      <c r="G469" s="2">
        <v>3.48421</v>
      </c>
      <c r="H469" s="2">
        <v>1.06511</v>
      </c>
    </row>
    <row r="470" spans="1:8" s="2" customFormat="1" ht="15" x14ac:dyDescent="0.2">
      <c r="A470" s="2" t="s">
        <v>256</v>
      </c>
      <c r="B470" s="2" t="s">
        <v>3066</v>
      </c>
      <c r="C470" s="2" t="s">
        <v>2697</v>
      </c>
      <c r="D470" s="2" t="s">
        <v>1839</v>
      </c>
      <c r="E470" s="2" t="s">
        <v>1841</v>
      </c>
      <c r="F470" s="2">
        <v>0.72498899999999999</v>
      </c>
      <c r="G470" s="2">
        <v>1.5168699999999999</v>
      </c>
      <c r="H470" s="2">
        <v>1.06507</v>
      </c>
    </row>
    <row r="471" spans="1:8" s="2" customFormat="1" ht="15" x14ac:dyDescent="0.2">
      <c r="A471" s="2" t="s">
        <v>21</v>
      </c>
      <c r="B471" s="2" t="s">
        <v>3093</v>
      </c>
      <c r="C471" s="2" t="s">
        <v>2617</v>
      </c>
      <c r="D471" s="2" t="s">
        <v>1839</v>
      </c>
      <c r="E471" s="2" t="s">
        <v>1841</v>
      </c>
      <c r="F471" s="2">
        <v>11.6166</v>
      </c>
      <c r="G471" s="2">
        <v>24.296299999999999</v>
      </c>
      <c r="H471" s="2">
        <v>1.0645500000000001</v>
      </c>
    </row>
    <row r="472" spans="1:8" s="2" customFormat="1" ht="15" x14ac:dyDescent="0.2">
      <c r="A472" s="2" t="s">
        <v>944</v>
      </c>
      <c r="B472" s="2" t="s">
        <v>3093</v>
      </c>
      <c r="C472" s="2" t="s">
        <v>2928</v>
      </c>
      <c r="D472" s="2" t="s">
        <v>1839</v>
      </c>
      <c r="E472" s="2" t="s">
        <v>1841</v>
      </c>
      <c r="F472" s="2">
        <v>3.78843</v>
      </c>
      <c r="G472" s="2">
        <v>7.9215499999999999</v>
      </c>
      <c r="H472" s="2">
        <v>1.0641799999999999</v>
      </c>
    </row>
    <row r="473" spans="1:8" s="2" customFormat="1" ht="15" x14ac:dyDescent="0.2">
      <c r="A473" s="2" t="s">
        <v>1531</v>
      </c>
      <c r="B473" s="2" t="s">
        <v>3364</v>
      </c>
      <c r="C473" s="2" t="s">
        <v>2682</v>
      </c>
      <c r="D473" s="2" t="s">
        <v>1839</v>
      </c>
      <c r="E473" s="2" t="s">
        <v>1841</v>
      </c>
      <c r="F473" s="2">
        <v>258.851</v>
      </c>
      <c r="G473" s="2">
        <v>540.82399999999996</v>
      </c>
      <c r="H473" s="2">
        <v>1.06304</v>
      </c>
    </row>
    <row r="474" spans="1:8" s="2" customFormat="1" ht="15" x14ac:dyDescent="0.2">
      <c r="A474" s="2" t="s">
        <v>88</v>
      </c>
      <c r="B474" s="2" t="s">
        <v>3030</v>
      </c>
      <c r="C474" s="2" t="s">
        <v>2648</v>
      </c>
      <c r="D474" s="2" t="s">
        <v>1839</v>
      </c>
      <c r="E474" s="2" t="s">
        <v>1841</v>
      </c>
      <c r="F474" s="2">
        <v>0.65366900000000006</v>
      </c>
      <c r="G474" s="2">
        <v>1.3627400000000001</v>
      </c>
      <c r="H474" s="2">
        <v>1.0598799999999999</v>
      </c>
    </row>
    <row r="475" spans="1:8" s="2" customFormat="1" ht="15" x14ac:dyDescent="0.2">
      <c r="A475" s="2" t="s">
        <v>1721</v>
      </c>
      <c r="B475" s="2" t="s">
        <v>3015</v>
      </c>
      <c r="C475" s="2" t="s">
        <v>1862</v>
      </c>
      <c r="D475" s="2" t="s">
        <v>1839</v>
      </c>
      <c r="E475" s="2" t="s">
        <v>1841</v>
      </c>
      <c r="F475" s="2">
        <v>1.7065999999999999</v>
      </c>
      <c r="G475" s="2">
        <v>3.5513599999999999</v>
      </c>
      <c r="H475" s="2">
        <v>1.05724</v>
      </c>
    </row>
    <row r="476" spans="1:8" s="2" customFormat="1" ht="15" x14ac:dyDescent="0.2">
      <c r="A476" s="2" t="s">
        <v>1760</v>
      </c>
      <c r="B476" s="2" t="s">
        <v>3015</v>
      </c>
      <c r="C476" s="2" t="s">
        <v>3015</v>
      </c>
      <c r="D476" s="2" t="s">
        <v>1839</v>
      </c>
      <c r="E476" s="2" t="s">
        <v>1841</v>
      </c>
      <c r="F476" s="2">
        <v>0.83521000000000001</v>
      </c>
      <c r="G476" s="2">
        <v>1.7380100000000001</v>
      </c>
      <c r="H476" s="2">
        <v>1.0572299999999999</v>
      </c>
    </row>
    <row r="477" spans="1:8" s="2" customFormat="1" ht="15" x14ac:dyDescent="0.2">
      <c r="A477" s="2" t="s">
        <v>315</v>
      </c>
      <c r="B477" s="2" t="s">
        <v>3015</v>
      </c>
      <c r="C477" s="2" t="s">
        <v>1990</v>
      </c>
      <c r="D477" s="2" t="s">
        <v>1839</v>
      </c>
      <c r="E477" s="2" t="s">
        <v>1841</v>
      </c>
      <c r="F477" s="2">
        <v>14.3134</v>
      </c>
      <c r="G477" s="2">
        <v>29.745799999999999</v>
      </c>
      <c r="H477" s="2">
        <v>1.05531</v>
      </c>
    </row>
    <row r="478" spans="1:8" s="2" customFormat="1" ht="15" x14ac:dyDescent="0.2">
      <c r="A478" s="2" t="s">
        <v>1645</v>
      </c>
      <c r="B478" s="2" t="s">
        <v>3442</v>
      </c>
      <c r="C478" s="2" t="s">
        <v>2812</v>
      </c>
      <c r="D478" s="2" t="s">
        <v>1839</v>
      </c>
      <c r="E478" s="2" t="s">
        <v>1841</v>
      </c>
      <c r="F478" s="2">
        <v>0.55517899999999998</v>
      </c>
      <c r="G478" s="2">
        <v>1.1534599999999999</v>
      </c>
      <c r="H478" s="2">
        <v>1.05494</v>
      </c>
    </row>
    <row r="479" spans="1:8" s="2" customFormat="1" ht="15" x14ac:dyDescent="0.2">
      <c r="A479" s="2" t="s">
        <v>1478</v>
      </c>
      <c r="B479" s="2" t="s">
        <v>3076</v>
      </c>
      <c r="C479" s="2" t="s">
        <v>2619</v>
      </c>
      <c r="D479" s="2" t="s">
        <v>1839</v>
      </c>
      <c r="E479" s="2" t="s">
        <v>1841</v>
      </c>
      <c r="F479" s="2">
        <v>0.89700599999999997</v>
      </c>
      <c r="G479" s="2">
        <v>1.8630199999999999</v>
      </c>
      <c r="H479" s="2">
        <v>1.0544500000000001</v>
      </c>
    </row>
    <row r="480" spans="1:8" s="2" customFormat="1" ht="15" x14ac:dyDescent="0.2">
      <c r="A480" s="2" t="s">
        <v>693</v>
      </c>
      <c r="B480" s="2" t="s">
        <v>3015</v>
      </c>
      <c r="C480" s="2" t="s">
        <v>2846</v>
      </c>
      <c r="D480" s="2" t="s">
        <v>1839</v>
      </c>
      <c r="E480" s="2" t="s">
        <v>1841</v>
      </c>
      <c r="F480" s="2">
        <v>2.2431100000000002</v>
      </c>
      <c r="G480" s="2">
        <v>4.6532999999999998</v>
      </c>
      <c r="H480" s="2">
        <v>1.0527500000000001</v>
      </c>
    </row>
    <row r="481" spans="1:8" s="2" customFormat="1" ht="15" x14ac:dyDescent="0.2">
      <c r="A481" s="2" t="s">
        <v>478</v>
      </c>
      <c r="B481" s="2" t="s">
        <v>3089</v>
      </c>
      <c r="C481" s="2" t="s">
        <v>2775</v>
      </c>
      <c r="D481" s="2" t="s">
        <v>1839</v>
      </c>
      <c r="E481" s="2" t="s">
        <v>1841</v>
      </c>
      <c r="F481" s="2">
        <v>6.7660900000000002</v>
      </c>
      <c r="G481" s="2">
        <v>14.035500000000001</v>
      </c>
      <c r="H481" s="2">
        <v>1.0526800000000001</v>
      </c>
    </row>
    <row r="482" spans="1:8" s="2" customFormat="1" ht="15" x14ac:dyDescent="0.2">
      <c r="A482" s="2" t="s">
        <v>1796</v>
      </c>
      <c r="B482" s="2" t="s">
        <v>3015</v>
      </c>
      <c r="C482" s="2" t="s">
        <v>1914</v>
      </c>
      <c r="D482" s="2" t="s">
        <v>1839</v>
      </c>
      <c r="E482" s="2" t="s">
        <v>1841</v>
      </c>
      <c r="F482" s="2">
        <v>1.15368</v>
      </c>
      <c r="G482" s="2">
        <v>2.3908999999999998</v>
      </c>
      <c r="H482" s="2">
        <v>1.05131</v>
      </c>
    </row>
    <row r="483" spans="1:8" s="2" customFormat="1" ht="15" x14ac:dyDescent="0.2">
      <c r="A483" s="2" t="s">
        <v>618</v>
      </c>
      <c r="B483" s="2" t="s">
        <v>3015</v>
      </c>
      <c r="C483" s="2" t="s">
        <v>2817</v>
      </c>
      <c r="D483" s="2" t="s">
        <v>1839</v>
      </c>
      <c r="E483" s="2" t="s">
        <v>1841</v>
      </c>
      <c r="F483" s="2">
        <v>1.7155100000000001</v>
      </c>
      <c r="G483" s="2">
        <v>3.5545599999999999</v>
      </c>
      <c r="H483" s="2">
        <v>1.0510299999999999</v>
      </c>
    </row>
    <row r="484" spans="1:8" s="2" customFormat="1" ht="15" x14ac:dyDescent="0.2">
      <c r="A484" s="2" t="s">
        <v>622</v>
      </c>
      <c r="B484" s="2" t="s">
        <v>3015</v>
      </c>
      <c r="C484" s="2" t="s">
        <v>2818</v>
      </c>
      <c r="D484" s="2" t="s">
        <v>1839</v>
      </c>
      <c r="E484" s="2" t="s">
        <v>1841</v>
      </c>
      <c r="F484" s="2">
        <v>0.59664300000000003</v>
      </c>
      <c r="G484" s="2">
        <v>1.2359</v>
      </c>
      <c r="H484" s="2">
        <v>1.0506200000000001</v>
      </c>
    </row>
    <row r="485" spans="1:8" s="2" customFormat="1" ht="15" x14ac:dyDescent="0.2">
      <c r="A485" s="2" t="s">
        <v>1778</v>
      </c>
      <c r="B485" s="2" t="s">
        <v>3480</v>
      </c>
      <c r="C485" s="2" t="s">
        <v>2954</v>
      </c>
      <c r="D485" s="2" t="s">
        <v>1839</v>
      </c>
      <c r="E485" s="2" t="s">
        <v>1841</v>
      </c>
      <c r="F485" s="2">
        <v>0.49374499999999999</v>
      </c>
      <c r="G485" s="2">
        <v>1.02172</v>
      </c>
      <c r="H485" s="2">
        <v>1.0491699999999999</v>
      </c>
    </row>
    <row r="486" spans="1:8" s="2" customFormat="1" ht="15" x14ac:dyDescent="0.2">
      <c r="A486" s="2" t="s">
        <v>1782</v>
      </c>
      <c r="B486" s="2" t="s">
        <v>3482</v>
      </c>
      <c r="C486" s="2" t="s">
        <v>2957</v>
      </c>
      <c r="D486" s="2" t="s">
        <v>1839</v>
      </c>
      <c r="E486" s="2" t="s">
        <v>1841</v>
      </c>
      <c r="F486" s="2">
        <v>3.9728599999999998</v>
      </c>
      <c r="G486" s="2">
        <v>8.2193299999999994</v>
      </c>
      <c r="H486" s="2">
        <v>1.04884</v>
      </c>
    </row>
    <row r="487" spans="1:8" s="2" customFormat="1" ht="15" x14ac:dyDescent="0.2">
      <c r="A487" s="2" t="s">
        <v>747</v>
      </c>
      <c r="B487" s="2" t="s">
        <v>3015</v>
      </c>
      <c r="C487" s="2" t="s">
        <v>2129</v>
      </c>
      <c r="D487" s="2" t="s">
        <v>1839</v>
      </c>
      <c r="E487" s="2" t="s">
        <v>1841</v>
      </c>
      <c r="F487" s="2">
        <v>7.0339700000000001</v>
      </c>
      <c r="G487" s="2">
        <v>14.539199999999999</v>
      </c>
      <c r="H487" s="2">
        <v>1.0475399999999999</v>
      </c>
    </row>
    <row r="488" spans="1:8" s="2" customFormat="1" ht="15" x14ac:dyDescent="0.2">
      <c r="A488" s="2" t="s">
        <v>626</v>
      </c>
      <c r="B488" s="2" t="s">
        <v>3030</v>
      </c>
      <c r="C488" s="2" t="s">
        <v>2135</v>
      </c>
      <c r="D488" s="2" t="s">
        <v>1839</v>
      </c>
      <c r="E488" s="2" t="s">
        <v>1841</v>
      </c>
      <c r="F488" s="2">
        <v>1.1389800000000001</v>
      </c>
      <c r="G488" s="2">
        <v>2.3529800000000001</v>
      </c>
      <c r="H488" s="2">
        <v>1.04674</v>
      </c>
    </row>
    <row r="489" spans="1:8" s="2" customFormat="1" ht="15" x14ac:dyDescent="0.2">
      <c r="A489" s="2" t="s">
        <v>147</v>
      </c>
      <c r="B489" s="2" t="s">
        <v>3061</v>
      </c>
      <c r="C489" s="2" t="s">
        <v>1912</v>
      </c>
      <c r="D489" s="2" t="s">
        <v>1839</v>
      </c>
      <c r="E489" s="2" t="s">
        <v>1841</v>
      </c>
      <c r="F489" s="2">
        <v>4.58291</v>
      </c>
      <c r="G489" s="2">
        <v>9.4649800000000006</v>
      </c>
      <c r="H489" s="2">
        <v>1.04634</v>
      </c>
    </row>
    <row r="490" spans="1:8" s="2" customFormat="1" ht="15" x14ac:dyDescent="0.2">
      <c r="A490" s="2" t="s">
        <v>1661</v>
      </c>
      <c r="B490" s="2" t="s">
        <v>3015</v>
      </c>
      <c r="C490" s="2" t="s">
        <v>2826</v>
      </c>
      <c r="D490" s="2" t="s">
        <v>1839</v>
      </c>
      <c r="E490" s="2" t="s">
        <v>1841</v>
      </c>
      <c r="F490" s="2">
        <v>1.55752</v>
      </c>
      <c r="G490" s="2">
        <v>3.2166399999999999</v>
      </c>
      <c r="H490" s="2">
        <v>1.0463100000000001</v>
      </c>
    </row>
    <row r="491" spans="1:8" s="2" customFormat="1" ht="15" x14ac:dyDescent="0.2">
      <c r="A491" s="2" t="s">
        <v>1491</v>
      </c>
      <c r="B491" s="2" t="s">
        <v>3015</v>
      </c>
      <c r="C491" s="2" t="s">
        <v>1880</v>
      </c>
      <c r="D491" s="2" t="s">
        <v>1839</v>
      </c>
      <c r="E491" s="2" t="s">
        <v>1841</v>
      </c>
      <c r="F491" s="2">
        <v>1.6885600000000001</v>
      </c>
      <c r="G491" s="2">
        <v>3.4856400000000001</v>
      </c>
      <c r="H491" s="2">
        <v>1.0456300000000001</v>
      </c>
    </row>
    <row r="492" spans="1:8" s="2" customFormat="1" ht="15" x14ac:dyDescent="0.2">
      <c r="A492" s="2" t="s">
        <v>1444</v>
      </c>
      <c r="B492" s="2" t="s">
        <v>3189</v>
      </c>
      <c r="C492" s="2" t="s">
        <v>2761</v>
      </c>
      <c r="D492" s="2" t="s">
        <v>1839</v>
      </c>
      <c r="E492" s="2" t="s">
        <v>1841</v>
      </c>
      <c r="F492" s="2">
        <v>19.242000000000001</v>
      </c>
      <c r="G492" s="2">
        <v>39.683100000000003</v>
      </c>
      <c r="H492" s="2">
        <v>1.04427</v>
      </c>
    </row>
    <row r="493" spans="1:8" s="2" customFormat="1" ht="15" x14ac:dyDescent="0.2">
      <c r="A493" s="2" t="s">
        <v>212</v>
      </c>
      <c r="B493" s="2" t="s">
        <v>3015</v>
      </c>
      <c r="C493" s="2" t="s">
        <v>1944</v>
      </c>
      <c r="D493" s="2" t="s">
        <v>1839</v>
      </c>
      <c r="E493" s="2" t="s">
        <v>1841</v>
      </c>
      <c r="F493" s="2">
        <v>742.35699999999997</v>
      </c>
      <c r="G493" s="2">
        <v>1530.72</v>
      </c>
      <c r="H493" s="2">
        <v>1.04403</v>
      </c>
    </row>
    <row r="494" spans="1:8" s="2" customFormat="1" ht="15" x14ac:dyDescent="0.2">
      <c r="A494" s="2" t="s">
        <v>1487</v>
      </c>
      <c r="B494" s="2" t="s">
        <v>3388</v>
      </c>
      <c r="C494" s="2" t="s">
        <v>2628</v>
      </c>
      <c r="D494" s="2" t="s">
        <v>1839</v>
      </c>
      <c r="E494" s="2" t="s">
        <v>1841</v>
      </c>
      <c r="F494" s="2">
        <v>1.10988</v>
      </c>
      <c r="G494" s="2">
        <v>2.2860200000000002</v>
      </c>
      <c r="H494" s="2">
        <v>1.04244</v>
      </c>
    </row>
    <row r="495" spans="1:8" s="2" customFormat="1" ht="15" x14ac:dyDescent="0.2">
      <c r="A495" s="2" t="s">
        <v>723</v>
      </c>
      <c r="B495" s="2" t="s">
        <v>3457</v>
      </c>
      <c r="C495" s="2" t="s">
        <v>2859</v>
      </c>
      <c r="D495" s="2" t="s">
        <v>1839</v>
      </c>
      <c r="E495" s="2" t="s">
        <v>1841</v>
      </c>
      <c r="F495" s="2">
        <v>1.9646300000000001</v>
      </c>
      <c r="G495" s="2">
        <v>4.04657</v>
      </c>
      <c r="H495" s="2">
        <v>1.04244</v>
      </c>
    </row>
    <row r="496" spans="1:8" s="2" customFormat="1" ht="15" x14ac:dyDescent="0.2">
      <c r="A496" s="2" t="s">
        <v>1744</v>
      </c>
      <c r="B496" s="2" t="s">
        <v>3045</v>
      </c>
      <c r="C496" s="2" t="s">
        <v>2912</v>
      </c>
      <c r="D496" s="2" t="s">
        <v>1839</v>
      </c>
      <c r="E496" s="2" t="s">
        <v>1841</v>
      </c>
      <c r="F496" s="2">
        <v>2.8133400000000002</v>
      </c>
      <c r="G496" s="2">
        <v>5.7861799999999999</v>
      </c>
      <c r="H496" s="2">
        <v>1.04033</v>
      </c>
    </row>
    <row r="497" spans="1:8" s="2" customFormat="1" ht="15" x14ac:dyDescent="0.2">
      <c r="A497" s="2" t="s">
        <v>110</v>
      </c>
      <c r="B497" s="2" t="s">
        <v>3391</v>
      </c>
      <c r="C497" s="2" t="s">
        <v>2657</v>
      </c>
      <c r="D497" s="2" t="s">
        <v>1839</v>
      </c>
      <c r="E497" s="2" t="s">
        <v>1841</v>
      </c>
      <c r="F497" s="2">
        <v>2.4366300000000001</v>
      </c>
      <c r="G497" s="2">
        <v>5.0093300000000003</v>
      </c>
      <c r="H497" s="2">
        <v>1.03973</v>
      </c>
    </row>
    <row r="498" spans="1:8" s="2" customFormat="1" ht="15" x14ac:dyDescent="0.2">
      <c r="A498" s="2" t="s">
        <v>1688</v>
      </c>
      <c r="B498" s="2" t="s">
        <v>3456</v>
      </c>
      <c r="C498" s="2" t="s">
        <v>2857</v>
      </c>
      <c r="D498" s="2" t="s">
        <v>1839</v>
      </c>
      <c r="E498" s="2" t="s">
        <v>1841</v>
      </c>
      <c r="F498" s="2">
        <v>2.6911800000000001</v>
      </c>
      <c r="G498" s="2">
        <v>5.5325899999999999</v>
      </c>
      <c r="H498" s="2">
        <v>1.03972</v>
      </c>
    </row>
    <row r="499" spans="1:8" s="2" customFormat="1" ht="15" x14ac:dyDescent="0.2">
      <c r="A499" s="2" t="s">
        <v>1526</v>
      </c>
      <c r="B499" s="2" t="s">
        <v>3015</v>
      </c>
      <c r="C499" s="2" t="s">
        <v>2674</v>
      </c>
      <c r="D499" s="2" t="s">
        <v>1839</v>
      </c>
      <c r="E499" s="2" t="s">
        <v>1841</v>
      </c>
      <c r="F499" s="2">
        <v>2.10764</v>
      </c>
      <c r="G499" s="2">
        <v>4.3293299999999997</v>
      </c>
      <c r="H499" s="2">
        <v>1.03851</v>
      </c>
    </row>
    <row r="500" spans="1:8" s="2" customFormat="1" ht="15" x14ac:dyDescent="0.2">
      <c r="A500" s="2" t="s">
        <v>85</v>
      </c>
      <c r="B500" s="2" t="s">
        <v>3364</v>
      </c>
      <c r="C500" s="2" t="s">
        <v>2642</v>
      </c>
      <c r="D500" s="2" t="s">
        <v>1839</v>
      </c>
      <c r="E500" s="2" t="s">
        <v>1841</v>
      </c>
      <c r="F500" s="2">
        <v>1.50942</v>
      </c>
      <c r="G500" s="2">
        <v>3.10005</v>
      </c>
      <c r="H500" s="2">
        <v>1.0383</v>
      </c>
    </row>
    <row r="501" spans="1:8" s="2" customFormat="1" ht="15" x14ac:dyDescent="0.2">
      <c r="A501" s="2" t="s">
        <v>1318</v>
      </c>
      <c r="B501" s="2" t="s">
        <v>3443</v>
      </c>
      <c r="C501" s="2" t="s">
        <v>2814</v>
      </c>
      <c r="D501" s="2" t="s">
        <v>1839</v>
      </c>
      <c r="E501" s="2" t="s">
        <v>1841</v>
      </c>
      <c r="F501" s="2">
        <v>5.5639700000000003</v>
      </c>
      <c r="G501" s="2">
        <v>11.4183</v>
      </c>
      <c r="H501" s="2">
        <v>1.0371600000000001</v>
      </c>
    </row>
    <row r="502" spans="1:8" s="2" customFormat="1" ht="15" x14ac:dyDescent="0.2">
      <c r="A502" s="2" t="s">
        <v>1540</v>
      </c>
      <c r="B502" s="2" t="s">
        <v>3100</v>
      </c>
      <c r="C502" s="2" t="s">
        <v>2690</v>
      </c>
      <c r="D502" s="2" t="s">
        <v>1839</v>
      </c>
      <c r="E502" s="2" t="s">
        <v>1841</v>
      </c>
      <c r="F502" s="2">
        <v>0.39673399999999998</v>
      </c>
      <c r="G502" s="2">
        <v>0.81388099999999997</v>
      </c>
      <c r="H502" s="2">
        <v>1.0366500000000001</v>
      </c>
    </row>
    <row r="503" spans="1:8" s="2" customFormat="1" ht="15" x14ac:dyDescent="0.2">
      <c r="A503" s="2" t="s">
        <v>1112</v>
      </c>
      <c r="B503" s="2" t="s">
        <v>3015</v>
      </c>
      <c r="C503" s="2" t="s">
        <v>3015</v>
      </c>
      <c r="D503" s="2" t="s">
        <v>1839</v>
      </c>
      <c r="E503" s="2" t="s">
        <v>1841</v>
      </c>
      <c r="F503" s="2">
        <v>7.3117200000000002</v>
      </c>
      <c r="G503" s="2">
        <v>14.9939</v>
      </c>
      <c r="H503" s="2">
        <v>1.03609</v>
      </c>
    </row>
    <row r="504" spans="1:8" s="2" customFormat="1" ht="15" x14ac:dyDescent="0.2">
      <c r="A504" s="2" t="s">
        <v>166</v>
      </c>
      <c r="B504" s="2" t="s">
        <v>3045</v>
      </c>
      <c r="C504" s="2" t="s">
        <v>1923</v>
      </c>
      <c r="D504" s="2" t="s">
        <v>1839</v>
      </c>
      <c r="E504" s="2" t="s">
        <v>1841</v>
      </c>
      <c r="F504" s="2">
        <v>5.8095299999999996</v>
      </c>
      <c r="G504" s="2">
        <v>11.9116</v>
      </c>
      <c r="H504" s="2">
        <v>1.0358700000000001</v>
      </c>
    </row>
    <row r="505" spans="1:8" s="2" customFormat="1" ht="15" x14ac:dyDescent="0.2">
      <c r="A505" s="2" t="s">
        <v>1642</v>
      </c>
      <c r="B505" s="2" t="s">
        <v>3189</v>
      </c>
      <c r="C505" s="2" t="s">
        <v>2809</v>
      </c>
      <c r="D505" s="2" t="s">
        <v>1839</v>
      </c>
      <c r="E505" s="2" t="s">
        <v>1841</v>
      </c>
      <c r="F505" s="2">
        <v>1.82629</v>
      </c>
      <c r="G505" s="2">
        <v>3.7438699999999998</v>
      </c>
      <c r="H505" s="2">
        <v>1.0356099999999999</v>
      </c>
    </row>
    <row r="506" spans="1:8" s="2" customFormat="1" ht="15" x14ac:dyDescent="0.2">
      <c r="A506" s="2" t="s">
        <v>1698</v>
      </c>
      <c r="B506" s="2" t="s">
        <v>3038</v>
      </c>
      <c r="C506" s="2" t="s">
        <v>2626</v>
      </c>
      <c r="D506" s="2" t="s">
        <v>1839</v>
      </c>
      <c r="E506" s="2" t="s">
        <v>1841</v>
      </c>
      <c r="F506" s="2">
        <v>2.8909199999999999</v>
      </c>
      <c r="G506" s="2">
        <v>5.9236399999999998</v>
      </c>
      <c r="H506" s="2">
        <v>1.03495</v>
      </c>
    </row>
    <row r="507" spans="1:8" s="2" customFormat="1" ht="15" x14ac:dyDescent="0.2">
      <c r="A507" s="2" t="s">
        <v>412</v>
      </c>
      <c r="B507" s="2" t="s">
        <v>3015</v>
      </c>
      <c r="C507" s="2" t="s">
        <v>2758</v>
      </c>
      <c r="D507" s="2" t="s">
        <v>1839</v>
      </c>
      <c r="E507" s="2" t="s">
        <v>1841</v>
      </c>
      <c r="F507" s="2">
        <v>1.27841</v>
      </c>
      <c r="G507" s="2">
        <v>2.6186500000000001</v>
      </c>
      <c r="H507" s="2">
        <v>1.03447</v>
      </c>
    </row>
    <row r="508" spans="1:8" s="2" customFormat="1" ht="15" x14ac:dyDescent="0.2">
      <c r="A508" s="2" t="s">
        <v>1605</v>
      </c>
      <c r="B508" s="2" t="s">
        <v>3046</v>
      </c>
      <c r="C508" s="2" t="s">
        <v>2767</v>
      </c>
      <c r="D508" s="2" t="s">
        <v>1839</v>
      </c>
      <c r="E508" s="2" t="s">
        <v>1841</v>
      </c>
      <c r="F508" s="2">
        <v>0.429566</v>
      </c>
      <c r="G508" s="2">
        <v>0.87963400000000003</v>
      </c>
      <c r="H508" s="2">
        <v>1.03403</v>
      </c>
    </row>
    <row r="509" spans="1:8" s="2" customFormat="1" ht="15" x14ac:dyDescent="0.2">
      <c r="A509" s="2" t="s">
        <v>1502</v>
      </c>
      <c r="B509" s="2" t="s">
        <v>3015</v>
      </c>
      <c r="C509" s="2" t="s">
        <v>2034</v>
      </c>
      <c r="D509" s="2" t="s">
        <v>1839</v>
      </c>
      <c r="E509" s="2" t="s">
        <v>1841</v>
      </c>
      <c r="F509" s="2">
        <v>4.0961299999999996</v>
      </c>
      <c r="G509" s="2">
        <v>8.3818699999999993</v>
      </c>
      <c r="H509" s="2">
        <v>1.03301</v>
      </c>
    </row>
    <row r="510" spans="1:8" s="2" customFormat="1" ht="15" x14ac:dyDescent="0.2">
      <c r="A510" s="2" t="s">
        <v>521</v>
      </c>
      <c r="B510" s="2" t="s">
        <v>3152</v>
      </c>
      <c r="C510" s="2" t="s">
        <v>2089</v>
      </c>
      <c r="D510" s="2" t="s">
        <v>1839</v>
      </c>
      <c r="E510" s="2" t="s">
        <v>1841</v>
      </c>
      <c r="F510" s="2">
        <v>0.79144700000000001</v>
      </c>
      <c r="G510" s="2">
        <v>1.6180099999999999</v>
      </c>
      <c r="H510" s="2">
        <v>1.03165</v>
      </c>
    </row>
    <row r="511" spans="1:8" s="2" customFormat="1" ht="15" x14ac:dyDescent="0.2">
      <c r="A511" s="2" t="s">
        <v>1216</v>
      </c>
      <c r="B511" s="2" t="s">
        <v>3015</v>
      </c>
      <c r="C511" s="2" t="s">
        <v>2706</v>
      </c>
      <c r="D511" s="2" t="s">
        <v>1839</v>
      </c>
      <c r="E511" s="2" t="s">
        <v>1841</v>
      </c>
      <c r="F511" s="2">
        <v>15.465299999999999</v>
      </c>
      <c r="G511" s="2">
        <v>31.603400000000001</v>
      </c>
      <c r="H511" s="2">
        <v>1.03104</v>
      </c>
    </row>
    <row r="512" spans="1:8" s="2" customFormat="1" ht="15" x14ac:dyDescent="0.2">
      <c r="A512" s="2" t="s">
        <v>1664</v>
      </c>
      <c r="B512" s="2" t="s">
        <v>3015</v>
      </c>
      <c r="C512" s="2" t="s">
        <v>2830</v>
      </c>
      <c r="D512" s="2" t="s">
        <v>1839</v>
      </c>
      <c r="E512" s="2" t="s">
        <v>1841</v>
      </c>
      <c r="F512" s="2">
        <v>5.83744</v>
      </c>
      <c r="G512" s="2">
        <v>11.9129</v>
      </c>
      <c r="H512" s="2">
        <v>1.02911</v>
      </c>
    </row>
    <row r="513" spans="1:8" s="2" customFormat="1" ht="15" x14ac:dyDescent="0.2">
      <c r="A513" s="2" t="s">
        <v>668</v>
      </c>
      <c r="B513" s="2" t="s">
        <v>3015</v>
      </c>
      <c r="C513" s="2" t="s">
        <v>3015</v>
      </c>
      <c r="D513" s="2" t="s">
        <v>1839</v>
      </c>
      <c r="E513" s="2" t="s">
        <v>1841</v>
      </c>
      <c r="F513" s="2">
        <v>1.1084499999999999</v>
      </c>
      <c r="G513" s="2">
        <v>2.2608700000000002</v>
      </c>
      <c r="H513" s="2">
        <v>1.02833</v>
      </c>
    </row>
    <row r="514" spans="1:8" s="2" customFormat="1" ht="15" x14ac:dyDescent="0.2">
      <c r="A514" s="2" t="s">
        <v>867</v>
      </c>
      <c r="B514" s="2" t="s">
        <v>3073</v>
      </c>
      <c r="C514" s="2" t="s">
        <v>2906</v>
      </c>
      <c r="D514" s="2" t="s">
        <v>1839</v>
      </c>
      <c r="E514" s="2" t="s">
        <v>1841</v>
      </c>
      <c r="F514" s="2">
        <v>2.2814899999999998</v>
      </c>
      <c r="G514" s="2">
        <v>4.6524299999999998</v>
      </c>
      <c r="H514" s="2">
        <v>1.0280100000000001</v>
      </c>
    </row>
    <row r="515" spans="1:8" s="2" customFormat="1" ht="15" x14ac:dyDescent="0.2">
      <c r="A515" s="2" t="s">
        <v>1614</v>
      </c>
      <c r="B515" s="2" t="s">
        <v>3156</v>
      </c>
      <c r="C515" s="2" t="s">
        <v>2529</v>
      </c>
      <c r="D515" s="2" t="s">
        <v>1839</v>
      </c>
      <c r="E515" s="2" t="s">
        <v>1841</v>
      </c>
      <c r="F515" s="2">
        <v>0.59873900000000002</v>
      </c>
      <c r="G515" s="2">
        <v>1.21973</v>
      </c>
      <c r="H515" s="2">
        <v>1.02657</v>
      </c>
    </row>
    <row r="516" spans="1:8" s="2" customFormat="1" ht="15" x14ac:dyDescent="0.2">
      <c r="A516" s="2" t="s">
        <v>915</v>
      </c>
      <c r="B516" s="2" t="s">
        <v>3154</v>
      </c>
      <c r="C516" s="2" t="s">
        <v>2922</v>
      </c>
      <c r="D516" s="2" t="s">
        <v>1839</v>
      </c>
      <c r="E516" s="2" t="s">
        <v>1841</v>
      </c>
      <c r="F516" s="2">
        <v>5.1390599999999997</v>
      </c>
      <c r="G516" s="2">
        <v>10.468299999999999</v>
      </c>
      <c r="H516" s="2">
        <v>1.0264500000000001</v>
      </c>
    </row>
    <row r="517" spans="1:8" s="2" customFormat="1" ht="15" x14ac:dyDescent="0.2">
      <c r="A517" s="2" t="s">
        <v>189</v>
      </c>
      <c r="B517" s="2" t="s">
        <v>3381</v>
      </c>
      <c r="C517" s="2" t="s">
        <v>2018</v>
      </c>
      <c r="D517" s="2" t="s">
        <v>1839</v>
      </c>
      <c r="E517" s="2" t="s">
        <v>1841</v>
      </c>
      <c r="F517" s="2">
        <v>6.6529100000000003</v>
      </c>
      <c r="G517" s="2">
        <v>13.548500000000001</v>
      </c>
      <c r="H517" s="2">
        <v>1.0260800000000001</v>
      </c>
    </row>
    <row r="518" spans="1:8" s="2" customFormat="1" ht="15" x14ac:dyDescent="0.2">
      <c r="A518" s="2" t="s">
        <v>1690</v>
      </c>
      <c r="B518" s="2" t="s">
        <v>3056</v>
      </c>
      <c r="C518" s="2" t="s">
        <v>2799</v>
      </c>
      <c r="D518" s="2" t="s">
        <v>1839</v>
      </c>
      <c r="E518" s="2" t="s">
        <v>1841</v>
      </c>
      <c r="F518" s="2">
        <v>1.7600100000000001</v>
      </c>
      <c r="G518" s="2">
        <v>3.5831400000000002</v>
      </c>
      <c r="H518" s="2">
        <v>1.0256400000000001</v>
      </c>
    </row>
    <row r="519" spans="1:8" s="2" customFormat="1" ht="15" x14ac:dyDescent="0.2">
      <c r="A519" s="2" t="s">
        <v>267</v>
      </c>
      <c r="B519" s="2" t="s">
        <v>3407</v>
      </c>
      <c r="C519" s="2" t="s">
        <v>2703</v>
      </c>
      <c r="D519" s="2" t="s">
        <v>1839</v>
      </c>
      <c r="E519" s="2" t="s">
        <v>1841</v>
      </c>
      <c r="F519" s="2">
        <v>3.1233900000000001</v>
      </c>
      <c r="G519" s="2">
        <v>6.3586600000000004</v>
      </c>
      <c r="H519" s="2">
        <v>1.0256099999999999</v>
      </c>
    </row>
    <row r="520" spans="1:8" s="2" customFormat="1" ht="15" x14ac:dyDescent="0.2">
      <c r="A520" s="2" t="s">
        <v>1560</v>
      </c>
      <c r="B520" s="2" t="s">
        <v>3015</v>
      </c>
      <c r="C520" s="2" t="s">
        <v>2713</v>
      </c>
      <c r="D520" s="2" t="s">
        <v>1839</v>
      </c>
      <c r="E520" s="2" t="s">
        <v>1841</v>
      </c>
      <c r="F520" s="2">
        <v>1.47645</v>
      </c>
      <c r="G520" s="2">
        <v>3.0045799999999998</v>
      </c>
      <c r="H520" s="2">
        <v>1.02504</v>
      </c>
    </row>
    <row r="521" spans="1:8" s="2" customFormat="1" ht="15" x14ac:dyDescent="0.2">
      <c r="A521" s="2" t="s">
        <v>1641</v>
      </c>
      <c r="B521" s="2" t="s">
        <v>3045</v>
      </c>
      <c r="C521" s="2" t="s">
        <v>2807</v>
      </c>
      <c r="D521" s="2" t="s">
        <v>1839</v>
      </c>
      <c r="E521" s="2" t="s">
        <v>1841</v>
      </c>
      <c r="F521" s="2">
        <v>1.6821900000000001</v>
      </c>
      <c r="G521" s="2">
        <v>3.4190700000000001</v>
      </c>
      <c r="H521" s="2">
        <v>1.0232600000000001</v>
      </c>
    </row>
    <row r="522" spans="1:8" s="2" customFormat="1" ht="15" x14ac:dyDescent="0.2">
      <c r="A522" s="2" t="s">
        <v>1448</v>
      </c>
      <c r="B522" s="2" t="s">
        <v>3015</v>
      </c>
      <c r="C522" s="2" t="s">
        <v>3015</v>
      </c>
      <c r="D522" s="2" t="s">
        <v>1839</v>
      </c>
      <c r="E522" s="2" t="s">
        <v>1841</v>
      </c>
      <c r="F522" s="2">
        <v>1.34402</v>
      </c>
      <c r="G522" s="2">
        <v>2.73088</v>
      </c>
      <c r="H522" s="2">
        <v>1.02281</v>
      </c>
    </row>
    <row r="523" spans="1:8" s="2" customFormat="1" ht="15" x14ac:dyDescent="0.2">
      <c r="A523" s="2" t="s">
        <v>1453</v>
      </c>
      <c r="B523" s="2" t="s">
        <v>3258</v>
      </c>
      <c r="C523" s="2" t="s">
        <v>2960</v>
      </c>
      <c r="D523" s="2" t="s">
        <v>1839</v>
      </c>
      <c r="E523" s="2" t="s">
        <v>1841</v>
      </c>
      <c r="F523" s="2">
        <v>3.7033700000000001</v>
      </c>
      <c r="G523" s="2">
        <v>7.5190900000000003</v>
      </c>
      <c r="H523" s="2">
        <v>1.02172</v>
      </c>
    </row>
    <row r="524" spans="1:8" s="2" customFormat="1" ht="15" x14ac:dyDescent="0.2">
      <c r="A524" s="2" t="s">
        <v>1421</v>
      </c>
      <c r="B524" s="2" t="s">
        <v>3471</v>
      </c>
      <c r="C524" s="2" t="s">
        <v>2918</v>
      </c>
      <c r="D524" s="2" t="s">
        <v>1839</v>
      </c>
      <c r="E524" s="2" t="s">
        <v>1841</v>
      </c>
      <c r="F524" s="2">
        <v>5.2362399999999996</v>
      </c>
      <c r="G524" s="2">
        <v>10.6282</v>
      </c>
      <c r="H524" s="2">
        <v>1.02129</v>
      </c>
    </row>
    <row r="525" spans="1:8" s="2" customFormat="1" ht="15" x14ac:dyDescent="0.2">
      <c r="A525" s="2" t="s">
        <v>1408</v>
      </c>
      <c r="B525" s="2" t="s">
        <v>3242</v>
      </c>
      <c r="C525" s="2" t="s">
        <v>2282</v>
      </c>
      <c r="D525" s="2" t="s">
        <v>1839</v>
      </c>
      <c r="E525" s="2" t="s">
        <v>1841</v>
      </c>
      <c r="F525" s="2">
        <v>6.8091600000000003</v>
      </c>
      <c r="G525" s="2">
        <v>13.817600000000001</v>
      </c>
      <c r="H525" s="2">
        <v>1.0209600000000001</v>
      </c>
    </row>
    <row r="526" spans="1:8" s="2" customFormat="1" ht="15" x14ac:dyDescent="0.2">
      <c r="A526" s="2" t="s">
        <v>1705</v>
      </c>
      <c r="B526" s="2" t="s">
        <v>3015</v>
      </c>
      <c r="C526" s="2" t="s">
        <v>2034</v>
      </c>
      <c r="D526" s="2" t="s">
        <v>1839</v>
      </c>
      <c r="E526" s="2" t="s">
        <v>1841</v>
      </c>
      <c r="F526" s="2">
        <v>1.85189</v>
      </c>
      <c r="G526" s="2">
        <v>3.7568999999999999</v>
      </c>
      <c r="H526" s="2">
        <v>1.0205500000000001</v>
      </c>
    </row>
    <row r="527" spans="1:8" s="2" customFormat="1" ht="15" x14ac:dyDescent="0.2">
      <c r="A527" s="2" t="s">
        <v>1606</v>
      </c>
      <c r="B527" s="2" t="s">
        <v>3301</v>
      </c>
      <c r="C527" s="2" t="s">
        <v>1901</v>
      </c>
      <c r="D527" s="2" t="s">
        <v>1839</v>
      </c>
      <c r="E527" s="2" t="s">
        <v>1841</v>
      </c>
      <c r="F527" s="2">
        <v>0.98056699999999997</v>
      </c>
      <c r="G527" s="2">
        <v>1.9883200000000001</v>
      </c>
      <c r="H527" s="2">
        <v>1.01986</v>
      </c>
    </row>
    <row r="528" spans="1:8" s="2" customFormat="1" ht="15" x14ac:dyDescent="0.2">
      <c r="A528" s="2" t="s">
        <v>1704</v>
      </c>
      <c r="B528" s="2" t="s">
        <v>3459</v>
      </c>
      <c r="C528" s="2" t="s">
        <v>2869</v>
      </c>
      <c r="D528" s="2" t="s">
        <v>1839</v>
      </c>
      <c r="E528" s="2" t="s">
        <v>1841</v>
      </c>
      <c r="F528" s="2">
        <v>1.15276</v>
      </c>
      <c r="G528" s="2">
        <v>2.3339500000000002</v>
      </c>
      <c r="H528" s="2">
        <v>1.0176799999999999</v>
      </c>
    </row>
    <row r="529" spans="1:8" s="2" customFormat="1" ht="15" x14ac:dyDescent="0.2">
      <c r="A529" s="2" t="s">
        <v>1575</v>
      </c>
      <c r="B529" s="2" t="s">
        <v>3146</v>
      </c>
      <c r="C529" s="2" t="s">
        <v>2732</v>
      </c>
      <c r="D529" s="2" t="s">
        <v>1839</v>
      </c>
      <c r="E529" s="2" t="s">
        <v>1841</v>
      </c>
      <c r="F529" s="2">
        <v>0.74914700000000001</v>
      </c>
      <c r="G529" s="2">
        <v>1.5165900000000001</v>
      </c>
      <c r="H529" s="2">
        <v>1.0175099999999999</v>
      </c>
    </row>
    <row r="530" spans="1:8" s="2" customFormat="1" ht="15" x14ac:dyDescent="0.2">
      <c r="A530" s="2" t="s">
        <v>1397</v>
      </c>
      <c r="B530" s="2" t="s">
        <v>3462</v>
      </c>
      <c r="C530" s="2" t="s">
        <v>2885</v>
      </c>
      <c r="D530" s="2" t="s">
        <v>1839</v>
      </c>
      <c r="E530" s="2" t="s">
        <v>1841</v>
      </c>
      <c r="F530" s="2">
        <v>5.5134699999999999</v>
      </c>
      <c r="G530" s="2">
        <v>11.161199999999999</v>
      </c>
      <c r="H530" s="2">
        <v>1.01746</v>
      </c>
    </row>
    <row r="531" spans="1:8" s="2" customFormat="1" ht="15" x14ac:dyDescent="0.2">
      <c r="A531" s="2" t="s">
        <v>912</v>
      </c>
      <c r="B531" s="2" t="s">
        <v>3015</v>
      </c>
      <c r="C531" s="2" t="s">
        <v>2920</v>
      </c>
      <c r="D531" s="2" t="s">
        <v>1839</v>
      </c>
      <c r="E531" s="2" t="s">
        <v>1841</v>
      </c>
      <c r="F531" s="2">
        <v>4.8750499999999999</v>
      </c>
      <c r="G531" s="2">
        <v>9.8673199999999994</v>
      </c>
      <c r="H531" s="2">
        <v>1.0172399999999999</v>
      </c>
    </row>
    <row r="532" spans="1:8" s="2" customFormat="1" ht="15" x14ac:dyDescent="0.2">
      <c r="A532" s="2" t="s">
        <v>1658</v>
      </c>
      <c r="B532" s="2" t="s">
        <v>3015</v>
      </c>
      <c r="C532" s="2" t="s">
        <v>3015</v>
      </c>
      <c r="D532" s="2" t="s">
        <v>1839</v>
      </c>
      <c r="E532" s="2" t="s">
        <v>1841</v>
      </c>
      <c r="F532" s="2">
        <v>1.7488600000000001</v>
      </c>
      <c r="G532" s="2">
        <v>3.5392800000000002</v>
      </c>
      <c r="H532" s="2">
        <v>1.0170399999999999</v>
      </c>
    </row>
    <row r="533" spans="1:8" s="2" customFormat="1" ht="15" x14ac:dyDescent="0.2">
      <c r="A533" s="2" t="s">
        <v>1060</v>
      </c>
      <c r="B533" s="2" t="s">
        <v>3015</v>
      </c>
      <c r="C533" s="2" t="s">
        <v>2338</v>
      </c>
      <c r="D533" s="2" t="s">
        <v>1839</v>
      </c>
      <c r="E533" s="2" t="s">
        <v>1841</v>
      </c>
      <c r="F533" s="2">
        <v>6.2891300000000001</v>
      </c>
      <c r="G533" s="2">
        <v>12.7218</v>
      </c>
      <c r="H533" s="2">
        <v>1.01637</v>
      </c>
    </row>
    <row r="534" spans="1:8" s="2" customFormat="1" ht="15" x14ac:dyDescent="0.2">
      <c r="A534" s="2" t="s">
        <v>1231</v>
      </c>
      <c r="B534" s="2" t="s">
        <v>3030</v>
      </c>
      <c r="C534" s="2" t="s">
        <v>2721</v>
      </c>
      <c r="D534" s="2" t="s">
        <v>1839</v>
      </c>
      <c r="E534" s="2" t="s">
        <v>1841</v>
      </c>
      <c r="F534" s="2">
        <v>1.5259100000000001</v>
      </c>
      <c r="G534" s="2">
        <v>3.0861200000000002</v>
      </c>
      <c r="H534" s="2">
        <v>1.01613</v>
      </c>
    </row>
    <row r="535" spans="1:8" s="2" customFormat="1" ht="15" x14ac:dyDescent="0.2">
      <c r="A535" s="2" t="s">
        <v>1203</v>
      </c>
      <c r="B535" s="2" t="s">
        <v>3090</v>
      </c>
      <c r="C535" s="2" t="s">
        <v>2483</v>
      </c>
      <c r="D535" s="2" t="s">
        <v>1839</v>
      </c>
      <c r="E535" s="2" t="s">
        <v>1841</v>
      </c>
      <c r="F535" s="2">
        <v>1.4202699999999999</v>
      </c>
      <c r="G535" s="2">
        <v>2.8665400000000001</v>
      </c>
      <c r="H535" s="2">
        <v>1.01315</v>
      </c>
    </row>
    <row r="536" spans="1:8" s="2" customFormat="1" ht="15" x14ac:dyDescent="0.2">
      <c r="A536" s="2" t="s">
        <v>571</v>
      </c>
      <c r="B536" s="2" t="s">
        <v>3015</v>
      </c>
      <c r="C536" s="2" t="s">
        <v>3015</v>
      </c>
      <c r="D536" s="2" t="s">
        <v>1839</v>
      </c>
      <c r="E536" s="2" t="s">
        <v>1841</v>
      </c>
      <c r="F536" s="2">
        <v>0.668597</v>
      </c>
      <c r="G536" s="2">
        <v>1.3493200000000001</v>
      </c>
      <c r="H536" s="2">
        <v>1.0130300000000001</v>
      </c>
    </row>
    <row r="537" spans="1:8" s="2" customFormat="1" ht="15" x14ac:dyDescent="0.2">
      <c r="A537" s="2" t="s">
        <v>1166</v>
      </c>
      <c r="B537" s="2" t="s">
        <v>3015</v>
      </c>
      <c r="C537" s="2" t="s">
        <v>2659</v>
      </c>
      <c r="D537" s="2" t="s">
        <v>1839</v>
      </c>
      <c r="E537" s="2" t="s">
        <v>1841</v>
      </c>
      <c r="F537" s="2">
        <v>1.1134500000000001</v>
      </c>
      <c r="G537" s="2">
        <v>2.2461700000000002</v>
      </c>
      <c r="H537" s="2">
        <v>1.0124299999999999</v>
      </c>
    </row>
    <row r="538" spans="1:8" s="2" customFormat="1" ht="15" x14ac:dyDescent="0.2">
      <c r="A538" s="2" t="s">
        <v>390</v>
      </c>
      <c r="B538" s="2" t="s">
        <v>3057</v>
      </c>
      <c r="C538" s="2" t="s">
        <v>2753</v>
      </c>
      <c r="D538" s="2" t="s">
        <v>1839</v>
      </c>
      <c r="E538" s="2" t="s">
        <v>1841</v>
      </c>
      <c r="F538" s="2">
        <v>4.4337900000000001</v>
      </c>
      <c r="G538" s="2">
        <v>8.9348399999999994</v>
      </c>
      <c r="H538" s="2">
        <v>1.0108999999999999</v>
      </c>
    </row>
    <row r="539" spans="1:8" s="2" customFormat="1" ht="15" x14ac:dyDescent="0.2">
      <c r="A539" s="2" t="s">
        <v>1604</v>
      </c>
      <c r="B539" s="2" t="s">
        <v>3015</v>
      </c>
      <c r="C539" s="2" t="s">
        <v>1880</v>
      </c>
      <c r="D539" s="2" t="s">
        <v>1839</v>
      </c>
      <c r="E539" s="2" t="s">
        <v>1841</v>
      </c>
      <c r="F539" s="2">
        <v>2.2065600000000001</v>
      </c>
      <c r="G539" s="2">
        <v>4.4463699999999999</v>
      </c>
      <c r="H539" s="2">
        <v>1.0108200000000001</v>
      </c>
    </row>
    <row r="540" spans="1:8" s="2" customFormat="1" ht="15" x14ac:dyDescent="0.2">
      <c r="A540" s="2" t="s">
        <v>1145</v>
      </c>
      <c r="B540" s="2" t="s">
        <v>3178</v>
      </c>
      <c r="C540" s="2" t="s">
        <v>2632</v>
      </c>
      <c r="D540" s="2" t="s">
        <v>1839</v>
      </c>
      <c r="E540" s="2" t="s">
        <v>1841</v>
      </c>
      <c r="F540" s="2">
        <v>1.0187999999999999</v>
      </c>
      <c r="G540" s="2">
        <v>2.0526399999999998</v>
      </c>
      <c r="H540" s="2">
        <v>1.0105999999999999</v>
      </c>
    </row>
    <row r="541" spans="1:8" s="2" customFormat="1" ht="15" x14ac:dyDescent="0.2">
      <c r="A541" s="2" t="s">
        <v>976</v>
      </c>
      <c r="B541" s="2" t="s">
        <v>3477</v>
      </c>
      <c r="C541" s="2" t="s">
        <v>2939</v>
      </c>
      <c r="D541" s="2" t="s">
        <v>1839</v>
      </c>
      <c r="E541" s="2" t="s">
        <v>1841</v>
      </c>
      <c r="F541" s="2">
        <v>3.23447</v>
      </c>
      <c r="G541" s="2">
        <v>6.5088400000000002</v>
      </c>
      <c r="H541" s="2">
        <v>1.0088699999999999</v>
      </c>
    </row>
    <row r="542" spans="1:8" s="2" customFormat="1" ht="15" x14ac:dyDescent="0.2">
      <c r="A542" s="2" t="s">
        <v>672</v>
      </c>
      <c r="B542" s="2" t="s">
        <v>3015</v>
      </c>
      <c r="C542" s="2" t="s">
        <v>2837</v>
      </c>
      <c r="D542" s="2" t="s">
        <v>1839</v>
      </c>
      <c r="E542" s="2" t="s">
        <v>1841</v>
      </c>
      <c r="F542" s="2">
        <v>1.33152</v>
      </c>
      <c r="G542" s="2">
        <v>2.6720700000000002</v>
      </c>
      <c r="H542" s="2">
        <v>1.00488</v>
      </c>
    </row>
    <row r="543" spans="1:8" s="2" customFormat="1" ht="15" x14ac:dyDescent="0.2">
      <c r="A543" s="2" t="s">
        <v>1546</v>
      </c>
      <c r="B543" s="2" t="s">
        <v>3015</v>
      </c>
      <c r="C543" s="2" t="s">
        <v>2696</v>
      </c>
      <c r="D543" s="2" t="s">
        <v>1839</v>
      </c>
      <c r="E543" s="2" t="s">
        <v>1841</v>
      </c>
      <c r="F543" s="2">
        <v>5.0834599999999996</v>
      </c>
      <c r="G543" s="2">
        <v>10.1965</v>
      </c>
      <c r="H543" s="2">
        <v>1.0042</v>
      </c>
    </row>
    <row r="544" spans="1:8" s="2" customFormat="1" ht="15" x14ac:dyDescent="0.2">
      <c r="A544" s="2" t="s">
        <v>1032</v>
      </c>
      <c r="B544" s="2" t="s">
        <v>3201</v>
      </c>
      <c r="C544" s="2" t="s">
        <v>2677</v>
      </c>
      <c r="D544" s="2" t="s">
        <v>1839</v>
      </c>
      <c r="E544" s="2" t="s">
        <v>1841</v>
      </c>
      <c r="F544" s="2">
        <v>3.1874600000000002</v>
      </c>
      <c r="G544" s="2">
        <v>6.3919800000000002</v>
      </c>
      <c r="H544" s="2">
        <v>1.00386</v>
      </c>
    </row>
    <row r="545" spans="1:8" s="2" customFormat="1" ht="15" x14ac:dyDescent="0.2">
      <c r="A545" s="2" t="s">
        <v>258</v>
      </c>
      <c r="B545" s="2" t="s">
        <v>3026</v>
      </c>
      <c r="C545" s="2" t="s">
        <v>2699</v>
      </c>
      <c r="D545" s="2" t="s">
        <v>1839</v>
      </c>
      <c r="E545" s="2" t="s">
        <v>1841</v>
      </c>
      <c r="F545" s="2">
        <v>2.3042199999999999</v>
      </c>
      <c r="G545" s="2">
        <v>4.6188500000000001</v>
      </c>
      <c r="H545" s="2">
        <v>1.00326</v>
      </c>
    </row>
    <row r="546" spans="1:8" s="2" customFormat="1" ht="15" x14ac:dyDescent="0.2">
      <c r="A546" s="2" t="s">
        <v>355</v>
      </c>
      <c r="B546" s="2" t="s">
        <v>3027</v>
      </c>
      <c r="C546" s="2" t="s">
        <v>2739</v>
      </c>
      <c r="D546" s="2" t="s">
        <v>1839</v>
      </c>
      <c r="E546" s="2" t="s">
        <v>1841</v>
      </c>
      <c r="F546" s="2">
        <v>7.1759000000000004</v>
      </c>
      <c r="G546" s="2">
        <v>14.3811</v>
      </c>
      <c r="H546" s="2">
        <v>1.0029399999999999</v>
      </c>
    </row>
    <row r="547" spans="1:8" s="2" customFormat="1" ht="15" x14ac:dyDescent="0.2">
      <c r="A547" s="2" t="s">
        <v>1331</v>
      </c>
      <c r="B547" s="2" t="s">
        <v>3191</v>
      </c>
      <c r="C547" s="2" t="s">
        <v>2526</v>
      </c>
      <c r="D547" s="2" t="s">
        <v>1839</v>
      </c>
      <c r="E547" s="2" t="s">
        <v>1841</v>
      </c>
      <c r="F547" s="2">
        <v>1.6052500000000001</v>
      </c>
      <c r="G547" s="2">
        <v>3.2161499999999998</v>
      </c>
      <c r="H547" s="2">
        <v>1.00254</v>
      </c>
    </row>
    <row r="548" spans="1:8" s="2" customFormat="1" ht="15" x14ac:dyDescent="0.2">
      <c r="A548" s="2" t="s">
        <v>149</v>
      </c>
      <c r="B548" s="2" t="s">
        <v>3015</v>
      </c>
      <c r="C548" s="2" t="s">
        <v>1914</v>
      </c>
      <c r="D548" s="2" t="s">
        <v>1839</v>
      </c>
      <c r="E548" s="2" t="s">
        <v>1841</v>
      </c>
      <c r="F548" s="2">
        <v>1.03277</v>
      </c>
      <c r="G548" s="2">
        <v>2.06914</v>
      </c>
      <c r="H548" s="2">
        <v>1.00251</v>
      </c>
    </row>
    <row r="549" spans="1:8" s="2" customFormat="1" ht="15" x14ac:dyDescent="0.2">
      <c r="A549" s="2" t="s">
        <v>461</v>
      </c>
      <c r="B549" s="2" t="s">
        <v>3015</v>
      </c>
      <c r="C549" s="2" t="s">
        <v>2060</v>
      </c>
      <c r="D549" s="2" t="s">
        <v>1839</v>
      </c>
      <c r="E549" s="2" t="s">
        <v>1841</v>
      </c>
      <c r="F549" s="2">
        <v>2.9764499999999998</v>
      </c>
      <c r="G549" s="2">
        <v>5.9624499999999996</v>
      </c>
      <c r="H549" s="2">
        <v>1.00231</v>
      </c>
    </row>
    <row r="550" spans="1:8" s="2" customFormat="1" ht="15" x14ac:dyDescent="0.2">
      <c r="A550" s="2" t="s">
        <v>1443</v>
      </c>
      <c r="B550" s="2" t="s">
        <v>3463</v>
      </c>
      <c r="C550" s="2" t="s">
        <v>2945</v>
      </c>
      <c r="D550" s="2" t="s">
        <v>1839</v>
      </c>
      <c r="E550" s="2" t="s">
        <v>1841</v>
      </c>
      <c r="F550" s="2">
        <v>5.5547000000000004</v>
      </c>
      <c r="G550" s="2">
        <v>11.117900000000001</v>
      </c>
      <c r="H550" s="2">
        <v>1.0011099999999999</v>
      </c>
    </row>
    <row r="551" spans="1:8" s="2" customFormat="1" ht="15" x14ac:dyDescent="0.2">
      <c r="A551" s="2" t="s">
        <v>1580</v>
      </c>
      <c r="B551" s="2" t="s">
        <v>3015</v>
      </c>
      <c r="C551" s="2" t="s">
        <v>2736</v>
      </c>
      <c r="D551" s="2" t="s">
        <v>1839</v>
      </c>
      <c r="E551" s="2" t="s">
        <v>1841</v>
      </c>
      <c r="F551" s="2">
        <v>0.508189</v>
      </c>
      <c r="G551" s="2">
        <v>1.01712</v>
      </c>
      <c r="H551" s="2">
        <v>1.0010600000000001</v>
      </c>
    </row>
    <row r="552" spans="1:8" s="2" customFormat="1" ht="15" x14ac:dyDescent="0.2">
      <c r="A552" s="2" t="s">
        <v>92</v>
      </c>
      <c r="B552" s="2" t="s">
        <v>3024</v>
      </c>
      <c r="C552" s="2" t="s">
        <v>1883</v>
      </c>
      <c r="D552" s="2" t="s">
        <v>1839</v>
      </c>
      <c r="E552" s="2" t="s">
        <v>1841</v>
      </c>
      <c r="F552" s="2">
        <v>0</v>
      </c>
      <c r="G552" s="2">
        <v>0.77295599999999998</v>
      </c>
      <c r="H552" s="2" t="s">
        <v>3501</v>
      </c>
    </row>
    <row r="553" spans="1:8" s="2" customFormat="1" ht="15" x14ac:dyDescent="0.2">
      <c r="A553" s="2" t="s">
        <v>1517</v>
      </c>
      <c r="B553" s="2" t="s">
        <v>3209</v>
      </c>
      <c r="C553" s="2" t="s">
        <v>2670</v>
      </c>
      <c r="D553" s="2" t="s">
        <v>1839</v>
      </c>
      <c r="E553" s="2" t="s">
        <v>1841</v>
      </c>
      <c r="F553" s="2">
        <v>0</v>
      </c>
      <c r="G553" s="2">
        <v>2.86138</v>
      </c>
      <c r="H553" s="2" t="s">
        <v>3501</v>
      </c>
    </row>
    <row r="554" spans="1:8" s="2" customFormat="1" ht="15" x14ac:dyDescent="0.2">
      <c r="A554" s="2" t="s">
        <v>1587</v>
      </c>
      <c r="B554" s="2" t="s">
        <v>3015</v>
      </c>
      <c r="C554" s="2" t="s">
        <v>3015</v>
      </c>
      <c r="D554" s="2" t="s">
        <v>1839</v>
      </c>
      <c r="E554" s="2" t="s">
        <v>1841</v>
      </c>
      <c r="F554" s="2">
        <v>0</v>
      </c>
      <c r="G554" s="2">
        <v>1.4136899999999999</v>
      </c>
      <c r="H554" s="2" t="s">
        <v>3501</v>
      </c>
    </row>
    <row r="555" spans="1:8" s="2" customFormat="1" ht="15" x14ac:dyDescent="0.2">
      <c r="A555" s="2" t="s">
        <v>386</v>
      </c>
      <c r="B555" s="2" t="s">
        <v>3130</v>
      </c>
      <c r="C555" s="2" t="s">
        <v>2021</v>
      </c>
      <c r="D555" s="2" t="s">
        <v>1839</v>
      </c>
      <c r="E555" s="2" t="s">
        <v>1841</v>
      </c>
      <c r="F555" s="2">
        <v>0</v>
      </c>
      <c r="G555" s="2">
        <v>2.3992900000000001</v>
      </c>
      <c r="H555" s="2" t="s">
        <v>3501</v>
      </c>
    </row>
    <row r="556" spans="1:8" s="2" customFormat="1" ht="15" x14ac:dyDescent="0.2">
      <c r="A556" s="2" t="s">
        <v>1647</v>
      </c>
      <c r="B556" s="2" t="s">
        <v>3015</v>
      </c>
      <c r="C556" s="2" t="s">
        <v>3015</v>
      </c>
      <c r="D556" s="2" t="s">
        <v>1839</v>
      </c>
      <c r="E556" s="2" t="s">
        <v>1841</v>
      </c>
      <c r="F556" s="2">
        <v>0</v>
      </c>
      <c r="G556" s="2">
        <v>3.4809399999999999</v>
      </c>
      <c r="H556" s="2" t="s">
        <v>3501</v>
      </c>
    </row>
    <row r="557" spans="1:8" s="2" customFormat="1" ht="15" x14ac:dyDescent="0.2">
      <c r="A557" s="2" t="s">
        <v>1385</v>
      </c>
      <c r="B557" s="2" t="s">
        <v>3015</v>
      </c>
      <c r="C557" s="2" t="s">
        <v>3015</v>
      </c>
      <c r="D557" s="2" t="s">
        <v>1839</v>
      </c>
      <c r="E557" s="2" t="s">
        <v>1841</v>
      </c>
      <c r="F557" s="2">
        <v>0</v>
      </c>
      <c r="G557" s="2">
        <v>1.87524</v>
      </c>
      <c r="H557" s="2" t="s">
        <v>3501</v>
      </c>
    </row>
    <row r="558" spans="1:8" s="2" customFormat="1" ht="15" x14ac:dyDescent="0.2">
      <c r="A558" s="2" t="s">
        <v>1715</v>
      </c>
      <c r="B558" s="2" t="s">
        <v>3030</v>
      </c>
      <c r="C558" s="2" t="s">
        <v>2879</v>
      </c>
      <c r="D558" s="2" t="s">
        <v>1839</v>
      </c>
      <c r="E558" s="2" t="s">
        <v>1841</v>
      </c>
      <c r="F558" s="2">
        <v>0</v>
      </c>
      <c r="G558" s="2">
        <v>0.89891799999999999</v>
      </c>
      <c r="H558" s="2" t="s">
        <v>3501</v>
      </c>
    </row>
    <row r="559" spans="1:8" s="2" customFormat="1" ht="15" x14ac:dyDescent="0.2">
      <c r="A559" s="2" t="s">
        <v>1735</v>
      </c>
      <c r="B559" s="2" t="s">
        <v>3015</v>
      </c>
      <c r="C559" s="2" t="s">
        <v>3015</v>
      </c>
      <c r="D559" s="2" t="s">
        <v>1839</v>
      </c>
      <c r="E559" s="2" t="s">
        <v>1841</v>
      </c>
      <c r="F559" s="2">
        <v>0</v>
      </c>
      <c r="G559" s="2">
        <v>1.50499</v>
      </c>
      <c r="H559" s="2" t="s">
        <v>3501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8"/>
  <sheetViews>
    <sheetView workbookViewId="0">
      <selection activeCell="A2" sqref="A2:XFD4"/>
    </sheetView>
  </sheetViews>
  <sheetFormatPr defaultColWidth="8.875" defaultRowHeight="14.25" x14ac:dyDescent="0.2"/>
  <cols>
    <col min="1" max="2" width="19.375" style="1" customWidth="1"/>
    <col min="3" max="3" width="60.375" customWidth="1"/>
    <col min="4" max="4" width="14.5" customWidth="1"/>
    <col min="5" max="5" width="14.875" customWidth="1"/>
  </cols>
  <sheetData>
    <row r="1" spans="1:13" ht="20.25" x14ac:dyDescent="0.2">
      <c r="A1" s="11" t="s">
        <v>3530</v>
      </c>
    </row>
    <row r="2" spans="1:13" s="36" customFormat="1" ht="18.75" x14ac:dyDescent="0.2">
      <c r="A2" s="28" t="s">
        <v>3538</v>
      </c>
      <c r="B2" s="28"/>
    </row>
    <row r="3" spans="1:13" s="36" customFormat="1" ht="18.75" x14ac:dyDescent="0.2">
      <c r="A3" s="28" t="s">
        <v>3542</v>
      </c>
      <c r="B3" s="28"/>
    </row>
    <row r="4" spans="1:13" s="25" customFormat="1" ht="18" x14ac:dyDescent="0.25">
      <c r="A4" s="37" t="s">
        <v>3502</v>
      </c>
      <c r="B4" s="37" t="s">
        <v>3023</v>
      </c>
      <c r="C4" s="25" t="s">
        <v>1843</v>
      </c>
      <c r="D4" s="29" t="s">
        <v>0</v>
      </c>
      <c r="E4" s="29" t="s">
        <v>1</v>
      </c>
      <c r="F4" s="29" t="s">
        <v>2</v>
      </c>
      <c r="G4" s="29" t="s">
        <v>3</v>
      </c>
      <c r="H4" s="29" t="s">
        <v>4</v>
      </c>
      <c r="I4" s="29"/>
      <c r="J4" s="29"/>
      <c r="K4" s="29"/>
      <c r="L4" s="29"/>
      <c r="M4" s="29"/>
    </row>
    <row r="5" spans="1:13" s="2" customFormat="1" ht="15" x14ac:dyDescent="0.2">
      <c r="A5" s="5" t="s">
        <v>1096</v>
      </c>
      <c r="B5" s="2" t="s">
        <v>3015</v>
      </c>
      <c r="C5" s="2" t="s">
        <v>1880</v>
      </c>
      <c r="D5" s="3" t="s">
        <v>1839</v>
      </c>
      <c r="E5" s="3" t="s">
        <v>1840</v>
      </c>
      <c r="F5" s="3">
        <v>0.56859899999999997</v>
      </c>
      <c r="G5" s="3">
        <v>5.8463000000000003</v>
      </c>
      <c r="H5" s="3">
        <v>3.3620399999999999</v>
      </c>
      <c r="J5" s="3"/>
      <c r="K5" s="3"/>
      <c r="L5" s="3"/>
    </row>
    <row r="6" spans="1:13" s="2" customFormat="1" ht="15" x14ac:dyDescent="0.2">
      <c r="A6" s="5" t="s">
        <v>630</v>
      </c>
      <c r="B6" s="2" t="s">
        <v>3179</v>
      </c>
      <c r="C6" s="2" t="s">
        <v>2137</v>
      </c>
      <c r="D6" s="3" t="s">
        <v>1839</v>
      </c>
      <c r="E6" s="3" t="s">
        <v>1840</v>
      </c>
      <c r="F6" s="3">
        <v>1.19113</v>
      </c>
      <c r="G6" s="3">
        <v>9.2512899999999991</v>
      </c>
      <c r="H6" s="3">
        <v>2.9573200000000002</v>
      </c>
      <c r="J6" s="3"/>
      <c r="K6" s="3"/>
      <c r="L6" s="3"/>
    </row>
    <row r="7" spans="1:13" s="2" customFormat="1" ht="15" x14ac:dyDescent="0.2">
      <c r="A7" s="5" t="s">
        <v>581</v>
      </c>
      <c r="B7" s="2" t="s">
        <v>3167</v>
      </c>
      <c r="C7" s="2" t="s">
        <v>2117</v>
      </c>
      <c r="D7" s="3" t="s">
        <v>1839</v>
      </c>
      <c r="E7" s="3" t="s">
        <v>1840</v>
      </c>
      <c r="F7" s="3">
        <v>6.3385999999999996</v>
      </c>
      <c r="G7" s="3">
        <v>46.332299999999996</v>
      </c>
      <c r="H7" s="3">
        <v>2.86978</v>
      </c>
      <c r="J7" s="4"/>
      <c r="K7" s="3"/>
      <c r="L7" s="3"/>
    </row>
    <row r="8" spans="1:13" s="2" customFormat="1" ht="15" x14ac:dyDescent="0.2">
      <c r="A8" s="5" t="s">
        <v>1362</v>
      </c>
      <c r="B8" s="2" t="s">
        <v>3353</v>
      </c>
      <c r="C8" s="2" t="s">
        <v>2548</v>
      </c>
      <c r="D8" s="3" t="s">
        <v>1839</v>
      </c>
      <c r="E8" s="3" t="s">
        <v>1840</v>
      </c>
      <c r="F8" s="3">
        <v>0.39604699999999998</v>
      </c>
      <c r="G8" s="3">
        <v>2.83019</v>
      </c>
      <c r="H8" s="3">
        <v>2.8371599999999999</v>
      </c>
      <c r="J8" s="3"/>
      <c r="K8" s="3"/>
      <c r="L8" s="3"/>
    </row>
    <row r="9" spans="1:13" s="2" customFormat="1" ht="15" x14ac:dyDescent="0.2">
      <c r="A9" s="5" t="s">
        <v>988</v>
      </c>
      <c r="B9" s="2" t="s">
        <v>3047</v>
      </c>
      <c r="C9" s="2" t="s">
        <v>2277</v>
      </c>
      <c r="D9" s="3" t="s">
        <v>1839</v>
      </c>
      <c r="E9" s="3" t="s">
        <v>1840</v>
      </c>
      <c r="F9" s="3">
        <v>0.210979</v>
      </c>
      <c r="G9" s="3">
        <v>1.3816900000000001</v>
      </c>
      <c r="H9" s="3">
        <v>2.7112599999999998</v>
      </c>
      <c r="J9" s="4"/>
      <c r="K9" s="3"/>
      <c r="L9" s="3"/>
    </row>
    <row r="10" spans="1:13" s="2" customFormat="1" ht="15" x14ac:dyDescent="0.2">
      <c r="A10" s="5" t="s">
        <v>406</v>
      </c>
      <c r="B10" s="2" t="s">
        <v>3326</v>
      </c>
      <c r="C10" s="2" t="s">
        <v>2473</v>
      </c>
      <c r="D10" s="3" t="s">
        <v>1839</v>
      </c>
      <c r="E10" s="3" t="s">
        <v>1840</v>
      </c>
      <c r="F10" s="3">
        <v>4.2021199999999999</v>
      </c>
      <c r="G10" s="3">
        <v>26.6938</v>
      </c>
      <c r="H10" s="3">
        <v>2.6673200000000001</v>
      </c>
      <c r="J10" s="4"/>
      <c r="K10" s="3"/>
      <c r="L10" s="3"/>
    </row>
    <row r="11" spans="1:13" s="2" customFormat="1" ht="15" x14ac:dyDescent="0.2">
      <c r="A11" s="5" t="s">
        <v>8</v>
      </c>
      <c r="B11" s="2" t="s">
        <v>3015</v>
      </c>
      <c r="C11" s="2" t="s">
        <v>3015</v>
      </c>
      <c r="D11" s="3" t="s">
        <v>1839</v>
      </c>
      <c r="E11" s="3" t="s">
        <v>1840</v>
      </c>
      <c r="F11" s="3">
        <v>19.536799999999999</v>
      </c>
      <c r="G11" s="3">
        <v>115.267</v>
      </c>
      <c r="H11" s="3">
        <v>2.5607099999999998</v>
      </c>
      <c r="J11" s="3"/>
      <c r="K11" s="3"/>
      <c r="L11" s="3"/>
    </row>
    <row r="12" spans="1:13" s="2" customFormat="1" ht="15" x14ac:dyDescent="0.2">
      <c r="A12" s="5" t="s">
        <v>579</v>
      </c>
      <c r="B12" s="2" t="s">
        <v>3341</v>
      </c>
      <c r="C12" s="2" t="s">
        <v>2509</v>
      </c>
      <c r="D12" s="3" t="s">
        <v>1839</v>
      </c>
      <c r="E12" s="3" t="s">
        <v>1840</v>
      </c>
      <c r="F12" s="3">
        <v>0.404387</v>
      </c>
      <c r="G12" s="3">
        <v>2.3762400000000001</v>
      </c>
      <c r="H12" s="3">
        <v>2.5548700000000002</v>
      </c>
      <c r="J12" s="3"/>
      <c r="K12" s="3"/>
      <c r="L12" s="3"/>
    </row>
    <row r="13" spans="1:13" s="2" customFormat="1" ht="15" x14ac:dyDescent="0.2">
      <c r="A13" s="5" t="s">
        <v>498</v>
      </c>
      <c r="B13" s="2" t="s">
        <v>3015</v>
      </c>
      <c r="C13" s="2" t="s">
        <v>2078</v>
      </c>
      <c r="D13" s="3" t="s">
        <v>1839</v>
      </c>
      <c r="E13" s="3" t="s">
        <v>1840</v>
      </c>
      <c r="F13" s="3">
        <v>1.70723</v>
      </c>
      <c r="G13" s="3">
        <v>9.9009099999999997</v>
      </c>
      <c r="H13" s="3">
        <v>2.5358999999999998</v>
      </c>
      <c r="J13" s="3"/>
      <c r="K13" s="3"/>
      <c r="L13" s="3"/>
    </row>
    <row r="14" spans="1:13" s="2" customFormat="1" ht="15" x14ac:dyDescent="0.2">
      <c r="A14" s="5" t="s">
        <v>1351</v>
      </c>
      <c r="B14" s="2" t="s">
        <v>3031</v>
      </c>
      <c r="C14" s="2" t="s">
        <v>2831</v>
      </c>
      <c r="D14" s="3" t="s">
        <v>1839</v>
      </c>
      <c r="E14" s="3" t="s">
        <v>1840</v>
      </c>
      <c r="F14" s="3">
        <v>1.4604900000000001</v>
      </c>
      <c r="G14" s="3">
        <v>7.8779199999999996</v>
      </c>
      <c r="H14" s="3">
        <v>2.4313600000000002</v>
      </c>
      <c r="J14" s="3"/>
      <c r="K14" s="3"/>
      <c r="L14" s="3"/>
    </row>
    <row r="15" spans="1:13" s="2" customFormat="1" ht="15" x14ac:dyDescent="0.2">
      <c r="A15" s="5" t="s">
        <v>1666</v>
      </c>
      <c r="B15" s="2" t="s">
        <v>3031</v>
      </c>
      <c r="C15" s="2" t="s">
        <v>2831</v>
      </c>
      <c r="D15" s="3" t="s">
        <v>1839</v>
      </c>
      <c r="E15" s="3" t="s">
        <v>1840</v>
      </c>
      <c r="F15" s="3">
        <v>0.30907800000000002</v>
      </c>
      <c r="G15" s="3">
        <v>1.66597</v>
      </c>
      <c r="H15" s="3">
        <v>2.43032</v>
      </c>
      <c r="J15" s="3"/>
      <c r="K15" s="3"/>
      <c r="L15" s="3"/>
    </row>
    <row r="16" spans="1:13" s="2" customFormat="1" ht="15" x14ac:dyDescent="0.2">
      <c r="A16" s="5" t="s">
        <v>726</v>
      </c>
      <c r="B16" s="2" t="s">
        <v>3491</v>
      </c>
      <c r="C16" s="2" t="s">
        <v>1938</v>
      </c>
      <c r="D16" s="3" t="s">
        <v>1839</v>
      </c>
      <c r="E16" s="3" t="s">
        <v>1840</v>
      </c>
      <c r="F16" s="3">
        <v>0.20066000000000001</v>
      </c>
      <c r="G16" s="3">
        <v>1.07697</v>
      </c>
      <c r="H16" s="3">
        <v>2.4241600000000001</v>
      </c>
      <c r="J16" s="3"/>
      <c r="K16" s="3"/>
      <c r="L16" s="3"/>
    </row>
    <row r="17" spans="1:12" s="2" customFormat="1" ht="15" x14ac:dyDescent="0.2">
      <c r="A17" s="5" t="s">
        <v>1457</v>
      </c>
      <c r="B17" s="2" t="s">
        <v>3015</v>
      </c>
      <c r="C17" s="2" t="s">
        <v>3015</v>
      </c>
      <c r="D17" s="3" t="s">
        <v>1839</v>
      </c>
      <c r="E17" s="3" t="s">
        <v>1840</v>
      </c>
      <c r="F17" s="3">
        <v>0.18639900000000001</v>
      </c>
      <c r="G17" s="3">
        <v>0.95028599999999996</v>
      </c>
      <c r="H17" s="3">
        <v>2.3499699999999999</v>
      </c>
      <c r="J17" s="4"/>
      <c r="K17" s="3"/>
      <c r="L17" s="3"/>
    </row>
    <row r="18" spans="1:12" s="2" customFormat="1" ht="15" x14ac:dyDescent="0.2">
      <c r="A18" s="5" t="s">
        <v>339</v>
      </c>
      <c r="B18" s="2" t="s">
        <v>3109</v>
      </c>
      <c r="C18" s="2" t="s">
        <v>2734</v>
      </c>
      <c r="D18" s="3" t="s">
        <v>1839</v>
      </c>
      <c r="E18" s="3" t="s">
        <v>1840</v>
      </c>
      <c r="F18" s="3">
        <v>1.31606</v>
      </c>
      <c r="G18" s="3">
        <v>6.6692499999999999</v>
      </c>
      <c r="H18" s="3">
        <v>2.3412999999999999</v>
      </c>
      <c r="J18" s="3"/>
      <c r="K18" s="3"/>
      <c r="L18" s="3"/>
    </row>
    <row r="19" spans="1:12" s="2" customFormat="1" ht="15" x14ac:dyDescent="0.2">
      <c r="A19" s="5" t="s">
        <v>895</v>
      </c>
      <c r="B19" s="2" t="s">
        <v>3047</v>
      </c>
      <c r="C19" s="2" t="s">
        <v>2258</v>
      </c>
      <c r="D19" s="3" t="s">
        <v>1839</v>
      </c>
      <c r="E19" s="3" t="s">
        <v>1840</v>
      </c>
      <c r="F19" s="3">
        <v>0.273982</v>
      </c>
      <c r="G19" s="3">
        <v>1.3799699999999999</v>
      </c>
      <c r="H19" s="3">
        <v>2.33249</v>
      </c>
      <c r="J19" s="4"/>
      <c r="K19" s="3"/>
      <c r="L19" s="3"/>
    </row>
    <row r="20" spans="1:12" s="2" customFormat="1" ht="15" x14ac:dyDescent="0.2">
      <c r="A20" s="5" t="s">
        <v>514</v>
      </c>
      <c r="B20" s="2" t="s">
        <v>3045</v>
      </c>
      <c r="C20" s="2" t="s">
        <v>2491</v>
      </c>
      <c r="D20" s="3" t="s">
        <v>1839</v>
      </c>
      <c r="E20" s="3" t="s">
        <v>1840</v>
      </c>
      <c r="F20" s="3">
        <v>1.5641799999999999</v>
      </c>
      <c r="G20" s="3">
        <v>7.4547699999999999</v>
      </c>
      <c r="H20" s="3">
        <v>2.2527499999999998</v>
      </c>
      <c r="J20" s="4"/>
      <c r="K20" s="3"/>
      <c r="L20" s="3"/>
    </row>
    <row r="21" spans="1:12" s="2" customFormat="1" ht="15" x14ac:dyDescent="0.2">
      <c r="A21" s="5" t="s">
        <v>996</v>
      </c>
      <c r="B21" s="2" t="s">
        <v>3047</v>
      </c>
      <c r="C21" s="2" t="s">
        <v>2277</v>
      </c>
      <c r="D21" s="3" t="s">
        <v>1839</v>
      </c>
      <c r="E21" s="3" t="s">
        <v>1840</v>
      </c>
      <c r="F21" s="3">
        <v>1.44367</v>
      </c>
      <c r="G21" s="3">
        <v>6.8258200000000002</v>
      </c>
      <c r="H21" s="3">
        <v>2.2412700000000001</v>
      </c>
      <c r="J21" s="3"/>
      <c r="K21" s="3"/>
      <c r="L21" s="3"/>
    </row>
    <row r="22" spans="1:12" s="2" customFormat="1" ht="15" x14ac:dyDescent="0.2">
      <c r="A22" s="5" t="s">
        <v>290</v>
      </c>
      <c r="B22" s="2" t="s">
        <v>3015</v>
      </c>
      <c r="C22" s="2" t="s">
        <v>1986</v>
      </c>
      <c r="D22" s="3" t="s">
        <v>1839</v>
      </c>
      <c r="E22" s="3" t="s">
        <v>1840</v>
      </c>
      <c r="F22" s="3">
        <v>0.68375399999999997</v>
      </c>
      <c r="G22" s="3">
        <v>3.1591999999999998</v>
      </c>
      <c r="H22" s="3">
        <v>2.2080099999999998</v>
      </c>
      <c r="J22" s="3"/>
      <c r="K22" s="3"/>
      <c r="L22" s="3"/>
    </row>
    <row r="23" spans="1:12" s="2" customFormat="1" ht="15" x14ac:dyDescent="0.2">
      <c r="A23" s="5" t="s">
        <v>952</v>
      </c>
      <c r="B23" s="2" t="s">
        <v>3256</v>
      </c>
      <c r="C23" s="2" t="s">
        <v>2316</v>
      </c>
      <c r="D23" s="3" t="s">
        <v>1839</v>
      </c>
      <c r="E23" s="3" t="s">
        <v>1840</v>
      </c>
      <c r="F23" s="3">
        <v>0.29367100000000002</v>
      </c>
      <c r="G23" s="3">
        <v>1.3219399999999999</v>
      </c>
      <c r="H23" s="3">
        <v>2.1703800000000002</v>
      </c>
      <c r="J23" s="3"/>
      <c r="K23" s="3"/>
      <c r="L23" s="3"/>
    </row>
    <row r="24" spans="1:12" s="2" customFormat="1" ht="15" x14ac:dyDescent="0.2">
      <c r="A24" s="5" t="s">
        <v>1134</v>
      </c>
      <c r="B24" s="2" t="s">
        <v>3089</v>
      </c>
      <c r="C24" s="2" t="s">
        <v>2622</v>
      </c>
      <c r="D24" s="3" t="s">
        <v>1839</v>
      </c>
      <c r="E24" s="3" t="s">
        <v>1840</v>
      </c>
      <c r="F24" s="3">
        <v>1.7720800000000001</v>
      </c>
      <c r="G24" s="3">
        <v>7.7421800000000003</v>
      </c>
      <c r="H24" s="3">
        <v>2.1272899999999999</v>
      </c>
      <c r="J24" s="3"/>
      <c r="K24" s="3"/>
      <c r="L24" s="3"/>
    </row>
    <row r="25" spans="1:12" s="2" customFormat="1" ht="15" x14ac:dyDescent="0.2">
      <c r="A25" s="5" t="s">
        <v>1010</v>
      </c>
      <c r="B25" s="2" t="s">
        <v>3015</v>
      </c>
      <c r="C25" s="2" t="s">
        <v>1915</v>
      </c>
      <c r="D25" s="3" t="s">
        <v>1839</v>
      </c>
      <c r="E25" s="3" t="s">
        <v>1840</v>
      </c>
      <c r="F25" s="3">
        <v>0.219358</v>
      </c>
      <c r="G25" s="3">
        <v>0.95014200000000004</v>
      </c>
      <c r="H25" s="6">
        <v>2.1148500000000001</v>
      </c>
      <c r="J25" s="3"/>
      <c r="K25" s="3"/>
      <c r="L25" s="3"/>
    </row>
    <row r="26" spans="1:12" s="2" customFormat="1" ht="15" x14ac:dyDescent="0.2">
      <c r="A26" s="5" t="s">
        <v>1466</v>
      </c>
      <c r="B26" s="2" t="s">
        <v>3313</v>
      </c>
      <c r="C26" s="2" t="s">
        <v>2479</v>
      </c>
      <c r="D26" s="3" t="s">
        <v>1839</v>
      </c>
      <c r="E26" s="3" t="s">
        <v>1840</v>
      </c>
      <c r="F26" s="3">
        <v>1.80616</v>
      </c>
      <c r="G26" s="3">
        <v>7.7228700000000003</v>
      </c>
      <c r="H26" s="6">
        <v>2.0962100000000001</v>
      </c>
      <c r="J26" s="3"/>
      <c r="K26" s="3"/>
      <c r="L26" s="3"/>
    </row>
    <row r="27" spans="1:12" s="2" customFormat="1" ht="15" x14ac:dyDescent="0.2">
      <c r="A27" s="5" t="s">
        <v>1799</v>
      </c>
      <c r="B27" s="2" t="s">
        <v>3488</v>
      </c>
      <c r="C27" s="2" t="s">
        <v>1847</v>
      </c>
      <c r="D27" s="3" t="s">
        <v>1839</v>
      </c>
      <c r="E27" s="3" t="s">
        <v>1840</v>
      </c>
      <c r="F27" s="3">
        <v>0.41630699999999998</v>
      </c>
      <c r="G27" s="3">
        <v>1.74882</v>
      </c>
      <c r="H27" s="6">
        <v>2.0706600000000002</v>
      </c>
      <c r="J27" s="3"/>
      <c r="K27" s="3"/>
      <c r="L27" s="3"/>
    </row>
    <row r="28" spans="1:12" s="2" customFormat="1" ht="15" x14ac:dyDescent="0.2">
      <c r="A28" s="5" t="s">
        <v>1415</v>
      </c>
      <c r="B28" s="2" t="s">
        <v>3047</v>
      </c>
      <c r="C28" s="2" t="s">
        <v>2585</v>
      </c>
      <c r="D28" s="3" t="s">
        <v>1839</v>
      </c>
      <c r="E28" s="3" t="s">
        <v>1840</v>
      </c>
      <c r="F28" s="3">
        <v>1.0212699999999999</v>
      </c>
      <c r="G28" s="3">
        <v>4.2843799999999996</v>
      </c>
      <c r="H28" s="6">
        <v>2.06873</v>
      </c>
      <c r="J28" s="3"/>
      <c r="K28" s="3"/>
      <c r="L28" s="3"/>
    </row>
    <row r="29" spans="1:12" s="2" customFormat="1" ht="15" x14ac:dyDescent="0.2">
      <c r="A29" s="5" t="s">
        <v>1610</v>
      </c>
      <c r="B29" s="2" t="s">
        <v>3087</v>
      </c>
      <c r="C29" s="2" t="s">
        <v>2771</v>
      </c>
      <c r="D29" s="3" t="s">
        <v>1839</v>
      </c>
      <c r="E29" s="3" t="s">
        <v>1840</v>
      </c>
      <c r="F29" s="3">
        <v>0.29669000000000001</v>
      </c>
      <c r="G29" s="3">
        <v>1.24089</v>
      </c>
      <c r="H29" s="6">
        <v>2.0643500000000001</v>
      </c>
      <c r="J29" s="4"/>
      <c r="K29" s="3"/>
      <c r="L29" s="3"/>
    </row>
    <row r="30" spans="1:12" s="2" customFormat="1" ht="15" x14ac:dyDescent="0.2">
      <c r="A30" s="5" t="s">
        <v>422</v>
      </c>
      <c r="B30" s="2" t="s">
        <v>3136</v>
      </c>
      <c r="C30" s="2" t="s">
        <v>2039</v>
      </c>
      <c r="D30" s="3" t="s">
        <v>1839</v>
      </c>
      <c r="E30" s="3" t="s">
        <v>1840</v>
      </c>
      <c r="F30" s="3">
        <v>0.24396300000000001</v>
      </c>
      <c r="G30" s="3">
        <v>0.99698699999999996</v>
      </c>
      <c r="H30" s="6">
        <v>2.03091</v>
      </c>
      <c r="J30" s="3"/>
      <c r="K30" s="3"/>
      <c r="L30" s="3"/>
    </row>
    <row r="31" spans="1:12" s="2" customFormat="1" ht="15" x14ac:dyDescent="0.2">
      <c r="A31" s="5" t="s">
        <v>1816</v>
      </c>
      <c r="B31" s="2" t="s">
        <v>3180</v>
      </c>
      <c r="C31" s="2" t="s">
        <v>2993</v>
      </c>
      <c r="D31" s="3" t="s">
        <v>1839</v>
      </c>
      <c r="E31" s="3" t="s">
        <v>1840</v>
      </c>
      <c r="F31" s="3">
        <v>0.31321900000000003</v>
      </c>
      <c r="G31" s="3">
        <v>1.2757099999999999</v>
      </c>
      <c r="H31" s="6">
        <v>2.0260600000000002</v>
      </c>
      <c r="J31" s="4"/>
      <c r="K31" s="3"/>
      <c r="L31" s="3"/>
    </row>
    <row r="32" spans="1:12" s="2" customFormat="1" ht="15" x14ac:dyDescent="0.2">
      <c r="A32" s="5" t="s">
        <v>661</v>
      </c>
      <c r="B32" s="2" t="s">
        <v>3015</v>
      </c>
      <c r="C32" s="2" t="s">
        <v>2834</v>
      </c>
      <c r="D32" s="3" t="s">
        <v>1839</v>
      </c>
      <c r="E32" s="3" t="s">
        <v>1840</v>
      </c>
      <c r="F32" s="3">
        <v>14.642799999999999</v>
      </c>
      <c r="G32" s="3">
        <v>56.98</v>
      </c>
      <c r="H32" s="6">
        <v>1.96027</v>
      </c>
      <c r="J32" s="3"/>
      <c r="K32" s="3"/>
      <c r="L32" s="3"/>
    </row>
    <row r="33" spans="1:12" s="2" customFormat="1" ht="15" x14ac:dyDescent="0.2">
      <c r="A33" s="5" t="s">
        <v>1082</v>
      </c>
      <c r="B33" s="2" t="s">
        <v>3015</v>
      </c>
      <c r="C33" s="2" t="s">
        <v>2349</v>
      </c>
      <c r="D33" s="3" t="s">
        <v>1839</v>
      </c>
      <c r="E33" s="3" t="s">
        <v>1840</v>
      </c>
      <c r="F33" s="3">
        <v>1.1978800000000001</v>
      </c>
      <c r="G33" s="3">
        <v>4.6419100000000002</v>
      </c>
      <c r="H33" s="6">
        <v>1.95424</v>
      </c>
      <c r="J33" s="4"/>
      <c r="K33" s="3"/>
      <c r="L33" s="3"/>
    </row>
    <row r="34" spans="1:12" s="2" customFormat="1" ht="15" x14ac:dyDescent="0.2">
      <c r="A34" s="5" t="s">
        <v>1509</v>
      </c>
      <c r="B34" s="2" t="s">
        <v>3396</v>
      </c>
      <c r="C34" s="2" t="s">
        <v>2662</v>
      </c>
      <c r="D34" s="3" t="s">
        <v>1839</v>
      </c>
      <c r="E34" s="3" t="s">
        <v>1840</v>
      </c>
      <c r="F34" s="3">
        <v>0.58434699999999995</v>
      </c>
      <c r="G34" s="3">
        <v>2.2350699999999999</v>
      </c>
      <c r="H34" s="6">
        <v>1.9354199999999999</v>
      </c>
      <c r="J34" s="4"/>
      <c r="K34" s="3"/>
      <c r="L34" s="3"/>
    </row>
    <row r="35" spans="1:12" s="2" customFormat="1" ht="15" x14ac:dyDescent="0.2">
      <c r="A35" s="5" t="s">
        <v>1254</v>
      </c>
      <c r="B35" s="2" t="s">
        <v>3038</v>
      </c>
      <c r="C35" s="2" t="s">
        <v>2742</v>
      </c>
      <c r="D35" s="3" t="s">
        <v>1839</v>
      </c>
      <c r="E35" s="3" t="s">
        <v>1840</v>
      </c>
      <c r="F35" s="3">
        <v>0.23902599999999999</v>
      </c>
      <c r="G35" s="3">
        <v>0.90870200000000001</v>
      </c>
      <c r="H35" s="6">
        <v>1.9266399999999999</v>
      </c>
      <c r="J35" s="4"/>
      <c r="K35" s="3"/>
      <c r="L35" s="3"/>
    </row>
    <row r="36" spans="1:12" s="2" customFormat="1" ht="15" x14ac:dyDescent="0.2">
      <c r="A36" s="5" t="s">
        <v>1413</v>
      </c>
      <c r="B36" s="2" t="s">
        <v>3466</v>
      </c>
      <c r="C36" s="2" t="s">
        <v>2720</v>
      </c>
      <c r="D36" s="3" t="s">
        <v>1839</v>
      </c>
      <c r="E36" s="3" t="s">
        <v>1840</v>
      </c>
      <c r="F36" s="3">
        <v>1.31369</v>
      </c>
      <c r="G36" s="3">
        <v>4.9887600000000001</v>
      </c>
      <c r="H36" s="3">
        <v>1.92506</v>
      </c>
      <c r="J36" s="4"/>
      <c r="K36" s="3"/>
      <c r="L36" s="3"/>
    </row>
    <row r="37" spans="1:12" s="2" customFormat="1" ht="15" x14ac:dyDescent="0.2">
      <c r="A37" s="5" t="s">
        <v>305</v>
      </c>
      <c r="B37" s="2" t="s">
        <v>3138</v>
      </c>
      <c r="C37" s="2" t="s">
        <v>2220</v>
      </c>
      <c r="D37" s="3" t="s">
        <v>1839</v>
      </c>
      <c r="E37" s="3" t="s">
        <v>1840</v>
      </c>
      <c r="F37" s="3">
        <v>3.0793900000000001</v>
      </c>
      <c r="G37" s="3">
        <v>11.6633</v>
      </c>
      <c r="H37" s="3">
        <v>1.92126</v>
      </c>
      <c r="J37" s="3"/>
      <c r="K37" s="3"/>
      <c r="L37" s="3"/>
    </row>
    <row r="38" spans="1:12" s="2" customFormat="1" ht="15" x14ac:dyDescent="0.2">
      <c r="A38" s="5" t="s">
        <v>825</v>
      </c>
      <c r="B38" s="2" t="s">
        <v>3015</v>
      </c>
      <c r="C38" s="2" t="s">
        <v>2579</v>
      </c>
      <c r="D38" s="3" t="s">
        <v>1839</v>
      </c>
      <c r="E38" s="3" t="s">
        <v>1840</v>
      </c>
      <c r="F38" s="3">
        <v>1.14524</v>
      </c>
      <c r="G38" s="3">
        <v>4.2921699999999996</v>
      </c>
      <c r="H38" s="3">
        <v>1.90605</v>
      </c>
      <c r="J38" s="3"/>
      <c r="K38" s="3"/>
      <c r="L38" s="3"/>
    </row>
    <row r="39" spans="1:12" s="2" customFormat="1" ht="15" x14ac:dyDescent="0.2">
      <c r="A39" s="5" t="s">
        <v>1259</v>
      </c>
      <c r="B39" s="2" t="s">
        <v>3015</v>
      </c>
      <c r="C39" s="2" t="s">
        <v>3015</v>
      </c>
      <c r="D39" s="3" t="s">
        <v>1839</v>
      </c>
      <c r="E39" s="3" t="s">
        <v>1840</v>
      </c>
      <c r="F39" s="3">
        <v>0.92873600000000001</v>
      </c>
      <c r="G39" s="3">
        <v>3.4667400000000002</v>
      </c>
      <c r="H39" s="3">
        <v>1.9002399999999999</v>
      </c>
      <c r="J39" s="3"/>
      <c r="K39" s="3"/>
      <c r="L39" s="3"/>
    </row>
    <row r="40" spans="1:12" s="2" customFormat="1" ht="15" x14ac:dyDescent="0.2">
      <c r="A40" s="5" t="s">
        <v>860</v>
      </c>
      <c r="B40" s="2" t="s">
        <v>3093</v>
      </c>
      <c r="C40" s="2" t="s">
        <v>2029</v>
      </c>
      <c r="D40" s="3" t="s">
        <v>1839</v>
      </c>
      <c r="E40" s="3" t="s">
        <v>1840</v>
      </c>
      <c r="F40" s="3">
        <v>0.87416000000000005</v>
      </c>
      <c r="G40" s="3">
        <v>3.2027399999999999</v>
      </c>
      <c r="H40" s="3">
        <v>1.87334</v>
      </c>
      <c r="J40" s="4"/>
      <c r="K40" s="3"/>
      <c r="L40" s="3"/>
    </row>
    <row r="41" spans="1:12" s="2" customFormat="1" ht="15" x14ac:dyDescent="0.2">
      <c r="A41" s="5" t="s">
        <v>143</v>
      </c>
      <c r="B41" s="2" t="s">
        <v>3294</v>
      </c>
      <c r="C41" s="2" t="s">
        <v>2407</v>
      </c>
      <c r="D41" s="3" t="s">
        <v>1839</v>
      </c>
      <c r="E41" s="3" t="s">
        <v>1840</v>
      </c>
      <c r="F41" s="3">
        <v>1.6326099999999999</v>
      </c>
      <c r="G41" s="3">
        <v>5.6767300000000001</v>
      </c>
      <c r="H41" s="3">
        <v>1.7978799999999999</v>
      </c>
      <c r="J41" s="3"/>
      <c r="K41" s="3"/>
      <c r="L41" s="3"/>
    </row>
    <row r="42" spans="1:12" s="2" customFormat="1" ht="15" x14ac:dyDescent="0.2">
      <c r="A42" s="5" t="s">
        <v>1083</v>
      </c>
      <c r="B42" s="2" t="s">
        <v>3080</v>
      </c>
      <c r="C42" s="2" t="s">
        <v>2350</v>
      </c>
      <c r="D42" s="3" t="s">
        <v>1839</v>
      </c>
      <c r="E42" s="3" t="s">
        <v>1840</v>
      </c>
      <c r="F42" s="3">
        <v>1.18364</v>
      </c>
      <c r="G42" s="3">
        <v>4.0355499999999997</v>
      </c>
      <c r="H42" s="3">
        <v>1.7695399999999999</v>
      </c>
      <c r="J42" s="3"/>
      <c r="K42" s="3"/>
      <c r="L42" s="3"/>
    </row>
    <row r="43" spans="1:12" s="2" customFormat="1" ht="15" x14ac:dyDescent="0.2">
      <c r="A43" s="5" t="s">
        <v>790</v>
      </c>
      <c r="B43" s="2" t="s">
        <v>3015</v>
      </c>
      <c r="C43" s="2" t="s">
        <v>2202</v>
      </c>
      <c r="D43" s="3" t="s">
        <v>1839</v>
      </c>
      <c r="E43" s="3" t="s">
        <v>1840</v>
      </c>
      <c r="F43" s="3">
        <v>0.54452599999999995</v>
      </c>
      <c r="G43" s="3">
        <v>1.8463099999999999</v>
      </c>
      <c r="H43" s="3">
        <v>1.7615700000000001</v>
      </c>
      <c r="J43" s="3"/>
      <c r="K43" s="3"/>
      <c r="L43" s="3"/>
    </row>
    <row r="44" spans="1:12" s="2" customFormat="1" ht="15" x14ac:dyDescent="0.2">
      <c r="A44" s="5" t="s">
        <v>389</v>
      </c>
      <c r="B44" s="2" t="s">
        <v>3015</v>
      </c>
      <c r="C44" s="2" t="s">
        <v>2024</v>
      </c>
      <c r="D44" s="3" t="s">
        <v>1839</v>
      </c>
      <c r="E44" s="3" t="s">
        <v>1840</v>
      </c>
      <c r="F44" s="3">
        <v>0.82890799999999998</v>
      </c>
      <c r="G44" s="3">
        <v>2.78525</v>
      </c>
      <c r="H44" s="3">
        <v>1.7485200000000001</v>
      </c>
      <c r="J44" s="3"/>
      <c r="K44" s="3"/>
      <c r="L44" s="3"/>
    </row>
    <row r="45" spans="1:12" s="2" customFormat="1" ht="15" x14ac:dyDescent="0.2">
      <c r="A45" s="5" t="s">
        <v>1835</v>
      </c>
      <c r="B45" s="2" t="s">
        <v>3015</v>
      </c>
      <c r="C45" s="2" t="s">
        <v>3015</v>
      </c>
      <c r="D45" s="3" t="s">
        <v>1839</v>
      </c>
      <c r="E45" s="3" t="s">
        <v>1840</v>
      </c>
      <c r="F45" s="3">
        <v>1.87649</v>
      </c>
      <c r="G45" s="3">
        <v>6.2978199999999998</v>
      </c>
      <c r="H45" s="3">
        <v>1.74682</v>
      </c>
      <c r="J45" s="3"/>
      <c r="K45" s="3"/>
      <c r="L45" s="3"/>
    </row>
    <row r="46" spans="1:12" s="2" customFormat="1" ht="15" x14ac:dyDescent="0.2">
      <c r="A46" s="5" t="s">
        <v>1306</v>
      </c>
      <c r="B46" s="2" t="s">
        <v>3015</v>
      </c>
      <c r="C46" s="2" t="s">
        <v>2806</v>
      </c>
      <c r="D46" s="3" t="s">
        <v>1839</v>
      </c>
      <c r="E46" s="3" t="s">
        <v>1840</v>
      </c>
      <c r="F46" s="3">
        <v>0.834148</v>
      </c>
      <c r="G46" s="3">
        <v>2.79895</v>
      </c>
      <c r="H46" s="3">
        <v>1.74651</v>
      </c>
      <c r="J46" s="4"/>
      <c r="K46" s="3"/>
      <c r="L46" s="3"/>
    </row>
    <row r="47" spans="1:12" s="2" customFormat="1" ht="15" x14ac:dyDescent="0.2">
      <c r="A47" s="5" t="s">
        <v>509</v>
      </c>
      <c r="B47" s="2" t="s">
        <v>3043</v>
      </c>
      <c r="C47" s="2" t="s">
        <v>2781</v>
      </c>
      <c r="D47" s="3" t="s">
        <v>1839</v>
      </c>
      <c r="E47" s="3" t="s">
        <v>1840</v>
      </c>
      <c r="F47" s="3">
        <v>18.654299999999999</v>
      </c>
      <c r="G47" s="3">
        <v>62.256500000000003</v>
      </c>
      <c r="H47" s="3">
        <v>1.73872</v>
      </c>
      <c r="J47" s="3"/>
      <c r="K47" s="3"/>
      <c r="L47" s="3"/>
    </row>
    <row r="48" spans="1:12" s="2" customFormat="1" ht="15" x14ac:dyDescent="0.2">
      <c r="A48" s="5" t="s">
        <v>1492</v>
      </c>
      <c r="B48" s="2" t="s">
        <v>3049</v>
      </c>
      <c r="C48" s="2" t="s">
        <v>1884</v>
      </c>
      <c r="D48" s="3" t="s">
        <v>1839</v>
      </c>
      <c r="E48" s="3" t="s">
        <v>1840</v>
      </c>
      <c r="F48" s="3">
        <v>0.37637599999999999</v>
      </c>
      <c r="G48" s="3">
        <v>1.25576</v>
      </c>
      <c r="H48" s="3">
        <v>1.73831</v>
      </c>
      <c r="J48" s="3"/>
      <c r="K48" s="3"/>
      <c r="L48" s="3"/>
    </row>
    <row r="49" spans="1:12" s="2" customFormat="1" ht="15" x14ac:dyDescent="0.2">
      <c r="A49" s="5" t="s">
        <v>1095</v>
      </c>
      <c r="B49" s="2" t="s">
        <v>3015</v>
      </c>
      <c r="C49" s="2" t="s">
        <v>1880</v>
      </c>
      <c r="D49" s="3" t="s">
        <v>1839</v>
      </c>
      <c r="E49" s="3" t="s">
        <v>1840</v>
      </c>
      <c r="F49" s="3">
        <v>1.5256700000000001</v>
      </c>
      <c r="G49" s="3">
        <v>5.0885199999999999</v>
      </c>
      <c r="H49" s="3">
        <v>1.7378</v>
      </c>
      <c r="J49" s="4"/>
      <c r="K49" s="3"/>
      <c r="L49" s="3"/>
    </row>
    <row r="50" spans="1:12" s="2" customFormat="1" ht="15" x14ac:dyDescent="0.2">
      <c r="A50" s="5" t="s">
        <v>1566</v>
      </c>
      <c r="B50" s="2" t="s">
        <v>3258</v>
      </c>
      <c r="C50" s="2" t="s">
        <v>2720</v>
      </c>
      <c r="D50" s="3" t="s">
        <v>1839</v>
      </c>
      <c r="E50" s="3" t="s">
        <v>1840</v>
      </c>
      <c r="F50" s="3">
        <v>0.46696199999999999</v>
      </c>
      <c r="G50" s="3">
        <v>1.53332</v>
      </c>
      <c r="H50" s="3">
        <v>1.7152799999999999</v>
      </c>
      <c r="J50" s="3"/>
      <c r="K50" s="3"/>
      <c r="L50" s="3"/>
    </row>
    <row r="51" spans="1:12" s="2" customFormat="1" ht="15" x14ac:dyDescent="0.2">
      <c r="A51" s="5" t="s">
        <v>1429</v>
      </c>
      <c r="B51" s="2" t="s">
        <v>3093</v>
      </c>
      <c r="C51" s="2" t="s">
        <v>2589</v>
      </c>
      <c r="D51" s="3" t="s">
        <v>1839</v>
      </c>
      <c r="E51" s="3" t="s">
        <v>1840</v>
      </c>
      <c r="F51" s="3">
        <v>0.30116199999999999</v>
      </c>
      <c r="G51" s="3">
        <v>0.98194999999999999</v>
      </c>
      <c r="H51" s="3">
        <v>1.7051099999999999</v>
      </c>
      <c r="J51" s="4"/>
      <c r="K51" s="3"/>
      <c r="L51" s="3"/>
    </row>
    <row r="52" spans="1:12" s="2" customFormat="1" ht="15" x14ac:dyDescent="0.2">
      <c r="A52" s="5" t="s">
        <v>738</v>
      </c>
      <c r="B52" s="2" t="s">
        <v>3015</v>
      </c>
      <c r="C52" s="2" t="s">
        <v>1847</v>
      </c>
      <c r="D52" s="3" t="s">
        <v>1839</v>
      </c>
      <c r="E52" s="3" t="s">
        <v>1840</v>
      </c>
      <c r="F52" s="3">
        <v>0.96927700000000006</v>
      </c>
      <c r="G52" s="3">
        <v>3.1265000000000001</v>
      </c>
      <c r="H52" s="3">
        <v>1.68957</v>
      </c>
      <c r="J52" s="3"/>
      <c r="K52" s="3"/>
      <c r="L52" s="3"/>
    </row>
    <row r="53" spans="1:12" s="2" customFormat="1" ht="15" x14ac:dyDescent="0.2">
      <c r="A53" s="5" t="s">
        <v>1290</v>
      </c>
      <c r="B53" s="2" t="s">
        <v>3336</v>
      </c>
      <c r="C53" s="2" t="s">
        <v>2498</v>
      </c>
      <c r="D53" s="3" t="s">
        <v>1839</v>
      </c>
      <c r="E53" s="3" t="s">
        <v>1840</v>
      </c>
      <c r="F53" s="3">
        <v>13.4184</v>
      </c>
      <c r="G53" s="3">
        <v>43.1081</v>
      </c>
      <c r="H53" s="3">
        <v>1.68374</v>
      </c>
      <c r="J53" s="4"/>
      <c r="K53" s="3"/>
      <c r="L53" s="3"/>
    </row>
    <row r="54" spans="1:12" s="2" customFormat="1" ht="15" x14ac:dyDescent="0.2">
      <c r="A54" s="5" t="s">
        <v>1709</v>
      </c>
      <c r="B54" s="2" t="s">
        <v>3129</v>
      </c>
      <c r="C54" s="2" t="s">
        <v>2595</v>
      </c>
      <c r="D54" s="3" t="s">
        <v>1839</v>
      </c>
      <c r="E54" s="3" t="s">
        <v>1840</v>
      </c>
      <c r="F54" s="3">
        <v>0.46269300000000002</v>
      </c>
      <c r="G54" s="3">
        <v>1.45939</v>
      </c>
      <c r="H54" s="3">
        <v>1.65724</v>
      </c>
      <c r="J54" s="3"/>
      <c r="K54" s="3"/>
      <c r="L54" s="3"/>
    </row>
    <row r="55" spans="1:12" s="2" customFormat="1" ht="15" x14ac:dyDescent="0.2">
      <c r="A55" s="5" t="s">
        <v>792</v>
      </c>
      <c r="B55" s="2" t="s">
        <v>3015</v>
      </c>
      <c r="C55" s="2" t="s">
        <v>2882</v>
      </c>
      <c r="D55" s="3" t="s">
        <v>1839</v>
      </c>
      <c r="E55" s="3" t="s">
        <v>1840</v>
      </c>
      <c r="F55" s="3">
        <v>0.77653799999999995</v>
      </c>
      <c r="G55" s="3">
        <v>2.4469099999999999</v>
      </c>
      <c r="H55" s="3">
        <v>1.6558299999999999</v>
      </c>
      <c r="J55" s="3"/>
      <c r="K55" s="3"/>
      <c r="L55" s="3"/>
    </row>
    <row r="56" spans="1:12" s="2" customFormat="1" ht="15" x14ac:dyDescent="0.2">
      <c r="A56" s="5" t="s">
        <v>799</v>
      </c>
      <c r="B56" s="2" t="s">
        <v>3085</v>
      </c>
      <c r="C56" s="2" t="s">
        <v>2207</v>
      </c>
      <c r="D56" s="3" t="s">
        <v>1839</v>
      </c>
      <c r="E56" s="3" t="s">
        <v>1840</v>
      </c>
      <c r="F56" s="3">
        <v>6.6664399999999997</v>
      </c>
      <c r="G56" s="3">
        <v>20.982800000000001</v>
      </c>
      <c r="H56" s="3">
        <v>1.65422</v>
      </c>
      <c r="J56" s="4"/>
      <c r="K56" s="3"/>
      <c r="L56" s="3"/>
    </row>
    <row r="57" spans="1:12" s="2" customFormat="1" ht="15" x14ac:dyDescent="0.2">
      <c r="A57" s="5" t="s">
        <v>127</v>
      </c>
      <c r="B57" s="2" t="s">
        <v>3015</v>
      </c>
      <c r="C57" s="2" t="s">
        <v>1902</v>
      </c>
      <c r="D57" s="3" t="s">
        <v>1839</v>
      </c>
      <c r="E57" s="3" t="s">
        <v>1840</v>
      </c>
      <c r="F57" s="3">
        <v>0.425844</v>
      </c>
      <c r="G57" s="3">
        <v>1.3382400000000001</v>
      </c>
      <c r="H57" s="3">
        <v>1.65194</v>
      </c>
      <c r="J57" s="3"/>
      <c r="K57" s="3"/>
      <c r="L57" s="3"/>
    </row>
    <row r="58" spans="1:12" s="2" customFormat="1" ht="15" x14ac:dyDescent="0.2">
      <c r="A58" s="5" t="s">
        <v>913</v>
      </c>
      <c r="B58" s="2" t="s">
        <v>3235</v>
      </c>
      <c r="C58" s="2" t="s">
        <v>2267</v>
      </c>
      <c r="D58" s="3" t="s">
        <v>1839</v>
      </c>
      <c r="E58" s="3" t="s">
        <v>1840</v>
      </c>
      <c r="F58" s="3">
        <v>1.2781</v>
      </c>
      <c r="G58" s="3">
        <v>3.96956</v>
      </c>
      <c r="H58" s="3">
        <v>1.6349800000000001</v>
      </c>
      <c r="J58" s="3"/>
      <c r="K58" s="3"/>
      <c r="L58" s="3"/>
    </row>
    <row r="59" spans="1:12" s="2" customFormat="1" ht="15" x14ac:dyDescent="0.2">
      <c r="A59" s="5" t="s">
        <v>103</v>
      </c>
      <c r="B59" s="2" t="s">
        <v>3015</v>
      </c>
      <c r="C59" s="2" t="s">
        <v>1887</v>
      </c>
      <c r="D59" s="3" t="s">
        <v>1839</v>
      </c>
      <c r="E59" s="3" t="s">
        <v>1840</v>
      </c>
      <c r="F59" s="3">
        <v>0.67612799999999995</v>
      </c>
      <c r="G59" s="3">
        <v>2.0664600000000002</v>
      </c>
      <c r="H59" s="3">
        <v>1.6117900000000001</v>
      </c>
      <c r="J59" s="3"/>
      <c r="K59" s="3"/>
      <c r="L59" s="3"/>
    </row>
    <row r="60" spans="1:12" s="2" customFormat="1" ht="15" x14ac:dyDescent="0.2">
      <c r="A60" s="5" t="s">
        <v>807</v>
      </c>
      <c r="B60" s="2" t="s">
        <v>3212</v>
      </c>
      <c r="C60" s="2" t="s">
        <v>2211</v>
      </c>
      <c r="D60" s="3" t="s">
        <v>1839</v>
      </c>
      <c r="E60" s="3" t="s">
        <v>1840</v>
      </c>
      <c r="F60" s="3">
        <v>1.7720499999999999</v>
      </c>
      <c r="G60" s="3">
        <v>5.3822700000000001</v>
      </c>
      <c r="H60" s="3">
        <v>1.6027899999999999</v>
      </c>
      <c r="J60" s="4"/>
      <c r="K60" s="3"/>
      <c r="L60" s="3"/>
    </row>
    <row r="61" spans="1:12" s="2" customFormat="1" ht="15" x14ac:dyDescent="0.2">
      <c r="A61" s="5" t="s">
        <v>1349</v>
      </c>
      <c r="B61" s="2" t="s">
        <v>3015</v>
      </c>
      <c r="C61" s="2" t="s">
        <v>3015</v>
      </c>
      <c r="D61" s="3" t="s">
        <v>1839</v>
      </c>
      <c r="E61" s="3" t="s">
        <v>1840</v>
      </c>
      <c r="F61" s="3">
        <v>1.50885</v>
      </c>
      <c r="G61" s="3">
        <v>4.5715399999999997</v>
      </c>
      <c r="H61" s="3">
        <v>1.59924</v>
      </c>
      <c r="J61" s="4"/>
      <c r="K61" s="3"/>
      <c r="L61" s="3"/>
    </row>
    <row r="62" spans="1:12" s="2" customFormat="1" ht="15" x14ac:dyDescent="0.2">
      <c r="A62" s="5" t="s">
        <v>1337</v>
      </c>
      <c r="B62" s="2" t="s">
        <v>3015</v>
      </c>
      <c r="C62" s="2" t="s">
        <v>2531</v>
      </c>
      <c r="D62" s="3" t="s">
        <v>1839</v>
      </c>
      <c r="E62" s="3" t="s">
        <v>1840</v>
      </c>
      <c r="F62" s="3">
        <v>0.282559</v>
      </c>
      <c r="G62" s="3">
        <v>0.85202299999999997</v>
      </c>
      <c r="H62" s="3">
        <v>1.5923400000000001</v>
      </c>
      <c r="J62" s="3"/>
      <c r="K62" s="3"/>
      <c r="L62" s="3"/>
    </row>
    <row r="63" spans="1:12" s="2" customFormat="1" ht="15" x14ac:dyDescent="0.2">
      <c r="A63" s="5" t="s">
        <v>1307</v>
      </c>
      <c r="B63" s="2" t="s">
        <v>3336</v>
      </c>
      <c r="C63" s="2" t="s">
        <v>2498</v>
      </c>
      <c r="D63" s="3" t="s">
        <v>1839</v>
      </c>
      <c r="E63" s="3" t="s">
        <v>1840</v>
      </c>
      <c r="F63" s="3">
        <v>19.782</v>
      </c>
      <c r="G63" s="3">
        <v>59.483400000000003</v>
      </c>
      <c r="H63" s="3">
        <v>1.5883</v>
      </c>
      <c r="J63" s="3"/>
      <c r="K63" s="3"/>
      <c r="L63" s="3"/>
    </row>
    <row r="64" spans="1:12" s="2" customFormat="1" ht="15" x14ac:dyDescent="0.2">
      <c r="A64" s="5" t="s">
        <v>1490</v>
      </c>
      <c r="B64" s="2" t="s">
        <v>3047</v>
      </c>
      <c r="C64" s="2" t="s">
        <v>2634</v>
      </c>
      <c r="D64" s="3" t="s">
        <v>1839</v>
      </c>
      <c r="E64" s="3" t="s">
        <v>1840</v>
      </c>
      <c r="F64" s="3">
        <v>0.34293400000000002</v>
      </c>
      <c r="G64" s="3">
        <v>1.02559</v>
      </c>
      <c r="H64" s="3">
        <v>1.58046</v>
      </c>
      <c r="J64" s="4"/>
      <c r="K64" s="3"/>
      <c r="L64" s="3"/>
    </row>
    <row r="65" spans="1:12" s="2" customFormat="1" ht="15" x14ac:dyDescent="0.2">
      <c r="A65" s="5" t="s">
        <v>1089</v>
      </c>
      <c r="B65" s="2" t="s">
        <v>3015</v>
      </c>
      <c r="C65" s="2" t="s">
        <v>1917</v>
      </c>
      <c r="D65" s="3" t="s">
        <v>1839</v>
      </c>
      <c r="E65" s="3" t="s">
        <v>1840</v>
      </c>
      <c r="F65" s="3">
        <v>0.76492800000000005</v>
      </c>
      <c r="G65" s="3">
        <v>2.2642799999999998</v>
      </c>
      <c r="H65" s="3">
        <v>1.5656600000000001</v>
      </c>
      <c r="J65" s="4"/>
      <c r="K65" s="3"/>
      <c r="L65" s="3"/>
    </row>
    <row r="66" spans="1:12" s="2" customFormat="1" ht="15" x14ac:dyDescent="0.2">
      <c r="A66" s="5" t="s">
        <v>1237</v>
      </c>
      <c r="B66" s="2" t="s">
        <v>3313</v>
      </c>
      <c r="C66" s="2" t="s">
        <v>2445</v>
      </c>
      <c r="D66" s="3" t="s">
        <v>1839</v>
      </c>
      <c r="E66" s="3" t="s">
        <v>1840</v>
      </c>
      <c r="F66" s="3">
        <v>0.46317900000000001</v>
      </c>
      <c r="G66" s="3">
        <v>1.3702300000000001</v>
      </c>
      <c r="H66" s="3">
        <v>1.5647800000000001</v>
      </c>
      <c r="J66" s="3"/>
      <c r="K66" s="3"/>
      <c r="L66" s="3"/>
    </row>
    <row r="67" spans="1:12" s="2" customFormat="1" ht="15" x14ac:dyDescent="0.2">
      <c r="A67" s="5" t="s">
        <v>11</v>
      </c>
      <c r="B67" s="2" t="s">
        <v>3385</v>
      </c>
      <c r="C67" s="2" t="s">
        <v>2613</v>
      </c>
      <c r="D67" s="3" t="s">
        <v>1839</v>
      </c>
      <c r="E67" s="3" t="s">
        <v>1840</v>
      </c>
      <c r="F67" s="3">
        <v>1.6253299999999999</v>
      </c>
      <c r="G67" s="3">
        <v>4.7933700000000004</v>
      </c>
      <c r="H67" s="3">
        <v>1.5603100000000001</v>
      </c>
      <c r="J67" s="3"/>
      <c r="K67" s="3"/>
      <c r="L67" s="3"/>
    </row>
    <row r="68" spans="1:12" s="2" customFormat="1" ht="15" x14ac:dyDescent="0.2">
      <c r="A68" s="5" t="s">
        <v>532</v>
      </c>
      <c r="B68" s="2" t="s">
        <v>3043</v>
      </c>
      <c r="C68" s="2" t="s">
        <v>2095</v>
      </c>
      <c r="D68" s="3" t="s">
        <v>1839</v>
      </c>
      <c r="E68" s="3" t="s">
        <v>1840</v>
      </c>
      <c r="F68" s="3">
        <v>4.3198600000000003</v>
      </c>
      <c r="G68" s="3">
        <v>12.6433</v>
      </c>
      <c r="H68" s="3">
        <v>1.54931</v>
      </c>
      <c r="J68" s="4"/>
      <c r="K68" s="3"/>
      <c r="L68" s="3"/>
    </row>
    <row r="69" spans="1:12" s="2" customFormat="1" ht="15" x14ac:dyDescent="0.2">
      <c r="A69" s="5" t="s">
        <v>1381</v>
      </c>
      <c r="B69" s="2" t="s">
        <v>3175</v>
      </c>
      <c r="C69" s="2" t="s">
        <v>2557</v>
      </c>
      <c r="D69" s="3" t="s">
        <v>1839</v>
      </c>
      <c r="E69" s="3" t="s">
        <v>1840</v>
      </c>
      <c r="F69" s="3">
        <v>0.32317499999999999</v>
      </c>
      <c r="G69" s="3">
        <v>0.94528800000000002</v>
      </c>
      <c r="H69" s="3">
        <v>1.54844</v>
      </c>
      <c r="J69" s="3"/>
      <c r="K69" s="3"/>
      <c r="L69" s="3"/>
    </row>
    <row r="70" spans="1:12" s="2" customFormat="1" ht="15" x14ac:dyDescent="0.2">
      <c r="A70" s="5" t="s">
        <v>1812</v>
      </c>
      <c r="B70" s="2" t="s">
        <v>3015</v>
      </c>
      <c r="C70" s="2" t="s">
        <v>3015</v>
      </c>
      <c r="D70" s="3" t="s">
        <v>1839</v>
      </c>
      <c r="E70" s="3" t="s">
        <v>1840</v>
      </c>
      <c r="F70" s="3">
        <v>5.7427900000000003</v>
      </c>
      <c r="G70" s="3">
        <v>16.7669</v>
      </c>
      <c r="H70" s="3">
        <v>1.5458000000000001</v>
      </c>
      <c r="J70" s="3"/>
      <c r="K70" s="3"/>
      <c r="L70" s="3"/>
    </row>
    <row r="71" spans="1:12" s="2" customFormat="1" ht="15" x14ac:dyDescent="0.2">
      <c r="A71" s="5" t="s">
        <v>1794</v>
      </c>
      <c r="B71" s="2" t="s">
        <v>3494</v>
      </c>
      <c r="C71" s="2" t="s">
        <v>3014</v>
      </c>
      <c r="D71" s="3" t="s">
        <v>1839</v>
      </c>
      <c r="E71" s="3" t="s">
        <v>1840</v>
      </c>
      <c r="F71" s="3">
        <v>0.495645</v>
      </c>
      <c r="G71" s="3">
        <v>1.43963</v>
      </c>
      <c r="H71" s="3">
        <v>1.5383199999999999</v>
      </c>
      <c r="J71" s="3"/>
      <c r="K71" s="3"/>
      <c r="L71" s="3"/>
    </row>
    <row r="72" spans="1:12" s="2" customFormat="1" ht="15" x14ac:dyDescent="0.2">
      <c r="A72" s="5" t="s">
        <v>1584</v>
      </c>
      <c r="B72" s="2" t="s">
        <v>3094</v>
      </c>
      <c r="C72" s="2" t="s">
        <v>2304</v>
      </c>
      <c r="D72" s="3" t="s">
        <v>1839</v>
      </c>
      <c r="E72" s="3" t="s">
        <v>1840</v>
      </c>
      <c r="F72" s="3">
        <v>0.442056</v>
      </c>
      <c r="G72" s="3">
        <v>1.2786</v>
      </c>
      <c r="H72" s="3">
        <v>1.53226</v>
      </c>
      <c r="J72" s="4"/>
      <c r="K72" s="3"/>
      <c r="L72" s="3"/>
    </row>
    <row r="73" spans="1:12" s="2" customFormat="1" ht="15" x14ac:dyDescent="0.2">
      <c r="A73" s="5" t="s">
        <v>136</v>
      </c>
      <c r="B73" s="2" t="s">
        <v>3037</v>
      </c>
      <c r="C73" s="2" t="s">
        <v>2232</v>
      </c>
      <c r="D73" s="3" t="s">
        <v>1839</v>
      </c>
      <c r="E73" s="3" t="s">
        <v>1840</v>
      </c>
      <c r="F73" s="3">
        <v>0.93967500000000004</v>
      </c>
      <c r="G73" s="3">
        <v>2.70459</v>
      </c>
      <c r="H73" s="3">
        <v>1.52518</v>
      </c>
      <c r="J73" s="4"/>
      <c r="K73" s="3"/>
      <c r="L73" s="3"/>
    </row>
    <row r="74" spans="1:12" s="2" customFormat="1" ht="15" x14ac:dyDescent="0.2">
      <c r="A74" s="5" t="s">
        <v>24</v>
      </c>
      <c r="B74" s="2" t="s">
        <v>3015</v>
      </c>
      <c r="C74" s="2" t="s">
        <v>3015</v>
      </c>
      <c r="D74" s="3" t="s">
        <v>1839</v>
      </c>
      <c r="E74" s="3" t="s">
        <v>1840</v>
      </c>
      <c r="F74" s="3">
        <v>1.0167200000000001</v>
      </c>
      <c r="G74" s="3">
        <v>2.9250799999999999</v>
      </c>
      <c r="H74" s="3">
        <v>1.5245500000000001</v>
      </c>
      <c r="J74" s="4"/>
      <c r="K74" s="3"/>
      <c r="L74" s="3"/>
    </row>
    <row r="75" spans="1:12" s="2" customFormat="1" ht="15" x14ac:dyDescent="0.2">
      <c r="A75" s="5" t="s">
        <v>1804</v>
      </c>
      <c r="B75" s="2" t="s">
        <v>3015</v>
      </c>
      <c r="C75" s="2" t="s">
        <v>1847</v>
      </c>
      <c r="D75" s="3" t="s">
        <v>1839</v>
      </c>
      <c r="E75" s="3" t="s">
        <v>1840</v>
      </c>
      <c r="F75" s="3">
        <v>0.56521299999999997</v>
      </c>
      <c r="G75" s="3">
        <v>1.60707</v>
      </c>
      <c r="H75" s="3">
        <v>1.5075700000000001</v>
      </c>
      <c r="J75" s="3"/>
      <c r="K75" s="3"/>
      <c r="L75" s="3"/>
    </row>
    <row r="76" spans="1:12" s="2" customFormat="1" ht="15" x14ac:dyDescent="0.2">
      <c r="A76" s="5" t="s">
        <v>1213</v>
      </c>
      <c r="B76" s="2" t="s">
        <v>3015</v>
      </c>
      <c r="C76" s="2" t="s">
        <v>2431</v>
      </c>
      <c r="D76" s="3" t="s">
        <v>1839</v>
      </c>
      <c r="E76" s="3" t="s">
        <v>1840</v>
      </c>
      <c r="F76" s="3">
        <v>5.5097300000000002</v>
      </c>
      <c r="G76" s="3">
        <v>15.5334</v>
      </c>
      <c r="H76" s="3">
        <v>1.49532</v>
      </c>
      <c r="J76" s="4"/>
      <c r="K76" s="3"/>
      <c r="L76" s="3"/>
    </row>
    <row r="77" spans="1:12" s="2" customFormat="1" ht="15" x14ac:dyDescent="0.2">
      <c r="A77" s="5" t="s">
        <v>1805</v>
      </c>
      <c r="B77" s="2" t="s">
        <v>3031</v>
      </c>
      <c r="C77" s="2" t="e">
        <v>#NAME?</v>
      </c>
      <c r="D77" s="3" t="s">
        <v>1839</v>
      </c>
      <c r="E77" s="3" t="s">
        <v>1840</v>
      </c>
      <c r="F77" s="3">
        <v>0.50095699999999999</v>
      </c>
      <c r="G77" s="3">
        <v>1.38585</v>
      </c>
      <c r="H77" s="3">
        <v>1.46801</v>
      </c>
      <c r="J77" s="3"/>
      <c r="K77" s="3"/>
      <c r="L77" s="3"/>
    </row>
    <row r="78" spans="1:12" s="2" customFormat="1" ht="15" x14ac:dyDescent="0.2">
      <c r="A78" s="5" t="s">
        <v>1668</v>
      </c>
      <c r="B78" s="2" t="s">
        <v>3490</v>
      </c>
      <c r="C78" s="2" t="s">
        <v>2998</v>
      </c>
      <c r="D78" s="3" t="s">
        <v>1839</v>
      </c>
      <c r="E78" s="3" t="s">
        <v>1840</v>
      </c>
      <c r="F78" s="3">
        <v>1.29216</v>
      </c>
      <c r="G78" s="3">
        <v>3.5703499999999999</v>
      </c>
      <c r="H78" s="3">
        <v>1.46628</v>
      </c>
      <c r="J78" s="4"/>
      <c r="K78" s="3"/>
      <c r="L78" s="3"/>
    </row>
    <row r="79" spans="1:12" s="2" customFormat="1" ht="15" x14ac:dyDescent="0.2">
      <c r="A79" s="5" t="s">
        <v>229</v>
      </c>
      <c r="B79" s="2" t="s">
        <v>3038</v>
      </c>
      <c r="C79" s="2" t="s">
        <v>1933</v>
      </c>
      <c r="D79" s="3" t="s">
        <v>1839</v>
      </c>
      <c r="E79" s="3" t="s">
        <v>1840</v>
      </c>
      <c r="F79" s="3">
        <v>2.6414900000000001</v>
      </c>
      <c r="G79" s="3">
        <v>7.2930200000000003</v>
      </c>
      <c r="H79" s="3">
        <v>1.4651700000000001</v>
      </c>
      <c r="J79" s="4"/>
      <c r="K79" s="3"/>
      <c r="L79" s="3"/>
    </row>
    <row r="80" spans="1:12" s="2" customFormat="1" ht="15" x14ac:dyDescent="0.2">
      <c r="A80" s="5" t="s">
        <v>289</v>
      </c>
      <c r="B80" s="2" t="s">
        <v>3258</v>
      </c>
      <c r="C80" s="2" t="s">
        <v>2718</v>
      </c>
      <c r="D80" s="3" t="s">
        <v>1839</v>
      </c>
      <c r="E80" s="3" t="s">
        <v>1840</v>
      </c>
      <c r="F80" s="3">
        <v>2.0773899999999998</v>
      </c>
      <c r="G80" s="3">
        <v>5.7048100000000002</v>
      </c>
      <c r="H80" s="3">
        <v>1.4574</v>
      </c>
      <c r="J80" s="3"/>
      <c r="K80" s="3"/>
      <c r="L80" s="3"/>
    </row>
    <row r="81" spans="1:12" s="2" customFormat="1" ht="15" x14ac:dyDescent="0.2">
      <c r="A81" s="5" t="s">
        <v>392</v>
      </c>
      <c r="B81" s="2" t="s">
        <v>3015</v>
      </c>
      <c r="C81" s="2" t="s">
        <v>2989</v>
      </c>
      <c r="D81" s="3" t="s">
        <v>1839</v>
      </c>
      <c r="E81" s="3" t="s">
        <v>1840</v>
      </c>
      <c r="F81" s="3">
        <v>0.30208800000000002</v>
      </c>
      <c r="G81" s="3">
        <v>0.82847899999999997</v>
      </c>
      <c r="H81" s="3">
        <v>1.4555</v>
      </c>
      <c r="J81" s="4"/>
      <c r="K81" s="3"/>
      <c r="L81" s="3"/>
    </row>
    <row r="82" spans="1:12" s="2" customFormat="1" ht="15" x14ac:dyDescent="0.2">
      <c r="A82" s="5" t="s">
        <v>1520</v>
      </c>
      <c r="B82" s="2" t="s">
        <v>3015</v>
      </c>
      <c r="C82" s="2" t="s">
        <v>2673</v>
      </c>
      <c r="D82" s="3" t="s">
        <v>1839</v>
      </c>
      <c r="E82" s="3" t="s">
        <v>1840</v>
      </c>
      <c r="F82" s="3">
        <v>0.39066600000000001</v>
      </c>
      <c r="G82" s="3">
        <v>1.06982</v>
      </c>
      <c r="H82" s="3">
        <v>1.45336</v>
      </c>
      <c r="J82" s="3"/>
      <c r="K82" s="3"/>
      <c r="L82" s="3"/>
    </row>
    <row r="83" spans="1:12" s="2" customFormat="1" ht="15" x14ac:dyDescent="0.2">
      <c r="A83" s="5" t="s">
        <v>847</v>
      </c>
      <c r="B83" s="2" t="s">
        <v>3045</v>
      </c>
      <c r="C83" s="2" t="s">
        <v>1986</v>
      </c>
      <c r="D83" s="3" t="s">
        <v>1839</v>
      </c>
      <c r="E83" s="3" t="s">
        <v>1840</v>
      </c>
      <c r="F83" s="3">
        <v>3.3915799999999998</v>
      </c>
      <c r="G83" s="3">
        <v>9.2575500000000002</v>
      </c>
      <c r="H83" s="3">
        <v>1.4486699999999999</v>
      </c>
      <c r="J83" s="3"/>
      <c r="K83" s="3"/>
      <c r="L83" s="3"/>
    </row>
    <row r="84" spans="1:12" s="2" customFormat="1" ht="15" x14ac:dyDescent="0.2">
      <c r="A84" s="5" t="s">
        <v>1242</v>
      </c>
      <c r="B84" s="2" t="s">
        <v>3300</v>
      </c>
      <c r="C84" s="2" t="s">
        <v>2450</v>
      </c>
      <c r="D84" s="3" t="s">
        <v>1839</v>
      </c>
      <c r="E84" s="3" t="s">
        <v>1840</v>
      </c>
      <c r="F84" s="3">
        <v>0.81349899999999997</v>
      </c>
      <c r="G84" s="3">
        <v>2.2177099999999998</v>
      </c>
      <c r="H84" s="3">
        <v>1.44686</v>
      </c>
      <c r="J84" s="4"/>
      <c r="K84" s="3"/>
      <c r="L84" s="3"/>
    </row>
    <row r="85" spans="1:12" s="2" customFormat="1" ht="15" x14ac:dyDescent="0.2">
      <c r="A85" s="5" t="s">
        <v>413</v>
      </c>
      <c r="B85" s="2" t="s">
        <v>3050</v>
      </c>
      <c r="C85" s="2" t="s">
        <v>2033</v>
      </c>
      <c r="D85" s="3" t="s">
        <v>1839</v>
      </c>
      <c r="E85" s="3" t="s">
        <v>1840</v>
      </c>
      <c r="F85" s="3">
        <v>2.1719300000000001</v>
      </c>
      <c r="G85" s="3">
        <v>5.9208299999999996</v>
      </c>
      <c r="H85" s="3">
        <v>1.44682</v>
      </c>
      <c r="J85" s="4"/>
      <c r="K85" s="3"/>
      <c r="L85" s="3"/>
    </row>
    <row r="86" spans="1:12" s="2" customFormat="1" ht="15" x14ac:dyDescent="0.2">
      <c r="A86" s="5" t="s">
        <v>1363</v>
      </c>
      <c r="B86" s="2" t="s">
        <v>3201</v>
      </c>
      <c r="C86" s="2" t="s">
        <v>2860</v>
      </c>
      <c r="D86" s="3" t="s">
        <v>1839</v>
      </c>
      <c r="E86" s="3" t="s">
        <v>1840</v>
      </c>
      <c r="F86" s="3">
        <v>1.9721599999999999</v>
      </c>
      <c r="G86" s="3">
        <v>5.3752800000000001</v>
      </c>
      <c r="H86" s="3">
        <v>1.4465600000000001</v>
      </c>
      <c r="J86" s="4"/>
      <c r="K86" s="3"/>
      <c r="L86" s="3"/>
    </row>
    <row r="87" spans="1:12" s="2" customFormat="1" ht="15" x14ac:dyDescent="0.2">
      <c r="A87" s="5" t="s">
        <v>722</v>
      </c>
      <c r="B87" s="2" t="s">
        <v>3015</v>
      </c>
      <c r="C87" s="2" t="s">
        <v>3015</v>
      </c>
      <c r="D87" s="3" t="s">
        <v>1839</v>
      </c>
      <c r="E87" s="3" t="s">
        <v>1840</v>
      </c>
      <c r="F87" s="3">
        <v>1.2039800000000001</v>
      </c>
      <c r="G87" s="3">
        <v>3.2697400000000001</v>
      </c>
      <c r="H87" s="3">
        <v>1.44136</v>
      </c>
      <c r="J87" s="3"/>
      <c r="K87" s="3"/>
      <c r="L87" s="3"/>
    </row>
    <row r="88" spans="1:12" s="2" customFormat="1" ht="15" x14ac:dyDescent="0.2">
      <c r="A88" s="5" t="s">
        <v>188</v>
      </c>
      <c r="B88" s="2" t="s">
        <v>3037</v>
      </c>
      <c r="C88" s="2" t="s">
        <v>2677</v>
      </c>
      <c r="D88" s="3" t="s">
        <v>1839</v>
      </c>
      <c r="E88" s="3" t="s">
        <v>1840</v>
      </c>
      <c r="F88" s="3">
        <v>0.72560400000000003</v>
      </c>
      <c r="G88" s="3">
        <v>1.9491400000000001</v>
      </c>
      <c r="H88" s="3">
        <v>1.4255800000000001</v>
      </c>
      <c r="J88" s="3"/>
      <c r="K88" s="3"/>
      <c r="L88" s="3"/>
    </row>
    <row r="89" spans="1:12" s="2" customFormat="1" ht="15" x14ac:dyDescent="0.2">
      <c r="A89" s="5" t="s">
        <v>1253</v>
      </c>
      <c r="B89" s="2" t="s">
        <v>3321</v>
      </c>
      <c r="C89" s="2" t="s">
        <v>2461</v>
      </c>
      <c r="D89" s="3" t="s">
        <v>1839</v>
      </c>
      <c r="E89" s="3" t="s">
        <v>1840</v>
      </c>
      <c r="F89" s="3">
        <v>1.15072</v>
      </c>
      <c r="G89" s="3">
        <v>3.05165</v>
      </c>
      <c r="H89" s="3">
        <v>1.4070499999999999</v>
      </c>
      <c r="J89" s="3"/>
      <c r="K89" s="3"/>
      <c r="L89" s="3"/>
    </row>
    <row r="90" spans="1:12" s="2" customFormat="1" ht="15" x14ac:dyDescent="0.2">
      <c r="A90" s="5" t="s">
        <v>1831</v>
      </c>
      <c r="B90" s="2" t="s">
        <v>3015</v>
      </c>
      <c r="C90" s="2" t="s">
        <v>3015</v>
      </c>
      <c r="D90" s="3" t="s">
        <v>1839</v>
      </c>
      <c r="E90" s="3" t="s">
        <v>1840</v>
      </c>
      <c r="F90" s="3">
        <v>1.24535</v>
      </c>
      <c r="G90" s="3">
        <v>3.30105</v>
      </c>
      <c r="H90" s="3">
        <v>1.4063699999999999</v>
      </c>
      <c r="J90" s="3"/>
      <c r="K90" s="3"/>
      <c r="L90" s="3"/>
    </row>
    <row r="91" spans="1:12" s="2" customFormat="1" ht="15" x14ac:dyDescent="0.2">
      <c r="A91" s="5" t="s">
        <v>1834</v>
      </c>
      <c r="B91" s="2" t="s">
        <v>3493</v>
      </c>
      <c r="C91" s="2" t="s">
        <v>3013</v>
      </c>
      <c r="D91" s="3" t="s">
        <v>1839</v>
      </c>
      <c r="E91" s="3" t="s">
        <v>1840</v>
      </c>
      <c r="F91" s="3">
        <v>0.29553200000000002</v>
      </c>
      <c r="G91" s="3">
        <v>0.77993400000000002</v>
      </c>
      <c r="H91" s="3">
        <v>1.40004</v>
      </c>
      <c r="J91" s="3"/>
      <c r="K91" s="3"/>
      <c r="L91" s="3"/>
    </row>
    <row r="92" spans="1:12" s="2" customFormat="1" ht="15" x14ac:dyDescent="0.2">
      <c r="A92" s="5" t="s">
        <v>937</v>
      </c>
      <c r="B92" s="2" t="s">
        <v>3137</v>
      </c>
      <c r="C92" s="2" t="s">
        <v>2280</v>
      </c>
      <c r="D92" s="3" t="s">
        <v>1839</v>
      </c>
      <c r="E92" s="3" t="s">
        <v>1840</v>
      </c>
      <c r="F92" s="3">
        <v>1.85599</v>
      </c>
      <c r="G92" s="3">
        <v>4.8905599999999998</v>
      </c>
      <c r="H92" s="3">
        <v>1.39781</v>
      </c>
      <c r="J92" s="3"/>
      <c r="K92" s="3"/>
      <c r="L92" s="3"/>
    </row>
    <row r="93" spans="1:12" s="2" customFormat="1" ht="15" x14ac:dyDescent="0.2">
      <c r="A93" s="5" t="s">
        <v>1439</v>
      </c>
      <c r="B93" s="2" t="s">
        <v>3129</v>
      </c>
      <c r="C93" s="2" t="s">
        <v>2595</v>
      </c>
      <c r="D93" s="3" t="s">
        <v>1839</v>
      </c>
      <c r="E93" s="3" t="s">
        <v>1840</v>
      </c>
      <c r="F93" s="3">
        <v>0.46313100000000001</v>
      </c>
      <c r="G93" s="3">
        <v>1.2183200000000001</v>
      </c>
      <c r="H93" s="3">
        <v>1.3954</v>
      </c>
      <c r="J93" s="4"/>
      <c r="K93" s="3"/>
      <c r="L93" s="3"/>
    </row>
    <row r="94" spans="1:12" s="2" customFormat="1" ht="15" x14ac:dyDescent="0.2">
      <c r="A94" s="5" t="s">
        <v>1651</v>
      </c>
      <c r="B94" s="2" t="s">
        <v>3158</v>
      </c>
      <c r="C94" s="2" t="s">
        <v>2819</v>
      </c>
      <c r="D94" s="3" t="s">
        <v>1839</v>
      </c>
      <c r="E94" s="3" t="s">
        <v>1840</v>
      </c>
      <c r="F94" s="3">
        <v>1.2241899999999999</v>
      </c>
      <c r="G94" s="3">
        <v>3.21922</v>
      </c>
      <c r="H94" s="3">
        <v>1.3948799999999999</v>
      </c>
      <c r="J94" s="3"/>
      <c r="K94" s="3"/>
      <c r="L94" s="3"/>
    </row>
    <row r="95" spans="1:12" s="2" customFormat="1" ht="15" x14ac:dyDescent="0.2">
      <c r="A95" s="5" t="s">
        <v>1386</v>
      </c>
      <c r="B95" s="2" t="s">
        <v>3068</v>
      </c>
      <c r="C95" s="2" t="s">
        <v>2562</v>
      </c>
      <c r="D95" s="3" t="s">
        <v>1839</v>
      </c>
      <c r="E95" s="3" t="s">
        <v>1840</v>
      </c>
      <c r="F95" s="3">
        <v>1.14445</v>
      </c>
      <c r="G95" s="3">
        <v>2.9807000000000001</v>
      </c>
      <c r="H95" s="3">
        <v>1.381</v>
      </c>
      <c r="J95" s="4"/>
      <c r="K95" s="3"/>
      <c r="L95" s="3"/>
    </row>
    <row r="96" spans="1:12" s="2" customFormat="1" ht="15" x14ac:dyDescent="0.2">
      <c r="A96" s="5" t="s">
        <v>1809</v>
      </c>
      <c r="B96" s="2" t="s">
        <v>3015</v>
      </c>
      <c r="C96" s="2" t="s">
        <v>2987</v>
      </c>
      <c r="D96" s="3" t="s">
        <v>1839</v>
      </c>
      <c r="E96" s="3" t="s">
        <v>1840</v>
      </c>
      <c r="F96" s="3">
        <v>0.29505599999999998</v>
      </c>
      <c r="G96" s="3">
        <v>0.76588000000000001</v>
      </c>
      <c r="H96" s="3">
        <v>1.3761300000000001</v>
      </c>
      <c r="J96" s="4"/>
      <c r="K96" s="3"/>
      <c r="L96" s="3"/>
    </row>
    <row r="97" spans="1:12" s="2" customFormat="1" ht="15" x14ac:dyDescent="0.2">
      <c r="A97" s="5" t="s">
        <v>1057</v>
      </c>
      <c r="B97" s="2" t="s">
        <v>3183</v>
      </c>
      <c r="C97" s="2" t="s">
        <v>2958</v>
      </c>
      <c r="D97" s="3" t="s">
        <v>1839</v>
      </c>
      <c r="E97" s="3" t="s">
        <v>1840</v>
      </c>
      <c r="F97" s="3">
        <v>2.9749599999999998</v>
      </c>
      <c r="G97" s="3">
        <v>7.6640100000000002</v>
      </c>
      <c r="H97" s="3">
        <v>1.3652299999999999</v>
      </c>
      <c r="J97" s="4"/>
      <c r="K97" s="3"/>
      <c r="L97" s="3"/>
    </row>
    <row r="98" spans="1:12" s="2" customFormat="1" ht="15" x14ac:dyDescent="0.2">
      <c r="A98" s="5" t="s">
        <v>414</v>
      </c>
      <c r="B98" s="2" t="s">
        <v>3015</v>
      </c>
      <c r="C98" s="2" t="s">
        <v>2034</v>
      </c>
      <c r="D98" s="3" t="s">
        <v>1839</v>
      </c>
      <c r="E98" s="3" t="s">
        <v>1840</v>
      </c>
      <c r="F98" s="3">
        <v>0.36928899999999998</v>
      </c>
      <c r="G98" s="3">
        <v>0.94648299999999996</v>
      </c>
      <c r="H98" s="3">
        <v>1.3578300000000001</v>
      </c>
      <c r="J98" s="3"/>
      <c r="K98" s="3"/>
      <c r="L98" s="3"/>
    </row>
    <row r="99" spans="1:12" s="2" customFormat="1" ht="15" x14ac:dyDescent="0.2">
      <c r="A99" s="5" t="s">
        <v>609</v>
      </c>
      <c r="B99" s="2" t="s">
        <v>3081</v>
      </c>
      <c r="C99" s="2" t="s">
        <v>1965</v>
      </c>
      <c r="D99" s="3" t="s">
        <v>1839</v>
      </c>
      <c r="E99" s="3" t="s">
        <v>1840</v>
      </c>
      <c r="F99" s="3">
        <v>1.6926300000000001</v>
      </c>
      <c r="G99" s="3">
        <v>4.3150399999999998</v>
      </c>
      <c r="H99" s="3">
        <v>1.3501099999999999</v>
      </c>
      <c r="J99" s="3"/>
      <c r="K99" s="3"/>
      <c r="L99" s="3"/>
    </row>
    <row r="100" spans="1:12" s="2" customFormat="1" ht="15" x14ac:dyDescent="0.2">
      <c r="A100" s="5" t="s">
        <v>501</v>
      </c>
      <c r="B100" s="2" t="s">
        <v>3015</v>
      </c>
      <c r="C100" s="2" t="s">
        <v>2488</v>
      </c>
      <c r="D100" s="3" t="s">
        <v>1839</v>
      </c>
      <c r="E100" s="3" t="s">
        <v>1840</v>
      </c>
      <c r="F100" s="3">
        <v>4.2759799999999997</v>
      </c>
      <c r="G100" s="3">
        <v>10.8805</v>
      </c>
      <c r="H100" s="3">
        <v>1.34741</v>
      </c>
      <c r="J100" s="4"/>
      <c r="K100" s="3"/>
      <c r="L100" s="3"/>
    </row>
    <row r="101" spans="1:12" s="2" customFormat="1" ht="15" x14ac:dyDescent="0.2">
      <c r="A101" s="5" t="s">
        <v>61</v>
      </c>
      <c r="B101" s="2" t="s">
        <v>3043</v>
      </c>
      <c r="C101" s="2" t="s">
        <v>1872</v>
      </c>
      <c r="D101" s="3" t="s">
        <v>1839</v>
      </c>
      <c r="E101" s="3" t="s">
        <v>1840</v>
      </c>
      <c r="F101" s="3">
        <v>0.49207600000000001</v>
      </c>
      <c r="G101" s="3">
        <v>1.24891</v>
      </c>
      <c r="H101" s="3">
        <v>1.34372</v>
      </c>
      <c r="J101" s="4"/>
      <c r="K101" s="3"/>
      <c r="L101" s="3"/>
    </row>
    <row r="102" spans="1:12" s="2" customFormat="1" ht="15" x14ac:dyDescent="0.2">
      <c r="A102" s="5" t="s">
        <v>149</v>
      </c>
      <c r="B102" s="2" t="s">
        <v>3015</v>
      </c>
      <c r="C102" s="2" t="s">
        <v>1914</v>
      </c>
      <c r="D102" s="3" t="s">
        <v>1839</v>
      </c>
      <c r="E102" s="3" t="s">
        <v>1840</v>
      </c>
      <c r="F102" s="3">
        <v>1.03277</v>
      </c>
      <c r="G102" s="3">
        <v>2.6063399999999999</v>
      </c>
      <c r="H102" s="3">
        <v>1.33551</v>
      </c>
      <c r="J102" s="3"/>
      <c r="K102" s="3"/>
      <c r="L102" s="3"/>
    </row>
    <row r="103" spans="1:12" s="2" customFormat="1" ht="15" x14ac:dyDescent="0.2">
      <c r="A103" s="5" t="s">
        <v>1079</v>
      </c>
      <c r="B103" s="2" t="s">
        <v>3081</v>
      </c>
      <c r="C103" s="2" t="s">
        <v>2968</v>
      </c>
      <c r="D103" s="3" t="s">
        <v>1839</v>
      </c>
      <c r="E103" s="3" t="s">
        <v>1840</v>
      </c>
      <c r="F103" s="3">
        <v>1.0480100000000001</v>
      </c>
      <c r="G103" s="3">
        <v>2.6434500000000001</v>
      </c>
      <c r="H103" s="3">
        <v>1.33477</v>
      </c>
      <c r="J103" s="4"/>
      <c r="K103" s="3"/>
      <c r="L103" s="3"/>
    </row>
    <row r="104" spans="1:12" s="2" customFormat="1" ht="15" x14ac:dyDescent="0.2">
      <c r="A104" s="5" t="s">
        <v>1427</v>
      </c>
      <c r="B104" s="2" t="s">
        <v>3047</v>
      </c>
      <c r="C104" s="2" t="s">
        <v>3008</v>
      </c>
      <c r="D104" s="3" t="s">
        <v>1839</v>
      </c>
      <c r="E104" s="3" t="s">
        <v>1840</v>
      </c>
      <c r="F104" s="3">
        <v>0.45263100000000001</v>
      </c>
      <c r="G104" s="3">
        <v>1.1399900000000001</v>
      </c>
      <c r="H104" s="3">
        <v>1.3326100000000001</v>
      </c>
      <c r="J104" s="3"/>
      <c r="K104" s="3"/>
      <c r="L104" s="3"/>
    </row>
    <row r="105" spans="1:12" s="2" customFormat="1" ht="15" x14ac:dyDescent="0.2">
      <c r="A105" s="5" t="s">
        <v>797</v>
      </c>
      <c r="B105" s="2" t="s">
        <v>3209</v>
      </c>
      <c r="C105" s="2" t="s">
        <v>2205</v>
      </c>
      <c r="D105" s="3" t="s">
        <v>1839</v>
      </c>
      <c r="E105" s="3" t="s">
        <v>1840</v>
      </c>
      <c r="F105" s="3">
        <v>4.9151699999999998</v>
      </c>
      <c r="G105" s="3">
        <v>12.347</v>
      </c>
      <c r="H105" s="3">
        <v>1.3288500000000001</v>
      </c>
      <c r="J105" s="4"/>
      <c r="K105" s="3"/>
      <c r="L105" s="3"/>
    </row>
    <row r="106" spans="1:12" s="2" customFormat="1" ht="15" x14ac:dyDescent="0.2">
      <c r="A106" s="5" t="s">
        <v>1717</v>
      </c>
      <c r="B106" s="2" t="s">
        <v>3015</v>
      </c>
      <c r="C106" s="2" t="s">
        <v>2880</v>
      </c>
      <c r="D106" s="3" t="s">
        <v>1839</v>
      </c>
      <c r="E106" s="3" t="s">
        <v>1840</v>
      </c>
      <c r="F106" s="3">
        <v>1.2552000000000001</v>
      </c>
      <c r="G106" s="3">
        <v>3.1433399999999998</v>
      </c>
      <c r="H106" s="3">
        <v>1.32439</v>
      </c>
      <c r="J106" s="3"/>
      <c r="K106" s="3"/>
      <c r="L106" s="3"/>
    </row>
    <row r="107" spans="1:12" s="2" customFormat="1" ht="15" x14ac:dyDescent="0.2">
      <c r="A107" s="5" t="s">
        <v>1829</v>
      </c>
      <c r="B107" s="2" t="s">
        <v>3492</v>
      </c>
      <c r="C107" s="2" t="s">
        <v>2874</v>
      </c>
      <c r="D107" s="3" t="s">
        <v>1839</v>
      </c>
      <c r="E107" s="3" t="s">
        <v>1840</v>
      </c>
      <c r="F107" s="3">
        <v>0.52573999999999999</v>
      </c>
      <c r="G107" s="3">
        <v>1.3131999999999999</v>
      </c>
      <c r="H107" s="3">
        <v>1.32067</v>
      </c>
      <c r="J107" s="3"/>
      <c r="K107" s="3"/>
      <c r="L107" s="3"/>
    </row>
    <row r="108" spans="1:12" s="2" customFormat="1" ht="15" x14ac:dyDescent="0.2">
      <c r="A108" s="5" t="s">
        <v>1621</v>
      </c>
      <c r="B108" s="2" t="s">
        <v>3434</v>
      </c>
      <c r="C108" s="2" t="s">
        <v>2787</v>
      </c>
      <c r="D108" s="3" t="s">
        <v>1839</v>
      </c>
      <c r="E108" s="3" t="s">
        <v>1840</v>
      </c>
      <c r="F108" s="3">
        <v>0.38133099999999998</v>
      </c>
      <c r="G108" s="3">
        <v>0.94569700000000001</v>
      </c>
      <c r="H108" s="3">
        <v>1.31033</v>
      </c>
      <c r="J108" s="4"/>
      <c r="K108" s="3"/>
      <c r="L108" s="3"/>
    </row>
    <row r="109" spans="1:12" s="2" customFormat="1" ht="15" x14ac:dyDescent="0.2">
      <c r="A109" s="5" t="s">
        <v>1796</v>
      </c>
      <c r="B109" s="2" t="s">
        <v>3015</v>
      </c>
      <c r="C109" s="2" t="s">
        <v>1914</v>
      </c>
      <c r="D109" s="3" t="s">
        <v>1839</v>
      </c>
      <c r="E109" s="3" t="s">
        <v>1840</v>
      </c>
      <c r="F109" s="3">
        <v>1.15368</v>
      </c>
      <c r="G109" s="3">
        <v>2.8591299999999999</v>
      </c>
      <c r="H109" s="3">
        <v>1.3093399999999999</v>
      </c>
      <c r="J109" s="3"/>
      <c r="K109" s="3"/>
      <c r="L109" s="3"/>
    </row>
    <row r="110" spans="1:12" s="2" customFormat="1" ht="15" x14ac:dyDescent="0.2">
      <c r="A110" s="5" t="s">
        <v>276</v>
      </c>
      <c r="B110" s="2" t="s">
        <v>3081</v>
      </c>
      <c r="C110" s="2" t="s">
        <v>1847</v>
      </c>
      <c r="D110" s="3" t="s">
        <v>1839</v>
      </c>
      <c r="E110" s="3" t="s">
        <v>1840</v>
      </c>
      <c r="F110" s="3">
        <v>1.6157300000000001</v>
      </c>
      <c r="G110" s="3">
        <v>3.9847000000000001</v>
      </c>
      <c r="H110" s="3">
        <v>1.3022899999999999</v>
      </c>
      <c r="J110" s="4"/>
      <c r="K110" s="3"/>
      <c r="L110" s="3"/>
    </row>
    <row r="111" spans="1:12" s="2" customFormat="1" ht="15" x14ac:dyDescent="0.2">
      <c r="A111" s="5" t="s">
        <v>1800</v>
      </c>
      <c r="B111" s="2" t="s">
        <v>3015</v>
      </c>
      <c r="C111" s="2" t="s">
        <v>2978</v>
      </c>
      <c r="D111" s="3" t="s">
        <v>1839</v>
      </c>
      <c r="E111" s="3" t="s">
        <v>1840</v>
      </c>
      <c r="F111" s="3">
        <v>0.36792599999999998</v>
      </c>
      <c r="G111" s="3">
        <v>0.90292499999999998</v>
      </c>
      <c r="H111" s="3">
        <v>1.2951900000000001</v>
      </c>
      <c r="J111" s="3"/>
      <c r="K111" s="3"/>
      <c r="L111" s="3"/>
    </row>
    <row r="112" spans="1:12" s="2" customFormat="1" ht="15" x14ac:dyDescent="0.2">
      <c r="A112" s="5" t="s">
        <v>1193</v>
      </c>
      <c r="B112" s="2" t="s">
        <v>3399</v>
      </c>
      <c r="C112" s="2" t="s">
        <v>2003</v>
      </c>
      <c r="D112" s="3" t="s">
        <v>1839</v>
      </c>
      <c r="E112" s="3" t="s">
        <v>1840</v>
      </c>
      <c r="F112" s="3">
        <v>0.42597400000000002</v>
      </c>
      <c r="G112" s="3">
        <v>1.04312</v>
      </c>
      <c r="H112" s="3">
        <v>1.2920700000000001</v>
      </c>
      <c r="J112" s="4"/>
      <c r="K112" s="3"/>
      <c r="L112" s="3"/>
    </row>
    <row r="113" spans="1:12" s="2" customFormat="1" ht="15" x14ac:dyDescent="0.2">
      <c r="A113" s="5" t="s">
        <v>1336</v>
      </c>
      <c r="B113" s="2" t="s">
        <v>3015</v>
      </c>
      <c r="C113" s="2" t="s">
        <v>2999</v>
      </c>
      <c r="D113" s="3" t="s">
        <v>1839</v>
      </c>
      <c r="E113" s="3" t="s">
        <v>1840</v>
      </c>
      <c r="F113" s="3">
        <v>7.7910300000000001</v>
      </c>
      <c r="G113" s="3">
        <v>19.075800000000001</v>
      </c>
      <c r="H113" s="3">
        <v>1.2918499999999999</v>
      </c>
      <c r="J113" s="4"/>
      <c r="K113" s="3"/>
      <c r="L113" s="3"/>
    </row>
    <row r="114" spans="1:12" s="2" customFormat="1" ht="15" x14ac:dyDescent="0.2">
      <c r="A114" s="5" t="s">
        <v>1310</v>
      </c>
      <c r="B114" s="2" t="s">
        <v>3015</v>
      </c>
      <c r="C114" s="2" t="s">
        <v>2808</v>
      </c>
      <c r="D114" s="3" t="s">
        <v>1839</v>
      </c>
      <c r="E114" s="3" t="s">
        <v>1840</v>
      </c>
      <c r="F114" s="3">
        <v>6.4358700000000004</v>
      </c>
      <c r="G114" s="3">
        <v>15.7575</v>
      </c>
      <c r="H114" s="3">
        <v>1.2918400000000001</v>
      </c>
      <c r="J114" s="3"/>
      <c r="K114" s="3"/>
      <c r="L114" s="3"/>
    </row>
    <row r="115" spans="1:12" s="2" customFormat="1" ht="15" x14ac:dyDescent="0.2">
      <c r="A115" s="5" t="s">
        <v>1258</v>
      </c>
      <c r="B115" s="2" t="s">
        <v>3153</v>
      </c>
      <c r="C115" s="2" t="s">
        <v>2462</v>
      </c>
      <c r="D115" s="3" t="s">
        <v>1839</v>
      </c>
      <c r="E115" s="3" t="s">
        <v>1840</v>
      </c>
      <c r="F115" s="3">
        <v>5.0748800000000003</v>
      </c>
      <c r="G115" s="3">
        <v>12.413</v>
      </c>
      <c r="H115" s="3">
        <v>1.2904100000000001</v>
      </c>
      <c r="J115" s="4"/>
      <c r="K115" s="3"/>
      <c r="L115" s="3"/>
    </row>
    <row r="116" spans="1:12" s="2" customFormat="1" ht="15" x14ac:dyDescent="0.2">
      <c r="A116" s="5" t="s">
        <v>327</v>
      </c>
      <c r="B116" s="2" t="s">
        <v>3315</v>
      </c>
      <c r="C116" s="2" t="s">
        <v>2421</v>
      </c>
      <c r="D116" s="3" t="s">
        <v>1839</v>
      </c>
      <c r="E116" s="3" t="s">
        <v>1840</v>
      </c>
      <c r="F116" s="3">
        <v>0.690662</v>
      </c>
      <c r="G116" s="3">
        <v>1.6727700000000001</v>
      </c>
      <c r="H116" s="3">
        <v>1.2761899999999999</v>
      </c>
      <c r="J116" s="3"/>
      <c r="K116" s="3"/>
      <c r="L116" s="3"/>
    </row>
    <row r="117" spans="1:12" s="2" customFormat="1" ht="15" x14ac:dyDescent="0.2">
      <c r="A117" s="5" t="s">
        <v>573</v>
      </c>
      <c r="B117" s="2" t="s">
        <v>3164</v>
      </c>
      <c r="C117" s="2" t="s">
        <v>2112</v>
      </c>
      <c r="D117" s="3" t="s">
        <v>1839</v>
      </c>
      <c r="E117" s="3" t="s">
        <v>1840</v>
      </c>
      <c r="F117" s="3">
        <v>9.1393500000000003</v>
      </c>
      <c r="G117" s="3">
        <v>22.128499999999999</v>
      </c>
      <c r="H117" s="3">
        <v>1.2757400000000001</v>
      </c>
      <c r="J117" s="3"/>
      <c r="K117" s="3"/>
      <c r="L117" s="3"/>
    </row>
    <row r="118" spans="1:12" s="2" customFormat="1" ht="15" x14ac:dyDescent="0.2">
      <c r="A118" s="5" t="s">
        <v>1811</v>
      </c>
      <c r="B118" s="2" t="s">
        <v>3068</v>
      </c>
      <c r="C118" s="2" t="s">
        <v>3015</v>
      </c>
      <c r="D118" s="3" t="s">
        <v>1839</v>
      </c>
      <c r="E118" s="3" t="s">
        <v>1840</v>
      </c>
      <c r="F118" s="3">
        <v>0.36410500000000001</v>
      </c>
      <c r="G118" s="3">
        <v>0.87788500000000003</v>
      </c>
      <c r="H118" s="3">
        <v>1.2696799999999999</v>
      </c>
      <c r="J118" s="4"/>
      <c r="K118" s="3"/>
      <c r="L118" s="3"/>
    </row>
    <row r="119" spans="1:12" s="2" customFormat="1" ht="15" x14ac:dyDescent="0.2">
      <c r="A119" s="5" t="s">
        <v>1712</v>
      </c>
      <c r="B119" s="2" t="s">
        <v>3131</v>
      </c>
      <c r="C119" s="2" t="s">
        <v>2874</v>
      </c>
      <c r="D119" s="3" t="s">
        <v>1839</v>
      </c>
      <c r="E119" s="3" t="s">
        <v>1840</v>
      </c>
      <c r="F119" s="3">
        <v>0.54596299999999998</v>
      </c>
      <c r="G119" s="3">
        <v>1.3027899999999999</v>
      </c>
      <c r="H119" s="3">
        <v>1.2547299999999999</v>
      </c>
      <c r="J119" s="4"/>
      <c r="K119" s="3"/>
      <c r="L119" s="3"/>
    </row>
    <row r="120" spans="1:12" s="2" customFormat="1" ht="15" x14ac:dyDescent="0.2">
      <c r="A120" s="5" t="s">
        <v>817</v>
      </c>
      <c r="B120" s="2" t="s">
        <v>3015</v>
      </c>
      <c r="C120" s="2" t="s">
        <v>2575</v>
      </c>
      <c r="D120" s="3" t="s">
        <v>1839</v>
      </c>
      <c r="E120" s="3" t="s">
        <v>1840</v>
      </c>
      <c r="F120" s="3">
        <v>1.07145</v>
      </c>
      <c r="G120" s="3">
        <v>2.5520800000000001</v>
      </c>
      <c r="H120" s="3">
        <v>1.2521100000000001</v>
      </c>
      <c r="J120" s="4"/>
      <c r="K120" s="3"/>
      <c r="L120" s="3"/>
    </row>
    <row r="121" spans="1:12" s="2" customFormat="1" ht="15" x14ac:dyDescent="0.2">
      <c r="A121" s="5" t="s">
        <v>859</v>
      </c>
      <c r="B121" s="2" t="s">
        <v>3015</v>
      </c>
      <c r="C121" s="2" t="s">
        <v>2241</v>
      </c>
      <c r="D121" s="3" t="s">
        <v>1839</v>
      </c>
      <c r="E121" s="3" t="s">
        <v>1840</v>
      </c>
      <c r="F121" s="3">
        <v>0.56196800000000002</v>
      </c>
      <c r="G121" s="3">
        <v>1.33792</v>
      </c>
      <c r="H121" s="3">
        <v>1.25143</v>
      </c>
      <c r="J121" s="4"/>
      <c r="K121" s="3"/>
      <c r="L121" s="3"/>
    </row>
    <row r="122" spans="1:12" s="2" customFormat="1" ht="15" x14ac:dyDescent="0.2">
      <c r="A122" s="5" t="s">
        <v>1261</v>
      </c>
      <c r="B122" s="2" t="s">
        <v>3015</v>
      </c>
      <c r="C122" s="2" t="s">
        <v>2464</v>
      </c>
      <c r="D122" s="3" t="s">
        <v>1839</v>
      </c>
      <c r="E122" s="3" t="s">
        <v>1840</v>
      </c>
      <c r="F122" s="3">
        <v>12.914999999999999</v>
      </c>
      <c r="G122" s="3">
        <v>30.642399999999999</v>
      </c>
      <c r="H122" s="3">
        <v>1.2464900000000001</v>
      </c>
      <c r="J122" s="4"/>
      <c r="K122" s="3"/>
      <c r="L122" s="3"/>
    </row>
    <row r="123" spans="1:12" s="2" customFormat="1" ht="15" x14ac:dyDescent="0.2">
      <c r="A123" s="5" t="s">
        <v>1114</v>
      </c>
      <c r="B123" s="2" t="s">
        <v>3015</v>
      </c>
      <c r="C123" s="2" t="s">
        <v>2974</v>
      </c>
      <c r="D123" s="3" t="s">
        <v>1839</v>
      </c>
      <c r="E123" s="3" t="s">
        <v>1840</v>
      </c>
      <c r="F123" s="3">
        <v>0.34355400000000003</v>
      </c>
      <c r="G123" s="3">
        <v>0.81367299999999998</v>
      </c>
      <c r="H123" s="3">
        <v>1.2439100000000001</v>
      </c>
      <c r="J123" s="3"/>
      <c r="K123" s="3"/>
      <c r="L123" s="3"/>
    </row>
    <row r="124" spans="1:12" s="2" customFormat="1" ht="15" x14ac:dyDescent="0.2">
      <c r="A124" s="5" t="s">
        <v>125</v>
      </c>
      <c r="B124" s="2" t="s">
        <v>3015</v>
      </c>
      <c r="C124" s="2" t="s">
        <v>2400</v>
      </c>
      <c r="D124" s="3" t="s">
        <v>1839</v>
      </c>
      <c r="E124" s="3" t="s">
        <v>1840</v>
      </c>
      <c r="F124" s="3">
        <v>125.63200000000001</v>
      </c>
      <c r="G124" s="3">
        <v>296.99200000000002</v>
      </c>
      <c r="H124" s="3">
        <v>1.24122</v>
      </c>
      <c r="J124" s="3"/>
      <c r="K124" s="3"/>
      <c r="L124" s="3"/>
    </row>
    <row r="125" spans="1:12" s="2" customFormat="1" ht="15" x14ac:dyDescent="0.2">
      <c r="A125" s="5" t="s">
        <v>1313</v>
      </c>
      <c r="B125" s="2" t="s">
        <v>3441</v>
      </c>
      <c r="C125" s="2" t="s">
        <v>3015</v>
      </c>
      <c r="D125" s="3" t="s">
        <v>1839</v>
      </c>
      <c r="E125" s="3" t="s">
        <v>1840</v>
      </c>
      <c r="F125" s="3">
        <v>0.44244800000000001</v>
      </c>
      <c r="G125" s="3">
        <v>1.04444</v>
      </c>
      <c r="H125" s="3">
        <v>1.2391399999999999</v>
      </c>
      <c r="J125" s="3"/>
      <c r="K125" s="3"/>
      <c r="L125" s="3"/>
    </row>
    <row r="126" spans="1:12" s="2" customFormat="1" ht="15" x14ac:dyDescent="0.2">
      <c r="A126" s="5" t="s">
        <v>73</v>
      </c>
      <c r="B126" s="2" t="s">
        <v>3015</v>
      </c>
      <c r="C126" s="2" t="s">
        <v>1880</v>
      </c>
      <c r="D126" s="3" t="s">
        <v>1839</v>
      </c>
      <c r="E126" s="3" t="s">
        <v>1840</v>
      </c>
      <c r="F126" s="3">
        <v>1.0872599999999999</v>
      </c>
      <c r="G126" s="3">
        <v>2.5649299999999999</v>
      </c>
      <c r="H126" s="3">
        <v>1.2382299999999999</v>
      </c>
      <c r="J126" s="3"/>
      <c r="K126" s="3"/>
      <c r="L126" s="3"/>
    </row>
    <row r="127" spans="1:12" s="2" customFormat="1" ht="15" x14ac:dyDescent="0.2">
      <c r="A127" s="5" t="s">
        <v>1602</v>
      </c>
      <c r="B127" s="2" t="s">
        <v>3015</v>
      </c>
      <c r="C127" s="2" t="s">
        <v>2764</v>
      </c>
      <c r="D127" s="3" t="s">
        <v>1839</v>
      </c>
      <c r="E127" s="3" t="s">
        <v>1840</v>
      </c>
      <c r="F127" s="3">
        <v>1.2925</v>
      </c>
      <c r="G127" s="3">
        <v>3.03607</v>
      </c>
      <c r="H127" s="3">
        <v>1.23204</v>
      </c>
      <c r="J127" s="4"/>
      <c r="K127" s="3"/>
      <c r="L127" s="3"/>
    </row>
    <row r="128" spans="1:12" s="2" customFormat="1" ht="15" x14ac:dyDescent="0.2">
      <c r="A128" s="5" t="s">
        <v>1623</v>
      </c>
      <c r="B128" s="2" t="s">
        <v>3146</v>
      </c>
      <c r="C128" s="2" t="s">
        <v>2674</v>
      </c>
      <c r="D128" s="3" t="s">
        <v>1839</v>
      </c>
      <c r="E128" s="3" t="s">
        <v>1840</v>
      </c>
      <c r="F128" s="3">
        <v>1.7181999999999999</v>
      </c>
      <c r="G128" s="3">
        <v>4.0351499999999998</v>
      </c>
      <c r="H128" s="3">
        <v>1.2317199999999999</v>
      </c>
      <c r="J128" s="4"/>
      <c r="K128" s="3"/>
      <c r="L128" s="3"/>
    </row>
    <row r="129" spans="1:12" s="2" customFormat="1" ht="15" x14ac:dyDescent="0.2">
      <c r="A129" s="5" t="s">
        <v>1402</v>
      </c>
      <c r="B129" s="2" t="s">
        <v>3015</v>
      </c>
      <c r="C129" s="2" t="s">
        <v>2891</v>
      </c>
      <c r="D129" s="3" t="s">
        <v>1839</v>
      </c>
      <c r="E129" s="3" t="s">
        <v>1840</v>
      </c>
      <c r="F129" s="3">
        <v>1.9628399999999999</v>
      </c>
      <c r="G129" s="3">
        <v>4.6059799999999997</v>
      </c>
      <c r="H129" s="3">
        <v>1.2305600000000001</v>
      </c>
      <c r="J129" s="4"/>
      <c r="K129" s="3"/>
      <c r="L129" s="3"/>
    </row>
    <row r="130" spans="1:12" s="2" customFormat="1" ht="15" x14ac:dyDescent="0.2">
      <c r="A130" s="5" t="s">
        <v>528</v>
      </c>
      <c r="B130" s="2" t="s">
        <v>3015</v>
      </c>
      <c r="C130" s="2" t="s">
        <v>1844</v>
      </c>
      <c r="D130" s="3" t="s">
        <v>1839</v>
      </c>
      <c r="E130" s="3" t="s">
        <v>1840</v>
      </c>
      <c r="F130" s="3">
        <v>1.0430699999999999</v>
      </c>
      <c r="G130" s="3">
        <v>2.44598</v>
      </c>
      <c r="H130" s="3">
        <v>1.2295799999999999</v>
      </c>
      <c r="J130" s="3"/>
      <c r="K130" s="3"/>
      <c r="L130" s="3"/>
    </row>
    <row r="131" spans="1:12" s="2" customFormat="1" ht="15" x14ac:dyDescent="0.2">
      <c r="A131" s="5" t="s">
        <v>1657</v>
      </c>
      <c r="B131" s="2" t="s">
        <v>3015</v>
      </c>
      <c r="C131" s="2" t="s">
        <v>2825</v>
      </c>
      <c r="D131" s="3" t="s">
        <v>1839</v>
      </c>
      <c r="E131" s="3" t="s">
        <v>1840</v>
      </c>
      <c r="F131" s="3">
        <v>0.95603800000000005</v>
      </c>
      <c r="G131" s="3">
        <v>2.2376200000000002</v>
      </c>
      <c r="H131" s="3">
        <v>1.2268300000000001</v>
      </c>
      <c r="J131" s="3"/>
      <c r="K131" s="3"/>
      <c r="L131" s="3"/>
    </row>
    <row r="132" spans="1:12" s="2" customFormat="1" ht="15" x14ac:dyDescent="0.2">
      <c r="A132" s="5" t="s">
        <v>1210</v>
      </c>
      <c r="B132" s="2" t="s">
        <v>3081</v>
      </c>
      <c r="C132" s="2" t="s">
        <v>2353</v>
      </c>
      <c r="D132" s="3" t="s">
        <v>1839</v>
      </c>
      <c r="E132" s="3" t="s">
        <v>1840</v>
      </c>
      <c r="F132" s="3">
        <v>2.10982</v>
      </c>
      <c r="G132" s="3">
        <v>4.9287999999999998</v>
      </c>
      <c r="H132" s="3">
        <v>1.22411</v>
      </c>
      <c r="J132" s="4"/>
      <c r="K132" s="3"/>
      <c r="L132" s="3"/>
    </row>
    <row r="133" spans="1:12" s="2" customFormat="1" ht="15" x14ac:dyDescent="0.2">
      <c r="A133" s="5" t="s">
        <v>1681</v>
      </c>
      <c r="B133" s="2" t="s">
        <v>3453</v>
      </c>
      <c r="C133" s="2" t="s">
        <v>2847</v>
      </c>
      <c r="D133" s="3" t="s">
        <v>1839</v>
      </c>
      <c r="E133" s="3" t="s">
        <v>1840</v>
      </c>
      <c r="F133" s="3">
        <v>0.37701000000000001</v>
      </c>
      <c r="G133" s="3">
        <v>0.88007500000000005</v>
      </c>
      <c r="H133" s="3">
        <v>1.22302</v>
      </c>
      <c r="J133" s="3"/>
      <c r="K133" s="3"/>
      <c r="L133" s="3"/>
    </row>
    <row r="134" spans="1:12" s="2" customFormat="1" ht="15" x14ac:dyDescent="0.2">
      <c r="A134" s="5" t="s">
        <v>1825</v>
      </c>
      <c r="B134" s="2" t="s">
        <v>3266</v>
      </c>
      <c r="C134" s="2" t="s">
        <v>2347</v>
      </c>
      <c r="D134" s="3" t="s">
        <v>1839</v>
      </c>
      <c r="E134" s="3" t="s">
        <v>1840</v>
      </c>
      <c r="F134" s="3">
        <v>0.34606700000000001</v>
      </c>
      <c r="G134" s="3">
        <v>0.80725000000000002</v>
      </c>
      <c r="H134" s="3">
        <v>1.2219599999999999</v>
      </c>
      <c r="J134" s="3"/>
      <c r="K134" s="3"/>
      <c r="L134" s="3"/>
    </row>
    <row r="135" spans="1:12" s="2" customFormat="1" ht="15" x14ac:dyDescent="0.2">
      <c r="A135" s="5" t="s">
        <v>707</v>
      </c>
      <c r="B135" s="2" t="s">
        <v>3015</v>
      </c>
      <c r="C135" s="2" t="s">
        <v>2171</v>
      </c>
      <c r="D135" s="3" t="s">
        <v>1839</v>
      </c>
      <c r="E135" s="3" t="s">
        <v>1840</v>
      </c>
      <c r="F135" s="3">
        <v>8.9064399999999999</v>
      </c>
      <c r="G135" s="3">
        <v>20.770600000000002</v>
      </c>
      <c r="H135" s="3">
        <v>1.2216199999999999</v>
      </c>
      <c r="J135" s="3"/>
      <c r="K135" s="3"/>
      <c r="L135" s="3"/>
    </row>
    <row r="136" spans="1:12" s="2" customFormat="1" ht="15" x14ac:dyDescent="0.2">
      <c r="A136" s="5" t="s">
        <v>1806</v>
      </c>
      <c r="B136" s="2" t="s">
        <v>3015</v>
      </c>
      <c r="C136" s="2" t="s">
        <v>2982</v>
      </c>
      <c r="D136" s="3" t="s">
        <v>1839</v>
      </c>
      <c r="E136" s="3" t="s">
        <v>1840</v>
      </c>
      <c r="F136" s="3">
        <v>1.59565</v>
      </c>
      <c r="G136" s="3">
        <v>3.6979199999999999</v>
      </c>
      <c r="H136" s="3">
        <v>1.2125699999999999</v>
      </c>
      <c r="J136" s="4"/>
      <c r="K136" s="3"/>
      <c r="L136" s="3"/>
    </row>
    <row r="137" spans="1:12" s="2" customFormat="1" ht="15" x14ac:dyDescent="0.2">
      <c r="A137" s="5" t="s">
        <v>1064</v>
      </c>
      <c r="B137" s="2" t="s">
        <v>3015</v>
      </c>
      <c r="C137" s="2" t="s">
        <v>1854</v>
      </c>
      <c r="D137" s="3" t="s">
        <v>1839</v>
      </c>
      <c r="E137" s="3" t="s">
        <v>1840</v>
      </c>
      <c r="F137" s="3">
        <v>1.0661499999999999</v>
      </c>
      <c r="G137" s="3">
        <v>2.4591500000000002</v>
      </c>
      <c r="H137" s="3">
        <v>1.2057500000000001</v>
      </c>
      <c r="J137" s="4"/>
      <c r="K137" s="3"/>
      <c r="L137" s="3"/>
    </row>
    <row r="138" spans="1:12" s="2" customFormat="1" ht="15" x14ac:dyDescent="0.2">
      <c r="A138" s="5" t="s">
        <v>49</v>
      </c>
      <c r="B138" s="2" t="s">
        <v>3195</v>
      </c>
      <c r="C138" s="2" t="s">
        <v>2630</v>
      </c>
      <c r="D138" s="3" t="s">
        <v>1839</v>
      </c>
      <c r="E138" s="3" t="s">
        <v>1840</v>
      </c>
      <c r="F138" s="3">
        <v>2.1010300000000002</v>
      </c>
      <c r="G138" s="3">
        <v>4.8321699999999996</v>
      </c>
      <c r="H138" s="3">
        <v>1.20157</v>
      </c>
      <c r="J138" s="4"/>
      <c r="K138" s="3"/>
      <c r="L138" s="3"/>
    </row>
    <row r="139" spans="1:12" s="2" customFormat="1" ht="15" x14ac:dyDescent="0.2">
      <c r="A139" s="5" t="s">
        <v>1515</v>
      </c>
      <c r="B139" s="2" t="s">
        <v>3015</v>
      </c>
      <c r="C139" s="2" t="s">
        <v>2667</v>
      </c>
      <c r="D139" s="3" t="s">
        <v>1839</v>
      </c>
      <c r="E139" s="3" t="s">
        <v>1840</v>
      </c>
      <c r="F139" s="3">
        <v>2.4035199999999999</v>
      </c>
      <c r="G139" s="3">
        <v>5.5266000000000002</v>
      </c>
      <c r="H139" s="3">
        <v>1.2012499999999999</v>
      </c>
      <c r="J139" s="3"/>
      <c r="K139" s="3"/>
      <c r="L139" s="3"/>
    </row>
    <row r="140" spans="1:12" s="2" customFormat="1" ht="15" x14ac:dyDescent="0.2">
      <c r="A140" s="5" t="s">
        <v>1493</v>
      </c>
      <c r="B140" s="2" t="s">
        <v>3095</v>
      </c>
      <c r="C140" s="2" t="s">
        <v>2637</v>
      </c>
      <c r="D140" s="3" t="s">
        <v>1839</v>
      </c>
      <c r="E140" s="3" t="s">
        <v>1840</v>
      </c>
      <c r="F140" s="3">
        <v>0.421456</v>
      </c>
      <c r="G140" s="3">
        <v>0.96562499999999996</v>
      </c>
      <c r="H140" s="3">
        <v>1.19608</v>
      </c>
      <c r="J140" s="3"/>
      <c r="K140" s="3"/>
      <c r="L140" s="3"/>
    </row>
    <row r="141" spans="1:12" s="2" customFormat="1" ht="15" x14ac:dyDescent="0.2">
      <c r="A141" s="5" t="s">
        <v>309</v>
      </c>
      <c r="B141" s="2" t="s">
        <v>3063</v>
      </c>
      <c r="C141" s="2" t="s">
        <v>2726</v>
      </c>
      <c r="D141" s="3" t="s">
        <v>1839</v>
      </c>
      <c r="E141" s="3" t="s">
        <v>1840</v>
      </c>
      <c r="F141" s="3">
        <v>2.2638600000000002</v>
      </c>
      <c r="G141" s="3">
        <v>5.1645300000000001</v>
      </c>
      <c r="H141" s="3">
        <v>1.1898500000000001</v>
      </c>
      <c r="J141" s="4"/>
      <c r="K141" s="3"/>
      <c r="L141" s="3"/>
    </row>
    <row r="142" spans="1:12" s="2" customFormat="1" ht="15" x14ac:dyDescent="0.2">
      <c r="A142" s="5" t="s">
        <v>1197</v>
      </c>
      <c r="B142" s="2" t="s">
        <v>3015</v>
      </c>
      <c r="C142" s="2" t="s">
        <v>1907</v>
      </c>
      <c r="D142" s="3" t="s">
        <v>1839</v>
      </c>
      <c r="E142" s="3" t="s">
        <v>1840</v>
      </c>
      <c r="F142" s="3">
        <v>0.41559800000000002</v>
      </c>
      <c r="G142" s="3">
        <v>0.94675799999999999</v>
      </c>
      <c r="H142" s="3">
        <v>1.18781</v>
      </c>
      <c r="J142" s="4"/>
      <c r="K142" s="3"/>
      <c r="L142" s="3"/>
    </row>
    <row r="143" spans="1:12" s="2" customFormat="1" ht="15" x14ac:dyDescent="0.2">
      <c r="A143" s="5" t="s">
        <v>624</v>
      </c>
      <c r="B143" s="2" t="s">
        <v>3158</v>
      </c>
      <c r="C143" s="2" t="s">
        <v>2520</v>
      </c>
      <c r="D143" s="3" t="s">
        <v>1839</v>
      </c>
      <c r="E143" s="3" t="s">
        <v>1840</v>
      </c>
      <c r="F143" s="3">
        <v>4.3082799999999999</v>
      </c>
      <c r="G143" s="3">
        <v>9.7590000000000003</v>
      </c>
      <c r="H143" s="3">
        <v>1.1796199999999999</v>
      </c>
      <c r="J143" s="4"/>
      <c r="K143" s="3"/>
      <c r="L143" s="3"/>
    </row>
    <row r="144" spans="1:12" s="2" customFormat="1" ht="15" x14ac:dyDescent="0.2">
      <c r="A144" s="5" t="s">
        <v>1438</v>
      </c>
      <c r="B144" s="2" t="s">
        <v>3063</v>
      </c>
      <c r="C144" s="2" t="s">
        <v>2100</v>
      </c>
      <c r="D144" s="3" t="s">
        <v>1839</v>
      </c>
      <c r="E144" s="3" t="s">
        <v>1840</v>
      </c>
      <c r="F144" s="3">
        <v>17.814900000000002</v>
      </c>
      <c r="G144" s="3">
        <v>40.272399999999998</v>
      </c>
      <c r="H144" s="3">
        <v>1.1767099999999999</v>
      </c>
      <c r="J144" s="4"/>
      <c r="K144" s="3"/>
      <c r="L144" s="3"/>
    </row>
    <row r="145" spans="1:12" s="2" customFormat="1" ht="15" x14ac:dyDescent="0.2">
      <c r="A145" s="5" t="s">
        <v>850</v>
      </c>
      <c r="B145" s="2" t="s">
        <v>3015</v>
      </c>
      <c r="C145" s="2" t="s">
        <v>2899</v>
      </c>
      <c r="D145" s="3" t="s">
        <v>1839</v>
      </c>
      <c r="E145" s="3" t="s">
        <v>1840</v>
      </c>
      <c r="F145" s="3">
        <v>1.10076</v>
      </c>
      <c r="G145" s="3">
        <v>2.4778799999999999</v>
      </c>
      <c r="H145" s="3">
        <v>1.1706099999999999</v>
      </c>
      <c r="J145" s="3"/>
      <c r="K145" s="3"/>
      <c r="L145" s="3"/>
    </row>
    <row r="146" spans="1:12" s="2" customFormat="1" ht="15" x14ac:dyDescent="0.2">
      <c r="A146" s="5" t="s">
        <v>1683</v>
      </c>
      <c r="B146" s="2" t="s">
        <v>3454</v>
      </c>
      <c r="C146" s="2" t="s">
        <v>2849</v>
      </c>
      <c r="D146" s="3" t="s">
        <v>1839</v>
      </c>
      <c r="E146" s="3" t="s">
        <v>1840</v>
      </c>
      <c r="F146" s="3">
        <v>0.38610899999999998</v>
      </c>
      <c r="G146" s="3">
        <v>0.86829100000000004</v>
      </c>
      <c r="H146" s="3">
        <v>1.16917</v>
      </c>
      <c r="J146" s="3"/>
      <c r="K146" s="3"/>
      <c r="L146" s="3"/>
    </row>
    <row r="147" spans="1:12" s="2" customFormat="1" ht="15" x14ac:dyDescent="0.2">
      <c r="A147" s="5" t="s">
        <v>1022</v>
      </c>
      <c r="B147" s="2" t="s">
        <v>3015</v>
      </c>
      <c r="C147" s="2" t="s">
        <v>1847</v>
      </c>
      <c r="D147" s="3" t="s">
        <v>1839</v>
      </c>
      <c r="E147" s="3" t="s">
        <v>1840</v>
      </c>
      <c r="F147" s="3">
        <v>0.84523499999999996</v>
      </c>
      <c r="G147" s="3">
        <v>1.89985</v>
      </c>
      <c r="H147" s="3">
        <v>1.1684600000000001</v>
      </c>
      <c r="J147" s="3"/>
      <c r="K147" s="3"/>
      <c r="L147" s="3"/>
    </row>
    <row r="148" spans="1:12" s="2" customFormat="1" ht="15" x14ac:dyDescent="0.2">
      <c r="A148" s="5" t="s">
        <v>870</v>
      </c>
      <c r="B148" s="2" t="s">
        <v>3015</v>
      </c>
      <c r="C148" s="2" t="s">
        <v>1847</v>
      </c>
      <c r="D148" s="3" t="s">
        <v>1839</v>
      </c>
      <c r="E148" s="3" t="s">
        <v>1840</v>
      </c>
      <c r="F148" s="3">
        <v>8.5692299999999992</v>
      </c>
      <c r="G148" s="3">
        <v>19.185400000000001</v>
      </c>
      <c r="H148" s="3">
        <v>1.1627700000000001</v>
      </c>
      <c r="J148" s="4"/>
      <c r="K148" s="3"/>
      <c r="L148" s="3"/>
    </row>
    <row r="149" spans="1:12" s="2" customFormat="1" ht="15" x14ac:dyDescent="0.2">
      <c r="A149" s="5" t="s">
        <v>1711</v>
      </c>
      <c r="B149" s="2" t="s">
        <v>3461</v>
      </c>
      <c r="C149" s="2" t="s">
        <v>3015</v>
      </c>
      <c r="D149" s="3" t="s">
        <v>1839</v>
      </c>
      <c r="E149" s="3" t="s">
        <v>1840</v>
      </c>
      <c r="F149" s="3">
        <v>0.53763899999999998</v>
      </c>
      <c r="G149" s="3">
        <v>1.2036100000000001</v>
      </c>
      <c r="H149" s="3">
        <v>1.16265</v>
      </c>
      <c r="J149" s="3"/>
      <c r="K149" s="3"/>
      <c r="L149" s="3"/>
    </row>
    <row r="150" spans="1:12" s="2" customFormat="1" ht="15" x14ac:dyDescent="0.2">
      <c r="A150" s="5" t="s">
        <v>1729</v>
      </c>
      <c r="B150" s="2" t="s">
        <v>3015</v>
      </c>
      <c r="C150" s="2" t="s">
        <v>2896</v>
      </c>
      <c r="D150" s="3" t="s">
        <v>1839</v>
      </c>
      <c r="E150" s="3" t="s">
        <v>1840</v>
      </c>
      <c r="F150" s="3">
        <v>2.5253899999999998</v>
      </c>
      <c r="G150" s="3">
        <v>5.6534700000000004</v>
      </c>
      <c r="H150" s="3">
        <v>1.1626300000000001</v>
      </c>
      <c r="J150" s="3"/>
      <c r="K150" s="3"/>
      <c r="L150" s="3"/>
    </row>
    <row r="151" spans="1:12" s="2" customFormat="1" ht="15" x14ac:dyDescent="0.2">
      <c r="A151" s="5" t="s">
        <v>1534</v>
      </c>
      <c r="B151" s="2" t="s">
        <v>3015</v>
      </c>
      <c r="C151" s="2" t="s">
        <v>2685</v>
      </c>
      <c r="D151" s="3" t="s">
        <v>1839</v>
      </c>
      <c r="E151" s="3" t="s">
        <v>1840</v>
      </c>
      <c r="F151" s="3">
        <v>1.5906100000000001</v>
      </c>
      <c r="G151" s="3">
        <v>3.5581800000000001</v>
      </c>
      <c r="H151" s="3">
        <v>1.1615599999999999</v>
      </c>
      <c r="J151" s="3"/>
      <c r="K151" s="3"/>
      <c r="L151" s="3"/>
    </row>
    <row r="152" spans="1:12" s="2" customFormat="1" ht="15" x14ac:dyDescent="0.2">
      <c r="A152" s="5" t="s">
        <v>1291</v>
      </c>
      <c r="B152" s="2" t="s">
        <v>3015</v>
      </c>
      <c r="C152" s="2" t="s">
        <v>2499</v>
      </c>
      <c r="D152" s="3" t="s">
        <v>1839</v>
      </c>
      <c r="E152" s="3" t="s">
        <v>1840</v>
      </c>
      <c r="F152" s="3">
        <v>6.3823800000000004</v>
      </c>
      <c r="G152" s="3">
        <v>14.2554</v>
      </c>
      <c r="H152" s="3">
        <v>1.15934</v>
      </c>
      <c r="J152" s="3"/>
      <c r="K152" s="3"/>
      <c r="L152" s="3"/>
    </row>
    <row r="153" spans="1:12" s="2" customFormat="1" ht="15" x14ac:dyDescent="0.2">
      <c r="A153" s="5" t="s">
        <v>1832</v>
      </c>
      <c r="B153" s="2" t="s">
        <v>3059</v>
      </c>
      <c r="C153" s="2" t="s">
        <v>3011</v>
      </c>
      <c r="D153" s="3" t="s">
        <v>1839</v>
      </c>
      <c r="E153" s="3" t="s">
        <v>1840</v>
      </c>
      <c r="F153" s="3">
        <v>0.85007200000000005</v>
      </c>
      <c r="G153" s="3">
        <v>1.8971100000000001</v>
      </c>
      <c r="H153" s="3">
        <v>1.15815</v>
      </c>
      <c r="J153" s="4"/>
      <c r="K153" s="3"/>
      <c r="L153" s="3"/>
    </row>
    <row r="154" spans="1:12" s="2" customFormat="1" ht="15" x14ac:dyDescent="0.2">
      <c r="A154" s="5" t="s">
        <v>259</v>
      </c>
      <c r="B154" s="2" t="s">
        <v>3197</v>
      </c>
      <c r="C154" s="2" t="s">
        <v>2179</v>
      </c>
      <c r="D154" s="3" t="s">
        <v>1839</v>
      </c>
      <c r="E154" s="3" t="s">
        <v>1840</v>
      </c>
      <c r="F154" s="3">
        <v>0.39105699999999999</v>
      </c>
      <c r="G154" s="3">
        <v>0.87256</v>
      </c>
      <c r="H154" s="3">
        <v>1.15787</v>
      </c>
      <c r="J154" s="3"/>
      <c r="K154" s="3"/>
      <c r="L154" s="3"/>
    </row>
    <row r="155" spans="1:12" s="2" customFormat="1" ht="15" x14ac:dyDescent="0.2">
      <c r="A155" s="5" t="s">
        <v>911</v>
      </c>
      <c r="B155" s="2" t="s">
        <v>3472</v>
      </c>
      <c r="C155" s="2" t="s">
        <v>2919</v>
      </c>
      <c r="D155" s="3" t="s">
        <v>1839</v>
      </c>
      <c r="E155" s="3" t="s">
        <v>1840</v>
      </c>
      <c r="F155" s="3">
        <v>2.5417000000000001</v>
      </c>
      <c r="G155" s="3">
        <v>5.6402799999999997</v>
      </c>
      <c r="H155" s="3">
        <v>1.1499699999999999</v>
      </c>
      <c r="J155" s="3"/>
      <c r="K155" s="3"/>
      <c r="L155" s="3"/>
    </row>
    <row r="156" spans="1:12" s="2" customFormat="1" ht="15" x14ac:dyDescent="0.2">
      <c r="A156" s="5" t="s">
        <v>1124</v>
      </c>
      <c r="B156" s="2" t="s">
        <v>3015</v>
      </c>
      <c r="C156" s="2" t="s">
        <v>3015</v>
      </c>
      <c r="D156" s="3" t="s">
        <v>1839</v>
      </c>
      <c r="E156" s="3" t="s">
        <v>1840</v>
      </c>
      <c r="F156" s="3">
        <v>2.9822000000000002</v>
      </c>
      <c r="G156" s="3">
        <v>6.6076600000000001</v>
      </c>
      <c r="H156" s="3">
        <v>1.1477599999999999</v>
      </c>
      <c r="J156" s="3"/>
      <c r="K156" s="3"/>
      <c r="L156" s="3"/>
    </row>
    <row r="157" spans="1:12" s="2" customFormat="1" ht="15" x14ac:dyDescent="0.2">
      <c r="A157" s="5" t="s">
        <v>487</v>
      </c>
      <c r="B157" s="2" t="s">
        <v>3015</v>
      </c>
      <c r="C157" s="2" t="s">
        <v>2071</v>
      </c>
      <c r="D157" s="3" t="s">
        <v>1839</v>
      </c>
      <c r="E157" s="3" t="s">
        <v>1840</v>
      </c>
      <c r="F157" s="3">
        <v>1.4330700000000001</v>
      </c>
      <c r="G157" s="3">
        <v>3.1677399999999998</v>
      </c>
      <c r="H157" s="3">
        <v>1.14435</v>
      </c>
      <c r="J157" s="4"/>
      <c r="K157" s="3"/>
      <c r="L157" s="3"/>
    </row>
    <row r="158" spans="1:12" s="2" customFormat="1" ht="15" x14ac:dyDescent="0.2">
      <c r="A158" s="5" t="s">
        <v>1830</v>
      </c>
      <c r="B158" s="2" t="s">
        <v>3135</v>
      </c>
      <c r="C158" s="2" t="s">
        <v>3010</v>
      </c>
      <c r="D158" s="3" t="s">
        <v>1839</v>
      </c>
      <c r="E158" s="3" t="s">
        <v>1840</v>
      </c>
      <c r="F158" s="3">
        <v>0.38103900000000002</v>
      </c>
      <c r="G158" s="3">
        <v>0.84094899999999995</v>
      </c>
      <c r="H158" s="3">
        <v>1.14208</v>
      </c>
      <c r="J158" s="4"/>
      <c r="K158" s="3"/>
      <c r="L158" s="3"/>
    </row>
    <row r="159" spans="1:12" s="2" customFormat="1" ht="15" x14ac:dyDescent="0.2">
      <c r="A159" s="5" t="s">
        <v>74</v>
      </c>
      <c r="B159" s="2" t="s">
        <v>3027</v>
      </c>
      <c r="C159" s="2" t="s">
        <v>2640</v>
      </c>
      <c r="D159" s="3" t="s">
        <v>1839</v>
      </c>
      <c r="E159" s="3" t="s">
        <v>1840</v>
      </c>
      <c r="F159" s="3">
        <v>1.57118</v>
      </c>
      <c r="G159" s="3">
        <v>3.4658199999999999</v>
      </c>
      <c r="H159" s="3">
        <v>1.1413500000000001</v>
      </c>
      <c r="J159" s="3"/>
      <c r="K159" s="3"/>
      <c r="L159" s="3"/>
    </row>
    <row r="160" spans="1:12" s="2" customFormat="1" ht="15" x14ac:dyDescent="0.2">
      <c r="A160" s="5" t="s">
        <v>1624</v>
      </c>
      <c r="B160" s="2" t="s">
        <v>3015</v>
      </c>
      <c r="C160" s="2" t="s">
        <v>2788</v>
      </c>
      <c r="D160" s="3" t="s">
        <v>1839</v>
      </c>
      <c r="E160" s="3" t="s">
        <v>1840</v>
      </c>
      <c r="F160" s="3">
        <v>1.4815799999999999</v>
      </c>
      <c r="G160" s="3">
        <v>3.26281</v>
      </c>
      <c r="H160" s="3">
        <v>1.1389800000000001</v>
      </c>
      <c r="J160" s="4"/>
      <c r="K160" s="3"/>
      <c r="L160" s="3"/>
    </row>
    <row r="161" spans="1:12" s="2" customFormat="1" ht="15" x14ac:dyDescent="0.2">
      <c r="A161" s="5" t="s">
        <v>449</v>
      </c>
      <c r="B161" s="2" t="s">
        <v>3024</v>
      </c>
      <c r="C161" s="2" t="s">
        <v>2053</v>
      </c>
      <c r="D161" s="3" t="s">
        <v>1839</v>
      </c>
      <c r="E161" s="3" t="s">
        <v>1840</v>
      </c>
      <c r="F161" s="3">
        <v>0.63944900000000005</v>
      </c>
      <c r="G161" s="3">
        <v>1.3946000000000001</v>
      </c>
      <c r="H161" s="3">
        <v>1.1249499999999999</v>
      </c>
      <c r="J161" s="3"/>
      <c r="K161" s="3"/>
      <c r="L161" s="3"/>
    </row>
    <row r="162" spans="1:12" s="2" customFormat="1" ht="15" x14ac:dyDescent="0.2">
      <c r="A162" s="5" t="s">
        <v>485</v>
      </c>
      <c r="B162" s="2" t="s">
        <v>3015</v>
      </c>
      <c r="C162" s="2" t="s">
        <v>2992</v>
      </c>
      <c r="D162" s="3" t="s">
        <v>1839</v>
      </c>
      <c r="E162" s="3" t="s">
        <v>1840</v>
      </c>
      <c r="F162" s="3">
        <v>5.15184</v>
      </c>
      <c r="G162" s="3">
        <v>11.2088</v>
      </c>
      <c r="H162" s="3">
        <v>1.12148</v>
      </c>
      <c r="J162" s="4"/>
      <c r="K162" s="3"/>
      <c r="L162" s="3"/>
    </row>
    <row r="163" spans="1:12" s="2" customFormat="1" ht="15" x14ac:dyDescent="0.2">
      <c r="A163" s="5" t="s">
        <v>1419</v>
      </c>
      <c r="B163" s="2" t="s">
        <v>3200</v>
      </c>
      <c r="C163" s="2" t="s">
        <v>2812</v>
      </c>
      <c r="D163" s="3" t="s">
        <v>1839</v>
      </c>
      <c r="E163" s="3" t="s">
        <v>1840</v>
      </c>
      <c r="F163" s="3">
        <v>0.420429</v>
      </c>
      <c r="G163" s="3">
        <v>0.91216900000000001</v>
      </c>
      <c r="H163" s="3">
        <v>1.11744</v>
      </c>
      <c r="J163" s="4"/>
      <c r="K163" s="3"/>
      <c r="L163" s="3"/>
    </row>
    <row r="164" spans="1:12" s="2" customFormat="1" ht="15" x14ac:dyDescent="0.2">
      <c r="A164" s="5" t="s">
        <v>80</v>
      </c>
      <c r="B164" s="2" t="s">
        <v>3287</v>
      </c>
      <c r="C164" s="2" t="s">
        <v>2045</v>
      </c>
      <c r="D164" s="3" t="s">
        <v>1839</v>
      </c>
      <c r="E164" s="3" t="s">
        <v>1840</v>
      </c>
      <c r="F164" s="3">
        <v>2.2064900000000001</v>
      </c>
      <c r="G164" s="3">
        <v>4.7786799999999996</v>
      </c>
      <c r="H164" s="3">
        <v>1.11486</v>
      </c>
      <c r="J164" s="3"/>
      <c r="K164" s="3"/>
      <c r="L164" s="3"/>
    </row>
    <row r="165" spans="1:12" s="2" customFormat="1" ht="15" x14ac:dyDescent="0.2">
      <c r="A165" s="5" t="s">
        <v>1749</v>
      </c>
      <c r="B165" s="2" t="s">
        <v>3313</v>
      </c>
      <c r="C165" s="2" t="s">
        <v>3003</v>
      </c>
      <c r="D165" s="3" t="s">
        <v>1839</v>
      </c>
      <c r="E165" s="3" t="s">
        <v>1840</v>
      </c>
      <c r="F165" s="3">
        <v>0.63456599999999996</v>
      </c>
      <c r="G165" s="3">
        <v>1.3706700000000001</v>
      </c>
      <c r="H165" s="3">
        <v>1.11104</v>
      </c>
      <c r="J165" s="4"/>
      <c r="K165" s="3"/>
      <c r="L165" s="3"/>
    </row>
    <row r="166" spans="1:12" s="2" customFormat="1" ht="15" x14ac:dyDescent="0.2">
      <c r="A166" s="5" t="s">
        <v>1818</v>
      </c>
      <c r="B166" s="2" t="s">
        <v>3081</v>
      </c>
      <c r="C166" s="2" t="s">
        <v>2994</v>
      </c>
      <c r="D166" s="3" t="s">
        <v>1839</v>
      </c>
      <c r="E166" s="3" t="s">
        <v>1840</v>
      </c>
      <c r="F166" s="3">
        <v>0.68444300000000002</v>
      </c>
      <c r="G166" s="3">
        <v>1.4762200000000001</v>
      </c>
      <c r="H166" s="3">
        <v>1.1089100000000001</v>
      </c>
      <c r="J166" s="4"/>
      <c r="K166" s="3"/>
      <c r="L166" s="3"/>
    </row>
    <row r="167" spans="1:12" s="2" customFormat="1" ht="15" x14ac:dyDescent="0.2">
      <c r="A167" s="5" t="s">
        <v>1732</v>
      </c>
      <c r="B167" s="2" t="s">
        <v>3073</v>
      </c>
      <c r="C167" s="2" t="s">
        <v>3002</v>
      </c>
      <c r="D167" s="3" t="s">
        <v>1839</v>
      </c>
      <c r="E167" s="3" t="s">
        <v>1840</v>
      </c>
      <c r="F167" s="3">
        <v>0.42467700000000003</v>
      </c>
      <c r="G167" s="3">
        <v>0.91515100000000005</v>
      </c>
      <c r="H167" s="3">
        <v>1.10764</v>
      </c>
      <c r="J167" s="3"/>
      <c r="K167" s="3"/>
      <c r="L167" s="3"/>
    </row>
    <row r="168" spans="1:12" s="2" customFormat="1" ht="15" x14ac:dyDescent="0.2">
      <c r="A168" s="5" t="s">
        <v>1821</v>
      </c>
      <c r="B168" s="2" t="s">
        <v>3015</v>
      </c>
      <c r="C168" s="2" t="s">
        <v>3000</v>
      </c>
      <c r="D168" s="3" t="s">
        <v>1839</v>
      </c>
      <c r="E168" s="3" t="s">
        <v>1840</v>
      </c>
      <c r="F168" s="3">
        <v>1.5299199999999999</v>
      </c>
      <c r="G168" s="3">
        <v>3.2897799999999999</v>
      </c>
      <c r="H168" s="3">
        <v>1.1045400000000001</v>
      </c>
      <c r="J168" s="4"/>
      <c r="K168" s="3"/>
      <c r="L168" s="3"/>
    </row>
    <row r="169" spans="1:12" s="2" customFormat="1" ht="15" x14ac:dyDescent="0.2">
      <c r="A169" s="5" t="s">
        <v>201</v>
      </c>
      <c r="B169" s="2" t="s">
        <v>3081</v>
      </c>
      <c r="C169" s="2" t="s">
        <v>1938</v>
      </c>
      <c r="D169" s="3" t="s">
        <v>1839</v>
      </c>
      <c r="E169" s="3" t="s">
        <v>1840</v>
      </c>
      <c r="F169" s="3">
        <v>0.63522900000000004</v>
      </c>
      <c r="G169" s="3">
        <v>1.36086</v>
      </c>
      <c r="H169" s="3">
        <v>1.09917</v>
      </c>
      <c r="J169" s="3"/>
      <c r="K169" s="3"/>
      <c r="L169" s="3"/>
    </row>
    <row r="170" spans="1:12" s="2" customFormat="1" ht="15" x14ac:dyDescent="0.2">
      <c r="A170" s="5" t="s">
        <v>1151</v>
      </c>
      <c r="B170" s="2" t="s">
        <v>3015</v>
      </c>
      <c r="C170" s="2" t="s">
        <v>2636</v>
      </c>
      <c r="D170" s="3" t="s">
        <v>1839</v>
      </c>
      <c r="E170" s="3" t="s">
        <v>1840</v>
      </c>
      <c r="F170" s="3">
        <v>0.53334999999999999</v>
      </c>
      <c r="G170" s="3">
        <v>1.1424799999999999</v>
      </c>
      <c r="H170" s="3">
        <v>1.0990200000000001</v>
      </c>
      <c r="J170" s="3"/>
      <c r="K170" s="3"/>
      <c r="L170" s="3"/>
    </row>
    <row r="171" spans="1:12" s="2" customFormat="1" ht="15" x14ac:dyDescent="0.2">
      <c r="A171" s="5" t="s">
        <v>10</v>
      </c>
      <c r="B171" s="2" t="s">
        <v>3278</v>
      </c>
      <c r="C171" s="2" t="s">
        <v>2361</v>
      </c>
      <c r="D171" s="3" t="s">
        <v>1839</v>
      </c>
      <c r="E171" s="3" t="s">
        <v>1840</v>
      </c>
      <c r="F171" s="3">
        <v>5.2357500000000003</v>
      </c>
      <c r="G171" s="3">
        <v>11.190200000000001</v>
      </c>
      <c r="H171" s="3">
        <v>1.0957699999999999</v>
      </c>
      <c r="J171" s="4"/>
      <c r="K171" s="3"/>
      <c r="L171" s="3"/>
    </row>
    <row r="172" spans="1:12" s="2" customFormat="1" ht="15" x14ac:dyDescent="0.2">
      <c r="A172" s="5" t="s">
        <v>311</v>
      </c>
      <c r="B172" s="2" t="s">
        <v>3111</v>
      </c>
      <c r="C172" s="2" t="s">
        <v>1988</v>
      </c>
      <c r="D172" s="3" t="s">
        <v>1839</v>
      </c>
      <c r="E172" s="3" t="s">
        <v>1840</v>
      </c>
      <c r="F172" s="3">
        <v>0.44609300000000002</v>
      </c>
      <c r="G172" s="3">
        <v>0.95333000000000001</v>
      </c>
      <c r="H172" s="3">
        <v>1.0956300000000001</v>
      </c>
      <c r="J172" s="3"/>
      <c r="K172" s="3"/>
      <c r="L172" s="3"/>
    </row>
    <row r="173" spans="1:12" s="2" customFormat="1" ht="15" x14ac:dyDescent="0.2">
      <c r="A173" s="5" t="s">
        <v>242</v>
      </c>
      <c r="B173" s="2" t="s">
        <v>3303</v>
      </c>
      <c r="C173" s="2" t="s">
        <v>2428</v>
      </c>
      <c r="D173" s="3" t="s">
        <v>1839</v>
      </c>
      <c r="E173" s="3" t="s">
        <v>1840</v>
      </c>
      <c r="F173" s="3">
        <v>0.72439699999999996</v>
      </c>
      <c r="G173" s="3">
        <v>1.5466200000000001</v>
      </c>
      <c r="H173" s="3">
        <v>1.0942700000000001</v>
      </c>
      <c r="J173" s="3"/>
      <c r="K173" s="3"/>
      <c r="L173" s="3"/>
    </row>
    <row r="174" spans="1:12" s="2" customFormat="1" ht="15" x14ac:dyDescent="0.2">
      <c r="A174" s="5" t="s">
        <v>744</v>
      </c>
      <c r="B174" s="2" t="s">
        <v>3202</v>
      </c>
      <c r="C174" s="2" t="s">
        <v>1937</v>
      </c>
      <c r="D174" s="3" t="s">
        <v>1839</v>
      </c>
      <c r="E174" s="3" t="s">
        <v>1840</v>
      </c>
      <c r="F174" s="3">
        <v>0.44860499999999998</v>
      </c>
      <c r="G174" s="3">
        <v>0.95454499999999998</v>
      </c>
      <c r="H174" s="3">
        <v>1.0893699999999999</v>
      </c>
      <c r="J174" s="4"/>
      <c r="K174" s="3"/>
      <c r="L174" s="3"/>
    </row>
    <row r="175" spans="1:12" s="2" customFormat="1" ht="15" x14ac:dyDescent="0.2">
      <c r="A175" s="5" t="s">
        <v>1209</v>
      </c>
      <c r="B175" s="2" t="s">
        <v>3364</v>
      </c>
      <c r="C175" s="2" t="s">
        <v>2004</v>
      </c>
      <c r="D175" s="3" t="s">
        <v>1839</v>
      </c>
      <c r="E175" s="3" t="s">
        <v>1840</v>
      </c>
      <c r="F175" s="3">
        <v>10.4535</v>
      </c>
      <c r="G175" s="3">
        <v>22.229900000000001</v>
      </c>
      <c r="H175" s="3">
        <v>1.0885199999999999</v>
      </c>
      <c r="J175" s="3"/>
      <c r="K175" s="3"/>
      <c r="L175" s="3"/>
    </row>
    <row r="176" spans="1:12" s="2" customFormat="1" ht="15" x14ac:dyDescent="0.2">
      <c r="A176" s="5" t="s">
        <v>1495</v>
      </c>
      <c r="B176" s="2" t="s">
        <v>3015</v>
      </c>
      <c r="C176" s="2" t="s">
        <v>2639</v>
      </c>
      <c r="D176" s="3" t="s">
        <v>1839</v>
      </c>
      <c r="E176" s="3" t="s">
        <v>1840</v>
      </c>
      <c r="F176" s="3">
        <v>4.1367599999999998</v>
      </c>
      <c r="G176" s="3">
        <v>8.7829899999999999</v>
      </c>
      <c r="H176" s="3">
        <v>1.0862099999999999</v>
      </c>
      <c r="J176" s="3"/>
      <c r="K176" s="3"/>
      <c r="L176" s="3"/>
    </row>
    <row r="177" spans="1:12" s="2" customFormat="1" ht="15" x14ac:dyDescent="0.2">
      <c r="A177" s="5" t="s">
        <v>1677</v>
      </c>
      <c r="B177" s="2" t="s">
        <v>3015</v>
      </c>
      <c r="C177" s="2" t="s">
        <v>2844</v>
      </c>
      <c r="D177" s="3" t="s">
        <v>1839</v>
      </c>
      <c r="E177" s="3" t="s">
        <v>1840</v>
      </c>
      <c r="F177" s="3">
        <v>0.435002</v>
      </c>
      <c r="G177" s="3">
        <v>0.92246399999999995</v>
      </c>
      <c r="H177" s="3">
        <v>1.08447</v>
      </c>
      <c r="J177" s="3"/>
      <c r="K177" s="3"/>
      <c r="L177" s="3"/>
    </row>
    <row r="178" spans="1:12" s="2" customFormat="1" ht="15" x14ac:dyDescent="0.2">
      <c r="A178" s="5" t="s">
        <v>1377</v>
      </c>
      <c r="B178" s="2" t="s">
        <v>3080</v>
      </c>
      <c r="C178" s="2" t="s">
        <v>2866</v>
      </c>
      <c r="D178" s="3" t="s">
        <v>1839</v>
      </c>
      <c r="E178" s="3" t="s">
        <v>1840</v>
      </c>
      <c r="F178" s="3">
        <v>0.60714400000000002</v>
      </c>
      <c r="G178" s="3">
        <v>1.28373</v>
      </c>
      <c r="H178" s="3">
        <v>1.08023</v>
      </c>
      <c r="J178" s="3"/>
      <c r="K178" s="3"/>
      <c r="L178" s="3"/>
    </row>
    <row r="179" spans="1:12" s="2" customFormat="1" ht="15" x14ac:dyDescent="0.2">
      <c r="A179" s="5" t="s">
        <v>716</v>
      </c>
      <c r="B179" s="2" t="s">
        <v>3083</v>
      </c>
      <c r="C179" s="2" t="s">
        <v>2546</v>
      </c>
      <c r="D179" s="3" t="s">
        <v>1839</v>
      </c>
      <c r="E179" s="3" t="s">
        <v>1840</v>
      </c>
      <c r="F179" s="3">
        <v>5.02677</v>
      </c>
      <c r="G179" s="3">
        <v>10.6076</v>
      </c>
      <c r="H179" s="3">
        <v>1.0773999999999999</v>
      </c>
      <c r="J179" s="4"/>
      <c r="K179" s="3"/>
      <c r="L179" s="3"/>
    </row>
    <row r="180" spans="1:12" s="2" customFormat="1" ht="15" x14ac:dyDescent="0.2">
      <c r="A180" s="5" t="s">
        <v>150</v>
      </c>
      <c r="B180" s="2" t="s">
        <v>3015</v>
      </c>
      <c r="C180" s="2" t="s">
        <v>2409</v>
      </c>
      <c r="D180" s="3" t="s">
        <v>1839</v>
      </c>
      <c r="E180" s="3" t="s">
        <v>1840</v>
      </c>
      <c r="F180" s="3">
        <v>0.62633300000000003</v>
      </c>
      <c r="G180" s="3">
        <v>1.3210900000000001</v>
      </c>
      <c r="H180" s="3">
        <v>1.07673</v>
      </c>
      <c r="J180" s="3"/>
      <c r="K180" s="3"/>
      <c r="L180" s="3"/>
    </row>
    <row r="181" spans="1:12" s="2" customFormat="1" ht="15" x14ac:dyDescent="0.2">
      <c r="A181" s="5" t="s">
        <v>272</v>
      </c>
      <c r="B181" s="2" t="s">
        <v>3307</v>
      </c>
      <c r="C181" s="2" t="s">
        <v>2433</v>
      </c>
      <c r="D181" s="3" t="s">
        <v>1839</v>
      </c>
      <c r="E181" s="3" t="s">
        <v>1840</v>
      </c>
      <c r="F181" s="3">
        <v>4.5541499999999999</v>
      </c>
      <c r="G181" s="3">
        <v>9.6052999999999997</v>
      </c>
      <c r="H181" s="3">
        <v>1.0766500000000001</v>
      </c>
      <c r="J181" s="3"/>
      <c r="K181" s="3"/>
      <c r="L181" s="3"/>
    </row>
    <row r="182" spans="1:12" s="2" customFormat="1" ht="15" x14ac:dyDescent="0.2">
      <c r="A182" s="5" t="s">
        <v>1807</v>
      </c>
      <c r="B182" s="2" t="s">
        <v>3027</v>
      </c>
      <c r="C182" s="2" t="s">
        <v>2983</v>
      </c>
      <c r="D182" s="3" t="s">
        <v>1839</v>
      </c>
      <c r="E182" s="3" t="s">
        <v>1840</v>
      </c>
      <c r="F182" s="3">
        <v>1.9926699999999999</v>
      </c>
      <c r="G182" s="3">
        <v>4.2008099999999997</v>
      </c>
      <c r="H182" s="3">
        <v>1.0759700000000001</v>
      </c>
      <c r="J182" s="3"/>
      <c r="K182" s="3"/>
      <c r="L182" s="3"/>
    </row>
    <row r="183" spans="1:12" s="2" customFormat="1" ht="15" x14ac:dyDescent="0.2">
      <c r="A183" s="5" t="s">
        <v>288</v>
      </c>
      <c r="B183" s="2" t="s">
        <v>3410</v>
      </c>
      <c r="C183" s="2" t="s">
        <v>2717</v>
      </c>
      <c r="D183" s="3" t="s">
        <v>1839</v>
      </c>
      <c r="E183" s="3" t="s">
        <v>1840</v>
      </c>
      <c r="F183" s="3">
        <v>2.1268799999999999</v>
      </c>
      <c r="G183" s="3">
        <v>4.47722</v>
      </c>
      <c r="H183" s="3">
        <v>1.07386</v>
      </c>
      <c r="J183" s="3"/>
      <c r="K183" s="3"/>
      <c r="L183" s="3"/>
    </row>
    <row r="184" spans="1:12" s="2" customFormat="1" ht="15" x14ac:dyDescent="0.2">
      <c r="A184" s="5" t="s">
        <v>999</v>
      </c>
      <c r="B184" s="2" t="s">
        <v>3478</v>
      </c>
      <c r="C184" s="2" t="s">
        <v>2943</v>
      </c>
      <c r="D184" s="3" t="s">
        <v>1839</v>
      </c>
      <c r="E184" s="3" t="s">
        <v>1840</v>
      </c>
      <c r="F184" s="3">
        <v>0.60204199999999997</v>
      </c>
      <c r="G184" s="3">
        <v>1.26708</v>
      </c>
      <c r="H184" s="3">
        <v>1.07358</v>
      </c>
      <c r="J184" s="4"/>
      <c r="K184" s="3"/>
      <c r="L184" s="3"/>
    </row>
    <row r="185" spans="1:12" s="2" customFormat="1" ht="15" x14ac:dyDescent="0.2">
      <c r="A185" s="5" t="s">
        <v>433</v>
      </c>
      <c r="B185" s="2" t="s">
        <v>3015</v>
      </c>
      <c r="C185" s="2" t="s">
        <v>2045</v>
      </c>
      <c r="D185" s="3" t="s">
        <v>1839</v>
      </c>
      <c r="E185" s="3" t="s">
        <v>1840</v>
      </c>
      <c r="F185" s="3">
        <v>2.0567600000000001</v>
      </c>
      <c r="G185" s="3">
        <v>4.3145899999999999</v>
      </c>
      <c r="H185" s="3">
        <v>1.0688500000000001</v>
      </c>
      <c r="J185" s="4"/>
      <c r="K185" s="3"/>
      <c r="L185" s="3"/>
    </row>
    <row r="186" spans="1:12" s="2" customFormat="1" ht="15" x14ac:dyDescent="0.2">
      <c r="A186" s="5" t="s">
        <v>908</v>
      </c>
      <c r="B186" s="2" t="s">
        <v>3015</v>
      </c>
      <c r="C186" s="2" t="s">
        <v>2916</v>
      </c>
      <c r="D186" s="3" t="s">
        <v>1839</v>
      </c>
      <c r="E186" s="3" t="s">
        <v>1840</v>
      </c>
      <c r="F186" s="3">
        <v>2.0800700000000001</v>
      </c>
      <c r="G186" s="3">
        <v>4.36233</v>
      </c>
      <c r="H186" s="3">
        <v>1.06846</v>
      </c>
      <c r="J186" s="3"/>
      <c r="K186" s="3"/>
      <c r="L186" s="3"/>
    </row>
    <row r="187" spans="1:12" s="2" customFormat="1" ht="15" x14ac:dyDescent="0.2">
      <c r="A187" s="5" t="s">
        <v>681</v>
      </c>
      <c r="B187" s="2" t="s">
        <v>3015</v>
      </c>
      <c r="C187" s="2" t="s">
        <v>3015</v>
      </c>
      <c r="D187" s="3" t="s">
        <v>1839</v>
      </c>
      <c r="E187" s="3" t="s">
        <v>1840</v>
      </c>
      <c r="F187" s="3">
        <v>0.92162699999999997</v>
      </c>
      <c r="G187" s="3">
        <v>1.93092</v>
      </c>
      <c r="H187" s="3">
        <v>1.0670299999999999</v>
      </c>
      <c r="J187" s="4"/>
      <c r="K187" s="3"/>
      <c r="L187" s="3"/>
    </row>
    <row r="188" spans="1:12" s="2" customFormat="1" ht="15" x14ac:dyDescent="0.2">
      <c r="A188" s="5" t="s">
        <v>1639</v>
      </c>
      <c r="B188" s="2" t="s">
        <v>3025</v>
      </c>
      <c r="C188" s="2" t="s">
        <v>2805</v>
      </c>
      <c r="D188" s="3" t="s">
        <v>1839</v>
      </c>
      <c r="E188" s="3" t="s">
        <v>1840</v>
      </c>
      <c r="F188" s="3">
        <v>0.66335900000000003</v>
      </c>
      <c r="G188" s="3">
        <v>1.38724</v>
      </c>
      <c r="H188" s="3">
        <v>1.0643499999999999</v>
      </c>
      <c r="J188" s="3"/>
      <c r="K188" s="3"/>
      <c r="L188" s="3"/>
    </row>
    <row r="189" spans="1:12" s="2" customFormat="1" ht="15" x14ac:dyDescent="0.2">
      <c r="A189" s="5" t="s">
        <v>1425</v>
      </c>
      <c r="B189" s="2" t="s">
        <v>3081</v>
      </c>
      <c r="C189" s="2" t="s">
        <v>1965</v>
      </c>
      <c r="D189" s="3" t="s">
        <v>1839</v>
      </c>
      <c r="E189" s="3" t="s">
        <v>1840</v>
      </c>
      <c r="F189" s="3">
        <v>0.75607899999999995</v>
      </c>
      <c r="G189" s="3">
        <v>1.5794900000000001</v>
      </c>
      <c r="H189" s="3">
        <v>1.0628500000000001</v>
      </c>
      <c r="J189" s="4"/>
      <c r="K189" s="3"/>
      <c r="L189" s="3"/>
    </row>
    <row r="190" spans="1:12" s="2" customFormat="1" ht="15" x14ac:dyDescent="0.2">
      <c r="A190" s="5" t="s">
        <v>239</v>
      </c>
      <c r="B190" s="2" t="s">
        <v>3489</v>
      </c>
      <c r="C190" s="2" t="s">
        <v>2984</v>
      </c>
      <c r="D190" s="3" t="s">
        <v>1839</v>
      </c>
      <c r="E190" s="3" t="s">
        <v>1840</v>
      </c>
      <c r="F190" s="3">
        <v>0.42350199999999999</v>
      </c>
      <c r="G190" s="3">
        <v>0.88427800000000001</v>
      </c>
      <c r="H190" s="3">
        <v>1.06213</v>
      </c>
      <c r="J190" s="3"/>
      <c r="K190" s="3"/>
      <c r="L190" s="3"/>
    </row>
    <row r="191" spans="1:12" s="2" customFormat="1" ht="15" x14ac:dyDescent="0.2">
      <c r="A191" s="5" t="s">
        <v>1640</v>
      </c>
      <c r="B191" s="2" t="s">
        <v>3015</v>
      </c>
      <c r="C191" s="2" t="s">
        <v>3015</v>
      </c>
      <c r="D191" s="3" t="s">
        <v>1839</v>
      </c>
      <c r="E191" s="3" t="s">
        <v>1840</v>
      </c>
      <c r="F191" s="3">
        <v>0.47049099999999999</v>
      </c>
      <c r="G191" s="3">
        <v>0.98170299999999999</v>
      </c>
      <c r="H191" s="3">
        <v>1.0611200000000001</v>
      </c>
      <c r="J191" s="4"/>
      <c r="K191" s="3"/>
      <c r="L191" s="3"/>
    </row>
    <row r="192" spans="1:12" s="2" customFormat="1" ht="15" x14ac:dyDescent="0.2">
      <c r="A192" s="5" t="s">
        <v>206</v>
      </c>
      <c r="B192" s="2" t="s">
        <v>3084</v>
      </c>
      <c r="C192" s="2" t="s">
        <v>1941</v>
      </c>
      <c r="D192" s="3" t="s">
        <v>1839</v>
      </c>
      <c r="E192" s="3" t="s">
        <v>1840</v>
      </c>
      <c r="F192" s="3">
        <v>2.09002</v>
      </c>
      <c r="G192" s="3">
        <v>4.3453999999999997</v>
      </c>
      <c r="H192" s="3">
        <v>1.0559799999999999</v>
      </c>
      <c r="J192" s="4"/>
      <c r="K192" s="3"/>
      <c r="L192" s="3"/>
    </row>
    <row r="193" spans="1:12" s="2" customFormat="1" ht="15" x14ac:dyDescent="0.2">
      <c r="A193" s="5" t="s">
        <v>1536</v>
      </c>
      <c r="B193" s="2" t="s">
        <v>3015</v>
      </c>
      <c r="C193" s="2" t="s">
        <v>2697</v>
      </c>
      <c r="D193" s="3" t="s">
        <v>1839</v>
      </c>
      <c r="E193" s="3" t="s">
        <v>1840</v>
      </c>
      <c r="F193" s="3">
        <v>0.65427900000000005</v>
      </c>
      <c r="G193" s="3">
        <v>1.3574299999999999</v>
      </c>
      <c r="H193" s="3">
        <v>1.0528999999999999</v>
      </c>
      <c r="J193" s="3"/>
      <c r="K193" s="3"/>
      <c r="L193" s="3"/>
    </row>
    <row r="194" spans="1:12" s="2" customFormat="1" ht="15" x14ac:dyDescent="0.2">
      <c r="A194" s="5" t="s">
        <v>622</v>
      </c>
      <c r="B194" s="2" t="s">
        <v>3015</v>
      </c>
      <c r="C194" s="2" t="s">
        <v>2818</v>
      </c>
      <c r="D194" s="3" t="s">
        <v>1839</v>
      </c>
      <c r="E194" s="3" t="s">
        <v>1840</v>
      </c>
      <c r="F194" s="3">
        <v>0.59664300000000003</v>
      </c>
      <c r="G194" s="3">
        <v>1.23228</v>
      </c>
      <c r="H194" s="3">
        <v>1.0463899999999999</v>
      </c>
      <c r="J194" s="3"/>
      <c r="K194" s="3"/>
      <c r="L194" s="3"/>
    </row>
    <row r="195" spans="1:12" s="2" customFormat="1" ht="15" x14ac:dyDescent="0.2">
      <c r="A195" s="5" t="s">
        <v>742</v>
      </c>
      <c r="B195" s="2" t="s">
        <v>3058</v>
      </c>
      <c r="C195" s="2" t="s">
        <v>2185</v>
      </c>
      <c r="D195" s="3" t="s">
        <v>1839</v>
      </c>
      <c r="E195" s="3" t="s">
        <v>1840</v>
      </c>
      <c r="F195" s="3">
        <v>0.49836200000000003</v>
      </c>
      <c r="G195" s="3">
        <v>1.02715</v>
      </c>
      <c r="H195" s="3">
        <v>1.04338</v>
      </c>
      <c r="J195" s="4"/>
      <c r="K195" s="3"/>
      <c r="L195" s="3"/>
    </row>
    <row r="196" spans="1:12" s="2" customFormat="1" ht="15" x14ac:dyDescent="0.2">
      <c r="A196" s="5" t="s">
        <v>1662</v>
      </c>
      <c r="B196" s="2" t="s">
        <v>3038</v>
      </c>
      <c r="C196" s="2" t="s">
        <v>2828</v>
      </c>
      <c r="D196" s="3" t="s">
        <v>1839</v>
      </c>
      <c r="E196" s="3" t="s">
        <v>1840</v>
      </c>
      <c r="F196" s="3">
        <v>1.68712</v>
      </c>
      <c r="G196" s="3">
        <v>3.46469</v>
      </c>
      <c r="H196" s="3">
        <v>1.03816</v>
      </c>
      <c r="J196" s="3"/>
      <c r="K196" s="3"/>
      <c r="L196" s="3"/>
    </row>
    <row r="197" spans="1:12" s="2" customFormat="1" ht="15" x14ac:dyDescent="0.2">
      <c r="A197" s="5" t="s">
        <v>605</v>
      </c>
      <c r="B197" s="2" t="s">
        <v>3094</v>
      </c>
      <c r="C197" s="2" t="s">
        <v>2126</v>
      </c>
      <c r="D197" s="3" t="s">
        <v>1839</v>
      </c>
      <c r="E197" s="3" t="s">
        <v>1840</v>
      </c>
      <c r="F197" s="3">
        <v>0.48077900000000001</v>
      </c>
      <c r="G197" s="3">
        <v>0.98192199999999996</v>
      </c>
      <c r="H197" s="3">
        <v>1.03024</v>
      </c>
      <c r="J197" s="3"/>
      <c r="K197" s="3"/>
      <c r="L197" s="3"/>
    </row>
    <row r="198" spans="1:12" s="2" customFormat="1" ht="15" x14ac:dyDescent="0.2">
      <c r="A198" s="5" t="s">
        <v>1826</v>
      </c>
      <c r="B198" s="2" t="s">
        <v>3015</v>
      </c>
      <c r="C198" s="2" t="s">
        <v>3004</v>
      </c>
      <c r="D198" s="3" t="s">
        <v>1839</v>
      </c>
      <c r="E198" s="3" t="s">
        <v>1840</v>
      </c>
      <c r="F198" s="3">
        <v>3.98814</v>
      </c>
      <c r="G198" s="3">
        <v>8.1445699999999999</v>
      </c>
      <c r="H198" s="3">
        <v>1.0301199999999999</v>
      </c>
      <c r="J198" s="4"/>
      <c r="K198" s="3"/>
      <c r="L198" s="3"/>
    </row>
    <row r="199" spans="1:12" s="2" customFormat="1" ht="15" x14ac:dyDescent="0.2">
      <c r="A199" s="5" t="s">
        <v>785</v>
      </c>
      <c r="B199" s="2" t="s">
        <v>3049</v>
      </c>
      <c r="C199" s="2" t="s">
        <v>2201</v>
      </c>
      <c r="D199" s="3" t="s">
        <v>1839</v>
      </c>
      <c r="E199" s="3" t="s">
        <v>1840</v>
      </c>
      <c r="F199" s="3">
        <v>1.5629</v>
      </c>
      <c r="G199" s="3">
        <v>3.18485</v>
      </c>
      <c r="H199" s="3">
        <v>1.0269999999999999</v>
      </c>
      <c r="J199" s="4"/>
      <c r="K199" s="3"/>
      <c r="L199" s="3"/>
    </row>
    <row r="200" spans="1:12" s="2" customFormat="1" ht="15" x14ac:dyDescent="0.2">
      <c r="A200" s="5" t="s">
        <v>884</v>
      </c>
      <c r="B200" s="2" t="s">
        <v>3067</v>
      </c>
      <c r="C200" s="2" t="s">
        <v>2254</v>
      </c>
      <c r="D200" s="3" t="s">
        <v>1839</v>
      </c>
      <c r="E200" s="3" t="s">
        <v>1840</v>
      </c>
      <c r="F200" s="3">
        <v>1.6393899999999999</v>
      </c>
      <c r="G200" s="3">
        <v>3.3403999999999998</v>
      </c>
      <c r="H200" s="3">
        <v>1.0268600000000001</v>
      </c>
      <c r="J200" s="4"/>
      <c r="K200" s="3"/>
      <c r="L200" s="3"/>
    </row>
    <row r="201" spans="1:12" s="2" customFormat="1" ht="15" x14ac:dyDescent="0.2">
      <c r="A201" s="5" t="s">
        <v>12</v>
      </c>
      <c r="B201" s="2" t="s">
        <v>3015</v>
      </c>
      <c r="C201" s="2" t="s">
        <v>1847</v>
      </c>
      <c r="D201" s="3" t="s">
        <v>1839</v>
      </c>
      <c r="E201" s="3" t="s">
        <v>1840</v>
      </c>
      <c r="F201" s="3">
        <v>15.9681</v>
      </c>
      <c r="G201" s="3">
        <v>32.473799999999997</v>
      </c>
      <c r="H201" s="3">
        <v>1.0240800000000001</v>
      </c>
      <c r="J201" s="3"/>
      <c r="K201" s="3"/>
      <c r="L201" s="3"/>
    </row>
    <row r="202" spans="1:12" s="2" customFormat="1" ht="15" x14ac:dyDescent="0.2">
      <c r="A202" s="5" t="s">
        <v>1468</v>
      </c>
      <c r="B202" s="2" t="s">
        <v>3015</v>
      </c>
      <c r="C202" s="2" t="s">
        <v>3015</v>
      </c>
      <c r="D202" s="3" t="s">
        <v>1839</v>
      </c>
      <c r="E202" s="3" t="s">
        <v>1840</v>
      </c>
      <c r="F202" s="3">
        <v>0.67998400000000003</v>
      </c>
      <c r="G202" s="3">
        <v>1.3794200000000001</v>
      </c>
      <c r="H202" s="3">
        <v>1.0204899999999999</v>
      </c>
      <c r="J202" s="3"/>
      <c r="K202" s="3"/>
      <c r="L202" s="3"/>
    </row>
    <row r="203" spans="1:12" s="2" customFormat="1" ht="15" x14ac:dyDescent="0.2">
      <c r="A203" s="5" t="s">
        <v>1521</v>
      </c>
      <c r="B203" s="2" t="s">
        <v>3015</v>
      </c>
      <c r="C203" s="2" t="s">
        <v>2674</v>
      </c>
      <c r="D203" s="3" t="s">
        <v>1839</v>
      </c>
      <c r="E203" s="3" t="s">
        <v>1840</v>
      </c>
      <c r="F203" s="3">
        <v>0.435699</v>
      </c>
      <c r="G203" s="3">
        <v>0.88316700000000004</v>
      </c>
      <c r="H203" s="3">
        <v>1.01935</v>
      </c>
      <c r="J203" s="3"/>
      <c r="K203" s="3"/>
      <c r="L203" s="3"/>
    </row>
    <row r="204" spans="1:12" s="2" customFormat="1" ht="15" x14ac:dyDescent="0.2">
      <c r="A204" s="5" t="s">
        <v>1815</v>
      </c>
      <c r="B204" s="2" t="s">
        <v>3015</v>
      </c>
      <c r="C204" s="2" t="s">
        <v>2991</v>
      </c>
      <c r="D204" s="3" t="s">
        <v>1839</v>
      </c>
      <c r="E204" s="3" t="s">
        <v>1840</v>
      </c>
      <c r="F204" s="3">
        <v>3.9996200000000002</v>
      </c>
      <c r="G204" s="3">
        <v>8.1065900000000006</v>
      </c>
      <c r="H204" s="3">
        <v>1.0192300000000001</v>
      </c>
      <c r="J204" s="3"/>
      <c r="K204" s="3"/>
      <c r="L204" s="3"/>
    </row>
    <row r="205" spans="1:12" s="2" customFormat="1" ht="15" x14ac:dyDescent="0.2">
      <c r="A205" s="5" t="s">
        <v>1802</v>
      </c>
      <c r="B205" s="2" t="s">
        <v>3024</v>
      </c>
      <c r="C205" s="2" t="s">
        <v>2980</v>
      </c>
      <c r="D205" s="3" t="s">
        <v>1839</v>
      </c>
      <c r="E205" s="3" t="s">
        <v>1840</v>
      </c>
      <c r="F205" s="3">
        <v>1.58091</v>
      </c>
      <c r="G205" s="3">
        <v>3.2036600000000002</v>
      </c>
      <c r="H205" s="3">
        <v>1.0189699999999999</v>
      </c>
      <c r="J205" s="3"/>
      <c r="K205" s="3"/>
      <c r="L205" s="3"/>
    </row>
    <row r="206" spans="1:12" s="2" customFormat="1" ht="15" x14ac:dyDescent="0.2">
      <c r="A206" s="5" t="s">
        <v>1754</v>
      </c>
      <c r="B206" s="2" t="s">
        <v>3015</v>
      </c>
      <c r="C206" s="2" t="s">
        <v>3006</v>
      </c>
      <c r="D206" s="3" t="s">
        <v>1839</v>
      </c>
      <c r="E206" s="3" t="s">
        <v>1840</v>
      </c>
      <c r="F206" s="3">
        <v>1.2860799999999999</v>
      </c>
      <c r="G206" s="3">
        <v>2.6039099999999999</v>
      </c>
      <c r="H206" s="3">
        <v>1.0177</v>
      </c>
      <c r="J206" s="3"/>
      <c r="K206" s="3"/>
      <c r="L206" s="3"/>
    </row>
    <row r="207" spans="1:12" s="2" customFormat="1" ht="15" x14ac:dyDescent="0.2">
      <c r="A207" s="5" t="s">
        <v>1298</v>
      </c>
      <c r="B207" s="2" t="s">
        <v>3068</v>
      </c>
      <c r="C207" s="2" t="s">
        <v>2799</v>
      </c>
      <c r="D207" s="3" t="s">
        <v>1839</v>
      </c>
      <c r="E207" s="3" t="s">
        <v>1840</v>
      </c>
      <c r="F207" s="3">
        <v>0.70306900000000006</v>
      </c>
      <c r="G207" s="3">
        <v>1.42258</v>
      </c>
      <c r="H207" s="3">
        <v>1.01677</v>
      </c>
      <c r="J207" s="3"/>
      <c r="K207" s="3"/>
      <c r="L207" s="3"/>
    </row>
    <row r="208" spans="1:12" s="2" customFormat="1" ht="15" x14ac:dyDescent="0.2">
      <c r="A208" s="5" t="s">
        <v>312</v>
      </c>
      <c r="B208" s="2" t="s">
        <v>3135</v>
      </c>
      <c r="C208" s="2" t="s">
        <v>2447</v>
      </c>
      <c r="D208" s="3" t="s">
        <v>1839</v>
      </c>
      <c r="E208" s="3" t="s">
        <v>1840</v>
      </c>
      <c r="F208" s="3">
        <v>1.1326400000000001</v>
      </c>
      <c r="G208" s="3">
        <v>2.2907000000000002</v>
      </c>
      <c r="H208" s="3">
        <v>1.0160899999999999</v>
      </c>
      <c r="J208" s="4"/>
      <c r="K208" s="3"/>
      <c r="L208" s="3"/>
    </row>
    <row r="209" spans="1:12" s="2" customFormat="1" ht="15" x14ac:dyDescent="0.2">
      <c r="A209" s="5" t="s">
        <v>724</v>
      </c>
      <c r="B209" s="2" t="s">
        <v>3037</v>
      </c>
      <c r="C209" s="2" t="s">
        <v>2180</v>
      </c>
      <c r="D209" s="3" t="s">
        <v>1839</v>
      </c>
      <c r="E209" s="3" t="s">
        <v>1840</v>
      </c>
      <c r="F209" s="3">
        <v>0.78131499999999998</v>
      </c>
      <c r="G209" s="3">
        <v>1.5768</v>
      </c>
      <c r="H209" s="3">
        <v>1.01302</v>
      </c>
      <c r="J209" s="4"/>
      <c r="K209" s="3"/>
      <c r="L209" s="3"/>
    </row>
    <row r="210" spans="1:12" s="2" customFormat="1" ht="15" x14ac:dyDescent="0.2">
      <c r="A210" s="5" t="s">
        <v>668</v>
      </c>
      <c r="B210" s="2" t="s">
        <v>3015</v>
      </c>
      <c r="C210" s="2" t="s">
        <v>3015</v>
      </c>
      <c r="D210" s="3" t="s">
        <v>1839</v>
      </c>
      <c r="E210" s="3" t="s">
        <v>1840</v>
      </c>
      <c r="F210" s="3">
        <v>1.1084499999999999</v>
      </c>
      <c r="G210" s="3">
        <v>2.2296900000000002</v>
      </c>
      <c r="H210" s="3">
        <v>1.0083</v>
      </c>
      <c r="J210" s="3"/>
      <c r="K210" s="3"/>
      <c r="L210" s="3"/>
    </row>
    <row r="211" spans="1:12" s="2" customFormat="1" ht="15" x14ac:dyDescent="0.2">
      <c r="A211" s="5" t="s">
        <v>1824</v>
      </c>
      <c r="B211" s="2" t="s">
        <v>3046</v>
      </c>
      <c r="C211" s="2" t="s">
        <v>2693</v>
      </c>
      <c r="D211" s="3" t="s">
        <v>1839</v>
      </c>
      <c r="E211" s="3" t="s">
        <v>1840</v>
      </c>
      <c r="F211" s="3">
        <v>0.50730200000000003</v>
      </c>
      <c r="G211" s="3">
        <v>1.0197700000000001</v>
      </c>
      <c r="H211" s="3">
        <v>1.0073300000000001</v>
      </c>
      <c r="J211" s="3"/>
      <c r="K211" s="3"/>
      <c r="L211" s="3"/>
    </row>
    <row r="212" spans="1:12" s="2" customFormat="1" ht="15" x14ac:dyDescent="0.2">
      <c r="A212" s="5" t="s">
        <v>1157</v>
      </c>
      <c r="B212" s="2" t="s">
        <v>3286</v>
      </c>
      <c r="C212" s="2" t="s">
        <v>2391</v>
      </c>
      <c r="D212" s="3" t="s">
        <v>1839</v>
      </c>
      <c r="E212" s="3" t="s">
        <v>1840</v>
      </c>
      <c r="F212" s="3">
        <v>1.6700600000000001</v>
      </c>
      <c r="G212" s="3">
        <v>3.35006</v>
      </c>
      <c r="H212" s="3">
        <v>1.0042899999999999</v>
      </c>
      <c r="J212" s="3"/>
      <c r="K212" s="3"/>
      <c r="L212" s="3"/>
    </row>
    <row r="213" spans="1:12" s="2" customFormat="1" ht="15" x14ac:dyDescent="0.2">
      <c r="A213" s="5" t="s">
        <v>632</v>
      </c>
      <c r="B213" s="2" t="s">
        <v>3015</v>
      </c>
      <c r="C213" s="2" t="s">
        <v>3015</v>
      </c>
      <c r="D213" s="3" t="s">
        <v>1839</v>
      </c>
      <c r="E213" s="3" t="s">
        <v>1840</v>
      </c>
      <c r="F213" s="3">
        <v>14.6378</v>
      </c>
      <c r="G213" s="3">
        <v>29.3476</v>
      </c>
      <c r="H213" s="3">
        <v>1.0035400000000001</v>
      </c>
      <c r="J213" s="4"/>
      <c r="K213" s="3"/>
      <c r="L213" s="3"/>
    </row>
    <row r="214" spans="1:12" s="2" customFormat="1" ht="15" x14ac:dyDescent="0.2">
      <c r="A214" s="5" t="s">
        <v>1813</v>
      </c>
      <c r="B214" s="2" t="s">
        <v>3081</v>
      </c>
      <c r="C214" s="2" t="s">
        <v>2489</v>
      </c>
      <c r="D214" s="3" t="s">
        <v>1839</v>
      </c>
      <c r="E214" s="3" t="s">
        <v>1840</v>
      </c>
      <c r="F214" s="3">
        <v>0.52661899999999995</v>
      </c>
      <c r="G214" s="3">
        <v>1.05491</v>
      </c>
      <c r="H214" s="3">
        <v>1.0022800000000001</v>
      </c>
      <c r="J214" s="4"/>
      <c r="K214" s="3"/>
      <c r="L214" s="3"/>
    </row>
    <row r="215" spans="1:12" s="2" customFormat="1" ht="15" x14ac:dyDescent="0.2">
      <c r="A215" s="5" t="s">
        <v>386</v>
      </c>
      <c r="B215" s="2" t="s">
        <v>3130</v>
      </c>
      <c r="C215" s="2" t="s">
        <v>2021</v>
      </c>
      <c r="D215" s="3" t="s">
        <v>1839</v>
      </c>
      <c r="E215" s="3" t="s">
        <v>1840</v>
      </c>
      <c r="F215" s="3">
        <v>0</v>
      </c>
      <c r="G215" s="3">
        <v>2.09213</v>
      </c>
      <c r="H215" s="2" t="s">
        <v>3503</v>
      </c>
      <c r="J215" s="4"/>
      <c r="K215" s="3"/>
      <c r="L215" s="3"/>
    </row>
    <row r="216" spans="1:12" s="2" customFormat="1" ht="15" x14ac:dyDescent="0.2">
      <c r="A216" s="5" t="s">
        <v>1647</v>
      </c>
      <c r="B216" s="2" t="s">
        <v>3015</v>
      </c>
      <c r="C216" s="2" t="s">
        <v>3015</v>
      </c>
      <c r="D216" s="3" t="s">
        <v>1839</v>
      </c>
      <c r="E216" s="3" t="s">
        <v>1840</v>
      </c>
      <c r="F216" s="3">
        <v>0</v>
      </c>
      <c r="G216" s="3">
        <v>3.45485</v>
      </c>
      <c r="H216" s="2" t="s">
        <v>3503</v>
      </c>
      <c r="J216" s="4"/>
      <c r="K216" s="3"/>
      <c r="L216" s="3"/>
    </row>
    <row r="217" spans="1:12" s="2" customFormat="1" ht="15" x14ac:dyDescent="0.2">
      <c r="A217" s="5" t="s">
        <v>1823</v>
      </c>
      <c r="B217" s="2" t="s">
        <v>3015</v>
      </c>
      <c r="C217" s="2" t="s">
        <v>3015</v>
      </c>
      <c r="D217" s="3" t="s">
        <v>1839</v>
      </c>
      <c r="E217" s="3" t="s">
        <v>1840</v>
      </c>
      <c r="F217" s="3">
        <v>0</v>
      </c>
      <c r="G217" s="3">
        <v>1.5044999999999999</v>
      </c>
      <c r="H217" s="2" t="s">
        <v>3503</v>
      </c>
      <c r="J217" s="3"/>
      <c r="K217" s="3"/>
      <c r="L217" s="3"/>
    </row>
    <row r="218" spans="1:12" s="2" customFormat="1" ht="15" x14ac:dyDescent="0.2">
      <c r="A218" s="5" t="s">
        <v>1735</v>
      </c>
      <c r="B218" s="2" t="s">
        <v>3015</v>
      </c>
      <c r="C218" s="2" t="s">
        <v>3015</v>
      </c>
      <c r="D218" s="3" t="s">
        <v>1839</v>
      </c>
      <c r="E218" s="3" t="s">
        <v>1840</v>
      </c>
      <c r="F218" s="3">
        <v>0</v>
      </c>
      <c r="G218" s="3">
        <v>1.3039799999999999</v>
      </c>
      <c r="H218" s="2" t="s">
        <v>3503</v>
      </c>
      <c r="J218" s="3"/>
      <c r="K218" s="3"/>
      <c r="L218" s="3"/>
    </row>
    <row r="219" spans="1:12" s="2" customFormat="1" ht="15" x14ac:dyDescent="0.2">
      <c r="A219" s="5" t="s">
        <v>1828</v>
      </c>
      <c r="B219" s="2" t="s">
        <v>3015</v>
      </c>
      <c r="C219" s="2" t="s">
        <v>3015</v>
      </c>
      <c r="D219" s="3" t="s">
        <v>1839</v>
      </c>
      <c r="E219" s="3" t="s">
        <v>1840</v>
      </c>
      <c r="F219" s="3">
        <v>0</v>
      </c>
      <c r="G219" s="3">
        <v>1.93781</v>
      </c>
      <c r="H219" s="2" t="s">
        <v>3503</v>
      </c>
      <c r="J219" s="4"/>
      <c r="K219" s="3"/>
      <c r="L219" s="3"/>
    </row>
    <row r="220" spans="1:12" x14ac:dyDescent="0.2">
      <c r="J220" s="17"/>
      <c r="K220" s="16"/>
      <c r="L220" s="16"/>
    </row>
    <row r="221" spans="1:12" x14ac:dyDescent="0.2">
      <c r="J221" s="16"/>
      <c r="K221" s="16"/>
      <c r="L221" s="16"/>
    </row>
    <row r="222" spans="1:12" x14ac:dyDescent="0.2">
      <c r="J222" s="17"/>
      <c r="K222" s="16"/>
      <c r="L222" s="16"/>
    </row>
    <row r="223" spans="1:12" x14ac:dyDescent="0.2">
      <c r="J223" s="17"/>
      <c r="K223" s="16"/>
      <c r="L223" s="16"/>
    </row>
    <row r="224" spans="1:12" x14ac:dyDescent="0.2">
      <c r="J224" s="17"/>
      <c r="K224" s="16"/>
      <c r="L224" s="16"/>
    </row>
    <row r="225" spans="10:12" x14ac:dyDescent="0.2">
      <c r="J225" s="17"/>
      <c r="K225" s="16"/>
      <c r="L225" s="16"/>
    </row>
    <row r="226" spans="10:12" x14ac:dyDescent="0.2">
      <c r="J226" s="17"/>
      <c r="K226" s="16"/>
      <c r="L226" s="16"/>
    </row>
    <row r="227" spans="10:12" x14ac:dyDescent="0.2">
      <c r="J227" s="16"/>
      <c r="K227" s="16"/>
      <c r="L227" s="16"/>
    </row>
    <row r="228" spans="10:12" x14ac:dyDescent="0.2">
      <c r="J228" s="17"/>
      <c r="K228" s="16"/>
      <c r="L228" s="16"/>
    </row>
    <row r="229" spans="10:12" x14ac:dyDescent="0.2">
      <c r="J229" s="17"/>
      <c r="K229" s="16"/>
      <c r="L229" s="16"/>
    </row>
    <row r="230" spans="10:12" x14ac:dyDescent="0.2">
      <c r="J230" s="16"/>
      <c r="K230" s="16"/>
      <c r="L230" s="16"/>
    </row>
    <row r="231" spans="10:12" x14ac:dyDescent="0.2">
      <c r="J231" s="17"/>
      <c r="K231" s="16"/>
      <c r="L231" s="16"/>
    </row>
    <row r="232" spans="10:12" x14ac:dyDescent="0.2">
      <c r="J232" s="17"/>
      <c r="K232" s="16"/>
      <c r="L232" s="16"/>
    </row>
    <row r="233" spans="10:12" x14ac:dyDescent="0.2">
      <c r="J233" s="16"/>
      <c r="K233" s="16"/>
      <c r="L233" s="16"/>
    </row>
    <row r="234" spans="10:12" x14ac:dyDescent="0.2">
      <c r="J234" s="16"/>
      <c r="K234" s="16"/>
      <c r="L234" s="16"/>
    </row>
    <row r="235" spans="10:12" x14ac:dyDescent="0.2">
      <c r="J235" s="16"/>
      <c r="K235" s="16"/>
      <c r="L235" s="16"/>
    </row>
    <row r="236" spans="10:12" x14ac:dyDescent="0.2">
      <c r="J236" s="16"/>
      <c r="K236" s="16"/>
      <c r="L236" s="16"/>
    </row>
    <row r="237" spans="10:12" x14ac:dyDescent="0.2">
      <c r="J237" s="16"/>
      <c r="K237" s="16"/>
      <c r="L237" s="16"/>
    </row>
    <row r="238" spans="10:12" x14ac:dyDescent="0.2">
      <c r="J238" s="17"/>
      <c r="K238" s="16"/>
      <c r="L238" s="16"/>
    </row>
    <row r="239" spans="10:12" x14ac:dyDescent="0.2">
      <c r="J239" s="17"/>
      <c r="K239" s="16"/>
      <c r="L239" s="16"/>
    </row>
    <row r="240" spans="10:12" x14ac:dyDescent="0.2">
      <c r="J240" s="16"/>
      <c r="K240" s="16"/>
      <c r="L240" s="16"/>
    </row>
    <row r="241" spans="10:12" x14ac:dyDescent="0.2">
      <c r="J241" s="16"/>
      <c r="K241" s="16"/>
      <c r="L241" s="16"/>
    </row>
    <row r="242" spans="10:12" x14ac:dyDescent="0.2">
      <c r="J242" s="17"/>
      <c r="K242" s="16"/>
      <c r="L242" s="16"/>
    </row>
    <row r="243" spans="10:12" x14ac:dyDescent="0.2">
      <c r="J243" s="17"/>
      <c r="K243" s="16"/>
      <c r="L243" s="16"/>
    </row>
    <row r="244" spans="10:12" x14ac:dyDescent="0.2">
      <c r="J244" s="17"/>
      <c r="K244" s="16"/>
      <c r="L244" s="16"/>
    </row>
    <row r="245" spans="10:12" x14ac:dyDescent="0.2">
      <c r="J245" s="16"/>
      <c r="K245" s="16"/>
      <c r="L245" s="16"/>
    </row>
    <row r="246" spans="10:12" x14ac:dyDescent="0.2">
      <c r="J246" s="16"/>
      <c r="K246" s="16"/>
      <c r="L246" s="16"/>
    </row>
    <row r="247" spans="10:12" x14ac:dyDescent="0.2">
      <c r="J247" s="16"/>
      <c r="K247" s="16"/>
      <c r="L247" s="16"/>
    </row>
    <row r="248" spans="10:12" x14ac:dyDescent="0.2">
      <c r="J248" s="17"/>
      <c r="K248" s="16"/>
      <c r="L248" s="16"/>
    </row>
    <row r="249" spans="10:12" x14ac:dyDescent="0.2">
      <c r="J249" s="17"/>
      <c r="K249" s="16"/>
      <c r="L249" s="16"/>
    </row>
    <row r="250" spans="10:12" x14ac:dyDescent="0.2">
      <c r="J250" s="16"/>
      <c r="K250" s="16"/>
      <c r="L250" s="16"/>
    </row>
    <row r="251" spans="10:12" x14ac:dyDescent="0.2">
      <c r="J251" s="17"/>
      <c r="K251" s="16"/>
      <c r="L251" s="16"/>
    </row>
    <row r="252" spans="10:12" x14ac:dyDescent="0.2">
      <c r="J252" s="16"/>
      <c r="K252" s="16"/>
      <c r="L252" s="16"/>
    </row>
    <row r="253" spans="10:12" x14ac:dyDescent="0.2">
      <c r="J253" s="16"/>
      <c r="K253" s="16"/>
      <c r="L253" s="16"/>
    </row>
    <row r="254" spans="10:12" x14ac:dyDescent="0.2">
      <c r="J254" s="17"/>
      <c r="K254" s="16"/>
      <c r="L254" s="16"/>
    </row>
    <row r="255" spans="10:12" x14ac:dyDescent="0.2">
      <c r="J255" s="17"/>
      <c r="K255" s="16"/>
      <c r="L255" s="16"/>
    </row>
    <row r="256" spans="10:12" x14ac:dyDescent="0.2">
      <c r="J256" s="16"/>
      <c r="K256" s="16"/>
      <c r="L256" s="16"/>
    </row>
    <row r="257" spans="10:12" x14ac:dyDescent="0.2">
      <c r="J257" s="16"/>
      <c r="K257" s="16"/>
      <c r="L257" s="16"/>
    </row>
    <row r="258" spans="10:12" x14ac:dyDescent="0.2">
      <c r="J258" s="16"/>
      <c r="K258" s="16"/>
      <c r="L258" s="16"/>
    </row>
    <row r="259" spans="10:12" x14ac:dyDescent="0.2">
      <c r="J259" s="16"/>
      <c r="K259" s="16"/>
      <c r="L259" s="16"/>
    </row>
    <row r="260" spans="10:12" x14ac:dyDescent="0.2">
      <c r="J260" s="16"/>
      <c r="K260" s="16"/>
      <c r="L260" s="16"/>
    </row>
    <row r="261" spans="10:12" x14ac:dyDescent="0.2">
      <c r="J261" s="16"/>
      <c r="K261" s="16"/>
      <c r="L261" s="16"/>
    </row>
    <row r="262" spans="10:12" x14ac:dyDescent="0.2">
      <c r="J262" s="16"/>
      <c r="K262" s="16"/>
      <c r="L262" s="16"/>
    </row>
    <row r="263" spans="10:12" x14ac:dyDescent="0.2">
      <c r="J263" s="16"/>
      <c r="K263" s="16"/>
      <c r="L263" s="16"/>
    </row>
    <row r="264" spans="10:12" x14ac:dyDescent="0.2">
      <c r="J264" s="16"/>
      <c r="K264" s="16"/>
      <c r="L264" s="16"/>
    </row>
    <row r="265" spans="10:12" x14ac:dyDescent="0.2">
      <c r="J265" s="17"/>
      <c r="K265" s="16"/>
      <c r="L265" s="16"/>
    </row>
    <row r="266" spans="10:12" x14ac:dyDescent="0.2">
      <c r="J266" s="16"/>
      <c r="K266" s="16"/>
      <c r="L266" s="16"/>
    </row>
    <row r="267" spans="10:12" x14ac:dyDescent="0.2">
      <c r="J267" s="16"/>
      <c r="K267" s="16"/>
      <c r="L267" s="16"/>
    </row>
    <row r="268" spans="10:12" x14ac:dyDescent="0.2">
      <c r="J268" s="16"/>
      <c r="K268" s="16"/>
      <c r="L268" s="16"/>
    </row>
    <row r="269" spans="10:12" x14ac:dyDescent="0.2">
      <c r="J269" s="17"/>
      <c r="K269" s="16"/>
      <c r="L269" s="16"/>
    </row>
    <row r="270" spans="10:12" x14ac:dyDescent="0.2">
      <c r="J270" s="17"/>
      <c r="K270" s="16"/>
      <c r="L270" s="16"/>
    </row>
    <row r="271" spans="10:12" x14ac:dyDescent="0.2">
      <c r="J271" s="16"/>
      <c r="K271" s="16"/>
      <c r="L271" s="16"/>
    </row>
    <row r="272" spans="10:12" x14ac:dyDescent="0.2">
      <c r="J272" s="16"/>
      <c r="K272" s="16"/>
      <c r="L272" s="16"/>
    </row>
    <row r="273" spans="10:12" x14ac:dyDescent="0.2">
      <c r="J273" s="17"/>
      <c r="K273" s="16"/>
      <c r="L273" s="16"/>
    </row>
    <row r="274" spans="10:12" x14ac:dyDescent="0.2">
      <c r="J274" s="17"/>
      <c r="K274" s="16"/>
      <c r="L274" s="16"/>
    </row>
    <row r="275" spans="10:12" x14ac:dyDescent="0.2">
      <c r="J275" s="16"/>
      <c r="K275" s="16"/>
      <c r="L275" s="16"/>
    </row>
    <row r="276" spans="10:12" x14ac:dyDescent="0.2">
      <c r="J276" s="17"/>
      <c r="K276" s="16"/>
      <c r="L276" s="16"/>
    </row>
    <row r="277" spans="10:12" x14ac:dyDescent="0.2">
      <c r="J277" s="16"/>
      <c r="K277" s="16"/>
      <c r="L277" s="16"/>
    </row>
    <row r="278" spans="10:12" x14ac:dyDescent="0.2">
      <c r="J278" s="17"/>
      <c r="K278" s="16"/>
      <c r="L278" s="16"/>
    </row>
    <row r="279" spans="10:12" x14ac:dyDescent="0.2">
      <c r="J279" s="16"/>
      <c r="K279" s="16"/>
      <c r="L279" s="16"/>
    </row>
    <row r="280" spans="10:12" x14ac:dyDescent="0.2">
      <c r="J280" s="16"/>
      <c r="K280" s="16"/>
      <c r="L280" s="16"/>
    </row>
    <row r="281" spans="10:12" x14ac:dyDescent="0.2">
      <c r="J281" s="16"/>
      <c r="K281" s="16"/>
      <c r="L281" s="16"/>
    </row>
    <row r="282" spans="10:12" x14ac:dyDescent="0.2">
      <c r="J282" s="17"/>
      <c r="K282" s="16"/>
      <c r="L282" s="16"/>
    </row>
    <row r="283" spans="10:12" x14ac:dyDescent="0.2">
      <c r="J283" s="16"/>
      <c r="K283" s="16"/>
      <c r="L283" s="16"/>
    </row>
    <row r="284" spans="10:12" x14ac:dyDescent="0.2">
      <c r="J284" s="16"/>
      <c r="K284" s="16"/>
      <c r="L284" s="16"/>
    </row>
    <row r="285" spans="10:12" x14ac:dyDescent="0.2">
      <c r="J285" s="16"/>
      <c r="K285" s="16"/>
      <c r="L285" s="16"/>
    </row>
    <row r="286" spans="10:12" x14ac:dyDescent="0.2">
      <c r="J286" s="17"/>
      <c r="K286" s="16"/>
      <c r="L286" s="16"/>
    </row>
    <row r="287" spans="10:12" x14ac:dyDescent="0.2">
      <c r="J287" s="17"/>
      <c r="K287" s="16"/>
      <c r="L287" s="16"/>
    </row>
    <row r="288" spans="10:12" x14ac:dyDescent="0.2">
      <c r="J288" s="17"/>
      <c r="K288" s="16"/>
      <c r="L288" s="16"/>
    </row>
    <row r="289" spans="10:12" x14ac:dyDescent="0.2">
      <c r="J289" s="16"/>
      <c r="K289" s="16"/>
      <c r="L289" s="16"/>
    </row>
    <row r="290" spans="10:12" x14ac:dyDescent="0.2">
      <c r="J290" s="16"/>
      <c r="K290" s="16"/>
      <c r="L290" s="16"/>
    </row>
    <row r="291" spans="10:12" x14ac:dyDescent="0.2">
      <c r="J291" s="16"/>
      <c r="K291" s="16"/>
      <c r="L291" s="16"/>
    </row>
    <row r="292" spans="10:12" x14ac:dyDescent="0.2">
      <c r="J292" s="17"/>
      <c r="K292" s="16"/>
      <c r="L292" s="16"/>
    </row>
    <row r="293" spans="10:12" x14ac:dyDescent="0.2">
      <c r="J293" s="16"/>
      <c r="K293" s="16"/>
      <c r="L293" s="16"/>
    </row>
    <row r="294" spans="10:12" x14ac:dyDescent="0.2">
      <c r="J294" s="16"/>
      <c r="K294" s="16"/>
      <c r="L294" s="16"/>
    </row>
    <row r="295" spans="10:12" x14ac:dyDescent="0.2">
      <c r="J295" s="16"/>
      <c r="K295" s="16"/>
      <c r="L295" s="16"/>
    </row>
    <row r="296" spans="10:12" x14ac:dyDescent="0.2">
      <c r="J296" s="16"/>
      <c r="K296" s="16"/>
      <c r="L296" s="16"/>
    </row>
    <row r="297" spans="10:12" x14ac:dyDescent="0.2">
      <c r="J297" s="17"/>
      <c r="K297" s="16"/>
      <c r="L297" s="16"/>
    </row>
    <row r="298" spans="10:12" x14ac:dyDescent="0.2">
      <c r="J298" s="16"/>
      <c r="K298" s="16"/>
      <c r="L298" s="16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1"/>
  <sheetViews>
    <sheetView workbookViewId="0">
      <selection activeCell="A2" sqref="A2:XFD4"/>
    </sheetView>
  </sheetViews>
  <sheetFormatPr defaultColWidth="8.875" defaultRowHeight="14.25" x14ac:dyDescent="0.2"/>
  <cols>
    <col min="1" max="2" width="19.875" style="1" customWidth="1"/>
    <col min="3" max="3" width="42.625" customWidth="1"/>
    <col min="4" max="4" width="11.625" customWidth="1"/>
    <col min="5" max="5" width="12.625" customWidth="1"/>
    <col min="6" max="7" width="9.125" bestFit="1" customWidth="1"/>
    <col min="8" max="8" width="9.625" style="14" bestFit="1" customWidth="1"/>
    <col min="9" max="9" width="9.625" bestFit="1" customWidth="1"/>
  </cols>
  <sheetData>
    <row r="1" spans="1:12" ht="20.25" x14ac:dyDescent="0.2">
      <c r="A1" s="11" t="s">
        <v>3530</v>
      </c>
    </row>
    <row r="2" spans="1:12" s="25" customFormat="1" ht="18.75" x14ac:dyDescent="0.2">
      <c r="A2" s="28" t="s">
        <v>3538</v>
      </c>
      <c r="B2" s="28"/>
      <c r="H2" s="33"/>
    </row>
    <row r="3" spans="1:12" s="25" customFormat="1" ht="18" x14ac:dyDescent="0.2">
      <c r="A3" s="28" t="s">
        <v>3507</v>
      </c>
      <c r="B3" s="28"/>
      <c r="H3" s="33"/>
    </row>
    <row r="4" spans="1:12" s="31" customFormat="1" ht="18" x14ac:dyDescent="0.25">
      <c r="A4" s="35" t="s">
        <v>3020</v>
      </c>
      <c r="B4" s="35" t="s">
        <v>3023</v>
      </c>
      <c r="C4" s="25" t="s">
        <v>1843</v>
      </c>
      <c r="D4" s="32" t="s">
        <v>0</v>
      </c>
      <c r="E4" s="32" t="s">
        <v>1</v>
      </c>
      <c r="F4" s="32" t="s">
        <v>2</v>
      </c>
      <c r="G4" s="32" t="s">
        <v>3</v>
      </c>
      <c r="H4" s="34" t="s">
        <v>4</v>
      </c>
      <c r="I4" s="32"/>
      <c r="J4" s="32"/>
      <c r="K4" s="32"/>
      <c r="L4" s="32"/>
    </row>
    <row r="5" spans="1:12" s="2" customFormat="1" ht="15" x14ac:dyDescent="0.2">
      <c r="A5" s="5" t="s">
        <v>102</v>
      </c>
      <c r="B5" s="3" t="s">
        <v>3050</v>
      </c>
      <c r="C5" s="2" t="s">
        <v>3506</v>
      </c>
      <c r="D5" s="3" t="s">
        <v>1836</v>
      </c>
      <c r="E5" s="3" t="s">
        <v>1837</v>
      </c>
      <c r="F5" s="3">
        <v>2.8573599999999999</v>
      </c>
      <c r="G5" s="3">
        <v>0.17336199999999999</v>
      </c>
      <c r="H5" s="6">
        <v>-4.0428199999999999</v>
      </c>
      <c r="J5" s="4"/>
      <c r="K5" s="3"/>
      <c r="L5" s="3"/>
    </row>
    <row r="6" spans="1:12" s="2" customFormat="1" ht="15" x14ac:dyDescent="0.2">
      <c r="A6" s="5" t="s">
        <v>233</v>
      </c>
      <c r="B6" s="3" t="s">
        <v>3092</v>
      </c>
      <c r="C6" s="2" t="s">
        <v>1953</v>
      </c>
      <c r="D6" s="3" t="s">
        <v>1836</v>
      </c>
      <c r="E6" s="3" t="s">
        <v>1837</v>
      </c>
      <c r="F6" s="3">
        <v>2.37799</v>
      </c>
      <c r="G6" s="3">
        <v>0.21177199999999999</v>
      </c>
      <c r="H6" s="6">
        <v>-3.48916</v>
      </c>
      <c r="J6" s="4"/>
      <c r="K6" s="3"/>
      <c r="L6" s="3"/>
    </row>
    <row r="7" spans="1:12" s="2" customFormat="1" ht="15" x14ac:dyDescent="0.2">
      <c r="A7" s="5" t="s">
        <v>819</v>
      </c>
      <c r="B7" s="3" t="s">
        <v>3015</v>
      </c>
      <c r="C7" s="2" t="s">
        <v>2214</v>
      </c>
      <c r="D7" s="3" t="s">
        <v>1836</v>
      </c>
      <c r="E7" s="3" t="s">
        <v>1837</v>
      </c>
      <c r="F7" s="3">
        <v>117.569</v>
      </c>
      <c r="G7" s="3">
        <v>14.2035</v>
      </c>
      <c r="H7" s="6">
        <v>-3.0491899999999998</v>
      </c>
      <c r="J7" s="4"/>
      <c r="K7" s="3"/>
      <c r="L7" s="3"/>
    </row>
    <row r="8" spans="1:12" s="2" customFormat="1" ht="15" x14ac:dyDescent="0.2">
      <c r="A8" s="5" t="s">
        <v>248</v>
      </c>
      <c r="B8" s="3" t="s">
        <v>3015</v>
      </c>
      <c r="C8" s="2" t="s">
        <v>1862</v>
      </c>
      <c r="D8" s="3" t="s">
        <v>1836</v>
      </c>
      <c r="E8" s="3" t="s">
        <v>1837</v>
      </c>
      <c r="F8" s="3">
        <v>1.48085</v>
      </c>
      <c r="G8" s="3">
        <v>0.190247</v>
      </c>
      <c r="H8" s="6">
        <v>-2.9604699999999999</v>
      </c>
    </row>
    <row r="9" spans="1:12" s="2" customFormat="1" ht="15" x14ac:dyDescent="0.2">
      <c r="A9" s="5" t="s">
        <v>181</v>
      </c>
      <c r="B9" s="3" t="s">
        <v>3037</v>
      </c>
      <c r="C9" s="2" t="s">
        <v>1866</v>
      </c>
      <c r="D9" s="3" t="s">
        <v>1836</v>
      </c>
      <c r="E9" s="3" t="s">
        <v>1837</v>
      </c>
      <c r="F9" s="3">
        <v>2.34788</v>
      </c>
      <c r="G9" s="3">
        <v>0.333399</v>
      </c>
      <c r="H9" s="6">
        <v>-2.81603</v>
      </c>
    </row>
    <row r="10" spans="1:12" s="2" customFormat="1" ht="15" x14ac:dyDescent="0.2">
      <c r="A10" s="5" t="s">
        <v>637</v>
      </c>
      <c r="B10" s="3" t="s">
        <v>3045</v>
      </c>
      <c r="C10" s="2" t="s">
        <v>2141</v>
      </c>
      <c r="D10" s="3" t="s">
        <v>1836</v>
      </c>
      <c r="E10" s="3" t="s">
        <v>1837</v>
      </c>
      <c r="F10" s="3">
        <v>7.9981600000000004</v>
      </c>
      <c r="G10" s="3">
        <v>1.15232</v>
      </c>
      <c r="H10" s="6">
        <v>-2.7951299999999999</v>
      </c>
    </row>
    <row r="11" spans="1:12" s="2" customFormat="1" ht="15" x14ac:dyDescent="0.2">
      <c r="A11" s="5" t="s">
        <v>371</v>
      </c>
      <c r="B11" s="3" t="s">
        <v>3030</v>
      </c>
      <c r="C11" s="2" t="s">
        <v>2016</v>
      </c>
      <c r="D11" s="3" t="s">
        <v>1836</v>
      </c>
      <c r="E11" s="3" t="s">
        <v>1837</v>
      </c>
      <c r="F11" s="3">
        <v>1.79139</v>
      </c>
      <c r="G11" s="3">
        <v>0.27483299999999999</v>
      </c>
      <c r="H11" s="6">
        <v>-2.70445</v>
      </c>
    </row>
    <row r="12" spans="1:12" s="2" customFormat="1" ht="15" x14ac:dyDescent="0.2">
      <c r="A12" s="5" t="s">
        <v>279</v>
      </c>
      <c r="B12" s="3" t="s">
        <v>3015</v>
      </c>
      <c r="C12" s="2" t="s">
        <v>1972</v>
      </c>
      <c r="D12" s="3" t="s">
        <v>1836</v>
      </c>
      <c r="E12" s="3" t="s">
        <v>1837</v>
      </c>
      <c r="F12" s="3">
        <v>0.92411299999999996</v>
      </c>
      <c r="G12" s="3">
        <v>0.14496700000000001</v>
      </c>
      <c r="H12" s="6">
        <v>-2.6723400000000002</v>
      </c>
    </row>
    <row r="13" spans="1:12" s="2" customFormat="1" ht="15" x14ac:dyDescent="0.2">
      <c r="A13" s="5" t="s">
        <v>225</v>
      </c>
      <c r="B13" s="3" t="s">
        <v>3015</v>
      </c>
      <c r="C13" s="2" t="s">
        <v>3015</v>
      </c>
      <c r="D13" s="3" t="s">
        <v>1836</v>
      </c>
      <c r="E13" s="3" t="s">
        <v>1837</v>
      </c>
      <c r="F13" s="3">
        <v>3.1799300000000001</v>
      </c>
      <c r="G13" s="3">
        <v>0.50944800000000001</v>
      </c>
      <c r="H13" s="6">
        <v>-2.6419899999999998</v>
      </c>
    </row>
    <row r="14" spans="1:12" s="2" customFormat="1" ht="15" x14ac:dyDescent="0.2">
      <c r="A14" s="5" t="s">
        <v>156</v>
      </c>
      <c r="B14" s="3" t="s">
        <v>3030</v>
      </c>
      <c r="C14" s="2" t="s">
        <v>1917</v>
      </c>
      <c r="D14" s="3" t="s">
        <v>1836</v>
      </c>
      <c r="E14" s="3" t="s">
        <v>1837</v>
      </c>
      <c r="F14" s="3">
        <v>29.628499999999999</v>
      </c>
      <c r="G14" s="3">
        <v>4.8104699999999996</v>
      </c>
      <c r="H14" s="6">
        <v>-2.6227399999999998</v>
      </c>
    </row>
    <row r="15" spans="1:12" s="2" customFormat="1" ht="15" x14ac:dyDescent="0.2">
      <c r="A15" s="5" t="s">
        <v>930</v>
      </c>
      <c r="B15" s="3" t="s">
        <v>3100</v>
      </c>
      <c r="C15" s="2" t="s">
        <v>2278</v>
      </c>
      <c r="D15" s="3" t="s">
        <v>1836</v>
      </c>
      <c r="E15" s="3" t="s">
        <v>1837</v>
      </c>
      <c r="F15" s="3">
        <v>7.7362399999999996</v>
      </c>
      <c r="G15" s="3">
        <v>1.27054</v>
      </c>
      <c r="H15" s="6">
        <v>-2.6061899999999998</v>
      </c>
    </row>
    <row r="16" spans="1:12" s="2" customFormat="1" ht="15" x14ac:dyDescent="0.2">
      <c r="A16" s="5" t="s">
        <v>423</v>
      </c>
      <c r="B16" s="3" t="s">
        <v>3035</v>
      </c>
      <c r="C16" s="2" t="s">
        <v>2040</v>
      </c>
      <c r="D16" s="3" t="s">
        <v>1836</v>
      </c>
      <c r="E16" s="3" t="s">
        <v>1837</v>
      </c>
      <c r="F16" s="3">
        <v>2.6913900000000002</v>
      </c>
      <c r="G16" s="3">
        <v>0.44365100000000002</v>
      </c>
      <c r="H16" s="6">
        <v>-2.6008499999999999</v>
      </c>
    </row>
    <row r="17" spans="1:8" s="2" customFormat="1" ht="15" x14ac:dyDescent="0.2">
      <c r="A17" s="5" t="s">
        <v>802</v>
      </c>
      <c r="B17" s="3" t="s">
        <v>3015</v>
      </c>
      <c r="C17" s="2" t="s">
        <v>3015</v>
      </c>
      <c r="D17" s="3" t="s">
        <v>1836</v>
      </c>
      <c r="E17" s="3" t="s">
        <v>1837</v>
      </c>
      <c r="F17" s="3">
        <v>120.504</v>
      </c>
      <c r="G17" s="3">
        <v>19.938199999999998</v>
      </c>
      <c r="H17" s="6">
        <v>-2.5954700000000002</v>
      </c>
    </row>
    <row r="18" spans="1:8" s="2" customFormat="1" ht="15" x14ac:dyDescent="0.2">
      <c r="A18" s="5" t="s">
        <v>1051</v>
      </c>
      <c r="B18" s="3" t="s">
        <v>3026</v>
      </c>
      <c r="C18" s="2" t="s">
        <v>1847</v>
      </c>
      <c r="D18" s="3" t="s">
        <v>1836</v>
      </c>
      <c r="E18" s="3" t="s">
        <v>1837</v>
      </c>
      <c r="F18" s="3">
        <v>1.2784500000000001</v>
      </c>
      <c r="G18" s="3">
        <v>0.21523800000000001</v>
      </c>
      <c r="H18" s="6">
        <v>-2.5703900000000002</v>
      </c>
    </row>
    <row r="19" spans="1:8" s="2" customFormat="1" ht="15" x14ac:dyDescent="0.2">
      <c r="A19" s="5" t="s">
        <v>1085</v>
      </c>
      <c r="B19" s="3" t="s">
        <v>3189</v>
      </c>
      <c r="C19" s="2" t="s">
        <v>2157</v>
      </c>
      <c r="D19" s="3" t="s">
        <v>1836</v>
      </c>
      <c r="E19" s="3" t="s">
        <v>1837</v>
      </c>
      <c r="F19" s="3">
        <v>0.81906699999999999</v>
      </c>
      <c r="G19" s="3">
        <v>0.14380899999999999</v>
      </c>
      <c r="H19" s="6">
        <v>-2.50983</v>
      </c>
    </row>
    <row r="20" spans="1:8" s="2" customFormat="1" ht="15" x14ac:dyDescent="0.2">
      <c r="A20" s="5" t="s">
        <v>1098</v>
      </c>
      <c r="B20" s="3" t="s">
        <v>3015</v>
      </c>
      <c r="C20" s="2" t="s">
        <v>2356</v>
      </c>
      <c r="D20" s="3" t="s">
        <v>1836</v>
      </c>
      <c r="E20" s="3" t="s">
        <v>1837</v>
      </c>
      <c r="F20" s="3">
        <v>4.3807</v>
      </c>
      <c r="G20" s="3">
        <v>0.77404399999999995</v>
      </c>
      <c r="H20" s="6">
        <v>-2.50068</v>
      </c>
    </row>
    <row r="21" spans="1:8" s="2" customFormat="1" ht="15" x14ac:dyDescent="0.2">
      <c r="A21" s="5" t="s">
        <v>1107</v>
      </c>
      <c r="B21" s="3" t="s">
        <v>3015</v>
      </c>
      <c r="C21" s="2" t="s">
        <v>3015</v>
      </c>
      <c r="D21" s="3" t="s">
        <v>1836</v>
      </c>
      <c r="E21" s="3" t="s">
        <v>1837</v>
      </c>
      <c r="F21" s="3">
        <v>1.4206799999999999</v>
      </c>
      <c r="G21" s="3">
        <v>0.25152000000000002</v>
      </c>
      <c r="H21" s="6">
        <v>-2.49783</v>
      </c>
    </row>
    <row r="22" spans="1:8" s="2" customFormat="1" ht="15" x14ac:dyDescent="0.2">
      <c r="A22" s="5" t="s">
        <v>834</v>
      </c>
      <c r="B22" s="3" t="s">
        <v>3034</v>
      </c>
      <c r="C22" s="2" t="s">
        <v>2224</v>
      </c>
      <c r="D22" s="3" t="s">
        <v>1836</v>
      </c>
      <c r="E22" s="3" t="s">
        <v>1837</v>
      </c>
      <c r="F22" s="3">
        <v>1.16185</v>
      </c>
      <c r="G22" s="3">
        <v>0.21334</v>
      </c>
      <c r="H22" s="6">
        <v>-2.4451999999999998</v>
      </c>
    </row>
    <row r="23" spans="1:8" s="2" customFormat="1" ht="15" x14ac:dyDescent="0.2">
      <c r="A23" s="5" t="s">
        <v>597</v>
      </c>
      <c r="B23" s="3" t="s">
        <v>3172</v>
      </c>
      <c r="C23" s="2" t="s">
        <v>3015</v>
      </c>
      <c r="D23" s="3" t="s">
        <v>1836</v>
      </c>
      <c r="E23" s="3" t="s">
        <v>1837</v>
      </c>
      <c r="F23" s="3">
        <v>8.3787299999999991</v>
      </c>
      <c r="G23" s="3">
        <v>1.5503100000000001</v>
      </c>
      <c r="H23" s="6">
        <v>-2.4341699999999999</v>
      </c>
    </row>
    <row r="24" spans="1:8" s="2" customFormat="1" ht="15" x14ac:dyDescent="0.2">
      <c r="A24" s="5" t="s">
        <v>196</v>
      </c>
      <c r="B24" s="3" t="s">
        <v>3077</v>
      </c>
      <c r="C24" s="2" t="s">
        <v>1934</v>
      </c>
      <c r="D24" s="3" t="s">
        <v>1836</v>
      </c>
      <c r="E24" s="3" t="s">
        <v>1837</v>
      </c>
      <c r="F24" s="3">
        <v>2.6640000000000001</v>
      </c>
      <c r="G24" s="3">
        <v>0.49523099999999998</v>
      </c>
      <c r="H24" s="6">
        <v>-2.4274200000000001</v>
      </c>
    </row>
    <row r="25" spans="1:8" s="2" customFormat="1" ht="15" x14ac:dyDescent="0.2">
      <c r="A25" s="5" t="s">
        <v>3505</v>
      </c>
      <c r="B25" s="3" t="s">
        <v>3015</v>
      </c>
      <c r="C25" s="2" t="s">
        <v>3015</v>
      </c>
      <c r="D25" s="3" t="s">
        <v>1836</v>
      </c>
      <c r="E25" s="3" t="s">
        <v>1837</v>
      </c>
      <c r="F25" s="3">
        <v>3.50373</v>
      </c>
      <c r="G25" s="3">
        <v>0.66025800000000001</v>
      </c>
      <c r="H25" s="6">
        <v>-2.4077899999999999</v>
      </c>
    </row>
    <row r="26" spans="1:8" s="2" customFormat="1" ht="15" x14ac:dyDescent="0.2">
      <c r="A26" s="5" t="s">
        <v>824</v>
      </c>
      <c r="B26" s="3" t="s">
        <v>3015</v>
      </c>
      <c r="C26" s="2" t="s">
        <v>1862</v>
      </c>
      <c r="D26" s="3" t="s">
        <v>1836</v>
      </c>
      <c r="E26" s="3" t="s">
        <v>1837</v>
      </c>
      <c r="F26" s="3">
        <v>1.93964</v>
      </c>
      <c r="G26" s="3">
        <v>0.37186000000000002</v>
      </c>
      <c r="H26" s="6">
        <v>-2.3829600000000002</v>
      </c>
    </row>
    <row r="27" spans="1:8" s="2" customFormat="1" ht="15" x14ac:dyDescent="0.2">
      <c r="A27" s="5" t="s">
        <v>763</v>
      </c>
      <c r="B27" s="3" t="s">
        <v>3045</v>
      </c>
      <c r="C27" s="2" t="s">
        <v>2193</v>
      </c>
      <c r="D27" s="3" t="s">
        <v>1836</v>
      </c>
      <c r="E27" s="3" t="s">
        <v>1837</v>
      </c>
      <c r="F27" s="3">
        <v>4.4005799999999997</v>
      </c>
      <c r="G27" s="3">
        <v>0.86180000000000001</v>
      </c>
      <c r="H27" s="6">
        <v>-2.3522699999999999</v>
      </c>
    </row>
    <row r="28" spans="1:8" s="2" customFormat="1" ht="15" x14ac:dyDescent="0.2">
      <c r="A28" s="5" t="s">
        <v>157</v>
      </c>
      <c r="B28" s="3" t="s">
        <v>3064</v>
      </c>
      <c r="C28" s="2" t="s">
        <v>1918</v>
      </c>
      <c r="D28" s="3" t="s">
        <v>1836</v>
      </c>
      <c r="E28" s="3" t="s">
        <v>1837</v>
      </c>
      <c r="F28" s="3">
        <v>0.81844799999999995</v>
      </c>
      <c r="G28" s="3">
        <v>0.16173000000000001</v>
      </c>
      <c r="H28" s="6">
        <v>-2.3393000000000002</v>
      </c>
    </row>
    <row r="29" spans="1:8" s="2" customFormat="1" ht="15" x14ac:dyDescent="0.2">
      <c r="A29" s="5" t="s">
        <v>32</v>
      </c>
      <c r="B29" s="3" t="s">
        <v>3033</v>
      </c>
      <c r="C29" s="2" t="s">
        <v>1858</v>
      </c>
      <c r="D29" s="3" t="s">
        <v>1836</v>
      </c>
      <c r="E29" s="3" t="s">
        <v>1837</v>
      </c>
      <c r="F29" s="3">
        <v>6.3867399999999996</v>
      </c>
      <c r="G29" s="3">
        <v>1.2709900000000001</v>
      </c>
      <c r="H29" s="6">
        <v>-2.3291300000000001</v>
      </c>
    </row>
    <row r="30" spans="1:8" s="2" customFormat="1" ht="15" x14ac:dyDescent="0.2">
      <c r="A30" s="5" t="s">
        <v>33</v>
      </c>
      <c r="B30" s="3" t="s">
        <v>3033</v>
      </c>
      <c r="C30" s="2" t="s">
        <v>1858</v>
      </c>
      <c r="D30" s="3" t="s">
        <v>1836</v>
      </c>
      <c r="E30" s="3" t="s">
        <v>1837</v>
      </c>
      <c r="F30" s="3">
        <v>4.0636299999999999</v>
      </c>
      <c r="G30" s="3">
        <v>0.82154400000000005</v>
      </c>
      <c r="H30" s="6">
        <v>-2.3063600000000002</v>
      </c>
    </row>
    <row r="31" spans="1:8" s="2" customFormat="1" ht="15" x14ac:dyDescent="0.2">
      <c r="A31" s="5" t="s">
        <v>479</v>
      </c>
      <c r="B31" s="3" t="s">
        <v>3015</v>
      </c>
      <c r="C31" s="2" t="s">
        <v>2067</v>
      </c>
      <c r="D31" s="3" t="s">
        <v>1836</v>
      </c>
      <c r="E31" s="3" t="s">
        <v>1837</v>
      </c>
      <c r="F31" s="3">
        <v>8.7289999999999992</v>
      </c>
      <c r="G31" s="3">
        <v>1.81507</v>
      </c>
      <c r="H31" s="6">
        <v>-2.26579</v>
      </c>
    </row>
    <row r="32" spans="1:8" s="2" customFormat="1" ht="15" x14ac:dyDescent="0.2">
      <c r="A32" s="5" t="s">
        <v>276</v>
      </c>
      <c r="B32" s="3" t="s">
        <v>3081</v>
      </c>
      <c r="C32" s="2" t="s">
        <v>1847</v>
      </c>
      <c r="D32" s="3" t="s">
        <v>1836</v>
      </c>
      <c r="E32" s="3" t="s">
        <v>1837</v>
      </c>
      <c r="F32" s="3">
        <v>3.7075300000000002</v>
      </c>
      <c r="G32" s="3">
        <v>0.79546700000000004</v>
      </c>
      <c r="H32" s="6">
        <v>-2.2205900000000001</v>
      </c>
    </row>
    <row r="33" spans="1:8" s="2" customFormat="1" ht="15" x14ac:dyDescent="0.2">
      <c r="A33" s="5" t="s">
        <v>172</v>
      </c>
      <c r="B33" s="3" t="s">
        <v>3069</v>
      </c>
      <c r="C33" s="2" t="s">
        <v>1847</v>
      </c>
      <c r="D33" s="3" t="s">
        <v>1836</v>
      </c>
      <c r="E33" s="3" t="s">
        <v>1837</v>
      </c>
      <c r="F33" s="3">
        <v>2.29921</v>
      </c>
      <c r="G33" s="3">
        <v>0.49436099999999999</v>
      </c>
      <c r="H33" s="6">
        <v>-2.2174999999999998</v>
      </c>
    </row>
    <row r="34" spans="1:8" s="2" customFormat="1" ht="15" x14ac:dyDescent="0.2">
      <c r="A34" s="5" t="s">
        <v>332</v>
      </c>
      <c r="B34" s="3" t="s">
        <v>3118</v>
      </c>
      <c r="C34" s="2" t="s">
        <v>3015</v>
      </c>
      <c r="D34" s="3" t="s">
        <v>1836</v>
      </c>
      <c r="E34" s="3" t="s">
        <v>1837</v>
      </c>
      <c r="F34" s="3">
        <v>9.1706900000000005</v>
      </c>
      <c r="G34" s="3">
        <v>2.0082300000000002</v>
      </c>
      <c r="H34" s="6">
        <v>-2.1911</v>
      </c>
    </row>
    <row r="35" spans="1:8" s="2" customFormat="1" ht="15" x14ac:dyDescent="0.2">
      <c r="A35" s="5" t="s">
        <v>249</v>
      </c>
      <c r="B35" s="3" t="s">
        <v>3097</v>
      </c>
      <c r="C35" s="2" t="s">
        <v>1961</v>
      </c>
      <c r="D35" s="3" t="s">
        <v>1836</v>
      </c>
      <c r="E35" s="3" t="s">
        <v>1837</v>
      </c>
      <c r="F35" s="3">
        <v>3.6669900000000002</v>
      </c>
      <c r="G35" s="3">
        <v>0.80324300000000004</v>
      </c>
      <c r="H35" s="6">
        <v>-2.19069</v>
      </c>
    </row>
    <row r="36" spans="1:8" s="2" customFormat="1" ht="15" x14ac:dyDescent="0.2">
      <c r="A36" s="5" t="s">
        <v>518</v>
      </c>
      <c r="B36" s="3" t="s">
        <v>3015</v>
      </c>
      <c r="C36" s="2" t="s">
        <v>2087</v>
      </c>
      <c r="D36" s="3" t="s">
        <v>1836</v>
      </c>
      <c r="E36" s="3" t="s">
        <v>1837</v>
      </c>
      <c r="F36" s="3">
        <v>6.4826899999999998</v>
      </c>
      <c r="G36" s="3">
        <v>1.4261999999999999</v>
      </c>
      <c r="H36" s="6">
        <v>-2.1844199999999998</v>
      </c>
    </row>
    <row r="37" spans="1:8" s="2" customFormat="1" ht="15" x14ac:dyDescent="0.2">
      <c r="A37" s="5" t="s">
        <v>314</v>
      </c>
      <c r="B37" s="3" t="s">
        <v>3094</v>
      </c>
      <c r="C37" s="2" t="s">
        <v>1955</v>
      </c>
      <c r="D37" s="3" t="s">
        <v>1836</v>
      </c>
      <c r="E37" s="3" t="s">
        <v>1837</v>
      </c>
      <c r="F37" s="3">
        <v>1.49472</v>
      </c>
      <c r="G37" s="3">
        <v>0.33613900000000002</v>
      </c>
      <c r="H37" s="6">
        <v>-2.1527400000000001</v>
      </c>
    </row>
    <row r="38" spans="1:8" s="2" customFormat="1" ht="15" x14ac:dyDescent="0.2">
      <c r="A38" s="5" t="s">
        <v>656</v>
      </c>
      <c r="B38" s="3" t="s">
        <v>3015</v>
      </c>
      <c r="C38" s="2" t="s">
        <v>3015</v>
      </c>
      <c r="D38" s="3" t="s">
        <v>1836</v>
      </c>
      <c r="E38" s="3" t="s">
        <v>1837</v>
      </c>
      <c r="F38" s="3">
        <v>10.4472</v>
      </c>
      <c r="G38" s="3">
        <v>2.3680500000000002</v>
      </c>
      <c r="H38" s="6">
        <v>-2.14134</v>
      </c>
    </row>
    <row r="39" spans="1:8" s="2" customFormat="1" ht="15" x14ac:dyDescent="0.2">
      <c r="A39" s="5" t="s">
        <v>1022</v>
      </c>
      <c r="B39" s="3" t="s">
        <v>3015</v>
      </c>
      <c r="C39" s="2" t="s">
        <v>1847</v>
      </c>
      <c r="D39" s="3" t="s">
        <v>1836</v>
      </c>
      <c r="E39" s="3" t="s">
        <v>1837</v>
      </c>
      <c r="F39" s="3">
        <v>3.0855399999999999</v>
      </c>
      <c r="G39" s="3">
        <v>0.70496400000000004</v>
      </c>
      <c r="H39" s="6">
        <v>-2.1299000000000001</v>
      </c>
    </row>
    <row r="40" spans="1:8" s="2" customFormat="1" ht="15" x14ac:dyDescent="0.2">
      <c r="A40" s="5" t="s">
        <v>265</v>
      </c>
      <c r="B40" s="3" t="s">
        <v>3045</v>
      </c>
      <c r="C40" s="2" t="s">
        <v>1923</v>
      </c>
      <c r="D40" s="3" t="s">
        <v>1836</v>
      </c>
      <c r="E40" s="3" t="s">
        <v>1837</v>
      </c>
      <c r="F40" s="3">
        <v>1.00288</v>
      </c>
      <c r="G40" s="3">
        <v>0.23069400000000001</v>
      </c>
      <c r="H40" s="6">
        <v>-2.1200899999999998</v>
      </c>
    </row>
    <row r="41" spans="1:8" s="2" customFormat="1" ht="15" x14ac:dyDescent="0.2">
      <c r="A41" s="5" t="s">
        <v>929</v>
      </c>
      <c r="B41" s="3" t="s">
        <v>3047</v>
      </c>
      <c r="C41" s="2" t="s">
        <v>2277</v>
      </c>
      <c r="D41" s="3" t="s">
        <v>1836</v>
      </c>
      <c r="E41" s="3" t="s">
        <v>1837</v>
      </c>
      <c r="F41" s="3">
        <v>8.9835600000000007</v>
      </c>
      <c r="G41" s="3">
        <v>2.0699399999999999</v>
      </c>
      <c r="H41" s="6">
        <v>-2.1177000000000001</v>
      </c>
    </row>
    <row r="42" spans="1:8" s="2" customFormat="1" ht="15" x14ac:dyDescent="0.2">
      <c r="A42" s="5" t="s">
        <v>525</v>
      </c>
      <c r="B42" s="3" t="s">
        <v>3015</v>
      </c>
      <c r="C42" s="2" t="s">
        <v>3015</v>
      </c>
      <c r="D42" s="3" t="s">
        <v>1836</v>
      </c>
      <c r="E42" s="3" t="s">
        <v>1837</v>
      </c>
      <c r="F42" s="3">
        <v>18.343399999999999</v>
      </c>
      <c r="G42" s="3">
        <v>4.2271700000000001</v>
      </c>
      <c r="H42" s="6">
        <v>-2.1175000000000002</v>
      </c>
    </row>
    <row r="43" spans="1:8" s="2" customFormat="1" ht="15" x14ac:dyDescent="0.2">
      <c r="A43" s="5" t="s">
        <v>182</v>
      </c>
      <c r="B43" s="3" t="s">
        <v>3047</v>
      </c>
      <c r="C43" s="2" t="s">
        <v>1928</v>
      </c>
      <c r="D43" s="3" t="s">
        <v>1836</v>
      </c>
      <c r="E43" s="3" t="s">
        <v>1837</v>
      </c>
      <c r="F43" s="3">
        <v>0.87856100000000004</v>
      </c>
      <c r="G43" s="3">
        <v>0.20307700000000001</v>
      </c>
      <c r="H43" s="6">
        <v>-2.1131099999999998</v>
      </c>
    </row>
    <row r="44" spans="1:8" s="2" customFormat="1" ht="15" x14ac:dyDescent="0.2">
      <c r="A44" s="5" t="s">
        <v>135</v>
      </c>
      <c r="B44" s="3" t="s">
        <v>3015</v>
      </c>
      <c r="C44" s="2" t="s">
        <v>1904</v>
      </c>
      <c r="D44" s="3" t="s">
        <v>1836</v>
      </c>
      <c r="E44" s="3" t="s">
        <v>1837</v>
      </c>
      <c r="F44" s="3">
        <v>1.90184</v>
      </c>
      <c r="G44" s="3">
        <v>0.439998</v>
      </c>
      <c r="H44" s="6">
        <v>-2.1118299999999999</v>
      </c>
    </row>
    <row r="45" spans="1:8" s="2" customFormat="1" ht="15" x14ac:dyDescent="0.2">
      <c r="A45" s="5" t="s">
        <v>1083</v>
      </c>
      <c r="B45" s="3" t="s">
        <v>3080</v>
      </c>
      <c r="C45" s="2" t="s">
        <v>2350</v>
      </c>
      <c r="D45" s="3" t="s">
        <v>1836</v>
      </c>
      <c r="E45" s="3" t="s">
        <v>1837</v>
      </c>
      <c r="F45" s="3">
        <v>8.1259999999999994</v>
      </c>
      <c r="G45" s="3">
        <v>1.8910499999999999</v>
      </c>
      <c r="H45" s="6">
        <v>-2.1033599999999999</v>
      </c>
    </row>
    <row r="46" spans="1:8" s="2" customFormat="1" ht="15" x14ac:dyDescent="0.2">
      <c r="A46" s="5" t="s">
        <v>231</v>
      </c>
      <c r="B46" s="3" t="s">
        <v>3091</v>
      </c>
      <c r="C46" s="2" t="s">
        <v>3015</v>
      </c>
      <c r="D46" s="3" t="s">
        <v>1836</v>
      </c>
      <c r="E46" s="3" t="s">
        <v>1837</v>
      </c>
      <c r="F46" s="3">
        <v>2.6390799999999999</v>
      </c>
      <c r="G46" s="3">
        <v>0.61499300000000001</v>
      </c>
      <c r="H46" s="6">
        <v>-2.1013899999999999</v>
      </c>
    </row>
    <row r="47" spans="1:8" s="2" customFormat="1" ht="15" x14ac:dyDescent="0.2">
      <c r="A47" s="5" t="s">
        <v>429</v>
      </c>
      <c r="B47" s="3" t="s">
        <v>3094</v>
      </c>
      <c r="C47" s="2" t="s">
        <v>2042</v>
      </c>
      <c r="D47" s="3" t="s">
        <v>1836</v>
      </c>
      <c r="E47" s="3" t="s">
        <v>1837</v>
      </c>
      <c r="F47" s="3">
        <v>9.0958199999999998</v>
      </c>
      <c r="G47" s="3">
        <v>2.1496</v>
      </c>
      <c r="H47" s="6">
        <v>-2.08114</v>
      </c>
    </row>
    <row r="48" spans="1:8" s="2" customFormat="1" ht="15" x14ac:dyDescent="0.2">
      <c r="A48" s="5" t="s">
        <v>456</v>
      </c>
      <c r="B48" s="3" t="s">
        <v>3143</v>
      </c>
      <c r="C48" s="2" t="s">
        <v>2058</v>
      </c>
      <c r="D48" s="3" t="s">
        <v>1836</v>
      </c>
      <c r="E48" s="3" t="s">
        <v>1837</v>
      </c>
      <c r="F48" s="3">
        <v>389.113</v>
      </c>
      <c r="G48" s="3">
        <v>94.306399999999996</v>
      </c>
      <c r="H48" s="6">
        <v>-2.0447600000000001</v>
      </c>
    </row>
    <row r="49" spans="1:8" s="2" customFormat="1" ht="15" x14ac:dyDescent="0.2">
      <c r="A49" s="5" t="s">
        <v>69</v>
      </c>
      <c r="B49" s="3" t="s">
        <v>3047</v>
      </c>
      <c r="C49" s="2" t="s">
        <v>1879</v>
      </c>
      <c r="D49" s="3" t="s">
        <v>1836</v>
      </c>
      <c r="E49" s="3" t="s">
        <v>1837</v>
      </c>
      <c r="F49" s="3">
        <v>4.0621799999999997</v>
      </c>
      <c r="G49" s="3">
        <v>0.99835700000000005</v>
      </c>
      <c r="H49" s="6">
        <v>-2.0246300000000002</v>
      </c>
    </row>
    <row r="50" spans="1:8" s="2" customFormat="1" ht="15" x14ac:dyDescent="0.2">
      <c r="A50" s="5" t="s">
        <v>121</v>
      </c>
      <c r="B50" s="3" t="s">
        <v>3015</v>
      </c>
      <c r="C50" s="2" t="s">
        <v>1897</v>
      </c>
      <c r="D50" s="3" t="s">
        <v>1836</v>
      </c>
      <c r="E50" s="3" t="s">
        <v>1837</v>
      </c>
      <c r="F50" s="3">
        <v>17.191099999999999</v>
      </c>
      <c r="G50" s="3">
        <v>4.23956</v>
      </c>
      <c r="H50" s="6">
        <v>-2.0196700000000001</v>
      </c>
    </row>
    <row r="51" spans="1:8" s="2" customFormat="1" ht="15" x14ac:dyDescent="0.2">
      <c r="A51" s="5" t="s">
        <v>696</v>
      </c>
      <c r="B51" s="3" t="s">
        <v>3193</v>
      </c>
      <c r="C51" s="2" t="s">
        <v>2166</v>
      </c>
      <c r="D51" s="3" t="s">
        <v>1836</v>
      </c>
      <c r="E51" s="3" t="s">
        <v>1837</v>
      </c>
      <c r="F51" s="3">
        <v>15.4168</v>
      </c>
      <c r="G51" s="3">
        <v>3.8514400000000002</v>
      </c>
      <c r="H51" s="6">
        <v>-2.0010300000000001</v>
      </c>
    </row>
    <row r="52" spans="1:8" s="2" customFormat="1" ht="15" x14ac:dyDescent="0.2">
      <c r="A52" s="5" t="s">
        <v>480</v>
      </c>
      <c r="B52" s="3" t="s">
        <v>3039</v>
      </c>
      <c r="C52" s="2" t="s">
        <v>2068</v>
      </c>
      <c r="D52" s="3" t="s">
        <v>1836</v>
      </c>
      <c r="E52" s="3" t="s">
        <v>1837</v>
      </c>
      <c r="F52" s="3">
        <v>9.6453000000000007</v>
      </c>
      <c r="G52" s="3">
        <v>2.4267500000000002</v>
      </c>
      <c r="H52" s="6">
        <v>-1.9907999999999999</v>
      </c>
    </row>
    <row r="53" spans="1:8" s="2" customFormat="1" ht="15" x14ac:dyDescent="0.2">
      <c r="A53" s="5" t="s">
        <v>1036</v>
      </c>
      <c r="B53" s="3" t="s">
        <v>3015</v>
      </c>
      <c r="C53" s="2" t="s">
        <v>2330</v>
      </c>
      <c r="D53" s="3" t="s">
        <v>1836</v>
      </c>
      <c r="E53" s="3" t="s">
        <v>1837</v>
      </c>
      <c r="F53" s="3">
        <v>1.91411</v>
      </c>
      <c r="G53" s="3">
        <v>0.49096400000000001</v>
      </c>
      <c r="H53" s="6">
        <v>-1.96299</v>
      </c>
    </row>
    <row r="54" spans="1:8" s="2" customFormat="1" ht="15" x14ac:dyDescent="0.2">
      <c r="A54" s="5" t="s">
        <v>413</v>
      </c>
      <c r="B54" s="3" t="s">
        <v>3050</v>
      </c>
      <c r="C54" s="2" t="s">
        <v>2033</v>
      </c>
      <c r="D54" s="3" t="s">
        <v>1836</v>
      </c>
      <c r="E54" s="3" t="s">
        <v>1837</v>
      </c>
      <c r="F54" s="3">
        <v>6.9451999999999998</v>
      </c>
      <c r="G54" s="3">
        <v>1.7853699999999999</v>
      </c>
      <c r="H54" s="6">
        <v>-1.9597899999999999</v>
      </c>
    </row>
    <row r="55" spans="1:8" s="2" customFormat="1" ht="15" x14ac:dyDescent="0.2">
      <c r="A55" s="5" t="s">
        <v>854</v>
      </c>
      <c r="B55" s="3" t="s">
        <v>3058</v>
      </c>
      <c r="C55" s="2" t="s">
        <v>2237</v>
      </c>
      <c r="D55" s="3" t="s">
        <v>1836</v>
      </c>
      <c r="E55" s="3" t="s">
        <v>1837</v>
      </c>
      <c r="F55" s="3">
        <v>2.8422999999999998</v>
      </c>
      <c r="G55" s="3">
        <v>0.734043</v>
      </c>
      <c r="H55" s="6">
        <v>-1.95313</v>
      </c>
    </row>
    <row r="56" spans="1:8" s="2" customFormat="1" ht="15" x14ac:dyDescent="0.2">
      <c r="A56" s="5" t="s">
        <v>524</v>
      </c>
      <c r="B56" s="3" t="s">
        <v>3015</v>
      </c>
      <c r="C56" s="2" t="s">
        <v>3015</v>
      </c>
      <c r="D56" s="3" t="s">
        <v>1836</v>
      </c>
      <c r="E56" s="3" t="s">
        <v>1837</v>
      </c>
      <c r="F56" s="3">
        <v>114.264</v>
      </c>
      <c r="G56" s="3">
        <v>29.545200000000001</v>
      </c>
      <c r="H56" s="6">
        <v>-1.95137</v>
      </c>
    </row>
    <row r="57" spans="1:8" s="2" customFormat="1" ht="15" x14ac:dyDescent="0.2">
      <c r="A57" s="5" t="s">
        <v>396</v>
      </c>
      <c r="B57" s="3" t="s">
        <v>3015</v>
      </c>
      <c r="C57" s="2" t="s">
        <v>3015</v>
      </c>
      <c r="D57" s="3" t="s">
        <v>1836</v>
      </c>
      <c r="E57" s="3" t="s">
        <v>1837</v>
      </c>
      <c r="F57" s="3">
        <v>8.1166800000000006</v>
      </c>
      <c r="G57" s="3">
        <v>2.0994600000000001</v>
      </c>
      <c r="H57" s="6">
        <v>-1.9508700000000001</v>
      </c>
    </row>
    <row r="58" spans="1:8" s="2" customFormat="1" ht="15" x14ac:dyDescent="0.2">
      <c r="A58" s="5" t="s">
        <v>961</v>
      </c>
      <c r="B58" s="3" t="s">
        <v>3247</v>
      </c>
      <c r="C58" s="2" t="s">
        <v>2294</v>
      </c>
      <c r="D58" s="3" t="s">
        <v>1836</v>
      </c>
      <c r="E58" s="3" t="s">
        <v>1837</v>
      </c>
      <c r="F58" s="3">
        <v>39.926600000000001</v>
      </c>
      <c r="G58" s="3">
        <v>10.3432</v>
      </c>
      <c r="H58" s="6">
        <v>-1.9486699999999999</v>
      </c>
    </row>
    <row r="59" spans="1:8" s="2" customFormat="1" ht="15" x14ac:dyDescent="0.2">
      <c r="A59" s="5" t="s">
        <v>744</v>
      </c>
      <c r="B59" s="3" t="s">
        <v>3202</v>
      </c>
      <c r="C59" s="2" t="s">
        <v>1937</v>
      </c>
      <c r="D59" s="3" t="s">
        <v>1836</v>
      </c>
      <c r="E59" s="3" t="s">
        <v>1837</v>
      </c>
      <c r="F59" s="3">
        <v>2.5004200000000001</v>
      </c>
      <c r="G59" s="3">
        <v>0.650474</v>
      </c>
      <c r="H59" s="6">
        <v>-1.9426099999999999</v>
      </c>
    </row>
    <row r="60" spans="1:8" s="2" customFormat="1" ht="15" x14ac:dyDescent="0.2">
      <c r="A60" s="5" t="s">
        <v>1017</v>
      </c>
      <c r="B60" s="3" t="s">
        <v>3094</v>
      </c>
      <c r="C60" s="2" t="s">
        <v>2321</v>
      </c>
      <c r="D60" s="3" t="s">
        <v>1836</v>
      </c>
      <c r="E60" s="3" t="s">
        <v>1837</v>
      </c>
      <c r="F60" s="3">
        <v>2.3548800000000001</v>
      </c>
      <c r="G60" s="3">
        <v>0.61653999999999998</v>
      </c>
      <c r="H60" s="6">
        <v>-1.9333800000000001</v>
      </c>
    </row>
    <row r="61" spans="1:8" s="2" customFormat="1" ht="15" x14ac:dyDescent="0.2">
      <c r="A61" s="5" t="s">
        <v>907</v>
      </c>
      <c r="B61" s="3" t="s">
        <v>3234</v>
      </c>
      <c r="C61" s="2" t="s">
        <v>2264</v>
      </c>
      <c r="D61" s="3" t="s">
        <v>1836</v>
      </c>
      <c r="E61" s="3" t="s">
        <v>1837</v>
      </c>
      <c r="F61" s="3">
        <v>1.0944799999999999</v>
      </c>
      <c r="G61" s="3">
        <v>0.28693600000000002</v>
      </c>
      <c r="H61" s="6">
        <v>-1.93144</v>
      </c>
    </row>
    <row r="62" spans="1:8" s="2" customFormat="1" ht="15" x14ac:dyDescent="0.2">
      <c r="A62" s="5" t="s">
        <v>616</v>
      </c>
      <c r="B62" s="3" t="s">
        <v>3176</v>
      </c>
      <c r="C62" s="2" t="s">
        <v>2130</v>
      </c>
      <c r="D62" s="3" t="s">
        <v>1836</v>
      </c>
      <c r="E62" s="3" t="s">
        <v>1837</v>
      </c>
      <c r="F62" s="3">
        <v>9.3573799999999991</v>
      </c>
      <c r="G62" s="3">
        <v>2.46454</v>
      </c>
      <c r="H62" s="6">
        <v>-1.9247799999999999</v>
      </c>
    </row>
    <row r="63" spans="1:8" s="2" customFormat="1" ht="15" x14ac:dyDescent="0.2">
      <c r="A63" s="5" t="s">
        <v>731</v>
      </c>
      <c r="B63" s="3" t="s">
        <v>3015</v>
      </c>
      <c r="C63" s="2" t="s">
        <v>2183</v>
      </c>
      <c r="D63" s="3" t="s">
        <v>1836</v>
      </c>
      <c r="E63" s="3" t="s">
        <v>1837</v>
      </c>
      <c r="F63" s="3">
        <v>5.3973699999999996</v>
      </c>
      <c r="G63" s="3">
        <v>1.42554</v>
      </c>
      <c r="H63" s="6">
        <v>-1.92075</v>
      </c>
    </row>
    <row r="64" spans="1:8" s="2" customFormat="1" ht="15" x14ac:dyDescent="0.2">
      <c r="A64" s="5" t="s">
        <v>1025</v>
      </c>
      <c r="B64" s="3" t="s">
        <v>3094</v>
      </c>
      <c r="C64" s="2" t="s">
        <v>2325</v>
      </c>
      <c r="D64" s="3" t="s">
        <v>1836</v>
      </c>
      <c r="E64" s="3" t="s">
        <v>1837</v>
      </c>
      <c r="F64" s="3">
        <v>1.7602599999999999</v>
      </c>
      <c r="G64" s="3">
        <v>0.46684799999999999</v>
      </c>
      <c r="H64" s="6">
        <v>-1.91476</v>
      </c>
    </row>
    <row r="65" spans="1:8" s="2" customFormat="1" ht="15" x14ac:dyDescent="0.2">
      <c r="A65" s="5" t="s">
        <v>282</v>
      </c>
      <c r="B65" s="3" t="s">
        <v>3105</v>
      </c>
      <c r="C65" s="2" t="s">
        <v>1974</v>
      </c>
      <c r="D65" s="3" t="s">
        <v>1836</v>
      </c>
      <c r="E65" s="3" t="s">
        <v>1837</v>
      </c>
      <c r="F65" s="3">
        <v>5.4650999999999996</v>
      </c>
      <c r="G65" s="3">
        <v>1.46767</v>
      </c>
      <c r="H65" s="6">
        <v>-1.89672</v>
      </c>
    </row>
    <row r="66" spans="1:8" s="2" customFormat="1" ht="15" x14ac:dyDescent="0.2">
      <c r="A66" s="5" t="s">
        <v>280</v>
      </c>
      <c r="B66" s="3" t="s">
        <v>3015</v>
      </c>
      <c r="C66" s="2" t="s">
        <v>1973</v>
      </c>
      <c r="D66" s="3" t="s">
        <v>1836</v>
      </c>
      <c r="E66" s="3" t="s">
        <v>1837</v>
      </c>
      <c r="F66" s="3">
        <v>1.0440799999999999</v>
      </c>
      <c r="G66" s="3">
        <v>0.28086299999999997</v>
      </c>
      <c r="H66" s="6">
        <v>-1.89429</v>
      </c>
    </row>
    <row r="67" spans="1:8" s="2" customFormat="1" ht="15" x14ac:dyDescent="0.2">
      <c r="A67" s="5" t="s">
        <v>997</v>
      </c>
      <c r="B67" s="3" t="s">
        <v>3254</v>
      </c>
      <c r="C67" s="2" t="s">
        <v>1847</v>
      </c>
      <c r="D67" s="3" t="s">
        <v>1836</v>
      </c>
      <c r="E67" s="3" t="s">
        <v>1837</v>
      </c>
      <c r="F67" s="3">
        <v>24.437200000000001</v>
      </c>
      <c r="G67" s="3">
        <v>6.6295799999999998</v>
      </c>
      <c r="H67" s="6">
        <v>-1.88209</v>
      </c>
    </row>
    <row r="68" spans="1:8" s="2" customFormat="1" ht="15" x14ac:dyDescent="0.2">
      <c r="A68" s="5" t="s">
        <v>496</v>
      </c>
      <c r="B68" s="3" t="s">
        <v>3015</v>
      </c>
      <c r="C68" s="2" t="s">
        <v>1847</v>
      </c>
      <c r="D68" s="3" t="s">
        <v>1836</v>
      </c>
      <c r="E68" s="3" t="s">
        <v>1837</v>
      </c>
      <c r="F68" s="3">
        <v>2.05965</v>
      </c>
      <c r="G68" s="3">
        <v>0.55950800000000001</v>
      </c>
      <c r="H68" s="6">
        <v>-1.8801699999999999</v>
      </c>
    </row>
    <row r="69" spans="1:8" s="2" customFormat="1" ht="15" x14ac:dyDescent="0.2">
      <c r="A69" s="5" t="s">
        <v>264</v>
      </c>
      <c r="B69" s="3" t="s">
        <v>3102</v>
      </c>
      <c r="C69" s="2" t="s">
        <v>1968</v>
      </c>
      <c r="D69" s="3" t="s">
        <v>1836</v>
      </c>
      <c r="E69" s="3" t="s">
        <v>1837</v>
      </c>
      <c r="F69" s="3">
        <v>1.15181</v>
      </c>
      <c r="G69" s="3">
        <v>0.31417600000000001</v>
      </c>
      <c r="H69" s="6">
        <v>-1.87426</v>
      </c>
    </row>
    <row r="70" spans="1:8" s="2" customFormat="1" ht="15" x14ac:dyDescent="0.2">
      <c r="A70" s="5" t="s">
        <v>830</v>
      </c>
      <c r="B70" s="3" t="s">
        <v>3015</v>
      </c>
      <c r="C70" s="2" t="s">
        <v>2005</v>
      </c>
      <c r="D70" s="3" t="s">
        <v>1836</v>
      </c>
      <c r="E70" s="3" t="s">
        <v>1837</v>
      </c>
      <c r="F70" s="3">
        <v>2.8201299999999998</v>
      </c>
      <c r="G70" s="3">
        <v>0.77189200000000002</v>
      </c>
      <c r="H70" s="6">
        <v>-1.8692899999999999</v>
      </c>
    </row>
    <row r="71" spans="1:8" s="2" customFormat="1" ht="15" x14ac:dyDescent="0.2">
      <c r="A71" s="5" t="s">
        <v>750</v>
      </c>
      <c r="B71" s="3" t="s">
        <v>3047</v>
      </c>
      <c r="C71" s="2" t="s">
        <v>3015</v>
      </c>
      <c r="D71" s="3" t="s">
        <v>1836</v>
      </c>
      <c r="E71" s="3" t="s">
        <v>1837</v>
      </c>
      <c r="F71" s="3">
        <v>5.2603799999999996</v>
      </c>
      <c r="G71" s="3">
        <v>1.4453800000000001</v>
      </c>
      <c r="H71" s="6">
        <v>-1.86372</v>
      </c>
    </row>
    <row r="72" spans="1:8" s="2" customFormat="1" ht="15" x14ac:dyDescent="0.2">
      <c r="A72" s="5" t="s">
        <v>18</v>
      </c>
      <c r="B72" s="3" t="s">
        <v>3015</v>
      </c>
      <c r="C72" s="2" t="s">
        <v>1850</v>
      </c>
      <c r="D72" s="3" t="s">
        <v>1836</v>
      </c>
      <c r="E72" s="3" t="s">
        <v>1837</v>
      </c>
      <c r="F72" s="3">
        <v>1.2079200000000001</v>
      </c>
      <c r="G72" s="3">
        <v>0.33419900000000002</v>
      </c>
      <c r="H72" s="6">
        <v>-1.85375</v>
      </c>
    </row>
    <row r="73" spans="1:8" s="2" customFormat="1" ht="15" x14ac:dyDescent="0.2">
      <c r="A73" s="5" t="s">
        <v>531</v>
      </c>
      <c r="B73" s="3" t="s">
        <v>3093</v>
      </c>
      <c r="C73" s="2" t="s">
        <v>2094</v>
      </c>
      <c r="D73" s="3" t="s">
        <v>1836</v>
      </c>
      <c r="E73" s="3" t="s">
        <v>1837</v>
      </c>
      <c r="F73" s="3">
        <v>0.881525</v>
      </c>
      <c r="G73" s="3">
        <v>0.244174</v>
      </c>
      <c r="H73" s="6">
        <v>-1.85209</v>
      </c>
    </row>
    <row r="74" spans="1:8" s="2" customFormat="1" ht="15" x14ac:dyDescent="0.2">
      <c r="A74" s="5" t="s">
        <v>24</v>
      </c>
      <c r="B74" s="3" t="s">
        <v>3015</v>
      </c>
      <c r="C74" s="2" t="s">
        <v>3015</v>
      </c>
      <c r="D74" s="3" t="s">
        <v>1836</v>
      </c>
      <c r="E74" s="3" t="s">
        <v>1837</v>
      </c>
      <c r="F74" s="3">
        <v>3.9942299999999999</v>
      </c>
      <c r="G74" s="3">
        <v>1.11087</v>
      </c>
      <c r="H74" s="6">
        <v>-1.84622</v>
      </c>
    </row>
    <row r="75" spans="1:8" s="2" customFormat="1" ht="15" x14ac:dyDescent="0.2">
      <c r="A75" s="5" t="s">
        <v>625</v>
      </c>
      <c r="B75" s="3" t="s">
        <v>3015</v>
      </c>
      <c r="C75" s="2" t="s">
        <v>2134</v>
      </c>
      <c r="D75" s="3" t="s">
        <v>1836</v>
      </c>
      <c r="E75" s="3" t="s">
        <v>1837</v>
      </c>
      <c r="F75" s="3">
        <v>2.1829100000000001</v>
      </c>
      <c r="G75" s="3">
        <v>0.61018300000000003</v>
      </c>
      <c r="H75" s="6">
        <v>-1.83894</v>
      </c>
    </row>
    <row r="76" spans="1:8" s="2" customFormat="1" ht="15" x14ac:dyDescent="0.2">
      <c r="A76" s="5" t="s">
        <v>595</v>
      </c>
      <c r="B76" s="3" t="s">
        <v>3171</v>
      </c>
      <c r="C76" s="2" t="s">
        <v>2123</v>
      </c>
      <c r="D76" s="3" t="s">
        <v>1836</v>
      </c>
      <c r="E76" s="3" t="s">
        <v>1837</v>
      </c>
      <c r="F76" s="3">
        <v>2.1012900000000001</v>
      </c>
      <c r="G76" s="3">
        <v>0.58864000000000005</v>
      </c>
      <c r="H76" s="6">
        <v>-1.83582</v>
      </c>
    </row>
    <row r="77" spans="1:8" s="2" customFormat="1" ht="15" x14ac:dyDescent="0.2">
      <c r="A77" s="5" t="s">
        <v>789</v>
      </c>
      <c r="B77" s="3" t="s">
        <v>3015</v>
      </c>
      <c r="C77" s="2" t="s">
        <v>2202</v>
      </c>
      <c r="D77" s="3" t="s">
        <v>1836</v>
      </c>
      <c r="E77" s="3" t="s">
        <v>1837</v>
      </c>
      <c r="F77" s="3">
        <v>2.0173899999999998</v>
      </c>
      <c r="G77" s="3">
        <v>0.58014500000000002</v>
      </c>
      <c r="H77" s="6">
        <v>-1.798</v>
      </c>
    </row>
    <row r="78" spans="1:8" s="2" customFormat="1" ht="15" x14ac:dyDescent="0.2">
      <c r="A78" s="5" t="s">
        <v>718</v>
      </c>
      <c r="B78" s="3" t="s">
        <v>3094</v>
      </c>
      <c r="C78" s="2" t="s">
        <v>2178</v>
      </c>
      <c r="D78" s="3" t="s">
        <v>1836</v>
      </c>
      <c r="E78" s="3" t="s">
        <v>1837</v>
      </c>
      <c r="F78" s="3">
        <v>1.67675</v>
      </c>
      <c r="G78" s="3">
        <v>0.484346</v>
      </c>
      <c r="H78" s="6">
        <v>-1.79155</v>
      </c>
    </row>
    <row r="79" spans="1:8" s="2" customFormat="1" ht="15" x14ac:dyDescent="0.2">
      <c r="A79" s="5" t="s">
        <v>484</v>
      </c>
      <c r="B79" s="3" t="s">
        <v>3015</v>
      </c>
      <c r="C79" s="2" t="s">
        <v>2070</v>
      </c>
      <c r="D79" s="3" t="s">
        <v>1836</v>
      </c>
      <c r="E79" s="3" t="s">
        <v>1837</v>
      </c>
      <c r="F79" s="3">
        <v>15.450100000000001</v>
      </c>
      <c r="G79" s="3">
        <v>4.4669699999999999</v>
      </c>
      <c r="H79" s="6">
        <v>-1.7902499999999999</v>
      </c>
    </row>
    <row r="80" spans="1:8" s="2" customFormat="1" ht="15" x14ac:dyDescent="0.2">
      <c r="A80" s="5" t="s">
        <v>889</v>
      </c>
      <c r="B80" s="3" t="s">
        <v>3037</v>
      </c>
      <c r="C80" s="2" t="s">
        <v>2255</v>
      </c>
      <c r="D80" s="3" t="s">
        <v>1836</v>
      </c>
      <c r="E80" s="3" t="s">
        <v>1837</v>
      </c>
      <c r="F80" s="3">
        <v>10.1067</v>
      </c>
      <c r="G80" s="3">
        <v>2.9230200000000002</v>
      </c>
      <c r="H80" s="6">
        <v>-1.7897799999999999</v>
      </c>
    </row>
    <row r="81" spans="1:8" s="2" customFormat="1" ht="15" x14ac:dyDescent="0.2">
      <c r="A81" s="5" t="s">
        <v>1116</v>
      </c>
      <c r="B81" s="3" t="s">
        <v>3039</v>
      </c>
      <c r="C81" s="2" t="s">
        <v>2105</v>
      </c>
      <c r="D81" s="3" t="s">
        <v>1836</v>
      </c>
      <c r="E81" s="3" t="s">
        <v>1837</v>
      </c>
      <c r="F81" s="3">
        <v>1.7441899999999999</v>
      </c>
      <c r="G81" s="3">
        <v>0.51059200000000005</v>
      </c>
      <c r="H81" s="6">
        <v>-1.7723100000000001</v>
      </c>
    </row>
    <row r="82" spans="1:8" s="2" customFormat="1" ht="15" x14ac:dyDescent="0.2">
      <c r="A82" s="5" t="s">
        <v>843</v>
      </c>
      <c r="B82" s="3" t="s">
        <v>3032</v>
      </c>
      <c r="C82" s="2" t="s">
        <v>2230</v>
      </c>
      <c r="D82" s="3" t="s">
        <v>1836</v>
      </c>
      <c r="E82" s="3" t="s">
        <v>1837</v>
      </c>
      <c r="F82" s="3">
        <v>0.96376499999999998</v>
      </c>
      <c r="G82" s="3">
        <v>0.28293000000000001</v>
      </c>
      <c r="H82" s="6">
        <v>-1.76824</v>
      </c>
    </row>
    <row r="83" spans="1:8" s="2" customFormat="1" ht="15" x14ac:dyDescent="0.2">
      <c r="A83" s="5" t="s">
        <v>1016</v>
      </c>
      <c r="B83" s="3" t="s">
        <v>3038</v>
      </c>
      <c r="C83" s="2" t="s">
        <v>2320</v>
      </c>
      <c r="D83" s="3" t="s">
        <v>1836</v>
      </c>
      <c r="E83" s="3" t="s">
        <v>1837</v>
      </c>
      <c r="F83" s="3">
        <v>1.04027</v>
      </c>
      <c r="G83" s="3">
        <v>0.30686200000000002</v>
      </c>
      <c r="H83" s="6">
        <v>-1.76129</v>
      </c>
    </row>
    <row r="84" spans="1:8" s="2" customFormat="1" ht="15" x14ac:dyDescent="0.2">
      <c r="A84" s="5" t="s">
        <v>428</v>
      </c>
      <c r="B84" s="3" t="s">
        <v>3080</v>
      </c>
      <c r="C84" s="2" t="s">
        <v>2041</v>
      </c>
      <c r="D84" s="3" t="s">
        <v>1836</v>
      </c>
      <c r="E84" s="3" t="s">
        <v>1837</v>
      </c>
      <c r="F84" s="3">
        <v>1.51708</v>
      </c>
      <c r="G84" s="3">
        <v>0.44758599999999998</v>
      </c>
      <c r="H84" s="6">
        <v>-1.7610600000000001</v>
      </c>
    </row>
    <row r="85" spans="1:8" s="2" customFormat="1" ht="15" x14ac:dyDescent="0.2">
      <c r="A85" s="5" t="s">
        <v>914</v>
      </c>
      <c r="B85" s="3" t="s">
        <v>3015</v>
      </c>
      <c r="C85" s="2" t="s">
        <v>2268</v>
      </c>
      <c r="D85" s="3" t="s">
        <v>1836</v>
      </c>
      <c r="E85" s="3" t="s">
        <v>1837</v>
      </c>
      <c r="F85" s="3">
        <v>1.7861400000000001</v>
      </c>
      <c r="G85" s="3">
        <v>0.52727900000000005</v>
      </c>
      <c r="H85" s="6">
        <v>-1.7602</v>
      </c>
    </row>
    <row r="86" spans="1:8" s="2" customFormat="1" ht="15" x14ac:dyDescent="0.2">
      <c r="A86" s="5" t="s">
        <v>641</v>
      </c>
      <c r="B86" s="3" t="s">
        <v>3015</v>
      </c>
      <c r="C86" s="2" t="s">
        <v>3015</v>
      </c>
      <c r="D86" s="3" t="s">
        <v>1836</v>
      </c>
      <c r="E86" s="3" t="s">
        <v>1837</v>
      </c>
      <c r="F86" s="3">
        <v>7.6719099999999996</v>
      </c>
      <c r="G86" s="3">
        <v>2.2728299999999999</v>
      </c>
      <c r="H86" s="6">
        <v>-1.7551000000000001</v>
      </c>
    </row>
    <row r="87" spans="1:8" s="2" customFormat="1" ht="15" x14ac:dyDescent="0.2">
      <c r="A87" s="5" t="s">
        <v>988</v>
      </c>
      <c r="B87" s="3" t="s">
        <v>3047</v>
      </c>
      <c r="C87" s="2" t="s">
        <v>2277</v>
      </c>
      <c r="D87" s="3" t="s">
        <v>1836</v>
      </c>
      <c r="E87" s="3" t="s">
        <v>1837</v>
      </c>
      <c r="F87" s="3">
        <v>9.5418099999999999</v>
      </c>
      <c r="G87" s="3">
        <v>2.8335499999999998</v>
      </c>
      <c r="H87" s="6">
        <v>-1.7516499999999999</v>
      </c>
    </row>
    <row r="88" spans="1:8" s="2" customFormat="1" ht="15" x14ac:dyDescent="0.2">
      <c r="A88" s="5" t="s">
        <v>1076</v>
      </c>
      <c r="B88" s="3" t="s">
        <v>3266</v>
      </c>
      <c r="C88" s="2" t="s">
        <v>2347</v>
      </c>
      <c r="D88" s="3" t="s">
        <v>1836</v>
      </c>
      <c r="E88" s="3" t="s">
        <v>1837</v>
      </c>
      <c r="F88" s="3">
        <v>1.0552600000000001</v>
      </c>
      <c r="G88" s="3">
        <v>0.313948</v>
      </c>
      <c r="H88" s="6">
        <v>-1.74899</v>
      </c>
    </row>
    <row r="89" spans="1:8" s="2" customFormat="1" ht="15" x14ac:dyDescent="0.2">
      <c r="A89" s="5" t="s">
        <v>1033</v>
      </c>
      <c r="B89" s="3" t="s">
        <v>3261</v>
      </c>
      <c r="C89" s="2" t="s">
        <v>2329</v>
      </c>
      <c r="D89" s="3" t="s">
        <v>1836</v>
      </c>
      <c r="E89" s="3" t="s">
        <v>1837</v>
      </c>
      <c r="F89" s="3">
        <v>20.3626</v>
      </c>
      <c r="G89" s="3">
        <v>6.0663</v>
      </c>
      <c r="H89" s="6">
        <v>-1.7470300000000001</v>
      </c>
    </row>
    <row r="90" spans="1:8" s="2" customFormat="1" ht="15" x14ac:dyDescent="0.2">
      <c r="A90" s="5" t="s">
        <v>443</v>
      </c>
      <c r="B90" s="3" t="s">
        <v>3139</v>
      </c>
      <c r="C90" s="2" t="s">
        <v>2048</v>
      </c>
      <c r="D90" s="3" t="s">
        <v>1836</v>
      </c>
      <c r="E90" s="3" t="s">
        <v>1837</v>
      </c>
      <c r="F90" s="3">
        <v>26.4116</v>
      </c>
      <c r="G90" s="3">
        <v>7.88727</v>
      </c>
      <c r="H90" s="6">
        <v>-1.7435700000000001</v>
      </c>
    </row>
    <row r="91" spans="1:8" s="2" customFormat="1" ht="15" x14ac:dyDescent="0.2">
      <c r="A91" s="5" t="s">
        <v>909</v>
      </c>
      <c r="B91" s="3" t="s">
        <v>3015</v>
      </c>
      <c r="C91" s="2" t="s">
        <v>2265</v>
      </c>
      <c r="D91" s="3" t="s">
        <v>1836</v>
      </c>
      <c r="E91" s="3" t="s">
        <v>1837</v>
      </c>
      <c r="F91" s="3">
        <v>1.6230100000000001</v>
      </c>
      <c r="G91" s="3">
        <v>0.49054999999999999</v>
      </c>
      <c r="H91" s="6">
        <v>-1.7262</v>
      </c>
    </row>
    <row r="92" spans="1:8" s="2" customFormat="1" ht="15" x14ac:dyDescent="0.2">
      <c r="A92" s="5" t="s">
        <v>960</v>
      </c>
      <c r="B92" s="3" t="s">
        <v>3038</v>
      </c>
      <c r="C92" s="2" t="s">
        <v>2293</v>
      </c>
      <c r="D92" s="3" t="s">
        <v>1836</v>
      </c>
      <c r="E92" s="3" t="s">
        <v>1837</v>
      </c>
      <c r="F92" s="3">
        <v>12.0421</v>
      </c>
      <c r="G92" s="3">
        <v>3.6397599999999999</v>
      </c>
      <c r="H92" s="6">
        <v>-1.72617</v>
      </c>
    </row>
    <row r="93" spans="1:8" s="2" customFormat="1" ht="15" x14ac:dyDescent="0.2">
      <c r="A93" s="5" t="s">
        <v>1046</v>
      </c>
      <c r="B93" s="3" t="s">
        <v>3073</v>
      </c>
      <c r="C93" s="2" t="s">
        <v>2334</v>
      </c>
      <c r="D93" s="3" t="s">
        <v>1836</v>
      </c>
      <c r="E93" s="3" t="s">
        <v>1837</v>
      </c>
      <c r="F93" s="3">
        <v>5.6726799999999997</v>
      </c>
      <c r="G93" s="3">
        <v>1.7147699999999999</v>
      </c>
      <c r="H93" s="6">
        <v>-1.7260200000000001</v>
      </c>
    </row>
    <row r="94" spans="1:8" s="2" customFormat="1" ht="15" x14ac:dyDescent="0.2">
      <c r="A94" s="5" t="s">
        <v>713</v>
      </c>
      <c r="B94" s="3" t="s">
        <v>3015</v>
      </c>
      <c r="C94" s="2" t="s">
        <v>2175</v>
      </c>
      <c r="D94" s="3" t="s">
        <v>1836</v>
      </c>
      <c r="E94" s="3" t="s">
        <v>1837</v>
      </c>
      <c r="F94" s="3">
        <v>6.0875300000000001</v>
      </c>
      <c r="G94" s="3">
        <v>1.87673</v>
      </c>
      <c r="H94" s="6">
        <v>-1.69764</v>
      </c>
    </row>
    <row r="95" spans="1:8" s="2" customFormat="1" ht="15" x14ac:dyDescent="0.2">
      <c r="A95" s="5" t="s">
        <v>931</v>
      </c>
      <c r="B95" s="3" t="s">
        <v>3241</v>
      </c>
      <c r="C95" s="2" t="s">
        <v>2279</v>
      </c>
      <c r="D95" s="3" t="s">
        <v>1836</v>
      </c>
      <c r="E95" s="3" t="s">
        <v>1837</v>
      </c>
      <c r="F95" s="3">
        <v>10.908799999999999</v>
      </c>
      <c r="G95" s="3">
        <v>3.3734899999999999</v>
      </c>
      <c r="H95" s="6">
        <v>-1.6931799999999999</v>
      </c>
    </row>
    <row r="96" spans="1:8" s="2" customFormat="1" ht="15" x14ac:dyDescent="0.2">
      <c r="A96" s="5" t="s">
        <v>236</v>
      </c>
      <c r="B96" s="3" t="s">
        <v>3094</v>
      </c>
      <c r="C96" s="2" t="s">
        <v>1955</v>
      </c>
      <c r="D96" s="3" t="s">
        <v>1836</v>
      </c>
      <c r="E96" s="3" t="s">
        <v>1837</v>
      </c>
      <c r="F96" s="3">
        <v>2.7602500000000001</v>
      </c>
      <c r="G96" s="3">
        <v>0.86114900000000005</v>
      </c>
      <c r="H96" s="6">
        <v>-1.6804600000000001</v>
      </c>
    </row>
    <row r="97" spans="1:8" s="2" customFormat="1" ht="15" x14ac:dyDescent="0.2">
      <c r="A97" s="5" t="s">
        <v>8</v>
      </c>
      <c r="B97" s="3" t="s">
        <v>3015</v>
      </c>
      <c r="C97" s="2" t="s">
        <v>3015</v>
      </c>
      <c r="D97" s="3" t="s">
        <v>1836</v>
      </c>
      <c r="E97" s="3" t="s">
        <v>1837</v>
      </c>
      <c r="F97" s="3">
        <v>3.0423200000000001</v>
      </c>
      <c r="G97" s="3">
        <v>0.95230999999999999</v>
      </c>
      <c r="H97" s="6">
        <v>-1.67567</v>
      </c>
    </row>
    <row r="98" spans="1:8" s="2" customFormat="1" ht="15" x14ac:dyDescent="0.2">
      <c r="A98" s="5" t="s">
        <v>230</v>
      </c>
      <c r="B98" s="3" t="s">
        <v>3090</v>
      </c>
      <c r="C98" s="2" t="s">
        <v>1951</v>
      </c>
      <c r="D98" s="3" t="s">
        <v>1836</v>
      </c>
      <c r="E98" s="3" t="s">
        <v>1837</v>
      </c>
      <c r="F98" s="3">
        <v>52.3384</v>
      </c>
      <c r="G98" s="3">
        <v>16.386700000000001</v>
      </c>
      <c r="H98" s="6">
        <v>-1.6753499999999999</v>
      </c>
    </row>
    <row r="99" spans="1:8" s="2" customFormat="1" ht="15" x14ac:dyDescent="0.2">
      <c r="A99" s="5" t="s">
        <v>871</v>
      </c>
      <c r="B99" s="3" t="s">
        <v>3049</v>
      </c>
      <c r="C99" s="2" t="s">
        <v>2246</v>
      </c>
      <c r="D99" s="3" t="s">
        <v>1836</v>
      </c>
      <c r="E99" s="3" t="s">
        <v>1837</v>
      </c>
      <c r="F99" s="3">
        <v>35.804499999999997</v>
      </c>
      <c r="G99" s="3">
        <v>11.3049</v>
      </c>
      <c r="H99" s="6">
        <v>-1.6632</v>
      </c>
    </row>
    <row r="100" spans="1:8" s="2" customFormat="1" ht="15" x14ac:dyDescent="0.2">
      <c r="A100" s="5" t="s">
        <v>701</v>
      </c>
      <c r="B100" s="3" t="s">
        <v>3015</v>
      </c>
      <c r="C100" s="2" t="s">
        <v>2169</v>
      </c>
      <c r="D100" s="3" t="s">
        <v>1836</v>
      </c>
      <c r="E100" s="3" t="s">
        <v>1837</v>
      </c>
      <c r="F100" s="3">
        <v>2.2369500000000002</v>
      </c>
      <c r="G100" s="3">
        <v>0.70762199999999997</v>
      </c>
      <c r="H100" s="6">
        <v>-1.66048</v>
      </c>
    </row>
    <row r="101" spans="1:8" s="2" customFormat="1" ht="15" x14ac:dyDescent="0.2">
      <c r="A101" s="5" t="s">
        <v>801</v>
      </c>
      <c r="B101" s="3" t="s">
        <v>3024</v>
      </c>
      <c r="C101" s="2" t="s">
        <v>2053</v>
      </c>
      <c r="D101" s="3" t="s">
        <v>1836</v>
      </c>
      <c r="E101" s="3" t="s">
        <v>1837</v>
      </c>
      <c r="F101" s="3">
        <v>1.1000700000000001</v>
      </c>
      <c r="G101" s="3">
        <v>0.350462</v>
      </c>
      <c r="H101" s="6">
        <v>-1.6502600000000001</v>
      </c>
    </row>
    <row r="102" spans="1:8" s="2" customFormat="1" ht="15" x14ac:dyDescent="0.2">
      <c r="A102" s="5" t="s">
        <v>953</v>
      </c>
      <c r="B102" s="3" t="s">
        <v>3015</v>
      </c>
      <c r="C102" s="2" t="s">
        <v>2288</v>
      </c>
      <c r="D102" s="3" t="s">
        <v>1836</v>
      </c>
      <c r="E102" s="3" t="s">
        <v>1837</v>
      </c>
      <c r="F102" s="3">
        <v>3.8626299999999998</v>
      </c>
      <c r="G102" s="3">
        <v>1.2318</v>
      </c>
      <c r="H102" s="6">
        <v>-1.6488100000000001</v>
      </c>
    </row>
    <row r="103" spans="1:8" s="2" customFormat="1" ht="15" x14ac:dyDescent="0.2">
      <c r="A103" s="5" t="s">
        <v>342</v>
      </c>
      <c r="B103" s="3" t="s">
        <v>3121</v>
      </c>
      <c r="C103" s="2" t="s">
        <v>3015</v>
      </c>
      <c r="D103" s="3" t="s">
        <v>1836</v>
      </c>
      <c r="E103" s="3" t="s">
        <v>1837</v>
      </c>
      <c r="F103" s="3">
        <v>8.3036999999999992</v>
      </c>
      <c r="G103" s="3">
        <v>2.6521400000000002</v>
      </c>
      <c r="H103" s="6">
        <v>-1.64659</v>
      </c>
    </row>
    <row r="104" spans="1:8" s="2" customFormat="1" ht="15" x14ac:dyDescent="0.2">
      <c r="A104" s="5" t="s">
        <v>226</v>
      </c>
      <c r="B104" s="3" t="s">
        <v>3088</v>
      </c>
      <c r="C104" s="2" t="s">
        <v>1949</v>
      </c>
      <c r="D104" s="3" t="s">
        <v>1836</v>
      </c>
      <c r="E104" s="3" t="s">
        <v>1837</v>
      </c>
      <c r="F104" s="3">
        <v>2.8717700000000002</v>
      </c>
      <c r="G104" s="3">
        <v>0.919157</v>
      </c>
      <c r="H104" s="6">
        <v>-1.6435500000000001</v>
      </c>
    </row>
    <row r="105" spans="1:8" s="2" customFormat="1" ht="15" x14ac:dyDescent="0.2">
      <c r="A105" s="5" t="s">
        <v>943</v>
      </c>
      <c r="B105" s="3" t="s">
        <v>3058</v>
      </c>
      <c r="C105" s="2" t="s">
        <v>2018</v>
      </c>
      <c r="D105" s="3" t="s">
        <v>1836</v>
      </c>
      <c r="E105" s="3" t="s">
        <v>1837</v>
      </c>
      <c r="F105" s="3">
        <v>7.7013999999999996</v>
      </c>
      <c r="G105" s="3">
        <v>2.4658000000000002</v>
      </c>
      <c r="H105" s="6">
        <v>-1.64307</v>
      </c>
    </row>
    <row r="106" spans="1:8" s="2" customFormat="1" ht="15" x14ac:dyDescent="0.2">
      <c r="A106" s="5" t="s">
        <v>521</v>
      </c>
      <c r="B106" s="3" t="s">
        <v>3152</v>
      </c>
      <c r="C106" s="2" t="s">
        <v>2089</v>
      </c>
      <c r="D106" s="3" t="s">
        <v>1836</v>
      </c>
      <c r="E106" s="3" t="s">
        <v>1837</v>
      </c>
      <c r="F106" s="3">
        <v>1.17815</v>
      </c>
      <c r="G106" s="3">
        <v>0.37748100000000001</v>
      </c>
      <c r="H106" s="6">
        <v>-1.64205</v>
      </c>
    </row>
    <row r="107" spans="1:8" s="2" customFormat="1" ht="15" x14ac:dyDescent="0.2">
      <c r="A107" s="5" t="s">
        <v>292</v>
      </c>
      <c r="B107" s="3" t="s">
        <v>3107</v>
      </c>
      <c r="C107" s="2" t="s">
        <v>1978</v>
      </c>
      <c r="D107" s="3" t="s">
        <v>1836</v>
      </c>
      <c r="E107" s="3" t="s">
        <v>1837</v>
      </c>
      <c r="F107" s="3">
        <v>1.8429</v>
      </c>
      <c r="G107" s="3">
        <v>0.59233899999999995</v>
      </c>
      <c r="H107" s="6">
        <v>-1.63748</v>
      </c>
    </row>
    <row r="108" spans="1:8" s="2" customFormat="1" ht="15" x14ac:dyDescent="0.2">
      <c r="A108" s="5" t="s">
        <v>206</v>
      </c>
      <c r="B108" s="3" t="s">
        <v>3084</v>
      </c>
      <c r="C108" s="2" t="s">
        <v>1941</v>
      </c>
      <c r="D108" s="3" t="s">
        <v>1836</v>
      </c>
      <c r="E108" s="3" t="s">
        <v>1837</v>
      </c>
      <c r="F108" s="3">
        <v>4.0017699999999996</v>
      </c>
      <c r="G108" s="3">
        <v>1.2899400000000001</v>
      </c>
      <c r="H108" s="6">
        <v>-1.6333299999999999</v>
      </c>
    </row>
    <row r="109" spans="1:8" s="2" customFormat="1" ht="15" x14ac:dyDescent="0.2">
      <c r="A109" s="5" t="s">
        <v>748</v>
      </c>
      <c r="B109" s="3" t="s">
        <v>3015</v>
      </c>
      <c r="C109" s="2" t="s">
        <v>3015</v>
      </c>
      <c r="D109" s="3" t="s">
        <v>1836</v>
      </c>
      <c r="E109" s="3" t="s">
        <v>1837</v>
      </c>
      <c r="F109" s="3">
        <v>4.5364699999999996</v>
      </c>
      <c r="G109" s="3">
        <v>1.4626300000000001</v>
      </c>
      <c r="H109" s="6">
        <v>-1.6330100000000001</v>
      </c>
    </row>
    <row r="110" spans="1:8" s="2" customFormat="1" ht="15" x14ac:dyDescent="0.2">
      <c r="A110" s="5" t="s">
        <v>191</v>
      </c>
      <c r="B110" s="3" t="s">
        <v>3015</v>
      </c>
      <c r="C110" s="2" t="s">
        <v>3015</v>
      </c>
      <c r="D110" s="3" t="s">
        <v>1836</v>
      </c>
      <c r="E110" s="3" t="s">
        <v>1837</v>
      </c>
      <c r="F110" s="3">
        <v>1.44875</v>
      </c>
      <c r="G110" s="3">
        <v>0.46772399999999997</v>
      </c>
      <c r="H110" s="6">
        <v>-1.6310800000000001</v>
      </c>
    </row>
    <row r="111" spans="1:8" s="2" customFormat="1" ht="15" x14ac:dyDescent="0.2">
      <c r="A111" s="5" t="s">
        <v>401</v>
      </c>
      <c r="B111" s="3" t="s">
        <v>3015</v>
      </c>
      <c r="C111" s="2" t="s">
        <v>3015</v>
      </c>
      <c r="D111" s="3" t="s">
        <v>1836</v>
      </c>
      <c r="E111" s="3" t="s">
        <v>1837</v>
      </c>
      <c r="F111" s="3">
        <v>0.95647199999999999</v>
      </c>
      <c r="G111" s="3">
        <v>0.30928800000000001</v>
      </c>
      <c r="H111" s="6">
        <v>-1.6287700000000001</v>
      </c>
    </row>
    <row r="112" spans="1:8" s="2" customFormat="1" ht="15" x14ac:dyDescent="0.2">
      <c r="A112" s="5" t="s">
        <v>250</v>
      </c>
      <c r="B112" s="3" t="s">
        <v>3098</v>
      </c>
      <c r="C112" s="2" t="s">
        <v>1962</v>
      </c>
      <c r="D112" s="3" t="s">
        <v>1836</v>
      </c>
      <c r="E112" s="3" t="s">
        <v>1837</v>
      </c>
      <c r="F112" s="3">
        <v>1.2837000000000001</v>
      </c>
      <c r="G112" s="3">
        <v>0.41604600000000003</v>
      </c>
      <c r="H112" s="6">
        <v>-1.6254900000000001</v>
      </c>
    </row>
    <row r="113" spans="1:8" s="2" customFormat="1" ht="15" x14ac:dyDescent="0.2">
      <c r="A113" s="5" t="s">
        <v>1030</v>
      </c>
      <c r="B113" s="3" t="s">
        <v>3050</v>
      </c>
      <c r="C113" s="2" t="s">
        <v>2327</v>
      </c>
      <c r="D113" s="3" t="s">
        <v>1836</v>
      </c>
      <c r="E113" s="3" t="s">
        <v>1837</v>
      </c>
      <c r="F113" s="3">
        <v>0.75981799999999999</v>
      </c>
      <c r="G113" s="3">
        <v>0.24716399999999999</v>
      </c>
      <c r="H113" s="6">
        <v>-1.62018</v>
      </c>
    </row>
    <row r="114" spans="1:8" s="2" customFormat="1" ht="15" x14ac:dyDescent="0.2">
      <c r="A114" s="5" t="s">
        <v>363</v>
      </c>
      <c r="B114" s="3" t="s">
        <v>3125</v>
      </c>
      <c r="C114" s="2" t="s">
        <v>3015</v>
      </c>
      <c r="D114" s="3" t="s">
        <v>1836</v>
      </c>
      <c r="E114" s="3" t="s">
        <v>1837</v>
      </c>
      <c r="F114" s="3">
        <v>5.3722799999999999</v>
      </c>
      <c r="G114" s="3">
        <v>1.75054</v>
      </c>
      <c r="H114" s="6">
        <v>-1.6177299999999999</v>
      </c>
    </row>
    <row r="115" spans="1:8" s="2" customFormat="1" ht="15" x14ac:dyDescent="0.2">
      <c r="A115" s="5" t="s">
        <v>707</v>
      </c>
      <c r="B115" s="3" t="s">
        <v>3015</v>
      </c>
      <c r="C115" s="2" t="s">
        <v>2171</v>
      </c>
      <c r="D115" s="3" t="s">
        <v>1836</v>
      </c>
      <c r="E115" s="3" t="s">
        <v>1837</v>
      </c>
      <c r="F115" s="3">
        <v>22.814599999999999</v>
      </c>
      <c r="G115" s="3">
        <v>7.4643600000000001</v>
      </c>
      <c r="H115" s="6">
        <v>-1.6118699999999999</v>
      </c>
    </row>
    <row r="116" spans="1:8" s="2" customFormat="1" ht="15" x14ac:dyDescent="0.2">
      <c r="A116" s="5" t="s">
        <v>255</v>
      </c>
      <c r="B116" s="3" t="s">
        <v>3081</v>
      </c>
      <c r="C116" s="2" t="s">
        <v>1965</v>
      </c>
      <c r="D116" s="3" t="s">
        <v>1836</v>
      </c>
      <c r="E116" s="3" t="s">
        <v>1837</v>
      </c>
      <c r="F116" s="3">
        <v>1.2719400000000001</v>
      </c>
      <c r="G116" s="3">
        <v>0.41779300000000003</v>
      </c>
      <c r="H116" s="6">
        <v>-1.6061700000000001</v>
      </c>
    </row>
    <row r="117" spans="1:8" s="2" customFormat="1" ht="15" x14ac:dyDescent="0.2">
      <c r="A117" s="5" t="s">
        <v>112</v>
      </c>
      <c r="B117" s="3" t="s">
        <v>3015</v>
      </c>
      <c r="C117" s="2" t="s">
        <v>1890</v>
      </c>
      <c r="D117" s="3" t="s">
        <v>1836</v>
      </c>
      <c r="E117" s="3" t="s">
        <v>1837</v>
      </c>
      <c r="F117" s="3">
        <v>6.4114699999999996</v>
      </c>
      <c r="G117" s="3">
        <v>2.1083599999999998</v>
      </c>
      <c r="H117" s="6">
        <v>-1.6045400000000001</v>
      </c>
    </row>
    <row r="118" spans="1:8" s="2" customFormat="1" ht="15" x14ac:dyDescent="0.2">
      <c r="A118" s="5" t="s">
        <v>123</v>
      </c>
      <c r="B118" s="3" t="s">
        <v>3056</v>
      </c>
      <c r="C118" s="2" t="s">
        <v>1899</v>
      </c>
      <c r="D118" s="3" t="s">
        <v>1836</v>
      </c>
      <c r="E118" s="3" t="s">
        <v>1837</v>
      </c>
      <c r="F118" s="3">
        <v>1.9359599999999999</v>
      </c>
      <c r="G118" s="3">
        <v>0.63763400000000003</v>
      </c>
      <c r="H118" s="6">
        <v>-1.60225</v>
      </c>
    </row>
    <row r="119" spans="1:8" s="2" customFormat="1" ht="15" x14ac:dyDescent="0.2">
      <c r="A119" s="5" t="s">
        <v>365</v>
      </c>
      <c r="B119" s="3" t="s">
        <v>3126</v>
      </c>
      <c r="C119" s="2" t="s">
        <v>2011</v>
      </c>
      <c r="D119" s="3" t="s">
        <v>1836</v>
      </c>
      <c r="E119" s="3" t="s">
        <v>1837</v>
      </c>
      <c r="F119" s="3">
        <v>42.749299999999998</v>
      </c>
      <c r="G119" s="3">
        <v>14.090299999999999</v>
      </c>
      <c r="H119" s="6">
        <v>-1.6012</v>
      </c>
    </row>
    <row r="120" spans="1:8" s="2" customFormat="1" ht="15" x14ac:dyDescent="0.2">
      <c r="A120" s="5" t="s">
        <v>910</v>
      </c>
      <c r="B120" s="3" t="s">
        <v>3015</v>
      </c>
      <c r="C120" s="2" t="s">
        <v>2266</v>
      </c>
      <c r="D120" s="3" t="s">
        <v>1836</v>
      </c>
      <c r="E120" s="3" t="s">
        <v>1837</v>
      </c>
      <c r="F120" s="3">
        <v>6.3342799999999997</v>
      </c>
      <c r="G120" s="3">
        <v>2.0898099999999999</v>
      </c>
      <c r="H120" s="6">
        <v>-1.59981</v>
      </c>
    </row>
    <row r="121" spans="1:8" s="2" customFormat="1" ht="15" x14ac:dyDescent="0.2">
      <c r="A121" s="5" t="s">
        <v>158</v>
      </c>
      <c r="B121" s="3" t="s">
        <v>3015</v>
      </c>
      <c r="C121" s="2" t="s">
        <v>1919</v>
      </c>
      <c r="D121" s="3" t="s">
        <v>1836</v>
      </c>
      <c r="E121" s="3" t="s">
        <v>1837</v>
      </c>
      <c r="F121" s="3">
        <v>2.25888</v>
      </c>
      <c r="G121" s="3">
        <v>0.74527399999999999</v>
      </c>
      <c r="H121" s="6">
        <v>-1.5997600000000001</v>
      </c>
    </row>
    <row r="122" spans="1:8" s="2" customFormat="1" ht="15" x14ac:dyDescent="0.2">
      <c r="A122" s="5" t="s">
        <v>866</v>
      </c>
      <c r="B122" s="3" t="s">
        <v>3015</v>
      </c>
      <c r="C122" s="2" t="s">
        <v>2244</v>
      </c>
      <c r="D122" s="3" t="s">
        <v>1836</v>
      </c>
      <c r="E122" s="3" t="s">
        <v>1837</v>
      </c>
      <c r="F122" s="3">
        <v>1.76268</v>
      </c>
      <c r="G122" s="3">
        <v>0.58179199999999998</v>
      </c>
      <c r="H122" s="6">
        <v>-1.5992</v>
      </c>
    </row>
    <row r="123" spans="1:8" s="2" customFormat="1" ht="15" x14ac:dyDescent="0.2">
      <c r="A123" s="5" t="s">
        <v>56</v>
      </c>
      <c r="B123" s="3" t="s">
        <v>3040</v>
      </c>
      <c r="C123" s="2" t="s">
        <v>1869</v>
      </c>
      <c r="D123" s="3" t="s">
        <v>1836</v>
      </c>
      <c r="E123" s="3" t="s">
        <v>1837</v>
      </c>
      <c r="F123" s="3">
        <v>81.445899999999995</v>
      </c>
      <c r="G123" s="3">
        <v>26.928100000000001</v>
      </c>
      <c r="H123" s="6">
        <v>-1.59673</v>
      </c>
    </row>
    <row r="124" spans="1:8" s="2" customFormat="1" ht="15" x14ac:dyDescent="0.2">
      <c r="A124" s="5" t="s">
        <v>1065</v>
      </c>
      <c r="B124" s="3" t="s">
        <v>3015</v>
      </c>
      <c r="C124" s="2" t="s">
        <v>2340</v>
      </c>
      <c r="D124" s="3" t="s">
        <v>1836</v>
      </c>
      <c r="E124" s="3" t="s">
        <v>1837</v>
      </c>
      <c r="F124" s="3">
        <v>1.55291</v>
      </c>
      <c r="G124" s="3">
        <v>0.51347799999999999</v>
      </c>
      <c r="H124" s="6">
        <v>-1.59659</v>
      </c>
    </row>
    <row r="125" spans="1:8" s="2" customFormat="1" ht="15" x14ac:dyDescent="0.2">
      <c r="A125" s="5" t="s">
        <v>878</v>
      </c>
      <c r="B125" s="3" t="s">
        <v>3166</v>
      </c>
      <c r="C125" s="2" t="s">
        <v>2249</v>
      </c>
      <c r="D125" s="3" t="s">
        <v>1836</v>
      </c>
      <c r="E125" s="3" t="s">
        <v>1837</v>
      </c>
      <c r="F125" s="3">
        <v>3.5211000000000001</v>
      </c>
      <c r="G125" s="3">
        <v>1.17137</v>
      </c>
      <c r="H125" s="6">
        <v>-1.5878399999999999</v>
      </c>
    </row>
    <row r="126" spans="1:8" s="2" customFormat="1" ht="15" x14ac:dyDescent="0.2">
      <c r="A126" s="5" t="s">
        <v>369</v>
      </c>
      <c r="B126" s="3" t="s">
        <v>3015</v>
      </c>
      <c r="C126" s="2" t="s">
        <v>1847</v>
      </c>
      <c r="D126" s="3" t="s">
        <v>1836</v>
      </c>
      <c r="E126" s="3" t="s">
        <v>1837</v>
      </c>
      <c r="F126" s="3">
        <v>0.86500299999999997</v>
      </c>
      <c r="G126" s="3">
        <v>0.28790199999999999</v>
      </c>
      <c r="H126" s="6">
        <v>-1.5871299999999999</v>
      </c>
    </row>
    <row r="127" spans="1:8" s="2" customFormat="1" ht="15" x14ac:dyDescent="0.2">
      <c r="A127" s="5" t="s">
        <v>691</v>
      </c>
      <c r="B127" s="3" t="s">
        <v>3015</v>
      </c>
      <c r="C127" s="2" t="s">
        <v>2164</v>
      </c>
      <c r="D127" s="3" t="s">
        <v>1836</v>
      </c>
      <c r="E127" s="3" t="s">
        <v>1837</v>
      </c>
      <c r="F127" s="3">
        <v>1.3046599999999999</v>
      </c>
      <c r="G127" s="3">
        <v>0.43444700000000003</v>
      </c>
      <c r="H127" s="6">
        <v>-1.5864199999999999</v>
      </c>
    </row>
    <row r="128" spans="1:8" s="2" customFormat="1" ht="15" x14ac:dyDescent="0.2">
      <c r="A128" s="5" t="s">
        <v>161</v>
      </c>
      <c r="B128" s="3" t="s">
        <v>3015</v>
      </c>
      <c r="C128" s="2" t="s">
        <v>1921</v>
      </c>
      <c r="D128" s="3" t="s">
        <v>1836</v>
      </c>
      <c r="E128" s="3" t="s">
        <v>1837</v>
      </c>
      <c r="F128" s="3">
        <v>2.2109899999999998</v>
      </c>
      <c r="G128" s="3">
        <v>0.73630300000000004</v>
      </c>
      <c r="H128" s="6">
        <v>-1.58632</v>
      </c>
    </row>
    <row r="129" spans="1:8" s="2" customFormat="1" ht="15" x14ac:dyDescent="0.2">
      <c r="A129" s="5" t="s">
        <v>177</v>
      </c>
      <c r="B129" s="3" t="s">
        <v>3072</v>
      </c>
      <c r="C129" s="2" t="s">
        <v>1926</v>
      </c>
      <c r="D129" s="3" t="s">
        <v>1836</v>
      </c>
      <c r="E129" s="3" t="s">
        <v>1837</v>
      </c>
      <c r="F129" s="3">
        <v>10.1632</v>
      </c>
      <c r="G129" s="3">
        <v>3.3848799999999999</v>
      </c>
      <c r="H129" s="6">
        <v>-1.5861799999999999</v>
      </c>
    </row>
    <row r="130" spans="1:8" s="2" customFormat="1" ht="15" x14ac:dyDescent="0.2">
      <c r="A130" s="5" t="s">
        <v>1010</v>
      </c>
      <c r="B130" s="3" t="s">
        <v>3015</v>
      </c>
      <c r="C130" s="2" t="s">
        <v>1915</v>
      </c>
      <c r="D130" s="3" t="s">
        <v>1836</v>
      </c>
      <c r="E130" s="3" t="s">
        <v>1837</v>
      </c>
      <c r="F130" s="3">
        <v>1.31871</v>
      </c>
      <c r="G130" s="3">
        <v>0.43974400000000002</v>
      </c>
      <c r="H130" s="6">
        <v>-1.58439</v>
      </c>
    </row>
    <row r="131" spans="1:8" s="2" customFormat="1" ht="15" x14ac:dyDescent="0.2">
      <c r="A131" s="5" t="s">
        <v>376</v>
      </c>
      <c r="B131" s="3" t="s">
        <v>3058</v>
      </c>
      <c r="C131" s="2" t="s">
        <v>2018</v>
      </c>
      <c r="D131" s="3" t="s">
        <v>1836</v>
      </c>
      <c r="E131" s="3" t="s">
        <v>1837</v>
      </c>
      <c r="F131" s="3">
        <v>2.2351700000000001</v>
      </c>
      <c r="G131" s="3">
        <v>0.74752200000000002</v>
      </c>
      <c r="H131" s="6">
        <v>-1.58019</v>
      </c>
    </row>
    <row r="132" spans="1:8" s="2" customFormat="1" ht="15" x14ac:dyDescent="0.2">
      <c r="A132" s="5" t="s">
        <v>1089</v>
      </c>
      <c r="B132" s="3" t="s">
        <v>3015</v>
      </c>
      <c r="C132" s="2" t="s">
        <v>1917</v>
      </c>
      <c r="D132" s="3" t="s">
        <v>1836</v>
      </c>
      <c r="E132" s="3" t="s">
        <v>1837</v>
      </c>
      <c r="F132" s="3">
        <v>6.87052</v>
      </c>
      <c r="G132" s="3">
        <v>2.2995100000000002</v>
      </c>
      <c r="H132" s="6">
        <v>-1.5790900000000001</v>
      </c>
    </row>
    <row r="133" spans="1:8" s="2" customFormat="1" ht="15" x14ac:dyDescent="0.2">
      <c r="A133" s="5" t="s">
        <v>377</v>
      </c>
      <c r="B133" s="3" t="s">
        <v>3015</v>
      </c>
      <c r="C133" s="2" t="s">
        <v>1880</v>
      </c>
      <c r="D133" s="3" t="s">
        <v>1836</v>
      </c>
      <c r="E133" s="3" t="s">
        <v>1837</v>
      </c>
      <c r="F133" s="3">
        <v>3.22315</v>
      </c>
      <c r="G133" s="3">
        <v>1.08077</v>
      </c>
      <c r="H133" s="6">
        <v>-1.5764100000000001</v>
      </c>
    </row>
    <row r="134" spans="1:8" s="2" customFormat="1" ht="15" x14ac:dyDescent="0.2">
      <c r="A134" s="5" t="s">
        <v>705</v>
      </c>
      <c r="B134" s="3" t="s">
        <v>3015</v>
      </c>
      <c r="C134" s="2" t="s">
        <v>2170</v>
      </c>
      <c r="D134" s="3" t="s">
        <v>1836</v>
      </c>
      <c r="E134" s="3" t="s">
        <v>1837</v>
      </c>
      <c r="F134" s="3">
        <v>2.0831900000000001</v>
      </c>
      <c r="G134" s="3">
        <v>0.70018999999999998</v>
      </c>
      <c r="H134" s="6">
        <v>-1.57298</v>
      </c>
    </row>
    <row r="135" spans="1:8" s="2" customFormat="1" ht="15" x14ac:dyDescent="0.2">
      <c r="A135" s="5" t="s">
        <v>523</v>
      </c>
      <c r="B135" s="3" t="s">
        <v>3154</v>
      </c>
      <c r="C135" s="2" t="s">
        <v>2091</v>
      </c>
      <c r="D135" s="3" t="s">
        <v>1836</v>
      </c>
      <c r="E135" s="3" t="s">
        <v>1837</v>
      </c>
      <c r="F135" s="3">
        <v>14.6564</v>
      </c>
      <c r="G135" s="3">
        <v>4.9318799999999996</v>
      </c>
      <c r="H135" s="6">
        <v>-1.5713200000000001</v>
      </c>
    </row>
    <row r="136" spans="1:8" s="2" customFormat="1" ht="15" x14ac:dyDescent="0.2">
      <c r="A136" s="5" t="s">
        <v>676</v>
      </c>
      <c r="B136" s="3" t="s">
        <v>3038</v>
      </c>
      <c r="C136" s="2" t="s">
        <v>2158</v>
      </c>
      <c r="D136" s="3" t="s">
        <v>1836</v>
      </c>
      <c r="E136" s="3" t="s">
        <v>1837</v>
      </c>
      <c r="F136" s="3">
        <v>1.08673</v>
      </c>
      <c r="G136" s="3">
        <v>0.37110799999999999</v>
      </c>
      <c r="H136" s="6">
        <v>-1.5500799999999999</v>
      </c>
    </row>
    <row r="137" spans="1:8" s="2" customFormat="1" ht="15" x14ac:dyDescent="0.2">
      <c r="A137" s="5" t="s">
        <v>1066</v>
      </c>
      <c r="B137" s="3" t="s">
        <v>3093</v>
      </c>
      <c r="C137" s="2" t="s">
        <v>2029</v>
      </c>
      <c r="D137" s="3" t="s">
        <v>1836</v>
      </c>
      <c r="E137" s="3" t="s">
        <v>1837</v>
      </c>
      <c r="F137" s="3">
        <v>7.9269299999999996</v>
      </c>
      <c r="G137" s="3">
        <v>2.7083699999999999</v>
      </c>
      <c r="H137" s="6">
        <v>-1.5493399999999999</v>
      </c>
    </row>
    <row r="138" spans="1:8" s="2" customFormat="1" ht="15" x14ac:dyDescent="0.2">
      <c r="A138" s="5" t="s">
        <v>176</v>
      </c>
      <c r="B138" s="3" t="s">
        <v>3071</v>
      </c>
      <c r="C138" s="2" t="s">
        <v>3015</v>
      </c>
      <c r="D138" s="3" t="s">
        <v>1836</v>
      </c>
      <c r="E138" s="3" t="s">
        <v>1837</v>
      </c>
      <c r="F138" s="3">
        <v>54.093699999999998</v>
      </c>
      <c r="G138" s="3">
        <v>18.5306</v>
      </c>
      <c r="H138" s="6">
        <v>-1.54555</v>
      </c>
    </row>
    <row r="139" spans="1:8" s="2" customFormat="1" ht="15" x14ac:dyDescent="0.2">
      <c r="A139" s="5" t="s">
        <v>65</v>
      </c>
      <c r="B139" s="3" t="s">
        <v>3015</v>
      </c>
      <c r="C139" s="2" t="s">
        <v>1876</v>
      </c>
      <c r="D139" s="3" t="s">
        <v>1836</v>
      </c>
      <c r="E139" s="3" t="s">
        <v>1837</v>
      </c>
      <c r="F139" s="3">
        <v>17.822399999999998</v>
      </c>
      <c r="G139" s="3">
        <v>6.1206899999999997</v>
      </c>
      <c r="H139" s="6">
        <v>-1.54192</v>
      </c>
    </row>
    <row r="140" spans="1:8" s="2" customFormat="1" ht="15" x14ac:dyDescent="0.2">
      <c r="A140" s="5" t="s">
        <v>1073</v>
      </c>
      <c r="B140" s="3" t="s">
        <v>3015</v>
      </c>
      <c r="C140" s="2" t="s">
        <v>1847</v>
      </c>
      <c r="D140" s="3" t="s">
        <v>1836</v>
      </c>
      <c r="E140" s="3" t="s">
        <v>1837</v>
      </c>
      <c r="F140" s="3">
        <v>19.0151</v>
      </c>
      <c r="G140" s="3">
        <v>6.5355299999999996</v>
      </c>
      <c r="H140" s="6">
        <v>-1.54077</v>
      </c>
    </row>
    <row r="141" spans="1:8" s="2" customFormat="1" ht="15" x14ac:dyDescent="0.2">
      <c r="A141" s="5" t="s">
        <v>1019</v>
      </c>
      <c r="B141" s="3" t="s">
        <v>3025</v>
      </c>
      <c r="C141" s="2" t="s">
        <v>2269</v>
      </c>
      <c r="D141" s="3" t="s">
        <v>1836</v>
      </c>
      <c r="E141" s="3" t="s">
        <v>1837</v>
      </c>
      <c r="F141" s="3">
        <v>1.64679</v>
      </c>
      <c r="G141" s="3">
        <v>0.56609399999999999</v>
      </c>
      <c r="H141" s="6">
        <v>-1.54054</v>
      </c>
    </row>
    <row r="142" spans="1:8" s="2" customFormat="1" ht="15" x14ac:dyDescent="0.2">
      <c r="A142" s="5" t="s">
        <v>142</v>
      </c>
      <c r="B142" s="3" t="s">
        <v>3015</v>
      </c>
      <c r="C142" s="2" t="s">
        <v>1909</v>
      </c>
      <c r="D142" s="3" t="s">
        <v>1836</v>
      </c>
      <c r="E142" s="3" t="s">
        <v>1837</v>
      </c>
      <c r="F142" s="3">
        <v>10.6622</v>
      </c>
      <c r="G142" s="3">
        <v>3.6695099999999998</v>
      </c>
      <c r="H142" s="6">
        <v>-1.5388500000000001</v>
      </c>
    </row>
    <row r="143" spans="1:8" s="2" customFormat="1" ht="15" x14ac:dyDescent="0.2">
      <c r="A143" s="5" t="s">
        <v>184</v>
      </c>
      <c r="B143" s="3" t="s">
        <v>3074</v>
      </c>
      <c r="C143" s="2" t="s">
        <v>1929</v>
      </c>
      <c r="D143" s="3" t="s">
        <v>1836</v>
      </c>
      <c r="E143" s="3" t="s">
        <v>1837</v>
      </c>
      <c r="F143" s="3">
        <v>6.7115900000000002</v>
      </c>
      <c r="G143" s="3">
        <v>2.3137799999999999</v>
      </c>
      <c r="H143" s="6">
        <v>-1.5364</v>
      </c>
    </row>
    <row r="144" spans="1:8" s="2" customFormat="1" ht="15" x14ac:dyDescent="0.2">
      <c r="A144" s="5" t="s">
        <v>512</v>
      </c>
      <c r="B144" s="3" t="s">
        <v>3045</v>
      </c>
      <c r="C144" s="2" t="s">
        <v>2085</v>
      </c>
      <c r="D144" s="3" t="s">
        <v>1836</v>
      </c>
      <c r="E144" s="3" t="s">
        <v>1837</v>
      </c>
      <c r="F144" s="3">
        <v>0.82557199999999997</v>
      </c>
      <c r="G144" s="3">
        <v>0.28521999999999997</v>
      </c>
      <c r="H144" s="6">
        <v>-1.53332</v>
      </c>
    </row>
    <row r="145" spans="1:8" s="2" customFormat="1" ht="15" x14ac:dyDescent="0.2">
      <c r="A145" s="5" t="s">
        <v>405</v>
      </c>
      <c r="B145" s="3" t="s">
        <v>3063</v>
      </c>
      <c r="C145" s="2" t="s">
        <v>2030</v>
      </c>
      <c r="D145" s="3" t="s">
        <v>1836</v>
      </c>
      <c r="E145" s="3" t="s">
        <v>1837</v>
      </c>
      <c r="F145" s="3">
        <v>5.6101799999999997</v>
      </c>
      <c r="G145" s="3">
        <v>1.94157</v>
      </c>
      <c r="H145" s="6">
        <v>-1.5308200000000001</v>
      </c>
    </row>
    <row r="146" spans="1:8" s="2" customFormat="1" ht="15" x14ac:dyDescent="0.2">
      <c r="A146" s="5" t="s">
        <v>532</v>
      </c>
      <c r="B146" s="3" t="s">
        <v>3043</v>
      </c>
      <c r="C146" s="2" t="s">
        <v>2095</v>
      </c>
      <c r="D146" s="3" t="s">
        <v>1836</v>
      </c>
      <c r="E146" s="3" t="s">
        <v>1837</v>
      </c>
      <c r="F146" s="3">
        <v>21.0182</v>
      </c>
      <c r="G146" s="3">
        <v>7.2773099999999999</v>
      </c>
      <c r="H146" s="6">
        <v>-1.53016</v>
      </c>
    </row>
    <row r="147" spans="1:8" s="2" customFormat="1" ht="15" x14ac:dyDescent="0.2">
      <c r="A147" s="5" t="s">
        <v>913</v>
      </c>
      <c r="B147" s="3" t="s">
        <v>3235</v>
      </c>
      <c r="C147" s="2" t="s">
        <v>2267</v>
      </c>
      <c r="D147" s="3" t="s">
        <v>1836</v>
      </c>
      <c r="E147" s="3" t="s">
        <v>1837</v>
      </c>
      <c r="F147" s="3">
        <v>5.3484499999999997</v>
      </c>
      <c r="G147" s="3">
        <v>1.8572</v>
      </c>
      <c r="H147" s="6">
        <v>-1.52599</v>
      </c>
    </row>
    <row r="148" spans="1:8" s="2" customFormat="1" ht="15" x14ac:dyDescent="0.2">
      <c r="A148" s="5" t="s">
        <v>599</v>
      </c>
      <c r="B148" s="3" t="s">
        <v>3063</v>
      </c>
      <c r="C148" s="2" t="s">
        <v>2100</v>
      </c>
      <c r="D148" s="3" t="s">
        <v>1836</v>
      </c>
      <c r="E148" s="3" t="s">
        <v>1837</v>
      </c>
      <c r="F148" s="3">
        <v>3.4403600000000001</v>
      </c>
      <c r="G148" s="3">
        <v>1.19842</v>
      </c>
      <c r="H148" s="6">
        <v>-1.52142</v>
      </c>
    </row>
    <row r="149" spans="1:8" s="2" customFormat="1" ht="15" x14ac:dyDescent="0.2">
      <c r="A149" s="5" t="s">
        <v>836</v>
      </c>
      <c r="B149" s="3" t="s">
        <v>3219</v>
      </c>
      <c r="C149" s="2" t="s">
        <v>2226</v>
      </c>
      <c r="D149" s="3" t="s">
        <v>1836</v>
      </c>
      <c r="E149" s="3" t="s">
        <v>1837</v>
      </c>
      <c r="F149" s="3">
        <v>1.8883099999999999</v>
      </c>
      <c r="G149" s="3">
        <v>0.66045500000000001</v>
      </c>
      <c r="H149" s="6">
        <v>-1.51556</v>
      </c>
    </row>
    <row r="150" spans="1:8" s="2" customFormat="1" ht="15" x14ac:dyDescent="0.2">
      <c r="A150" s="5" t="s">
        <v>422</v>
      </c>
      <c r="B150" s="3" t="s">
        <v>3136</v>
      </c>
      <c r="C150" s="2" t="s">
        <v>2039</v>
      </c>
      <c r="D150" s="3" t="s">
        <v>1836</v>
      </c>
      <c r="E150" s="3" t="s">
        <v>1837</v>
      </c>
      <c r="F150" s="3">
        <v>1.1167400000000001</v>
      </c>
      <c r="G150" s="3">
        <v>0.39197300000000002</v>
      </c>
      <c r="H150" s="6">
        <v>-1.51047</v>
      </c>
    </row>
    <row r="151" spans="1:8" s="2" customFormat="1" ht="15" x14ac:dyDescent="0.2">
      <c r="A151" s="5" t="s">
        <v>798</v>
      </c>
      <c r="B151" s="3" t="s">
        <v>3015</v>
      </c>
      <c r="C151" s="2" t="s">
        <v>2206</v>
      </c>
      <c r="D151" s="3" t="s">
        <v>1836</v>
      </c>
      <c r="E151" s="3" t="s">
        <v>1837</v>
      </c>
      <c r="F151" s="3">
        <v>27.613</v>
      </c>
      <c r="G151" s="3">
        <v>9.6977100000000007</v>
      </c>
      <c r="H151" s="6">
        <v>-1.50963</v>
      </c>
    </row>
    <row r="152" spans="1:8" s="2" customFormat="1" ht="15" x14ac:dyDescent="0.2">
      <c r="A152" s="5" t="s">
        <v>829</v>
      </c>
      <c r="B152" s="3" t="s">
        <v>3015</v>
      </c>
      <c r="C152" s="2" t="s">
        <v>2222</v>
      </c>
      <c r="D152" s="3" t="s">
        <v>1836</v>
      </c>
      <c r="E152" s="3" t="s">
        <v>1837</v>
      </c>
      <c r="F152" s="3">
        <v>995.572</v>
      </c>
      <c r="G152" s="3">
        <v>354.11700000000002</v>
      </c>
      <c r="H152" s="6">
        <v>-1.4913000000000001</v>
      </c>
    </row>
    <row r="153" spans="1:8" s="2" customFormat="1" ht="15" x14ac:dyDescent="0.2">
      <c r="A153" s="5" t="s">
        <v>849</v>
      </c>
      <c r="B153" s="3" t="s">
        <v>3222</v>
      </c>
      <c r="C153" s="2" t="s">
        <v>2235</v>
      </c>
      <c r="D153" s="3" t="s">
        <v>1836</v>
      </c>
      <c r="E153" s="3" t="s">
        <v>1837</v>
      </c>
      <c r="F153" s="3">
        <v>9.0080600000000004</v>
      </c>
      <c r="G153" s="3">
        <v>3.2047099999999999</v>
      </c>
      <c r="H153" s="6">
        <v>-1.49102</v>
      </c>
    </row>
    <row r="154" spans="1:8" s="2" customFormat="1" ht="15" x14ac:dyDescent="0.2">
      <c r="A154" s="5" t="s">
        <v>294</v>
      </c>
      <c r="B154" s="3" t="s">
        <v>3015</v>
      </c>
      <c r="C154" s="2" t="s">
        <v>1979</v>
      </c>
      <c r="D154" s="3" t="s">
        <v>1836</v>
      </c>
      <c r="E154" s="3" t="s">
        <v>1837</v>
      </c>
      <c r="F154" s="3">
        <v>2.8870399999999998</v>
      </c>
      <c r="G154" s="3">
        <v>1.0282899999999999</v>
      </c>
      <c r="H154" s="6">
        <v>-1.4893400000000001</v>
      </c>
    </row>
    <row r="155" spans="1:8" s="2" customFormat="1" ht="15" x14ac:dyDescent="0.2">
      <c r="A155" s="5" t="s">
        <v>645</v>
      </c>
      <c r="B155" s="3" t="s">
        <v>3181</v>
      </c>
      <c r="C155" s="2" t="s">
        <v>2143</v>
      </c>
      <c r="D155" s="3" t="s">
        <v>1836</v>
      </c>
      <c r="E155" s="3" t="s">
        <v>1837</v>
      </c>
      <c r="F155" s="3">
        <v>39.311999999999998</v>
      </c>
      <c r="G155" s="3">
        <v>14.004200000000001</v>
      </c>
      <c r="H155" s="6">
        <v>-1.4891099999999999</v>
      </c>
    </row>
    <row r="156" spans="1:8" s="2" customFormat="1" ht="15" x14ac:dyDescent="0.2">
      <c r="A156" s="5" t="s">
        <v>1091</v>
      </c>
      <c r="B156" s="3" t="s">
        <v>3015</v>
      </c>
      <c r="C156" s="2" t="s">
        <v>3015</v>
      </c>
      <c r="D156" s="3" t="s">
        <v>1836</v>
      </c>
      <c r="E156" s="3" t="s">
        <v>1837</v>
      </c>
      <c r="F156" s="3">
        <v>2.5340699999999998</v>
      </c>
      <c r="G156" s="3">
        <v>0.90342500000000003</v>
      </c>
      <c r="H156" s="6">
        <v>-1.4879800000000001</v>
      </c>
    </row>
    <row r="157" spans="1:8" s="2" customFormat="1" ht="15" x14ac:dyDescent="0.2">
      <c r="A157" s="5" t="s">
        <v>687</v>
      </c>
      <c r="B157" s="3" t="s">
        <v>3015</v>
      </c>
      <c r="C157" s="2" t="s">
        <v>1847</v>
      </c>
      <c r="D157" s="3" t="s">
        <v>1836</v>
      </c>
      <c r="E157" s="3" t="s">
        <v>1837</v>
      </c>
      <c r="F157" s="3">
        <v>3.3123100000000001</v>
      </c>
      <c r="G157" s="3">
        <v>1.1816800000000001</v>
      </c>
      <c r="H157" s="6">
        <v>-1.4870000000000001</v>
      </c>
    </row>
    <row r="158" spans="1:8" s="2" customFormat="1" ht="15" x14ac:dyDescent="0.2">
      <c r="A158" s="5" t="s">
        <v>826</v>
      </c>
      <c r="B158" s="3" t="s">
        <v>3015</v>
      </c>
      <c r="C158" s="2" t="s">
        <v>2219</v>
      </c>
      <c r="D158" s="3" t="s">
        <v>1836</v>
      </c>
      <c r="E158" s="3" t="s">
        <v>1837</v>
      </c>
      <c r="F158" s="3">
        <v>1.2563800000000001</v>
      </c>
      <c r="G158" s="3">
        <v>0.44960699999999998</v>
      </c>
      <c r="H158" s="6">
        <v>-1.48254</v>
      </c>
    </row>
    <row r="159" spans="1:8" s="2" customFormat="1" ht="15" x14ac:dyDescent="0.2">
      <c r="A159" s="5" t="s">
        <v>717</v>
      </c>
      <c r="B159" s="3" t="s">
        <v>3104</v>
      </c>
      <c r="C159" s="2" t="s">
        <v>2177</v>
      </c>
      <c r="D159" s="3" t="s">
        <v>1836</v>
      </c>
      <c r="E159" s="3" t="s">
        <v>1837</v>
      </c>
      <c r="F159" s="3">
        <v>6.6232800000000003</v>
      </c>
      <c r="G159" s="3">
        <v>2.3896000000000002</v>
      </c>
      <c r="H159" s="6">
        <v>-1.47078</v>
      </c>
    </row>
    <row r="160" spans="1:8" s="2" customFormat="1" ht="15" x14ac:dyDescent="0.2">
      <c r="A160" s="5" t="s">
        <v>8</v>
      </c>
      <c r="B160" s="3" t="s">
        <v>3015</v>
      </c>
      <c r="C160" s="2" t="s">
        <v>3015</v>
      </c>
      <c r="D160" s="3" t="s">
        <v>1836</v>
      </c>
      <c r="E160" s="3" t="s">
        <v>1837</v>
      </c>
      <c r="F160" s="3">
        <v>242.529</v>
      </c>
      <c r="G160" s="3">
        <v>87.713399999999993</v>
      </c>
      <c r="H160" s="6">
        <v>-1.46729</v>
      </c>
    </row>
    <row r="161" spans="1:8" s="2" customFormat="1" ht="15" x14ac:dyDescent="0.2">
      <c r="A161" s="5" t="s">
        <v>1123</v>
      </c>
      <c r="B161" s="3" t="s">
        <v>3015</v>
      </c>
      <c r="C161" s="2" t="s">
        <v>3015</v>
      </c>
      <c r="D161" s="3" t="s">
        <v>1836</v>
      </c>
      <c r="E161" s="3" t="s">
        <v>1837</v>
      </c>
      <c r="F161" s="3">
        <v>4.0791700000000004</v>
      </c>
      <c r="G161" s="3">
        <v>1.4754</v>
      </c>
      <c r="H161" s="6">
        <v>-1.4671700000000001</v>
      </c>
    </row>
    <row r="162" spans="1:8" s="2" customFormat="1" ht="15" x14ac:dyDescent="0.2">
      <c r="A162" s="5" t="s">
        <v>918</v>
      </c>
      <c r="B162" s="3" t="s">
        <v>3049</v>
      </c>
      <c r="C162" s="2" t="s">
        <v>2246</v>
      </c>
      <c r="D162" s="3" t="s">
        <v>1836</v>
      </c>
      <c r="E162" s="3" t="s">
        <v>1837</v>
      </c>
      <c r="F162" s="3">
        <v>1.1626300000000001</v>
      </c>
      <c r="G162" s="3">
        <v>0.42072399999999999</v>
      </c>
      <c r="H162" s="6">
        <v>-1.46645</v>
      </c>
    </row>
    <row r="163" spans="1:8" s="2" customFormat="1" ht="15" x14ac:dyDescent="0.2">
      <c r="A163" s="5" t="s">
        <v>127</v>
      </c>
      <c r="B163" s="3" t="s">
        <v>3015</v>
      </c>
      <c r="C163" s="2" t="s">
        <v>1902</v>
      </c>
      <c r="D163" s="3" t="s">
        <v>1836</v>
      </c>
      <c r="E163" s="3" t="s">
        <v>1837</v>
      </c>
      <c r="F163" s="3">
        <v>13.694800000000001</v>
      </c>
      <c r="G163" s="3">
        <v>4.9959899999999999</v>
      </c>
      <c r="H163" s="6">
        <v>-1.45478</v>
      </c>
    </row>
    <row r="164" spans="1:8" s="2" customFormat="1" ht="15" x14ac:dyDescent="0.2">
      <c r="A164" s="5" t="s">
        <v>35</v>
      </c>
      <c r="B164" s="3" t="s">
        <v>3034</v>
      </c>
      <c r="C164" s="2" t="s">
        <v>1859</v>
      </c>
      <c r="D164" s="3" t="s">
        <v>1836</v>
      </c>
      <c r="E164" s="3" t="s">
        <v>1837</v>
      </c>
      <c r="F164" s="3">
        <v>1.36585</v>
      </c>
      <c r="G164" s="3">
        <v>0.50004499999999996</v>
      </c>
      <c r="H164" s="6">
        <v>-1.44967</v>
      </c>
    </row>
    <row r="165" spans="1:8" s="2" customFormat="1" ht="15" x14ac:dyDescent="0.2">
      <c r="A165" s="5" t="s">
        <v>565</v>
      </c>
      <c r="B165" s="3" t="s">
        <v>3161</v>
      </c>
      <c r="C165" s="2" t="s">
        <v>2109</v>
      </c>
      <c r="D165" s="3" t="s">
        <v>1836</v>
      </c>
      <c r="E165" s="3" t="s">
        <v>1837</v>
      </c>
      <c r="F165" s="3">
        <v>1.6105</v>
      </c>
      <c r="G165" s="3">
        <v>0.59039799999999998</v>
      </c>
      <c r="H165" s="6">
        <v>-1.4477500000000001</v>
      </c>
    </row>
    <row r="166" spans="1:8" s="2" customFormat="1" ht="15" x14ac:dyDescent="0.2">
      <c r="A166" s="5" t="s">
        <v>113</v>
      </c>
      <c r="B166" s="3" t="s">
        <v>3052</v>
      </c>
      <c r="C166" s="2" t="s">
        <v>1891</v>
      </c>
      <c r="D166" s="3" t="s">
        <v>1836</v>
      </c>
      <c r="E166" s="3" t="s">
        <v>1837</v>
      </c>
      <c r="F166" s="3">
        <v>2.9787499999999998</v>
      </c>
      <c r="G166" s="3">
        <v>1.0975999999999999</v>
      </c>
      <c r="H166" s="6">
        <v>-1.44035</v>
      </c>
    </row>
    <row r="167" spans="1:8" s="2" customFormat="1" ht="15" x14ac:dyDescent="0.2">
      <c r="A167" s="5" t="s">
        <v>7</v>
      </c>
      <c r="B167" s="3" t="s">
        <v>3015</v>
      </c>
      <c r="C167" s="2" t="s">
        <v>1845</v>
      </c>
      <c r="D167" s="3" t="s">
        <v>1836</v>
      </c>
      <c r="E167" s="3" t="s">
        <v>1837</v>
      </c>
      <c r="F167" s="3">
        <v>3.2798500000000002</v>
      </c>
      <c r="G167" s="3">
        <v>1.21058</v>
      </c>
      <c r="H167" s="6">
        <v>-1.4379299999999999</v>
      </c>
    </row>
    <row r="168" spans="1:8" s="2" customFormat="1" ht="15" x14ac:dyDescent="0.2">
      <c r="A168" s="5" t="s">
        <v>1002</v>
      </c>
      <c r="B168" s="3" t="s">
        <v>3015</v>
      </c>
      <c r="C168" s="2" t="s">
        <v>3015</v>
      </c>
      <c r="D168" s="3" t="s">
        <v>1836</v>
      </c>
      <c r="E168" s="3" t="s">
        <v>1837</v>
      </c>
      <c r="F168" s="3">
        <v>11.661799999999999</v>
      </c>
      <c r="G168" s="3">
        <v>4.3049299999999997</v>
      </c>
      <c r="H168" s="6">
        <v>-1.4377200000000001</v>
      </c>
    </row>
    <row r="169" spans="1:8" s="2" customFormat="1" ht="15" x14ac:dyDescent="0.2">
      <c r="A169" s="5" t="s">
        <v>655</v>
      </c>
      <c r="B169" s="3" t="s">
        <v>3015</v>
      </c>
      <c r="C169" s="2" t="s">
        <v>3015</v>
      </c>
      <c r="D169" s="3" t="s">
        <v>1836</v>
      </c>
      <c r="E169" s="3" t="s">
        <v>1837</v>
      </c>
      <c r="F169" s="3">
        <v>1.47828</v>
      </c>
      <c r="G169" s="3">
        <v>0.54596500000000003</v>
      </c>
      <c r="H169" s="6">
        <v>-1.43703</v>
      </c>
    </row>
    <row r="170" spans="1:8" s="2" customFormat="1" ht="15" x14ac:dyDescent="0.2">
      <c r="A170" s="5" t="s">
        <v>385</v>
      </c>
      <c r="B170" s="3" t="s">
        <v>3015</v>
      </c>
      <c r="C170" s="2" t="s">
        <v>2020</v>
      </c>
      <c r="D170" s="3" t="s">
        <v>1836</v>
      </c>
      <c r="E170" s="3" t="s">
        <v>1837</v>
      </c>
      <c r="F170" s="3">
        <v>6.4118199999999996</v>
      </c>
      <c r="G170" s="3">
        <v>2.3714499999999998</v>
      </c>
      <c r="H170" s="6">
        <v>-1.43496</v>
      </c>
    </row>
    <row r="171" spans="1:8" s="2" customFormat="1" ht="15" x14ac:dyDescent="0.2">
      <c r="A171" s="5" t="s">
        <v>709</v>
      </c>
      <c r="B171" s="3" t="s">
        <v>3195</v>
      </c>
      <c r="C171" s="2" t="s">
        <v>2172</v>
      </c>
      <c r="D171" s="3" t="s">
        <v>1836</v>
      </c>
      <c r="E171" s="3" t="s">
        <v>1837</v>
      </c>
      <c r="F171" s="3">
        <v>62.06</v>
      </c>
      <c r="G171" s="3">
        <v>22.997699999999998</v>
      </c>
      <c r="H171" s="6">
        <v>-1.4321699999999999</v>
      </c>
    </row>
    <row r="172" spans="1:8" s="2" customFormat="1" ht="15" x14ac:dyDescent="0.2">
      <c r="A172" s="5" t="s">
        <v>1021</v>
      </c>
      <c r="B172" s="3" t="s">
        <v>3015</v>
      </c>
      <c r="C172" s="2" t="s">
        <v>2323</v>
      </c>
      <c r="D172" s="3" t="s">
        <v>1836</v>
      </c>
      <c r="E172" s="3" t="s">
        <v>1837</v>
      </c>
      <c r="F172" s="3">
        <v>6.3592599999999999</v>
      </c>
      <c r="G172" s="3">
        <v>2.3572199999999999</v>
      </c>
      <c r="H172" s="6">
        <v>-1.4317800000000001</v>
      </c>
    </row>
    <row r="173" spans="1:8" s="2" customFormat="1" ht="15" x14ac:dyDescent="0.2">
      <c r="A173" s="5" t="s">
        <v>827</v>
      </c>
      <c r="B173" s="3" t="s">
        <v>3015</v>
      </c>
      <c r="C173" s="2" t="s">
        <v>2220</v>
      </c>
      <c r="D173" s="3" t="s">
        <v>1836</v>
      </c>
      <c r="E173" s="3" t="s">
        <v>1837</v>
      </c>
      <c r="F173" s="3">
        <v>1.21454</v>
      </c>
      <c r="G173" s="3">
        <v>0.45195099999999999</v>
      </c>
      <c r="H173" s="6">
        <v>-1.4261699999999999</v>
      </c>
    </row>
    <row r="174" spans="1:8" s="2" customFormat="1" ht="15" x14ac:dyDescent="0.2">
      <c r="A174" s="5" t="s">
        <v>53</v>
      </c>
      <c r="B174" s="3" t="s">
        <v>3038</v>
      </c>
      <c r="C174" s="2" t="s">
        <v>1867</v>
      </c>
      <c r="D174" s="3" t="s">
        <v>1836</v>
      </c>
      <c r="E174" s="3" t="s">
        <v>1837</v>
      </c>
      <c r="F174" s="3">
        <v>6.2652000000000001</v>
      </c>
      <c r="G174" s="3">
        <v>2.33569</v>
      </c>
      <c r="H174" s="6">
        <v>-1.4235100000000001</v>
      </c>
    </row>
    <row r="175" spans="1:8" s="2" customFormat="1" ht="15" x14ac:dyDescent="0.2">
      <c r="A175" s="5" t="s">
        <v>695</v>
      </c>
      <c r="B175" s="3" t="s">
        <v>3049</v>
      </c>
      <c r="C175" s="2" t="s">
        <v>2165</v>
      </c>
      <c r="D175" s="3" t="s">
        <v>1836</v>
      </c>
      <c r="E175" s="3" t="s">
        <v>1837</v>
      </c>
      <c r="F175" s="3">
        <v>2.7762600000000002</v>
      </c>
      <c r="G175" s="3">
        <v>1.0380400000000001</v>
      </c>
      <c r="H175" s="6">
        <v>-1.4192800000000001</v>
      </c>
    </row>
    <row r="176" spans="1:8" s="2" customFormat="1" ht="15" x14ac:dyDescent="0.2">
      <c r="A176" s="5" t="s">
        <v>313</v>
      </c>
      <c r="B176" s="3" t="s">
        <v>3030</v>
      </c>
      <c r="C176" s="2" t="s">
        <v>1989</v>
      </c>
      <c r="D176" s="3" t="s">
        <v>1836</v>
      </c>
      <c r="E176" s="3" t="s">
        <v>1837</v>
      </c>
      <c r="F176" s="3">
        <v>1.7499400000000001</v>
      </c>
      <c r="G176" s="3">
        <v>0.65745600000000004</v>
      </c>
      <c r="H176" s="6">
        <v>-1.4123399999999999</v>
      </c>
    </row>
    <row r="177" spans="1:8" s="2" customFormat="1" ht="15" x14ac:dyDescent="0.2">
      <c r="A177" s="5" t="s">
        <v>828</v>
      </c>
      <c r="B177" s="3" t="s">
        <v>3093</v>
      </c>
      <c r="C177" s="2" t="s">
        <v>2221</v>
      </c>
      <c r="D177" s="3" t="s">
        <v>1836</v>
      </c>
      <c r="E177" s="3" t="s">
        <v>1837</v>
      </c>
      <c r="F177" s="3">
        <v>42.320900000000002</v>
      </c>
      <c r="G177" s="3">
        <v>15.9556</v>
      </c>
      <c r="H177" s="6">
        <v>-1.4073100000000001</v>
      </c>
    </row>
    <row r="178" spans="1:8" s="2" customFormat="1" ht="15" x14ac:dyDescent="0.2">
      <c r="A178" s="5" t="s">
        <v>977</v>
      </c>
      <c r="B178" s="3" t="s">
        <v>3058</v>
      </c>
      <c r="C178" s="2" t="s">
        <v>2018</v>
      </c>
      <c r="D178" s="3" t="s">
        <v>1836</v>
      </c>
      <c r="E178" s="3" t="s">
        <v>1837</v>
      </c>
      <c r="F178" s="3">
        <v>16.8019</v>
      </c>
      <c r="G178" s="3">
        <v>6.35344</v>
      </c>
      <c r="H178" s="6">
        <v>-1.4030100000000001</v>
      </c>
    </row>
    <row r="179" spans="1:8" s="2" customFormat="1" ht="15" x14ac:dyDescent="0.2">
      <c r="A179" s="5" t="s">
        <v>769</v>
      </c>
      <c r="B179" s="3" t="s">
        <v>3207</v>
      </c>
      <c r="C179" s="2" t="s">
        <v>2196</v>
      </c>
      <c r="D179" s="3" t="s">
        <v>1836</v>
      </c>
      <c r="E179" s="3" t="s">
        <v>1837</v>
      </c>
      <c r="F179" s="3">
        <v>3.7873999999999999</v>
      </c>
      <c r="G179" s="3">
        <v>1.43729</v>
      </c>
      <c r="H179" s="6">
        <v>-1.3978600000000001</v>
      </c>
    </row>
    <row r="180" spans="1:8" s="2" customFormat="1" ht="15" x14ac:dyDescent="0.2">
      <c r="A180" s="5" t="s">
        <v>201</v>
      </c>
      <c r="B180" s="3" t="s">
        <v>3081</v>
      </c>
      <c r="C180" s="2" t="s">
        <v>1938</v>
      </c>
      <c r="D180" s="3" t="s">
        <v>1836</v>
      </c>
      <c r="E180" s="3" t="s">
        <v>1837</v>
      </c>
      <c r="F180" s="3">
        <v>3.15699</v>
      </c>
      <c r="G180" s="3">
        <v>1.20122</v>
      </c>
      <c r="H180" s="6">
        <v>-1.3940399999999999</v>
      </c>
    </row>
    <row r="181" spans="1:8" s="2" customFormat="1" ht="15" x14ac:dyDescent="0.2">
      <c r="A181" s="5" t="s">
        <v>861</v>
      </c>
      <c r="B181" s="3" t="s">
        <v>3225</v>
      </c>
      <c r="C181" s="2" t="s">
        <v>2242</v>
      </c>
      <c r="D181" s="3" t="s">
        <v>1836</v>
      </c>
      <c r="E181" s="3" t="s">
        <v>1837</v>
      </c>
      <c r="F181" s="3">
        <v>4.1473199999999997</v>
      </c>
      <c r="G181" s="3">
        <v>1.57884</v>
      </c>
      <c r="H181" s="6">
        <v>-1.39331</v>
      </c>
    </row>
    <row r="182" spans="1:8" s="2" customFormat="1" ht="15" x14ac:dyDescent="0.2">
      <c r="A182" s="5" t="s">
        <v>612</v>
      </c>
      <c r="B182" s="3" t="s">
        <v>3015</v>
      </c>
      <c r="C182" s="2" t="s">
        <v>3015</v>
      </c>
      <c r="D182" s="3" t="s">
        <v>1836</v>
      </c>
      <c r="E182" s="3" t="s">
        <v>1837</v>
      </c>
      <c r="F182" s="3">
        <v>4.11571</v>
      </c>
      <c r="G182" s="3">
        <v>1.57751</v>
      </c>
      <c r="H182" s="6">
        <v>-1.3834900000000001</v>
      </c>
    </row>
    <row r="183" spans="1:8" s="2" customFormat="1" ht="15" x14ac:dyDescent="0.2">
      <c r="A183" s="5" t="s">
        <v>1088</v>
      </c>
      <c r="B183" s="3" t="s">
        <v>3081</v>
      </c>
      <c r="C183" s="2" t="s">
        <v>2353</v>
      </c>
      <c r="D183" s="3" t="s">
        <v>1836</v>
      </c>
      <c r="E183" s="3" t="s">
        <v>1837</v>
      </c>
      <c r="F183" s="3">
        <v>2.6558299999999999</v>
      </c>
      <c r="G183" s="3">
        <v>1.02077</v>
      </c>
      <c r="H183" s="6">
        <v>-1.3794999999999999</v>
      </c>
    </row>
    <row r="184" spans="1:8" s="2" customFormat="1" ht="15" x14ac:dyDescent="0.2">
      <c r="A184" s="5" t="s">
        <v>320</v>
      </c>
      <c r="B184" s="3" t="s">
        <v>3113</v>
      </c>
      <c r="C184" s="2" t="s">
        <v>1994</v>
      </c>
      <c r="D184" s="3" t="s">
        <v>1836</v>
      </c>
      <c r="E184" s="3" t="s">
        <v>1837</v>
      </c>
      <c r="F184" s="3">
        <v>1.3244800000000001</v>
      </c>
      <c r="G184" s="3">
        <v>0.51022699999999999</v>
      </c>
      <c r="H184" s="6">
        <v>-1.3762099999999999</v>
      </c>
    </row>
    <row r="185" spans="1:8" s="2" customFormat="1" ht="15" x14ac:dyDescent="0.2">
      <c r="A185" s="5" t="s">
        <v>646</v>
      </c>
      <c r="B185" s="3" t="s">
        <v>3182</v>
      </c>
      <c r="C185" s="2" t="s">
        <v>2144</v>
      </c>
      <c r="D185" s="3" t="s">
        <v>1836</v>
      </c>
      <c r="E185" s="3" t="s">
        <v>1837</v>
      </c>
      <c r="F185" s="3">
        <v>7.4388699999999996</v>
      </c>
      <c r="G185" s="3">
        <v>2.8691</v>
      </c>
      <c r="H185" s="6">
        <v>-1.3744799999999999</v>
      </c>
    </row>
    <row r="186" spans="1:8" s="2" customFormat="1" ht="15" x14ac:dyDescent="0.2">
      <c r="A186" s="5" t="s">
        <v>989</v>
      </c>
      <c r="B186" s="3" t="s">
        <v>3015</v>
      </c>
      <c r="C186" s="2" t="s">
        <v>1862</v>
      </c>
      <c r="D186" s="3" t="s">
        <v>1836</v>
      </c>
      <c r="E186" s="3" t="s">
        <v>1837</v>
      </c>
      <c r="F186" s="3">
        <v>22.984300000000001</v>
      </c>
      <c r="G186" s="3">
        <v>8.8755299999999995</v>
      </c>
      <c r="H186" s="6">
        <v>-1.3727400000000001</v>
      </c>
    </row>
    <row r="187" spans="1:8" s="2" customFormat="1" ht="15" x14ac:dyDescent="0.2">
      <c r="A187" s="5" t="s">
        <v>761</v>
      </c>
      <c r="B187" s="3" t="s">
        <v>3015</v>
      </c>
      <c r="C187" s="2" t="s">
        <v>2191</v>
      </c>
      <c r="D187" s="3" t="s">
        <v>1836</v>
      </c>
      <c r="E187" s="3" t="s">
        <v>1837</v>
      </c>
      <c r="F187" s="3">
        <v>1.67391</v>
      </c>
      <c r="G187" s="3">
        <v>0.647119</v>
      </c>
      <c r="H187" s="6">
        <v>-1.3711199999999999</v>
      </c>
    </row>
    <row r="188" spans="1:8" s="2" customFormat="1" ht="15" x14ac:dyDescent="0.2">
      <c r="A188" s="5" t="s">
        <v>583</v>
      </c>
      <c r="B188" s="3" t="s">
        <v>3015</v>
      </c>
      <c r="C188" s="2" t="s">
        <v>3015</v>
      </c>
      <c r="D188" s="3" t="s">
        <v>1836</v>
      </c>
      <c r="E188" s="3" t="s">
        <v>1837</v>
      </c>
      <c r="F188" s="3">
        <v>273.91300000000001</v>
      </c>
      <c r="G188" s="3">
        <v>105.904</v>
      </c>
      <c r="H188" s="6">
        <v>-1.3709499999999999</v>
      </c>
    </row>
    <row r="189" spans="1:8" s="2" customFormat="1" ht="15" x14ac:dyDescent="0.2">
      <c r="A189" s="5" t="s">
        <v>159</v>
      </c>
      <c r="B189" s="3" t="s">
        <v>3065</v>
      </c>
      <c r="C189" s="2" t="s">
        <v>1920</v>
      </c>
      <c r="D189" s="3" t="s">
        <v>1836</v>
      </c>
      <c r="E189" s="3" t="s">
        <v>1837</v>
      </c>
      <c r="F189" s="3">
        <v>11.1389</v>
      </c>
      <c r="G189" s="3">
        <v>4.3109200000000003</v>
      </c>
      <c r="H189" s="6">
        <v>-1.3695299999999999</v>
      </c>
    </row>
    <row r="190" spans="1:8" s="2" customFormat="1" ht="15" x14ac:dyDescent="0.2">
      <c r="A190" s="5" t="s">
        <v>671</v>
      </c>
      <c r="B190" s="3" t="s">
        <v>3187</v>
      </c>
      <c r="C190" s="2" t="s">
        <v>2155</v>
      </c>
      <c r="D190" s="3" t="s">
        <v>1836</v>
      </c>
      <c r="E190" s="3" t="s">
        <v>1837</v>
      </c>
      <c r="F190" s="3">
        <v>0.82825099999999996</v>
      </c>
      <c r="G190" s="3">
        <v>0.320627</v>
      </c>
      <c r="H190" s="6">
        <v>-1.36917</v>
      </c>
    </row>
    <row r="191" spans="1:8" s="2" customFormat="1" ht="15" x14ac:dyDescent="0.2">
      <c r="A191" s="5" t="s">
        <v>561</v>
      </c>
      <c r="B191" s="3" t="s">
        <v>3159</v>
      </c>
      <c r="C191" s="2" t="s">
        <v>2107</v>
      </c>
      <c r="D191" s="3" t="s">
        <v>1836</v>
      </c>
      <c r="E191" s="3" t="s">
        <v>1837</v>
      </c>
      <c r="F191" s="3">
        <v>2.8664800000000001</v>
      </c>
      <c r="G191" s="3">
        <v>1.1098699999999999</v>
      </c>
      <c r="H191" s="6">
        <v>-1.3688899999999999</v>
      </c>
    </row>
    <row r="192" spans="1:8" s="2" customFormat="1" ht="15" x14ac:dyDescent="0.2">
      <c r="A192" s="5" t="s">
        <v>1049</v>
      </c>
      <c r="B192" s="3" t="s">
        <v>3262</v>
      </c>
      <c r="C192" s="2" t="s">
        <v>2335</v>
      </c>
      <c r="D192" s="3" t="s">
        <v>1836</v>
      </c>
      <c r="E192" s="3" t="s">
        <v>1837</v>
      </c>
      <c r="F192" s="3">
        <v>200.76300000000001</v>
      </c>
      <c r="G192" s="3">
        <v>77.751199999999997</v>
      </c>
      <c r="H192" s="6">
        <v>-1.36856</v>
      </c>
    </row>
    <row r="193" spans="1:8" s="2" customFormat="1" ht="15" x14ac:dyDescent="0.2">
      <c r="A193" s="5" t="s">
        <v>959</v>
      </c>
      <c r="B193" s="3" t="s">
        <v>3047</v>
      </c>
      <c r="C193" s="2" t="s">
        <v>2292</v>
      </c>
      <c r="D193" s="3" t="s">
        <v>1836</v>
      </c>
      <c r="E193" s="3" t="s">
        <v>1837</v>
      </c>
      <c r="F193" s="3">
        <v>0.86680699999999999</v>
      </c>
      <c r="G193" s="3">
        <v>0.33582099999999998</v>
      </c>
      <c r="H193" s="6">
        <v>-1.36802</v>
      </c>
    </row>
    <row r="194" spans="1:8" s="2" customFormat="1" ht="15" x14ac:dyDescent="0.2">
      <c r="A194" s="5" t="s">
        <v>278</v>
      </c>
      <c r="B194" s="3" t="s">
        <v>3033</v>
      </c>
      <c r="C194" s="2" t="s">
        <v>1971</v>
      </c>
      <c r="D194" s="3" t="s">
        <v>1836</v>
      </c>
      <c r="E194" s="3" t="s">
        <v>1837</v>
      </c>
      <c r="F194" s="3">
        <v>16.901199999999999</v>
      </c>
      <c r="G194" s="3">
        <v>6.5565100000000003</v>
      </c>
      <c r="H194" s="6">
        <v>-1.3661300000000001</v>
      </c>
    </row>
    <row r="195" spans="1:8" s="2" customFormat="1" ht="15" x14ac:dyDescent="0.2">
      <c r="A195" s="5" t="s">
        <v>1056</v>
      </c>
      <c r="B195" s="3" t="s">
        <v>3047</v>
      </c>
      <c r="C195" s="2" t="s">
        <v>2277</v>
      </c>
      <c r="D195" s="3" t="s">
        <v>1836</v>
      </c>
      <c r="E195" s="3" t="s">
        <v>1837</v>
      </c>
      <c r="F195" s="3">
        <v>1.00936</v>
      </c>
      <c r="G195" s="3">
        <v>0.391731</v>
      </c>
      <c r="H195" s="6">
        <v>-1.36551</v>
      </c>
    </row>
    <row r="196" spans="1:8" s="2" customFormat="1" ht="15" x14ac:dyDescent="0.2">
      <c r="A196" s="5" t="s">
        <v>841</v>
      </c>
      <c r="B196" s="3" t="s">
        <v>3083</v>
      </c>
      <c r="C196" s="2" t="s">
        <v>2229</v>
      </c>
      <c r="D196" s="3" t="s">
        <v>1836</v>
      </c>
      <c r="E196" s="3" t="s">
        <v>1837</v>
      </c>
      <c r="F196" s="3">
        <v>1.11364</v>
      </c>
      <c r="G196" s="3">
        <v>0.43279200000000001</v>
      </c>
      <c r="H196" s="6">
        <v>-1.3635299999999999</v>
      </c>
    </row>
    <row r="197" spans="1:8" s="2" customFormat="1" ht="15" x14ac:dyDescent="0.2">
      <c r="A197" s="5" t="s">
        <v>198</v>
      </c>
      <c r="B197" s="3" t="s">
        <v>3079</v>
      </c>
      <c r="C197" s="2" t="s">
        <v>1936</v>
      </c>
      <c r="D197" s="3" t="s">
        <v>1836</v>
      </c>
      <c r="E197" s="3" t="s">
        <v>1837</v>
      </c>
      <c r="F197" s="3">
        <v>8.0376100000000008</v>
      </c>
      <c r="G197" s="3">
        <v>3.1284700000000001</v>
      </c>
      <c r="H197" s="6">
        <v>-1.36131</v>
      </c>
    </row>
    <row r="198" spans="1:8" s="2" customFormat="1" ht="15" x14ac:dyDescent="0.2">
      <c r="A198" s="5" t="s">
        <v>373</v>
      </c>
      <c r="B198" s="3" t="s">
        <v>3030</v>
      </c>
      <c r="C198" s="2" t="s">
        <v>2017</v>
      </c>
      <c r="D198" s="3" t="s">
        <v>1836</v>
      </c>
      <c r="E198" s="3" t="s">
        <v>1837</v>
      </c>
      <c r="F198" s="3">
        <v>1.50359</v>
      </c>
      <c r="G198" s="3">
        <v>0.58696599999999999</v>
      </c>
      <c r="H198" s="6">
        <v>-1.35707</v>
      </c>
    </row>
    <row r="199" spans="1:8" s="2" customFormat="1" ht="15" x14ac:dyDescent="0.2">
      <c r="A199" s="5" t="s">
        <v>6</v>
      </c>
      <c r="B199" s="3" t="s">
        <v>3024</v>
      </c>
      <c r="C199" s="2" t="s">
        <v>1844</v>
      </c>
      <c r="D199" s="3" t="s">
        <v>1836</v>
      </c>
      <c r="E199" s="3" t="s">
        <v>1837</v>
      </c>
      <c r="F199" s="3">
        <v>12.1189</v>
      </c>
      <c r="G199" s="3">
        <v>4.75237</v>
      </c>
      <c r="H199" s="6">
        <v>-1.3505400000000001</v>
      </c>
    </row>
    <row r="200" spans="1:8" s="2" customFormat="1" ht="15" x14ac:dyDescent="0.2">
      <c r="A200" s="5" t="s">
        <v>1001</v>
      </c>
      <c r="B200" s="3" t="s">
        <v>3015</v>
      </c>
      <c r="C200" s="2" t="s">
        <v>2312</v>
      </c>
      <c r="D200" s="3" t="s">
        <v>1836</v>
      </c>
      <c r="E200" s="3" t="s">
        <v>1837</v>
      </c>
      <c r="F200" s="3">
        <v>4.4379299999999997</v>
      </c>
      <c r="G200" s="3">
        <v>1.74892</v>
      </c>
      <c r="H200" s="6">
        <v>-1.3434200000000001</v>
      </c>
    </row>
    <row r="201" spans="1:8" s="2" customFormat="1" ht="15" x14ac:dyDescent="0.2">
      <c r="A201" s="5" t="s">
        <v>1008</v>
      </c>
      <c r="B201" s="3" t="s">
        <v>3015</v>
      </c>
      <c r="C201" s="2" t="s">
        <v>2315</v>
      </c>
      <c r="D201" s="3" t="s">
        <v>1836</v>
      </c>
      <c r="E201" s="3" t="s">
        <v>1837</v>
      </c>
      <c r="F201" s="3">
        <v>6.97966</v>
      </c>
      <c r="G201" s="3">
        <v>2.7517800000000001</v>
      </c>
      <c r="H201" s="6">
        <v>-1.3427899999999999</v>
      </c>
    </row>
    <row r="202" spans="1:8" s="2" customFormat="1" ht="15" x14ac:dyDescent="0.2">
      <c r="A202" s="5" t="s">
        <v>844</v>
      </c>
      <c r="B202" s="3" t="s">
        <v>3220</v>
      </c>
      <c r="C202" s="2" t="s">
        <v>2231</v>
      </c>
      <c r="D202" s="3" t="s">
        <v>1836</v>
      </c>
      <c r="E202" s="3" t="s">
        <v>1837</v>
      </c>
      <c r="F202" s="3">
        <v>4.7689500000000002</v>
      </c>
      <c r="G202" s="3">
        <v>1.8828</v>
      </c>
      <c r="H202" s="6">
        <v>-1.3407899999999999</v>
      </c>
    </row>
    <row r="203" spans="1:8" s="2" customFormat="1" ht="15" x14ac:dyDescent="0.2">
      <c r="A203" s="5" t="s">
        <v>286</v>
      </c>
      <c r="B203" s="3" t="s">
        <v>3015</v>
      </c>
      <c r="C203" s="2" t="s">
        <v>3015</v>
      </c>
      <c r="D203" s="3" t="s">
        <v>1836</v>
      </c>
      <c r="E203" s="3" t="s">
        <v>1837</v>
      </c>
      <c r="F203" s="3">
        <v>23.9984</v>
      </c>
      <c r="G203" s="3">
        <v>9.5113299999999992</v>
      </c>
      <c r="H203" s="6">
        <v>-1.3352200000000001</v>
      </c>
    </row>
    <row r="204" spans="1:8" s="2" customFormat="1" ht="15" x14ac:dyDescent="0.2">
      <c r="A204" s="5" t="s">
        <v>900</v>
      </c>
      <c r="B204" s="3" t="s">
        <v>3080</v>
      </c>
      <c r="C204" s="2" t="s">
        <v>2261</v>
      </c>
      <c r="D204" s="3" t="s">
        <v>1836</v>
      </c>
      <c r="E204" s="3" t="s">
        <v>1837</v>
      </c>
      <c r="F204" s="3">
        <v>8.3671699999999998</v>
      </c>
      <c r="G204" s="3">
        <v>3.3323</v>
      </c>
      <c r="H204" s="6">
        <v>-1.32822</v>
      </c>
    </row>
    <row r="205" spans="1:8" s="2" customFormat="1" ht="15" x14ac:dyDescent="0.2">
      <c r="A205" s="5" t="s">
        <v>5</v>
      </c>
      <c r="B205" s="3" t="s">
        <v>3276</v>
      </c>
      <c r="C205" s="2" t="s">
        <v>2360</v>
      </c>
      <c r="D205" s="3" t="s">
        <v>1836</v>
      </c>
      <c r="E205" s="3" t="s">
        <v>1837</v>
      </c>
      <c r="F205" s="3">
        <v>4.3029999999999999</v>
      </c>
      <c r="G205" s="3">
        <v>1.7140899999999999</v>
      </c>
      <c r="H205" s="6">
        <v>-1.3279000000000001</v>
      </c>
    </row>
    <row r="206" spans="1:8" s="2" customFormat="1" ht="15" x14ac:dyDescent="0.2">
      <c r="A206" s="5" t="s">
        <v>921</v>
      </c>
      <c r="B206" s="3" t="s">
        <v>3238</v>
      </c>
      <c r="C206" s="2" t="s">
        <v>2272</v>
      </c>
      <c r="D206" s="3" t="s">
        <v>1836</v>
      </c>
      <c r="E206" s="3" t="s">
        <v>1837</v>
      </c>
      <c r="F206" s="3">
        <v>3.66967</v>
      </c>
      <c r="G206" s="3">
        <v>1.4633</v>
      </c>
      <c r="H206" s="6">
        <v>-1.32643</v>
      </c>
    </row>
    <row r="207" spans="1:8" s="2" customFormat="1" ht="15" x14ac:dyDescent="0.2">
      <c r="A207" s="5" t="s">
        <v>426</v>
      </c>
      <c r="B207" s="3" t="s">
        <v>3015</v>
      </c>
      <c r="C207" s="2" t="s">
        <v>2040</v>
      </c>
      <c r="D207" s="3" t="s">
        <v>1836</v>
      </c>
      <c r="E207" s="3" t="s">
        <v>1837</v>
      </c>
      <c r="F207" s="3">
        <v>9.9960799999999992</v>
      </c>
      <c r="G207" s="3">
        <v>3.98752</v>
      </c>
      <c r="H207" s="6">
        <v>-1.3258700000000001</v>
      </c>
    </row>
    <row r="208" spans="1:8" s="2" customFormat="1" ht="15" x14ac:dyDescent="0.2">
      <c r="A208" s="5" t="s">
        <v>548</v>
      </c>
      <c r="B208" s="3" t="s">
        <v>3015</v>
      </c>
      <c r="C208" s="2" t="s">
        <v>2102</v>
      </c>
      <c r="D208" s="3" t="s">
        <v>1836</v>
      </c>
      <c r="E208" s="3" t="s">
        <v>1837</v>
      </c>
      <c r="F208" s="3">
        <v>302.04500000000002</v>
      </c>
      <c r="G208" s="3">
        <v>120.706</v>
      </c>
      <c r="H208" s="6">
        <v>-1.3232699999999999</v>
      </c>
    </row>
    <row r="209" spans="1:8" s="2" customFormat="1" ht="15" x14ac:dyDescent="0.2">
      <c r="A209" s="5" t="s">
        <v>1026</v>
      </c>
      <c r="B209" s="3" t="s">
        <v>3259</v>
      </c>
      <c r="C209" s="2" t="s">
        <v>1847</v>
      </c>
      <c r="D209" s="3" t="s">
        <v>1836</v>
      </c>
      <c r="E209" s="3" t="s">
        <v>1837</v>
      </c>
      <c r="F209" s="3">
        <v>11.9305</v>
      </c>
      <c r="G209" s="3">
        <v>4.8121799999999997</v>
      </c>
      <c r="H209" s="6">
        <v>-1.30989</v>
      </c>
    </row>
    <row r="210" spans="1:8" s="2" customFormat="1" ht="15" x14ac:dyDescent="0.2">
      <c r="A210" s="5" t="s">
        <v>990</v>
      </c>
      <c r="B210" s="3" t="s">
        <v>3015</v>
      </c>
      <c r="C210" s="2" t="s">
        <v>2309</v>
      </c>
      <c r="D210" s="3" t="s">
        <v>1836</v>
      </c>
      <c r="E210" s="3" t="s">
        <v>1837</v>
      </c>
      <c r="F210" s="3">
        <v>1.1097600000000001</v>
      </c>
      <c r="G210" s="3">
        <v>0.44972400000000001</v>
      </c>
      <c r="H210" s="6">
        <v>-1.30314</v>
      </c>
    </row>
    <row r="211" spans="1:8" s="2" customFormat="1" ht="15" x14ac:dyDescent="0.2">
      <c r="A211" s="5" t="s">
        <v>1053</v>
      </c>
      <c r="B211" s="3" t="s">
        <v>3015</v>
      </c>
      <c r="C211" s="2" t="s">
        <v>2337</v>
      </c>
      <c r="D211" s="3" t="s">
        <v>1836</v>
      </c>
      <c r="E211" s="3" t="s">
        <v>1837</v>
      </c>
      <c r="F211" s="3">
        <v>1.45929</v>
      </c>
      <c r="G211" s="3">
        <v>0.59490500000000002</v>
      </c>
      <c r="H211" s="6">
        <v>-1.29454</v>
      </c>
    </row>
    <row r="212" spans="1:8" s="2" customFormat="1" ht="15" x14ac:dyDescent="0.2">
      <c r="A212" s="5" t="s">
        <v>137</v>
      </c>
      <c r="B212" s="3" t="s">
        <v>3015</v>
      </c>
      <c r="C212" s="2" t="s">
        <v>1905</v>
      </c>
      <c r="D212" s="3" t="s">
        <v>1836</v>
      </c>
      <c r="E212" s="3" t="s">
        <v>1837</v>
      </c>
      <c r="F212" s="3">
        <v>3.3832800000000001</v>
      </c>
      <c r="G212" s="3">
        <v>1.3814500000000001</v>
      </c>
      <c r="H212" s="6">
        <v>-1.2922400000000001</v>
      </c>
    </row>
    <row r="213" spans="1:8" s="2" customFormat="1" ht="15" x14ac:dyDescent="0.2">
      <c r="A213" s="5" t="s">
        <v>362</v>
      </c>
      <c r="B213" s="3" t="s">
        <v>3100</v>
      </c>
      <c r="C213" s="2" t="s">
        <v>2009</v>
      </c>
      <c r="D213" s="3" t="s">
        <v>1836</v>
      </c>
      <c r="E213" s="3" t="s">
        <v>1837</v>
      </c>
      <c r="F213" s="3">
        <v>2.4043800000000002</v>
      </c>
      <c r="G213" s="3">
        <v>0.98197900000000005</v>
      </c>
      <c r="H213" s="6">
        <v>-1.2919</v>
      </c>
    </row>
    <row r="214" spans="1:8" s="2" customFormat="1" ht="15" x14ac:dyDescent="0.2">
      <c r="A214" s="5" t="s">
        <v>1110</v>
      </c>
      <c r="B214" s="3" t="s">
        <v>3272</v>
      </c>
      <c r="C214" s="2" t="s">
        <v>1852</v>
      </c>
      <c r="D214" s="3" t="s">
        <v>1836</v>
      </c>
      <c r="E214" s="3" t="s">
        <v>1837</v>
      </c>
      <c r="F214" s="3">
        <v>1.44103</v>
      </c>
      <c r="G214" s="3">
        <v>0.59076300000000004</v>
      </c>
      <c r="H214" s="6">
        <v>-1.2864500000000001</v>
      </c>
    </row>
    <row r="215" spans="1:8" s="2" customFormat="1" ht="15" x14ac:dyDescent="0.2">
      <c r="A215" s="5" t="s">
        <v>682</v>
      </c>
      <c r="B215" s="3" t="s">
        <v>3191</v>
      </c>
      <c r="C215" s="2" t="s">
        <v>3015</v>
      </c>
      <c r="D215" s="3" t="s">
        <v>1836</v>
      </c>
      <c r="E215" s="3" t="s">
        <v>1837</v>
      </c>
      <c r="F215" s="3">
        <v>1.7057899999999999</v>
      </c>
      <c r="G215" s="3">
        <v>0.69972699999999999</v>
      </c>
      <c r="H215" s="6">
        <v>-1.2855799999999999</v>
      </c>
    </row>
    <row r="216" spans="1:8" s="2" customFormat="1" ht="15" x14ac:dyDescent="0.2">
      <c r="A216" s="5" t="s">
        <v>246</v>
      </c>
      <c r="B216" s="3" t="s">
        <v>3096</v>
      </c>
      <c r="C216" s="2" t="s">
        <v>1959</v>
      </c>
      <c r="D216" s="3" t="s">
        <v>1836</v>
      </c>
      <c r="E216" s="3" t="s">
        <v>1837</v>
      </c>
      <c r="F216" s="3">
        <v>1.0102100000000001</v>
      </c>
      <c r="G216" s="3">
        <v>0.41486699999999999</v>
      </c>
      <c r="H216" s="6">
        <v>-1.2839400000000001</v>
      </c>
    </row>
    <row r="217" spans="1:8" s="2" customFormat="1" ht="15" x14ac:dyDescent="0.2">
      <c r="A217" s="5" t="s">
        <v>1045</v>
      </c>
      <c r="B217" s="3" t="s">
        <v>3100</v>
      </c>
      <c r="C217" s="2" t="s">
        <v>2333</v>
      </c>
      <c r="D217" s="3" t="s">
        <v>1836</v>
      </c>
      <c r="E217" s="3" t="s">
        <v>1837</v>
      </c>
      <c r="F217" s="3">
        <v>2.6594699999999998</v>
      </c>
      <c r="G217" s="3">
        <v>1.0932200000000001</v>
      </c>
      <c r="H217" s="6">
        <v>-1.2825599999999999</v>
      </c>
    </row>
    <row r="218" spans="1:8" s="2" customFormat="1" ht="15" x14ac:dyDescent="0.2">
      <c r="A218" s="5" t="s">
        <v>883</v>
      </c>
      <c r="B218" s="3" t="s">
        <v>3231</v>
      </c>
      <c r="C218" s="2" t="s">
        <v>2253</v>
      </c>
      <c r="D218" s="3" t="s">
        <v>1836</v>
      </c>
      <c r="E218" s="3" t="s">
        <v>1837</v>
      </c>
      <c r="F218" s="3">
        <v>11.429600000000001</v>
      </c>
      <c r="G218" s="3">
        <v>4.7084999999999999</v>
      </c>
      <c r="H218" s="6">
        <v>-1.2794300000000001</v>
      </c>
    </row>
    <row r="219" spans="1:8" s="2" customFormat="1" ht="15" x14ac:dyDescent="0.2">
      <c r="A219" s="5" t="s">
        <v>424</v>
      </c>
      <c r="B219" s="3" t="s">
        <v>3015</v>
      </c>
      <c r="C219" s="2" t="s">
        <v>2040</v>
      </c>
      <c r="D219" s="3" t="s">
        <v>1836</v>
      </c>
      <c r="E219" s="3" t="s">
        <v>1837</v>
      </c>
      <c r="F219" s="3">
        <v>11.267099999999999</v>
      </c>
      <c r="G219" s="3">
        <v>4.6474000000000002</v>
      </c>
      <c r="H219" s="6">
        <v>-1.27762</v>
      </c>
    </row>
    <row r="220" spans="1:8" s="2" customFormat="1" ht="15" x14ac:dyDescent="0.2">
      <c r="A220" s="5" t="s">
        <v>461</v>
      </c>
      <c r="B220" s="3" t="s">
        <v>3015</v>
      </c>
      <c r="C220" s="2" t="s">
        <v>2060</v>
      </c>
      <c r="D220" s="3" t="s">
        <v>1836</v>
      </c>
      <c r="E220" s="3" t="s">
        <v>1837</v>
      </c>
      <c r="F220" s="3">
        <v>9.4544499999999996</v>
      </c>
      <c r="G220" s="3">
        <v>3.9007000000000001</v>
      </c>
      <c r="H220" s="6">
        <v>-1.2772600000000001</v>
      </c>
    </row>
    <row r="221" spans="1:8" s="2" customFormat="1" ht="15" x14ac:dyDescent="0.2">
      <c r="A221" s="5" t="s">
        <v>67</v>
      </c>
      <c r="B221" s="3" t="s">
        <v>3046</v>
      </c>
      <c r="C221" s="2" t="s">
        <v>1878</v>
      </c>
      <c r="D221" s="3" t="s">
        <v>1836</v>
      </c>
      <c r="E221" s="3" t="s">
        <v>1837</v>
      </c>
      <c r="F221" s="3">
        <v>1.26651</v>
      </c>
      <c r="G221" s="3">
        <v>0.52339999999999998</v>
      </c>
      <c r="H221" s="6">
        <v>-1.2748699999999999</v>
      </c>
    </row>
    <row r="222" spans="1:8" s="2" customFormat="1" ht="15" x14ac:dyDescent="0.2">
      <c r="A222" s="5" t="s">
        <v>66</v>
      </c>
      <c r="B222" s="3" t="s">
        <v>3015</v>
      </c>
      <c r="C222" s="2" t="s">
        <v>1877</v>
      </c>
      <c r="D222" s="3" t="s">
        <v>1836</v>
      </c>
      <c r="E222" s="3" t="s">
        <v>1837</v>
      </c>
      <c r="F222" s="3">
        <v>2.3613400000000002</v>
      </c>
      <c r="G222" s="3">
        <v>0.97677000000000003</v>
      </c>
      <c r="H222" s="6">
        <v>-1.2735099999999999</v>
      </c>
    </row>
    <row r="223" spans="1:8" s="2" customFormat="1" ht="15" x14ac:dyDescent="0.2">
      <c r="A223" s="5" t="s">
        <v>138</v>
      </c>
      <c r="B223" s="3" t="s">
        <v>3015</v>
      </c>
      <c r="C223" s="2" t="s">
        <v>1906</v>
      </c>
      <c r="D223" s="3" t="s">
        <v>1836</v>
      </c>
      <c r="E223" s="3" t="s">
        <v>1837</v>
      </c>
      <c r="F223" s="3">
        <v>3.51186</v>
      </c>
      <c r="G223" s="3">
        <v>1.4528700000000001</v>
      </c>
      <c r="H223" s="6">
        <v>-1.2733300000000001</v>
      </c>
    </row>
    <row r="224" spans="1:8" s="2" customFormat="1" ht="15" x14ac:dyDescent="0.2">
      <c r="A224" s="5" t="s">
        <v>873</v>
      </c>
      <c r="B224" s="3" t="s">
        <v>3080</v>
      </c>
      <c r="C224" s="2" t="s">
        <v>2247</v>
      </c>
      <c r="D224" s="3" t="s">
        <v>1836</v>
      </c>
      <c r="E224" s="3" t="s">
        <v>1837</v>
      </c>
      <c r="F224" s="3">
        <v>3.7013699999999998</v>
      </c>
      <c r="G224" s="3">
        <v>1.53155</v>
      </c>
      <c r="H224" s="6">
        <v>-1.2730699999999999</v>
      </c>
    </row>
    <row r="225" spans="1:8" s="2" customFormat="1" ht="15" x14ac:dyDescent="0.2">
      <c r="A225" s="5" t="s">
        <v>846</v>
      </c>
      <c r="B225" s="3" t="s">
        <v>3221</v>
      </c>
      <c r="C225" s="2" t="s">
        <v>2233</v>
      </c>
      <c r="D225" s="3" t="s">
        <v>1836</v>
      </c>
      <c r="E225" s="3" t="s">
        <v>1837</v>
      </c>
      <c r="F225" s="3">
        <v>3.9114900000000001</v>
      </c>
      <c r="G225" s="3">
        <v>1.62019</v>
      </c>
      <c r="H225" s="6">
        <v>-1.27156</v>
      </c>
    </row>
    <row r="226" spans="1:8" s="2" customFormat="1" ht="15" x14ac:dyDescent="0.2">
      <c r="A226" s="5" t="s">
        <v>149</v>
      </c>
      <c r="B226" s="3" t="s">
        <v>3015</v>
      </c>
      <c r="C226" s="2" t="s">
        <v>1914</v>
      </c>
      <c r="D226" s="3" t="s">
        <v>1836</v>
      </c>
      <c r="E226" s="3" t="s">
        <v>1837</v>
      </c>
      <c r="F226" s="3">
        <v>3.9297599999999999</v>
      </c>
      <c r="G226" s="3">
        <v>1.6311199999999999</v>
      </c>
      <c r="H226" s="6">
        <v>-1.26858</v>
      </c>
    </row>
    <row r="227" spans="1:8" s="2" customFormat="1" ht="15" x14ac:dyDescent="0.2">
      <c r="A227" s="5" t="s">
        <v>432</v>
      </c>
      <c r="B227" s="3" t="s">
        <v>3015</v>
      </c>
      <c r="C227" s="2" t="s">
        <v>2044</v>
      </c>
      <c r="D227" s="3" t="s">
        <v>1836</v>
      </c>
      <c r="E227" s="3" t="s">
        <v>1837</v>
      </c>
      <c r="F227" s="3">
        <v>16.1647</v>
      </c>
      <c r="G227" s="3">
        <v>6.7198599999999997</v>
      </c>
      <c r="H227" s="6">
        <v>-1.26634</v>
      </c>
    </row>
    <row r="228" spans="1:8" s="2" customFormat="1" ht="15" x14ac:dyDescent="0.2">
      <c r="A228" s="5" t="s">
        <v>366</v>
      </c>
      <c r="B228" s="3" t="s">
        <v>3127</v>
      </c>
      <c r="C228" s="2" t="s">
        <v>2012</v>
      </c>
      <c r="D228" s="3" t="s">
        <v>1836</v>
      </c>
      <c r="E228" s="3" t="s">
        <v>1837</v>
      </c>
      <c r="F228" s="3">
        <v>13.690300000000001</v>
      </c>
      <c r="G228" s="3">
        <v>5.69468</v>
      </c>
      <c r="H228" s="6">
        <v>-1.2654700000000001</v>
      </c>
    </row>
    <row r="229" spans="1:8" s="2" customFormat="1" ht="15" x14ac:dyDescent="0.2">
      <c r="A229" s="5" t="s">
        <v>948</v>
      </c>
      <c r="B229" s="3" t="s">
        <v>3155</v>
      </c>
      <c r="C229" s="2" t="s">
        <v>2286</v>
      </c>
      <c r="D229" s="3" t="s">
        <v>1836</v>
      </c>
      <c r="E229" s="3" t="s">
        <v>1837</v>
      </c>
      <c r="F229" s="3">
        <v>1.17944</v>
      </c>
      <c r="G229" s="3">
        <v>0.49148999999999998</v>
      </c>
      <c r="H229" s="6">
        <v>-1.2628699999999999</v>
      </c>
    </row>
    <row r="230" spans="1:8" s="2" customFormat="1" ht="15" x14ac:dyDescent="0.2">
      <c r="A230" s="5" t="s">
        <v>803</v>
      </c>
      <c r="B230" s="3" t="s">
        <v>3093</v>
      </c>
      <c r="C230" s="2" t="s">
        <v>2209</v>
      </c>
      <c r="D230" s="3" t="s">
        <v>1836</v>
      </c>
      <c r="E230" s="3" t="s">
        <v>1837</v>
      </c>
      <c r="F230" s="3">
        <v>197.452</v>
      </c>
      <c r="G230" s="3">
        <v>82.299599999999998</v>
      </c>
      <c r="H230" s="6">
        <v>-1.2625500000000001</v>
      </c>
    </row>
    <row r="231" spans="1:8" s="2" customFormat="1" ht="15" x14ac:dyDescent="0.2">
      <c r="A231" s="5" t="s">
        <v>553</v>
      </c>
      <c r="B231" s="3" t="s">
        <v>3039</v>
      </c>
      <c r="C231" s="2" t="s">
        <v>2105</v>
      </c>
      <c r="D231" s="3" t="s">
        <v>1836</v>
      </c>
      <c r="E231" s="3" t="s">
        <v>1837</v>
      </c>
      <c r="F231" s="3">
        <v>1.3607400000000001</v>
      </c>
      <c r="G231" s="3">
        <v>0.56729300000000005</v>
      </c>
      <c r="H231" s="6">
        <v>-1.2622199999999999</v>
      </c>
    </row>
    <row r="232" spans="1:8" s="2" customFormat="1" ht="15" x14ac:dyDescent="0.2">
      <c r="A232" s="5" t="s">
        <v>968</v>
      </c>
      <c r="B232" s="3" t="s">
        <v>3015</v>
      </c>
      <c r="C232" s="2" t="s">
        <v>2299</v>
      </c>
      <c r="D232" s="3" t="s">
        <v>1836</v>
      </c>
      <c r="E232" s="3" t="s">
        <v>1837</v>
      </c>
      <c r="F232" s="3">
        <v>0.93010700000000002</v>
      </c>
      <c r="G232" s="3">
        <v>0.387957</v>
      </c>
      <c r="H232" s="6">
        <v>-1.2615000000000001</v>
      </c>
    </row>
    <row r="233" spans="1:8" s="2" customFormat="1" ht="15" x14ac:dyDescent="0.2">
      <c r="A233" s="5" t="s">
        <v>295</v>
      </c>
      <c r="B233" s="3" t="s">
        <v>3108</v>
      </c>
      <c r="C233" s="2" t="s">
        <v>1980</v>
      </c>
      <c r="D233" s="3" t="s">
        <v>1836</v>
      </c>
      <c r="E233" s="3" t="s">
        <v>1837</v>
      </c>
      <c r="F233" s="3">
        <v>1.4880599999999999</v>
      </c>
      <c r="G233" s="3">
        <v>0.62072400000000005</v>
      </c>
      <c r="H233" s="6">
        <v>-1.2614099999999999</v>
      </c>
    </row>
    <row r="234" spans="1:8" s="2" customFormat="1" ht="15" x14ac:dyDescent="0.2">
      <c r="A234" s="5" t="s">
        <v>364</v>
      </c>
      <c r="B234" s="3" t="s">
        <v>3015</v>
      </c>
      <c r="C234" s="2" t="s">
        <v>2010</v>
      </c>
      <c r="D234" s="3" t="s">
        <v>1836</v>
      </c>
      <c r="E234" s="3" t="s">
        <v>1837</v>
      </c>
      <c r="F234" s="3">
        <v>4.1937199999999999</v>
      </c>
      <c r="G234" s="3">
        <v>1.7515700000000001</v>
      </c>
      <c r="H234" s="6">
        <v>-1.25959</v>
      </c>
    </row>
    <row r="235" spans="1:8" s="2" customFormat="1" ht="15" x14ac:dyDescent="0.2">
      <c r="A235" s="5" t="s">
        <v>178</v>
      </c>
      <c r="B235" s="3" t="s">
        <v>3015</v>
      </c>
      <c r="C235" s="2" t="s">
        <v>1927</v>
      </c>
      <c r="D235" s="3" t="s">
        <v>1836</v>
      </c>
      <c r="E235" s="3" t="s">
        <v>1837</v>
      </c>
      <c r="F235" s="3">
        <v>1.3225899999999999</v>
      </c>
      <c r="G235" s="3">
        <v>0.55396199999999995</v>
      </c>
      <c r="H235" s="6">
        <v>-1.2555099999999999</v>
      </c>
    </row>
    <row r="236" spans="1:8" s="2" customFormat="1" ht="15" x14ac:dyDescent="0.2">
      <c r="A236" s="5" t="s">
        <v>683</v>
      </c>
      <c r="B236" s="3" t="s">
        <v>3080</v>
      </c>
      <c r="C236" s="2" t="s">
        <v>2160</v>
      </c>
      <c r="D236" s="3" t="s">
        <v>1836</v>
      </c>
      <c r="E236" s="3" t="s">
        <v>1837</v>
      </c>
      <c r="F236" s="3">
        <v>3.46069</v>
      </c>
      <c r="G236" s="3">
        <v>1.4502600000000001</v>
      </c>
      <c r="H236" s="6">
        <v>-1.25475</v>
      </c>
    </row>
    <row r="237" spans="1:8" s="2" customFormat="1" ht="15" x14ac:dyDescent="0.2">
      <c r="A237" s="5" t="s">
        <v>837</v>
      </c>
      <c r="B237" s="3" t="s">
        <v>3094</v>
      </c>
      <c r="C237" s="2" t="s">
        <v>2227</v>
      </c>
      <c r="D237" s="3" t="s">
        <v>1836</v>
      </c>
      <c r="E237" s="3" t="s">
        <v>1837</v>
      </c>
      <c r="F237" s="3">
        <v>3.4685199999999998</v>
      </c>
      <c r="G237" s="3">
        <v>1.45427</v>
      </c>
      <c r="H237" s="6">
        <v>-1.25403</v>
      </c>
    </row>
    <row r="238" spans="1:8" s="2" customFormat="1" ht="15" x14ac:dyDescent="0.2">
      <c r="A238" s="5" t="s">
        <v>54</v>
      </c>
      <c r="B238" s="3" t="s">
        <v>3039</v>
      </c>
      <c r="C238" s="2" t="s">
        <v>1868</v>
      </c>
      <c r="D238" s="3" t="s">
        <v>1836</v>
      </c>
      <c r="E238" s="3" t="s">
        <v>1837</v>
      </c>
      <c r="F238" s="3">
        <v>22.2803</v>
      </c>
      <c r="G238" s="3">
        <v>9.3444400000000005</v>
      </c>
      <c r="H238" s="6">
        <v>-1.25359</v>
      </c>
    </row>
    <row r="239" spans="1:8" s="2" customFormat="1" ht="15" x14ac:dyDescent="0.2">
      <c r="A239" s="5" t="s">
        <v>285</v>
      </c>
      <c r="B239" s="3" t="s">
        <v>3015</v>
      </c>
      <c r="C239" s="2" t="s">
        <v>1976</v>
      </c>
      <c r="D239" s="3" t="s">
        <v>1836</v>
      </c>
      <c r="E239" s="3" t="s">
        <v>1837</v>
      </c>
      <c r="F239" s="3">
        <v>2.4778600000000002</v>
      </c>
      <c r="G239" s="3">
        <v>1.04382</v>
      </c>
      <c r="H239" s="6">
        <v>-1.24722</v>
      </c>
    </row>
    <row r="240" spans="1:8" s="2" customFormat="1" ht="15" x14ac:dyDescent="0.2">
      <c r="A240" s="5" t="s">
        <v>649</v>
      </c>
      <c r="B240" s="3" t="s">
        <v>3015</v>
      </c>
      <c r="C240" s="2" t="s">
        <v>2146</v>
      </c>
      <c r="D240" s="3" t="s">
        <v>1836</v>
      </c>
      <c r="E240" s="3" t="s">
        <v>1837</v>
      </c>
      <c r="F240" s="3">
        <v>1.3088900000000001</v>
      </c>
      <c r="G240" s="3">
        <v>0.55152999999999996</v>
      </c>
      <c r="H240" s="6">
        <v>-1.2468300000000001</v>
      </c>
    </row>
    <row r="241" spans="1:8" s="2" customFormat="1" ht="15" x14ac:dyDescent="0.2">
      <c r="A241" s="5" t="s">
        <v>1024</v>
      </c>
      <c r="B241" s="3" t="s">
        <v>3094</v>
      </c>
      <c r="C241" s="2" t="s">
        <v>2324</v>
      </c>
      <c r="D241" s="3" t="s">
        <v>1836</v>
      </c>
      <c r="E241" s="3" t="s">
        <v>1837</v>
      </c>
      <c r="F241" s="3">
        <v>15.248799999999999</v>
      </c>
      <c r="G241" s="3">
        <v>6.4359099999999998</v>
      </c>
      <c r="H241" s="6">
        <v>-1.24448</v>
      </c>
    </row>
    <row r="242" spans="1:8" s="2" customFormat="1" ht="15" x14ac:dyDescent="0.2">
      <c r="A242" s="5" t="s">
        <v>93</v>
      </c>
      <c r="B242" s="3" t="s">
        <v>3015</v>
      </c>
      <c r="C242" s="2" t="s">
        <v>1844</v>
      </c>
      <c r="D242" s="3" t="s">
        <v>1836</v>
      </c>
      <c r="E242" s="3" t="s">
        <v>1837</v>
      </c>
      <c r="F242" s="3">
        <v>1.9734700000000001</v>
      </c>
      <c r="G242" s="3">
        <v>0.83375200000000005</v>
      </c>
      <c r="H242" s="6">
        <v>-1.2430399999999999</v>
      </c>
    </row>
    <row r="243" spans="1:8" s="2" customFormat="1" ht="15" x14ac:dyDescent="0.2">
      <c r="A243" s="5" t="s">
        <v>790</v>
      </c>
      <c r="B243" s="3" t="s">
        <v>3015</v>
      </c>
      <c r="C243" s="2" t="s">
        <v>2202</v>
      </c>
      <c r="D243" s="3" t="s">
        <v>1836</v>
      </c>
      <c r="E243" s="3" t="s">
        <v>1837</v>
      </c>
      <c r="F243" s="3">
        <v>17.147099999999998</v>
      </c>
      <c r="G243" s="3">
        <v>7.2487199999999996</v>
      </c>
      <c r="H243" s="6">
        <v>-1.24217</v>
      </c>
    </row>
    <row r="244" spans="1:8" s="2" customFormat="1" ht="15" x14ac:dyDescent="0.2">
      <c r="A244" s="5" t="s">
        <v>564</v>
      </c>
      <c r="B244" s="3" t="s">
        <v>3015</v>
      </c>
      <c r="C244" s="2" t="s">
        <v>1880</v>
      </c>
      <c r="D244" s="3" t="s">
        <v>1836</v>
      </c>
      <c r="E244" s="3" t="s">
        <v>1837</v>
      </c>
      <c r="F244" s="3">
        <v>1.20248</v>
      </c>
      <c r="G244" s="3">
        <v>0.50843099999999997</v>
      </c>
      <c r="H244" s="6">
        <v>-1.2418899999999999</v>
      </c>
    </row>
    <row r="245" spans="1:8" s="2" customFormat="1" ht="15" x14ac:dyDescent="0.2">
      <c r="A245" s="5" t="s">
        <v>27</v>
      </c>
      <c r="B245" s="3" t="s">
        <v>3030</v>
      </c>
      <c r="C245" s="2" t="s">
        <v>1854</v>
      </c>
      <c r="D245" s="3" t="s">
        <v>1836</v>
      </c>
      <c r="E245" s="3" t="s">
        <v>1837</v>
      </c>
      <c r="F245" s="3">
        <v>8.2099299999999999</v>
      </c>
      <c r="G245" s="3">
        <v>3.4771700000000001</v>
      </c>
      <c r="H245" s="6">
        <v>-1.23946</v>
      </c>
    </row>
    <row r="246" spans="1:8" s="2" customFormat="1" ht="15" x14ac:dyDescent="0.2">
      <c r="A246" s="5" t="s">
        <v>742</v>
      </c>
      <c r="B246" s="3" t="s">
        <v>3058</v>
      </c>
      <c r="C246" s="2" t="s">
        <v>2185</v>
      </c>
      <c r="D246" s="3" t="s">
        <v>1836</v>
      </c>
      <c r="E246" s="3" t="s">
        <v>1837</v>
      </c>
      <c r="F246" s="3">
        <v>2.4286599999999998</v>
      </c>
      <c r="G246" s="3">
        <v>1.02867</v>
      </c>
      <c r="H246" s="6">
        <v>-1.2393799999999999</v>
      </c>
    </row>
    <row r="247" spans="1:8" s="2" customFormat="1" ht="15" x14ac:dyDescent="0.2">
      <c r="A247" s="5" t="s">
        <v>580</v>
      </c>
      <c r="B247" s="3" t="s">
        <v>3015</v>
      </c>
      <c r="C247" s="2" t="s">
        <v>2116</v>
      </c>
      <c r="D247" s="3" t="s">
        <v>1836</v>
      </c>
      <c r="E247" s="3" t="s">
        <v>1837</v>
      </c>
      <c r="F247" s="3">
        <v>6.8998400000000002</v>
      </c>
      <c r="G247" s="3">
        <v>2.92455</v>
      </c>
      <c r="H247" s="6">
        <v>-1.2383500000000001</v>
      </c>
    </row>
    <row r="248" spans="1:8" s="2" customFormat="1" ht="15" x14ac:dyDescent="0.2">
      <c r="A248" s="5" t="s">
        <v>430</v>
      </c>
      <c r="B248" s="3" t="s">
        <v>3015</v>
      </c>
      <c r="C248" s="2" t="s">
        <v>2043</v>
      </c>
      <c r="D248" s="3" t="s">
        <v>1836</v>
      </c>
      <c r="E248" s="3" t="s">
        <v>1837</v>
      </c>
      <c r="F248" s="3">
        <v>2.1421100000000002</v>
      </c>
      <c r="G248" s="3">
        <v>0.90865899999999999</v>
      </c>
      <c r="H248" s="6">
        <v>-1.23722</v>
      </c>
    </row>
    <row r="249" spans="1:8" s="2" customFormat="1" ht="15" x14ac:dyDescent="0.2">
      <c r="A249" s="5" t="s">
        <v>407</v>
      </c>
      <c r="B249" s="3" t="s">
        <v>3133</v>
      </c>
      <c r="C249" s="2" t="s">
        <v>2031</v>
      </c>
      <c r="D249" s="3" t="s">
        <v>1836</v>
      </c>
      <c r="E249" s="3" t="s">
        <v>1837</v>
      </c>
      <c r="F249" s="3">
        <v>16.747900000000001</v>
      </c>
      <c r="G249" s="3">
        <v>7.1173500000000001</v>
      </c>
      <c r="H249" s="6">
        <v>-1.2345699999999999</v>
      </c>
    </row>
    <row r="250" spans="1:8" s="2" customFormat="1" ht="15" x14ac:dyDescent="0.2">
      <c r="A250" s="5" t="s">
        <v>247</v>
      </c>
      <c r="B250" s="3" t="s">
        <v>3031</v>
      </c>
      <c r="C250" s="2" t="s">
        <v>1960</v>
      </c>
      <c r="D250" s="3" t="s">
        <v>1836</v>
      </c>
      <c r="E250" s="3" t="s">
        <v>1837</v>
      </c>
      <c r="F250" s="3">
        <v>23.2804</v>
      </c>
      <c r="G250" s="3">
        <v>9.9021500000000007</v>
      </c>
      <c r="H250" s="6">
        <v>-1.2333000000000001</v>
      </c>
    </row>
    <row r="251" spans="1:8" s="2" customFormat="1" ht="15" x14ac:dyDescent="0.2">
      <c r="A251" s="5" t="s">
        <v>613</v>
      </c>
      <c r="B251" s="3" t="s">
        <v>3015</v>
      </c>
      <c r="C251" s="2" t="s">
        <v>2054</v>
      </c>
      <c r="D251" s="3" t="s">
        <v>1836</v>
      </c>
      <c r="E251" s="3" t="s">
        <v>1837</v>
      </c>
      <c r="F251" s="3">
        <v>2.8349899999999999</v>
      </c>
      <c r="G251" s="3">
        <v>1.2095899999999999</v>
      </c>
      <c r="H251" s="6">
        <v>-1.2288300000000001</v>
      </c>
    </row>
    <row r="252" spans="1:8" s="2" customFormat="1" ht="15" x14ac:dyDescent="0.2">
      <c r="A252" s="5" t="s">
        <v>1082</v>
      </c>
      <c r="B252" s="3" t="s">
        <v>3015</v>
      </c>
      <c r="C252" s="2" t="s">
        <v>2349</v>
      </c>
      <c r="D252" s="3" t="s">
        <v>1836</v>
      </c>
      <c r="E252" s="3" t="s">
        <v>1837</v>
      </c>
      <c r="F252" s="3">
        <v>26.3996</v>
      </c>
      <c r="G252" s="3">
        <v>11.2639</v>
      </c>
      <c r="H252" s="6">
        <v>-1.22881</v>
      </c>
    </row>
    <row r="253" spans="1:8" s="2" customFormat="1" ht="15" x14ac:dyDescent="0.2">
      <c r="A253" s="5" t="s">
        <v>214</v>
      </c>
      <c r="B253" s="3" t="s">
        <v>3015</v>
      </c>
      <c r="C253" s="2" t="s">
        <v>1945</v>
      </c>
      <c r="D253" s="3" t="s">
        <v>1836</v>
      </c>
      <c r="E253" s="3" t="s">
        <v>1837</v>
      </c>
      <c r="F253" s="3">
        <v>4.7435600000000004</v>
      </c>
      <c r="G253" s="3">
        <v>2.0251399999999999</v>
      </c>
      <c r="H253" s="6">
        <v>-1.2279500000000001</v>
      </c>
    </row>
    <row r="254" spans="1:8" s="2" customFormat="1" ht="15" x14ac:dyDescent="0.2">
      <c r="A254" s="5" t="s">
        <v>1000</v>
      </c>
      <c r="B254" s="3" t="s">
        <v>3015</v>
      </c>
      <c r="C254" s="2" t="s">
        <v>3015</v>
      </c>
      <c r="D254" s="3" t="s">
        <v>1836</v>
      </c>
      <c r="E254" s="3" t="s">
        <v>1837</v>
      </c>
      <c r="F254" s="3">
        <v>2.5510100000000002</v>
      </c>
      <c r="G254" s="3">
        <v>1.0897300000000001</v>
      </c>
      <c r="H254" s="6">
        <v>-1.2271000000000001</v>
      </c>
    </row>
    <row r="255" spans="1:8" s="2" customFormat="1" ht="15" x14ac:dyDescent="0.2">
      <c r="A255" s="5" t="s">
        <v>47</v>
      </c>
      <c r="B255" s="3" t="s">
        <v>3015</v>
      </c>
      <c r="C255" s="2" t="s">
        <v>1865</v>
      </c>
      <c r="D255" s="3" t="s">
        <v>1836</v>
      </c>
      <c r="E255" s="3" t="s">
        <v>1837</v>
      </c>
      <c r="F255" s="3">
        <v>71.504800000000003</v>
      </c>
      <c r="G255" s="3">
        <v>30.607299999999999</v>
      </c>
      <c r="H255" s="6">
        <v>-1.22417</v>
      </c>
    </row>
    <row r="256" spans="1:8" s="2" customFormat="1" ht="15" x14ac:dyDescent="0.2">
      <c r="A256" s="5" t="s">
        <v>126</v>
      </c>
      <c r="B256" s="3" t="s">
        <v>3057</v>
      </c>
      <c r="C256" s="2" t="s">
        <v>1901</v>
      </c>
      <c r="D256" s="3" t="s">
        <v>1836</v>
      </c>
      <c r="E256" s="3" t="s">
        <v>1837</v>
      </c>
      <c r="F256" s="3">
        <v>11.491300000000001</v>
      </c>
      <c r="G256" s="3">
        <v>4.9334499999999997</v>
      </c>
      <c r="H256" s="6">
        <v>-1.21987</v>
      </c>
    </row>
    <row r="257" spans="1:8" s="2" customFormat="1" ht="15" x14ac:dyDescent="0.2">
      <c r="A257" s="5" t="s">
        <v>454</v>
      </c>
      <c r="B257" s="3" t="s">
        <v>3058</v>
      </c>
      <c r="C257" s="2" t="s">
        <v>2057</v>
      </c>
      <c r="D257" s="3" t="s">
        <v>1836</v>
      </c>
      <c r="E257" s="3" t="s">
        <v>1837</v>
      </c>
      <c r="F257" s="3">
        <v>9.4695099999999996</v>
      </c>
      <c r="G257" s="3">
        <v>4.0667799999999996</v>
      </c>
      <c r="H257" s="6">
        <v>-1.2194</v>
      </c>
    </row>
    <row r="258" spans="1:8" s="2" customFormat="1" ht="15" x14ac:dyDescent="0.2">
      <c r="A258" s="5" t="s">
        <v>1072</v>
      </c>
      <c r="B258" s="3" t="s">
        <v>3015</v>
      </c>
      <c r="C258" s="2" t="s">
        <v>1892</v>
      </c>
      <c r="D258" s="3" t="s">
        <v>1836</v>
      </c>
      <c r="E258" s="3" t="s">
        <v>1837</v>
      </c>
      <c r="F258" s="3">
        <v>13.6236</v>
      </c>
      <c r="G258" s="3">
        <v>5.8566200000000004</v>
      </c>
      <c r="H258" s="6">
        <v>-1.21797</v>
      </c>
    </row>
    <row r="259" spans="1:8" s="2" customFormat="1" ht="15" x14ac:dyDescent="0.2">
      <c r="A259" s="5" t="s">
        <v>863</v>
      </c>
      <c r="B259" s="3" t="s">
        <v>3226</v>
      </c>
      <c r="C259" s="2" t="s">
        <v>1847</v>
      </c>
      <c r="D259" s="3" t="s">
        <v>1836</v>
      </c>
      <c r="E259" s="3" t="s">
        <v>1837</v>
      </c>
      <c r="F259" s="3">
        <v>1.11965</v>
      </c>
      <c r="G259" s="3">
        <v>0.48151100000000002</v>
      </c>
      <c r="H259" s="6">
        <v>-1.2174100000000001</v>
      </c>
    </row>
    <row r="260" spans="1:8" s="2" customFormat="1" ht="15" x14ac:dyDescent="0.2">
      <c r="A260" s="5" t="s">
        <v>370</v>
      </c>
      <c r="B260" s="3" t="s">
        <v>3100</v>
      </c>
      <c r="C260" s="2" t="s">
        <v>2015</v>
      </c>
      <c r="D260" s="3" t="s">
        <v>1836</v>
      </c>
      <c r="E260" s="3" t="s">
        <v>1837</v>
      </c>
      <c r="F260" s="3">
        <v>6.5645899999999999</v>
      </c>
      <c r="G260" s="3">
        <v>2.8257300000000001</v>
      </c>
      <c r="H260" s="6">
        <v>-1.21608</v>
      </c>
    </row>
    <row r="261" spans="1:8" s="2" customFormat="1" ht="15" x14ac:dyDescent="0.2">
      <c r="A261" s="5" t="s">
        <v>1106</v>
      </c>
      <c r="B261" s="3" t="s">
        <v>3093</v>
      </c>
      <c r="C261" s="2" t="s">
        <v>1847</v>
      </c>
      <c r="D261" s="3" t="s">
        <v>1836</v>
      </c>
      <c r="E261" s="3" t="s">
        <v>1837</v>
      </c>
      <c r="F261" s="3">
        <v>13.6281</v>
      </c>
      <c r="G261" s="3">
        <v>5.8785800000000004</v>
      </c>
      <c r="H261" s="6">
        <v>-1.2130399999999999</v>
      </c>
    </row>
    <row r="262" spans="1:8" s="2" customFormat="1" ht="15" x14ac:dyDescent="0.2">
      <c r="A262" s="5" t="s">
        <v>169</v>
      </c>
      <c r="B262" s="3" t="s">
        <v>3068</v>
      </c>
      <c r="C262" s="2" t="s">
        <v>3015</v>
      </c>
      <c r="D262" s="3" t="s">
        <v>1836</v>
      </c>
      <c r="E262" s="3" t="s">
        <v>1837</v>
      </c>
      <c r="F262" s="3">
        <v>9.5347799999999996</v>
      </c>
      <c r="G262" s="3">
        <v>4.1205400000000001</v>
      </c>
      <c r="H262" s="6">
        <v>-1.2103699999999999</v>
      </c>
    </row>
    <row r="263" spans="1:8" s="2" customFormat="1" ht="15" x14ac:dyDescent="0.2">
      <c r="A263" s="5" t="s">
        <v>657</v>
      </c>
      <c r="B263" s="3" t="s">
        <v>3185</v>
      </c>
      <c r="C263" s="2" t="s">
        <v>2150</v>
      </c>
      <c r="D263" s="3" t="s">
        <v>1836</v>
      </c>
      <c r="E263" s="3" t="s">
        <v>1837</v>
      </c>
      <c r="F263" s="3">
        <v>28.745100000000001</v>
      </c>
      <c r="G263" s="3">
        <v>12.4398</v>
      </c>
      <c r="H263" s="6">
        <v>-1.20835</v>
      </c>
    </row>
    <row r="264" spans="1:8" s="2" customFormat="1" ht="15" x14ac:dyDescent="0.2">
      <c r="A264" s="5" t="s">
        <v>754</v>
      </c>
      <c r="B264" s="3" t="s">
        <v>3062</v>
      </c>
      <c r="C264" s="2" t="s">
        <v>2188</v>
      </c>
      <c r="D264" s="3" t="s">
        <v>1836</v>
      </c>
      <c r="E264" s="3" t="s">
        <v>1837</v>
      </c>
      <c r="F264" s="3">
        <v>6.9001400000000004</v>
      </c>
      <c r="G264" s="3">
        <v>2.99742</v>
      </c>
      <c r="H264" s="6">
        <v>-1.2029000000000001</v>
      </c>
    </row>
    <row r="265" spans="1:8" s="2" customFormat="1" ht="15" x14ac:dyDescent="0.2">
      <c r="A265" s="5" t="s">
        <v>517</v>
      </c>
      <c r="B265" s="3" t="s">
        <v>3015</v>
      </c>
      <c r="C265" s="2" t="s">
        <v>2086</v>
      </c>
      <c r="D265" s="3" t="s">
        <v>1836</v>
      </c>
      <c r="E265" s="3" t="s">
        <v>1837</v>
      </c>
      <c r="F265" s="3">
        <v>1.87077</v>
      </c>
      <c r="G265" s="3">
        <v>0.81402200000000002</v>
      </c>
      <c r="H265" s="6">
        <v>-1.2004900000000001</v>
      </c>
    </row>
    <row r="266" spans="1:8" s="2" customFormat="1" ht="15" x14ac:dyDescent="0.2">
      <c r="A266" s="5" t="s">
        <v>903</v>
      </c>
      <c r="B266" s="3" t="s">
        <v>3015</v>
      </c>
      <c r="C266" s="2" t="s">
        <v>2262</v>
      </c>
      <c r="D266" s="3" t="s">
        <v>1836</v>
      </c>
      <c r="E266" s="3" t="s">
        <v>1837</v>
      </c>
      <c r="F266" s="3">
        <v>0.990541</v>
      </c>
      <c r="G266" s="3">
        <v>0.43131799999999998</v>
      </c>
      <c r="H266" s="6">
        <v>-1.19947</v>
      </c>
    </row>
    <row r="267" spans="1:8" s="2" customFormat="1" ht="15" x14ac:dyDescent="0.2">
      <c r="A267" s="5" t="s">
        <v>804</v>
      </c>
      <c r="B267" s="3" t="s">
        <v>3211</v>
      </c>
      <c r="C267" s="2" t="s">
        <v>2210</v>
      </c>
      <c r="D267" s="3" t="s">
        <v>1836</v>
      </c>
      <c r="E267" s="3" t="s">
        <v>1837</v>
      </c>
      <c r="F267" s="3">
        <v>2.6139999999999999</v>
      </c>
      <c r="G267" s="3">
        <v>1.1392800000000001</v>
      </c>
      <c r="H267" s="6">
        <v>-1.1981299999999999</v>
      </c>
    </row>
    <row r="268" spans="1:8" s="2" customFormat="1" ht="15" x14ac:dyDescent="0.2">
      <c r="A268" s="5" t="s">
        <v>499</v>
      </c>
      <c r="B268" s="3" t="s">
        <v>3015</v>
      </c>
      <c r="C268" s="2" t="s">
        <v>2079</v>
      </c>
      <c r="D268" s="3" t="s">
        <v>1836</v>
      </c>
      <c r="E268" s="3" t="s">
        <v>1837</v>
      </c>
      <c r="F268" s="3">
        <v>18.740300000000001</v>
      </c>
      <c r="G268" s="3">
        <v>8.1801600000000008</v>
      </c>
      <c r="H268" s="6">
        <v>-1.19594</v>
      </c>
    </row>
    <row r="269" spans="1:8" s="2" customFormat="1" ht="15" x14ac:dyDescent="0.2">
      <c r="A269" s="5" t="s">
        <v>1027</v>
      </c>
      <c r="B269" s="3" t="s">
        <v>3015</v>
      </c>
      <c r="C269" s="2" t="s">
        <v>3015</v>
      </c>
      <c r="D269" s="3" t="s">
        <v>1836</v>
      </c>
      <c r="E269" s="3" t="s">
        <v>1837</v>
      </c>
      <c r="F269" s="3">
        <v>2.9123800000000002</v>
      </c>
      <c r="G269" s="3">
        <v>1.27295</v>
      </c>
      <c r="H269" s="6">
        <v>-1.1940200000000001</v>
      </c>
    </row>
    <row r="270" spans="1:8" s="2" customFormat="1" ht="15" x14ac:dyDescent="0.2">
      <c r="A270" s="5" t="s">
        <v>316</v>
      </c>
      <c r="B270" s="3" t="s">
        <v>3015</v>
      </c>
      <c r="C270" s="2" t="s">
        <v>1991</v>
      </c>
      <c r="D270" s="3" t="s">
        <v>1836</v>
      </c>
      <c r="E270" s="3" t="s">
        <v>1837</v>
      </c>
      <c r="F270" s="3">
        <v>1.40516</v>
      </c>
      <c r="G270" s="3">
        <v>0.61458599999999997</v>
      </c>
      <c r="H270" s="6">
        <v>-1.1930499999999999</v>
      </c>
    </row>
    <row r="271" spans="1:8" s="2" customFormat="1" ht="15" x14ac:dyDescent="0.2">
      <c r="A271" s="5" t="s">
        <v>712</v>
      </c>
      <c r="B271" s="3" t="s">
        <v>3015</v>
      </c>
      <c r="C271" s="2" t="s">
        <v>2174</v>
      </c>
      <c r="D271" s="3" t="s">
        <v>1836</v>
      </c>
      <c r="E271" s="3" t="s">
        <v>1837</v>
      </c>
      <c r="F271" s="3">
        <v>1.65584</v>
      </c>
      <c r="G271" s="3">
        <v>0.72424699999999997</v>
      </c>
      <c r="H271" s="6">
        <v>-1.1930099999999999</v>
      </c>
    </row>
    <row r="272" spans="1:8" s="2" customFormat="1" ht="15" x14ac:dyDescent="0.2">
      <c r="A272" s="5" t="s">
        <v>98</v>
      </c>
      <c r="B272" s="3" t="s">
        <v>3045</v>
      </c>
      <c r="C272" s="2" t="s">
        <v>1875</v>
      </c>
      <c r="D272" s="3" t="s">
        <v>1836</v>
      </c>
      <c r="E272" s="3" t="s">
        <v>1837</v>
      </c>
      <c r="F272" s="3">
        <v>0.88974699999999995</v>
      </c>
      <c r="G272" s="3">
        <v>0.390121</v>
      </c>
      <c r="H272" s="6">
        <v>-1.18947</v>
      </c>
    </row>
    <row r="273" spans="1:8" s="2" customFormat="1" ht="15" x14ac:dyDescent="0.2">
      <c r="A273" s="5" t="s">
        <v>899</v>
      </c>
      <c r="B273" s="3" t="s">
        <v>3116</v>
      </c>
      <c r="C273" s="2" t="s">
        <v>2260</v>
      </c>
      <c r="D273" s="3" t="s">
        <v>1836</v>
      </c>
      <c r="E273" s="3" t="s">
        <v>1837</v>
      </c>
      <c r="F273" s="3">
        <v>12.7454</v>
      </c>
      <c r="G273" s="3">
        <v>5.5904400000000001</v>
      </c>
      <c r="H273" s="6">
        <v>-1.1889400000000001</v>
      </c>
    </row>
    <row r="274" spans="1:8" s="2" customFormat="1" ht="15" x14ac:dyDescent="0.2">
      <c r="A274" s="5" t="s">
        <v>488</v>
      </c>
      <c r="B274" s="3" t="s">
        <v>3015</v>
      </c>
      <c r="C274" s="2" t="s">
        <v>2072</v>
      </c>
      <c r="D274" s="3" t="s">
        <v>1836</v>
      </c>
      <c r="E274" s="3" t="s">
        <v>1837</v>
      </c>
      <c r="F274" s="3">
        <v>1.6633800000000001</v>
      </c>
      <c r="G274" s="3">
        <v>0.72975900000000005</v>
      </c>
      <c r="H274" s="6">
        <v>-1.1886300000000001</v>
      </c>
    </row>
    <row r="275" spans="1:8" s="2" customFormat="1" ht="15" x14ac:dyDescent="0.2">
      <c r="A275" s="5" t="s">
        <v>520</v>
      </c>
      <c r="B275" s="3" t="s">
        <v>3146</v>
      </c>
      <c r="C275" s="2" t="s">
        <v>2088</v>
      </c>
      <c r="D275" s="3" t="s">
        <v>1836</v>
      </c>
      <c r="E275" s="3" t="s">
        <v>1837</v>
      </c>
      <c r="F275" s="3">
        <v>2.17096</v>
      </c>
      <c r="G275" s="3">
        <v>0.95725199999999999</v>
      </c>
      <c r="H275" s="6">
        <v>-1.18136</v>
      </c>
    </row>
    <row r="276" spans="1:8" s="2" customFormat="1" ht="15" x14ac:dyDescent="0.2">
      <c r="A276" s="5" t="s">
        <v>554</v>
      </c>
      <c r="B276" s="3" t="s">
        <v>3015</v>
      </c>
      <c r="C276" s="2" t="s">
        <v>1847</v>
      </c>
      <c r="D276" s="3" t="s">
        <v>1836</v>
      </c>
      <c r="E276" s="3" t="s">
        <v>1837</v>
      </c>
      <c r="F276" s="3">
        <v>3.1794099999999998</v>
      </c>
      <c r="G276" s="3">
        <v>1.40276</v>
      </c>
      <c r="H276" s="6">
        <v>-1.18049</v>
      </c>
    </row>
    <row r="277" spans="1:8" s="2" customFormat="1" ht="15" x14ac:dyDescent="0.2">
      <c r="A277" s="5" t="s">
        <v>414</v>
      </c>
      <c r="B277" s="3" t="s">
        <v>3015</v>
      </c>
      <c r="C277" s="2" t="s">
        <v>2034</v>
      </c>
      <c r="D277" s="3" t="s">
        <v>1836</v>
      </c>
      <c r="E277" s="3" t="s">
        <v>1837</v>
      </c>
      <c r="F277" s="3">
        <v>0.91733600000000004</v>
      </c>
      <c r="G277" s="3">
        <v>0.40487800000000002</v>
      </c>
      <c r="H277" s="6">
        <v>-1.1799599999999999</v>
      </c>
    </row>
    <row r="278" spans="1:8" s="2" customFormat="1" ht="15" x14ac:dyDescent="0.2">
      <c r="A278" s="5" t="s">
        <v>468</v>
      </c>
      <c r="B278" s="3" t="s">
        <v>3015</v>
      </c>
      <c r="C278" s="2" t="s">
        <v>1923</v>
      </c>
      <c r="D278" s="3" t="s">
        <v>1836</v>
      </c>
      <c r="E278" s="3" t="s">
        <v>1837</v>
      </c>
      <c r="F278" s="3">
        <v>1.01553</v>
      </c>
      <c r="G278" s="3">
        <v>0.44936399999999999</v>
      </c>
      <c r="H278" s="6">
        <v>-1.17628</v>
      </c>
    </row>
    <row r="279" spans="1:8" s="2" customFormat="1" ht="15" x14ac:dyDescent="0.2">
      <c r="A279" s="5" t="s">
        <v>154</v>
      </c>
      <c r="B279" s="3" t="s">
        <v>3063</v>
      </c>
      <c r="C279" s="2" t="s">
        <v>1916</v>
      </c>
      <c r="D279" s="3" t="s">
        <v>1836</v>
      </c>
      <c r="E279" s="3" t="s">
        <v>1837</v>
      </c>
      <c r="F279" s="3">
        <v>1.4203300000000001</v>
      </c>
      <c r="G279" s="3">
        <v>0.62872399999999995</v>
      </c>
      <c r="H279" s="6">
        <v>-1.1757299999999999</v>
      </c>
    </row>
    <row r="280" spans="1:8" s="2" customFormat="1" ht="15" x14ac:dyDescent="0.2">
      <c r="A280" s="5" t="s">
        <v>416</v>
      </c>
      <c r="B280" s="3" t="s">
        <v>3080</v>
      </c>
      <c r="C280" s="2" t="s">
        <v>2036</v>
      </c>
      <c r="D280" s="3" t="s">
        <v>1836</v>
      </c>
      <c r="E280" s="3" t="s">
        <v>1837</v>
      </c>
      <c r="F280" s="3">
        <v>8.0118899999999993</v>
      </c>
      <c r="G280" s="3">
        <v>3.5531299999999999</v>
      </c>
      <c r="H280" s="6">
        <v>-1.1730499999999999</v>
      </c>
    </row>
    <row r="281" spans="1:8" s="2" customFormat="1" ht="15" x14ac:dyDescent="0.2">
      <c r="A281" s="5" t="s">
        <v>690</v>
      </c>
      <c r="B281" s="3" t="s">
        <v>3116</v>
      </c>
      <c r="C281" s="2" t="s">
        <v>2163</v>
      </c>
      <c r="D281" s="3" t="s">
        <v>1836</v>
      </c>
      <c r="E281" s="3" t="s">
        <v>1837</v>
      </c>
      <c r="F281" s="3">
        <v>2.5925099999999999</v>
      </c>
      <c r="G281" s="3">
        <v>1.14975</v>
      </c>
      <c r="H281" s="6">
        <v>-1.17303</v>
      </c>
    </row>
    <row r="282" spans="1:8" s="2" customFormat="1" ht="15" x14ac:dyDescent="0.2">
      <c r="A282" s="5" t="s">
        <v>620</v>
      </c>
      <c r="B282" s="3" t="s">
        <v>3177</v>
      </c>
      <c r="C282" s="2" t="s">
        <v>1882</v>
      </c>
      <c r="D282" s="3" t="s">
        <v>1836</v>
      </c>
      <c r="E282" s="3" t="s">
        <v>1837</v>
      </c>
      <c r="F282" s="3">
        <v>4.0190200000000003</v>
      </c>
      <c r="G282" s="3">
        <v>1.78376</v>
      </c>
      <c r="H282" s="6">
        <v>-1.1719200000000001</v>
      </c>
    </row>
    <row r="283" spans="1:8" s="2" customFormat="1" ht="15" x14ac:dyDescent="0.2">
      <c r="A283" s="5" t="s">
        <v>835</v>
      </c>
      <c r="B283" s="3" t="s">
        <v>3218</v>
      </c>
      <c r="C283" s="2" t="s">
        <v>2225</v>
      </c>
      <c r="D283" s="3" t="s">
        <v>1836</v>
      </c>
      <c r="E283" s="3" t="s">
        <v>1837</v>
      </c>
      <c r="F283" s="3">
        <v>203.636</v>
      </c>
      <c r="G283" s="3">
        <v>90.444699999999997</v>
      </c>
      <c r="H283" s="6">
        <v>-1.1708799999999999</v>
      </c>
    </row>
    <row r="284" spans="1:8" s="2" customFormat="1" ht="15" x14ac:dyDescent="0.2">
      <c r="A284" s="5" t="s">
        <v>715</v>
      </c>
      <c r="B284" s="3" t="s">
        <v>3196</v>
      </c>
      <c r="C284" s="2" t="s">
        <v>2176</v>
      </c>
      <c r="D284" s="3" t="s">
        <v>1836</v>
      </c>
      <c r="E284" s="3" t="s">
        <v>1837</v>
      </c>
      <c r="F284" s="3">
        <v>8.7713300000000007</v>
      </c>
      <c r="G284" s="3">
        <v>3.9013399999999998</v>
      </c>
      <c r="H284" s="6">
        <v>-1.16883</v>
      </c>
    </row>
    <row r="285" spans="1:8" s="2" customFormat="1" ht="15" x14ac:dyDescent="0.2">
      <c r="A285" s="5" t="s">
        <v>689</v>
      </c>
      <c r="B285" s="3" t="s">
        <v>3133</v>
      </c>
      <c r="C285" s="2" t="s">
        <v>2031</v>
      </c>
      <c r="D285" s="3" t="s">
        <v>1836</v>
      </c>
      <c r="E285" s="3" t="s">
        <v>1837</v>
      </c>
      <c r="F285" s="3">
        <v>25.295500000000001</v>
      </c>
      <c r="G285" s="3">
        <v>11.281499999999999</v>
      </c>
      <c r="H285" s="6">
        <v>-1.16493</v>
      </c>
    </row>
    <row r="286" spans="1:8" s="2" customFormat="1" ht="15" x14ac:dyDescent="0.2">
      <c r="A286" s="5" t="s">
        <v>604</v>
      </c>
      <c r="B286" s="3" t="s">
        <v>3174</v>
      </c>
      <c r="C286" s="2" t="s">
        <v>2125</v>
      </c>
      <c r="D286" s="3" t="s">
        <v>1836</v>
      </c>
      <c r="E286" s="3" t="s">
        <v>1837</v>
      </c>
      <c r="F286" s="3">
        <v>1.4215899999999999</v>
      </c>
      <c r="G286" s="3">
        <v>0.635162</v>
      </c>
      <c r="H286" s="6">
        <v>-1.16231</v>
      </c>
    </row>
    <row r="287" spans="1:8" s="2" customFormat="1" ht="15" x14ac:dyDescent="0.2">
      <c r="A287" s="5" t="s">
        <v>354</v>
      </c>
      <c r="B287" s="3" t="s">
        <v>3038</v>
      </c>
      <c r="C287" s="2" t="s">
        <v>2008</v>
      </c>
      <c r="D287" s="3" t="s">
        <v>1836</v>
      </c>
      <c r="E287" s="3" t="s">
        <v>1837</v>
      </c>
      <c r="F287" s="3">
        <v>1.9012500000000001</v>
      </c>
      <c r="G287" s="3">
        <v>0.84974000000000005</v>
      </c>
      <c r="H287" s="6">
        <v>-1.1618599999999999</v>
      </c>
    </row>
    <row r="288" spans="1:8" s="2" customFormat="1" ht="15" x14ac:dyDescent="0.2">
      <c r="A288" s="5" t="s">
        <v>122</v>
      </c>
      <c r="B288" s="3" t="s">
        <v>3015</v>
      </c>
      <c r="C288" s="2" t="s">
        <v>1898</v>
      </c>
      <c r="D288" s="3" t="s">
        <v>1836</v>
      </c>
      <c r="E288" s="3" t="s">
        <v>1837</v>
      </c>
      <c r="F288" s="3">
        <v>7.9776300000000004</v>
      </c>
      <c r="G288" s="3">
        <v>3.5743900000000002</v>
      </c>
      <c r="H288" s="6">
        <v>-1.1582600000000001</v>
      </c>
    </row>
    <row r="289" spans="1:8" s="2" customFormat="1" ht="15" x14ac:dyDescent="0.2">
      <c r="A289" s="5" t="s">
        <v>48</v>
      </c>
      <c r="B289" s="3" t="s">
        <v>3015</v>
      </c>
      <c r="C289" s="2" t="s">
        <v>1865</v>
      </c>
      <c r="D289" s="3" t="s">
        <v>1836</v>
      </c>
      <c r="E289" s="3" t="s">
        <v>1837</v>
      </c>
      <c r="F289" s="3">
        <v>39.959400000000002</v>
      </c>
      <c r="G289" s="3">
        <v>17.9422</v>
      </c>
      <c r="H289" s="6">
        <v>-1.1551800000000001</v>
      </c>
    </row>
    <row r="290" spans="1:8" s="2" customFormat="1" ht="15" x14ac:dyDescent="0.2">
      <c r="A290" s="5" t="s">
        <v>617</v>
      </c>
      <c r="B290" s="3" t="s">
        <v>3015</v>
      </c>
      <c r="C290" s="2" t="s">
        <v>2131</v>
      </c>
      <c r="D290" s="3" t="s">
        <v>1836</v>
      </c>
      <c r="E290" s="3" t="s">
        <v>1837</v>
      </c>
      <c r="F290" s="3">
        <v>2.7395299999999998</v>
      </c>
      <c r="G290" s="3">
        <v>1.2310099999999999</v>
      </c>
      <c r="H290" s="6">
        <v>-1.1540900000000001</v>
      </c>
    </row>
    <row r="291" spans="1:8" s="2" customFormat="1" ht="15" x14ac:dyDescent="0.2">
      <c r="A291" s="5" t="s">
        <v>51</v>
      </c>
      <c r="B291" s="3" t="s">
        <v>3037</v>
      </c>
      <c r="C291" s="2" t="s">
        <v>1866</v>
      </c>
      <c r="D291" s="3" t="s">
        <v>1836</v>
      </c>
      <c r="E291" s="3" t="s">
        <v>1837</v>
      </c>
      <c r="F291" s="3">
        <v>4.7065599999999996</v>
      </c>
      <c r="G291" s="3">
        <v>2.1154799999999998</v>
      </c>
      <c r="H291" s="6">
        <v>-1.1536900000000001</v>
      </c>
    </row>
    <row r="292" spans="1:8" s="2" customFormat="1" ht="15" x14ac:dyDescent="0.2">
      <c r="A292" s="5" t="s">
        <v>781</v>
      </c>
      <c r="B292" s="3" t="s">
        <v>3168</v>
      </c>
      <c r="C292" s="2" t="s">
        <v>2198</v>
      </c>
      <c r="D292" s="3" t="s">
        <v>1836</v>
      </c>
      <c r="E292" s="3" t="s">
        <v>1837</v>
      </c>
      <c r="F292" s="3">
        <v>7.5402300000000002</v>
      </c>
      <c r="G292" s="3">
        <v>3.3925800000000002</v>
      </c>
      <c r="H292" s="6">
        <v>-1.1522300000000001</v>
      </c>
    </row>
    <row r="293" spans="1:8" s="2" customFormat="1" ht="15" x14ac:dyDescent="0.2">
      <c r="A293" s="5" t="s">
        <v>995</v>
      </c>
      <c r="B293" s="3" t="s">
        <v>3206</v>
      </c>
      <c r="C293" s="2" t="s">
        <v>2194</v>
      </c>
      <c r="D293" s="3" t="s">
        <v>1836</v>
      </c>
      <c r="E293" s="3" t="s">
        <v>1837</v>
      </c>
      <c r="F293" s="3">
        <v>19.090199999999999</v>
      </c>
      <c r="G293" s="3">
        <v>8.6034900000000007</v>
      </c>
      <c r="H293" s="6">
        <v>-1.14984</v>
      </c>
    </row>
    <row r="294" spans="1:8" s="2" customFormat="1" ht="15" x14ac:dyDescent="0.2">
      <c r="A294" s="5" t="s">
        <v>796</v>
      </c>
      <c r="B294" s="3" t="s">
        <v>3015</v>
      </c>
      <c r="C294" s="2" t="s">
        <v>2204</v>
      </c>
      <c r="D294" s="3" t="s">
        <v>1836</v>
      </c>
      <c r="E294" s="3" t="s">
        <v>1837</v>
      </c>
      <c r="F294" s="3">
        <v>1.7680400000000001</v>
      </c>
      <c r="G294" s="3">
        <v>0.79727700000000001</v>
      </c>
      <c r="H294" s="6">
        <v>-1.149</v>
      </c>
    </row>
    <row r="295" spans="1:8" s="2" customFormat="1" ht="15" x14ac:dyDescent="0.2">
      <c r="A295" s="5" t="s">
        <v>956</v>
      </c>
      <c r="B295" s="3" t="s">
        <v>3062</v>
      </c>
      <c r="C295" s="2" t="s">
        <v>2290</v>
      </c>
      <c r="D295" s="3" t="s">
        <v>1836</v>
      </c>
      <c r="E295" s="3" t="s">
        <v>1837</v>
      </c>
      <c r="F295" s="3">
        <v>4.8975200000000001</v>
      </c>
      <c r="G295" s="3">
        <v>2.2092700000000001</v>
      </c>
      <c r="H295" s="6">
        <v>-1.1484799999999999</v>
      </c>
    </row>
    <row r="296" spans="1:8" s="2" customFormat="1" ht="15" x14ac:dyDescent="0.2">
      <c r="A296" s="5" t="s">
        <v>1111</v>
      </c>
      <c r="B296" s="3" t="s">
        <v>3273</v>
      </c>
      <c r="C296" s="2" t="s">
        <v>1847</v>
      </c>
      <c r="D296" s="3" t="s">
        <v>1836</v>
      </c>
      <c r="E296" s="3" t="s">
        <v>1837</v>
      </c>
      <c r="F296" s="3">
        <v>5.8217100000000004</v>
      </c>
      <c r="G296" s="3">
        <v>2.6270899999999999</v>
      </c>
      <c r="H296" s="6">
        <v>-1.14798</v>
      </c>
    </row>
    <row r="297" spans="1:8" s="2" customFormat="1" ht="15" x14ac:dyDescent="0.2">
      <c r="A297" s="5" t="s">
        <v>766</v>
      </c>
      <c r="B297" s="3" t="s">
        <v>3015</v>
      </c>
      <c r="C297" s="2" t="s">
        <v>2195</v>
      </c>
      <c r="D297" s="3" t="s">
        <v>1836</v>
      </c>
      <c r="E297" s="3" t="s">
        <v>1837</v>
      </c>
      <c r="F297" s="3">
        <v>2.3186300000000002</v>
      </c>
      <c r="G297" s="3">
        <v>1.04728</v>
      </c>
      <c r="H297" s="6">
        <v>-1.14663</v>
      </c>
    </row>
    <row r="298" spans="1:8" s="2" customFormat="1" ht="15" x14ac:dyDescent="0.2">
      <c r="A298" s="5" t="s">
        <v>872</v>
      </c>
      <c r="B298" s="3" t="s">
        <v>3015</v>
      </c>
      <c r="C298" s="2" t="s">
        <v>3015</v>
      </c>
      <c r="D298" s="3" t="s">
        <v>1836</v>
      </c>
      <c r="E298" s="3" t="s">
        <v>1837</v>
      </c>
      <c r="F298" s="3">
        <v>380.42500000000001</v>
      </c>
      <c r="G298" s="3">
        <v>171.97900000000001</v>
      </c>
      <c r="H298" s="6">
        <v>-1.1453800000000001</v>
      </c>
    </row>
    <row r="299" spans="1:8" s="2" customFormat="1" ht="15" x14ac:dyDescent="0.2">
      <c r="A299" s="5" t="s">
        <v>379</v>
      </c>
      <c r="B299" s="3" t="s">
        <v>3129</v>
      </c>
      <c r="C299" s="2" t="s">
        <v>2019</v>
      </c>
      <c r="D299" s="3" t="s">
        <v>1836</v>
      </c>
      <c r="E299" s="3" t="s">
        <v>1837</v>
      </c>
      <c r="F299" s="3">
        <v>2.3631000000000002</v>
      </c>
      <c r="G299" s="3">
        <v>1.06863</v>
      </c>
      <c r="H299" s="6">
        <v>-1.1449199999999999</v>
      </c>
    </row>
    <row r="300" spans="1:8" s="2" customFormat="1" ht="15" x14ac:dyDescent="0.2">
      <c r="A300" s="5" t="s">
        <v>251</v>
      </c>
      <c r="B300" s="3" t="s">
        <v>3015</v>
      </c>
      <c r="C300" s="2" t="s">
        <v>1963</v>
      </c>
      <c r="D300" s="3" t="s">
        <v>1836</v>
      </c>
      <c r="E300" s="3" t="s">
        <v>1837</v>
      </c>
      <c r="F300" s="3">
        <v>10.2959</v>
      </c>
      <c r="G300" s="3">
        <v>4.6576399999999998</v>
      </c>
      <c r="H300" s="6">
        <v>-1.1444000000000001</v>
      </c>
    </row>
    <row r="301" spans="1:8" s="2" customFormat="1" ht="15" x14ac:dyDescent="0.2">
      <c r="A301" s="5" t="s">
        <v>144</v>
      </c>
      <c r="B301" s="3" t="s">
        <v>3059</v>
      </c>
      <c r="C301" s="2" t="s">
        <v>1847</v>
      </c>
      <c r="D301" s="3" t="s">
        <v>1836</v>
      </c>
      <c r="E301" s="3" t="s">
        <v>1837</v>
      </c>
      <c r="F301" s="3">
        <v>1.72461</v>
      </c>
      <c r="G301" s="3">
        <v>0.78071199999999996</v>
      </c>
      <c r="H301" s="6">
        <v>-1.14341</v>
      </c>
    </row>
    <row r="302" spans="1:8" s="2" customFormat="1" ht="15" x14ac:dyDescent="0.2">
      <c r="A302" s="5" t="s">
        <v>241</v>
      </c>
      <c r="B302" s="3" t="s">
        <v>3015</v>
      </c>
      <c r="C302" s="2" t="s">
        <v>3015</v>
      </c>
      <c r="D302" s="3" t="s">
        <v>1836</v>
      </c>
      <c r="E302" s="3" t="s">
        <v>1837</v>
      </c>
      <c r="F302" s="3">
        <v>0.80547599999999997</v>
      </c>
      <c r="G302" s="3">
        <v>0.36484699999999998</v>
      </c>
      <c r="H302" s="6">
        <v>-1.14255</v>
      </c>
    </row>
    <row r="303" spans="1:8" s="2" customFormat="1" ht="15" x14ac:dyDescent="0.2">
      <c r="A303" s="5" t="s">
        <v>317</v>
      </c>
      <c r="B303" s="3" t="s">
        <v>3112</v>
      </c>
      <c r="C303" s="2" t="s">
        <v>1992</v>
      </c>
      <c r="D303" s="3" t="s">
        <v>1836</v>
      </c>
      <c r="E303" s="3" t="s">
        <v>1837</v>
      </c>
      <c r="F303" s="3">
        <v>259.18</v>
      </c>
      <c r="G303" s="3">
        <v>117.413</v>
      </c>
      <c r="H303" s="6">
        <v>-1.14236</v>
      </c>
    </row>
    <row r="304" spans="1:8" s="2" customFormat="1" ht="15" x14ac:dyDescent="0.2">
      <c r="A304" s="5" t="s">
        <v>730</v>
      </c>
      <c r="B304" s="3" t="s">
        <v>3030</v>
      </c>
      <c r="C304" s="2" t="s">
        <v>1862</v>
      </c>
      <c r="D304" s="3" t="s">
        <v>1836</v>
      </c>
      <c r="E304" s="3" t="s">
        <v>1837</v>
      </c>
      <c r="F304" s="3">
        <v>1.82142</v>
      </c>
      <c r="G304" s="3">
        <v>0.82530700000000001</v>
      </c>
      <c r="H304" s="6">
        <v>-1.1420600000000001</v>
      </c>
    </row>
    <row r="305" spans="1:8" s="2" customFormat="1" ht="15" x14ac:dyDescent="0.2">
      <c r="A305" s="5" t="s">
        <v>706</v>
      </c>
      <c r="B305" s="3" t="s">
        <v>3194</v>
      </c>
      <c r="C305" s="2" t="s">
        <v>1847</v>
      </c>
      <c r="D305" s="3" t="s">
        <v>1836</v>
      </c>
      <c r="E305" s="3" t="s">
        <v>1837</v>
      </c>
      <c r="F305" s="3">
        <v>397.41</v>
      </c>
      <c r="G305" s="3">
        <v>180.297</v>
      </c>
      <c r="H305" s="6">
        <v>-1.1402600000000001</v>
      </c>
    </row>
    <row r="306" spans="1:8" s="2" customFormat="1" ht="15" x14ac:dyDescent="0.2">
      <c r="A306" s="5" t="s">
        <v>1044</v>
      </c>
      <c r="B306" s="3" t="s">
        <v>3015</v>
      </c>
      <c r="C306" s="2" t="s">
        <v>2332</v>
      </c>
      <c r="D306" s="3" t="s">
        <v>1836</v>
      </c>
      <c r="E306" s="3" t="s">
        <v>1837</v>
      </c>
      <c r="F306" s="3">
        <v>0.86277499999999996</v>
      </c>
      <c r="G306" s="3">
        <v>0.39187699999999998</v>
      </c>
      <c r="H306" s="6">
        <v>-1.1385799999999999</v>
      </c>
    </row>
    <row r="307" spans="1:8" s="2" customFormat="1" ht="15" x14ac:dyDescent="0.2">
      <c r="A307" s="5" t="s">
        <v>187</v>
      </c>
      <c r="B307" s="3" t="s">
        <v>3076</v>
      </c>
      <c r="C307" s="2" t="s">
        <v>1844</v>
      </c>
      <c r="D307" s="3" t="s">
        <v>1836</v>
      </c>
      <c r="E307" s="3" t="s">
        <v>1837</v>
      </c>
      <c r="F307" s="3">
        <v>1.8475999999999999</v>
      </c>
      <c r="G307" s="3">
        <v>0.84043400000000001</v>
      </c>
      <c r="H307" s="6">
        <v>-1.1364399999999999</v>
      </c>
    </row>
    <row r="308" spans="1:8" s="2" customFormat="1" ht="15" x14ac:dyDescent="0.2">
      <c r="A308" s="5" t="s">
        <v>505</v>
      </c>
      <c r="B308" s="3" t="s">
        <v>3149</v>
      </c>
      <c r="C308" s="2" t="s">
        <v>2081</v>
      </c>
      <c r="D308" s="3" t="s">
        <v>1836</v>
      </c>
      <c r="E308" s="3" t="s">
        <v>1837</v>
      </c>
      <c r="F308" s="3">
        <v>0.95196199999999997</v>
      </c>
      <c r="G308" s="3">
        <v>0.43587500000000001</v>
      </c>
      <c r="H308" s="6">
        <v>-1.1269899999999999</v>
      </c>
    </row>
    <row r="309" spans="1:8" s="2" customFormat="1" ht="15" x14ac:dyDescent="0.2">
      <c r="A309" s="5" t="s">
        <v>1113</v>
      </c>
      <c r="B309" s="3" t="s">
        <v>3274</v>
      </c>
      <c r="C309" s="2" t="s">
        <v>3015</v>
      </c>
      <c r="D309" s="3" t="s">
        <v>1836</v>
      </c>
      <c r="E309" s="3" t="s">
        <v>1837</v>
      </c>
      <c r="F309" s="3">
        <v>0.89157600000000004</v>
      </c>
      <c r="G309" s="3">
        <v>0.40944999999999998</v>
      </c>
      <c r="H309" s="6">
        <v>-1.1226700000000001</v>
      </c>
    </row>
    <row r="310" spans="1:8" s="2" customFormat="1" ht="15" x14ac:dyDescent="0.2">
      <c r="A310" s="5" t="s">
        <v>538</v>
      </c>
      <c r="B310" s="3" t="s">
        <v>3015</v>
      </c>
      <c r="C310" s="2" t="s">
        <v>1862</v>
      </c>
      <c r="D310" s="3" t="s">
        <v>1836</v>
      </c>
      <c r="E310" s="3" t="s">
        <v>1837</v>
      </c>
      <c r="F310" s="3">
        <v>13.6821</v>
      </c>
      <c r="G310" s="3">
        <v>6.2905899999999999</v>
      </c>
      <c r="H310" s="6">
        <v>-1.1210199999999999</v>
      </c>
    </row>
    <row r="311" spans="1:8" s="2" customFormat="1" ht="15" x14ac:dyDescent="0.2">
      <c r="A311" s="5" t="s">
        <v>904</v>
      </c>
      <c r="B311" s="3" t="s">
        <v>3039</v>
      </c>
      <c r="C311" s="2" t="s">
        <v>2252</v>
      </c>
      <c r="D311" s="3" t="s">
        <v>1836</v>
      </c>
      <c r="E311" s="3" t="s">
        <v>1837</v>
      </c>
      <c r="F311" s="3">
        <v>5.7412299999999998</v>
      </c>
      <c r="G311" s="3">
        <v>2.6398299999999999</v>
      </c>
      <c r="H311" s="6">
        <v>-1.1209199999999999</v>
      </c>
    </row>
    <row r="312" spans="1:8" s="2" customFormat="1" ht="15" x14ac:dyDescent="0.2">
      <c r="A312" s="5" t="s">
        <v>942</v>
      </c>
      <c r="B312" s="3" t="s">
        <v>3243</v>
      </c>
      <c r="C312" s="2" t="s">
        <v>1847</v>
      </c>
      <c r="D312" s="3" t="s">
        <v>1836</v>
      </c>
      <c r="E312" s="3" t="s">
        <v>1837</v>
      </c>
      <c r="F312" s="3">
        <v>8.2205399999999997</v>
      </c>
      <c r="G312" s="3">
        <v>3.7814700000000001</v>
      </c>
      <c r="H312" s="6">
        <v>-1.1202799999999999</v>
      </c>
    </row>
    <row r="313" spans="1:8" s="2" customFormat="1" ht="15" x14ac:dyDescent="0.2">
      <c r="A313" s="5" t="s">
        <v>180</v>
      </c>
      <c r="B313" s="3" t="s">
        <v>3015</v>
      </c>
      <c r="C313" s="2" t="s">
        <v>1862</v>
      </c>
      <c r="D313" s="3" t="s">
        <v>1836</v>
      </c>
      <c r="E313" s="3" t="s">
        <v>1837</v>
      </c>
      <c r="F313" s="3">
        <v>35.443800000000003</v>
      </c>
      <c r="G313" s="3">
        <v>16.334299999999999</v>
      </c>
      <c r="H313" s="6">
        <v>-1.1176299999999999</v>
      </c>
    </row>
    <row r="314" spans="1:8" s="2" customFormat="1" ht="15" x14ac:dyDescent="0.2">
      <c r="A314" s="5" t="s">
        <v>232</v>
      </c>
      <c r="B314" s="3" t="s">
        <v>3027</v>
      </c>
      <c r="C314" s="2" t="s">
        <v>1952</v>
      </c>
      <c r="D314" s="3" t="s">
        <v>1836</v>
      </c>
      <c r="E314" s="3" t="s">
        <v>1837</v>
      </c>
      <c r="F314" s="3">
        <v>18.391300000000001</v>
      </c>
      <c r="G314" s="3">
        <v>8.4800599999999999</v>
      </c>
      <c r="H314" s="6">
        <v>-1.1168800000000001</v>
      </c>
    </row>
    <row r="315" spans="1:8" s="2" customFormat="1" ht="15" x14ac:dyDescent="0.2">
      <c r="A315" s="5" t="s">
        <v>973</v>
      </c>
      <c r="B315" s="3" t="s">
        <v>3103</v>
      </c>
      <c r="C315" s="2" t="s">
        <v>2303</v>
      </c>
      <c r="D315" s="3" t="s">
        <v>1836</v>
      </c>
      <c r="E315" s="3" t="s">
        <v>1837</v>
      </c>
      <c r="F315" s="3">
        <v>13.4747</v>
      </c>
      <c r="G315" s="3">
        <v>6.2213000000000003</v>
      </c>
      <c r="H315" s="6">
        <v>-1.11496</v>
      </c>
    </row>
    <row r="316" spans="1:8" s="2" customFormat="1" ht="15" x14ac:dyDescent="0.2">
      <c r="A316" s="5" t="s">
        <v>1047</v>
      </c>
      <c r="B316" s="3" t="s">
        <v>3015</v>
      </c>
      <c r="C316" s="2" t="s">
        <v>3015</v>
      </c>
      <c r="D316" s="3" t="s">
        <v>1836</v>
      </c>
      <c r="E316" s="3" t="s">
        <v>1837</v>
      </c>
      <c r="F316" s="3">
        <v>6.6210100000000001</v>
      </c>
      <c r="G316" s="3">
        <v>3.0596399999999999</v>
      </c>
      <c r="H316" s="6">
        <v>-1.1136900000000001</v>
      </c>
    </row>
    <row r="317" spans="1:8" s="2" customFormat="1" ht="15" x14ac:dyDescent="0.2">
      <c r="A317" s="5" t="s">
        <v>361</v>
      </c>
      <c r="B317" s="3" t="s">
        <v>3015</v>
      </c>
      <c r="C317" s="2" t="s">
        <v>1948</v>
      </c>
      <c r="D317" s="3" t="s">
        <v>1836</v>
      </c>
      <c r="E317" s="3" t="s">
        <v>1837</v>
      </c>
      <c r="F317" s="3">
        <v>21.107800000000001</v>
      </c>
      <c r="G317" s="3">
        <v>9.7601600000000008</v>
      </c>
      <c r="H317" s="6">
        <v>-1.1128</v>
      </c>
    </row>
    <row r="318" spans="1:8" s="2" customFormat="1" ht="15" x14ac:dyDescent="0.2">
      <c r="A318" s="5" t="s">
        <v>533</v>
      </c>
      <c r="B318" s="3" t="s">
        <v>3015</v>
      </c>
      <c r="C318" s="2" t="s">
        <v>2096</v>
      </c>
      <c r="D318" s="3" t="s">
        <v>1836</v>
      </c>
      <c r="E318" s="3" t="s">
        <v>1837</v>
      </c>
      <c r="F318" s="3">
        <v>2.82239</v>
      </c>
      <c r="G318" s="3">
        <v>1.3070200000000001</v>
      </c>
      <c r="H318" s="6">
        <v>-1.1106400000000001</v>
      </c>
    </row>
    <row r="319" spans="1:8" s="2" customFormat="1" ht="15" x14ac:dyDescent="0.2">
      <c r="A319" s="5" t="s">
        <v>1100</v>
      </c>
      <c r="B319" s="3" t="s">
        <v>3269</v>
      </c>
      <c r="C319" s="2" t="s">
        <v>3015</v>
      </c>
      <c r="D319" s="3" t="s">
        <v>1836</v>
      </c>
      <c r="E319" s="3" t="s">
        <v>1837</v>
      </c>
      <c r="F319" s="3">
        <v>4.3501899999999996</v>
      </c>
      <c r="G319" s="3">
        <v>2.01674</v>
      </c>
      <c r="H319" s="6">
        <v>-1.1090599999999999</v>
      </c>
    </row>
    <row r="320" spans="1:8" s="2" customFormat="1" ht="15" x14ac:dyDescent="0.2">
      <c r="A320" s="5" t="s">
        <v>810</v>
      </c>
      <c r="B320" s="3" t="s">
        <v>3015</v>
      </c>
      <c r="C320" s="2" t="s">
        <v>1862</v>
      </c>
      <c r="D320" s="3" t="s">
        <v>1836</v>
      </c>
      <c r="E320" s="3" t="s">
        <v>1837</v>
      </c>
      <c r="F320" s="3">
        <v>19.196400000000001</v>
      </c>
      <c r="G320" s="3">
        <v>8.9219600000000003</v>
      </c>
      <c r="H320" s="6">
        <v>-1.1053999999999999</v>
      </c>
    </row>
    <row r="321" spans="1:8" s="2" customFormat="1" ht="15" x14ac:dyDescent="0.2">
      <c r="A321" s="5" t="s">
        <v>975</v>
      </c>
      <c r="B321" s="3" t="s">
        <v>3015</v>
      </c>
      <c r="C321" s="2" t="s">
        <v>2305</v>
      </c>
      <c r="D321" s="3" t="s">
        <v>1836</v>
      </c>
      <c r="E321" s="3" t="s">
        <v>1837</v>
      </c>
      <c r="F321" s="3">
        <v>1.0489200000000001</v>
      </c>
      <c r="G321" s="3">
        <v>0.48754799999999998</v>
      </c>
      <c r="H321" s="6">
        <v>-1.1052999999999999</v>
      </c>
    </row>
    <row r="322" spans="1:8" s="2" customFormat="1" ht="15" x14ac:dyDescent="0.2">
      <c r="A322" s="5" t="s">
        <v>368</v>
      </c>
      <c r="B322" s="3" t="s">
        <v>3015</v>
      </c>
      <c r="C322" s="2" t="s">
        <v>2014</v>
      </c>
      <c r="D322" s="3" t="s">
        <v>1836</v>
      </c>
      <c r="E322" s="3" t="s">
        <v>1837</v>
      </c>
      <c r="F322" s="3">
        <v>65.758600000000001</v>
      </c>
      <c r="G322" s="3">
        <v>30.567299999999999</v>
      </c>
      <c r="H322" s="6">
        <v>-1.1051899999999999</v>
      </c>
    </row>
    <row r="323" spans="1:8" s="2" customFormat="1" ht="15" x14ac:dyDescent="0.2">
      <c r="A323" s="5" t="s">
        <v>680</v>
      </c>
      <c r="B323" s="3" t="s">
        <v>3015</v>
      </c>
      <c r="C323" s="2" t="s">
        <v>3015</v>
      </c>
      <c r="D323" s="3" t="s">
        <v>1836</v>
      </c>
      <c r="E323" s="3" t="s">
        <v>1837</v>
      </c>
      <c r="F323" s="3">
        <v>6.05091</v>
      </c>
      <c r="G323" s="3">
        <v>2.8128099999999998</v>
      </c>
      <c r="H323" s="6">
        <v>-1.10514</v>
      </c>
    </row>
    <row r="324" spans="1:8" s="2" customFormat="1" ht="15" x14ac:dyDescent="0.2">
      <c r="A324" s="5" t="s">
        <v>749</v>
      </c>
      <c r="B324" s="3" t="s">
        <v>3015</v>
      </c>
      <c r="C324" s="2" t="s">
        <v>3015</v>
      </c>
      <c r="D324" s="3" t="s">
        <v>1836</v>
      </c>
      <c r="E324" s="3" t="s">
        <v>1837</v>
      </c>
      <c r="F324" s="3">
        <v>36.808199999999999</v>
      </c>
      <c r="G324" s="3">
        <v>17.126899999999999</v>
      </c>
      <c r="H324" s="6">
        <v>-1.1037699999999999</v>
      </c>
    </row>
    <row r="325" spans="1:8" s="2" customFormat="1" ht="15" x14ac:dyDescent="0.2">
      <c r="A325" s="5" t="s">
        <v>168</v>
      </c>
      <c r="B325" s="3" t="s">
        <v>3015</v>
      </c>
      <c r="C325" s="2" t="s">
        <v>1862</v>
      </c>
      <c r="D325" s="3" t="s">
        <v>1836</v>
      </c>
      <c r="E325" s="3" t="s">
        <v>1837</v>
      </c>
      <c r="F325" s="3">
        <v>7.5447199999999999</v>
      </c>
      <c r="G325" s="3">
        <v>3.5121000000000002</v>
      </c>
      <c r="H325" s="6">
        <v>-1.1031299999999999</v>
      </c>
    </row>
    <row r="326" spans="1:8" s="2" customFormat="1" ht="15" x14ac:dyDescent="0.2">
      <c r="A326" s="5" t="s">
        <v>450</v>
      </c>
      <c r="B326" s="3" t="s">
        <v>3113</v>
      </c>
      <c r="C326" s="2" t="s">
        <v>2054</v>
      </c>
      <c r="D326" s="3" t="s">
        <v>1836</v>
      </c>
      <c r="E326" s="3" t="s">
        <v>1837</v>
      </c>
      <c r="F326" s="3">
        <v>1.51247</v>
      </c>
      <c r="G326" s="3">
        <v>0.70413599999999998</v>
      </c>
      <c r="H326" s="6">
        <v>-1.1029800000000001</v>
      </c>
    </row>
    <row r="327" spans="1:8" s="2" customFormat="1" ht="15" x14ac:dyDescent="0.2">
      <c r="A327" s="5" t="s">
        <v>542</v>
      </c>
      <c r="B327" s="3" t="s">
        <v>3063</v>
      </c>
      <c r="C327" s="2" t="s">
        <v>2100</v>
      </c>
      <c r="D327" s="3" t="s">
        <v>1836</v>
      </c>
      <c r="E327" s="3" t="s">
        <v>1837</v>
      </c>
      <c r="F327" s="3">
        <v>2.2279200000000001</v>
      </c>
      <c r="G327" s="3">
        <v>1.038</v>
      </c>
      <c r="H327" s="6">
        <v>-1.10189</v>
      </c>
    </row>
    <row r="328" spans="1:8" s="2" customFormat="1" ht="15" x14ac:dyDescent="0.2">
      <c r="A328" s="5" t="s">
        <v>204</v>
      </c>
      <c r="B328" s="3" t="s">
        <v>3083</v>
      </c>
      <c r="C328" s="2" t="s">
        <v>1847</v>
      </c>
      <c r="D328" s="3" t="s">
        <v>1836</v>
      </c>
      <c r="E328" s="3" t="s">
        <v>1837</v>
      </c>
      <c r="F328" s="3">
        <v>5.8588399999999998</v>
      </c>
      <c r="G328" s="3">
        <v>2.7317499999999999</v>
      </c>
      <c r="H328" s="6">
        <v>-1.1007899999999999</v>
      </c>
    </row>
    <row r="329" spans="1:8" s="2" customFormat="1" ht="15" x14ac:dyDescent="0.2">
      <c r="A329" s="5" t="s">
        <v>458</v>
      </c>
      <c r="B329" s="3" t="s">
        <v>3103</v>
      </c>
      <c r="C329" s="2" t="s">
        <v>2059</v>
      </c>
      <c r="D329" s="3" t="s">
        <v>1836</v>
      </c>
      <c r="E329" s="3" t="s">
        <v>1837</v>
      </c>
      <c r="F329" s="3">
        <v>79.824399999999997</v>
      </c>
      <c r="G329" s="3">
        <v>37.282200000000003</v>
      </c>
      <c r="H329" s="6">
        <v>-1.0983400000000001</v>
      </c>
    </row>
    <row r="330" spans="1:8" s="2" customFormat="1" ht="15" x14ac:dyDescent="0.2">
      <c r="A330" s="5" t="s">
        <v>974</v>
      </c>
      <c r="B330" s="3" t="s">
        <v>3094</v>
      </c>
      <c r="C330" s="2" t="s">
        <v>2304</v>
      </c>
      <c r="D330" s="3" t="s">
        <v>1836</v>
      </c>
      <c r="E330" s="3" t="s">
        <v>1837</v>
      </c>
      <c r="F330" s="3">
        <v>2.1364700000000001</v>
      </c>
      <c r="G330" s="3">
        <v>0.99824199999999996</v>
      </c>
      <c r="H330" s="6">
        <v>-1.0977699999999999</v>
      </c>
    </row>
    <row r="331" spans="1:8" s="2" customFormat="1" ht="15" x14ac:dyDescent="0.2">
      <c r="A331" s="5" t="s">
        <v>28</v>
      </c>
      <c r="B331" s="3" t="s">
        <v>3015</v>
      </c>
      <c r="C331" s="2" t="s">
        <v>1855</v>
      </c>
      <c r="D331" s="3" t="s">
        <v>1836</v>
      </c>
      <c r="E331" s="3" t="s">
        <v>1837</v>
      </c>
      <c r="F331" s="3">
        <v>0.94581199999999999</v>
      </c>
      <c r="G331" s="3">
        <v>0.44248300000000002</v>
      </c>
      <c r="H331" s="6">
        <v>-1.0959300000000001</v>
      </c>
    </row>
    <row r="332" spans="1:8" s="2" customFormat="1" ht="15" x14ac:dyDescent="0.2">
      <c r="A332" s="5" t="s">
        <v>404</v>
      </c>
      <c r="B332" s="3" t="s">
        <v>3093</v>
      </c>
      <c r="C332" s="2" t="s">
        <v>2029</v>
      </c>
      <c r="D332" s="3" t="s">
        <v>1836</v>
      </c>
      <c r="E332" s="3" t="s">
        <v>1837</v>
      </c>
      <c r="F332" s="3">
        <v>4.9986300000000004</v>
      </c>
      <c r="G332" s="3">
        <v>2.33962</v>
      </c>
      <c r="H332" s="6">
        <v>-1.0952599999999999</v>
      </c>
    </row>
    <row r="333" spans="1:8" s="2" customFormat="1" ht="15" x14ac:dyDescent="0.2">
      <c r="A333" s="5" t="s">
        <v>759</v>
      </c>
      <c r="B333" s="3" t="s">
        <v>3204</v>
      </c>
      <c r="C333" s="2" t="s">
        <v>2190</v>
      </c>
      <c r="D333" s="3" t="s">
        <v>1836</v>
      </c>
      <c r="E333" s="3" t="s">
        <v>1837</v>
      </c>
      <c r="F333" s="3">
        <v>10.7218</v>
      </c>
      <c r="G333" s="3">
        <v>5.0190700000000001</v>
      </c>
      <c r="H333" s="6">
        <v>-1.0950599999999999</v>
      </c>
    </row>
    <row r="334" spans="1:8" s="2" customFormat="1" ht="15" x14ac:dyDescent="0.2">
      <c r="A334" s="5" t="s">
        <v>957</v>
      </c>
      <c r="B334" s="3" t="s">
        <v>3246</v>
      </c>
      <c r="C334" s="2" t="s">
        <v>2291</v>
      </c>
      <c r="D334" s="3" t="s">
        <v>1836</v>
      </c>
      <c r="E334" s="3" t="s">
        <v>1837</v>
      </c>
      <c r="F334" s="3">
        <v>6.0737199999999998</v>
      </c>
      <c r="G334" s="3">
        <v>2.8473999999999999</v>
      </c>
      <c r="H334" s="6">
        <v>-1.09294</v>
      </c>
    </row>
    <row r="335" spans="1:8" s="2" customFormat="1" ht="15" x14ac:dyDescent="0.2">
      <c r="A335" s="5" t="s">
        <v>880</v>
      </c>
      <c r="B335" s="3" t="s">
        <v>3015</v>
      </c>
      <c r="C335" s="2" t="s">
        <v>2251</v>
      </c>
      <c r="D335" s="3" t="s">
        <v>1836</v>
      </c>
      <c r="E335" s="3" t="s">
        <v>1837</v>
      </c>
      <c r="F335" s="3">
        <v>1.06219</v>
      </c>
      <c r="G335" s="3">
        <v>0.498691</v>
      </c>
      <c r="H335" s="6">
        <v>-1.09083</v>
      </c>
    </row>
    <row r="336" spans="1:8" s="2" customFormat="1" ht="15" x14ac:dyDescent="0.2">
      <c r="A336" s="5" t="s">
        <v>764</v>
      </c>
      <c r="B336" s="3" t="s">
        <v>3206</v>
      </c>
      <c r="C336" s="2" t="s">
        <v>2194</v>
      </c>
      <c r="D336" s="3" t="s">
        <v>1836</v>
      </c>
      <c r="E336" s="3" t="s">
        <v>1837</v>
      </c>
      <c r="F336" s="3">
        <v>39.874600000000001</v>
      </c>
      <c r="G336" s="3">
        <v>18.736599999999999</v>
      </c>
      <c r="H336" s="6">
        <v>-1.08961</v>
      </c>
    </row>
    <row r="337" spans="1:8" s="2" customFormat="1" ht="15" x14ac:dyDescent="0.2">
      <c r="A337" s="5" t="s">
        <v>648</v>
      </c>
      <c r="B337" s="3" t="s">
        <v>3015</v>
      </c>
      <c r="C337" s="2" t="s">
        <v>2145</v>
      </c>
      <c r="D337" s="3" t="s">
        <v>1836</v>
      </c>
      <c r="E337" s="3" t="s">
        <v>1837</v>
      </c>
      <c r="F337" s="3">
        <v>27.835999999999999</v>
      </c>
      <c r="G337" s="3">
        <v>13.081099999999999</v>
      </c>
      <c r="H337" s="6">
        <v>-1.0894699999999999</v>
      </c>
    </row>
    <row r="338" spans="1:8" s="2" customFormat="1" ht="15" x14ac:dyDescent="0.2">
      <c r="A338" s="5" t="s">
        <v>89</v>
      </c>
      <c r="B338" s="3" t="s">
        <v>3046</v>
      </c>
      <c r="C338" s="2" t="s">
        <v>1882</v>
      </c>
      <c r="D338" s="3" t="s">
        <v>1836</v>
      </c>
      <c r="E338" s="3" t="s">
        <v>1837</v>
      </c>
      <c r="F338" s="3">
        <v>2.21008</v>
      </c>
      <c r="G338" s="3">
        <v>1.03877</v>
      </c>
      <c r="H338" s="6">
        <v>-1.0892200000000001</v>
      </c>
    </row>
    <row r="339" spans="1:8" s="2" customFormat="1" ht="15" x14ac:dyDescent="0.2">
      <c r="A339" s="5" t="s">
        <v>420</v>
      </c>
      <c r="B339" s="3" t="s">
        <v>3135</v>
      </c>
      <c r="C339" s="2" t="s">
        <v>2038</v>
      </c>
      <c r="D339" s="3" t="s">
        <v>1836</v>
      </c>
      <c r="E339" s="3" t="s">
        <v>1837</v>
      </c>
      <c r="F339" s="3">
        <v>0.84477599999999997</v>
      </c>
      <c r="G339" s="3">
        <v>0.39743400000000001</v>
      </c>
      <c r="H339" s="6">
        <v>-1.08785</v>
      </c>
    </row>
    <row r="340" spans="1:8" s="2" customFormat="1" ht="15" x14ac:dyDescent="0.2">
      <c r="A340" s="5" t="s">
        <v>472</v>
      </c>
      <c r="B340" s="3" t="s">
        <v>3146</v>
      </c>
      <c r="C340" s="2" t="s">
        <v>2065</v>
      </c>
      <c r="D340" s="3" t="s">
        <v>1836</v>
      </c>
      <c r="E340" s="3" t="s">
        <v>1837</v>
      </c>
      <c r="F340" s="3">
        <v>3.1817299999999999</v>
      </c>
      <c r="G340" s="3">
        <v>1.49875</v>
      </c>
      <c r="H340" s="6">
        <v>-1.08605</v>
      </c>
    </row>
    <row r="341" spans="1:8" s="2" customFormat="1" ht="15" x14ac:dyDescent="0.2">
      <c r="A341" s="5" t="s">
        <v>1071</v>
      </c>
      <c r="B341" s="3" t="s">
        <v>3265</v>
      </c>
      <c r="C341" s="2" t="s">
        <v>2344</v>
      </c>
      <c r="D341" s="3" t="s">
        <v>1836</v>
      </c>
      <c r="E341" s="3" t="s">
        <v>1837</v>
      </c>
      <c r="F341" s="3">
        <v>28.628399999999999</v>
      </c>
      <c r="G341" s="3">
        <v>13.505000000000001</v>
      </c>
      <c r="H341" s="6">
        <v>-1.08396</v>
      </c>
    </row>
    <row r="342" spans="1:8" s="2" customFormat="1" ht="15" x14ac:dyDescent="0.2">
      <c r="A342" s="5" t="s">
        <v>263</v>
      </c>
      <c r="B342" s="3" t="s">
        <v>3101</v>
      </c>
      <c r="C342" s="2" t="s">
        <v>1953</v>
      </c>
      <c r="D342" s="3" t="s">
        <v>1836</v>
      </c>
      <c r="E342" s="3" t="s">
        <v>1837</v>
      </c>
      <c r="F342" s="3">
        <v>9.9013500000000008</v>
      </c>
      <c r="G342" s="3">
        <v>4.6725399999999997</v>
      </c>
      <c r="H342" s="6">
        <v>-1.08342</v>
      </c>
    </row>
    <row r="343" spans="1:8" s="2" customFormat="1" ht="15" x14ac:dyDescent="0.2">
      <c r="A343" s="5" t="s">
        <v>348</v>
      </c>
      <c r="B343" s="3" t="s">
        <v>3015</v>
      </c>
      <c r="C343" s="2" t="s">
        <v>2005</v>
      </c>
      <c r="D343" s="3" t="s">
        <v>1836</v>
      </c>
      <c r="E343" s="3" t="s">
        <v>1837</v>
      </c>
      <c r="F343" s="3">
        <v>10.125400000000001</v>
      </c>
      <c r="G343" s="3">
        <v>4.7801799999999997</v>
      </c>
      <c r="H343" s="6">
        <v>-1.08284</v>
      </c>
    </row>
    <row r="344" spans="1:8" s="2" customFormat="1" ht="15" x14ac:dyDescent="0.2">
      <c r="A344" s="5" t="s">
        <v>621</v>
      </c>
      <c r="B344" s="3" t="s">
        <v>3026</v>
      </c>
      <c r="C344" s="2" t="s">
        <v>2133</v>
      </c>
      <c r="D344" s="3" t="s">
        <v>1836</v>
      </c>
      <c r="E344" s="3" t="s">
        <v>1837</v>
      </c>
      <c r="F344" s="3">
        <v>8.2590800000000009</v>
      </c>
      <c r="G344" s="3">
        <v>3.90273</v>
      </c>
      <c r="H344" s="6">
        <v>-1.0814999999999999</v>
      </c>
    </row>
    <row r="345" spans="1:8" s="2" customFormat="1" ht="15" x14ac:dyDescent="0.2">
      <c r="A345" s="5" t="s">
        <v>965</v>
      </c>
      <c r="B345" s="3" t="s">
        <v>3200</v>
      </c>
      <c r="C345" s="2" t="s">
        <v>2297</v>
      </c>
      <c r="D345" s="3" t="s">
        <v>1836</v>
      </c>
      <c r="E345" s="3" t="s">
        <v>1837</v>
      </c>
      <c r="F345" s="3">
        <v>2.6083400000000001</v>
      </c>
      <c r="G345" s="3">
        <v>1.2351700000000001</v>
      </c>
      <c r="H345" s="6">
        <v>-1.07843</v>
      </c>
    </row>
    <row r="346" spans="1:8" s="2" customFormat="1" ht="15" x14ac:dyDescent="0.2">
      <c r="A346" s="5" t="s">
        <v>291</v>
      </c>
      <c r="B346" s="3" t="s">
        <v>3026</v>
      </c>
      <c r="C346" s="2" t="s">
        <v>1977</v>
      </c>
      <c r="D346" s="3" t="s">
        <v>1836</v>
      </c>
      <c r="E346" s="3" t="s">
        <v>1837</v>
      </c>
      <c r="F346" s="3">
        <v>2.7786</v>
      </c>
      <c r="G346" s="3">
        <v>1.3164</v>
      </c>
      <c r="H346" s="6">
        <v>-1.0777600000000001</v>
      </c>
    </row>
    <row r="347" spans="1:8" s="2" customFormat="1" ht="15" x14ac:dyDescent="0.2">
      <c r="A347" s="5" t="s">
        <v>40</v>
      </c>
      <c r="B347" s="3" t="s">
        <v>3036</v>
      </c>
      <c r="C347" s="2" t="s">
        <v>1861</v>
      </c>
      <c r="D347" s="3" t="s">
        <v>1836</v>
      </c>
      <c r="E347" s="3" t="s">
        <v>1837</v>
      </c>
      <c r="F347" s="3">
        <v>47.871000000000002</v>
      </c>
      <c r="G347" s="3">
        <v>22.6873</v>
      </c>
      <c r="H347" s="6">
        <v>-1.0772699999999999</v>
      </c>
    </row>
    <row r="348" spans="1:8" s="2" customFormat="1" ht="15" x14ac:dyDescent="0.2">
      <c r="A348" s="5" t="s">
        <v>946</v>
      </c>
      <c r="B348" s="3" t="s">
        <v>3066</v>
      </c>
      <c r="C348" s="2" t="s">
        <v>2285</v>
      </c>
      <c r="D348" s="3" t="s">
        <v>1836</v>
      </c>
      <c r="E348" s="3" t="s">
        <v>1837</v>
      </c>
      <c r="F348" s="3">
        <v>10.387</v>
      </c>
      <c r="G348" s="3">
        <v>4.9237399999999996</v>
      </c>
      <c r="H348" s="6">
        <v>-1.0769599999999999</v>
      </c>
    </row>
    <row r="349" spans="1:8" s="2" customFormat="1" ht="15" x14ac:dyDescent="0.2">
      <c r="A349" s="5" t="s">
        <v>545</v>
      </c>
      <c r="B349" s="3" t="s">
        <v>3157</v>
      </c>
      <c r="C349" s="2" t="s">
        <v>2101</v>
      </c>
      <c r="D349" s="3" t="s">
        <v>1836</v>
      </c>
      <c r="E349" s="3" t="s">
        <v>1837</v>
      </c>
      <c r="F349" s="3">
        <v>30.485199999999999</v>
      </c>
      <c r="G349" s="3">
        <v>14.4595</v>
      </c>
      <c r="H349" s="6">
        <v>-1.07609</v>
      </c>
    </row>
    <row r="350" spans="1:8" s="2" customFormat="1" ht="15" x14ac:dyDescent="0.2">
      <c r="A350" s="5" t="s">
        <v>550</v>
      </c>
      <c r="B350" s="3" t="s">
        <v>3015</v>
      </c>
      <c r="C350" s="2" t="s">
        <v>2104</v>
      </c>
      <c r="D350" s="3" t="s">
        <v>1836</v>
      </c>
      <c r="E350" s="3" t="s">
        <v>1837</v>
      </c>
      <c r="F350" s="3">
        <v>2.0029499999999998</v>
      </c>
      <c r="G350" s="3">
        <v>0.95034300000000005</v>
      </c>
      <c r="H350" s="6">
        <v>-1.07561</v>
      </c>
    </row>
    <row r="351" spans="1:8" s="2" customFormat="1" ht="15" x14ac:dyDescent="0.2">
      <c r="A351" s="5" t="s">
        <v>502</v>
      </c>
      <c r="B351" s="3" t="s">
        <v>3100</v>
      </c>
      <c r="C351" s="2" t="s">
        <v>2080</v>
      </c>
      <c r="D351" s="3" t="s">
        <v>1836</v>
      </c>
      <c r="E351" s="3" t="s">
        <v>1837</v>
      </c>
      <c r="F351" s="3">
        <v>7.7516100000000003</v>
      </c>
      <c r="G351" s="3">
        <v>3.6825800000000002</v>
      </c>
      <c r="H351" s="6">
        <v>-1.07378</v>
      </c>
    </row>
    <row r="352" spans="1:8" s="2" customFormat="1" ht="15" x14ac:dyDescent="0.2">
      <c r="A352" s="5" t="s">
        <v>555</v>
      </c>
      <c r="B352" s="3" t="s">
        <v>3093</v>
      </c>
      <c r="C352" s="2" t="s">
        <v>2106</v>
      </c>
      <c r="D352" s="3" t="s">
        <v>1836</v>
      </c>
      <c r="E352" s="3" t="s">
        <v>1837</v>
      </c>
      <c r="F352" s="3">
        <v>1.2364299999999999</v>
      </c>
      <c r="G352" s="3">
        <v>0.58885799999999999</v>
      </c>
      <c r="H352" s="6">
        <v>-1.07019</v>
      </c>
    </row>
    <row r="353" spans="1:8" s="2" customFormat="1" ht="15" x14ac:dyDescent="0.2">
      <c r="A353" s="5" t="s">
        <v>541</v>
      </c>
      <c r="B353" s="3" t="s">
        <v>3015</v>
      </c>
      <c r="C353" s="2" t="s">
        <v>3015</v>
      </c>
      <c r="D353" s="3" t="s">
        <v>1836</v>
      </c>
      <c r="E353" s="3" t="s">
        <v>1837</v>
      </c>
      <c r="F353" s="3">
        <v>1.2395700000000001</v>
      </c>
      <c r="G353" s="3">
        <v>0.59062499999999996</v>
      </c>
      <c r="H353" s="6">
        <v>-1.0695300000000001</v>
      </c>
    </row>
    <row r="354" spans="1:8" s="2" customFormat="1" ht="15" x14ac:dyDescent="0.2">
      <c r="A354" s="5" t="s">
        <v>527</v>
      </c>
      <c r="B354" s="3" t="s">
        <v>3068</v>
      </c>
      <c r="C354" s="2" t="s">
        <v>2092</v>
      </c>
      <c r="D354" s="3" t="s">
        <v>1836</v>
      </c>
      <c r="E354" s="3" t="s">
        <v>1837</v>
      </c>
      <c r="F354" s="3">
        <v>0.81568799999999997</v>
      </c>
      <c r="G354" s="3">
        <v>0.38871699999999998</v>
      </c>
      <c r="H354" s="6">
        <v>-1.0692999999999999</v>
      </c>
    </row>
    <row r="355" spans="1:8" s="2" customFormat="1" ht="15" x14ac:dyDescent="0.2">
      <c r="A355" s="5" t="s">
        <v>471</v>
      </c>
      <c r="B355" s="3" t="s">
        <v>3015</v>
      </c>
      <c r="C355" s="2" t="s">
        <v>3015</v>
      </c>
      <c r="D355" s="3" t="s">
        <v>1836</v>
      </c>
      <c r="E355" s="3" t="s">
        <v>1837</v>
      </c>
      <c r="F355" s="3">
        <v>12.098599999999999</v>
      </c>
      <c r="G355" s="3">
        <v>5.7658899999999997</v>
      </c>
      <c r="H355" s="6">
        <v>-1.0692200000000001</v>
      </c>
    </row>
    <row r="356" spans="1:8" s="2" customFormat="1" ht="15" x14ac:dyDescent="0.2">
      <c r="A356" s="5" t="s">
        <v>308</v>
      </c>
      <c r="B356" s="3" t="s">
        <v>3110</v>
      </c>
      <c r="C356" s="2" t="s">
        <v>1987</v>
      </c>
      <c r="D356" s="3" t="s">
        <v>1836</v>
      </c>
      <c r="E356" s="3" t="s">
        <v>1837</v>
      </c>
      <c r="F356" s="3">
        <v>4.1264099999999999</v>
      </c>
      <c r="G356" s="3">
        <v>1.9676</v>
      </c>
      <c r="H356" s="6">
        <v>-1.0684499999999999</v>
      </c>
    </row>
    <row r="357" spans="1:8" s="2" customFormat="1" ht="15" x14ac:dyDescent="0.2">
      <c r="A357" s="5" t="s">
        <v>784</v>
      </c>
      <c r="B357" s="3" t="s">
        <v>3015</v>
      </c>
      <c r="C357" s="2" t="s">
        <v>2200</v>
      </c>
      <c r="D357" s="3" t="s">
        <v>1836</v>
      </c>
      <c r="E357" s="3" t="s">
        <v>1837</v>
      </c>
      <c r="F357" s="3">
        <v>18.849499999999999</v>
      </c>
      <c r="G357" s="3">
        <v>8.9931900000000002</v>
      </c>
      <c r="H357" s="6">
        <v>-1.06762</v>
      </c>
    </row>
    <row r="358" spans="1:8" s="2" customFormat="1" ht="15" x14ac:dyDescent="0.2">
      <c r="A358" s="5" t="s">
        <v>447</v>
      </c>
      <c r="B358" s="3" t="s">
        <v>3142</v>
      </c>
      <c r="C358" s="2" t="s">
        <v>2051</v>
      </c>
      <c r="D358" s="3" t="s">
        <v>1836</v>
      </c>
      <c r="E358" s="3" t="s">
        <v>1837</v>
      </c>
      <c r="F358" s="3">
        <v>16.833100000000002</v>
      </c>
      <c r="G358" s="3">
        <v>8.0335999999999999</v>
      </c>
      <c r="H358" s="6">
        <v>-1.06718</v>
      </c>
    </row>
    <row r="359" spans="1:8" s="2" customFormat="1" ht="15" x14ac:dyDescent="0.2">
      <c r="A359" s="5" t="s">
        <v>174</v>
      </c>
      <c r="B359" s="3" t="s">
        <v>3070</v>
      </c>
      <c r="C359" s="2" t="s">
        <v>1925</v>
      </c>
      <c r="D359" s="3" t="s">
        <v>1836</v>
      </c>
      <c r="E359" s="3" t="s">
        <v>1837</v>
      </c>
      <c r="F359" s="3">
        <v>11.5449</v>
      </c>
      <c r="G359" s="3">
        <v>5.5135500000000004</v>
      </c>
      <c r="H359" s="6">
        <v>-1.0662100000000001</v>
      </c>
    </row>
    <row r="360" spans="1:8" s="2" customFormat="1" ht="15" x14ac:dyDescent="0.2">
      <c r="A360" s="5" t="s">
        <v>945</v>
      </c>
      <c r="B360" s="3" t="s">
        <v>3244</v>
      </c>
      <c r="C360" s="2" t="s">
        <v>2284</v>
      </c>
      <c r="D360" s="3" t="s">
        <v>1836</v>
      </c>
      <c r="E360" s="3" t="s">
        <v>1837</v>
      </c>
      <c r="F360" s="3">
        <v>119.562</v>
      </c>
      <c r="G360" s="3">
        <v>57.1126</v>
      </c>
      <c r="H360" s="6">
        <v>-1.0658700000000001</v>
      </c>
    </row>
    <row r="361" spans="1:8" s="2" customFormat="1" ht="15" x14ac:dyDescent="0.2">
      <c r="A361" s="5" t="s">
        <v>897</v>
      </c>
      <c r="B361" s="3" t="s">
        <v>3015</v>
      </c>
      <c r="C361" s="2" t="s">
        <v>2259</v>
      </c>
      <c r="D361" s="3" t="s">
        <v>1836</v>
      </c>
      <c r="E361" s="3" t="s">
        <v>1837</v>
      </c>
      <c r="F361" s="3">
        <v>20.779299999999999</v>
      </c>
      <c r="G361" s="3">
        <v>9.9425100000000004</v>
      </c>
      <c r="H361" s="6">
        <v>-1.0634600000000001</v>
      </c>
    </row>
    <row r="362" spans="1:8" s="2" customFormat="1" ht="15" x14ac:dyDescent="0.2">
      <c r="A362" s="5" t="s">
        <v>605</v>
      </c>
      <c r="B362" s="3" t="s">
        <v>3094</v>
      </c>
      <c r="C362" s="2" t="s">
        <v>2126</v>
      </c>
      <c r="D362" s="3" t="s">
        <v>1836</v>
      </c>
      <c r="E362" s="3" t="s">
        <v>1837</v>
      </c>
      <c r="F362" s="3">
        <v>4.9769500000000004</v>
      </c>
      <c r="G362" s="3">
        <v>2.3850099999999999</v>
      </c>
      <c r="H362" s="6">
        <v>-1.0612699999999999</v>
      </c>
    </row>
    <row r="363" spans="1:8" s="2" customFormat="1" ht="15" x14ac:dyDescent="0.2">
      <c r="A363" s="5" t="s">
        <v>603</v>
      </c>
      <c r="B363" s="3" t="s">
        <v>3081</v>
      </c>
      <c r="C363" s="2" t="s">
        <v>1882</v>
      </c>
      <c r="D363" s="3" t="s">
        <v>1836</v>
      </c>
      <c r="E363" s="3" t="s">
        <v>1837</v>
      </c>
      <c r="F363" s="3">
        <v>1.0299199999999999</v>
      </c>
      <c r="G363" s="3">
        <v>0.494751</v>
      </c>
      <c r="H363" s="6">
        <v>-1.05776</v>
      </c>
    </row>
    <row r="364" spans="1:8" s="2" customFormat="1" ht="15" x14ac:dyDescent="0.2">
      <c r="A364" s="5" t="s">
        <v>882</v>
      </c>
      <c r="B364" s="3" t="s">
        <v>3039</v>
      </c>
      <c r="C364" s="2" t="s">
        <v>2252</v>
      </c>
      <c r="D364" s="3" t="s">
        <v>1836</v>
      </c>
      <c r="E364" s="3" t="s">
        <v>1837</v>
      </c>
      <c r="F364" s="3">
        <v>37.823999999999998</v>
      </c>
      <c r="G364" s="3">
        <v>18.175699999999999</v>
      </c>
      <c r="H364" s="6">
        <v>-1.0572900000000001</v>
      </c>
    </row>
    <row r="365" spans="1:8" s="2" customFormat="1" ht="15" x14ac:dyDescent="0.2">
      <c r="A365" s="5" t="s">
        <v>346</v>
      </c>
      <c r="B365" s="3" t="s">
        <v>3015</v>
      </c>
      <c r="C365" s="2" t="s">
        <v>1880</v>
      </c>
      <c r="D365" s="3" t="s">
        <v>1836</v>
      </c>
      <c r="E365" s="3" t="s">
        <v>1837</v>
      </c>
      <c r="F365" s="3">
        <v>68.805400000000006</v>
      </c>
      <c r="G365" s="3">
        <v>33.066699999999997</v>
      </c>
      <c r="H365" s="6">
        <v>-1.05714</v>
      </c>
    </row>
    <row r="366" spans="1:8" s="2" customFormat="1" ht="15" x14ac:dyDescent="0.2">
      <c r="A366" s="5" t="s">
        <v>895</v>
      </c>
      <c r="B366" s="3" t="s">
        <v>3047</v>
      </c>
      <c r="C366" s="2" t="s">
        <v>2258</v>
      </c>
      <c r="D366" s="3" t="s">
        <v>1836</v>
      </c>
      <c r="E366" s="3" t="s">
        <v>1837</v>
      </c>
      <c r="F366" s="3">
        <v>2.7345100000000002</v>
      </c>
      <c r="G366" s="3">
        <v>1.31497</v>
      </c>
      <c r="H366" s="6">
        <v>-1.05626</v>
      </c>
    </row>
    <row r="367" spans="1:8" s="2" customFormat="1" ht="15" x14ac:dyDescent="0.2">
      <c r="A367" s="5" t="s">
        <v>928</v>
      </c>
      <c r="B367" s="3" t="s">
        <v>3015</v>
      </c>
      <c r="C367" s="2" t="s">
        <v>2276</v>
      </c>
      <c r="D367" s="3" t="s">
        <v>1836</v>
      </c>
      <c r="E367" s="3" t="s">
        <v>1837</v>
      </c>
      <c r="F367" s="3">
        <v>4.6582400000000002</v>
      </c>
      <c r="G367" s="3">
        <v>2.2400500000000001</v>
      </c>
      <c r="H367" s="6">
        <v>-1.0562499999999999</v>
      </c>
    </row>
    <row r="368" spans="1:8" s="2" customFormat="1" ht="15" x14ac:dyDescent="0.2">
      <c r="A368" s="5" t="s">
        <v>577</v>
      </c>
      <c r="B368" s="3" t="s">
        <v>3015</v>
      </c>
      <c r="C368" s="2" t="s">
        <v>2115</v>
      </c>
      <c r="D368" s="3" t="s">
        <v>1836</v>
      </c>
      <c r="E368" s="3" t="s">
        <v>1837</v>
      </c>
      <c r="F368" s="3">
        <v>1.7931999999999999</v>
      </c>
      <c r="G368" s="3">
        <v>0.864815</v>
      </c>
      <c r="H368" s="6">
        <v>-1.0520799999999999</v>
      </c>
    </row>
    <row r="369" spans="1:8" s="2" customFormat="1" ht="15" x14ac:dyDescent="0.2">
      <c r="A369" s="5" t="s">
        <v>20</v>
      </c>
      <c r="B369" s="3" t="s">
        <v>3027</v>
      </c>
      <c r="C369" s="2" t="s">
        <v>1851</v>
      </c>
      <c r="D369" s="3" t="s">
        <v>1836</v>
      </c>
      <c r="E369" s="3" t="s">
        <v>1837</v>
      </c>
      <c r="F369" s="3">
        <v>1.2195199999999999</v>
      </c>
      <c r="G369" s="3">
        <v>0.588337</v>
      </c>
      <c r="H369" s="6">
        <v>-1.05159</v>
      </c>
    </row>
    <row r="370" spans="1:8" s="2" customFormat="1" ht="15" x14ac:dyDescent="0.2">
      <c r="A370" s="5" t="s">
        <v>99</v>
      </c>
      <c r="B370" s="3" t="s">
        <v>3015</v>
      </c>
      <c r="C370" s="2" t="s">
        <v>1885</v>
      </c>
      <c r="D370" s="3" t="s">
        <v>1836</v>
      </c>
      <c r="E370" s="3" t="s">
        <v>1837</v>
      </c>
      <c r="F370" s="3">
        <v>2.5895899999999998</v>
      </c>
      <c r="G370" s="3">
        <v>1.2499400000000001</v>
      </c>
      <c r="H370" s="6">
        <v>-1.0508599999999999</v>
      </c>
    </row>
    <row r="371" spans="1:8" s="2" customFormat="1" ht="15" x14ac:dyDescent="0.2">
      <c r="A371" s="5" t="s">
        <v>529</v>
      </c>
      <c r="B371" s="3" t="s">
        <v>3015</v>
      </c>
      <c r="C371" s="2" t="s">
        <v>2093</v>
      </c>
      <c r="D371" s="3" t="s">
        <v>1836</v>
      </c>
      <c r="E371" s="3" t="s">
        <v>1837</v>
      </c>
      <c r="F371" s="3">
        <v>1.74343</v>
      </c>
      <c r="G371" s="3">
        <v>0.84152499999999997</v>
      </c>
      <c r="H371" s="6">
        <v>-1.0508500000000001</v>
      </c>
    </row>
    <row r="372" spans="1:8" s="2" customFormat="1" ht="15" x14ac:dyDescent="0.2">
      <c r="A372" s="5" t="s">
        <v>1012</v>
      </c>
      <c r="B372" s="3" t="s">
        <v>3015</v>
      </c>
      <c r="C372" s="2" t="s">
        <v>2317</v>
      </c>
      <c r="D372" s="3" t="s">
        <v>1836</v>
      </c>
      <c r="E372" s="3" t="s">
        <v>1837</v>
      </c>
      <c r="F372" s="3">
        <v>2.59382</v>
      </c>
      <c r="G372" s="3">
        <v>1.2543899999999999</v>
      </c>
      <c r="H372" s="6">
        <v>-1.04809</v>
      </c>
    </row>
    <row r="373" spans="1:8" s="2" customFormat="1" ht="15" x14ac:dyDescent="0.2">
      <c r="A373" s="5" t="s">
        <v>12</v>
      </c>
      <c r="B373" s="3" t="s">
        <v>3015</v>
      </c>
      <c r="C373" s="2" t="s">
        <v>1847</v>
      </c>
      <c r="D373" s="3" t="s">
        <v>1836</v>
      </c>
      <c r="E373" s="3" t="s">
        <v>1837</v>
      </c>
      <c r="F373" s="3">
        <v>21.8294</v>
      </c>
      <c r="G373" s="3">
        <v>10.573399999999999</v>
      </c>
      <c r="H373" s="6">
        <v>-1.04583</v>
      </c>
    </row>
    <row r="374" spans="1:8" s="2" customFormat="1" ht="15" x14ac:dyDescent="0.2">
      <c r="A374" s="5" t="s">
        <v>192</v>
      </c>
      <c r="B374" s="3" t="s">
        <v>3045</v>
      </c>
      <c r="C374" s="2" t="s">
        <v>1932</v>
      </c>
      <c r="D374" s="3" t="s">
        <v>1836</v>
      </c>
      <c r="E374" s="3" t="s">
        <v>1837</v>
      </c>
      <c r="F374" s="3">
        <v>1.56504</v>
      </c>
      <c r="G374" s="3">
        <v>0.75849100000000003</v>
      </c>
      <c r="H374" s="6">
        <v>-1.0449999999999999</v>
      </c>
    </row>
    <row r="375" spans="1:8" s="2" customFormat="1" ht="15" x14ac:dyDescent="0.2">
      <c r="A375" s="5" t="s">
        <v>964</v>
      </c>
      <c r="B375" s="3" t="s">
        <v>3015</v>
      </c>
      <c r="C375" s="2" t="s">
        <v>2296</v>
      </c>
      <c r="D375" s="3" t="s">
        <v>1836</v>
      </c>
      <c r="E375" s="3" t="s">
        <v>1837</v>
      </c>
      <c r="F375" s="3">
        <v>14.9857</v>
      </c>
      <c r="G375" s="3">
        <v>7.26281</v>
      </c>
      <c r="H375" s="6">
        <v>-1.0449900000000001</v>
      </c>
    </row>
    <row r="376" spans="1:8" s="2" customFormat="1" ht="15" x14ac:dyDescent="0.2">
      <c r="A376" s="5" t="s">
        <v>560</v>
      </c>
      <c r="B376" s="3" t="s">
        <v>3015</v>
      </c>
      <c r="C376" s="2" t="s">
        <v>1847</v>
      </c>
      <c r="D376" s="3" t="s">
        <v>1836</v>
      </c>
      <c r="E376" s="3" t="s">
        <v>1837</v>
      </c>
      <c r="F376" s="3">
        <v>42.276699999999998</v>
      </c>
      <c r="G376" s="3">
        <v>20.500800000000002</v>
      </c>
      <c r="H376" s="6">
        <v>-1.0441800000000001</v>
      </c>
    </row>
    <row r="377" spans="1:8" s="2" customFormat="1" ht="15" x14ac:dyDescent="0.2">
      <c r="A377" s="5" t="s">
        <v>812</v>
      </c>
      <c r="B377" s="3" t="s">
        <v>3213</v>
      </c>
      <c r="C377" s="2" t="s">
        <v>3015</v>
      </c>
      <c r="D377" s="3" t="s">
        <v>1836</v>
      </c>
      <c r="E377" s="3" t="s">
        <v>1837</v>
      </c>
      <c r="F377" s="3">
        <v>4.4848999999999997</v>
      </c>
      <c r="G377" s="3">
        <v>2.1751</v>
      </c>
      <c r="H377" s="6">
        <v>-1.04399</v>
      </c>
    </row>
    <row r="378" spans="1:8" s="2" customFormat="1" ht="15" x14ac:dyDescent="0.2">
      <c r="A378" s="5" t="s">
        <v>16</v>
      </c>
      <c r="B378" s="3" t="s">
        <v>3026</v>
      </c>
      <c r="C378" s="2" t="s">
        <v>1848</v>
      </c>
      <c r="D378" s="3" t="s">
        <v>1836</v>
      </c>
      <c r="E378" s="3" t="s">
        <v>1837</v>
      </c>
      <c r="F378" s="3">
        <v>5.4785700000000004</v>
      </c>
      <c r="G378" s="3">
        <v>2.6592600000000002</v>
      </c>
      <c r="H378" s="6">
        <v>-1.04277</v>
      </c>
    </row>
    <row r="379" spans="1:8" s="2" customFormat="1" ht="15" x14ac:dyDescent="0.2">
      <c r="A379" s="5" t="s">
        <v>971</v>
      </c>
      <c r="B379" s="3" t="s">
        <v>3251</v>
      </c>
      <c r="C379" s="2" t="s">
        <v>2302</v>
      </c>
      <c r="D379" s="3" t="s">
        <v>1836</v>
      </c>
      <c r="E379" s="3" t="s">
        <v>1837</v>
      </c>
      <c r="F379" s="3">
        <v>2.74838</v>
      </c>
      <c r="G379" s="3">
        <v>1.3341000000000001</v>
      </c>
      <c r="H379" s="6">
        <v>-1.0427200000000001</v>
      </c>
    </row>
    <row r="380" spans="1:8" s="2" customFormat="1" ht="15" x14ac:dyDescent="0.2">
      <c r="A380" s="5" t="s">
        <v>333</v>
      </c>
      <c r="B380" s="3" t="s">
        <v>3119</v>
      </c>
      <c r="C380" s="2" t="s">
        <v>2000</v>
      </c>
      <c r="D380" s="3" t="s">
        <v>1836</v>
      </c>
      <c r="E380" s="3" t="s">
        <v>1837</v>
      </c>
      <c r="F380" s="3">
        <v>12.7761</v>
      </c>
      <c r="G380" s="3">
        <v>6.2094500000000004</v>
      </c>
      <c r="H380" s="6">
        <v>-1.04091</v>
      </c>
    </row>
    <row r="381" spans="1:8" s="2" customFormat="1" ht="15" x14ac:dyDescent="0.2">
      <c r="A381" s="5" t="s">
        <v>797</v>
      </c>
      <c r="B381" s="3" t="s">
        <v>3209</v>
      </c>
      <c r="C381" s="2" t="s">
        <v>2205</v>
      </c>
      <c r="D381" s="3" t="s">
        <v>1836</v>
      </c>
      <c r="E381" s="3" t="s">
        <v>1837</v>
      </c>
      <c r="F381" s="3">
        <v>22.359100000000002</v>
      </c>
      <c r="G381" s="3">
        <v>10.886900000000001</v>
      </c>
      <c r="H381" s="6">
        <v>-1.03827</v>
      </c>
    </row>
    <row r="382" spans="1:8" s="2" customFormat="1" ht="15" x14ac:dyDescent="0.2">
      <c r="A382" s="5" t="s">
        <v>124</v>
      </c>
      <c r="B382" s="3" t="s">
        <v>3015</v>
      </c>
      <c r="C382" s="2" t="s">
        <v>1900</v>
      </c>
      <c r="D382" s="3" t="s">
        <v>1836</v>
      </c>
      <c r="E382" s="3" t="s">
        <v>1837</v>
      </c>
      <c r="F382" s="3">
        <v>17.7075</v>
      </c>
      <c r="G382" s="3">
        <v>8.6252999999999993</v>
      </c>
      <c r="H382" s="6">
        <v>-1.0377099999999999</v>
      </c>
    </row>
    <row r="383" spans="1:8" s="2" customFormat="1" ht="15" x14ac:dyDescent="0.2">
      <c r="A383" s="5" t="s">
        <v>688</v>
      </c>
      <c r="B383" s="3" t="s">
        <v>3192</v>
      </c>
      <c r="C383" s="2" t="s">
        <v>2162</v>
      </c>
      <c r="D383" s="3" t="s">
        <v>1836</v>
      </c>
      <c r="E383" s="3" t="s">
        <v>1837</v>
      </c>
      <c r="F383" s="3">
        <v>1.37477</v>
      </c>
      <c r="G383" s="3">
        <v>0.66997099999999998</v>
      </c>
      <c r="H383" s="6">
        <v>-1.0370200000000001</v>
      </c>
    </row>
    <row r="384" spans="1:8" s="2" customFormat="1" ht="15" x14ac:dyDescent="0.2">
      <c r="A384" s="5" t="s">
        <v>839</v>
      </c>
      <c r="B384" s="3" t="s">
        <v>3015</v>
      </c>
      <c r="C384" s="2" t="s">
        <v>1847</v>
      </c>
      <c r="D384" s="3" t="s">
        <v>1836</v>
      </c>
      <c r="E384" s="3" t="s">
        <v>1837</v>
      </c>
      <c r="F384" s="3">
        <v>36.934699999999999</v>
      </c>
      <c r="G384" s="3">
        <v>18.007999999999999</v>
      </c>
      <c r="H384" s="6">
        <v>-1.03634</v>
      </c>
    </row>
    <row r="385" spans="1:8" s="2" customFormat="1" ht="15" x14ac:dyDescent="0.2">
      <c r="A385" s="5" t="s">
        <v>1126</v>
      </c>
      <c r="B385" s="3" t="s">
        <v>3015</v>
      </c>
      <c r="C385" s="2" t="s">
        <v>3015</v>
      </c>
      <c r="D385" s="3" t="s">
        <v>1836</v>
      </c>
      <c r="E385" s="3" t="s">
        <v>1837</v>
      </c>
      <c r="F385" s="3">
        <v>40.900100000000002</v>
      </c>
      <c r="G385" s="3">
        <v>19.953499999999998</v>
      </c>
      <c r="H385" s="6">
        <v>-1.03546</v>
      </c>
    </row>
    <row r="386" spans="1:8" s="2" customFormat="1" ht="15" x14ac:dyDescent="0.2">
      <c r="A386" s="5" t="s">
        <v>609</v>
      </c>
      <c r="B386" s="3" t="s">
        <v>3081</v>
      </c>
      <c r="C386" s="2" t="s">
        <v>1965</v>
      </c>
      <c r="D386" s="3" t="s">
        <v>1836</v>
      </c>
      <c r="E386" s="3" t="s">
        <v>1837</v>
      </c>
      <c r="F386" s="3">
        <v>5.0696899999999996</v>
      </c>
      <c r="G386" s="3">
        <v>2.4751099999999999</v>
      </c>
      <c r="H386" s="6">
        <v>-1.0344</v>
      </c>
    </row>
    <row r="387" spans="1:8" s="2" customFormat="1" ht="15" x14ac:dyDescent="0.2">
      <c r="A387" s="5" t="s">
        <v>245</v>
      </c>
      <c r="B387" s="3" t="s">
        <v>3015</v>
      </c>
      <c r="C387" s="2" t="s">
        <v>1958</v>
      </c>
      <c r="D387" s="3" t="s">
        <v>1836</v>
      </c>
      <c r="E387" s="3" t="s">
        <v>1837</v>
      </c>
      <c r="F387" s="3">
        <v>1.8548100000000001</v>
      </c>
      <c r="G387" s="3">
        <v>0.90556899999999996</v>
      </c>
      <c r="H387" s="6">
        <v>-1.03437</v>
      </c>
    </row>
    <row r="388" spans="1:8" s="2" customFormat="1" ht="15" x14ac:dyDescent="0.2">
      <c r="A388" s="5" t="s">
        <v>493</v>
      </c>
      <c r="B388" s="3" t="s">
        <v>3015</v>
      </c>
      <c r="C388" s="2" t="s">
        <v>2076</v>
      </c>
      <c r="D388" s="3" t="s">
        <v>1836</v>
      </c>
      <c r="E388" s="3" t="s">
        <v>1837</v>
      </c>
      <c r="F388" s="3">
        <v>2.2652600000000001</v>
      </c>
      <c r="G388" s="3">
        <v>1.10632</v>
      </c>
      <c r="H388" s="6">
        <v>-1.0339100000000001</v>
      </c>
    </row>
    <row r="389" spans="1:8" s="2" customFormat="1" ht="15" x14ac:dyDescent="0.2">
      <c r="A389" s="5" t="s">
        <v>743</v>
      </c>
      <c r="B389" s="3" t="s">
        <v>3201</v>
      </c>
      <c r="C389" s="2" t="s">
        <v>2186</v>
      </c>
      <c r="D389" s="3" t="s">
        <v>1836</v>
      </c>
      <c r="E389" s="3" t="s">
        <v>1837</v>
      </c>
      <c r="F389" s="3">
        <v>1.78914</v>
      </c>
      <c r="G389" s="3">
        <v>0.87441500000000005</v>
      </c>
      <c r="H389" s="6">
        <v>-1.03288</v>
      </c>
    </row>
    <row r="390" spans="1:8" s="2" customFormat="1" ht="15" x14ac:dyDescent="0.2">
      <c r="A390" s="5" t="s">
        <v>540</v>
      </c>
      <c r="B390" s="3" t="s">
        <v>3156</v>
      </c>
      <c r="C390" s="2" t="s">
        <v>2099</v>
      </c>
      <c r="D390" s="3" t="s">
        <v>1836</v>
      </c>
      <c r="E390" s="3" t="s">
        <v>1837</v>
      </c>
      <c r="F390" s="3">
        <v>1.4227799999999999</v>
      </c>
      <c r="G390" s="3">
        <v>0.69574899999999995</v>
      </c>
      <c r="H390" s="6">
        <v>-1.03207</v>
      </c>
    </row>
    <row r="391" spans="1:8" s="2" customFormat="1" ht="15" x14ac:dyDescent="0.2">
      <c r="A391" s="5" t="s">
        <v>937</v>
      </c>
      <c r="B391" s="3" t="s">
        <v>3137</v>
      </c>
      <c r="C391" s="2" t="s">
        <v>2280</v>
      </c>
      <c r="D391" s="3" t="s">
        <v>1836</v>
      </c>
      <c r="E391" s="3" t="s">
        <v>1837</v>
      </c>
      <c r="F391" s="3">
        <v>52.618499999999997</v>
      </c>
      <c r="G391" s="3">
        <v>25.751999999999999</v>
      </c>
      <c r="H391" s="6">
        <v>-1.03088</v>
      </c>
    </row>
    <row r="392" spans="1:8" s="2" customFormat="1" ht="15" x14ac:dyDescent="0.2">
      <c r="A392" s="5" t="s">
        <v>800</v>
      </c>
      <c r="B392" s="3" t="s">
        <v>3210</v>
      </c>
      <c r="C392" s="2" t="s">
        <v>2208</v>
      </c>
      <c r="D392" s="3" t="s">
        <v>1836</v>
      </c>
      <c r="E392" s="3" t="s">
        <v>1837</v>
      </c>
      <c r="F392" s="3">
        <v>33.7821</v>
      </c>
      <c r="G392" s="3">
        <v>16.533799999999999</v>
      </c>
      <c r="H392" s="6">
        <v>-1.03084</v>
      </c>
    </row>
    <row r="393" spans="1:8" s="2" customFormat="1" ht="15" x14ac:dyDescent="0.2">
      <c r="A393" s="5" t="s">
        <v>1109</v>
      </c>
      <c r="B393" s="3" t="s">
        <v>3271</v>
      </c>
      <c r="C393" s="2" t="s">
        <v>1847</v>
      </c>
      <c r="D393" s="3" t="s">
        <v>1836</v>
      </c>
      <c r="E393" s="3" t="s">
        <v>1837</v>
      </c>
      <c r="F393" s="3">
        <v>2.4814799999999999</v>
      </c>
      <c r="G393" s="3">
        <v>1.2155100000000001</v>
      </c>
      <c r="H393" s="6">
        <v>-1.0296400000000001</v>
      </c>
    </row>
    <row r="394" spans="1:8" s="2" customFormat="1" ht="15" x14ac:dyDescent="0.2">
      <c r="A394" s="5" t="s">
        <v>820</v>
      </c>
      <c r="B394" s="3" t="s">
        <v>3216</v>
      </c>
      <c r="C394" s="2" t="s">
        <v>2215</v>
      </c>
      <c r="D394" s="3" t="s">
        <v>1836</v>
      </c>
      <c r="E394" s="3" t="s">
        <v>1837</v>
      </c>
      <c r="F394" s="3">
        <v>19.317799999999998</v>
      </c>
      <c r="G394" s="3">
        <v>9.4672900000000002</v>
      </c>
      <c r="H394" s="6">
        <v>-1.02891</v>
      </c>
    </row>
    <row r="395" spans="1:8" s="2" customFormat="1" ht="15" x14ac:dyDescent="0.2">
      <c r="A395" s="5" t="s">
        <v>17</v>
      </c>
      <c r="B395" s="3" t="s">
        <v>3015</v>
      </c>
      <c r="C395" s="2" t="s">
        <v>1849</v>
      </c>
      <c r="D395" s="3" t="s">
        <v>1836</v>
      </c>
      <c r="E395" s="3" t="s">
        <v>1837</v>
      </c>
      <c r="F395" s="3">
        <v>22.555399999999999</v>
      </c>
      <c r="G395" s="3">
        <v>11.0549</v>
      </c>
      <c r="H395" s="6">
        <v>-1.0287900000000001</v>
      </c>
    </row>
    <row r="396" spans="1:8" s="2" customFormat="1" ht="15" x14ac:dyDescent="0.2">
      <c r="A396" s="5" t="s">
        <v>234</v>
      </c>
      <c r="B396" s="3" t="s">
        <v>3093</v>
      </c>
      <c r="C396" s="2" t="s">
        <v>1954</v>
      </c>
      <c r="D396" s="3" t="s">
        <v>1836</v>
      </c>
      <c r="E396" s="3" t="s">
        <v>1837</v>
      </c>
      <c r="F396" s="3">
        <v>17.8552</v>
      </c>
      <c r="G396" s="3">
        <v>8.7517899999999997</v>
      </c>
      <c r="H396" s="6">
        <v>-1.0286900000000001</v>
      </c>
    </row>
    <row r="397" spans="1:8" s="2" customFormat="1" ht="15" x14ac:dyDescent="0.2">
      <c r="A397" s="5" t="s">
        <v>63</v>
      </c>
      <c r="B397" s="3" t="s">
        <v>3044</v>
      </c>
      <c r="C397" s="2" t="s">
        <v>1874</v>
      </c>
      <c r="D397" s="3" t="s">
        <v>1836</v>
      </c>
      <c r="E397" s="3" t="s">
        <v>1837</v>
      </c>
      <c r="F397" s="3">
        <v>1.1084400000000001</v>
      </c>
      <c r="G397" s="3">
        <v>0.54420800000000003</v>
      </c>
      <c r="H397" s="6">
        <v>-1.0262899999999999</v>
      </c>
    </row>
    <row r="398" spans="1:8" s="2" customFormat="1" ht="15" x14ac:dyDescent="0.2">
      <c r="A398" s="5" t="s">
        <v>675</v>
      </c>
      <c r="B398" s="3" t="s">
        <v>3189</v>
      </c>
      <c r="C398" s="2" t="s">
        <v>2157</v>
      </c>
      <c r="D398" s="3" t="s">
        <v>1836</v>
      </c>
      <c r="E398" s="3" t="s">
        <v>1837</v>
      </c>
      <c r="F398" s="3">
        <v>36.3626</v>
      </c>
      <c r="G398" s="3">
        <v>17.866</v>
      </c>
      <c r="H398" s="6">
        <v>-1.0252399999999999</v>
      </c>
    </row>
    <row r="399" spans="1:8" s="2" customFormat="1" ht="15" x14ac:dyDescent="0.2">
      <c r="A399" s="5" t="s">
        <v>735</v>
      </c>
      <c r="B399" s="3" t="s">
        <v>3171</v>
      </c>
      <c r="C399" s="2" t="s">
        <v>2123</v>
      </c>
      <c r="D399" s="3" t="s">
        <v>1836</v>
      </c>
      <c r="E399" s="3" t="s">
        <v>1837</v>
      </c>
      <c r="F399" s="3">
        <v>1.76406</v>
      </c>
      <c r="G399" s="3">
        <v>0.86770099999999994</v>
      </c>
      <c r="H399" s="6">
        <v>-1.02363</v>
      </c>
    </row>
    <row r="400" spans="1:8" s="2" customFormat="1" ht="15" x14ac:dyDescent="0.2">
      <c r="A400" s="5" t="s">
        <v>399</v>
      </c>
      <c r="B400" s="3" t="s">
        <v>3038</v>
      </c>
      <c r="C400" s="2" t="s">
        <v>2027</v>
      </c>
      <c r="D400" s="3" t="s">
        <v>1836</v>
      </c>
      <c r="E400" s="3" t="s">
        <v>1837</v>
      </c>
      <c r="F400" s="3">
        <v>1.50061</v>
      </c>
      <c r="G400" s="3">
        <v>0.73831400000000003</v>
      </c>
      <c r="H400" s="6">
        <v>-1.0232399999999999</v>
      </c>
    </row>
    <row r="401" spans="1:8" s="2" customFormat="1" ht="15" x14ac:dyDescent="0.2">
      <c r="A401" s="5" t="s">
        <v>1020</v>
      </c>
      <c r="B401" s="3" t="s">
        <v>3015</v>
      </c>
      <c r="C401" s="2" t="s">
        <v>2322</v>
      </c>
      <c r="D401" s="3" t="s">
        <v>1836</v>
      </c>
      <c r="E401" s="3" t="s">
        <v>1837</v>
      </c>
      <c r="F401" s="3">
        <v>78.130399999999995</v>
      </c>
      <c r="G401" s="3">
        <v>38.446899999999999</v>
      </c>
      <c r="H401" s="6">
        <v>-1.02302</v>
      </c>
    </row>
    <row r="402" spans="1:8" s="2" customFormat="1" ht="15" x14ac:dyDescent="0.2">
      <c r="A402" s="5" t="s">
        <v>601</v>
      </c>
      <c r="B402" s="3" t="s">
        <v>3058</v>
      </c>
      <c r="C402" s="2" t="s">
        <v>2057</v>
      </c>
      <c r="D402" s="3" t="s">
        <v>1836</v>
      </c>
      <c r="E402" s="3" t="s">
        <v>1837</v>
      </c>
      <c r="F402" s="3">
        <v>4.4676499999999999</v>
      </c>
      <c r="G402" s="3">
        <v>2.1991999999999998</v>
      </c>
      <c r="H402" s="6">
        <v>-1.02254</v>
      </c>
    </row>
    <row r="403" spans="1:8" s="2" customFormat="1" ht="15" x14ac:dyDescent="0.2">
      <c r="A403" s="5" t="s">
        <v>1018</v>
      </c>
      <c r="B403" s="3" t="s">
        <v>3015</v>
      </c>
      <c r="C403" s="2" t="s">
        <v>3015</v>
      </c>
      <c r="D403" s="3" t="s">
        <v>1836</v>
      </c>
      <c r="E403" s="3" t="s">
        <v>1837</v>
      </c>
      <c r="F403" s="3">
        <v>2.8442599999999998</v>
      </c>
      <c r="G403" s="3">
        <v>1.40055</v>
      </c>
      <c r="H403" s="6">
        <v>-1.02206</v>
      </c>
    </row>
    <row r="404" spans="1:8" s="2" customFormat="1" ht="15" x14ac:dyDescent="0.2">
      <c r="A404" s="5" t="s">
        <v>892</v>
      </c>
      <c r="B404" s="3" t="s">
        <v>3144</v>
      </c>
      <c r="C404" s="2" t="s">
        <v>2256</v>
      </c>
      <c r="D404" s="3" t="s">
        <v>1836</v>
      </c>
      <c r="E404" s="3" t="s">
        <v>1837</v>
      </c>
      <c r="F404" s="3">
        <v>1.4432</v>
      </c>
      <c r="G404" s="3">
        <v>0.71104599999999996</v>
      </c>
      <c r="H404" s="6">
        <v>-1.0212600000000001</v>
      </c>
    </row>
    <row r="405" spans="1:8" s="2" customFormat="1" ht="15" x14ac:dyDescent="0.2">
      <c r="A405" s="5" t="s">
        <v>755</v>
      </c>
      <c r="B405" s="3" t="s">
        <v>3058</v>
      </c>
      <c r="C405" s="2" t="s">
        <v>2018</v>
      </c>
      <c r="D405" s="3" t="s">
        <v>1836</v>
      </c>
      <c r="E405" s="3" t="s">
        <v>1837</v>
      </c>
      <c r="F405" s="3">
        <v>9.6928800000000006</v>
      </c>
      <c r="G405" s="3">
        <v>4.7767499999999998</v>
      </c>
      <c r="H405" s="6">
        <v>-1.0208999999999999</v>
      </c>
    </row>
    <row r="406" spans="1:8" s="2" customFormat="1" ht="15" x14ac:dyDescent="0.2">
      <c r="A406" s="5" t="s">
        <v>859</v>
      </c>
      <c r="B406" s="3" t="s">
        <v>3015</v>
      </c>
      <c r="C406" s="2" t="s">
        <v>2241</v>
      </c>
      <c r="D406" s="3" t="s">
        <v>1836</v>
      </c>
      <c r="E406" s="3" t="s">
        <v>1837</v>
      </c>
      <c r="F406" s="3">
        <v>2.6664599999999998</v>
      </c>
      <c r="G406" s="3">
        <v>1.3170599999999999</v>
      </c>
      <c r="H406" s="6">
        <v>-1.0176099999999999</v>
      </c>
    </row>
    <row r="407" spans="1:8" s="2" customFormat="1" ht="15" x14ac:dyDescent="0.2">
      <c r="A407" s="5" t="s">
        <v>451</v>
      </c>
      <c r="B407" s="3" t="s">
        <v>3015</v>
      </c>
      <c r="C407" s="2" t="s">
        <v>2055</v>
      </c>
      <c r="D407" s="3" t="s">
        <v>1836</v>
      </c>
      <c r="E407" s="3" t="s">
        <v>1837</v>
      </c>
      <c r="F407" s="3">
        <v>4.1602499999999996</v>
      </c>
      <c r="G407" s="3">
        <v>2.05545</v>
      </c>
      <c r="H407" s="6">
        <v>-1.01722</v>
      </c>
    </row>
    <row r="408" spans="1:8" s="2" customFormat="1" ht="15" x14ac:dyDescent="0.2">
      <c r="A408" s="5" t="s">
        <v>190</v>
      </c>
      <c r="B408" s="3" t="s">
        <v>3015</v>
      </c>
      <c r="C408" s="2" t="s">
        <v>3015</v>
      </c>
      <c r="D408" s="3" t="s">
        <v>1836</v>
      </c>
      <c r="E408" s="3" t="s">
        <v>1837</v>
      </c>
      <c r="F408" s="3">
        <v>8.6670700000000007</v>
      </c>
      <c r="G408" s="3">
        <v>4.2822500000000003</v>
      </c>
      <c r="H408" s="6">
        <v>-1.0171699999999999</v>
      </c>
    </row>
    <row r="409" spans="1:8" s="2" customFormat="1" ht="15" x14ac:dyDescent="0.2">
      <c r="A409" s="5" t="s">
        <v>719</v>
      </c>
      <c r="B409" s="3" t="s">
        <v>3197</v>
      </c>
      <c r="C409" s="2" t="s">
        <v>2179</v>
      </c>
      <c r="D409" s="3" t="s">
        <v>1836</v>
      </c>
      <c r="E409" s="3" t="s">
        <v>1837</v>
      </c>
      <c r="F409" s="3">
        <v>123.59699999999999</v>
      </c>
      <c r="G409" s="3">
        <v>61.182899999999997</v>
      </c>
      <c r="H409" s="6">
        <v>-1.01444</v>
      </c>
    </row>
    <row r="410" spans="1:8" s="2" customFormat="1" ht="15" x14ac:dyDescent="0.2">
      <c r="A410" s="5" t="s">
        <v>213</v>
      </c>
      <c r="B410" s="3" t="s">
        <v>3015</v>
      </c>
      <c r="C410" s="2" t="s">
        <v>1847</v>
      </c>
      <c r="D410" s="3" t="s">
        <v>1836</v>
      </c>
      <c r="E410" s="3" t="s">
        <v>1837</v>
      </c>
      <c r="F410" s="3">
        <v>4.1532200000000001</v>
      </c>
      <c r="G410" s="3">
        <v>2.05715</v>
      </c>
      <c r="H410" s="6">
        <v>-1.01359</v>
      </c>
    </row>
    <row r="411" spans="1:8" s="2" customFormat="1" ht="15" x14ac:dyDescent="0.2">
      <c r="A411" s="5" t="s">
        <v>779</v>
      </c>
      <c r="B411" s="3" t="s">
        <v>3030</v>
      </c>
      <c r="C411" s="2" t="s">
        <v>2197</v>
      </c>
      <c r="D411" s="3" t="s">
        <v>1836</v>
      </c>
      <c r="E411" s="3" t="s">
        <v>1837</v>
      </c>
      <c r="F411" s="3">
        <v>12.791600000000001</v>
      </c>
      <c r="G411" s="3">
        <v>6.3370300000000004</v>
      </c>
      <c r="H411" s="6">
        <v>-1.01332</v>
      </c>
    </row>
    <row r="412" spans="1:8" s="2" customFormat="1" ht="15" x14ac:dyDescent="0.2">
      <c r="A412" s="5" t="s">
        <v>1090</v>
      </c>
      <c r="B412" s="3" t="s">
        <v>3015</v>
      </c>
      <c r="C412" s="2" t="s">
        <v>2354</v>
      </c>
      <c r="D412" s="3" t="s">
        <v>1836</v>
      </c>
      <c r="E412" s="3" t="s">
        <v>1837</v>
      </c>
      <c r="F412" s="3">
        <v>8.1252499999999994</v>
      </c>
      <c r="G412" s="3">
        <v>4.0262500000000001</v>
      </c>
      <c r="H412" s="6">
        <v>-1.01298</v>
      </c>
    </row>
    <row r="413" spans="1:8" s="2" customFormat="1" ht="15" x14ac:dyDescent="0.2">
      <c r="A413" s="5" t="s">
        <v>30</v>
      </c>
      <c r="B413" s="3" t="s">
        <v>3032</v>
      </c>
      <c r="C413" s="2" t="s">
        <v>1857</v>
      </c>
      <c r="D413" s="3" t="s">
        <v>1836</v>
      </c>
      <c r="E413" s="3" t="s">
        <v>1837</v>
      </c>
      <c r="F413" s="3">
        <v>5.3591499999999996</v>
      </c>
      <c r="G413" s="3">
        <v>2.6564299999999998</v>
      </c>
      <c r="H413" s="6">
        <v>-1.01251</v>
      </c>
    </row>
    <row r="414" spans="1:8" s="2" customFormat="1" ht="15" x14ac:dyDescent="0.2">
      <c r="A414" s="5" t="s">
        <v>674</v>
      </c>
      <c r="B414" s="3" t="s">
        <v>3015</v>
      </c>
      <c r="C414" s="2" t="s">
        <v>1847</v>
      </c>
      <c r="D414" s="3" t="s">
        <v>1836</v>
      </c>
      <c r="E414" s="3" t="s">
        <v>1837</v>
      </c>
      <c r="F414" s="3">
        <v>16.711200000000002</v>
      </c>
      <c r="G414" s="3">
        <v>8.2843300000000006</v>
      </c>
      <c r="H414" s="6">
        <v>-1.0123599999999999</v>
      </c>
    </row>
    <row r="415" spans="1:8" s="2" customFormat="1" ht="15" x14ac:dyDescent="0.2">
      <c r="A415" s="5" t="s">
        <v>575</v>
      </c>
      <c r="B415" s="3" t="s">
        <v>3165</v>
      </c>
      <c r="C415" s="2" t="s">
        <v>2113</v>
      </c>
      <c r="D415" s="3" t="s">
        <v>1836</v>
      </c>
      <c r="E415" s="3" t="s">
        <v>1837</v>
      </c>
      <c r="F415" s="3">
        <v>2.7837900000000002</v>
      </c>
      <c r="G415" s="3">
        <v>1.38131</v>
      </c>
      <c r="H415" s="6">
        <v>-1.01101</v>
      </c>
    </row>
    <row r="416" spans="1:8" s="2" customFormat="1" ht="15" x14ac:dyDescent="0.2">
      <c r="A416" s="5" t="s">
        <v>935</v>
      </c>
      <c r="B416" s="3" t="s">
        <v>3015</v>
      </c>
      <c r="C416" s="2" t="s">
        <v>1862</v>
      </c>
      <c r="D416" s="3" t="s">
        <v>1836</v>
      </c>
      <c r="E416" s="3" t="s">
        <v>1837</v>
      </c>
      <c r="F416" s="3">
        <v>21.536100000000001</v>
      </c>
      <c r="G416" s="3">
        <v>10.6874</v>
      </c>
      <c r="H416" s="6">
        <v>-1.01085</v>
      </c>
    </row>
    <row r="417" spans="1:12" s="2" customFormat="1" ht="15" x14ac:dyDescent="0.2">
      <c r="A417" s="5" t="s">
        <v>183</v>
      </c>
      <c r="B417" s="3" t="s">
        <v>3015</v>
      </c>
      <c r="C417" s="2" t="s">
        <v>3015</v>
      </c>
      <c r="D417" s="3" t="s">
        <v>1836</v>
      </c>
      <c r="E417" s="3" t="s">
        <v>1837</v>
      </c>
      <c r="F417" s="3">
        <v>6.3486799999999999</v>
      </c>
      <c r="G417" s="3">
        <v>3.1510500000000001</v>
      </c>
      <c r="H417" s="6">
        <v>-1.0106200000000001</v>
      </c>
    </row>
    <row r="418" spans="1:12" s="2" customFormat="1" ht="15" x14ac:dyDescent="0.2">
      <c r="A418" s="5" t="s">
        <v>203</v>
      </c>
      <c r="B418" s="3" t="s">
        <v>3015</v>
      </c>
      <c r="C418" s="2" t="s">
        <v>1940</v>
      </c>
      <c r="D418" s="3" t="s">
        <v>1836</v>
      </c>
      <c r="E418" s="3" t="s">
        <v>1837</v>
      </c>
      <c r="F418" s="3">
        <v>19.813400000000001</v>
      </c>
      <c r="G418" s="3">
        <v>9.8368800000000007</v>
      </c>
      <c r="H418" s="6">
        <v>-1.0102</v>
      </c>
    </row>
    <row r="419" spans="1:12" s="2" customFormat="1" ht="15" x14ac:dyDescent="0.2">
      <c r="A419" s="5" t="s">
        <v>623</v>
      </c>
      <c r="B419" s="3" t="s">
        <v>3015</v>
      </c>
      <c r="C419" s="2" t="s">
        <v>1862</v>
      </c>
      <c r="D419" s="3" t="s">
        <v>1836</v>
      </c>
      <c r="E419" s="3" t="s">
        <v>1837</v>
      </c>
      <c r="F419" s="3">
        <v>2.3878300000000001</v>
      </c>
      <c r="G419" s="3">
        <v>1.18574</v>
      </c>
      <c r="H419" s="6">
        <v>-1.0099100000000001</v>
      </c>
    </row>
    <row r="420" spans="1:12" s="2" customFormat="1" ht="15" x14ac:dyDescent="0.2">
      <c r="A420" s="5" t="s">
        <v>654</v>
      </c>
      <c r="B420" s="3" t="s">
        <v>3184</v>
      </c>
      <c r="C420" s="2" t="s">
        <v>2149</v>
      </c>
      <c r="D420" s="3" t="s">
        <v>1836</v>
      </c>
      <c r="E420" s="3" t="s">
        <v>1837</v>
      </c>
      <c r="F420" s="3">
        <v>230.04300000000001</v>
      </c>
      <c r="G420" s="3">
        <v>114.30200000000001</v>
      </c>
      <c r="H420" s="6">
        <v>-1.0090600000000001</v>
      </c>
    </row>
    <row r="421" spans="1:12" s="2" customFormat="1" ht="15" x14ac:dyDescent="0.2">
      <c r="A421" s="5" t="s">
        <v>808</v>
      </c>
      <c r="B421" s="3" t="s">
        <v>3015</v>
      </c>
      <c r="C421" s="2" t="s">
        <v>1862</v>
      </c>
      <c r="D421" s="3" t="s">
        <v>1836</v>
      </c>
      <c r="E421" s="3" t="s">
        <v>1837</v>
      </c>
      <c r="F421" s="3">
        <v>2.2401900000000001</v>
      </c>
      <c r="G421" s="3">
        <v>1.11331</v>
      </c>
      <c r="H421" s="6">
        <v>-1.0087600000000001</v>
      </c>
    </row>
    <row r="422" spans="1:12" s="2" customFormat="1" ht="15" x14ac:dyDescent="0.2">
      <c r="A422" s="5" t="s">
        <v>23</v>
      </c>
      <c r="B422" s="3" t="s">
        <v>3028</v>
      </c>
      <c r="C422" s="2" t="s">
        <v>1852</v>
      </c>
      <c r="D422" s="3" t="s">
        <v>1836</v>
      </c>
      <c r="E422" s="3" t="s">
        <v>1837</v>
      </c>
      <c r="F422" s="3">
        <v>2.3612799999999998</v>
      </c>
      <c r="G422" s="3">
        <v>1.1736800000000001</v>
      </c>
      <c r="H422" s="6">
        <v>-1.0085200000000001</v>
      </c>
    </row>
    <row r="423" spans="1:12" s="2" customFormat="1" ht="15" x14ac:dyDescent="0.2">
      <c r="A423" s="5" t="s">
        <v>795</v>
      </c>
      <c r="B423" s="3" t="s">
        <v>3015</v>
      </c>
      <c r="C423" s="2" t="s">
        <v>2203</v>
      </c>
      <c r="D423" s="3" t="s">
        <v>1836</v>
      </c>
      <c r="E423" s="3" t="s">
        <v>1837</v>
      </c>
      <c r="F423" s="3">
        <v>14.075699999999999</v>
      </c>
      <c r="G423" s="3">
        <v>7.0112199999999998</v>
      </c>
      <c r="H423" s="6">
        <v>-1.0054700000000001</v>
      </c>
    </row>
    <row r="424" spans="1:12" s="2" customFormat="1" ht="15" x14ac:dyDescent="0.2">
      <c r="A424" s="5" t="s">
        <v>608</v>
      </c>
      <c r="B424" s="3" t="s">
        <v>3030</v>
      </c>
      <c r="C424" s="2" t="s">
        <v>2128</v>
      </c>
      <c r="D424" s="3" t="s">
        <v>1836</v>
      </c>
      <c r="E424" s="3" t="s">
        <v>1837</v>
      </c>
      <c r="F424" s="3">
        <v>4.9004899999999996</v>
      </c>
      <c r="G424" s="3">
        <v>2.4414600000000002</v>
      </c>
      <c r="H424" s="6">
        <v>-1.00518</v>
      </c>
    </row>
    <row r="425" spans="1:12" s="2" customFormat="1" ht="15" x14ac:dyDescent="0.2">
      <c r="A425" s="5" t="s">
        <v>631</v>
      </c>
      <c r="B425" s="3" t="s">
        <v>3030</v>
      </c>
      <c r="C425" s="2" t="s">
        <v>2138</v>
      </c>
      <c r="D425" s="3" t="s">
        <v>1836</v>
      </c>
      <c r="E425" s="3" t="s">
        <v>1837</v>
      </c>
      <c r="F425" s="3">
        <v>1.72109</v>
      </c>
      <c r="G425" s="3">
        <v>0.85789899999999997</v>
      </c>
      <c r="H425" s="6">
        <v>-1.00444</v>
      </c>
    </row>
    <row r="426" spans="1:12" s="2" customFormat="1" ht="15" x14ac:dyDescent="0.2">
      <c r="A426" s="5" t="s">
        <v>141</v>
      </c>
      <c r="B426" s="3" t="s">
        <v>3015</v>
      </c>
      <c r="C426" s="2" t="s">
        <v>1909</v>
      </c>
      <c r="D426" s="3" t="s">
        <v>1836</v>
      </c>
      <c r="E426" s="3" t="s">
        <v>1837</v>
      </c>
      <c r="F426" s="3">
        <v>14.674899999999999</v>
      </c>
      <c r="G426" s="3">
        <v>7.31785</v>
      </c>
      <c r="H426" s="6">
        <v>-1.00386</v>
      </c>
    </row>
    <row r="427" spans="1:12" s="2" customFormat="1" ht="15" x14ac:dyDescent="0.2">
      <c r="A427" s="5" t="s">
        <v>45</v>
      </c>
      <c r="B427" s="3" t="s">
        <v>3015</v>
      </c>
      <c r="C427" s="2" t="s">
        <v>1863</v>
      </c>
      <c r="D427" s="3" t="s">
        <v>1836</v>
      </c>
      <c r="E427" s="3" t="s">
        <v>1837</v>
      </c>
      <c r="F427" s="3">
        <v>983.79899999999998</v>
      </c>
      <c r="G427" s="3">
        <v>491.03800000000001</v>
      </c>
      <c r="H427" s="6">
        <v>-1.0025299999999999</v>
      </c>
    </row>
    <row r="428" spans="1:12" s="2" customFormat="1" ht="15" x14ac:dyDescent="0.2">
      <c r="A428" s="5" t="s">
        <v>464</v>
      </c>
      <c r="B428" s="3" t="s">
        <v>3144</v>
      </c>
      <c r="C428" s="2" t="s">
        <v>2062</v>
      </c>
      <c r="D428" s="3" t="s">
        <v>1836</v>
      </c>
      <c r="E428" s="3" t="s">
        <v>1837</v>
      </c>
      <c r="F428" s="3">
        <v>22.780999999999999</v>
      </c>
      <c r="G428" s="3">
        <v>11.3866</v>
      </c>
      <c r="H428" s="6">
        <v>-1.0004900000000001</v>
      </c>
    </row>
    <row r="429" spans="1:12" s="7" customFormat="1" ht="15" x14ac:dyDescent="0.2">
      <c r="A429" s="5" t="s">
        <v>219</v>
      </c>
      <c r="B429" s="3" t="s">
        <v>3015</v>
      </c>
      <c r="C429" s="2" t="s">
        <v>3015</v>
      </c>
      <c r="D429" s="3" t="s">
        <v>1836</v>
      </c>
      <c r="E429" s="3" t="s">
        <v>1837</v>
      </c>
      <c r="F429" s="3">
        <v>0.88197700000000001</v>
      </c>
      <c r="G429" s="3">
        <v>0</v>
      </c>
      <c r="H429" s="6" t="s">
        <v>3504</v>
      </c>
      <c r="J429" s="8"/>
      <c r="K429" s="8"/>
      <c r="L429" s="8"/>
    </row>
    <row r="430" spans="1:12" s="7" customFormat="1" ht="15" x14ac:dyDescent="0.2">
      <c r="A430" s="5" t="s">
        <v>228</v>
      </c>
      <c r="B430" s="3" t="s">
        <v>3089</v>
      </c>
      <c r="C430" s="2" t="s">
        <v>1950</v>
      </c>
      <c r="D430" s="3" t="s">
        <v>1836</v>
      </c>
      <c r="E430" s="3" t="s">
        <v>1837</v>
      </c>
      <c r="F430" s="3">
        <v>0.91518100000000002</v>
      </c>
      <c r="G430" s="3">
        <v>0</v>
      </c>
      <c r="H430" s="6" t="s">
        <v>3504</v>
      </c>
      <c r="J430" s="8"/>
      <c r="K430" s="8"/>
      <c r="L430" s="8"/>
    </row>
    <row r="431" spans="1:12" s="7" customFormat="1" ht="15" x14ac:dyDescent="0.2">
      <c r="A431" s="5" t="s">
        <v>619</v>
      </c>
      <c r="B431" s="3" t="s">
        <v>3015</v>
      </c>
      <c r="C431" s="2" t="s">
        <v>2132</v>
      </c>
      <c r="D431" s="3" t="s">
        <v>1836</v>
      </c>
      <c r="E431" s="3" t="s">
        <v>1837</v>
      </c>
      <c r="F431" s="3">
        <v>3.9423400000000002</v>
      </c>
      <c r="G431" s="3">
        <v>0</v>
      </c>
      <c r="H431" s="6" t="s">
        <v>3504</v>
      </c>
      <c r="J431" s="8"/>
      <c r="K431" s="8"/>
      <c r="L431" s="8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6"/>
  <sheetViews>
    <sheetView workbookViewId="0">
      <selection activeCell="A2" sqref="A2:XFD4"/>
    </sheetView>
  </sheetViews>
  <sheetFormatPr defaultColWidth="8.875" defaultRowHeight="14.25" x14ac:dyDescent="0.2"/>
  <cols>
    <col min="1" max="2" width="28.375" customWidth="1"/>
    <col min="3" max="3" width="48.5" customWidth="1"/>
    <col min="4" max="4" width="14.625" customWidth="1"/>
    <col min="5" max="5" width="14" customWidth="1"/>
    <col min="6" max="7" width="9.125" bestFit="1" customWidth="1"/>
    <col min="8" max="8" width="9.625" style="14" bestFit="1" customWidth="1"/>
  </cols>
  <sheetData>
    <row r="1" spans="1:10" ht="20.25" x14ac:dyDescent="0.2">
      <c r="A1" s="11" t="s">
        <v>3530</v>
      </c>
    </row>
    <row r="2" spans="1:10" s="25" customFormat="1" ht="18.75" x14ac:dyDescent="0.2">
      <c r="A2" s="28" t="s">
        <v>3538</v>
      </c>
      <c r="H2" s="33"/>
    </row>
    <row r="3" spans="1:10" s="25" customFormat="1" ht="18" x14ac:dyDescent="0.2">
      <c r="A3" s="25" t="s">
        <v>3509</v>
      </c>
      <c r="H3" s="33"/>
    </row>
    <row r="4" spans="1:10" s="25" customFormat="1" ht="18" x14ac:dyDescent="0.2">
      <c r="A4" s="25" t="s">
        <v>3020</v>
      </c>
      <c r="B4" s="25" t="s">
        <v>3023</v>
      </c>
      <c r="C4" s="25" t="s">
        <v>1843</v>
      </c>
      <c r="D4" s="25" t="s">
        <v>0</v>
      </c>
      <c r="E4" s="25" t="s">
        <v>1</v>
      </c>
      <c r="F4" s="25" t="s">
        <v>2</v>
      </c>
      <c r="G4" s="25" t="s">
        <v>3</v>
      </c>
      <c r="H4" s="33" t="s">
        <v>4</v>
      </c>
    </row>
    <row r="5" spans="1:10" s="2" customFormat="1" ht="15" x14ac:dyDescent="0.2">
      <c r="A5" s="2" t="s">
        <v>249</v>
      </c>
      <c r="B5" s="2" t="s">
        <v>3097</v>
      </c>
      <c r="C5" s="2" t="s">
        <v>1961</v>
      </c>
      <c r="D5" s="2" t="s">
        <v>1836</v>
      </c>
      <c r="E5" s="2" t="s">
        <v>1838</v>
      </c>
      <c r="F5" s="2">
        <v>3.6669900000000002</v>
      </c>
      <c r="G5" s="2">
        <v>0.14610200000000001</v>
      </c>
      <c r="H5" s="15">
        <v>-4.6495499999999996</v>
      </c>
    </row>
    <row r="6" spans="1:10" s="2" customFormat="1" ht="15" x14ac:dyDescent="0.2">
      <c r="A6" s="2" t="s">
        <v>124</v>
      </c>
      <c r="B6" s="2" t="s">
        <v>3015</v>
      </c>
      <c r="C6" s="2" t="s">
        <v>1900</v>
      </c>
      <c r="D6" s="2" t="s">
        <v>1836</v>
      </c>
      <c r="E6" s="2" t="s">
        <v>1838</v>
      </c>
      <c r="F6" s="2">
        <v>17.7075</v>
      </c>
      <c r="G6" s="2">
        <v>0.84825600000000001</v>
      </c>
      <c r="H6" s="15">
        <v>-4.3837200000000003</v>
      </c>
    </row>
    <row r="7" spans="1:10" s="2" customFormat="1" ht="15" x14ac:dyDescent="0.2">
      <c r="A7" s="2" t="s">
        <v>1457</v>
      </c>
      <c r="B7" s="2" t="s">
        <v>3015</v>
      </c>
      <c r="C7" s="2" t="s">
        <v>3015</v>
      </c>
      <c r="D7" s="2" t="s">
        <v>1836</v>
      </c>
      <c r="E7" s="2" t="s">
        <v>1838</v>
      </c>
      <c r="F7" s="2">
        <v>7.7644000000000002</v>
      </c>
      <c r="G7" s="2">
        <v>0.43282599999999999</v>
      </c>
      <c r="H7" s="15">
        <v>-4.1650200000000002</v>
      </c>
    </row>
    <row r="8" spans="1:10" s="2" customFormat="1" ht="15" x14ac:dyDescent="0.2">
      <c r="A8" s="2" t="s">
        <v>666</v>
      </c>
      <c r="B8" s="2" t="s">
        <v>3344</v>
      </c>
      <c r="C8" s="2" t="s">
        <v>2536</v>
      </c>
      <c r="D8" s="2" t="s">
        <v>1836</v>
      </c>
      <c r="E8" s="2" t="s">
        <v>1838</v>
      </c>
      <c r="F8" s="2">
        <v>10.878399999999999</v>
      </c>
      <c r="G8" s="2">
        <v>0.66377600000000003</v>
      </c>
      <c r="H8" s="15">
        <v>-4.0346299999999999</v>
      </c>
      <c r="J8" s="18"/>
    </row>
    <row r="9" spans="1:10" s="2" customFormat="1" ht="15" x14ac:dyDescent="0.2">
      <c r="A9" s="2" t="s">
        <v>878</v>
      </c>
      <c r="B9" s="2" t="s">
        <v>3166</v>
      </c>
      <c r="C9" s="2" t="s">
        <v>2249</v>
      </c>
      <c r="D9" s="2" t="s">
        <v>1836</v>
      </c>
      <c r="E9" s="2" t="s">
        <v>1838</v>
      </c>
      <c r="F9" s="2">
        <v>3.5211000000000001</v>
      </c>
      <c r="G9" s="2">
        <v>0.220612</v>
      </c>
      <c r="H9" s="15">
        <v>-3.9964400000000002</v>
      </c>
      <c r="J9" s="18"/>
    </row>
    <row r="10" spans="1:10" s="2" customFormat="1" ht="15" x14ac:dyDescent="0.2">
      <c r="A10" s="2" t="s">
        <v>1066</v>
      </c>
      <c r="B10" s="2" t="s">
        <v>3093</v>
      </c>
      <c r="C10" s="2" t="s">
        <v>2029</v>
      </c>
      <c r="D10" s="2" t="s">
        <v>1836</v>
      </c>
      <c r="E10" s="2" t="s">
        <v>1838</v>
      </c>
      <c r="F10" s="2">
        <v>7.9269299999999996</v>
      </c>
      <c r="G10" s="2">
        <v>0.50451100000000004</v>
      </c>
      <c r="H10" s="15">
        <v>-3.9738099999999998</v>
      </c>
      <c r="J10" s="18"/>
    </row>
    <row r="11" spans="1:10" s="2" customFormat="1" ht="15" x14ac:dyDescent="0.2">
      <c r="A11" s="2" t="s">
        <v>637</v>
      </c>
      <c r="B11" s="2" t="s">
        <v>3045</v>
      </c>
      <c r="C11" s="2" t="s">
        <v>2141</v>
      </c>
      <c r="D11" s="2" t="s">
        <v>1836</v>
      </c>
      <c r="E11" s="2" t="s">
        <v>1838</v>
      </c>
      <c r="F11" s="2">
        <v>7.9981600000000004</v>
      </c>
      <c r="G11" s="2">
        <v>0.51134800000000002</v>
      </c>
      <c r="H11" s="15">
        <v>-3.9672900000000002</v>
      </c>
    </row>
    <row r="12" spans="1:10" s="2" customFormat="1" ht="15" x14ac:dyDescent="0.2">
      <c r="A12" s="2" t="s">
        <v>1046</v>
      </c>
      <c r="B12" s="2" t="s">
        <v>3073</v>
      </c>
      <c r="C12" s="2" t="s">
        <v>2334</v>
      </c>
      <c r="D12" s="2" t="s">
        <v>1836</v>
      </c>
      <c r="E12" s="2" t="s">
        <v>1838</v>
      </c>
      <c r="F12" s="2">
        <v>5.6726799999999997</v>
      </c>
      <c r="G12" s="2">
        <v>0.36879800000000001</v>
      </c>
      <c r="H12" s="15">
        <v>-3.94313</v>
      </c>
    </row>
    <row r="13" spans="1:10" s="2" customFormat="1" ht="15" x14ac:dyDescent="0.2">
      <c r="A13" s="2" t="s">
        <v>1056</v>
      </c>
      <c r="B13" s="2" t="s">
        <v>3047</v>
      </c>
      <c r="C13" s="2" t="s">
        <v>2277</v>
      </c>
      <c r="D13" s="2" t="s">
        <v>1836</v>
      </c>
      <c r="E13" s="2" t="s">
        <v>1838</v>
      </c>
      <c r="F13" s="2">
        <v>1.00936</v>
      </c>
      <c r="G13" s="2">
        <v>6.8843100000000004E-2</v>
      </c>
      <c r="H13" s="15">
        <v>-3.87399</v>
      </c>
      <c r="J13" s="18"/>
    </row>
    <row r="14" spans="1:10" s="2" customFormat="1" ht="15" x14ac:dyDescent="0.2">
      <c r="A14" s="2" t="s">
        <v>338</v>
      </c>
      <c r="B14" s="2" t="s">
        <v>3100</v>
      </c>
      <c r="C14" s="2" t="s">
        <v>2278</v>
      </c>
      <c r="D14" s="2" t="s">
        <v>1836</v>
      </c>
      <c r="E14" s="2" t="s">
        <v>1838</v>
      </c>
      <c r="F14" s="2">
        <v>2.0933999999999999</v>
      </c>
      <c r="G14" s="2">
        <v>0.17274900000000001</v>
      </c>
      <c r="H14" s="15">
        <v>-3.5991</v>
      </c>
      <c r="J14" s="18"/>
    </row>
    <row r="15" spans="1:10" s="2" customFormat="1" ht="15" x14ac:dyDescent="0.2">
      <c r="A15" s="2" t="s">
        <v>257</v>
      </c>
      <c r="B15" s="2" t="s">
        <v>3100</v>
      </c>
      <c r="C15" s="2" t="s">
        <v>1966</v>
      </c>
      <c r="D15" s="2" t="s">
        <v>1836</v>
      </c>
      <c r="E15" s="2" t="s">
        <v>1838</v>
      </c>
      <c r="F15" s="2">
        <v>4.3836199999999996</v>
      </c>
      <c r="G15" s="2">
        <v>0.364589</v>
      </c>
      <c r="H15" s="15">
        <v>-3.58778</v>
      </c>
      <c r="J15" s="18"/>
    </row>
    <row r="16" spans="1:10" s="2" customFormat="1" ht="15" x14ac:dyDescent="0.2">
      <c r="A16" s="2" t="s">
        <v>907</v>
      </c>
      <c r="B16" s="2" t="s">
        <v>3234</v>
      </c>
      <c r="C16" s="2" t="s">
        <v>2264</v>
      </c>
      <c r="D16" s="2" t="s">
        <v>1836</v>
      </c>
      <c r="E16" s="2" t="s">
        <v>1838</v>
      </c>
      <c r="F16" s="2">
        <v>1.0944799999999999</v>
      </c>
      <c r="G16" s="2">
        <v>0.100797</v>
      </c>
      <c r="H16" s="15">
        <v>-3.4407199999999998</v>
      </c>
      <c r="J16" s="18"/>
    </row>
    <row r="17" spans="1:10" s="2" customFormat="1" ht="15" x14ac:dyDescent="0.2">
      <c r="A17" s="2" t="s">
        <v>930</v>
      </c>
      <c r="B17" s="2" t="s">
        <v>3100</v>
      </c>
      <c r="C17" s="2" t="s">
        <v>2278</v>
      </c>
      <c r="D17" s="2" t="s">
        <v>1836</v>
      </c>
      <c r="E17" s="2" t="s">
        <v>1838</v>
      </c>
      <c r="F17" s="2">
        <v>7.7362399999999996</v>
      </c>
      <c r="G17" s="2">
        <v>0.72689899999999996</v>
      </c>
      <c r="H17" s="15">
        <v>-3.41181</v>
      </c>
      <c r="J17" s="18"/>
    </row>
    <row r="18" spans="1:10" s="2" customFormat="1" ht="15" x14ac:dyDescent="0.2">
      <c r="A18" s="2" t="s">
        <v>825</v>
      </c>
      <c r="B18" s="2" t="s">
        <v>3015</v>
      </c>
      <c r="C18" s="2" t="s">
        <v>2579</v>
      </c>
      <c r="D18" s="2" t="s">
        <v>1836</v>
      </c>
      <c r="E18" s="2" t="s">
        <v>1838</v>
      </c>
      <c r="F18" s="2">
        <v>35.725099999999998</v>
      </c>
      <c r="G18" s="2">
        <v>3.4402499999999998</v>
      </c>
      <c r="H18" s="15">
        <v>-3.37635</v>
      </c>
      <c r="J18" s="18"/>
    </row>
    <row r="19" spans="1:10" s="2" customFormat="1" ht="15" x14ac:dyDescent="0.2">
      <c r="A19" s="2" t="s">
        <v>1098</v>
      </c>
      <c r="B19" s="2" t="s">
        <v>3015</v>
      </c>
      <c r="C19" s="2" t="s">
        <v>2356</v>
      </c>
      <c r="D19" s="2" t="s">
        <v>1836</v>
      </c>
      <c r="E19" s="2" t="s">
        <v>1838</v>
      </c>
      <c r="F19" s="2">
        <v>4.3807</v>
      </c>
      <c r="G19" s="2">
        <v>0.45774900000000002</v>
      </c>
      <c r="H19" s="15">
        <v>-3.2585299999999999</v>
      </c>
      <c r="J19" s="18"/>
    </row>
    <row r="20" spans="1:10" s="2" customFormat="1" ht="15" x14ac:dyDescent="0.2">
      <c r="A20" s="2" t="s">
        <v>406</v>
      </c>
      <c r="B20" s="2" t="s">
        <v>3326</v>
      </c>
      <c r="C20" s="2" t="s">
        <v>2473</v>
      </c>
      <c r="D20" s="2" t="s">
        <v>1836</v>
      </c>
      <c r="E20" s="2" t="s">
        <v>1838</v>
      </c>
      <c r="F20" s="2">
        <v>384.31599999999997</v>
      </c>
      <c r="G20" s="2">
        <v>40.289400000000001</v>
      </c>
      <c r="H20" s="15">
        <v>-3.2538200000000002</v>
      </c>
      <c r="J20" s="18"/>
    </row>
    <row r="21" spans="1:10" s="2" customFormat="1" ht="15" x14ac:dyDescent="0.2">
      <c r="A21" s="2" t="s">
        <v>280</v>
      </c>
      <c r="B21" s="2" t="s">
        <v>3015</v>
      </c>
      <c r="C21" s="2" t="s">
        <v>1973</v>
      </c>
      <c r="D21" s="2" t="s">
        <v>1836</v>
      </c>
      <c r="E21" s="2" t="s">
        <v>1838</v>
      </c>
      <c r="F21" s="2">
        <v>1.0440799999999999</v>
      </c>
      <c r="G21" s="2">
        <v>0.11433</v>
      </c>
      <c r="H21" s="15">
        <v>-3.19096</v>
      </c>
      <c r="J21" s="18"/>
    </row>
    <row r="22" spans="1:10" s="2" customFormat="1" ht="15" x14ac:dyDescent="0.2">
      <c r="A22" s="2" t="s">
        <v>1136</v>
      </c>
      <c r="B22" s="2" t="s">
        <v>3015</v>
      </c>
      <c r="C22" s="2" t="s">
        <v>2371</v>
      </c>
      <c r="D22" s="2" t="s">
        <v>1836</v>
      </c>
      <c r="E22" s="2" t="s">
        <v>1838</v>
      </c>
      <c r="F22" s="2">
        <v>0.80851499999999998</v>
      </c>
      <c r="G22" s="2">
        <v>9.8710699999999998E-2</v>
      </c>
      <c r="H22" s="15">
        <v>-3.0339999999999998</v>
      </c>
      <c r="J22" s="18"/>
    </row>
    <row r="23" spans="1:10" s="2" customFormat="1" ht="15" x14ac:dyDescent="0.2">
      <c r="A23" s="2" t="s">
        <v>1325</v>
      </c>
      <c r="B23" s="2" t="s">
        <v>3129</v>
      </c>
      <c r="C23" s="2" t="s">
        <v>1847</v>
      </c>
      <c r="D23" s="2" t="s">
        <v>1836</v>
      </c>
      <c r="E23" s="2" t="s">
        <v>1838</v>
      </c>
      <c r="F23" s="2">
        <v>1.19441</v>
      </c>
      <c r="G23" s="2">
        <v>0.147284</v>
      </c>
      <c r="H23" s="15">
        <v>-3.0196200000000002</v>
      </c>
      <c r="J23" s="18"/>
    </row>
    <row r="24" spans="1:10" s="2" customFormat="1" ht="15" x14ac:dyDescent="0.2">
      <c r="A24" s="2" t="s">
        <v>1424</v>
      </c>
      <c r="B24" s="2" t="s">
        <v>3015</v>
      </c>
      <c r="C24" s="2" t="s">
        <v>1847</v>
      </c>
      <c r="D24" s="2" t="s">
        <v>1836</v>
      </c>
      <c r="E24" s="2" t="s">
        <v>1838</v>
      </c>
      <c r="F24" s="2">
        <v>1.1825000000000001</v>
      </c>
      <c r="G24" s="2">
        <v>0.14648700000000001</v>
      </c>
      <c r="H24" s="15">
        <v>-3.0129899999999998</v>
      </c>
      <c r="J24" s="18"/>
    </row>
    <row r="25" spans="1:10" s="2" customFormat="1" ht="15" x14ac:dyDescent="0.2">
      <c r="A25" s="2" t="s">
        <v>579</v>
      </c>
      <c r="B25" s="2" t="s">
        <v>3341</v>
      </c>
      <c r="C25" s="2" t="s">
        <v>2509</v>
      </c>
      <c r="D25" s="2" t="s">
        <v>1836</v>
      </c>
      <c r="E25" s="2" t="s">
        <v>1838</v>
      </c>
      <c r="F25" s="2">
        <v>94.842500000000001</v>
      </c>
      <c r="G25" s="2">
        <v>11.754899999999999</v>
      </c>
      <c r="H25" s="15">
        <v>-3.01227</v>
      </c>
    </row>
    <row r="26" spans="1:10" s="2" customFormat="1" ht="15" x14ac:dyDescent="0.2">
      <c r="A26" s="2" t="s">
        <v>295</v>
      </c>
      <c r="B26" s="2" t="s">
        <v>3108</v>
      </c>
      <c r="C26" s="2" t="s">
        <v>1980</v>
      </c>
      <c r="D26" s="2" t="s">
        <v>1836</v>
      </c>
      <c r="E26" s="2" t="s">
        <v>1838</v>
      </c>
      <c r="F26" s="2">
        <v>1.4880599999999999</v>
      </c>
      <c r="G26" s="2">
        <v>0.20089399999999999</v>
      </c>
      <c r="H26" s="15">
        <v>-2.8889200000000002</v>
      </c>
      <c r="J26" s="18"/>
    </row>
    <row r="27" spans="1:10" s="2" customFormat="1" ht="15" x14ac:dyDescent="0.2">
      <c r="A27" s="2" t="s">
        <v>498</v>
      </c>
      <c r="B27" s="2" t="s">
        <v>3015</v>
      </c>
      <c r="C27" s="2" t="s">
        <v>2078</v>
      </c>
      <c r="D27" s="2" t="s">
        <v>1836</v>
      </c>
      <c r="E27" s="2" t="s">
        <v>1838</v>
      </c>
      <c r="F27" s="2">
        <v>35.1813</v>
      </c>
      <c r="G27" s="2">
        <v>4.7723899999999997</v>
      </c>
      <c r="H27" s="15">
        <v>-2.8820299999999999</v>
      </c>
    </row>
    <row r="28" spans="1:10" s="2" customFormat="1" ht="15" x14ac:dyDescent="0.2">
      <c r="A28" s="2" t="s">
        <v>1384</v>
      </c>
      <c r="B28" s="2" t="s">
        <v>3095</v>
      </c>
      <c r="C28" s="2" t="s">
        <v>2560</v>
      </c>
      <c r="D28" s="2" t="s">
        <v>1836</v>
      </c>
      <c r="E28" s="2" t="s">
        <v>1838</v>
      </c>
      <c r="F28" s="2">
        <v>4.6001000000000003</v>
      </c>
      <c r="G28" s="2">
        <v>0.63108399999999998</v>
      </c>
      <c r="H28" s="15">
        <v>-2.8657599999999999</v>
      </c>
      <c r="J28" s="18"/>
    </row>
    <row r="29" spans="1:10" s="2" customFormat="1" ht="15" x14ac:dyDescent="0.2">
      <c r="A29" s="2" t="s">
        <v>905</v>
      </c>
      <c r="B29" s="2" t="s">
        <v>3058</v>
      </c>
      <c r="C29" s="2" t="s">
        <v>2237</v>
      </c>
      <c r="D29" s="2" t="s">
        <v>1836</v>
      </c>
      <c r="E29" s="2" t="s">
        <v>1838</v>
      </c>
      <c r="F29" s="2">
        <v>3.2955199999999998</v>
      </c>
      <c r="G29" s="2">
        <v>0.46624399999999999</v>
      </c>
      <c r="H29" s="15">
        <v>-2.8213499999999998</v>
      </c>
    </row>
    <row r="30" spans="1:10" s="2" customFormat="1" ht="15" x14ac:dyDescent="0.2">
      <c r="A30" s="2" t="s">
        <v>1458</v>
      </c>
      <c r="B30" s="2" t="s">
        <v>3015</v>
      </c>
      <c r="C30" s="2" t="s">
        <v>2604</v>
      </c>
      <c r="D30" s="2" t="s">
        <v>1836</v>
      </c>
      <c r="E30" s="2" t="s">
        <v>1838</v>
      </c>
      <c r="F30" s="2">
        <v>3.2642799999999998</v>
      </c>
      <c r="G30" s="2">
        <v>0.46982800000000002</v>
      </c>
      <c r="H30" s="15">
        <v>-2.7965599999999999</v>
      </c>
      <c r="J30" s="18"/>
    </row>
    <row r="31" spans="1:10" s="2" customFormat="1" ht="15" x14ac:dyDescent="0.2">
      <c r="A31" s="2" t="s">
        <v>1403</v>
      </c>
      <c r="B31" s="2" t="s">
        <v>3201</v>
      </c>
      <c r="C31" s="2" t="s">
        <v>3015</v>
      </c>
      <c r="D31" s="2" t="s">
        <v>1836</v>
      </c>
      <c r="E31" s="2" t="s">
        <v>1838</v>
      </c>
      <c r="F31" s="2">
        <v>0.79898400000000003</v>
      </c>
      <c r="G31" s="2">
        <v>0.13158400000000001</v>
      </c>
      <c r="H31" s="15">
        <v>-2.6021899999999998</v>
      </c>
      <c r="J31" s="18"/>
    </row>
    <row r="32" spans="1:10" s="2" customFormat="1" ht="15" x14ac:dyDescent="0.2">
      <c r="A32" s="2" t="s">
        <v>613</v>
      </c>
      <c r="B32" s="2" t="s">
        <v>3015</v>
      </c>
      <c r="C32" s="2" t="s">
        <v>2054</v>
      </c>
      <c r="D32" s="2" t="s">
        <v>1836</v>
      </c>
      <c r="E32" s="2" t="s">
        <v>1838</v>
      </c>
      <c r="F32" s="2">
        <v>2.8349899999999999</v>
      </c>
      <c r="G32" s="2">
        <v>0.47303800000000001</v>
      </c>
      <c r="H32" s="15">
        <v>-2.5833200000000001</v>
      </c>
      <c r="J32" s="18"/>
    </row>
    <row r="33" spans="1:10" s="2" customFormat="1" ht="15" x14ac:dyDescent="0.2">
      <c r="A33" s="2" t="s">
        <v>760</v>
      </c>
      <c r="B33" s="2" t="s">
        <v>3015</v>
      </c>
      <c r="C33" s="2" t="s">
        <v>3015</v>
      </c>
      <c r="D33" s="2" t="s">
        <v>1836</v>
      </c>
      <c r="E33" s="2" t="s">
        <v>1838</v>
      </c>
      <c r="F33" s="2">
        <v>3.50373</v>
      </c>
      <c r="G33" s="2">
        <v>0.58664099999999997</v>
      </c>
      <c r="H33" s="15">
        <v>-2.5783399999999999</v>
      </c>
      <c r="J33" s="18"/>
    </row>
    <row r="34" spans="1:10" s="2" customFormat="1" ht="15" x14ac:dyDescent="0.2">
      <c r="A34" s="2" t="s">
        <v>156</v>
      </c>
      <c r="B34" s="2" t="s">
        <v>3030</v>
      </c>
      <c r="C34" s="2" t="s">
        <v>1917</v>
      </c>
      <c r="D34" s="2" t="s">
        <v>1836</v>
      </c>
      <c r="E34" s="2" t="s">
        <v>1838</v>
      </c>
      <c r="F34" s="2">
        <v>29.628499999999999</v>
      </c>
      <c r="G34" s="2">
        <v>5.0898899999999996</v>
      </c>
      <c r="H34" s="15">
        <v>-2.54128</v>
      </c>
      <c r="J34" s="18"/>
    </row>
    <row r="35" spans="1:10" s="2" customFormat="1" ht="15" x14ac:dyDescent="0.2">
      <c r="A35" s="2" t="s">
        <v>1089</v>
      </c>
      <c r="B35" s="2" t="s">
        <v>3015</v>
      </c>
      <c r="C35" s="2" t="s">
        <v>1917</v>
      </c>
      <c r="D35" s="2" t="s">
        <v>1836</v>
      </c>
      <c r="E35" s="2" t="s">
        <v>1838</v>
      </c>
      <c r="F35" s="2">
        <v>6.87052</v>
      </c>
      <c r="G35" s="2">
        <v>1.1855500000000001</v>
      </c>
      <c r="H35" s="15">
        <v>-2.5348700000000002</v>
      </c>
      <c r="J35" s="18"/>
    </row>
    <row r="36" spans="1:10" s="2" customFormat="1" ht="15" x14ac:dyDescent="0.2">
      <c r="A36" s="2" t="s">
        <v>809</v>
      </c>
      <c r="B36" s="2" t="s">
        <v>3365</v>
      </c>
      <c r="C36" s="2" t="s">
        <v>2573</v>
      </c>
      <c r="D36" s="2" t="s">
        <v>1836</v>
      </c>
      <c r="E36" s="2" t="s">
        <v>1838</v>
      </c>
      <c r="F36" s="2">
        <v>0.90907499999999997</v>
      </c>
      <c r="G36" s="2">
        <v>0.15714800000000001</v>
      </c>
      <c r="H36" s="15">
        <v>-2.5322800000000001</v>
      </c>
      <c r="J36" s="18"/>
    </row>
    <row r="37" spans="1:10" s="2" customFormat="1" ht="15" x14ac:dyDescent="0.2">
      <c r="A37" s="2" t="s">
        <v>1344</v>
      </c>
      <c r="B37" s="2" t="s">
        <v>3351</v>
      </c>
      <c r="C37" s="2" t="s">
        <v>2538</v>
      </c>
      <c r="D37" s="2" t="s">
        <v>1836</v>
      </c>
      <c r="E37" s="2" t="s">
        <v>1838</v>
      </c>
      <c r="F37" s="2">
        <v>1.1620699999999999</v>
      </c>
      <c r="G37" s="2">
        <v>0.20282900000000001</v>
      </c>
      <c r="H37" s="15">
        <v>-2.5183599999999999</v>
      </c>
    </row>
    <row r="38" spans="1:10" s="2" customFormat="1" ht="15" x14ac:dyDescent="0.2">
      <c r="A38" s="2" t="s">
        <v>625</v>
      </c>
      <c r="B38" s="2" t="s">
        <v>3015</v>
      </c>
      <c r="C38" s="2" t="s">
        <v>2134</v>
      </c>
      <c r="D38" s="2" t="s">
        <v>1836</v>
      </c>
      <c r="E38" s="2" t="s">
        <v>1838</v>
      </c>
      <c r="F38" s="2">
        <v>2.1829100000000001</v>
      </c>
      <c r="G38" s="2">
        <v>0.38224900000000001</v>
      </c>
      <c r="H38" s="15">
        <v>-2.5136699999999998</v>
      </c>
      <c r="J38" s="18"/>
    </row>
    <row r="39" spans="1:10" s="2" customFormat="1" ht="15" x14ac:dyDescent="0.2">
      <c r="A39" s="2" t="s">
        <v>68</v>
      </c>
      <c r="B39" s="2" t="s">
        <v>3015</v>
      </c>
      <c r="C39" s="2" t="s">
        <v>2383</v>
      </c>
      <c r="D39" s="2" t="s">
        <v>1836</v>
      </c>
      <c r="E39" s="2" t="s">
        <v>1838</v>
      </c>
      <c r="F39" s="2">
        <v>197.17</v>
      </c>
      <c r="G39" s="2">
        <v>35.01</v>
      </c>
      <c r="H39" s="15">
        <v>-2.4935999999999998</v>
      </c>
    </row>
    <row r="40" spans="1:10" s="2" customFormat="1" ht="15" x14ac:dyDescent="0.2">
      <c r="A40" s="2" t="s">
        <v>423</v>
      </c>
      <c r="B40" s="2" t="s">
        <v>3035</v>
      </c>
      <c r="C40" s="2" t="s">
        <v>2040</v>
      </c>
      <c r="D40" s="2" t="s">
        <v>1836</v>
      </c>
      <c r="E40" s="2" t="s">
        <v>1838</v>
      </c>
      <c r="F40" s="2">
        <v>2.6913900000000002</v>
      </c>
      <c r="G40" s="2">
        <v>0.48146499999999998</v>
      </c>
      <c r="H40" s="15">
        <v>-2.48285</v>
      </c>
      <c r="J40" s="18"/>
    </row>
    <row r="41" spans="1:10" s="2" customFormat="1" ht="15" x14ac:dyDescent="0.2">
      <c r="A41" s="2" t="s">
        <v>1322</v>
      </c>
      <c r="B41" s="2" t="s">
        <v>3015</v>
      </c>
      <c r="C41" s="2" t="s">
        <v>2521</v>
      </c>
      <c r="D41" s="2" t="s">
        <v>1836</v>
      </c>
      <c r="E41" s="2" t="s">
        <v>1838</v>
      </c>
      <c r="F41" s="2">
        <v>0.77681800000000001</v>
      </c>
      <c r="G41" s="2">
        <v>0.138992</v>
      </c>
      <c r="H41" s="15">
        <v>-2.48258</v>
      </c>
      <c r="J41" s="18"/>
    </row>
    <row r="42" spans="1:10" s="2" customFormat="1" ht="15" x14ac:dyDescent="0.2">
      <c r="A42" s="2" t="s">
        <v>641</v>
      </c>
      <c r="B42" s="2" t="s">
        <v>3015</v>
      </c>
      <c r="C42" s="2" t="s">
        <v>3015</v>
      </c>
      <c r="D42" s="2" t="s">
        <v>1836</v>
      </c>
      <c r="E42" s="2" t="s">
        <v>1838</v>
      </c>
      <c r="F42" s="2">
        <v>7.6719099999999996</v>
      </c>
      <c r="G42" s="2">
        <v>1.4042399999999999</v>
      </c>
      <c r="H42" s="15">
        <v>-2.4498000000000002</v>
      </c>
    </row>
    <row r="43" spans="1:10" s="2" customFormat="1" ht="15" x14ac:dyDescent="0.2">
      <c r="A43" s="2" t="s">
        <v>687</v>
      </c>
      <c r="B43" s="2" t="s">
        <v>3015</v>
      </c>
      <c r="C43" s="2" t="s">
        <v>1847</v>
      </c>
      <c r="D43" s="2" t="s">
        <v>1836</v>
      </c>
      <c r="E43" s="2" t="s">
        <v>1838</v>
      </c>
      <c r="F43" s="2">
        <v>3.3123100000000001</v>
      </c>
      <c r="G43" s="2">
        <v>0.61398799999999998</v>
      </c>
      <c r="H43" s="15">
        <v>-2.4315600000000002</v>
      </c>
      <c r="J43" s="18"/>
    </row>
    <row r="44" spans="1:10" s="2" customFormat="1" ht="15" x14ac:dyDescent="0.2">
      <c r="A44" s="2" t="s">
        <v>802</v>
      </c>
      <c r="B44" s="2" t="s">
        <v>3015</v>
      </c>
      <c r="C44" s="2" t="s">
        <v>3015</v>
      </c>
      <c r="D44" s="2" t="s">
        <v>1836</v>
      </c>
      <c r="E44" s="2" t="s">
        <v>1838</v>
      </c>
      <c r="F44" s="2">
        <v>120.504</v>
      </c>
      <c r="G44" s="2">
        <v>22.567299999999999</v>
      </c>
      <c r="H44" s="15">
        <v>-2.4167700000000001</v>
      </c>
      <c r="J44" s="18"/>
    </row>
    <row r="45" spans="1:10" s="2" customFormat="1" ht="15" x14ac:dyDescent="0.2">
      <c r="A45" s="2" t="s">
        <v>69</v>
      </c>
      <c r="B45" s="2" t="s">
        <v>3047</v>
      </c>
      <c r="C45" s="2" t="s">
        <v>1879</v>
      </c>
      <c r="D45" s="2" t="s">
        <v>1836</v>
      </c>
      <c r="E45" s="2" t="s">
        <v>1838</v>
      </c>
      <c r="F45" s="2">
        <v>4.0621799999999997</v>
      </c>
      <c r="G45" s="2">
        <v>0.765428</v>
      </c>
      <c r="H45" s="15">
        <v>-2.4079100000000002</v>
      </c>
      <c r="J45" s="18"/>
    </row>
    <row r="46" spans="1:10" s="2" customFormat="1" ht="15" x14ac:dyDescent="0.2">
      <c r="A46" s="2" t="s">
        <v>619</v>
      </c>
      <c r="B46" s="2" t="s">
        <v>3015</v>
      </c>
      <c r="C46" s="2" t="s">
        <v>2132</v>
      </c>
      <c r="D46" s="2" t="s">
        <v>1836</v>
      </c>
      <c r="E46" s="2" t="s">
        <v>1838</v>
      </c>
      <c r="F46" s="2">
        <v>3.9423400000000002</v>
      </c>
      <c r="G46" s="2">
        <v>0.74741000000000002</v>
      </c>
      <c r="H46" s="15">
        <v>-2.3990800000000001</v>
      </c>
      <c r="J46" s="18"/>
    </row>
    <row r="47" spans="1:10" s="2" customFormat="1" ht="15" x14ac:dyDescent="0.2">
      <c r="A47" s="2" t="s">
        <v>379</v>
      </c>
      <c r="B47" s="2" t="s">
        <v>3129</v>
      </c>
      <c r="C47" s="2" t="s">
        <v>2019</v>
      </c>
      <c r="D47" s="2" t="s">
        <v>1836</v>
      </c>
      <c r="E47" s="2" t="s">
        <v>1838</v>
      </c>
      <c r="F47" s="2">
        <v>2.3631000000000002</v>
      </c>
      <c r="G47" s="2">
        <v>0.449129</v>
      </c>
      <c r="H47" s="15">
        <v>-2.3954800000000001</v>
      </c>
      <c r="J47" s="18"/>
    </row>
    <row r="48" spans="1:10" s="2" customFormat="1" ht="15" x14ac:dyDescent="0.2">
      <c r="A48" s="2" t="s">
        <v>1428</v>
      </c>
      <c r="B48" s="2" t="s">
        <v>3024</v>
      </c>
      <c r="C48" s="2" t="s">
        <v>2053</v>
      </c>
      <c r="D48" s="2" t="s">
        <v>1836</v>
      </c>
      <c r="E48" s="2" t="s">
        <v>1838</v>
      </c>
      <c r="F48" s="2">
        <v>1.36663</v>
      </c>
      <c r="G48" s="2">
        <v>0.26003999999999999</v>
      </c>
      <c r="H48" s="15">
        <v>-2.3938199999999998</v>
      </c>
      <c r="J48" s="18"/>
    </row>
    <row r="49" spans="1:10" s="2" customFormat="1" ht="15" x14ac:dyDescent="0.2">
      <c r="A49" s="2" t="s">
        <v>1131</v>
      </c>
      <c r="B49" s="2" t="s">
        <v>3015</v>
      </c>
      <c r="C49" s="2" t="s">
        <v>2054</v>
      </c>
      <c r="D49" s="2" t="s">
        <v>1836</v>
      </c>
      <c r="E49" s="2" t="s">
        <v>1838</v>
      </c>
      <c r="F49" s="2">
        <v>1.3627100000000001</v>
      </c>
      <c r="G49" s="2">
        <v>0.26019799999999998</v>
      </c>
      <c r="H49" s="15">
        <v>-2.3887999999999998</v>
      </c>
      <c r="J49" s="18"/>
    </row>
    <row r="50" spans="1:10" s="2" customFormat="1" ht="15" x14ac:dyDescent="0.2">
      <c r="A50" s="2" t="s">
        <v>656</v>
      </c>
      <c r="B50" s="2" t="s">
        <v>3015</v>
      </c>
      <c r="C50" s="2" t="s">
        <v>3015</v>
      </c>
      <c r="D50" s="2" t="s">
        <v>1836</v>
      </c>
      <c r="E50" s="2" t="s">
        <v>1838</v>
      </c>
      <c r="F50" s="2">
        <v>10.4472</v>
      </c>
      <c r="G50" s="2">
        <v>1.9987699999999999</v>
      </c>
      <c r="H50" s="15">
        <v>-2.3859300000000001</v>
      </c>
    </row>
    <row r="51" spans="1:10" s="2" customFormat="1" ht="15" x14ac:dyDescent="0.2">
      <c r="A51" s="2" t="s">
        <v>1292</v>
      </c>
      <c r="B51" s="2" t="s">
        <v>3087</v>
      </c>
      <c r="C51" s="2" t="s">
        <v>2500</v>
      </c>
      <c r="D51" s="2" t="s">
        <v>1836</v>
      </c>
      <c r="E51" s="2" t="s">
        <v>1838</v>
      </c>
      <c r="F51" s="2">
        <v>0.82005799999999995</v>
      </c>
      <c r="G51" s="2">
        <v>0.15739300000000001</v>
      </c>
      <c r="H51" s="15">
        <v>-2.3813599999999999</v>
      </c>
      <c r="J51" s="18"/>
    </row>
    <row r="52" spans="1:10" s="2" customFormat="1" ht="15" x14ac:dyDescent="0.2">
      <c r="A52" s="2" t="s">
        <v>250</v>
      </c>
      <c r="B52" s="2" t="s">
        <v>3098</v>
      </c>
      <c r="C52" s="2" t="s">
        <v>1962</v>
      </c>
      <c r="D52" s="2" t="s">
        <v>1836</v>
      </c>
      <c r="E52" s="2" t="s">
        <v>1838</v>
      </c>
      <c r="F52" s="2">
        <v>1.2837000000000001</v>
      </c>
      <c r="G52" s="2">
        <v>0.247082</v>
      </c>
      <c r="H52" s="15">
        <v>-2.3772500000000001</v>
      </c>
    </row>
    <row r="53" spans="1:10" s="2" customFormat="1" ht="15" x14ac:dyDescent="0.2">
      <c r="A53" s="2" t="s">
        <v>405</v>
      </c>
      <c r="B53" s="2" t="s">
        <v>3063</v>
      </c>
      <c r="C53" s="2" t="s">
        <v>2030</v>
      </c>
      <c r="D53" s="2" t="s">
        <v>1836</v>
      </c>
      <c r="E53" s="2" t="s">
        <v>1838</v>
      </c>
      <c r="F53" s="2">
        <v>5.6101799999999997</v>
      </c>
      <c r="G53" s="2">
        <v>1.07995</v>
      </c>
      <c r="H53" s="15">
        <v>-2.3770799999999999</v>
      </c>
      <c r="J53" s="18"/>
    </row>
    <row r="54" spans="1:10" s="2" customFormat="1" ht="15" x14ac:dyDescent="0.2">
      <c r="A54" s="2" t="s">
        <v>413</v>
      </c>
      <c r="B54" s="2" t="s">
        <v>3050</v>
      </c>
      <c r="C54" s="2" t="s">
        <v>2033</v>
      </c>
      <c r="D54" s="2" t="s">
        <v>1836</v>
      </c>
      <c r="E54" s="2" t="s">
        <v>1838</v>
      </c>
      <c r="F54" s="2">
        <v>6.9451999999999998</v>
      </c>
      <c r="G54" s="2">
        <v>1.3449599999999999</v>
      </c>
      <c r="H54" s="15">
        <v>-2.3684500000000002</v>
      </c>
    </row>
    <row r="55" spans="1:10" s="2" customFormat="1" ht="15" x14ac:dyDescent="0.2">
      <c r="A55" s="2" t="s">
        <v>1083</v>
      </c>
      <c r="B55" s="2" t="s">
        <v>3080</v>
      </c>
      <c r="C55" s="2" t="s">
        <v>2350</v>
      </c>
      <c r="D55" s="2" t="s">
        <v>1836</v>
      </c>
      <c r="E55" s="2" t="s">
        <v>1838</v>
      </c>
      <c r="F55" s="2">
        <v>8.1259999999999994</v>
      </c>
      <c r="G55" s="2">
        <v>1.6121099999999999</v>
      </c>
      <c r="H55" s="15">
        <v>-2.3336000000000001</v>
      </c>
    </row>
    <row r="56" spans="1:10" s="2" customFormat="1" ht="15" x14ac:dyDescent="0.2">
      <c r="A56" s="2" t="s">
        <v>34</v>
      </c>
      <c r="B56" s="2" t="s">
        <v>3281</v>
      </c>
      <c r="C56" s="2" t="s">
        <v>2367</v>
      </c>
      <c r="D56" s="2" t="s">
        <v>1836</v>
      </c>
      <c r="E56" s="2" t="s">
        <v>1838</v>
      </c>
      <c r="F56" s="2">
        <v>9.2355999999999998</v>
      </c>
      <c r="G56" s="2">
        <v>1.83338</v>
      </c>
      <c r="H56" s="15">
        <v>-2.3327</v>
      </c>
      <c r="J56" s="18"/>
    </row>
    <row r="57" spans="1:10" s="2" customFormat="1" ht="15" x14ac:dyDescent="0.2">
      <c r="A57" s="2" t="s">
        <v>937</v>
      </c>
      <c r="B57" s="2" t="s">
        <v>3137</v>
      </c>
      <c r="C57" s="2" t="s">
        <v>2280</v>
      </c>
      <c r="D57" s="2" t="s">
        <v>1836</v>
      </c>
      <c r="E57" s="2" t="s">
        <v>1838</v>
      </c>
      <c r="F57" s="2">
        <v>52.618499999999997</v>
      </c>
      <c r="G57" s="2">
        <v>10.454000000000001</v>
      </c>
      <c r="H57" s="15">
        <v>-2.3315100000000002</v>
      </c>
      <c r="J57" s="18"/>
    </row>
    <row r="58" spans="1:10" s="2" customFormat="1" ht="15" x14ac:dyDescent="0.2">
      <c r="A58" s="2" t="s">
        <v>98</v>
      </c>
      <c r="B58" s="2" t="s">
        <v>3045</v>
      </c>
      <c r="C58" s="2" t="s">
        <v>1875</v>
      </c>
      <c r="D58" s="2" t="s">
        <v>1836</v>
      </c>
      <c r="E58" s="2" t="s">
        <v>1838</v>
      </c>
      <c r="F58" s="2">
        <v>0.88974699999999995</v>
      </c>
      <c r="G58" s="2">
        <v>0.17877000000000001</v>
      </c>
      <c r="H58" s="15">
        <v>-2.3152900000000001</v>
      </c>
      <c r="J58" s="18"/>
    </row>
    <row r="59" spans="1:10" s="2" customFormat="1" ht="15" x14ac:dyDescent="0.2">
      <c r="A59" s="2" t="s">
        <v>157</v>
      </c>
      <c r="B59" s="2" t="s">
        <v>3064</v>
      </c>
      <c r="C59" s="2" t="s">
        <v>1918</v>
      </c>
      <c r="D59" s="2" t="s">
        <v>1836</v>
      </c>
      <c r="E59" s="2" t="s">
        <v>1838</v>
      </c>
      <c r="F59" s="2">
        <v>0.81844799999999995</v>
      </c>
      <c r="G59" s="2">
        <v>0.16528300000000001</v>
      </c>
      <c r="H59" s="15">
        <v>-2.3079499999999999</v>
      </c>
      <c r="J59" s="18"/>
    </row>
    <row r="60" spans="1:10" s="2" customFormat="1" ht="15" x14ac:dyDescent="0.2">
      <c r="A60" s="2" t="s">
        <v>1277</v>
      </c>
      <c r="B60" s="2" t="s">
        <v>3090</v>
      </c>
      <c r="C60" s="2" t="s">
        <v>2483</v>
      </c>
      <c r="D60" s="2" t="s">
        <v>1836</v>
      </c>
      <c r="E60" s="2" t="s">
        <v>1838</v>
      </c>
      <c r="F60" s="2">
        <v>4.5946400000000001</v>
      </c>
      <c r="G60" s="2">
        <v>0.94325400000000004</v>
      </c>
      <c r="H60" s="15">
        <v>-2.28423</v>
      </c>
      <c r="J60" s="18"/>
    </row>
    <row r="61" spans="1:10" s="2" customFormat="1" ht="15" x14ac:dyDescent="0.2">
      <c r="A61" s="2" t="s">
        <v>1293</v>
      </c>
      <c r="B61" s="2" t="s">
        <v>3087</v>
      </c>
      <c r="C61" s="2" t="s">
        <v>2501</v>
      </c>
      <c r="D61" s="2" t="s">
        <v>1836</v>
      </c>
      <c r="E61" s="2" t="s">
        <v>1838</v>
      </c>
      <c r="F61" s="2">
        <v>1.03203</v>
      </c>
      <c r="G61" s="2">
        <v>0.212202</v>
      </c>
      <c r="H61" s="15">
        <v>-2.2819799999999999</v>
      </c>
      <c r="J61" s="18"/>
    </row>
    <row r="62" spans="1:10" s="2" customFormat="1" ht="15" x14ac:dyDescent="0.2">
      <c r="A62" s="2" t="s">
        <v>744</v>
      </c>
      <c r="B62" s="2" t="s">
        <v>3202</v>
      </c>
      <c r="C62" s="2" t="s">
        <v>1937</v>
      </c>
      <c r="D62" s="2" t="s">
        <v>1836</v>
      </c>
      <c r="E62" s="2" t="s">
        <v>1838</v>
      </c>
      <c r="F62" s="2">
        <v>2.5004200000000001</v>
      </c>
      <c r="G62" s="2">
        <v>0.51549100000000003</v>
      </c>
      <c r="H62" s="15">
        <v>-2.2781500000000001</v>
      </c>
    </row>
    <row r="63" spans="1:10" s="2" customFormat="1" ht="15" x14ac:dyDescent="0.2">
      <c r="A63" s="2" t="s">
        <v>1148</v>
      </c>
      <c r="B63" s="2" t="s">
        <v>3015</v>
      </c>
      <c r="C63" s="2" t="s">
        <v>2380</v>
      </c>
      <c r="D63" s="2" t="s">
        <v>1836</v>
      </c>
      <c r="E63" s="2" t="s">
        <v>1838</v>
      </c>
      <c r="F63" s="2">
        <v>0.92591199999999996</v>
      </c>
      <c r="G63" s="2">
        <v>0.191135</v>
      </c>
      <c r="H63" s="15">
        <v>-2.2762799999999999</v>
      </c>
    </row>
    <row r="64" spans="1:10" s="2" customFormat="1" ht="15" x14ac:dyDescent="0.2">
      <c r="A64" s="2" t="s">
        <v>865</v>
      </c>
      <c r="B64" s="2" t="s">
        <v>3064</v>
      </c>
      <c r="C64" s="2" t="s">
        <v>2583</v>
      </c>
      <c r="D64" s="2" t="s">
        <v>1836</v>
      </c>
      <c r="E64" s="2" t="s">
        <v>1838</v>
      </c>
      <c r="F64" s="2">
        <v>10.179399999999999</v>
      </c>
      <c r="G64" s="2">
        <v>2.1063499999999999</v>
      </c>
      <c r="H64" s="15">
        <v>-2.27284</v>
      </c>
    </row>
    <row r="65" spans="1:10" s="2" customFormat="1" ht="15" x14ac:dyDescent="0.2">
      <c r="A65" s="2" t="s">
        <v>1036</v>
      </c>
      <c r="B65" s="2" t="s">
        <v>3015</v>
      </c>
      <c r="C65" s="2" t="s">
        <v>2330</v>
      </c>
      <c r="D65" s="2" t="s">
        <v>1836</v>
      </c>
      <c r="E65" s="2" t="s">
        <v>1838</v>
      </c>
      <c r="F65" s="2">
        <v>1.91411</v>
      </c>
      <c r="G65" s="2">
        <v>0.396144</v>
      </c>
      <c r="H65" s="15">
        <v>-2.27258</v>
      </c>
    </row>
    <row r="66" spans="1:10" s="2" customFormat="1" ht="15" x14ac:dyDescent="0.2">
      <c r="A66" s="2" t="s">
        <v>127</v>
      </c>
      <c r="B66" s="2" t="s">
        <v>3015</v>
      </c>
      <c r="C66" s="2" t="s">
        <v>1902</v>
      </c>
      <c r="D66" s="2" t="s">
        <v>1836</v>
      </c>
      <c r="E66" s="2" t="s">
        <v>1838</v>
      </c>
      <c r="F66" s="2">
        <v>13.694800000000001</v>
      </c>
      <c r="G66" s="2">
        <v>2.9384999999999999</v>
      </c>
      <c r="H66" s="15">
        <v>-2.2204799999999998</v>
      </c>
    </row>
    <row r="67" spans="1:10" s="2" customFormat="1" ht="15" x14ac:dyDescent="0.2">
      <c r="A67" s="2" t="s">
        <v>1324</v>
      </c>
      <c r="B67" s="2" t="s">
        <v>3015</v>
      </c>
      <c r="C67" s="2" t="s">
        <v>2522</v>
      </c>
      <c r="D67" s="2" t="s">
        <v>1836</v>
      </c>
      <c r="E67" s="2" t="s">
        <v>1838</v>
      </c>
      <c r="F67" s="2">
        <v>0.80704299999999995</v>
      </c>
      <c r="G67" s="2">
        <v>0.17449700000000001</v>
      </c>
      <c r="H67" s="15">
        <v>-2.2094499999999999</v>
      </c>
      <c r="J67" s="18"/>
    </row>
    <row r="68" spans="1:10" s="2" customFormat="1" ht="15" x14ac:dyDescent="0.2">
      <c r="A68" s="2" t="s">
        <v>276</v>
      </c>
      <c r="B68" s="2" t="s">
        <v>3081</v>
      </c>
      <c r="C68" s="2" t="s">
        <v>1847</v>
      </c>
      <c r="D68" s="2" t="s">
        <v>1836</v>
      </c>
      <c r="E68" s="2" t="s">
        <v>1838</v>
      </c>
      <c r="F68" s="2">
        <v>3.7075300000000002</v>
      </c>
      <c r="G68" s="2">
        <v>0.80881400000000003</v>
      </c>
      <c r="H68" s="15">
        <v>-2.19658</v>
      </c>
      <c r="J68" s="18"/>
    </row>
    <row r="69" spans="1:10" s="2" customFormat="1" ht="15" x14ac:dyDescent="0.2">
      <c r="A69" s="2" t="s">
        <v>1294</v>
      </c>
      <c r="B69" s="2" t="s">
        <v>3087</v>
      </c>
      <c r="C69" s="2" t="s">
        <v>2500</v>
      </c>
      <c r="D69" s="2" t="s">
        <v>1836</v>
      </c>
      <c r="E69" s="2" t="s">
        <v>1838</v>
      </c>
      <c r="F69" s="2">
        <v>1.50597</v>
      </c>
      <c r="G69" s="2">
        <v>0.32916200000000001</v>
      </c>
      <c r="H69" s="15">
        <v>-2.1938300000000002</v>
      </c>
      <c r="J69" s="18"/>
    </row>
    <row r="70" spans="1:10" s="2" customFormat="1" ht="15" x14ac:dyDescent="0.2">
      <c r="A70" s="2" t="s">
        <v>988</v>
      </c>
      <c r="B70" s="2" t="s">
        <v>3047</v>
      </c>
      <c r="C70" s="2" t="s">
        <v>2277</v>
      </c>
      <c r="D70" s="2" t="s">
        <v>1836</v>
      </c>
      <c r="E70" s="2" t="s">
        <v>1838</v>
      </c>
      <c r="F70" s="2">
        <v>9.5418099999999999</v>
      </c>
      <c r="G70" s="2">
        <v>2.0982599999999998</v>
      </c>
      <c r="H70" s="15">
        <v>-2.1850700000000001</v>
      </c>
      <c r="J70" s="18"/>
    </row>
    <row r="71" spans="1:10" s="2" customFormat="1" ht="15" x14ac:dyDescent="0.2">
      <c r="A71" s="2" t="s">
        <v>1040</v>
      </c>
      <c r="B71" s="2" t="s">
        <v>3379</v>
      </c>
      <c r="C71" s="2" t="s">
        <v>2600</v>
      </c>
      <c r="D71" s="2" t="s">
        <v>1836</v>
      </c>
      <c r="E71" s="2" t="s">
        <v>1838</v>
      </c>
      <c r="F71" s="2">
        <v>13.463800000000001</v>
      </c>
      <c r="G71" s="2">
        <v>2.9878200000000001</v>
      </c>
      <c r="H71" s="15">
        <v>-2.1719200000000001</v>
      </c>
    </row>
    <row r="72" spans="1:10" s="2" customFormat="1" ht="15" x14ac:dyDescent="0.2">
      <c r="A72" s="2" t="s">
        <v>834</v>
      </c>
      <c r="B72" s="2" t="s">
        <v>3034</v>
      </c>
      <c r="C72" s="2" t="s">
        <v>2224</v>
      </c>
      <c r="D72" s="2" t="s">
        <v>1836</v>
      </c>
      <c r="E72" s="2" t="s">
        <v>1838</v>
      </c>
      <c r="F72" s="2">
        <v>1.16185</v>
      </c>
      <c r="G72" s="2">
        <v>0.25799699999999998</v>
      </c>
      <c r="H72" s="15">
        <v>-2.1709999999999998</v>
      </c>
    </row>
    <row r="73" spans="1:10" s="2" customFormat="1" ht="15" x14ac:dyDescent="0.2">
      <c r="A73" s="2" t="s">
        <v>597</v>
      </c>
      <c r="B73" s="2" t="s">
        <v>3172</v>
      </c>
      <c r="C73" s="2" t="s">
        <v>3015</v>
      </c>
      <c r="D73" s="2" t="s">
        <v>1836</v>
      </c>
      <c r="E73" s="2" t="s">
        <v>1838</v>
      </c>
      <c r="F73" s="2">
        <v>8.3787299999999991</v>
      </c>
      <c r="G73" s="2">
        <v>1.8648100000000001</v>
      </c>
      <c r="H73" s="15">
        <v>-2.1677</v>
      </c>
      <c r="J73" s="18"/>
    </row>
    <row r="74" spans="1:10" s="2" customFormat="1" ht="15" x14ac:dyDescent="0.2">
      <c r="A74" s="2" t="s">
        <v>707</v>
      </c>
      <c r="B74" s="2" t="s">
        <v>3015</v>
      </c>
      <c r="C74" s="2" t="s">
        <v>2171</v>
      </c>
      <c r="D74" s="2" t="s">
        <v>1836</v>
      </c>
      <c r="E74" s="2" t="s">
        <v>1838</v>
      </c>
      <c r="F74" s="2">
        <v>22.814599999999999</v>
      </c>
      <c r="G74" s="2">
        <v>5.0983799999999997</v>
      </c>
      <c r="H74" s="15">
        <v>-2.1618499999999998</v>
      </c>
      <c r="J74" s="18"/>
    </row>
    <row r="75" spans="1:10" s="2" customFormat="1" ht="15" x14ac:dyDescent="0.2">
      <c r="A75" s="2" t="s">
        <v>1466</v>
      </c>
      <c r="B75" s="2" t="s">
        <v>3313</v>
      </c>
      <c r="C75" s="2" t="s">
        <v>2479</v>
      </c>
      <c r="D75" s="2" t="s">
        <v>1836</v>
      </c>
      <c r="E75" s="2" t="s">
        <v>1838</v>
      </c>
      <c r="F75" s="2">
        <v>146.245</v>
      </c>
      <c r="G75" s="2">
        <v>32.774700000000003</v>
      </c>
      <c r="H75" s="15">
        <v>-2.1577299999999999</v>
      </c>
      <c r="J75" s="18"/>
    </row>
    <row r="76" spans="1:10" s="2" customFormat="1" ht="15" x14ac:dyDescent="0.2">
      <c r="A76" s="2" t="s">
        <v>1253</v>
      </c>
      <c r="B76" s="2" t="s">
        <v>3321</v>
      </c>
      <c r="C76" s="2" t="s">
        <v>2461</v>
      </c>
      <c r="D76" s="2" t="s">
        <v>1836</v>
      </c>
      <c r="E76" s="2" t="s">
        <v>1838</v>
      </c>
      <c r="F76" s="2">
        <v>11.401300000000001</v>
      </c>
      <c r="G76" s="2">
        <v>2.5701100000000001</v>
      </c>
      <c r="H76" s="15">
        <v>-2.1493000000000002</v>
      </c>
      <c r="J76" s="18"/>
    </row>
    <row r="77" spans="1:10" s="2" customFormat="1" ht="15" x14ac:dyDescent="0.2">
      <c r="A77" s="2" t="s">
        <v>1372</v>
      </c>
      <c r="B77" s="2" t="s">
        <v>3354</v>
      </c>
      <c r="C77" s="2" t="s">
        <v>2552</v>
      </c>
      <c r="D77" s="2" t="s">
        <v>1836</v>
      </c>
      <c r="E77" s="2" t="s">
        <v>1838</v>
      </c>
      <c r="F77" s="2">
        <v>4.0178599999999998</v>
      </c>
      <c r="G77" s="2">
        <v>0.90687600000000002</v>
      </c>
      <c r="H77" s="15">
        <v>-2.1474500000000001</v>
      </c>
    </row>
    <row r="78" spans="1:10" s="2" customFormat="1" ht="15" x14ac:dyDescent="0.2">
      <c r="A78" s="2" t="s">
        <v>518</v>
      </c>
      <c r="B78" s="2" t="s">
        <v>3015</v>
      </c>
      <c r="C78" s="2" t="s">
        <v>2087</v>
      </c>
      <c r="D78" s="2" t="s">
        <v>1836</v>
      </c>
      <c r="E78" s="2" t="s">
        <v>1838</v>
      </c>
      <c r="F78" s="2">
        <v>6.4826899999999998</v>
      </c>
      <c r="G78" s="2">
        <v>1.4646699999999999</v>
      </c>
      <c r="H78" s="15">
        <v>-2.14601</v>
      </c>
    </row>
    <row r="79" spans="1:10" s="2" customFormat="1" ht="15" x14ac:dyDescent="0.2">
      <c r="A79" s="2" t="s">
        <v>750</v>
      </c>
      <c r="B79" s="2" t="s">
        <v>3047</v>
      </c>
      <c r="C79" s="2" t="s">
        <v>3015</v>
      </c>
      <c r="D79" s="2" t="s">
        <v>1836</v>
      </c>
      <c r="E79" s="2" t="s">
        <v>1838</v>
      </c>
      <c r="F79" s="2">
        <v>5.2603799999999996</v>
      </c>
      <c r="G79" s="2">
        <v>1.19153</v>
      </c>
      <c r="H79" s="15">
        <v>-2.14235</v>
      </c>
      <c r="J79" s="18"/>
    </row>
    <row r="80" spans="1:10" s="2" customFormat="1" ht="15" x14ac:dyDescent="0.2">
      <c r="A80" s="2" t="s">
        <v>849</v>
      </c>
      <c r="B80" s="2" t="s">
        <v>3222</v>
      </c>
      <c r="C80" s="2" t="s">
        <v>2235</v>
      </c>
      <c r="D80" s="2" t="s">
        <v>1836</v>
      </c>
      <c r="E80" s="2" t="s">
        <v>1838</v>
      </c>
      <c r="F80" s="2">
        <v>9.0080600000000004</v>
      </c>
      <c r="G80" s="2">
        <v>2.07213</v>
      </c>
      <c r="H80" s="15">
        <v>-2.1200999999999999</v>
      </c>
      <c r="J80" s="18"/>
    </row>
    <row r="81" spans="1:10" s="2" customFormat="1" ht="15" x14ac:dyDescent="0.2">
      <c r="A81" s="2" t="s">
        <v>1431</v>
      </c>
      <c r="B81" s="2" t="s">
        <v>3053</v>
      </c>
      <c r="C81" s="2" t="s">
        <v>2495</v>
      </c>
      <c r="D81" s="2" t="s">
        <v>1836</v>
      </c>
      <c r="E81" s="2" t="s">
        <v>1838</v>
      </c>
      <c r="F81" s="2">
        <v>1.1852799999999999</v>
      </c>
      <c r="G81" s="2">
        <v>0.275754</v>
      </c>
      <c r="H81" s="15">
        <v>-2.1037699999999999</v>
      </c>
    </row>
    <row r="82" spans="1:10" s="2" customFormat="1" ht="15" x14ac:dyDescent="0.2">
      <c r="A82" s="2" t="s">
        <v>1150</v>
      </c>
      <c r="B82" s="2" t="s">
        <v>3286</v>
      </c>
      <c r="C82" s="2" t="s">
        <v>2382</v>
      </c>
      <c r="D82" s="2" t="s">
        <v>1836</v>
      </c>
      <c r="E82" s="2" t="s">
        <v>1838</v>
      </c>
      <c r="F82" s="2">
        <v>0.81876700000000002</v>
      </c>
      <c r="G82" s="2">
        <v>0.191665</v>
      </c>
      <c r="H82" s="15">
        <v>-2.0948699999999998</v>
      </c>
    </row>
    <row r="83" spans="1:10" s="2" customFormat="1" ht="15" x14ac:dyDescent="0.2">
      <c r="A83" s="2" t="s">
        <v>365</v>
      </c>
      <c r="B83" s="2" t="s">
        <v>3126</v>
      </c>
      <c r="C83" s="2" t="s">
        <v>2011</v>
      </c>
      <c r="D83" s="2" t="s">
        <v>1836</v>
      </c>
      <c r="E83" s="2" t="s">
        <v>1838</v>
      </c>
      <c r="F83" s="2">
        <v>42.749299999999998</v>
      </c>
      <c r="G83" s="2">
        <v>10.098000000000001</v>
      </c>
      <c r="H83" s="15">
        <v>-2.0818400000000001</v>
      </c>
    </row>
    <row r="84" spans="1:10" s="2" customFormat="1" ht="15" x14ac:dyDescent="0.2">
      <c r="A84" s="2" t="s">
        <v>681</v>
      </c>
      <c r="B84" s="2" t="s">
        <v>3015</v>
      </c>
      <c r="C84" s="2" t="s">
        <v>3015</v>
      </c>
      <c r="D84" s="2" t="s">
        <v>1836</v>
      </c>
      <c r="E84" s="2" t="s">
        <v>1838</v>
      </c>
      <c r="F84" s="2">
        <v>1.41387</v>
      </c>
      <c r="G84" s="2">
        <v>0.33641100000000002</v>
      </c>
      <c r="H84" s="15">
        <v>-2.0713499999999998</v>
      </c>
      <c r="J84" s="18"/>
    </row>
    <row r="85" spans="1:10" s="2" customFormat="1" ht="15" x14ac:dyDescent="0.2">
      <c r="A85" s="2" t="s">
        <v>910</v>
      </c>
      <c r="B85" s="2" t="s">
        <v>3015</v>
      </c>
      <c r="C85" s="2" t="s">
        <v>2266</v>
      </c>
      <c r="D85" s="2" t="s">
        <v>1836</v>
      </c>
      <c r="E85" s="2" t="s">
        <v>1838</v>
      </c>
      <c r="F85" s="2">
        <v>6.3342799999999997</v>
      </c>
      <c r="G85" s="2">
        <v>1.51119</v>
      </c>
      <c r="H85" s="15">
        <v>-2.0674899999999998</v>
      </c>
      <c r="J85" s="18"/>
    </row>
    <row r="86" spans="1:10" s="2" customFormat="1" ht="15" x14ac:dyDescent="0.2">
      <c r="A86" s="2" t="s">
        <v>507</v>
      </c>
      <c r="B86" s="2" t="s">
        <v>3015</v>
      </c>
      <c r="C86" s="2" t="s">
        <v>2082</v>
      </c>
      <c r="D86" s="2" t="s">
        <v>1836</v>
      </c>
      <c r="E86" s="2" t="s">
        <v>1838</v>
      </c>
      <c r="F86" s="2">
        <v>2.4866899999999998</v>
      </c>
      <c r="G86" s="2">
        <v>0.59425399999999995</v>
      </c>
      <c r="H86" s="15">
        <v>-2.06508</v>
      </c>
    </row>
    <row r="87" spans="1:10" s="2" customFormat="1" ht="15" x14ac:dyDescent="0.2">
      <c r="A87" s="2" t="s">
        <v>1182</v>
      </c>
      <c r="B87" s="2" t="s">
        <v>3295</v>
      </c>
      <c r="C87" s="2" t="s">
        <v>2409</v>
      </c>
      <c r="D87" s="2" t="s">
        <v>1836</v>
      </c>
      <c r="E87" s="2" t="s">
        <v>1838</v>
      </c>
      <c r="F87" s="2">
        <v>2.1414800000000001</v>
      </c>
      <c r="G87" s="2">
        <v>0.51398299999999997</v>
      </c>
      <c r="H87" s="15">
        <v>-2.0588099999999998</v>
      </c>
      <c r="J87" s="18"/>
    </row>
    <row r="88" spans="1:10" s="2" customFormat="1" ht="15" x14ac:dyDescent="0.2">
      <c r="A88" s="2" t="s">
        <v>763</v>
      </c>
      <c r="B88" s="2" t="s">
        <v>3045</v>
      </c>
      <c r="C88" s="2" t="s">
        <v>2193</v>
      </c>
      <c r="D88" s="2" t="s">
        <v>1836</v>
      </c>
      <c r="E88" s="2" t="s">
        <v>1838</v>
      </c>
      <c r="F88" s="2">
        <v>4.4005799999999997</v>
      </c>
      <c r="G88" s="2">
        <v>1.0616099999999999</v>
      </c>
      <c r="H88" s="15">
        <v>-2.0514299999999999</v>
      </c>
    </row>
    <row r="89" spans="1:10" s="2" customFormat="1" ht="15" x14ac:dyDescent="0.2">
      <c r="A89" s="2" t="s">
        <v>1194</v>
      </c>
      <c r="B89" s="2" t="s">
        <v>3300</v>
      </c>
      <c r="C89" s="2" t="s">
        <v>2420</v>
      </c>
      <c r="D89" s="2" t="s">
        <v>1836</v>
      </c>
      <c r="E89" s="2" t="s">
        <v>1838</v>
      </c>
      <c r="F89" s="2">
        <v>8.2578099999999992</v>
      </c>
      <c r="G89" s="2">
        <v>1.9921800000000001</v>
      </c>
      <c r="H89" s="15">
        <v>-2.0514100000000002</v>
      </c>
    </row>
    <row r="90" spans="1:10" s="2" customFormat="1" ht="15" x14ac:dyDescent="0.2">
      <c r="A90" s="2" t="s">
        <v>1199</v>
      </c>
      <c r="B90" s="2" t="s">
        <v>3045</v>
      </c>
      <c r="C90" s="2" t="s">
        <v>2423</v>
      </c>
      <c r="D90" s="2" t="s">
        <v>1836</v>
      </c>
      <c r="E90" s="2" t="s">
        <v>1838</v>
      </c>
      <c r="F90" s="2">
        <v>1.44997</v>
      </c>
      <c r="G90" s="2">
        <v>0.35103600000000001</v>
      </c>
      <c r="H90" s="15">
        <v>-2.0463300000000002</v>
      </c>
      <c r="J90" s="18"/>
    </row>
    <row r="91" spans="1:10" s="2" customFormat="1" ht="15" x14ac:dyDescent="0.2">
      <c r="A91" s="2" t="s">
        <v>1042</v>
      </c>
      <c r="B91" s="2" t="s">
        <v>3062</v>
      </c>
      <c r="C91" s="2" t="s">
        <v>2188</v>
      </c>
      <c r="D91" s="2" t="s">
        <v>1836</v>
      </c>
      <c r="E91" s="2" t="s">
        <v>1838</v>
      </c>
      <c r="F91" s="2">
        <v>3.4969700000000001</v>
      </c>
      <c r="G91" s="2">
        <v>0.85538400000000003</v>
      </c>
      <c r="H91" s="15">
        <v>-2.03146</v>
      </c>
      <c r="J91" s="18"/>
    </row>
    <row r="92" spans="1:10" s="2" customFormat="1" ht="15" x14ac:dyDescent="0.2">
      <c r="A92" s="2" t="s">
        <v>414</v>
      </c>
      <c r="B92" s="2" t="s">
        <v>3015</v>
      </c>
      <c r="C92" s="2" t="s">
        <v>2034</v>
      </c>
      <c r="D92" s="2" t="s">
        <v>1836</v>
      </c>
      <c r="E92" s="2" t="s">
        <v>1838</v>
      </c>
      <c r="F92" s="2">
        <v>0.91733600000000004</v>
      </c>
      <c r="G92" s="2">
        <v>0.22856899999999999</v>
      </c>
      <c r="H92" s="15">
        <v>-2.00482</v>
      </c>
      <c r="J92" s="18"/>
    </row>
    <row r="93" spans="1:10" s="2" customFormat="1" ht="15" x14ac:dyDescent="0.2">
      <c r="A93" s="2" t="s">
        <v>214</v>
      </c>
      <c r="B93" s="2" t="s">
        <v>3015</v>
      </c>
      <c r="C93" s="2" t="s">
        <v>1945</v>
      </c>
      <c r="D93" s="2" t="s">
        <v>1836</v>
      </c>
      <c r="E93" s="2" t="s">
        <v>1838</v>
      </c>
      <c r="F93" s="2">
        <v>4.7435600000000004</v>
      </c>
      <c r="G93" s="2">
        <v>1.1833100000000001</v>
      </c>
      <c r="H93" s="15">
        <v>-2.0031400000000001</v>
      </c>
    </row>
    <row r="94" spans="1:10" s="2" customFormat="1" ht="15" x14ac:dyDescent="0.2">
      <c r="A94" s="2" t="s">
        <v>361</v>
      </c>
      <c r="B94" s="2" t="s">
        <v>3015</v>
      </c>
      <c r="C94" s="2" t="s">
        <v>1948</v>
      </c>
      <c r="D94" s="2" t="s">
        <v>1836</v>
      </c>
      <c r="E94" s="2" t="s">
        <v>1838</v>
      </c>
      <c r="F94" s="2">
        <v>21.107800000000001</v>
      </c>
      <c r="G94" s="2">
        <v>5.2730199999999998</v>
      </c>
      <c r="H94" s="15">
        <v>-2.0010699999999999</v>
      </c>
      <c r="J94" s="18"/>
    </row>
    <row r="95" spans="1:10" s="2" customFormat="1" ht="15" x14ac:dyDescent="0.2">
      <c r="A95" s="2" t="s">
        <v>24</v>
      </c>
      <c r="B95" s="2" t="s">
        <v>3015</v>
      </c>
      <c r="C95" s="2" t="s">
        <v>3015</v>
      </c>
      <c r="D95" s="2" t="s">
        <v>1836</v>
      </c>
      <c r="E95" s="2" t="s">
        <v>1838</v>
      </c>
      <c r="F95" s="2">
        <v>3.9942299999999999</v>
      </c>
      <c r="G95" s="2">
        <v>1.00623</v>
      </c>
      <c r="H95" s="15">
        <v>-1.98895</v>
      </c>
      <c r="J95" s="18"/>
    </row>
    <row r="96" spans="1:10" s="2" customFormat="1" ht="15" x14ac:dyDescent="0.2">
      <c r="A96" s="2" t="s">
        <v>1465</v>
      </c>
      <c r="B96" s="2" t="s">
        <v>3015</v>
      </c>
      <c r="C96" s="2" t="s">
        <v>1880</v>
      </c>
      <c r="D96" s="2" t="s">
        <v>1836</v>
      </c>
      <c r="E96" s="2" t="s">
        <v>1838</v>
      </c>
      <c r="F96" s="2">
        <v>2.34517</v>
      </c>
      <c r="G96" s="2">
        <v>0.599719</v>
      </c>
      <c r="H96" s="15">
        <v>-1.96733</v>
      </c>
      <c r="J96" s="18"/>
    </row>
    <row r="97" spans="1:10" s="2" customFormat="1" ht="15" x14ac:dyDescent="0.2">
      <c r="A97" s="2" t="s">
        <v>564</v>
      </c>
      <c r="B97" s="2" t="s">
        <v>3015</v>
      </c>
      <c r="C97" s="2" t="s">
        <v>1880</v>
      </c>
      <c r="D97" s="2" t="s">
        <v>1836</v>
      </c>
      <c r="E97" s="2" t="s">
        <v>1838</v>
      </c>
      <c r="F97" s="2">
        <v>1.20248</v>
      </c>
      <c r="G97" s="2">
        <v>0.30965300000000001</v>
      </c>
      <c r="H97" s="15">
        <v>-1.95729</v>
      </c>
      <c r="J97" s="18"/>
    </row>
    <row r="98" spans="1:10" s="2" customFormat="1" ht="15" x14ac:dyDescent="0.2">
      <c r="A98" s="2" t="s">
        <v>1334</v>
      </c>
      <c r="B98" s="2" t="s">
        <v>3015</v>
      </c>
      <c r="C98" s="2" t="s">
        <v>2529</v>
      </c>
      <c r="D98" s="2" t="s">
        <v>1836</v>
      </c>
      <c r="E98" s="2" t="s">
        <v>1838</v>
      </c>
      <c r="F98" s="2">
        <v>0.92984299999999998</v>
      </c>
      <c r="G98" s="2">
        <v>0.23998</v>
      </c>
      <c r="H98" s="15">
        <v>-1.95407</v>
      </c>
      <c r="J98" s="18"/>
    </row>
    <row r="99" spans="1:10" s="2" customFormat="1" ht="15" x14ac:dyDescent="0.2">
      <c r="A99" s="2" t="s">
        <v>1360</v>
      </c>
      <c r="B99" s="2" t="s">
        <v>3197</v>
      </c>
      <c r="C99" s="2" t="s">
        <v>2179</v>
      </c>
      <c r="D99" s="2" t="s">
        <v>1836</v>
      </c>
      <c r="E99" s="2" t="s">
        <v>1838</v>
      </c>
      <c r="F99" s="2">
        <v>0.85164099999999998</v>
      </c>
      <c r="G99" s="2">
        <v>0.21985299999999999</v>
      </c>
      <c r="H99" s="15">
        <v>-1.9537100000000001</v>
      </c>
    </row>
    <row r="100" spans="1:10" s="2" customFormat="1" ht="15" x14ac:dyDescent="0.2">
      <c r="A100" s="2" t="s">
        <v>201</v>
      </c>
      <c r="B100" s="2" t="s">
        <v>3081</v>
      </c>
      <c r="C100" s="2" t="s">
        <v>1938</v>
      </c>
      <c r="D100" s="2" t="s">
        <v>1836</v>
      </c>
      <c r="E100" s="2" t="s">
        <v>1838</v>
      </c>
      <c r="F100" s="2">
        <v>3.15699</v>
      </c>
      <c r="G100" s="2">
        <v>0.81510300000000002</v>
      </c>
      <c r="H100" s="15">
        <v>-1.9534899999999999</v>
      </c>
      <c r="J100" s="18"/>
    </row>
    <row r="101" spans="1:10" s="2" customFormat="1" ht="15" x14ac:dyDescent="0.2">
      <c r="A101" s="2" t="s">
        <v>1290</v>
      </c>
      <c r="B101" s="2" t="s">
        <v>3336</v>
      </c>
      <c r="C101" s="2" t="s">
        <v>2498</v>
      </c>
      <c r="D101" s="2" t="s">
        <v>1836</v>
      </c>
      <c r="E101" s="2" t="s">
        <v>1838</v>
      </c>
      <c r="F101" s="2">
        <v>472.62900000000002</v>
      </c>
      <c r="G101" s="2">
        <v>123.27200000000001</v>
      </c>
      <c r="H101" s="15">
        <v>-1.9388700000000001</v>
      </c>
      <c r="J101" s="18"/>
    </row>
    <row r="102" spans="1:10" s="2" customFormat="1" ht="15" x14ac:dyDescent="0.2">
      <c r="A102" s="2" t="s">
        <v>102</v>
      </c>
      <c r="B102" s="2" t="s">
        <v>3050</v>
      </c>
      <c r="C102" s="2" t="s">
        <v>1886</v>
      </c>
      <c r="D102" s="2" t="s">
        <v>1836</v>
      </c>
      <c r="E102" s="2" t="s">
        <v>1838</v>
      </c>
      <c r="F102" s="2">
        <v>2.8573599999999999</v>
      </c>
      <c r="G102" s="2">
        <v>0.748139</v>
      </c>
      <c r="H102" s="15">
        <v>-1.9333</v>
      </c>
      <c r="J102" s="18"/>
    </row>
    <row r="103" spans="1:10" s="2" customFormat="1" ht="15" x14ac:dyDescent="0.2">
      <c r="A103" s="2" t="s">
        <v>686</v>
      </c>
      <c r="B103" s="2" t="s">
        <v>3045</v>
      </c>
      <c r="C103" s="2" t="s">
        <v>1923</v>
      </c>
      <c r="D103" s="2" t="s">
        <v>1836</v>
      </c>
      <c r="E103" s="2" t="s">
        <v>1838</v>
      </c>
      <c r="F103" s="2">
        <v>1.31301</v>
      </c>
      <c r="G103" s="2">
        <v>0.34384799999999999</v>
      </c>
      <c r="H103" s="15">
        <v>-1.9330400000000001</v>
      </c>
      <c r="J103" s="18"/>
    </row>
    <row r="104" spans="1:10" s="2" customFormat="1" ht="15" x14ac:dyDescent="0.2">
      <c r="A104" s="2" t="s">
        <v>441</v>
      </c>
      <c r="B104" s="2" t="s">
        <v>3313</v>
      </c>
      <c r="C104" s="2" t="s">
        <v>2479</v>
      </c>
      <c r="D104" s="2" t="s">
        <v>1836</v>
      </c>
      <c r="E104" s="2" t="s">
        <v>1838</v>
      </c>
      <c r="F104" s="2">
        <v>1.7199500000000001</v>
      </c>
      <c r="G104" s="2">
        <v>0.45171299999999998</v>
      </c>
      <c r="H104" s="15">
        <v>-1.92889</v>
      </c>
    </row>
    <row r="105" spans="1:10" s="2" customFormat="1" ht="15" x14ac:dyDescent="0.2">
      <c r="A105" s="2" t="s">
        <v>282</v>
      </c>
      <c r="B105" s="2" t="s">
        <v>3105</v>
      </c>
      <c r="C105" s="2" t="s">
        <v>1974</v>
      </c>
      <c r="D105" s="2" t="s">
        <v>1836</v>
      </c>
      <c r="E105" s="2" t="s">
        <v>1838</v>
      </c>
      <c r="F105" s="2">
        <v>5.4650999999999996</v>
      </c>
      <c r="G105" s="2">
        <v>1.4354</v>
      </c>
      <c r="H105" s="15">
        <v>-1.9288000000000001</v>
      </c>
    </row>
    <row r="106" spans="1:10" s="2" customFormat="1" ht="15" x14ac:dyDescent="0.2">
      <c r="A106" s="2" t="s">
        <v>1191</v>
      </c>
      <c r="B106" s="2" t="s">
        <v>3015</v>
      </c>
      <c r="C106" s="2" t="s">
        <v>2419</v>
      </c>
      <c r="D106" s="2" t="s">
        <v>1836</v>
      </c>
      <c r="E106" s="2" t="s">
        <v>1838</v>
      </c>
      <c r="F106" s="2">
        <v>1.3248</v>
      </c>
      <c r="G106" s="2">
        <v>0.34825200000000001</v>
      </c>
      <c r="H106" s="15">
        <v>-1.92757</v>
      </c>
      <c r="J106" s="18"/>
    </row>
    <row r="107" spans="1:10" s="2" customFormat="1" ht="15" x14ac:dyDescent="0.2">
      <c r="A107" s="2" t="s">
        <v>1160</v>
      </c>
      <c r="B107" s="2" t="s">
        <v>3015</v>
      </c>
      <c r="C107" s="2" t="s">
        <v>2394</v>
      </c>
      <c r="D107" s="2" t="s">
        <v>1836</v>
      </c>
      <c r="E107" s="2" t="s">
        <v>1838</v>
      </c>
      <c r="F107" s="2">
        <v>0.82865500000000003</v>
      </c>
      <c r="G107" s="2">
        <v>0.21985499999999999</v>
      </c>
      <c r="H107" s="15">
        <v>-1.91422</v>
      </c>
      <c r="J107" s="18"/>
    </row>
    <row r="108" spans="1:10" s="2" customFormat="1" ht="15" x14ac:dyDescent="0.2">
      <c r="A108" s="2" t="s">
        <v>1065</v>
      </c>
      <c r="B108" s="2" t="s">
        <v>3015</v>
      </c>
      <c r="C108" s="2" t="s">
        <v>2340</v>
      </c>
      <c r="D108" s="2" t="s">
        <v>1836</v>
      </c>
      <c r="E108" s="2" t="s">
        <v>1838</v>
      </c>
      <c r="F108" s="2">
        <v>1.55291</v>
      </c>
      <c r="G108" s="2">
        <v>0.41535899999999998</v>
      </c>
      <c r="H108" s="15">
        <v>-1.9025399999999999</v>
      </c>
      <c r="J108" s="18"/>
    </row>
    <row r="109" spans="1:10" s="2" customFormat="1" ht="15" x14ac:dyDescent="0.2">
      <c r="A109" s="2" t="s">
        <v>1367</v>
      </c>
      <c r="B109" s="2" t="s">
        <v>3015</v>
      </c>
      <c r="C109" s="2" t="s">
        <v>3015</v>
      </c>
      <c r="D109" s="2" t="s">
        <v>1836</v>
      </c>
      <c r="E109" s="2" t="s">
        <v>1838</v>
      </c>
      <c r="F109" s="2">
        <v>1.8270500000000001</v>
      </c>
      <c r="G109" s="2">
        <v>0.48958499999999999</v>
      </c>
      <c r="H109" s="15">
        <v>-1.89988</v>
      </c>
      <c r="J109" s="18"/>
    </row>
    <row r="110" spans="1:10" s="2" customFormat="1" ht="15" x14ac:dyDescent="0.2">
      <c r="A110" s="2" t="s">
        <v>1296</v>
      </c>
      <c r="B110" s="2" t="s">
        <v>3015</v>
      </c>
      <c r="C110" s="2" t="s">
        <v>3015</v>
      </c>
      <c r="D110" s="2" t="s">
        <v>1836</v>
      </c>
      <c r="E110" s="2" t="s">
        <v>1838</v>
      </c>
      <c r="F110" s="2">
        <v>3.1221700000000001</v>
      </c>
      <c r="G110" s="2">
        <v>0.84138999999999997</v>
      </c>
      <c r="H110" s="15">
        <v>-1.8916999999999999</v>
      </c>
      <c r="J110" s="18"/>
    </row>
    <row r="111" spans="1:10" s="2" customFormat="1" ht="15" x14ac:dyDescent="0.2">
      <c r="A111" s="2" t="s">
        <v>940</v>
      </c>
      <c r="B111" s="2" t="s">
        <v>3242</v>
      </c>
      <c r="C111" s="2" t="s">
        <v>2282</v>
      </c>
      <c r="D111" s="2" t="s">
        <v>1836</v>
      </c>
      <c r="E111" s="2" t="s">
        <v>1838</v>
      </c>
      <c r="F111" s="2">
        <v>2.2209599999999998</v>
      </c>
      <c r="G111" s="2">
        <v>0.59855700000000001</v>
      </c>
      <c r="H111" s="15">
        <v>-1.8916200000000001</v>
      </c>
      <c r="J111" s="18"/>
    </row>
    <row r="112" spans="1:10" s="2" customFormat="1" ht="15" x14ac:dyDescent="0.2">
      <c r="A112" s="2" t="s">
        <v>889</v>
      </c>
      <c r="B112" s="2" t="s">
        <v>3037</v>
      </c>
      <c r="C112" s="2" t="s">
        <v>2255</v>
      </c>
      <c r="D112" s="2" t="s">
        <v>1836</v>
      </c>
      <c r="E112" s="2" t="s">
        <v>1838</v>
      </c>
      <c r="F112" s="2">
        <v>10.1067</v>
      </c>
      <c r="G112" s="2">
        <v>2.7416399999999999</v>
      </c>
      <c r="H112" s="15">
        <v>-1.8822000000000001</v>
      </c>
      <c r="J112" s="18"/>
    </row>
    <row r="113" spans="1:10" s="2" customFormat="1" ht="15" x14ac:dyDescent="0.2">
      <c r="A113" s="2" t="s">
        <v>655</v>
      </c>
      <c r="B113" s="2" t="s">
        <v>3015</v>
      </c>
      <c r="C113" s="2" t="s">
        <v>3015</v>
      </c>
      <c r="D113" s="2" t="s">
        <v>1836</v>
      </c>
      <c r="E113" s="2" t="s">
        <v>1838</v>
      </c>
      <c r="F113" s="2">
        <v>1.47828</v>
      </c>
      <c r="G113" s="2">
        <v>0.40585300000000002</v>
      </c>
      <c r="H113" s="15">
        <v>-1.8648899999999999</v>
      </c>
    </row>
    <row r="114" spans="1:10" s="2" customFormat="1" ht="15" x14ac:dyDescent="0.2">
      <c r="A114" s="2" t="s">
        <v>1303</v>
      </c>
      <c r="B114" s="2" t="s">
        <v>3015</v>
      </c>
      <c r="C114" s="2" t="s">
        <v>2507</v>
      </c>
      <c r="D114" s="2" t="s">
        <v>1836</v>
      </c>
      <c r="E114" s="2" t="s">
        <v>1838</v>
      </c>
      <c r="F114" s="2">
        <v>1.98668</v>
      </c>
      <c r="G114" s="2">
        <v>0.54719899999999999</v>
      </c>
      <c r="H114" s="15">
        <v>-1.86022</v>
      </c>
      <c r="J114" s="18"/>
    </row>
    <row r="115" spans="1:10" s="2" customFormat="1" ht="15" x14ac:dyDescent="0.2">
      <c r="A115" s="2" t="s">
        <v>515</v>
      </c>
      <c r="B115" s="2" t="s">
        <v>3045</v>
      </c>
      <c r="C115" s="2" t="s">
        <v>2492</v>
      </c>
      <c r="D115" s="2" t="s">
        <v>1836</v>
      </c>
      <c r="E115" s="2" t="s">
        <v>1838</v>
      </c>
      <c r="F115" s="2">
        <v>26.796600000000002</v>
      </c>
      <c r="G115" s="2">
        <v>7.3955900000000003</v>
      </c>
      <c r="H115" s="15">
        <v>-1.85731</v>
      </c>
      <c r="J115" s="18"/>
    </row>
    <row r="116" spans="1:10" s="2" customFormat="1" ht="15" x14ac:dyDescent="0.2">
      <c r="A116" s="2" t="s">
        <v>84</v>
      </c>
      <c r="B116" s="2" t="s">
        <v>3288</v>
      </c>
      <c r="C116" s="2" t="s">
        <v>2388</v>
      </c>
      <c r="D116" s="2" t="s">
        <v>1836</v>
      </c>
      <c r="E116" s="2" t="s">
        <v>1838</v>
      </c>
      <c r="F116" s="2">
        <v>2.7646600000000001</v>
      </c>
      <c r="G116" s="2">
        <v>0.76514300000000002</v>
      </c>
      <c r="H116" s="15">
        <v>-1.8532999999999999</v>
      </c>
    </row>
    <row r="117" spans="1:10" s="2" customFormat="1" ht="15" x14ac:dyDescent="0.2">
      <c r="A117" s="2" t="s">
        <v>137</v>
      </c>
      <c r="B117" s="2" t="s">
        <v>3015</v>
      </c>
      <c r="C117" s="2" t="s">
        <v>1905</v>
      </c>
      <c r="D117" s="2" t="s">
        <v>1836</v>
      </c>
      <c r="E117" s="2" t="s">
        <v>1838</v>
      </c>
      <c r="F117" s="2">
        <v>3.3832800000000001</v>
      </c>
      <c r="G117" s="2">
        <v>0.94155100000000003</v>
      </c>
      <c r="H117" s="15">
        <v>-1.84531</v>
      </c>
      <c r="J117" s="18"/>
    </row>
    <row r="118" spans="1:10" s="2" customFormat="1" ht="15" x14ac:dyDescent="0.2">
      <c r="A118" s="2" t="s">
        <v>1017</v>
      </c>
      <c r="B118" s="2" t="s">
        <v>3094</v>
      </c>
      <c r="C118" s="2" t="s">
        <v>2321</v>
      </c>
      <c r="D118" s="2" t="s">
        <v>1836</v>
      </c>
      <c r="E118" s="2" t="s">
        <v>1838</v>
      </c>
      <c r="F118" s="2">
        <v>2.3548800000000001</v>
      </c>
      <c r="G118" s="2">
        <v>0.65812199999999998</v>
      </c>
      <c r="H118" s="15">
        <v>-1.8392200000000001</v>
      </c>
      <c r="J118" s="18"/>
    </row>
    <row r="119" spans="1:10" s="2" customFormat="1" ht="15" x14ac:dyDescent="0.2">
      <c r="A119" s="2" t="s">
        <v>196</v>
      </c>
      <c r="B119" s="2" t="s">
        <v>3077</v>
      </c>
      <c r="C119" s="2" t="s">
        <v>1934</v>
      </c>
      <c r="D119" s="2" t="s">
        <v>1836</v>
      </c>
      <c r="E119" s="2" t="s">
        <v>1838</v>
      </c>
      <c r="F119" s="2">
        <v>2.6640000000000001</v>
      </c>
      <c r="G119" s="2">
        <v>0.749417</v>
      </c>
      <c r="H119" s="15">
        <v>-1.8297600000000001</v>
      </c>
      <c r="J119" s="18"/>
    </row>
    <row r="120" spans="1:10" s="2" customFormat="1" ht="15" x14ac:dyDescent="0.2">
      <c r="A120" s="2" t="s">
        <v>1447</v>
      </c>
      <c r="B120" s="2" t="s">
        <v>3378</v>
      </c>
      <c r="C120" s="2" t="s">
        <v>2599</v>
      </c>
      <c r="D120" s="2" t="s">
        <v>1836</v>
      </c>
      <c r="E120" s="2" t="s">
        <v>1838</v>
      </c>
      <c r="F120" s="2">
        <v>2.5872799999999998</v>
      </c>
      <c r="G120" s="2">
        <v>0.72979000000000005</v>
      </c>
      <c r="H120" s="15">
        <v>-1.82589</v>
      </c>
      <c r="J120" s="18"/>
    </row>
    <row r="121" spans="1:10" s="2" customFormat="1" ht="15" x14ac:dyDescent="0.2">
      <c r="A121" s="2" t="s">
        <v>929</v>
      </c>
      <c r="B121" s="2" t="s">
        <v>3047</v>
      </c>
      <c r="C121" s="2" t="s">
        <v>2277</v>
      </c>
      <c r="D121" s="2" t="s">
        <v>1836</v>
      </c>
      <c r="E121" s="2" t="s">
        <v>1838</v>
      </c>
      <c r="F121" s="2">
        <v>8.9835600000000007</v>
      </c>
      <c r="G121" s="2">
        <v>2.5358200000000002</v>
      </c>
      <c r="H121" s="15">
        <v>-1.82483</v>
      </c>
    </row>
    <row r="122" spans="1:10" s="2" customFormat="1" ht="15" x14ac:dyDescent="0.2">
      <c r="A122" s="2" t="s">
        <v>1358</v>
      </c>
      <c r="B122" s="2" t="s">
        <v>3015</v>
      </c>
      <c r="C122" s="2" t="s">
        <v>2546</v>
      </c>
      <c r="D122" s="2" t="s">
        <v>1836</v>
      </c>
      <c r="E122" s="2" t="s">
        <v>1838</v>
      </c>
      <c r="F122" s="2">
        <v>1.4504999999999999</v>
      </c>
      <c r="G122" s="2">
        <v>0.41107700000000003</v>
      </c>
      <c r="H122" s="15">
        <v>-1.81907</v>
      </c>
    </row>
    <row r="123" spans="1:10" s="2" customFormat="1" ht="15" x14ac:dyDescent="0.2">
      <c r="A123" s="2" t="s">
        <v>1307</v>
      </c>
      <c r="B123" s="2" t="s">
        <v>3336</v>
      </c>
      <c r="C123" s="2" t="s">
        <v>2498</v>
      </c>
      <c r="D123" s="2" t="s">
        <v>1836</v>
      </c>
      <c r="E123" s="2" t="s">
        <v>1838</v>
      </c>
      <c r="F123" s="2">
        <v>430.42399999999998</v>
      </c>
      <c r="G123" s="2">
        <v>122.57599999999999</v>
      </c>
      <c r="H123" s="15">
        <v>-1.8120799999999999</v>
      </c>
    </row>
    <row r="124" spans="1:10" s="2" customFormat="1" ht="15" x14ac:dyDescent="0.2">
      <c r="A124" s="2" t="s">
        <v>1311</v>
      </c>
      <c r="B124" s="2" t="s">
        <v>3087</v>
      </c>
      <c r="C124" s="2" t="s">
        <v>2501</v>
      </c>
      <c r="D124" s="2" t="s">
        <v>1836</v>
      </c>
      <c r="E124" s="2" t="s">
        <v>1838</v>
      </c>
      <c r="F124" s="2">
        <v>1.6614199999999999</v>
      </c>
      <c r="G124" s="2">
        <v>0.47556500000000002</v>
      </c>
      <c r="H124" s="15">
        <v>-1.80471</v>
      </c>
      <c r="J124" s="18"/>
    </row>
    <row r="125" spans="1:10" s="2" customFormat="1" ht="15" x14ac:dyDescent="0.2">
      <c r="A125" s="2" t="s">
        <v>376</v>
      </c>
      <c r="B125" s="2" t="s">
        <v>3058</v>
      </c>
      <c r="C125" s="2" t="s">
        <v>2018</v>
      </c>
      <c r="D125" s="2" t="s">
        <v>1836</v>
      </c>
      <c r="E125" s="2" t="s">
        <v>1838</v>
      </c>
      <c r="F125" s="2">
        <v>2.2351700000000001</v>
      </c>
      <c r="G125" s="2">
        <v>0.643876</v>
      </c>
      <c r="H125" s="15">
        <v>-1.7955300000000001</v>
      </c>
    </row>
    <row r="126" spans="1:10" s="2" customFormat="1" ht="15" x14ac:dyDescent="0.2">
      <c r="A126" s="2" t="s">
        <v>1468</v>
      </c>
      <c r="B126" s="2" t="s">
        <v>3015</v>
      </c>
      <c r="C126" s="2" t="s">
        <v>3015</v>
      </c>
      <c r="D126" s="2" t="s">
        <v>1836</v>
      </c>
      <c r="E126" s="2" t="s">
        <v>1838</v>
      </c>
      <c r="F126" s="2">
        <v>0.86429900000000004</v>
      </c>
      <c r="G126" s="2">
        <v>0.24938099999999999</v>
      </c>
      <c r="H126" s="15">
        <v>-1.79318</v>
      </c>
      <c r="J126" s="18"/>
    </row>
    <row r="127" spans="1:10" s="2" customFormat="1" ht="15" x14ac:dyDescent="0.2">
      <c r="A127" s="2" t="s">
        <v>1450</v>
      </c>
      <c r="B127" s="2" t="s">
        <v>3175</v>
      </c>
      <c r="C127" s="2" t="s">
        <v>2557</v>
      </c>
      <c r="D127" s="2" t="s">
        <v>1836</v>
      </c>
      <c r="E127" s="2" t="s">
        <v>1838</v>
      </c>
      <c r="F127" s="2">
        <v>3.8431799999999998</v>
      </c>
      <c r="G127" s="2">
        <v>1.1108199999999999</v>
      </c>
      <c r="H127" s="15">
        <v>-1.79068</v>
      </c>
      <c r="J127" s="18"/>
    </row>
    <row r="128" spans="1:10" s="2" customFormat="1" ht="15" x14ac:dyDescent="0.2">
      <c r="A128" s="2" t="s">
        <v>1213</v>
      </c>
      <c r="B128" s="2" t="s">
        <v>3015</v>
      </c>
      <c r="C128" s="2" t="s">
        <v>2431</v>
      </c>
      <c r="D128" s="2" t="s">
        <v>1836</v>
      </c>
      <c r="E128" s="2" t="s">
        <v>1838</v>
      </c>
      <c r="F128" s="2">
        <v>59.415900000000001</v>
      </c>
      <c r="G128" s="2">
        <v>17.190799999999999</v>
      </c>
      <c r="H128" s="15">
        <v>-1.78921</v>
      </c>
      <c r="J128" s="18"/>
    </row>
    <row r="129" spans="1:10" s="2" customFormat="1" ht="15" x14ac:dyDescent="0.2">
      <c r="A129" s="2" t="s">
        <v>1226</v>
      </c>
      <c r="B129" s="2" t="s">
        <v>3310</v>
      </c>
      <c r="C129" s="2" t="s">
        <v>2437</v>
      </c>
      <c r="D129" s="2" t="s">
        <v>1836</v>
      </c>
      <c r="E129" s="2" t="s">
        <v>1838</v>
      </c>
      <c r="F129" s="2">
        <v>1.7501100000000001</v>
      </c>
      <c r="G129" s="2">
        <v>0.50839800000000002</v>
      </c>
      <c r="H129" s="15">
        <v>-1.78342</v>
      </c>
    </row>
    <row r="130" spans="1:10" s="2" customFormat="1" ht="15" x14ac:dyDescent="0.2">
      <c r="A130" s="2" t="s">
        <v>1019</v>
      </c>
      <c r="B130" s="2" t="s">
        <v>3025</v>
      </c>
      <c r="C130" s="2" t="s">
        <v>2269</v>
      </c>
      <c r="D130" s="2" t="s">
        <v>1836</v>
      </c>
      <c r="E130" s="2" t="s">
        <v>1838</v>
      </c>
      <c r="F130" s="2">
        <v>1.64679</v>
      </c>
      <c r="G130" s="2">
        <v>0.48100199999999999</v>
      </c>
      <c r="H130" s="15">
        <v>-1.7755399999999999</v>
      </c>
      <c r="J130" s="18"/>
    </row>
    <row r="131" spans="1:10" s="2" customFormat="1" ht="15" x14ac:dyDescent="0.2">
      <c r="A131" s="2" t="s">
        <v>1259</v>
      </c>
      <c r="B131" s="2" t="s">
        <v>3015</v>
      </c>
      <c r="C131" s="2" t="s">
        <v>3015</v>
      </c>
      <c r="D131" s="2" t="s">
        <v>1836</v>
      </c>
      <c r="E131" s="2" t="s">
        <v>1838</v>
      </c>
      <c r="F131" s="2">
        <v>6.1408100000000001</v>
      </c>
      <c r="G131" s="2">
        <v>1.7945500000000001</v>
      </c>
      <c r="H131" s="15">
        <v>-1.77481</v>
      </c>
      <c r="J131" s="18"/>
    </row>
    <row r="132" spans="1:10" s="2" customFormat="1" ht="15" x14ac:dyDescent="0.2">
      <c r="A132" s="2" t="s">
        <v>1237</v>
      </c>
      <c r="B132" s="2" t="s">
        <v>3313</v>
      </c>
      <c r="C132" s="2" t="s">
        <v>2445</v>
      </c>
      <c r="D132" s="2" t="s">
        <v>1836</v>
      </c>
      <c r="E132" s="2" t="s">
        <v>1838</v>
      </c>
      <c r="F132" s="2">
        <v>13.1112</v>
      </c>
      <c r="G132" s="2">
        <v>3.8327800000000001</v>
      </c>
      <c r="H132" s="15">
        <v>-1.77433</v>
      </c>
      <c r="J132" s="18"/>
    </row>
    <row r="133" spans="1:10" s="2" customFormat="1" ht="15" x14ac:dyDescent="0.2">
      <c r="A133" s="2" t="s">
        <v>1082</v>
      </c>
      <c r="B133" s="2" t="s">
        <v>3015</v>
      </c>
      <c r="C133" s="2" t="s">
        <v>2349</v>
      </c>
      <c r="D133" s="2" t="s">
        <v>1836</v>
      </c>
      <c r="E133" s="2" t="s">
        <v>1838</v>
      </c>
      <c r="F133" s="2">
        <v>26.3996</v>
      </c>
      <c r="G133" s="2">
        <v>7.72431</v>
      </c>
      <c r="H133" s="15">
        <v>-1.7730399999999999</v>
      </c>
      <c r="J133" s="18"/>
    </row>
    <row r="134" spans="1:10" s="2" customFormat="1" ht="15" x14ac:dyDescent="0.2">
      <c r="A134" s="2" t="s">
        <v>1440</v>
      </c>
      <c r="B134" s="2" t="s">
        <v>3015</v>
      </c>
      <c r="C134" s="2" t="s">
        <v>2299</v>
      </c>
      <c r="D134" s="2" t="s">
        <v>1836</v>
      </c>
      <c r="E134" s="2" t="s">
        <v>1838</v>
      </c>
      <c r="F134" s="2">
        <v>0.98548800000000003</v>
      </c>
      <c r="G134" s="2">
        <v>0.28969299999999998</v>
      </c>
      <c r="H134" s="15">
        <v>-1.76631</v>
      </c>
      <c r="J134" s="18"/>
    </row>
    <row r="135" spans="1:10" s="2" customFormat="1" ht="15" x14ac:dyDescent="0.2">
      <c r="A135" s="2" t="s">
        <v>1406</v>
      </c>
      <c r="B135" s="2" t="s">
        <v>3209</v>
      </c>
      <c r="C135" s="2" t="s">
        <v>2580</v>
      </c>
      <c r="D135" s="2" t="s">
        <v>1836</v>
      </c>
      <c r="E135" s="2" t="s">
        <v>1838</v>
      </c>
      <c r="F135" s="2">
        <v>8.4133800000000001</v>
      </c>
      <c r="G135" s="2">
        <v>2.47749</v>
      </c>
      <c r="H135" s="15">
        <v>-1.7638</v>
      </c>
      <c r="J135" s="18"/>
    </row>
    <row r="136" spans="1:10" s="2" customFormat="1" ht="15" x14ac:dyDescent="0.2">
      <c r="A136" s="2" t="s">
        <v>1255</v>
      </c>
      <c r="B136" s="2" t="s">
        <v>3038</v>
      </c>
      <c r="C136" s="2" t="s">
        <v>1847</v>
      </c>
      <c r="D136" s="2" t="s">
        <v>1836</v>
      </c>
      <c r="E136" s="2" t="s">
        <v>1838</v>
      </c>
      <c r="F136" s="2">
        <v>4.0916899999999998</v>
      </c>
      <c r="G136" s="2">
        <v>1.2051000000000001</v>
      </c>
      <c r="H136" s="15">
        <v>-1.7635400000000001</v>
      </c>
      <c r="J136" s="18"/>
    </row>
    <row r="137" spans="1:10" s="2" customFormat="1" ht="15" x14ac:dyDescent="0.2">
      <c r="A137" s="2" t="s">
        <v>1010</v>
      </c>
      <c r="B137" s="2" t="s">
        <v>3015</v>
      </c>
      <c r="C137" s="2" t="s">
        <v>1915</v>
      </c>
      <c r="D137" s="2" t="s">
        <v>1836</v>
      </c>
      <c r="E137" s="2" t="s">
        <v>1838</v>
      </c>
      <c r="F137" s="2">
        <v>1.31871</v>
      </c>
      <c r="G137" s="2">
        <v>0.38899699999999998</v>
      </c>
      <c r="H137" s="15">
        <v>-1.76129</v>
      </c>
    </row>
    <row r="138" spans="1:10" s="2" customFormat="1" ht="15" x14ac:dyDescent="0.2">
      <c r="A138" s="2" t="s">
        <v>721</v>
      </c>
      <c r="B138" s="2" t="s">
        <v>3305</v>
      </c>
      <c r="C138" s="2" t="s">
        <v>2429</v>
      </c>
      <c r="D138" s="2" t="s">
        <v>1836</v>
      </c>
      <c r="E138" s="2" t="s">
        <v>1838</v>
      </c>
      <c r="F138" s="2">
        <v>4.9817099999999996</v>
      </c>
      <c r="G138" s="2">
        <v>1.47048</v>
      </c>
      <c r="H138" s="15">
        <v>-1.7603500000000001</v>
      </c>
      <c r="J138" s="18"/>
    </row>
    <row r="139" spans="1:10" s="2" customFormat="1" ht="15" x14ac:dyDescent="0.2">
      <c r="A139" s="2" t="s">
        <v>1354</v>
      </c>
      <c r="B139" s="2" t="s">
        <v>3015</v>
      </c>
      <c r="C139" s="2" t="s">
        <v>3015</v>
      </c>
      <c r="D139" s="2" t="s">
        <v>1836</v>
      </c>
      <c r="E139" s="2" t="s">
        <v>1838</v>
      </c>
      <c r="F139" s="2">
        <v>1.5977399999999999</v>
      </c>
      <c r="G139" s="2">
        <v>0.47414499999999998</v>
      </c>
      <c r="H139" s="15">
        <v>-1.7526299999999999</v>
      </c>
      <c r="J139" s="18"/>
    </row>
    <row r="140" spans="1:10" s="2" customFormat="1" ht="15" x14ac:dyDescent="0.2">
      <c r="A140" s="2" t="s">
        <v>428</v>
      </c>
      <c r="B140" s="2" t="s">
        <v>3080</v>
      </c>
      <c r="C140" s="2" t="s">
        <v>2041</v>
      </c>
      <c r="D140" s="2" t="s">
        <v>1836</v>
      </c>
      <c r="E140" s="2" t="s">
        <v>1838</v>
      </c>
      <c r="F140" s="2">
        <v>1.51708</v>
      </c>
      <c r="G140" s="2">
        <v>0.45058500000000001</v>
      </c>
      <c r="H140" s="15">
        <v>-1.75142</v>
      </c>
      <c r="J140" s="18"/>
    </row>
    <row r="141" spans="1:10" s="2" customFormat="1" ht="15" x14ac:dyDescent="0.2">
      <c r="A141" s="2" t="s">
        <v>1135</v>
      </c>
      <c r="B141" s="2" t="s">
        <v>3015</v>
      </c>
      <c r="C141" s="2" t="s">
        <v>2370</v>
      </c>
      <c r="D141" s="2" t="s">
        <v>1836</v>
      </c>
      <c r="E141" s="2" t="s">
        <v>1838</v>
      </c>
      <c r="F141" s="2">
        <v>1.22997</v>
      </c>
      <c r="G141" s="2">
        <v>0.36692900000000001</v>
      </c>
      <c r="H141" s="15">
        <v>-1.74505</v>
      </c>
      <c r="J141" s="18"/>
    </row>
    <row r="142" spans="1:10" s="2" customFormat="1" ht="15" x14ac:dyDescent="0.2">
      <c r="A142" s="2" t="s">
        <v>348</v>
      </c>
      <c r="B142" s="2" t="s">
        <v>3015</v>
      </c>
      <c r="C142" s="2" t="s">
        <v>2005</v>
      </c>
      <c r="D142" s="2" t="s">
        <v>1836</v>
      </c>
      <c r="E142" s="2" t="s">
        <v>1838</v>
      </c>
      <c r="F142" s="2">
        <v>10.125400000000001</v>
      </c>
      <c r="G142" s="2">
        <v>3.0287500000000001</v>
      </c>
      <c r="H142" s="15">
        <v>-1.7411799999999999</v>
      </c>
    </row>
    <row r="143" spans="1:10" s="2" customFormat="1" ht="15" x14ac:dyDescent="0.2">
      <c r="A143" s="2" t="s">
        <v>913</v>
      </c>
      <c r="B143" s="2" t="s">
        <v>3235</v>
      </c>
      <c r="C143" s="2" t="s">
        <v>2267</v>
      </c>
      <c r="D143" s="2" t="s">
        <v>1836</v>
      </c>
      <c r="E143" s="2" t="s">
        <v>1838</v>
      </c>
      <c r="F143" s="2">
        <v>5.3484499999999997</v>
      </c>
      <c r="G143" s="2">
        <v>1.6</v>
      </c>
      <c r="H143" s="15">
        <v>-1.74105</v>
      </c>
    </row>
    <row r="144" spans="1:10" s="2" customFormat="1" ht="15" x14ac:dyDescent="0.2">
      <c r="A144" s="2" t="s">
        <v>565</v>
      </c>
      <c r="B144" s="2" t="s">
        <v>3161</v>
      </c>
      <c r="C144" s="2" t="s">
        <v>2109</v>
      </c>
      <c r="D144" s="2" t="s">
        <v>1836</v>
      </c>
      <c r="E144" s="2" t="s">
        <v>1838</v>
      </c>
      <c r="F144" s="2">
        <v>1.6105</v>
      </c>
      <c r="G144" s="2">
        <v>0.48347200000000001</v>
      </c>
      <c r="H144" s="15">
        <v>-1.736</v>
      </c>
    </row>
    <row r="145" spans="1:10" s="2" customFormat="1" ht="15" x14ac:dyDescent="0.2">
      <c r="A145" s="2" t="s">
        <v>1283</v>
      </c>
      <c r="B145" s="2" t="s">
        <v>3081</v>
      </c>
      <c r="C145" s="2" t="s">
        <v>2489</v>
      </c>
      <c r="D145" s="2" t="s">
        <v>1836</v>
      </c>
      <c r="E145" s="2" t="s">
        <v>1838</v>
      </c>
      <c r="F145" s="2">
        <v>1.00528</v>
      </c>
      <c r="G145" s="2">
        <v>0.302873</v>
      </c>
      <c r="H145" s="15">
        <v>-1.73081</v>
      </c>
      <c r="J145" s="18"/>
    </row>
    <row r="146" spans="1:10" s="2" customFormat="1" ht="15" x14ac:dyDescent="0.2">
      <c r="A146" s="2" t="s">
        <v>931</v>
      </c>
      <c r="B146" s="2" t="s">
        <v>3241</v>
      </c>
      <c r="C146" s="2" t="s">
        <v>2279</v>
      </c>
      <c r="D146" s="2" t="s">
        <v>1836</v>
      </c>
      <c r="E146" s="2" t="s">
        <v>1838</v>
      </c>
      <c r="F146" s="2">
        <v>10.908799999999999</v>
      </c>
      <c r="G146" s="2">
        <v>3.30714</v>
      </c>
      <c r="H146" s="15">
        <v>-1.72184</v>
      </c>
    </row>
    <row r="147" spans="1:10" s="2" customFormat="1" ht="15" x14ac:dyDescent="0.2">
      <c r="A147" s="2" t="s">
        <v>65</v>
      </c>
      <c r="B147" s="2" t="s">
        <v>3015</v>
      </c>
      <c r="C147" s="2" t="s">
        <v>1876</v>
      </c>
      <c r="D147" s="2" t="s">
        <v>1836</v>
      </c>
      <c r="E147" s="2" t="s">
        <v>1838</v>
      </c>
      <c r="F147" s="2">
        <v>17.822399999999998</v>
      </c>
      <c r="G147" s="2">
        <v>5.4240399999999998</v>
      </c>
      <c r="H147" s="15">
        <v>-1.7162500000000001</v>
      </c>
      <c r="J147" s="18"/>
    </row>
    <row r="148" spans="1:10" s="2" customFormat="1" ht="15" x14ac:dyDescent="0.2">
      <c r="A148" s="2" t="s">
        <v>1241</v>
      </c>
      <c r="B148" s="2" t="s">
        <v>3100</v>
      </c>
      <c r="C148" s="2" t="s">
        <v>2449</v>
      </c>
      <c r="D148" s="2" t="s">
        <v>1836</v>
      </c>
      <c r="E148" s="2" t="s">
        <v>1838</v>
      </c>
      <c r="F148" s="2">
        <v>5.4743500000000003</v>
      </c>
      <c r="G148" s="2">
        <v>1.6683600000000001</v>
      </c>
      <c r="H148" s="15">
        <v>-1.7142599999999999</v>
      </c>
    </row>
    <row r="149" spans="1:10" s="2" customFormat="1" ht="15" x14ac:dyDescent="0.2">
      <c r="A149" s="2" t="s">
        <v>630</v>
      </c>
      <c r="B149" s="2" t="s">
        <v>3179</v>
      </c>
      <c r="C149" s="2" t="s">
        <v>2137</v>
      </c>
      <c r="D149" s="2" t="s">
        <v>1836</v>
      </c>
      <c r="E149" s="2" t="s">
        <v>1838</v>
      </c>
      <c r="F149" s="2">
        <v>9.6281999999999996</v>
      </c>
      <c r="G149" s="2">
        <v>2.9689000000000001</v>
      </c>
      <c r="H149" s="15">
        <v>-1.6973400000000001</v>
      </c>
      <c r="J149" s="18"/>
    </row>
    <row r="150" spans="1:10" s="2" customFormat="1" ht="15" x14ac:dyDescent="0.2">
      <c r="A150" s="2" t="s">
        <v>1380</v>
      </c>
      <c r="B150" s="2" t="s">
        <v>3024</v>
      </c>
      <c r="C150" s="2" t="s">
        <v>2556</v>
      </c>
      <c r="D150" s="2" t="s">
        <v>1836</v>
      </c>
      <c r="E150" s="2" t="s">
        <v>1838</v>
      </c>
      <c r="F150" s="2">
        <v>6.38462</v>
      </c>
      <c r="G150" s="2">
        <v>1.9826600000000001</v>
      </c>
      <c r="H150" s="15">
        <v>-1.68716</v>
      </c>
    </row>
    <row r="151" spans="1:10" s="2" customFormat="1" ht="15" x14ac:dyDescent="0.2">
      <c r="A151" s="2" t="s">
        <v>806</v>
      </c>
      <c r="B151" s="2" t="s">
        <v>3015</v>
      </c>
      <c r="C151" s="2" t="s">
        <v>3015</v>
      </c>
      <c r="D151" s="2" t="s">
        <v>1836</v>
      </c>
      <c r="E151" s="2" t="s">
        <v>1838</v>
      </c>
      <c r="F151" s="2">
        <v>34.9771</v>
      </c>
      <c r="G151" s="2">
        <v>10.886900000000001</v>
      </c>
      <c r="H151" s="15">
        <v>-1.6838200000000001</v>
      </c>
      <c r="J151" s="18"/>
    </row>
    <row r="152" spans="1:10" s="2" customFormat="1" ht="15" x14ac:dyDescent="0.2">
      <c r="A152" s="2" t="s">
        <v>826</v>
      </c>
      <c r="B152" s="2" t="s">
        <v>3015</v>
      </c>
      <c r="C152" s="2" t="s">
        <v>2219</v>
      </c>
      <c r="D152" s="2" t="s">
        <v>1836</v>
      </c>
      <c r="E152" s="2" t="s">
        <v>1838</v>
      </c>
      <c r="F152" s="2">
        <v>1.2563800000000001</v>
      </c>
      <c r="G152" s="2">
        <v>0.39192500000000002</v>
      </c>
      <c r="H152" s="15">
        <v>-1.68062</v>
      </c>
    </row>
    <row r="153" spans="1:10" s="2" customFormat="1" ht="15" x14ac:dyDescent="0.2">
      <c r="A153" s="2" t="s">
        <v>1028</v>
      </c>
      <c r="B153" s="2" t="s">
        <v>3015</v>
      </c>
      <c r="C153" s="2" t="s">
        <v>2326</v>
      </c>
      <c r="D153" s="2" t="s">
        <v>1836</v>
      </c>
      <c r="E153" s="2" t="s">
        <v>1838</v>
      </c>
      <c r="F153" s="2">
        <v>22.631</v>
      </c>
      <c r="G153" s="2">
        <v>7.0976299999999997</v>
      </c>
      <c r="H153" s="15">
        <v>-1.67289</v>
      </c>
      <c r="J153" s="18"/>
    </row>
    <row r="154" spans="1:10" s="2" customFormat="1" ht="15" x14ac:dyDescent="0.2">
      <c r="A154" s="2" t="s">
        <v>1172</v>
      </c>
      <c r="B154" s="2" t="s">
        <v>3038</v>
      </c>
      <c r="C154" s="2" t="s">
        <v>2402</v>
      </c>
      <c r="D154" s="2" t="s">
        <v>1836</v>
      </c>
      <c r="E154" s="2" t="s">
        <v>1838</v>
      </c>
      <c r="F154" s="2">
        <v>4.6728100000000001</v>
      </c>
      <c r="G154" s="2">
        <v>1.4662599999999999</v>
      </c>
      <c r="H154" s="15">
        <v>-1.67215</v>
      </c>
    </row>
    <row r="155" spans="1:10" s="2" customFormat="1" ht="15" x14ac:dyDescent="0.2">
      <c r="A155" s="2" t="s">
        <v>56</v>
      </c>
      <c r="B155" s="2" t="s">
        <v>3040</v>
      </c>
      <c r="C155" s="2" t="s">
        <v>1869</v>
      </c>
      <c r="D155" s="2" t="s">
        <v>1836</v>
      </c>
      <c r="E155" s="2" t="s">
        <v>1838</v>
      </c>
      <c r="F155" s="2">
        <v>81.445899999999995</v>
      </c>
      <c r="G155" s="2">
        <v>25.654900000000001</v>
      </c>
      <c r="H155" s="15">
        <v>-1.6666099999999999</v>
      </c>
    </row>
    <row r="156" spans="1:10" s="2" customFormat="1" ht="15" x14ac:dyDescent="0.2">
      <c r="A156" s="2" t="s">
        <v>1220</v>
      </c>
      <c r="B156" s="2" t="s">
        <v>3015</v>
      </c>
      <c r="C156" s="2" t="s">
        <v>1862</v>
      </c>
      <c r="D156" s="2" t="s">
        <v>1836</v>
      </c>
      <c r="E156" s="2" t="s">
        <v>1838</v>
      </c>
      <c r="F156" s="2">
        <v>3.08724</v>
      </c>
      <c r="G156" s="2">
        <v>0.98291099999999998</v>
      </c>
      <c r="H156" s="15">
        <v>-1.6511800000000001</v>
      </c>
    </row>
    <row r="157" spans="1:10" s="2" customFormat="1" ht="15" x14ac:dyDescent="0.2">
      <c r="A157" s="2" t="s">
        <v>830</v>
      </c>
      <c r="B157" s="2" t="s">
        <v>3015</v>
      </c>
      <c r="C157" s="2" t="s">
        <v>2005</v>
      </c>
      <c r="D157" s="2" t="s">
        <v>1836</v>
      </c>
      <c r="E157" s="2" t="s">
        <v>1838</v>
      </c>
      <c r="F157" s="2">
        <v>2.8201299999999998</v>
      </c>
      <c r="G157" s="2">
        <v>0.89882200000000001</v>
      </c>
      <c r="H157" s="15">
        <v>-1.6496500000000001</v>
      </c>
      <c r="J157" s="18"/>
    </row>
    <row r="158" spans="1:10" s="2" customFormat="1" ht="15" x14ac:dyDescent="0.2">
      <c r="A158" s="2" t="s">
        <v>1449</v>
      </c>
      <c r="B158" s="2" t="s">
        <v>3379</v>
      </c>
      <c r="C158" s="2" t="s">
        <v>2600</v>
      </c>
      <c r="D158" s="2" t="s">
        <v>1836</v>
      </c>
      <c r="E158" s="2" t="s">
        <v>1838</v>
      </c>
      <c r="F158" s="2">
        <v>10.610799999999999</v>
      </c>
      <c r="G158" s="2">
        <v>3.3929900000000002</v>
      </c>
      <c r="H158" s="15">
        <v>-1.6449</v>
      </c>
      <c r="J158" s="18"/>
    </row>
    <row r="159" spans="1:10" s="2" customFormat="1" ht="15" x14ac:dyDescent="0.2">
      <c r="A159" s="2" t="s">
        <v>842</v>
      </c>
      <c r="B159" s="2" t="s">
        <v>3368</v>
      </c>
      <c r="C159" s="2" t="s">
        <v>2502</v>
      </c>
      <c r="D159" s="2" t="s">
        <v>1836</v>
      </c>
      <c r="E159" s="2" t="s">
        <v>1838</v>
      </c>
      <c r="F159" s="2">
        <v>9.3834</v>
      </c>
      <c r="G159" s="2">
        <v>3.0026000000000002</v>
      </c>
      <c r="H159" s="15">
        <v>-1.6438999999999999</v>
      </c>
    </row>
    <row r="160" spans="1:10" s="2" customFormat="1" ht="15" x14ac:dyDescent="0.2">
      <c r="A160" s="2" t="s">
        <v>759</v>
      </c>
      <c r="B160" s="2" t="s">
        <v>3204</v>
      </c>
      <c r="C160" s="2" t="s">
        <v>2190</v>
      </c>
      <c r="D160" s="2" t="s">
        <v>1836</v>
      </c>
      <c r="E160" s="2" t="s">
        <v>1838</v>
      </c>
      <c r="F160" s="2">
        <v>10.7218</v>
      </c>
      <c r="G160" s="2">
        <v>3.4334600000000002</v>
      </c>
      <c r="H160" s="15">
        <v>-1.6428100000000001</v>
      </c>
      <c r="J160" s="18"/>
    </row>
    <row r="161" spans="1:10" s="2" customFormat="1" ht="15" x14ac:dyDescent="0.2">
      <c r="A161" s="2" t="s">
        <v>133</v>
      </c>
      <c r="B161" s="2" t="s">
        <v>3291</v>
      </c>
      <c r="C161" s="2" t="s">
        <v>2404</v>
      </c>
      <c r="D161" s="2" t="s">
        <v>1836</v>
      </c>
      <c r="E161" s="2" t="s">
        <v>1838</v>
      </c>
      <c r="F161" s="2">
        <v>2.7873399999999999</v>
      </c>
      <c r="G161" s="2">
        <v>0.89385599999999998</v>
      </c>
      <c r="H161" s="15">
        <v>-1.6407700000000001</v>
      </c>
      <c r="J161" s="18"/>
    </row>
    <row r="162" spans="1:10" s="2" customFormat="1" ht="15" x14ac:dyDescent="0.2">
      <c r="A162" s="2" t="s">
        <v>1155</v>
      </c>
      <c r="B162" s="2" t="s">
        <v>3189</v>
      </c>
      <c r="C162" s="2" t="s">
        <v>2389</v>
      </c>
      <c r="D162" s="2" t="s">
        <v>1836</v>
      </c>
      <c r="E162" s="2" t="s">
        <v>1838</v>
      </c>
      <c r="F162" s="2">
        <v>1.12731</v>
      </c>
      <c r="G162" s="2">
        <v>0.36174699999999999</v>
      </c>
      <c r="H162" s="15">
        <v>-1.6398299999999999</v>
      </c>
      <c r="J162" s="18"/>
    </row>
    <row r="163" spans="1:10" s="2" customFormat="1" ht="15" x14ac:dyDescent="0.2">
      <c r="A163" s="2" t="s">
        <v>1341</v>
      </c>
      <c r="B163" s="2" t="s">
        <v>3081</v>
      </c>
      <c r="C163" s="2" t="s">
        <v>2537</v>
      </c>
      <c r="D163" s="2" t="s">
        <v>1836</v>
      </c>
      <c r="E163" s="2" t="s">
        <v>1838</v>
      </c>
      <c r="F163" s="2">
        <v>1.4122600000000001</v>
      </c>
      <c r="G163" s="2">
        <v>0.453872</v>
      </c>
      <c r="H163" s="15">
        <v>-1.6376500000000001</v>
      </c>
      <c r="J163" s="18"/>
    </row>
    <row r="164" spans="1:10" s="2" customFormat="1" ht="15" x14ac:dyDescent="0.2">
      <c r="A164" s="2" t="s">
        <v>1328</v>
      </c>
      <c r="B164" s="2" t="s">
        <v>3015</v>
      </c>
      <c r="C164" s="2" t="s">
        <v>1875</v>
      </c>
      <c r="D164" s="2" t="s">
        <v>1836</v>
      </c>
      <c r="E164" s="2" t="s">
        <v>1838</v>
      </c>
      <c r="F164" s="2">
        <v>3.2232400000000001</v>
      </c>
      <c r="G164" s="2">
        <v>1.0396000000000001</v>
      </c>
      <c r="H164" s="15">
        <v>-1.6324799999999999</v>
      </c>
      <c r="J164" s="18"/>
    </row>
    <row r="165" spans="1:10" s="2" customFormat="1" ht="15" x14ac:dyDescent="0.2">
      <c r="A165" s="2" t="s">
        <v>646</v>
      </c>
      <c r="B165" s="2" t="s">
        <v>3182</v>
      </c>
      <c r="C165" s="2" t="s">
        <v>2144</v>
      </c>
      <c r="D165" s="2" t="s">
        <v>1836</v>
      </c>
      <c r="E165" s="2" t="s">
        <v>1838</v>
      </c>
      <c r="F165" s="2">
        <v>7.4388699999999996</v>
      </c>
      <c r="G165" s="2">
        <v>2.4039100000000002</v>
      </c>
      <c r="H165" s="15">
        <v>-1.6296999999999999</v>
      </c>
      <c r="J165" s="18"/>
    </row>
    <row r="166" spans="1:10" s="2" customFormat="1" ht="15" x14ac:dyDescent="0.2">
      <c r="A166" s="2" t="s">
        <v>1281</v>
      </c>
      <c r="B166" s="2" t="s">
        <v>3015</v>
      </c>
      <c r="C166" s="2" t="s">
        <v>2485</v>
      </c>
      <c r="D166" s="2" t="s">
        <v>1836</v>
      </c>
      <c r="E166" s="2" t="s">
        <v>1838</v>
      </c>
      <c r="F166" s="2">
        <v>6.0064399999999996</v>
      </c>
      <c r="G166" s="2">
        <v>1.94323</v>
      </c>
      <c r="H166" s="15">
        <v>-1.62805</v>
      </c>
      <c r="J166" s="18"/>
    </row>
    <row r="167" spans="1:10" s="2" customFormat="1" ht="15" x14ac:dyDescent="0.2">
      <c r="A167" s="2" t="s">
        <v>38</v>
      </c>
      <c r="B167" s="2" t="s">
        <v>3035</v>
      </c>
      <c r="C167" s="2" t="s">
        <v>1892</v>
      </c>
      <c r="D167" s="2" t="s">
        <v>1836</v>
      </c>
      <c r="E167" s="2" t="s">
        <v>1838</v>
      </c>
      <c r="F167" s="2">
        <v>44.583599999999997</v>
      </c>
      <c r="G167" s="2">
        <v>14.430300000000001</v>
      </c>
      <c r="H167" s="15">
        <v>-1.62741</v>
      </c>
      <c r="J167" s="18"/>
    </row>
    <row r="168" spans="1:10" s="2" customFormat="1" ht="15" x14ac:dyDescent="0.2">
      <c r="A168" s="2" t="s">
        <v>1130</v>
      </c>
      <c r="B168" s="2" t="s">
        <v>3049</v>
      </c>
      <c r="C168" s="2" t="s">
        <v>2365</v>
      </c>
      <c r="D168" s="2" t="s">
        <v>1836</v>
      </c>
      <c r="E168" s="2" t="s">
        <v>1838</v>
      </c>
      <c r="F168" s="2">
        <v>1.2903800000000001</v>
      </c>
      <c r="G168" s="2">
        <v>0.41879300000000003</v>
      </c>
      <c r="H168" s="15">
        <v>-1.62348</v>
      </c>
    </row>
    <row r="169" spans="1:10" s="2" customFormat="1" ht="15" x14ac:dyDescent="0.2">
      <c r="A169" s="2" t="s">
        <v>657</v>
      </c>
      <c r="B169" s="2" t="s">
        <v>3185</v>
      </c>
      <c r="C169" s="2" t="s">
        <v>2150</v>
      </c>
      <c r="D169" s="2" t="s">
        <v>1836</v>
      </c>
      <c r="E169" s="2" t="s">
        <v>1838</v>
      </c>
      <c r="F169" s="2">
        <v>28.745100000000001</v>
      </c>
      <c r="G169" s="2">
        <v>9.3419699999999999</v>
      </c>
      <c r="H169" s="15">
        <v>-1.6215200000000001</v>
      </c>
    </row>
    <row r="170" spans="1:10" s="2" customFormat="1" ht="15" x14ac:dyDescent="0.2">
      <c r="A170" s="2" t="s">
        <v>581</v>
      </c>
      <c r="B170" s="2" t="s">
        <v>3167</v>
      </c>
      <c r="C170" s="2" t="s">
        <v>2117</v>
      </c>
      <c r="D170" s="2" t="s">
        <v>1836</v>
      </c>
      <c r="E170" s="2" t="s">
        <v>1838</v>
      </c>
      <c r="F170" s="2">
        <v>70.599400000000003</v>
      </c>
      <c r="G170" s="2">
        <v>22.953199999999999</v>
      </c>
      <c r="H170" s="15">
        <v>-1.62096</v>
      </c>
    </row>
    <row r="171" spans="1:10" s="2" customFormat="1" ht="15" x14ac:dyDescent="0.2">
      <c r="A171" s="2" t="s">
        <v>430</v>
      </c>
      <c r="B171" s="2" t="s">
        <v>3015</v>
      </c>
      <c r="C171" s="2" t="s">
        <v>2043</v>
      </c>
      <c r="D171" s="2" t="s">
        <v>1836</v>
      </c>
      <c r="E171" s="2" t="s">
        <v>1838</v>
      </c>
      <c r="F171" s="2">
        <v>2.1421100000000002</v>
      </c>
      <c r="G171" s="2">
        <v>0.70322700000000005</v>
      </c>
      <c r="H171" s="15">
        <v>-1.60697</v>
      </c>
    </row>
    <row r="172" spans="1:10" s="2" customFormat="1" ht="15" x14ac:dyDescent="0.2">
      <c r="A172" s="2" t="s">
        <v>914</v>
      </c>
      <c r="B172" s="2" t="s">
        <v>3015</v>
      </c>
      <c r="C172" s="2" t="s">
        <v>2268</v>
      </c>
      <c r="D172" s="2" t="s">
        <v>1836</v>
      </c>
      <c r="E172" s="2" t="s">
        <v>1838</v>
      </c>
      <c r="F172" s="2">
        <v>1.7861400000000001</v>
      </c>
      <c r="G172" s="2">
        <v>0.58648400000000001</v>
      </c>
      <c r="H172" s="15">
        <v>-1.6066800000000001</v>
      </c>
    </row>
    <row r="173" spans="1:10" s="2" customFormat="1" ht="15" x14ac:dyDescent="0.2">
      <c r="A173" s="2" t="s">
        <v>1242</v>
      </c>
      <c r="B173" s="2" t="s">
        <v>3300</v>
      </c>
      <c r="C173" s="2" t="s">
        <v>2450</v>
      </c>
      <c r="D173" s="2" t="s">
        <v>1836</v>
      </c>
      <c r="E173" s="2" t="s">
        <v>1838</v>
      </c>
      <c r="F173" s="2">
        <v>9.8988399999999999</v>
      </c>
      <c r="G173" s="2">
        <v>3.2591000000000001</v>
      </c>
      <c r="H173" s="15">
        <v>-1.6027800000000001</v>
      </c>
    </row>
    <row r="174" spans="1:10" s="2" customFormat="1" ht="15" x14ac:dyDescent="0.2">
      <c r="A174" s="2" t="s">
        <v>1414</v>
      </c>
      <c r="B174" s="2" t="s">
        <v>3015</v>
      </c>
      <c r="C174" s="2" t="s">
        <v>3015</v>
      </c>
      <c r="D174" s="2" t="s">
        <v>1836</v>
      </c>
      <c r="E174" s="2" t="s">
        <v>1838</v>
      </c>
      <c r="F174" s="2">
        <v>4.3289</v>
      </c>
      <c r="G174" s="2">
        <v>1.42713</v>
      </c>
      <c r="H174" s="15">
        <v>-1.6008800000000001</v>
      </c>
    </row>
    <row r="175" spans="1:10" s="2" customFormat="1" ht="15" x14ac:dyDescent="0.2">
      <c r="A175" s="2" t="s">
        <v>1248</v>
      </c>
      <c r="B175" s="2" t="s">
        <v>3015</v>
      </c>
      <c r="C175" s="2" t="s">
        <v>2455</v>
      </c>
      <c r="D175" s="2" t="s">
        <v>1836</v>
      </c>
      <c r="E175" s="2" t="s">
        <v>1838</v>
      </c>
      <c r="F175" s="2">
        <v>47.194699999999997</v>
      </c>
      <c r="G175" s="2">
        <v>15.59</v>
      </c>
      <c r="H175" s="15">
        <v>-1.5980099999999999</v>
      </c>
      <c r="J175" s="18"/>
    </row>
    <row r="176" spans="1:10" s="2" customFormat="1" ht="15" x14ac:dyDescent="0.2">
      <c r="A176" s="2" t="s">
        <v>1448</v>
      </c>
      <c r="B176" s="2" t="s">
        <v>3015</v>
      </c>
      <c r="C176" s="2" t="s">
        <v>3015</v>
      </c>
      <c r="D176" s="2" t="s">
        <v>1836</v>
      </c>
      <c r="E176" s="2" t="s">
        <v>1838</v>
      </c>
      <c r="F176" s="2">
        <v>2.6157400000000002</v>
      </c>
      <c r="G176" s="2">
        <v>0.86454299999999995</v>
      </c>
      <c r="H176" s="15">
        <v>-1.59721</v>
      </c>
      <c r="J176" s="18"/>
    </row>
    <row r="177" spans="1:10" s="2" customFormat="1" ht="15" x14ac:dyDescent="0.2">
      <c r="A177" s="2" t="s">
        <v>668</v>
      </c>
      <c r="B177" s="2" t="s">
        <v>3015</v>
      </c>
      <c r="C177" s="2" t="s">
        <v>3015</v>
      </c>
      <c r="D177" s="2" t="s">
        <v>1836</v>
      </c>
      <c r="E177" s="2" t="s">
        <v>1838</v>
      </c>
      <c r="F177" s="2">
        <v>7.1596099999999998</v>
      </c>
      <c r="G177" s="2">
        <v>2.3672900000000001</v>
      </c>
      <c r="H177" s="15">
        <v>-1.5966499999999999</v>
      </c>
      <c r="J177" s="18"/>
    </row>
    <row r="178" spans="1:10" s="2" customFormat="1" ht="15" x14ac:dyDescent="0.2">
      <c r="A178" s="2" t="s">
        <v>1386</v>
      </c>
      <c r="B178" s="2" t="s">
        <v>3068</v>
      </c>
      <c r="C178" s="2" t="s">
        <v>2562</v>
      </c>
      <c r="D178" s="2" t="s">
        <v>1836</v>
      </c>
      <c r="E178" s="2" t="s">
        <v>1838</v>
      </c>
      <c r="F178" s="2">
        <v>7.2402899999999999</v>
      </c>
      <c r="G178" s="2">
        <v>2.3975200000000001</v>
      </c>
      <c r="H178" s="15">
        <v>-1.5945100000000001</v>
      </c>
      <c r="J178" s="18"/>
    </row>
    <row r="179" spans="1:10" s="2" customFormat="1" ht="15" x14ac:dyDescent="0.2">
      <c r="A179" s="2" t="s">
        <v>1142</v>
      </c>
      <c r="B179" s="2" t="s">
        <v>3283</v>
      </c>
      <c r="C179" s="2" t="s">
        <v>2374</v>
      </c>
      <c r="D179" s="2" t="s">
        <v>1836</v>
      </c>
      <c r="E179" s="2" t="s">
        <v>1838</v>
      </c>
      <c r="F179" s="2">
        <v>1.3757699999999999</v>
      </c>
      <c r="G179" s="2">
        <v>0.456488</v>
      </c>
      <c r="H179" s="15">
        <v>-1.5915900000000001</v>
      </c>
    </row>
    <row r="180" spans="1:10" s="2" customFormat="1" ht="15" x14ac:dyDescent="0.2">
      <c r="A180" s="2" t="s">
        <v>1323</v>
      </c>
      <c r="B180" s="2" t="s">
        <v>3093</v>
      </c>
      <c r="C180" s="2" t="s">
        <v>2473</v>
      </c>
      <c r="D180" s="2" t="s">
        <v>1836</v>
      </c>
      <c r="E180" s="2" t="s">
        <v>1838</v>
      </c>
      <c r="F180" s="2">
        <v>2.62277</v>
      </c>
      <c r="G180" s="2">
        <v>0.871224</v>
      </c>
      <c r="H180" s="15">
        <v>-1.5899799999999999</v>
      </c>
      <c r="J180" s="18"/>
    </row>
    <row r="181" spans="1:10" s="2" customFormat="1" ht="15" x14ac:dyDescent="0.2">
      <c r="A181" s="2" t="s">
        <v>342</v>
      </c>
      <c r="B181" s="2" t="s">
        <v>3121</v>
      </c>
      <c r="C181" s="2" t="s">
        <v>3015</v>
      </c>
      <c r="D181" s="2" t="s">
        <v>1836</v>
      </c>
      <c r="E181" s="2" t="s">
        <v>1838</v>
      </c>
      <c r="F181" s="2">
        <v>8.3036999999999992</v>
      </c>
      <c r="G181" s="2">
        <v>2.7781500000000001</v>
      </c>
      <c r="H181" s="15">
        <v>-1.5796300000000001</v>
      </c>
    </row>
    <row r="182" spans="1:10" s="2" customFormat="1" ht="15" x14ac:dyDescent="0.2">
      <c r="A182" s="2" t="s">
        <v>595</v>
      </c>
      <c r="B182" s="2" t="s">
        <v>3171</v>
      </c>
      <c r="C182" s="2" t="s">
        <v>2123</v>
      </c>
      <c r="D182" s="2" t="s">
        <v>1836</v>
      </c>
      <c r="E182" s="2" t="s">
        <v>1838</v>
      </c>
      <c r="F182" s="2">
        <v>2.1012900000000001</v>
      </c>
      <c r="G182" s="2">
        <v>0.70708199999999999</v>
      </c>
      <c r="H182" s="15">
        <v>-1.5713200000000001</v>
      </c>
      <c r="J182" s="18"/>
    </row>
    <row r="183" spans="1:10" s="2" customFormat="1" ht="15" x14ac:dyDescent="0.2">
      <c r="A183" s="2" t="s">
        <v>835</v>
      </c>
      <c r="B183" s="2" t="s">
        <v>3218</v>
      </c>
      <c r="C183" s="2" t="s">
        <v>2225</v>
      </c>
      <c r="D183" s="2" t="s">
        <v>1836</v>
      </c>
      <c r="E183" s="2" t="s">
        <v>1838</v>
      </c>
      <c r="F183" s="2">
        <v>203.636</v>
      </c>
      <c r="G183" s="2">
        <v>69.062299999999993</v>
      </c>
      <c r="H183" s="15">
        <v>-1.56002</v>
      </c>
    </row>
    <row r="184" spans="1:10" s="2" customFormat="1" ht="15" x14ac:dyDescent="0.2">
      <c r="A184" s="2" t="s">
        <v>701</v>
      </c>
      <c r="B184" s="2" t="s">
        <v>3015</v>
      </c>
      <c r="C184" s="2" t="s">
        <v>2169</v>
      </c>
      <c r="D184" s="2" t="s">
        <v>1836</v>
      </c>
      <c r="E184" s="2" t="s">
        <v>1838</v>
      </c>
      <c r="F184" s="2">
        <v>2.2369500000000002</v>
      </c>
      <c r="G184" s="2">
        <v>0.76460399999999995</v>
      </c>
      <c r="H184" s="15">
        <v>-1.5487500000000001</v>
      </c>
      <c r="J184" s="18"/>
    </row>
    <row r="185" spans="1:10" s="2" customFormat="1" ht="15" x14ac:dyDescent="0.2">
      <c r="A185" s="2" t="s">
        <v>1000</v>
      </c>
      <c r="B185" s="2" t="s">
        <v>3015</v>
      </c>
      <c r="C185" s="2" t="s">
        <v>3015</v>
      </c>
      <c r="D185" s="2" t="s">
        <v>1836</v>
      </c>
      <c r="E185" s="2" t="s">
        <v>1838</v>
      </c>
      <c r="F185" s="2">
        <v>2.5510100000000002</v>
      </c>
      <c r="G185" s="2">
        <v>0.87454100000000001</v>
      </c>
      <c r="H185" s="15">
        <v>-1.54447</v>
      </c>
      <c r="J185" s="18"/>
    </row>
    <row r="186" spans="1:10" s="2" customFormat="1" ht="15" x14ac:dyDescent="0.2">
      <c r="A186" s="2" t="s">
        <v>463</v>
      </c>
      <c r="B186" s="2" t="s">
        <v>3015</v>
      </c>
      <c r="C186" s="2" t="s">
        <v>2482</v>
      </c>
      <c r="D186" s="2" t="s">
        <v>1836</v>
      </c>
      <c r="E186" s="2" t="s">
        <v>1838</v>
      </c>
      <c r="F186" s="2">
        <v>4.1204700000000001</v>
      </c>
      <c r="G186" s="2">
        <v>1.4219900000000001</v>
      </c>
      <c r="H186" s="15">
        <v>-1.5348999999999999</v>
      </c>
    </row>
    <row r="187" spans="1:10" s="2" customFormat="1" ht="15" x14ac:dyDescent="0.2">
      <c r="A187" s="2" t="s">
        <v>125</v>
      </c>
      <c r="B187" s="2" t="s">
        <v>3015</v>
      </c>
      <c r="C187" s="2" t="s">
        <v>2400</v>
      </c>
      <c r="D187" s="2" t="s">
        <v>1836</v>
      </c>
      <c r="E187" s="2" t="s">
        <v>1838</v>
      </c>
      <c r="F187" s="2">
        <v>720.69799999999998</v>
      </c>
      <c r="G187" s="2">
        <v>248.887</v>
      </c>
      <c r="H187" s="15">
        <v>-1.5339100000000001</v>
      </c>
      <c r="J187" s="18"/>
    </row>
    <row r="188" spans="1:10" s="2" customFormat="1" ht="15" x14ac:dyDescent="0.2">
      <c r="A188" s="2" t="s">
        <v>1460</v>
      </c>
      <c r="B188" s="2" t="s">
        <v>3015</v>
      </c>
      <c r="C188" s="2" t="s">
        <v>3015</v>
      </c>
      <c r="D188" s="2" t="s">
        <v>1836</v>
      </c>
      <c r="E188" s="2" t="s">
        <v>1838</v>
      </c>
      <c r="F188" s="2">
        <v>0.90095999999999998</v>
      </c>
      <c r="G188" s="2">
        <v>0.31146600000000002</v>
      </c>
      <c r="H188" s="15">
        <v>-1.5323899999999999</v>
      </c>
      <c r="J188" s="18"/>
    </row>
    <row r="189" spans="1:10" s="2" customFormat="1" ht="15" x14ac:dyDescent="0.2">
      <c r="A189" s="2" t="s">
        <v>1251</v>
      </c>
      <c r="B189" s="2" t="s">
        <v>3146</v>
      </c>
      <c r="C189" s="2" t="s">
        <v>2458</v>
      </c>
      <c r="D189" s="2" t="s">
        <v>1836</v>
      </c>
      <c r="E189" s="2" t="s">
        <v>1838</v>
      </c>
      <c r="F189" s="2">
        <v>22.19</v>
      </c>
      <c r="G189" s="2">
        <v>7.6844099999999997</v>
      </c>
      <c r="H189" s="15">
        <v>-1.5299</v>
      </c>
    </row>
    <row r="190" spans="1:10" s="2" customFormat="1" ht="15" x14ac:dyDescent="0.2">
      <c r="A190" s="2" t="s">
        <v>1267</v>
      </c>
      <c r="B190" s="2" t="s">
        <v>3090</v>
      </c>
      <c r="C190" s="2" t="s">
        <v>2470</v>
      </c>
      <c r="D190" s="2" t="s">
        <v>1836</v>
      </c>
      <c r="E190" s="2" t="s">
        <v>1838</v>
      </c>
      <c r="F190" s="2">
        <v>4.5533599999999996</v>
      </c>
      <c r="G190" s="2">
        <v>1.5814900000000001</v>
      </c>
      <c r="H190" s="15">
        <v>-1.5256400000000001</v>
      </c>
    </row>
    <row r="191" spans="1:10" s="2" customFormat="1" ht="15" x14ac:dyDescent="0.2">
      <c r="A191" s="2" t="s">
        <v>1205</v>
      </c>
      <c r="B191" s="2" t="s">
        <v>3015</v>
      </c>
      <c r="C191" s="2" t="s">
        <v>1847</v>
      </c>
      <c r="D191" s="2" t="s">
        <v>1836</v>
      </c>
      <c r="E191" s="2" t="s">
        <v>1838</v>
      </c>
      <c r="F191" s="2">
        <v>1.66167</v>
      </c>
      <c r="G191" s="2">
        <v>0.58242700000000003</v>
      </c>
      <c r="H191" s="15">
        <v>-1.51248</v>
      </c>
      <c r="J191" s="18"/>
    </row>
    <row r="192" spans="1:10" s="2" customFormat="1" ht="15" x14ac:dyDescent="0.2">
      <c r="A192" s="2" t="s">
        <v>1138</v>
      </c>
      <c r="B192" s="2" t="s">
        <v>3089</v>
      </c>
      <c r="C192" s="2" t="s">
        <v>2372</v>
      </c>
      <c r="D192" s="2" t="s">
        <v>1836</v>
      </c>
      <c r="E192" s="2" t="s">
        <v>1838</v>
      </c>
      <c r="F192" s="2">
        <v>3.6878199999999999</v>
      </c>
      <c r="G192" s="2">
        <v>1.2954000000000001</v>
      </c>
      <c r="H192" s="15">
        <v>-1.5093700000000001</v>
      </c>
    </row>
    <row r="193" spans="1:10" s="2" customFormat="1" ht="15" x14ac:dyDescent="0.2">
      <c r="A193" s="2" t="s">
        <v>394</v>
      </c>
      <c r="B193" s="2" t="s">
        <v>3015</v>
      </c>
      <c r="C193" s="2" t="s">
        <v>1847</v>
      </c>
      <c r="D193" s="2" t="s">
        <v>1836</v>
      </c>
      <c r="E193" s="2" t="s">
        <v>1838</v>
      </c>
      <c r="F193" s="2">
        <v>3.21462</v>
      </c>
      <c r="G193" s="2">
        <v>1.13306</v>
      </c>
      <c r="H193" s="15">
        <v>-1.5044200000000001</v>
      </c>
      <c r="J193" s="18"/>
    </row>
    <row r="194" spans="1:10" s="2" customFormat="1" ht="15" x14ac:dyDescent="0.2">
      <c r="A194" s="2" t="s">
        <v>1180</v>
      </c>
      <c r="B194" s="2" t="s">
        <v>3015</v>
      </c>
      <c r="C194" s="2" t="s">
        <v>2408</v>
      </c>
      <c r="D194" s="2" t="s">
        <v>1836</v>
      </c>
      <c r="E194" s="2" t="s">
        <v>1838</v>
      </c>
      <c r="F194" s="2">
        <v>1.3650199999999999</v>
      </c>
      <c r="G194" s="2">
        <v>0.48381999999999997</v>
      </c>
      <c r="H194" s="15">
        <v>-1.49638</v>
      </c>
    </row>
    <row r="195" spans="1:10" s="2" customFormat="1" ht="15" x14ac:dyDescent="0.2">
      <c r="A195" s="2" t="s">
        <v>427</v>
      </c>
      <c r="B195" s="2" t="s">
        <v>3015</v>
      </c>
      <c r="C195" s="2" t="s">
        <v>2477</v>
      </c>
      <c r="D195" s="2" t="s">
        <v>1836</v>
      </c>
      <c r="E195" s="2" t="s">
        <v>1838</v>
      </c>
      <c r="F195" s="2">
        <v>12.869300000000001</v>
      </c>
      <c r="G195" s="2">
        <v>4.5631599999999999</v>
      </c>
      <c r="H195" s="15">
        <v>-1.49583</v>
      </c>
      <c r="J195" s="18"/>
    </row>
    <row r="196" spans="1:10" s="2" customFormat="1" ht="15" x14ac:dyDescent="0.2">
      <c r="A196" s="2" t="s">
        <v>1319</v>
      </c>
      <c r="B196" s="2" t="s">
        <v>3015</v>
      </c>
      <c r="C196" s="2" t="s">
        <v>1862</v>
      </c>
      <c r="D196" s="2" t="s">
        <v>1836</v>
      </c>
      <c r="E196" s="2" t="s">
        <v>1838</v>
      </c>
      <c r="F196" s="2">
        <v>2.1225000000000001</v>
      </c>
      <c r="G196" s="2">
        <v>0.75275000000000003</v>
      </c>
      <c r="H196" s="15">
        <v>-1.49552</v>
      </c>
      <c r="J196" s="18"/>
    </row>
    <row r="197" spans="1:10" s="2" customFormat="1" ht="15" x14ac:dyDescent="0.2">
      <c r="A197" s="2" t="s">
        <v>1392</v>
      </c>
      <c r="B197" s="2" t="s">
        <v>3243</v>
      </c>
      <c r="C197" s="2" t="s">
        <v>1953</v>
      </c>
      <c r="D197" s="2" t="s">
        <v>1836</v>
      </c>
      <c r="E197" s="2" t="s">
        <v>1838</v>
      </c>
      <c r="F197" s="2">
        <v>228.00899999999999</v>
      </c>
      <c r="G197" s="2">
        <v>80.881799999999998</v>
      </c>
      <c r="H197" s="15">
        <v>-1.4952000000000001</v>
      </c>
      <c r="J197" s="18"/>
    </row>
    <row r="198" spans="1:10" s="2" customFormat="1" ht="15" x14ac:dyDescent="0.2">
      <c r="A198" s="2" t="s">
        <v>1365</v>
      </c>
      <c r="B198" s="2" t="s">
        <v>3081</v>
      </c>
      <c r="C198" s="2" t="s">
        <v>1965</v>
      </c>
      <c r="D198" s="2" t="s">
        <v>1836</v>
      </c>
      <c r="E198" s="2" t="s">
        <v>1838</v>
      </c>
      <c r="F198" s="2">
        <v>2.0848800000000001</v>
      </c>
      <c r="G198" s="2">
        <v>0.74038800000000005</v>
      </c>
      <c r="H198" s="15">
        <v>-1.4936100000000001</v>
      </c>
      <c r="J198" s="18"/>
    </row>
    <row r="199" spans="1:10" s="2" customFormat="1" ht="15" x14ac:dyDescent="0.2">
      <c r="A199" s="2" t="s">
        <v>1437</v>
      </c>
      <c r="B199" s="2" t="s">
        <v>3015</v>
      </c>
      <c r="C199" s="2" t="s">
        <v>1847</v>
      </c>
      <c r="D199" s="2" t="s">
        <v>1836</v>
      </c>
      <c r="E199" s="2" t="s">
        <v>1838</v>
      </c>
      <c r="F199" s="2">
        <v>6.4558200000000001</v>
      </c>
      <c r="G199" s="2">
        <v>2.30294</v>
      </c>
      <c r="H199" s="15">
        <v>-1.48712</v>
      </c>
      <c r="J199" s="18"/>
    </row>
    <row r="200" spans="1:10" s="2" customFormat="1" ht="15" x14ac:dyDescent="0.2">
      <c r="A200" s="2" t="s">
        <v>248</v>
      </c>
      <c r="B200" s="2" t="s">
        <v>3015</v>
      </c>
      <c r="C200" s="2" t="s">
        <v>1862</v>
      </c>
      <c r="D200" s="2" t="s">
        <v>1836</v>
      </c>
      <c r="E200" s="2" t="s">
        <v>1838</v>
      </c>
      <c r="F200" s="2">
        <v>1.48085</v>
      </c>
      <c r="G200" s="2">
        <v>0.52840100000000001</v>
      </c>
      <c r="H200" s="15">
        <v>-1.48672</v>
      </c>
      <c r="J200" s="18"/>
    </row>
    <row r="201" spans="1:10" s="2" customFormat="1" ht="15" x14ac:dyDescent="0.2">
      <c r="A201" s="2" t="s">
        <v>601</v>
      </c>
      <c r="B201" s="2" t="s">
        <v>3058</v>
      </c>
      <c r="C201" s="2" t="s">
        <v>2057</v>
      </c>
      <c r="D201" s="2" t="s">
        <v>1836</v>
      </c>
      <c r="E201" s="2" t="s">
        <v>1838</v>
      </c>
      <c r="F201" s="2">
        <v>4.4676499999999999</v>
      </c>
      <c r="G201" s="2">
        <v>1.59819</v>
      </c>
      <c r="H201" s="15">
        <v>-1.4830700000000001</v>
      </c>
    </row>
    <row r="202" spans="1:10" s="2" customFormat="1" ht="15" x14ac:dyDescent="0.2">
      <c r="A202" s="2" t="s">
        <v>1335</v>
      </c>
      <c r="B202" s="2" t="s">
        <v>3015</v>
      </c>
      <c r="C202" s="2" t="s">
        <v>2530</v>
      </c>
      <c r="D202" s="2" t="s">
        <v>1836</v>
      </c>
      <c r="E202" s="2" t="s">
        <v>1838</v>
      </c>
      <c r="F202" s="2">
        <v>1.2725900000000001</v>
      </c>
      <c r="G202" s="2">
        <v>0.45558399999999999</v>
      </c>
      <c r="H202" s="15">
        <v>-1.4819800000000001</v>
      </c>
      <c r="J202" s="18"/>
    </row>
    <row r="203" spans="1:10" s="2" customFormat="1" ht="15" x14ac:dyDescent="0.2">
      <c r="A203" s="2" t="s">
        <v>1192</v>
      </c>
      <c r="B203" s="2" t="s">
        <v>3087</v>
      </c>
      <c r="C203" s="2" t="s">
        <v>1947</v>
      </c>
      <c r="D203" s="2" t="s">
        <v>1836</v>
      </c>
      <c r="E203" s="2" t="s">
        <v>1838</v>
      </c>
      <c r="F203" s="2">
        <v>1.5593699999999999</v>
      </c>
      <c r="G203" s="2">
        <v>0.56005700000000003</v>
      </c>
      <c r="H203" s="15">
        <v>-1.47732</v>
      </c>
      <c r="J203" s="18"/>
    </row>
    <row r="204" spans="1:10" s="2" customFormat="1" ht="15" x14ac:dyDescent="0.2">
      <c r="A204" s="2" t="s">
        <v>1186</v>
      </c>
      <c r="B204" s="2" t="s">
        <v>3015</v>
      </c>
      <c r="C204" s="2" t="s">
        <v>2412</v>
      </c>
      <c r="D204" s="2" t="s">
        <v>1836</v>
      </c>
      <c r="E204" s="2" t="s">
        <v>1838</v>
      </c>
      <c r="F204" s="2">
        <v>2.6879</v>
      </c>
      <c r="G204" s="2">
        <v>0.96709999999999996</v>
      </c>
      <c r="H204" s="15">
        <v>-1.4747399999999999</v>
      </c>
      <c r="J204" s="18"/>
    </row>
    <row r="205" spans="1:10" s="2" customFormat="1" ht="15" x14ac:dyDescent="0.2">
      <c r="A205" s="2" t="s">
        <v>327</v>
      </c>
      <c r="B205" s="2" t="s">
        <v>3315</v>
      </c>
      <c r="C205" s="2" t="s">
        <v>2421</v>
      </c>
      <c r="D205" s="2" t="s">
        <v>1836</v>
      </c>
      <c r="E205" s="2" t="s">
        <v>1838</v>
      </c>
      <c r="F205" s="2">
        <v>4.6942700000000004</v>
      </c>
      <c r="G205" s="2">
        <v>1.69181</v>
      </c>
      <c r="H205" s="15">
        <v>-1.4723299999999999</v>
      </c>
      <c r="J205" s="18"/>
    </row>
    <row r="206" spans="1:10" s="2" customFormat="1" ht="15" x14ac:dyDescent="0.2">
      <c r="A206" s="2" t="s">
        <v>486</v>
      </c>
      <c r="B206" s="2" t="s">
        <v>3015</v>
      </c>
      <c r="C206" s="2" t="s">
        <v>1847</v>
      </c>
      <c r="D206" s="2" t="s">
        <v>1836</v>
      </c>
      <c r="E206" s="2" t="s">
        <v>1838</v>
      </c>
      <c r="F206" s="2">
        <v>66.097099999999998</v>
      </c>
      <c r="G206" s="2">
        <v>23.999700000000001</v>
      </c>
      <c r="H206" s="15">
        <v>-1.46157</v>
      </c>
      <c r="J206" s="18"/>
    </row>
    <row r="207" spans="1:10" s="2" customFormat="1" ht="15" x14ac:dyDescent="0.2">
      <c r="A207" s="2" t="s">
        <v>401</v>
      </c>
      <c r="B207" s="2" t="s">
        <v>3015</v>
      </c>
      <c r="C207" s="2" t="s">
        <v>3015</v>
      </c>
      <c r="D207" s="2" t="s">
        <v>1836</v>
      </c>
      <c r="E207" s="2" t="s">
        <v>1838</v>
      </c>
      <c r="F207" s="2">
        <v>0.95647199999999999</v>
      </c>
      <c r="G207" s="2">
        <v>0.347354</v>
      </c>
      <c r="H207" s="15">
        <v>-1.46132</v>
      </c>
      <c r="J207" s="18"/>
    </row>
    <row r="208" spans="1:10" s="2" customFormat="1" ht="15" x14ac:dyDescent="0.2">
      <c r="A208" s="2" t="s">
        <v>1416</v>
      </c>
      <c r="B208" s="2" t="s">
        <v>3372</v>
      </c>
      <c r="C208" s="2" t="s">
        <v>3015</v>
      </c>
      <c r="D208" s="2" t="s">
        <v>1836</v>
      </c>
      <c r="E208" s="2" t="s">
        <v>1838</v>
      </c>
      <c r="F208" s="2">
        <v>1.9464999999999999</v>
      </c>
      <c r="G208" s="2">
        <v>0.70725099999999996</v>
      </c>
      <c r="H208" s="15">
        <v>-1.4605900000000001</v>
      </c>
      <c r="J208" s="18"/>
    </row>
    <row r="209" spans="1:10" s="2" customFormat="1" ht="15" x14ac:dyDescent="0.2">
      <c r="A209" s="2" t="s">
        <v>648</v>
      </c>
      <c r="B209" s="2" t="s">
        <v>3015</v>
      </c>
      <c r="C209" s="2" t="s">
        <v>2145</v>
      </c>
      <c r="D209" s="2" t="s">
        <v>1836</v>
      </c>
      <c r="E209" s="2" t="s">
        <v>1838</v>
      </c>
      <c r="F209" s="2">
        <v>27.835999999999999</v>
      </c>
      <c r="G209" s="2">
        <v>10.144299999999999</v>
      </c>
      <c r="H209" s="15">
        <v>-1.45628</v>
      </c>
      <c r="J209" s="18"/>
    </row>
    <row r="210" spans="1:10" s="2" customFormat="1" ht="15" x14ac:dyDescent="0.2">
      <c r="A210" s="2" t="s">
        <v>173</v>
      </c>
      <c r="B210" s="2" t="s">
        <v>3298</v>
      </c>
      <c r="C210" s="2" t="s">
        <v>2417</v>
      </c>
      <c r="D210" s="2" t="s">
        <v>1836</v>
      </c>
      <c r="E210" s="2" t="s">
        <v>1838</v>
      </c>
      <c r="F210" s="2">
        <v>4.5422700000000003</v>
      </c>
      <c r="G210" s="2">
        <v>1.6573500000000001</v>
      </c>
      <c r="H210" s="15">
        <v>-1.4545399999999999</v>
      </c>
      <c r="J210" s="18"/>
    </row>
    <row r="211" spans="1:10" s="2" customFormat="1" ht="15" x14ac:dyDescent="0.2">
      <c r="A211" s="2" t="s">
        <v>1295</v>
      </c>
      <c r="B211" s="2" t="s">
        <v>3015</v>
      </c>
      <c r="C211" s="2" t="s">
        <v>2502</v>
      </c>
      <c r="D211" s="2" t="s">
        <v>1836</v>
      </c>
      <c r="E211" s="2" t="s">
        <v>1838</v>
      </c>
      <c r="F211" s="2">
        <v>1.1675800000000001</v>
      </c>
      <c r="G211" s="2">
        <v>0.42689700000000003</v>
      </c>
      <c r="H211" s="15">
        <v>-1.45156</v>
      </c>
    </row>
    <row r="212" spans="1:10" s="2" customFormat="1" ht="15" x14ac:dyDescent="0.2">
      <c r="A212" s="2" t="s">
        <v>1002</v>
      </c>
      <c r="B212" s="2" t="s">
        <v>3015</v>
      </c>
      <c r="C212" s="2" t="s">
        <v>3015</v>
      </c>
      <c r="D212" s="2" t="s">
        <v>1836</v>
      </c>
      <c r="E212" s="2" t="s">
        <v>1838</v>
      </c>
      <c r="F212" s="2">
        <v>11.661799999999999</v>
      </c>
      <c r="G212" s="2">
        <v>4.2900299999999998</v>
      </c>
      <c r="H212" s="15">
        <v>-1.4427300000000001</v>
      </c>
    </row>
    <row r="213" spans="1:10" s="2" customFormat="1" ht="15" x14ac:dyDescent="0.2">
      <c r="A213" s="2" t="s">
        <v>83</v>
      </c>
      <c r="B213" s="2" t="s">
        <v>3288</v>
      </c>
      <c r="C213" s="2" t="s">
        <v>2387</v>
      </c>
      <c r="D213" s="2" t="s">
        <v>1836</v>
      </c>
      <c r="E213" s="2" t="s">
        <v>1838</v>
      </c>
      <c r="F213" s="2">
        <v>8.71706</v>
      </c>
      <c r="G213" s="2">
        <v>3.2188699999999999</v>
      </c>
      <c r="H213" s="15">
        <v>-1.43729</v>
      </c>
    </row>
    <row r="214" spans="1:10" s="2" customFormat="1" ht="15" x14ac:dyDescent="0.2">
      <c r="A214" s="2" t="s">
        <v>1433</v>
      </c>
      <c r="B214" s="2" t="s">
        <v>3376</v>
      </c>
      <c r="C214" s="2" t="s">
        <v>2592</v>
      </c>
      <c r="D214" s="2" t="s">
        <v>1836</v>
      </c>
      <c r="E214" s="2" t="s">
        <v>1838</v>
      </c>
      <c r="F214" s="2">
        <v>1.99238</v>
      </c>
      <c r="G214" s="2">
        <v>0.73576399999999997</v>
      </c>
      <c r="H214" s="15">
        <v>-1.4371799999999999</v>
      </c>
      <c r="J214" s="18"/>
    </row>
    <row r="215" spans="1:10" s="2" customFormat="1" ht="15" x14ac:dyDescent="0.2">
      <c r="A215" s="2" t="s">
        <v>260</v>
      </c>
      <c r="B215" s="2" t="s">
        <v>3197</v>
      </c>
      <c r="C215" s="2" t="s">
        <v>2179</v>
      </c>
      <c r="D215" s="2" t="s">
        <v>1836</v>
      </c>
      <c r="E215" s="2" t="s">
        <v>1838</v>
      </c>
      <c r="F215" s="2">
        <v>8.90001</v>
      </c>
      <c r="G215" s="2">
        <v>3.2874300000000001</v>
      </c>
      <c r="H215" s="15">
        <v>-1.4368399999999999</v>
      </c>
      <c r="J215" s="18"/>
    </row>
    <row r="216" spans="1:10" s="2" customFormat="1" ht="15" x14ac:dyDescent="0.2">
      <c r="A216" s="2" t="s">
        <v>1123</v>
      </c>
      <c r="B216" s="2" t="s">
        <v>3015</v>
      </c>
      <c r="C216" s="2" t="s">
        <v>3015</v>
      </c>
      <c r="D216" s="2" t="s">
        <v>1836</v>
      </c>
      <c r="E216" s="2" t="s">
        <v>1838</v>
      </c>
      <c r="F216" s="2">
        <v>4.0791700000000004</v>
      </c>
      <c r="G216" s="2">
        <v>1.5074399999999999</v>
      </c>
      <c r="H216" s="15">
        <v>-1.4361699999999999</v>
      </c>
    </row>
    <row r="217" spans="1:10" s="2" customFormat="1" ht="15" x14ac:dyDescent="0.2">
      <c r="A217" s="2" t="s">
        <v>172</v>
      </c>
      <c r="B217" s="2" t="s">
        <v>3069</v>
      </c>
      <c r="C217" s="2" t="s">
        <v>1847</v>
      </c>
      <c r="D217" s="2" t="s">
        <v>1836</v>
      </c>
      <c r="E217" s="2" t="s">
        <v>1838</v>
      </c>
      <c r="F217" s="2">
        <v>2.29921</v>
      </c>
      <c r="G217" s="2">
        <v>0.84981200000000001</v>
      </c>
      <c r="H217" s="15">
        <v>-1.4359200000000001</v>
      </c>
      <c r="J217" s="18"/>
    </row>
    <row r="218" spans="1:10" s="2" customFormat="1" ht="15" x14ac:dyDescent="0.2">
      <c r="A218" s="2" t="s">
        <v>871</v>
      </c>
      <c r="B218" s="2" t="s">
        <v>3049</v>
      </c>
      <c r="C218" s="2" t="s">
        <v>2246</v>
      </c>
      <c r="D218" s="2" t="s">
        <v>1836</v>
      </c>
      <c r="E218" s="2" t="s">
        <v>1838</v>
      </c>
      <c r="F218" s="2">
        <v>35.804499999999997</v>
      </c>
      <c r="G218" s="2">
        <v>13.235300000000001</v>
      </c>
      <c r="H218" s="15">
        <v>-1.4357500000000001</v>
      </c>
    </row>
    <row r="219" spans="1:10" s="2" customFormat="1" ht="15" x14ac:dyDescent="0.2">
      <c r="A219" s="2" t="s">
        <v>206</v>
      </c>
      <c r="B219" s="2" t="s">
        <v>3084</v>
      </c>
      <c r="C219" s="2" t="s">
        <v>1941</v>
      </c>
      <c r="D219" s="2" t="s">
        <v>1836</v>
      </c>
      <c r="E219" s="2" t="s">
        <v>1838</v>
      </c>
      <c r="F219" s="2">
        <v>4.0017699999999996</v>
      </c>
      <c r="G219" s="2">
        <v>1.47973</v>
      </c>
      <c r="H219" s="15">
        <v>-1.4353</v>
      </c>
      <c r="J219" s="18"/>
    </row>
    <row r="220" spans="1:10" s="2" customFormat="1" ht="15" x14ac:dyDescent="0.2">
      <c r="A220" s="2" t="s">
        <v>18</v>
      </c>
      <c r="B220" s="2" t="s">
        <v>3015</v>
      </c>
      <c r="C220" s="2" t="s">
        <v>1850</v>
      </c>
      <c r="D220" s="2" t="s">
        <v>1836</v>
      </c>
      <c r="E220" s="2" t="s">
        <v>1838</v>
      </c>
      <c r="F220" s="2">
        <v>1.2079200000000001</v>
      </c>
      <c r="G220" s="2">
        <v>0.44714599999999999</v>
      </c>
      <c r="H220" s="15">
        <v>-1.43371</v>
      </c>
      <c r="J220" s="18"/>
    </row>
    <row r="221" spans="1:10" s="2" customFormat="1" ht="15" x14ac:dyDescent="0.2">
      <c r="A221" s="2" t="s">
        <v>1167</v>
      </c>
      <c r="B221" s="2" t="s">
        <v>3015</v>
      </c>
      <c r="C221" s="2" t="s">
        <v>2398</v>
      </c>
      <c r="D221" s="2" t="s">
        <v>1836</v>
      </c>
      <c r="E221" s="2" t="s">
        <v>1838</v>
      </c>
      <c r="F221" s="2">
        <v>0.91224899999999998</v>
      </c>
      <c r="G221" s="2">
        <v>0.34023199999999998</v>
      </c>
      <c r="H221" s="15">
        <v>-1.4229099999999999</v>
      </c>
      <c r="J221" s="18"/>
    </row>
    <row r="222" spans="1:10" s="2" customFormat="1" ht="15" x14ac:dyDescent="0.2">
      <c r="A222" s="2" t="s">
        <v>690</v>
      </c>
      <c r="B222" s="2" t="s">
        <v>3116</v>
      </c>
      <c r="C222" s="2" t="s">
        <v>2163</v>
      </c>
      <c r="D222" s="2" t="s">
        <v>1836</v>
      </c>
      <c r="E222" s="2" t="s">
        <v>1838</v>
      </c>
      <c r="F222" s="2">
        <v>2.5925099999999999</v>
      </c>
      <c r="G222" s="2">
        <v>0.97331199999999995</v>
      </c>
      <c r="H222" s="15">
        <v>-1.4133800000000001</v>
      </c>
    </row>
    <row r="223" spans="1:10" s="2" customFormat="1" ht="15" x14ac:dyDescent="0.2">
      <c r="A223" s="2" t="s">
        <v>297</v>
      </c>
      <c r="B223" s="2" t="s">
        <v>3015</v>
      </c>
      <c r="C223" s="2" t="s">
        <v>2438</v>
      </c>
      <c r="D223" s="2" t="s">
        <v>1836</v>
      </c>
      <c r="E223" s="2" t="s">
        <v>1838</v>
      </c>
      <c r="F223" s="2">
        <v>3.5659999999999998</v>
      </c>
      <c r="G223" s="2">
        <v>1.34213</v>
      </c>
      <c r="H223" s="15">
        <v>-1.40978</v>
      </c>
      <c r="J223" s="18"/>
    </row>
    <row r="224" spans="1:10" s="2" customFormat="1" ht="15" x14ac:dyDescent="0.2">
      <c r="A224" s="2" t="s">
        <v>1282</v>
      </c>
      <c r="B224" s="2" t="s">
        <v>3047</v>
      </c>
      <c r="C224" s="2" t="s">
        <v>1879</v>
      </c>
      <c r="D224" s="2" t="s">
        <v>1836</v>
      </c>
      <c r="E224" s="2" t="s">
        <v>1838</v>
      </c>
      <c r="F224" s="2">
        <v>1.4160999999999999</v>
      </c>
      <c r="G224" s="2">
        <v>0.53317800000000004</v>
      </c>
      <c r="H224" s="15">
        <v>-1.40923</v>
      </c>
      <c r="J224" s="18"/>
    </row>
    <row r="225" spans="1:10" s="2" customFormat="1" ht="15" x14ac:dyDescent="0.2">
      <c r="A225" s="2" t="s">
        <v>1286</v>
      </c>
      <c r="B225" s="2" t="s">
        <v>3334</v>
      </c>
      <c r="C225" s="2" t="s">
        <v>2494</v>
      </c>
      <c r="D225" s="2" t="s">
        <v>1836</v>
      </c>
      <c r="E225" s="2" t="s">
        <v>1838</v>
      </c>
      <c r="F225" s="2">
        <v>1.95628</v>
      </c>
      <c r="G225" s="2">
        <v>0.73667300000000002</v>
      </c>
      <c r="H225" s="15">
        <v>-1.4090199999999999</v>
      </c>
    </row>
    <row r="226" spans="1:10" s="2" customFormat="1" ht="15" x14ac:dyDescent="0.2">
      <c r="A226" s="2" t="s">
        <v>1153</v>
      </c>
      <c r="B226" s="2" t="s">
        <v>3049</v>
      </c>
      <c r="C226" s="2" t="s">
        <v>2006</v>
      </c>
      <c r="D226" s="2" t="s">
        <v>1836</v>
      </c>
      <c r="E226" s="2" t="s">
        <v>1838</v>
      </c>
      <c r="F226" s="2">
        <v>0.94909299999999996</v>
      </c>
      <c r="G226" s="2">
        <v>0.35759299999999999</v>
      </c>
      <c r="H226" s="15">
        <v>-1.4082300000000001</v>
      </c>
    </row>
    <row r="227" spans="1:10" s="2" customFormat="1" ht="15" x14ac:dyDescent="0.2">
      <c r="A227" s="2" t="s">
        <v>31</v>
      </c>
      <c r="B227" s="2" t="s">
        <v>3038</v>
      </c>
      <c r="C227" s="2" t="s">
        <v>2366</v>
      </c>
      <c r="D227" s="2" t="s">
        <v>1836</v>
      </c>
      <c r="E227" s="2" t="s">
        <v>1838</v>
      </c>
      <c r="F227" s="2">
        <v>18.437000000000001</v>
      </c>
      <c r="G227" s="2">
        <v>6.9905600000000003</v>
      </c>
      <c r="H227" s="15">
        <v>-1.3991199999999999</v>
      </c>
      <c r="J227" s="18"/>
    </row>
    <row r="228" spans="1:10" s="2" customFormat="1" ht="15" x14ac:dyDescent="0.2">
      <c r="A228" s="2" t="s">
        <v>1208</v>
      </c>
      <c r="B228" s="2" t="s">
        <v>3304</v>
      </c>
      <c r="C228" s="2" t="s">
        <v>2380</v>
      </c>
      <c r="D228" s="2" t="s">
        <v>1836</v>
      </c>
      <c r="E228" s="2" t="s">
        <v>1838</v>
      </c>
      <c r="F228" s="2">
        <v>2.8315299999999999</v>
      </c>
      <c r="G228" s="2">
        <v>1.0740099999999999</v>
      </c>
      <c r="H228" s="15">
        <v>-1.3985700000000001</v>
      </c>
      <c r="J228" s="18"/>
    </row>
    <row r="229" spans="1:10" s="2" customFormat="1" ht="15" x14ac:dyDescent="0.2">
      <c r="A229" s="2" t="s">
        <v>158</v>
      </c>
      <c r="B229" s="2" t="s">
        <v>3015</v>
      </c>
      <c r="C229" s="2" t="s">
        <v>1919</v>
      </c>
      <c r="D229" s="2" t="s">
        <v>1836</v>
      </c>
      <c r="E229" s="2" t="s">
        <v>1838</v>
      </c>
      <c r="F229" s="2">
        <v>2.25888</v>
      </c>
      <c r="G229" s="2">
        <v>0.85797599999999996</v>
      </c>
      <c r="H229" s="15">
        <v>-1.3966000000000001</v>
      </c>
    </row>
    <row r="230" spans="1:10" s="2" customFormat="1" ht="15" x14ac:dyDescent="0.2">
      <c r="A230" s="2" t="s">
        <v>1022</v>
      </c>
      <c r="B230" s="2" t="s">
        <v>3015</v>
      </c>
      <c r="C230" s="2" t="s">
        <v>1847</v>
      </c>
      <c r="D230" s="2" t="s">
        <v>1836</v>
      </c>
      <c r="E230" s="2" t="s">
        <v>1838</v>
      </c>
      <c r="F230" s="2">
        <v>3.0855399999999999</v>
      </c>
      <c r="G230" s="2">
        <v>1.1734599999999999</v>
      </c>
      <c r="H230" s="15">
        <v>-1.3947499999999999</v>
      </c>
    </row>
    <row r="231" spans="1:10" s="2" customFormat="1" ht="15" x14ac:dyDescent="0.2">
      <c r="A231" s="2" t="s">
        <v>1050</v>
      </c>
      <c r="B231" s="2" t="s">
        <v>3015</v>
      </c>
      <c r="C231" s="2" t="s">
        <v>2601</v>
      </c>
      <c r="D231" s="2" t="s">
        <v>1836</v>
      </c>
      <c r="E231" s="2" t="s">
        <v>1838</v>
      </c>
      <c r="F231" s="2">
        <v>3.4470299999999998</v>
      </c>
      <c r="G231" s="2">
        <v>1.3156600000000001</v>
      </c>
      <c r="H231" s="15">
        <v>-1.3895599999999999</v>
      </c>
    </row>
    <row r="232" spans="1:10" s="2" customFormat="1" ht="15" x14ac:dyDescent="0.2">
      <c r="A232" s="2" t="s">
        <v>1353</v>
      </c>
      <c r="B232" s="2" t="s">
        <v>3015</v>
      </c>
      <c r="C232" s="2" t="s">
        <v>2543</v>
      </c>
      <c r="D232" s="2" t="s">
        <v>1836</v>
      </c>
      <c r="E232" s="2" t="s">
        <v>1838</v>
      </c>
      <c r="F232" s="2">
        <v>1.44001</v>
      </c>
      <c r="G232" s="2">
        <v>0.54995300000000003</v>
      </c>
      <c r="H232" s="15">
        <v>-1.3887</v>
      </c>
    </row>
    <row r="233" spans="1:10" s="2" customFormat="1" ht="15" x14ac:dyDescent="0.2">
      <c r="A233" s="2" t="s">
        <v>66</v>
      </c>
      <c r="B233" s="2" t="s">
        <v>3015</v>
      </c>
      <c r="C233" s="2" t="s">
        <v>1877</v>
      </c>
      <c r="D233" s="2" t="s">
        <v>1836</v>
      </c>
      <c r="E233" s="2" t="s">
        <v>1838</v>
      </c>
      <c r="F233" s="2">
        <v>2.3613400000000002</v>
      </c>
      <c r="G233" s="2">
        <v>0.90427000000000002</v>
      </c>
      <c r="H233" s="15">
        <v>-1.3847799999999999</v>
      </c>
      <c r="J233" s="18"/>
    </row>
    <row r="234" spans="1:10" s="2" customFormat="1" ht="15" x14ac:dyDescent="0.2">
      <c r="A234" s="2" t="s">
        <v>1030</v>
      </c>
      <c r="B234" s="2" t="s">
        <v>3050</v>
      </c>
      <c r="C234" s="2" t="s">
        <v>2327</v>
      </c>
      <c r="D234" s="2" t="s">
        <v>1836</v>
      </c>
      <c r="E234" s="2" t="s">
        <v>1838</v>
      </c>
      <c r="F234" s="2">
        <v>0.75981799999999999</v>
      </c>
      <c r="G234" s="2">
        <v>0.29194100000000001</v>
      </c>
      <c r="H234" s="15">
        <v>-1.37998</v>
      </c>
      <c r="J234" s="18"/>
    </row>
    <row r="235" spans="1:10" s="2" customFormat="1" ht="15" x14ac:dyDescent="0.2">
      <c r="A235" s="2" t="s">
        <v>1312</v>
      </c>
      <c r="B235" s="2" t="s">
        <v>3087</v>
      </c>
      <c r="C235" s="2" t="s">
        <v>2513</v>
      </c>
      <c r="D235" s="2" t="s">
        <v>1836</v>
      </c>
      <c r="E235" s="2" t="s">
        <v>1838</v>
      </c>
      <c r="F235" s="2">
        <v>1.10179</v>
      </c>
      <c r="G235" s="2">
        <v>0.423398</v>
      </c>
      <c r="H235" s="15">
        <v>-1.3797600000000001</v>
      </c>
    </row>
    <row r="236" spans="1:10" s="2" customFormat="1" ht="15" x14ac:dyDescent="0.2">
      <c r="A236" s="2" t="s">
        <v>699</v>
      </c>
      <c r="B236" s="2" t="s">
        <v>3153</v>
      </c>
      <c r="C236" s="2" t="s">
        <v>2541</v>
      </c>
      <c r="D236" s="2" t="s">
        <v>1836</v>
      </c>
      <c r="E236" s="2" t="s">
        <v>1838</v>
      </c>
      <c r="F236" s="2">
        <v>49.238199999999999</v>
      </c>
      <c r="G236" s="2">
        <v>18.924800000000001</v>
      </c>
      <c r="H236" s="15">
        <v>-1.3794999999999999</v>
      </c>
      <c r="J236" s="18"/>
    </row>
    <row r="237" spans="1:10" s="2" customFormat="1" ht="15" x14ac:dyDescent="0.2">
      <c r="A237" s="2" t="s">
        <v>474</v>
      </c>
      <c r="B237" s="2" t="s">
        <v>3015</v>
      </c>
      <c r="C237" s="2" t="s">
        <v>1892</v>
      </c>
      <c r="D237" s="2" t="s">
        <v>1836</v>
      </c>
      <c r="E237" s="2" t="s">
        <v>1838</v>
      </c>
      <c r="F237" s="2">
        <v>22.055499999999999</v>
      </c>
      <c r="G237" s="2">
        <v>8.4771099999999997</v>
      </c>
      <c r="H237" s="15">
        <v>-1.3794900000000001</v>
      </c>
      <c r="J237" s="18"/>
    </row>
    <row r="238" spans="1:10" s="2" customFormat="1" ht="15" x14ac:dyDescent="0.2">
      <c r="A238" s="2" t="s">
        <v>624</v>
      </c>
      <c r="B238" s="2" t="s">
        <v>3158</v>
      </c>
      <c r="C238" s="2" t="s">
        <v>2520</v>
      </c>
      <c r="D238" s="2" t="s">
        <v>1836</v>
      </c>
      <c r="E238" s="2" t="s">
        <v>1838</v>
      </c>
      <c r="F238" s="2">
        <v>25.8858</v>
      </c>
      <c r="G238" s="2">
        <v>9.9911799999999999</v>
      </c>
      <c r="H238" s="15">
        <v>-1.3734299999999999</v>
      </c>
      <c r="J238" s="18"/>
    </row>
    <row r="239" spans="1:10" s="2" customFormat="1" ht="15" x14ac:dyDescent="0.2">
      <c r="A239" s="2" t="s">
        <v>777</v>
      </c>
      <c r="B239" s="2" t="s">
        <v>3360</v>
      </c>
      <c r="C239" s="2" t="s">
        <v>2563</v>
      </c>
      <c r="D239" s="2" t="s">
        <v>1836</v>
      </c>
      <c r="E239" s="2" t="s">
        <v>1838</v>
      </c>
      <c r="F239" s="2">
        <v>3.3238799999999999</v>
      </c>
      <c r="G239" s="2">
        <v>1.28331</v>
      </c>
      <c r="H239" s="15">
        <v>-1.373</v>
      </c>
      <c r="J239" s="18"/>
    </row>
    <row r="240" spans="1:10" s="2" customFormat="1" ht="15" x14ac:dyDescent="0.2">
      <c r="A240" s="2" t="s">
        <v>778</v>
      </c>
      <c r="B240" s="2" t="s">
        <v>3094</v>
      </c>
      <c r="C240" s="2" t="s">
        <v>2321</v>
      </c>
      <c r="D240" s="2" t="s">
        <v>1836</v>
      </c>
      <c r="E240" s="2" t="s">
        <v>1838</v>
      </c>
      <c r="F240" s="2">
        <v>4.3981700000000004</v>
      </c>
      <c r="G240" s="2">
        <v>1.69875</v>
      </c>
      <c r="H240" s="15">
        <v>-1.37243</v>
      </c>
    </row>
    <row r="241" spans="1:10" s="2" customFormat="1" ht="15" x14ac:dyDescent="0.2">
      <c r="A241" s="2" t="s">
        <v>1164</v>
      </c>
      <c r="B241" s="2" t="s">
        <v>3030</v>
      </c>
      <c r="C241" s="2" t="s">
        <v>2397</v>
      </c>
      <c r="D241" s="2" t="s">
        <v>1836</v>
      </c>
      <c r="E241" s="2" t="s">
        <v>1838</v>
      </c>
      <c r="F241" s="2">
        <v>3.1493099999999998</v>
      </c>
      <c r="G241" s="2">
        <v>1.2176</v>
      </c>
      <c r="H241" s="15">
        <v>-1.3709899999999999</v>
      </c>
    </row>
    <row r="242" spans="1:10" s="2" customFormat="1" ht="15" x14ac:dyDescent="0.2">
      <c r="A242" s="2" t="s">
        <v>456</v>
      </c>
      <c r="B242" s="2" t="s">
        <v>3143</v>
      </c>
      <c r="C242" s="2" t="s">
        <v>2058</v>
      </c>
      <c r="D242" s="2" t="s">
        <v>1836</v>
      </c>
      <c r="E242" s="2" t="s">
        <v>1838</v>
      </c>
      <c r="F242" s="2">
        <v>389.113</v>
      </c>
      <c r="G242" s="2">
        <v>150.80199999999999</v>
      </c>
      <c r="H242" s="15">
        <v>-1.3675299999999999</v>
      </c>
    </row>
    <row r="243" spans="1:10" s="2" customFormat="1" ht="15" x14ac:dyDescent="0.2">
      <c r="A243" s="2" t="s">
        <v>279</v>
      </c>
      <c r="B243" s="2" t="s">
        <v>3015</v>
      </c>
      <c r="C243" s="2" t="s">
        <v>1972</v>
      </c>
      <c r="D243" s="2" t="s">
        <v>1836</v>
      </c>
      <c r="E243" s="2" t="s">
        <v>1838</v>
      </c>
      <c r="F243" s="2">
        <v>0.92411299999999996</v>
      </c>
      <c r="G243" s="2">
        <v>0.358377</v>
      </c>
      <c r="H243" s="15">
        <v>-1.36659</v>
      </c>
    </row>
    <row r="244" spans="1:10" s="2" customFormat="1" ht="15" x14ac:dyDescent="0.2">
      <c r="A244" s="2" t="s">
        <v>953</v>
      </c>
      <c r="B244" s="2" t="s">
        <v>3015</v>
      </c>
      <c r="C244" s="2" t="s">
        <v>2288</v>
      </c>
      <c r="D244" s="2" t="s">
        <v>1836</v>
      </c>
      <c r="E244" s="2" t="s">
        <v>1838</v>
      </c>
      <c r="F244" s="2">
        <v>3.8626299999999998</v>
      </c>
      <c r="G244" s="2">
        <v>1.4980500000000001</v>
      </c>
      <c r="H244" s="15">
        <v>-1.3665</v>
      </c>
      <c r="J244" s="18"/>
    </row>
    <row r="245" spans="1:10" s="2" customFormat="1" ht="15" x14ac:dyDescent="0.2">
      <c r="A245" s="2" t="s">
        <v>942</v>
      </c>
      <c r="B245" s="2" t="s">
        <v>3243</v>
      </c>
      <c r="C245" s="2" t="s">
        <v>1847</v>
      </c>
      <c r="D245" s="2" t="s">
        <v>1836</v>
      </c>
      <c r="E245" s="2" t="s">
        <v>1838</v>
      </c>
      <c r="F245" s="2">
        <v>8.2205399999999997</v>
      </c>
      <c r="G245" s="2">
        <v>3.1914899999999999</v>
      </c>
      <c r="H245" s="15">
        <v>-1.365</v>
      </c>
    </row>
    <row r="246" spans="1:10" s="2" customFormat="1" ht="15" x14ac:dyDescent="0.2">
      <c r="A246" s="2" t="s">
        <v>1425</v>
      </c>
      <c r="B246" s="2" t="s">
        <v>3081</v>
      </c>
      <c r="C246" s="2" t="s">
        <v>1965</v>
      </c>
      <c r="D246" s="2" t="s">
        <v>1836</v>
      </c>
      <c r="E246" s="2" t="s">
        <v>1838</v>
      </c>
      <c r="F246" s="2">
        <v>3.2894000000000001</v>
      </c>
      <c r="G246" s="2">
        <v>1.2805599999999999</v>
      </c>
      <c r="H246" s="15">
        <v>-1.3610500000000001</v>
      </c>
      <c r="J246" s="18"/>
    </row>
    <row r="247" spans="1:10" s="2" customFormat="1" ht="15" x14ac:dyDescent="0.2">
      <c r="A247" s="2" t="s">
        <v>14</v>
      </c>
      <c r="B247" s="2" t="s">
        <v>3015</v>
      </c>
      <c r="C247" s="2" t="s">
        <v>2362</v>
      </c>
      <c r="D247" s="2" t="s">
        <v>1836</v>
      </c>
      <c r="E247" s="2" t="s">
        <v>1838</v>
      </c>
      <c r="F247" s="2">
        <v>6.8305100000000003</v>
      </c>
      <c r="G247" s="2">
        <v>2.6626099999999999</v>
      </c>
      <c r="H247" s="15">
        <v>-1.3591500000000001</v>
      </c>
    </row>
    <row r="248" spans="1:10" s="2" customFormat="1" ht="15" x14ac:dyDescent="0.2">
      <c r="A248" s="2" t="s">
        <v>1016</v>
      </c>
      <c r="B248" s="2" t="s">
        <v>3038</v>
      </c>
      <c r="C248" s="2" t="s">
        <v>2320</v>
      </c>
      <c r="D248" s="2" t="s">
        <v>1836</v>
      </c>
      <c r="E248" s="2" t="s">
        <v>1838</v>
      </c>
      <c r="F248" s="2">
        <v>1.04027</v>
      </c>
      <c r="G248" s="2">
        <v>0.40648499999999999</v>
      </c>
      <c r="H248" s="15">
        <v>-1.35568</v>
      </c>
    </row>
    <row r="249" spans="1:10" s="2" customFormat="1" ht="15" x14ac:dyDescent="0.2">
      <c r="A249" s="2" t="s">
        <v>106</v>
      </c>
      <c r="B249" s="2" t="s">
        <v>3015</v>
      </c>
      <c r="C249" s="2" t="s">
        <v>2393</v>
      </c>
      <c r="D249" s="2" t="s">
        <v>1836</v>
      </c>
      <c r="E249" s="2" t="s">
        <v>1838</v>
      </c>
      <c r="F249" s="2">
        <v>50.068399999999997</v>
      </c>
      <c r="G249" s="2">
        <v>19.598500000000001</v>
      </c>
      <c r="H249" s="15">
        <v>-1.3531599999999999</v>
      </c>
    </row>
    <row r="250" spans="1:10" s="2" customFormat="1" ht="15" x14ac:dyDescent="0.2">
      <c r="A250" s="2" t="s">
        <v>272</v>
      </c>
      <c r="B250" s="2" t="s">
        <v>3307</v>
      </c>
      <c r="C250" s="2" t="s">
        <v>2433</v>
      </c>
      <c r="D250" s="2" t="s">
        <v>1836</v>
      </c>
      <c r="E250" s="2" t="s">
        <v>1838</v>
      </c>
      <c r="F250" s="2">
        <v>22.128599999999999</v>
      </c>
      <c r="G250" s="2">
        <v>8.66981</v>
      </c>
      <c r="H250" s="15">
        <v>-1.3518399999999999</v>
      </c>
    </row>
    <row r="251" spans="1:10" s="2" customFormat="1" ht="15" x14ac:dyDescent="0.2">
      <c r="A251" s="2" t="s">
        <v>859</v>
      </c>
      <c r="B251" s="2" t="s">
        <v>3015</v>
      </c>
      <c r="C251" s="2" t="s">
        <v>2241</v>
      </c>
      <c r="D251" s="2" t="s">
        <v>1836</v>
      </c>
      <c r="E251" s="2" t="s">
        <v>1838</v>
      </c>
      <c r="F251" s="2">
        <v>2.6664599999999998</v>
      </c>
      <c r="G251" s="2">
        <v>1.04566</v>
      </c>
      <c r="H251" s="15">
        <v>-1.3505199999999999</v>
      </c>
    </row>
    <row r="252" spans="1:10" s="2" customFormat="1" ht="15" x14ac:dyDescent="0.2">
      <c r="A252" s="2" t="s">
        <v>1139</v>
      </c>
      <c r="B252" s="2" t="s">
        <v>3015</v>
      </c>
      <c r="C252" s="2" t="s">
        <v>1917</v>
      </c>
      <c r="D252" s="2" t="s">
        <v>1836</v>
      </c>
      <c r="E252" s="2" t="s">
        <v>1838</v>
      </c>
      <c r="F252" s="2">
        <v>2.33988</v>
      </c>
      <c r="G252" s="2">
        <v>0.92010199999999998</v>
      </c>
      <c r="H252" s="15">
        <v>-1.34657</v>
      </c>
      <c r="J252" s="18"/>
    </row>
    <row r="253" spans="1:10" s="2" customFormat="1" ht="15" x14ac:dyDescent="0.2">
      <c r="A253" s="2" t="s">
        <v>582</v>
      </c>
      <c r="B253" s="2" t="s">
        <v>3015</v>
      </c>
      <c r="C253" s="2" t="s">
        <v>3015</v>
      </c>
      <c r="D253" s="2" t="s">
        <v>1836</v>
      </c>
      <c r="E253" s="2" t="s">
        <v>1838</v>
      </c>
      <c r="F253" s="2">
        <v>24.3767</v>
      </c>
      <c r="G253" s="2">
        <v>9.5897699999999997</v>
      </c>
      <c r="H253" s="15">
        <v>-1.3459399999999999</v>
      </c>
      <c r="J253" s="18"/>
    </row>
    <row r="254" spans="1:10" s="2" customFormat="1" ht="15" x14ac:dyDescent="0.2">
      <c r="A254" s="2" t="s">
        <v>171</v>
      </c>
      <c r="B254" s="2" t="s">
        <v>3035</v>
      </c>
      <c r="C254" s="2" t="s">
        <v>2415</v>
      </c>
      <c r="D254" s="2" t="s">
        <v>1836</v>
      </c>
      <c r="E254" s="2" t="s">
        <v>1838</v>
      </c>
      <c r="F254" s="2">
        <v>98.718900000000005</v>
      </c>
      <c r="G254" s="2">
        <v>38.875900000000001</v>
      </c>
      <c r="H254" s="15">
        <v>-1.3444499999999999</v>
      </c>
      <c r="J254" s="18"/>
    </row>
    <row r="255" spans="1:10" s="2" customFormat="1" ht="15" x14ac:dyDescent="0.2">
      <c r="A255" s="2" t="s">
        <v>647</v>
      </c>
      <c r="B255" s="2" t="s">
        <v>3015</v>
      </c>
      <c r="C255" s="2" t="s">
        <v>2528</v>
      </c>
      <c r="D255" s="2" t="s">
        <v>1836</v>
      </c>
      <c r="E255" s="2" t="s">
        <v>1838</v>
      </c>
      <c r="F255" s="2">
        <v>27.730599999999999</v>
      </c>
      <c r="G255" s="2">
        <v>10.9251</v>
      </c>
      <c r="H255" s="15">
        <v>-1.3438399999999999</v>
      </c>
    </row>
    <row r="256" spans="1:10" s="2" customFormat="1" ht="15" x14ac:dyDescent="0.2">
      <c r="A256" s="2" t="s">
        <v>242</v>
      </c>
      <c r="B256" s="2" t="s">
        <v>3303</v>
      </c>
      <c r="C256" s="2" t="s">
        <v>2428</v>
      </c>
      <c r="D256" s="2" t="s">
        <v>1836</v>
      </c>
      <c r="E256" s="2" t="s">
        <v>1838</v>
      </c>
      <c r="F256" s="2">
        <v>13.1554</v>
      </c>
      <c r="G256" s="2">
        <v>5.1860499999999998</v>
      </c>
      <c r="H256" s="15">
        <v>-1.3429500000000001</v>
      </c>
      <c r="J256" s="18"/>
    </row>
    <row r="257" spans="1:10" s="2" customFormat="1" ht="15" x14ac:dyDescent="0.2">
      <c r="A257" s="2" t="s">
        <v>264</v>
      </c>
      <c r="B257" s="2" t="s">
        <v>3102</v>
      </c>
      <c r="C257" s="2" t="s">
        <v>1968</v>
      </c>
      <c r="D257" s="2" t="s">
        <v>1836</v>
      </c>
      <c r="E257" s="2" t="s">
        <v>1838</v>
      </c>
      <c r="F257" s="2">
        <v>1.15181</v>
      </c>
      <c r="G257" s="2">
        <v>0.45606000000000002</v>
      </c>
      <c r="H257" s="15">
        <v>-1.3366100000000001</v>
      </c>
      <c r="J257" s="18"/>
    </row>
    <row r="258" spans="1:10" s="2" customFormat="1" ht="15" x14ac:dyDescent="0.2">
      <c r="A258" s="2" t="s">
        <v>1331</v>
      </c>
      <c r="B258" s="2" t="s">
        <v>3191</v>
      </c>
      <c r="C258" s="2" t="s">
        <v>2526</v>
      </c>
      <c r="D258" s="2" t="s">
        <v>1836</v>
      </c>
      <c r="E258" s="2" t="s">
        <v>1838</v>
      </c>
      <c r="F258" s="2">
        <v>4.28444</v>
      </c>
      <c r="G258" s="2">
        <v>1.6968000000000001</v>
      </c>
      <c r="H258" s="15">
        <v>-1.33629</v>
      </c>
      <c r="J258" s="18"/>
    </row>
    <row r="259" spans="1:10" s="2" customFormat="1" ht="15" x14ac:dyDescent="0.2">
      <c r="A259" s="2" t="s">
        <v>461</v>
      </c>
      <c r="B259" s="2" t="s">
        <v>3015</v>
      </c>
      <c r="C259" s="2" t="s">
        <v>2060</v>
      </c>
      <c r="D259" s="2" t="s">
        <v>1836</v>
      </c>
      <c r="E259" s="2" t="s">
        <v>1838</v>
      </c>
      <c r="F259" s="2">
        <v>9.4544499999999996</v>
      </c>
      <c r="G259" s="2">
        <v>3.7604799999999998</v>
      </c>
      <c r="H259" s="15">
        <v>-1.3300799999999999</v>
      </c>
      <c r="J259" s="18"/>
    </row>
    <row r="260" spans="1:10" s="2" customFormat="1" ht="15" x14ac:dyDescent="0.2">
      <c r="A260" s="2" t="s">
        <v>514</v>
      </c>
      <c r="B260" s="2" t="s">
        <v>3045</v>
      </c>
      <c r="C260" s="2" t="s">
        <v>2491</v>
      </c>
      <c r="D260" s="2" t="s">
        <v>1836</v>
      </c>
      <c r="E260" s="2" t="s">
        <v>1838</v>
      </c>
      <c r="F260" s="2">
        <v>19.6432</v>
      </c>
      <c r="G260" s="2">
        <v>7.8249399999999998</v>
      </c>
      <c r="H260" s="15">
        <v>-1.3278799999999999</v>
      </c>
    </row>
    <row r="261" spans="1:10" s="2" customFormat="1" ht="15" x14ac:dyDescent="0.2">
      <c r="A261" s="2" t="s">
        <v>81</v>
      </c>
      <c r="B261" s="2" t="s">
        <v>3271</v>
      </c>
      <c r="C261" s="2" t="s">
        <v>2386</v>
      </c>
      <c r="D261" s="2" t="s">
        <v>1836</v>
      </c>
      <c r="E261" s="2" t="s">
        <v>1838</v>
      </c>
      <c r="F261" s="2">
        <v>4.8410299999999999</v>
      </c>
      <c r="G261" s="2">
        <v>1.93167</v>
      </c>
      <c r="H261" s="15">
        <v>-1.3254699999999999</v>
      </c>
    </row>
    <row r="262" spans="1:10" s="2" customFormat="1" ht="15" x14ac:dyDescent="0.2">
      <c r="A262" s="2" t="s">
        <v>374</v>
      </c>
      <c r="B262" s="2" t="s">
        <v>3015</v>
      </c>
      <c r="C262" s="2" t="s">
        <v>2466</v>
      </c>
      <c r="D262" s="2" t="s">
        <v>1836</v>
      </c>
      <c r="E262" s="2" t="s">
        <v>1838</v>
      </c>
      <c r="F262" s="2">
        <v>26.980599999999999</v>
      </c>
      <c r="G262" s="2">
        <v>10.828200000000001</v>
      </c>
      <c r="H262" s="15">
        <v>-1.3171299999999999</v>
      </c>
    </row>
    <row r="263" spans="1:10" s="2" customFormat="1" ht="15" x14ac:dyDescent="0.2">
      <c r="A263" s="2" t="s">
        <v>496</v>
      </c>
      <c r="B263" s="2" t="s">
        <v>3015</v>
      </c>
      <c r="C263" s="2" t="s">
        <v>1847</v>
      </c>
      <c r="D263" s="2" t="s">
        <v>1836</v>
      </c>
      <c r="E263" s="2" t="s">
        <v>1838</v>
      </c>
      <c r="F263" s="2">
        <v>2.05965</v>
      </c>
      <c r="G263" s="2">
        <v>0.82718499999999995</v>
      </c>
      <c r="H263" s="15">
        <v>-1.31612</v>
      </c>
    </row>
    <row r="264" spans="1:10" s="2" customFormat="1" ht="15" x14ac:dyDescent="0.2">
      <c r="A264" s="2" t="s">
        <v>1064</v>
      </c>
      <c r="B264" s="2" t="s">
        <v>3015</v>
      </c>
      <c r="C264" s="2" t="s">
        <v>1854</v>
      </c>
      <c r="D264" s="2" t="s">
        <v>1836</v>
      </c>
      <c r="E264" s="2" t="s">
        <v>1838</v>
      </c>
      <c r="F264" s="2">
        <v>7.1749999999999998</v>
      </c>
      <c r="G264" s="2">
        <v>2.8826000000000001</v>
      </c>
      <c r="H264" s="15">
        <v>-1.3156099999999999</v>
      </c>
      <c r="J264" s="18"/>
    </row>
    <row r="265" spans="1:10" s="2" customFormat="1" ht="15" x14ac:dyDescent="0.2">
      <c r="A265" s="2" t="s">
        <v>1309</v>
      </c>
      <c r="B265" s="2" t="s">
        <v>3032</v>
      </c>
      <c r="C265" s="2" t="s">
        <v>1847</v>
      </c>
      <c r="D265" s="2" t="s">
        <v>1836</v>
      </c>
      <c r="E265" s="2" t="s">
        <v>1838</v>
      </c>
      <c r="F265" s="2">
        <v>1.00776</v>
      </c>
      <c r="G265" s="2">
        <v>0.40649400000000002</v>
      </c>
      <c r="H265" s="15">
        <v>-1.3098399999999999</v>
      </c>
      <c r="J265" s="18"/>
    </row>
    <row r="266" spans="1:10" s="2" customFormat="1" ht="15" x14ac:dyDescent="0.2">
      <c r="A266" s="2" t="s">
        <v>1227</v>
      </c>
      <c r="B266" s="2" t="s">
        <v>3015</v>
      </c>
      <c r="C266" s="2" t="s">
        <v>2439</v>
      </c>
      <c r="D266" s="2" t="s">
        <v>1836</v>
      </c>
      <c r="E266" s="2" t="s">
        <v>1838</v>
      </c>
      <c r="F266" s="2">
        <v>0.83289199999999997</v>
      </c>
      <c r="G266" s="2">
        <v>0.33635599999999999</v>
      </c>
      <c r="H266" s="15">
        <v>-1.3081400000000001</v>
      </c>
    </row>
    <row r="267" spans="1:10" s="2" customFormat="1" ht="15" x14ac:dyDescent="0.2">
      <c r="A267" s="2" t="s">
        <v>961</v>
      </c>
      <c r="B267" s="2" t="s">
        <v>3247</v>
      </c>
      <c r="C267" s="2" t="s">
        <v>2294</v>
      </c>
      <c r="D267" s="2" t="s">
        <v>1836</v>
      </c>
      <c r="E267" s="2" t="s">
        <v>1838</v>
      </c>
      <c r="F267" s="2">
        <v>39.926600000000001</v>
      </c>
      <c r="G267" s="2">
        <v>16.1511</v>
      </c>
      <c r="H267" s="15">
        <v>-1.30572</v>
      </c>
    </row>
    <row r="268" spans="1:10" s="2" customFormat="1" ht="15" x14ac:dyDescent="0.2">
      <c r="A268" s="2" t="s">
        <v>1400</v>
      </c>
      <c r="B268" s="2" t="s">
        <v>3015</v>
      </c>
      <c r="C268" s="2" t="s">
        <v>2577</v>
      </c>
      <c r="D268" s="2" t="s">
        <v>1836</v>
      </c>
      <c r="E268" s="2" t="s">
        <v>1838</v>
      </c>
      <c r="F268" s="2">
        <v>1.79372</v>
      </c>
      <c r="G268" s="2">
        <v>0.72582400000000002</v>
      </c>
      <c r="H268" s="15">
        <v>-1.3052600000000001</v>
      </c>
    </row>
    <row r="269" spans="1:10" s="2" customFormat="1" ht="15" x14ac:dyDescent="0.2">
      <c r="A269" s="2" t="s">
        <v>1398</v>
      </c>
      <c r="B269" s="2" t="s">
        <v>3081</v>
      </c>
      <c r="C269" s="2" t="s">
        <v>2574</v>
      </c>
      <c r="D269" s="2" t="s">
        <v>1836</v>
      </c>
      <c r="E269" s="2" t="s">
        <v>1838</v>
      </c>
      <c r="F269" s="2">
        <v>2.7931699999999999</v>
      </c>
      <c r="G269" s="2">
        <v>1.13262</v>
      </c>
      <c r="H269" s="15">
        <v>-1.30223</v>
      </c>
      <c r="J269" s="18"/>
    </row>
    <row r="270" spans="1:10" s="2" customFormat="1" ht="15" x14ac:dyDescent="0.2">
      <c r="A270" s="2" t="s">
        <v>1446</v>
      </c>
      <c r="B270" s="2" t="s">
        <v>3377</v>
      </c>
      <c r="C270" s="2" t="s">
        <v>2598</v>
      </c>
      <c r="D270" s="2" t="s">
        <v>1836</v>
      </c>
      <c r="E270" s="2" t="s">
        <v>1838</v>
      </c>
      <c r="F270" s="2">
        <v>13.4358</v>
      </c>
      <c r="G270" s="2">
        <v>5.4520400000000002</v>
      </c>
      <c r="H270" s="15">
        <v>-1.30121</v>
      </c>
      <c r="J270" s="18"/>
    </row>
    <row r="271" spans="1:10" s="2" customFormat="1" ht="15" x14ac:dyDescent="0.2">
      <c r="A271" s="2" t="s">
        <v>1212</v>
      </c>
      <c r="B271" s="2" t="s">
        <v>3306</v>
      </c>
      <c r="C271" s="2" t="s">
        <v>2430</v>
      </c>
      <c r="D271" s="2" t="s">
        <v>1836</v>
      </c>
      <c r="E271" s="2" t="s">
        <v>1838</v>
      </c>
      <c r="F271" s="2">
        <v>5.4852400000000001</v>
      </c>
      <c r="G271" s="2">
        <v>2.2300200000000001</v>
      </c>
      <c r="H271" s="15">
        <v>-1.2985</v>
      </c>
      <c r="J271" s="18"/>
    </row>
    <row r="272" spans="1:10" s="2" customFormat="1" ht="15" x14ac:dyDescent="0.2">
      <c r="A272" s="2" t="s">
        <v>987</v>
      </c>
      <c r="B272" s="2" t="s">
        <v>3015</v>
      </c>
      <c r="C272" s="2" t="s">
        <v>3015</v>
      </c>
      <c r="D272" s="2" t="s">
        <v>1836</v>
      </c>
      <c r="E272" s="2" t="s">
        <v>1838</v>
      </c>
      <c r="F272" s="2">
        <v>1.93133</v>
      </c>
      <c r="G272" s="2">
        <v>0.78715400000000002</v>
      </c>
      <c r="H272" s="15">
        <v>-1.29488</v>
      </c>
      <c r="J272" s="18"/>
    </row>
    <row r="273" spans="1:10" s="2" customFormat="1" ht="15" x14ac:dyDescent="0.2">
      <c r="A273" s="2" t="s">
        <v>1401</v>
      </c>
      <c r="B273" s="2" t="s">
        <v>3367</v>
      </c>
      <c r="C273" s="2" t="s">
        <v>2578</v>
      </c>
      <c r="D273" s="2" t="s">
        <v>1836</v>
      </c>
      <c r="E273" s="2" t="s">
        <v>1838</v>
      </c>
      <c r="F273" s="2">
        <v>41.184199999999997</v>
      </c>
      <c r="G273" s="2">
        <v>16.8048</v>
      </c>
      <c r="H273" s="15">
        <v>-1.29322</v>
      </c>
      <c r="J273" s="18"/>
    </row>
    <row r="274" spans="1:10" s="2" customFormat="1" ht="15" x14ac:dyDescent="0.2">
      <c r="A274" s="2" t="s">
        <v>181</v>
      </c>
      <c r="B274" s="2" t="s">
        <v>3037</v>
      </c>
      <c r="C274" s="2" t="s">
        <v>1866</v>
      </c>
      <c r="D274" s="2" t="s">
        <v>1836</v>
      </c>
      <c r="E274" s="2" t="s">
        <v>1838</v>
      </c>
      <c r="F274" s="2">
        <v>2.34788</v>
      </c>
      <c r="G274" s="2">
        <v>0.95892299999999997</v>
      </c>
      <c r="H274" s="15">
        <v>-1.2918700000000001</v>
      </c>
      <c r="J274" s="18"/>
    </row>
    <row r="275" spans="1:10" s="2" customFormat="1" ht="15" x14ac:dyDescent="0.2">
      <c r="A275" s="2" t="s">
        <v>977</v>
      </c>
      <c r="B275" s="2" t="s">
        <v>3058</v>
      </c>
      <c r="C275" s="2" t="s">
        <v>2018</v>
      </c>
      <c r="D275" s="2" t="s">
        <v>1836</v>
      </c>
      <c r="E275" s="2" t="s">
        <v>1838</v>
      </c>
      <c r="F275" s="2">
        <v>16.8019</v>
      </c>
      <c r="G275" s="2">
        <v>6.8839499999999996</v>
      </c>
      <c r="H275" s="15">
        <v>-1.28731</v>
      </c>
      <c r="J275" s="18"/>
    </row>
    <row r="276" spans="1:10" s="2" customFormat="1" ht="15" x14ac:dyDescent="0.2">
      <c r="A276" s="2" t="s">
        <v>399</v>
      </c>
      <c r="B276" s="2" t="s">
        <v>3038</v>
      </c>
      <c r="C276" s="2" t="s">
        <v>2027</v>
      </c>
      <c r="D276" s="2" t="s">
        <v>1836</v>
      </c>
      <c r="E276" s="2" t="s">
        <v>1838</v>
      </c>
      <c r="F276" s="2">
        <v>1.50061</v>
      </c>
      <c r="G276" s="2">
        <v>0.61538800000000005</v>
      </c>
      <c r="H276" s="15">
        <v>-1.2859799999999999</v>
      </c>
      <c r="J276" s="18"/>
    </row>
    <row r="277" spans="1:10" s="2" customFormat="1" ht="15" x14ac:dyDescent="0.2">
      <c r="A277" s="2" t="s">
        <v>1326</v>
      </c>
      <c r="B277" s="2" t="s">
        <v>3015</v>
      </c>
      <c r="C277" s="2" t="s">
        <v>2071</v>
      </c>
      <c r="D277" s="2" t="s">
        <v>1836</v>
      </c>
      <c r="E277" s="2" t="s">
        <v>1838</v>
      </c>
      <c r="F277" s="2">
        <v>5.84856</v>
      </c>
      <c r="G277" s="2">
        <v>2.4004099999999999</v>
      </c>
      <c r="H277" s="15">
        <v>-1.2847999999999999</v>
      </c>
    </row>
    <row r="278" spans="1:10" s="2" customFormat="1" ht="15" x14ac:dyDescent="0.2">
      <c r="A278" s="2" t="s">
        <v>1459</v>
      </c>
      <c r="B278" s="2" t="s">
        <v>3015</v>
      </c>
      <c r="C278" s="2" t="s">
        <v>2605</v>
      </c>
      <c r="D278" s="2" t="s">
        <v>1836</v>
      </c>
      <c r="E278" s="2" t="s">
        <v>1838</v>
      </c>
      <c r="F278" s="2">
        <v>1.08341</v>
      </c>
      <c r="G278" s="2">
        <v>0.445465</v>
      </c>
      <c r="H278" s="15">
        <v>-1.2822</v>
      </c>
    </row>
    <row r="279" spans="1:10" s="2" customFormat="1" ht="15" x14ac:dyDescent="0.2">
      <c r="A279" s="2" t="s">
        <v>773</v>
      </c>
      <c r="B279" s="2" t="s">
        <v>3038</v>
      </c>
      <c r="C279" s="2" t="s">
        <v>2034</v>
      </c>
      <c r="D279" s="2" t="s">
        <v>1836</v>
      </c>
      <c r="E279" s="2" t="s">
        <v>1838</v>
      </c>
      <c r="F279" s="2">
        <v>4.3860599999999996</v>
      </c>
      <c r="G279" s="2">
        <v>1.80416</v>
      </c>
      <c r="H279" s="15">
        <v>-1.2816000000000001</v>
      </c>
      <c r="J279" s="18"/>
    </row>
    <row r="280" spans="1:10" s="2" customFormat="1" ht="15" x14ac:dyDescent="0.2">
      <c r="A280" s="2" t="s">
        <v>848</v>
      </c>
      <c r="B280" s="2" t="s">
        <v>3015</v>
      </c>
      <c r="C280" s="2" t="s">
        <v>2234</v>
      </c>
      <c r="D280" s="2" t="s">
        <v>1836</v>
      </c>
      <c r="E280" s="2" t="s">
        <v>1838</v>
      </c>
      <c r="F280" s="2">
        <v>0.98852300000000004</v>
      </c>
      <c r="G280" s="2">
        <v>0.406808</v>
      </c>
      <c r="H280" s="15">
        <v>-1.2809299999999999</v>
      </c>
    </row>
    <row r="281" spans="1:10" s="2" customFormat="1" ht="15" x14ac:dyDescent="0.2">
      <c r="A281" s="2" t="s">
        <v>1107</v>
      </c>
      <c r="B281" s="2" t="s">
        <v>3015</v>
      </c>
      <c r="C281" s="2" t="s">
        <v>3015</v>
      </c>
      <c r="D281" s="2" t="s">
        <v>1836</v>
      </c>
      <c r="E281" s="2" t="s">
        <v>1838</v>
      </c>
      <c r="F281" s="2">
        <v>1.4206799999999999</v>
      </c>
      <c r="G281" s="2">
        <v>0.58769700000000002</v>
      </c>
      <c r="H281" s="15">
        <v>-1.2734399999999999</v>
      </c>
      <c r="J281" s="18"/>
    </row>
    <row r="282" spans="1:10" s="2" customFormat="1" ht="15" x14ac:dyDescent="0.2">
      <c r="A282" s="2" t="s">
        <v>1469</v>
      </c>
      <c r="B282" s="2" t="s">
        <v>3253</v>
      </c>
      <c r="C282" s="2" t="s">
        <v>2611</v>
      </c>
      <c r="D282" s="2" t="s">
        <v>1836</v>
      </c>
      <c r="E282" s="2" t="s">
        <v>1838</v>
      </c>
      <c r="F282" s="2">
        <v>9.0486500000000003</v>
      </c>
      <c r="G282" s="2">
        <v>3.7441599999999999</v>
      </c>
      <c r="H282" s="15">
        <v>-1.2730600000000001</v>
      </c>
      <c r="J282" s="18"/>
    </row>
    <row r="283" spans="1:10" s="2" customFormat="1" ht="15" x14ac:dyDescent="0.2">
      <c r="A283" s="2" t="s">
        <v>1418</v>
      </c>
      <c r="B283" s="2" t="s">
        <v>3015</v>
      </c>
      <c r="C283" s="2" t="s">
        <v>3015</v>
      </c>
      <c r="D283" s="2" t="s">
        <v>1836</v>
      </c>
      <c r="E283" s="2" t="s">
        <v>1838</v>
      </c>
      <c r="F283" s="2">
        <v>9.5686199999999992</v>
      </c>
      <c r="G283" s="2">
        <v>3.97031</v>
      </c>
      <c r="H283" s="15">
        <v>-1.2690600000000001</v>
      </c>
      <c r="J283" s="18"/>
    </row>
    <row r="284" spans="1:10" s="2" customFormat="1" ht="15" x14ac:dyDescent="0.2">
      <c r="A284" s="2" t="s">
        <v>730</v>
      </c>
      <c r="B284" s="2" t="s">
        <v>3030</v>
      </c>
      <c r="C284" s="2" t="s">
        <v>1862</v>
      </c>
      <c r="D284" s="2" t="s">
        <v>1836</v>
      </c>
      <c r="E284" s="2" t="s">
        <v>1838</v>
      </c>
      <c r="F284" s="2">
        <v>1.82142</v>
      </c>
      <c r="G284" s="2">
        <v>0.75722400000000001</v>
      </c>
      <c r="H284" s="15">
        <v>-1.26627</v>
      </c>
      <c r="J284" s="18"/>
    </row>
    <row r="285" spans="1:10" s="2" customFormat="1" ht="15" x14ac:dyDescent="0.2">
      <c r="A285" s="2" t="s">
        <v>80</v>
      </c>
      <c r="B285" s="2" t="s">
        <v>3287</v>
      </c>
      <c r="C285" s="2" t="s">
        <v>2045</v>
      </c>
      <c r="D285" s="2" t="s">
        <v>1836</v>
      </c>
      <c r="E285" s="2" t="s">
        <v>1838</v>
      </c>
      <c r="F285" s="2">
        <v>8.4488199999999996</v>
      </c>
      <c r="G285" s="2">
        <v>3.5159199999999999</v>
      </c>
      <c r="H285" s="15">
        <v>-1.26485</v>
      </c>
    </row>
    <row r="286" spans="1:10" s="2" customFormat="1" ht="15" x14ac:dyDescent="0.2">
      <c r="A286" s="2" t="s">
        <v>1228</v>
      </c>
      <c r="B286" s="2" t="s">
        <v>3015</v>
      </c>
      <c r="C286" s="2" t="s">
        <v>2440</v>
      </c>
      <c r="D286" s="2" t="s">
        <v>1836</v>
      </c>
      <c r="E286" s="2" t="s">
        <v>1838</v>
      </c>
      <c r="F286" s="2">
        <v>1.40924</v>
      </c>
      <c r="G286" s="2">
        <v>0.58754099999999998</v>
      </c>
      <c r="H286" s="15">
        <v>-1.2621599999999999</v>
      </c>
      <c r="J286" s="18"/>
    </row>
    <row r="287" spans="1:10" s="2" customFormat="1" ht="15" x14ac:dyDescent="0.2">
      <c r="A287" s="2" t="s">
        <v>797</v>
      </c>
      <c r="B287" s="2" t="s">
        <v>3209</v>
      </c>
      <c r="C287" s="2" t="s">
        <v>2205</v>
      </c>
      <c r="D287" s="2" t="s">
        <v>1836</v>
      </c>
      <c r="E287" s="2" t="s">
        <v>1838</v>
      </c>
      <c r="F287" s="2">
        <v>22.359100000000002</v>
      </c>
      <c r="G287" s="2">
        <v>9.3239099999999997</v>
      </c>
      <c r="H287" s="15">
        <v>-1.2618499999999999</v>
      </c>
      <c r="J287" s="18"/>
    </row>
    <row r="288" spans="1:10" s="2" customFormat="1" ht="15" x14ac:dyDescent="0.2">
      <c r="A288" s="2" t="s">
        <v>891</v>
      </c>
      <c r="B288" s="2" t="s">
        <v>3371</v>
      </c>
      <c r="C288" s="2" t="s">
        <v>1934</v>
      </c>
      <c r="D288" s="2" t="s">
        <v>1836</v>
      </c>
      <c r="E288" s="2" t="s">
        <v>1838</v>
      </c>
      <c r="F288" s="2">
        <v>5.8880999999999997</v>
      </c>
      <c r="G288" s="2">
        <v>2.4565700000000001</v>
      </c>
      <c r="H288" s="15">
        <v>-1.26115</v>
      </c>
      <c r="J288" s="18"/>
    </row>
    <row r="289" spans="1:10" s="2" customFormat="1" ht="15" x14ac:dyDescent="0.2">
      <c r="A289" s="2" t="s">
        <v>1426</v>
      </c>
      <c r="B289" s="2" t="s">
        <v>3182</v>
      </c>
      <c r="C289" s="2" t="s">
        <v>2587</v>
      </c>
      <c r="D289" s="2" t="s">
        <v>1836</v>
      </c>
      <c r="E289" s="2" t="s">
        <v>1838</v>
      </c>
      <c r="F289" s="2">
        <v>2.16147</v>
      </c>
      <c r="G289" s="2">
        <v>0.90241400000000005</v>
      </c>
      <c r="H289" s="15">
        <v>-1.2601500000000001</v>
      </c>
      <c r="J289" s="18"/>
    </row>
    <row r="290" spans="1:10" s="2" customFormat="1" ht="15" x14ac:dyDescent="0.2">
      <c r="A290" s="2" t="s">
        <v>480</v>
      </c>
      <c r="B290" s="2" t="s">
        <v>3039</v>
      </c>
      <c r="C290" s="2" t="s">
        <v>2068</v>
      </c>
      <c r="D290" s="2" t="s">
        <v>1836</v>
      </c>
      <c r="E290" s="2" t="s">
        <v>1838</v>
      </c>
      <c r="F290" s="2">
        <v>9.6453000000000007</v>
      </c>
      <c r="G290" s="2">
        <v>4.0371899999999998</v>
      </c>
      <c r="H290" s="15">
        <v>-1.25647</v>
      </c>
      <c r="J290" s="18"/>
    </row>
    <row r="291" spans="1:10" s="2" customFormat="1" ht="15" x14ac:dyDescent="0.2">
      <c r="A291" s="2" t="s">
        <v>962</v>
      </c>
      <c r="B291" s="2" t="s">
        <v>3245</v>
      </c>
      <c r="C291" s="2" t="s">
        <v>2590</v>
      </c>
      <c r="D291" s="2" t="s">
        <v>1836</v>
      </c>
      <c r="E291" s="2" t="s">
        <v>1838</v>
      </c>
      <c r="F291" s="2">
        <v>15.619300000000001</v>
      </c>
      <c r="G291" s="2">
        <v>6.5407599999999997</v>
      </c>
      <c r="H291" s="15">
        <v>-1.2558</v>
      </c>
      <c r="J291" s="18"/>
    </row>
    <row r="292" spans="1:10" s="2" customFormat="1" ht="15" x14ac:dyDescent="0.2">
      <c r="A292" s="2" t="s">
        <v>89</v>
      </c>
      <c r="B292" s="2" t="s">
        <v>3046</v>
      </c>
      <c r="C292" s="2" t="s">
        <v>1882</v>
      </c>
      <c r="D292" s="2" t="s">
        <v>1836</v>
      </c>
      <c r="E292" s="2" t="s">
        <v>1838</v>
      </c>
      <c r="F292" s="2">
        <v>2.21008</v>
      </c>
      <c r="G292" s="2">
        <v>0.92837400000000003</v>
      </c>
      <c r="H292" s="15">
        <v>-1.25132</v>
      </c>
      <c r="J292" s="18"/>
    </row>
    <row r="293" spans="1:10" s="2" customFormat="1" ht="15" x14ac:dyDescent="0.2">
      <c r="A293" s="2" t="s">
        <v>94</v>
      </c>
      <c r="B293" s="2" t="s">
        <v>3286</v>
      </c>
      <c r="C293" s="2" t="s">
        <v>3015</v>
      </c>
      <c r="D293" s="2" t="s">
        <v>1836</v>
      </c>
      <c r="E293" s="2" t="s">
        <v>1838</v>
      </c>
      <c r="F293" s="2">
        <v>54.419400000000003</v>
      </c>
      <c r="G293" s="2">
        <v>22.908799999999999</v>
      </c>
      <c r="H293" s="15">
        <v>-1.2482200000000001</v>
      </c>
    </row>
    <row r="294" spans="1:10" s="2" customFormat="1" ht="15" x14ac:dyDescent="0.2">
      <c r="A294" s="2" t="s">
        <v>91</v>
      </c>
      <c r="B294" s="2" t="s">
        <v>3030</v>
      </c>
      <c r="C294" s="2" t="s">
        <v>1880</v>
      </c>
      <c r="D294" s="2" t="s">
        <v>1836</v>
      </c>
      <c r="E294" s="2" t="s">
        <v>1838</v>
      </c>
      <c r="F294" s="2">
        <v>2.6052399999999998</v>
      </c>
      <c r="G294" s="2">
        <v>1.0978399999999999</v>
      </c>
      <c r="H294" s="15">
        <v>-1.24675</v>
      </c>
    </row>
    <row r="295" spans="1:10" s="2" customFormat="1" ht="15" x14ac:dyDescent="0.2">
      <c r="A295" s="2" t="s">
        <v>396</v>
      </c>
      <c r="B295" s="2" t="s">
        <v>3015</v>
      </c>
      <c r="C295" s="2" t="s">
        <v>3015</v>
      </c>
      <c r="D295" s="2" t="s">
        <v>1836</v>
      </c>
      <c r="E295" s="2" t="s">
        <v>1838</v>
      </c>
      <c r="F295" s="2">
        <v>8.1166800000000006</v>
      </c>
      <c r="G295" s="2">
        <v>3.4234100000000001</v>
      </c>
      <c r="H295" s="15">
        <v>-1.24546</v>
      </c>
      <c r="J295" s="18"/>
    </row>
    <row r="296" spans="1:10" s="2" customFormat="1" ht="15" x14ac:dyDescent="0.2">
      <c r="A296" s="2" t="s">
        <v>853</v>
      </c>
      <c r="B296" s="2" t="s">
        <v>3369</v>
      </c>
      <c r="C296" s="2" t="s">
        <v>2581</v>
      </c>
      <c r="D296" s="2" t="s">
        <v>1836</v>
      </c>
      <c r="E296" s="2" t="s">
        <v>1838</v>
      </c>
      <c r="F296" s="2">
        <v>49.234200000000001</v>
      </c>
      <c r="G296" s="2">
        <v>20.7684</v>
      </c>
      <c r="H296" s="15">
        <v>-1.2452700000000001</v>
      </c>
      <c r="J296" s="18"/>
    </row>
    <row r="297" spans="1:10" s="2" customFormat="1" ht="15" x14ac:dyDescent="0.2">
      <c r="A297" s="2" t="s">
        <v>169</v>
      </c>
      <c r="B297" s="2" t="s">
        <v>3068</v>
      </c>
      <c r="C297" s="2" t="s">
        <v>3015</v>
      </c>
      <c r="D297" s="2" t="s">
        <v>1836</v>
      </c>
      <c r="E297" s="2" t="s">
        <v>1838</v>
      </c>
      <c r="F297" s="2">
        <v>9.5347799999999996</v>
      </c>
      <c r="G297" s="2">
        <v>4.0239000000000003</v>
      </c>
      <c r="H297" s="15">
        <v>-1.24461</v>
      </c>
      <c r="J297" s="18"/>
    </row>
    <row r="298" spans="1:10" s="2" customFormat="1" ht="15" x14ac:dyDescent="0.2">
      <c r="A298" s="2" t="s">
        <v>1269</v>
      </c>
      <c r="B298" s="2" t="s">
        <v>3256</v>
      </c>
      <c r="C298" s="2" t="s">
        <v>2472</v>
      </c>
      <c r="D298" s="2" t="s">
        <v>1836</v>
      </c>
      <c r="E298" s="2" t="s">
        <v>1838</v>
      </c>
      <c r="F298" s="2">
        <v>3.4169900000000002</v>
      </c>
      <c r="G298" s="2">
        <v>1.4427700000000001</v>
      </c>
      <c r="H298" s="15">
        <v>-1.2438899999999999</v>
      </c>
    </row>
    <row r="299" spans="1:10" s="2" customFormat="1" ht="15" x14ac:dyDescent="0.2">
      <c r="A299" s="2" t="s">
        <v>1258</v>
      </c>
      <c r="B299" s="2" t="s">
        <v>3153</v>
      </c>
      <c r="C299" s="2" t="s">
        <v>2462</v>
      </c>
      <c r="D299" s="2" t="s">
        <v>1836</v>
      </c>
      <c r="E299" s="2" t="s">
        <v>1838</v>
      </c>
      <c r="F299" s="2">
        <v>62.427500000000002</v>
      </c>
      <c r="G299" s="2">
        <v>26.400700000000001</v>
      </c>
      <c r="H299" s="15">
        <v>-1.2416</v>
      </c>
      <c r="J299" s="18"/>
    </row>
    <row r="300" spans="1:10" s="2" customFormat="1" ht="15" x14ac:dyDescent="0.2">
      <c r="A300" s="2" t="s">
        <v>333</v>
      </c>
      <c r="B300" s="2" t="s">
        <v>3119</v>
      </c>
      <c r="C300" s="2" t="s">
        <v>2000</v>
      </c>
      <c r="D300" s="2" t="s">
        <v>1836</v>
      </c>
      <c r="E300" s="2" t="s">
        <v>1838</v>
      </c>
      <c r="F300" s="2">
        <v>12.7761</v>
      </c>
      <c r="G300" s="2">
        <v>5.4034899999999997</v>
      </c>
      <c r="H300" s="15">
        <v>-1.24149</v>
      </c>
      <c r="J300" s="18"/>
    </row>
    <row r="301" spans="1:10" s="2" customFormat="1" ht="15" x14ac:dyDescent="0.2">
      <c r="A301" s="2" t="s">
        <v>134</v>
      </c>
      <c r="B301" s="2" t="s">
        <v>3292</v>
      </c>
      <c r="C301" s="2" t="s">
        <v>2406</v>
      </c>
      <c r="D301" s="2" t="s">
        <v>1836</v>
      </c>
      <c r="E301" s="2" t="s">
        <v>1838</v>
      </c>
      <c r="F301" s="2">
        <v>7.4361199999999998</v>
      </c>
      <c r="G301" s="2">
        <v>3.1511100000000001</v>
      </c>
      <c r="H301" s="15">
        <v>-1.2386900000000001</v>
      </c>
      <c r="J301" s="18"/>
    </row>
    <row r="302" spans="1:10" s="2" customFormat="1" ht="15" x14ac:dyDescent="0.2">
      <c r="A302" s="2" t="s">
        <v>27</v>
      </c>
      <c r="B302" s="2" t="s">
        <v>3030</v>
      </c>
      <c r="C302" s="2" t="s">
        <v>1854</v>
      </c>
      <c r="D302" s="2" t="s">
        <v>1836</v>
      </c>
      <c r="E302" s="2" t="s">
        <v>1838</v>
      </c>
      <c r="F302" s="2">
        <v>8.2099299999999999</v>
      </c>
      <c r="G302" s="2">
        <v>3.4916700000000001</v>
      </c>
      <c r="H302" s="15">
        <v>-1.2334499999999999</v>
      </c>
      <c r="J302" s="18"/>
    </row>
    <row r="303" spans="1:10" s="2" customFormat="1" ht="15" x14ac:dyDescent="0.2">
      <c r="A303" s="2" t="s">
        <v>1429</v>
      </c>
      <c r="B303" s="2" t="s">
        <v>3093</v>
      </c>
      <c r="C303" s="2" t="s">
        <v>2589</v>
      </c>
      <c r="D303" s="2" t="s">
        <v>1836</v>
      </c>
      <c r="E303" s="2" t="s">
        <v>1838</v>
      </c>
      <c r="F303" s="2">
        <v>1.2181500000000001</v>
      </c>
      <c r="G303" s="2">
        <v>0.51833399999999996</v>
      </c>
      <c r="H303" s="15">
        <v>-1.2327399999999999</v>
      </c>
      <c r="J303" s="18"/>
    </row>
    <row r="304" spans="1:10" s="2" customFormat="1" ht="15" x14ac:dyDescent="0.2">
      <c r="A304" s="2" t="s">
        <v>233</v>
      </c>
      <c r="B304" s="2" t="s">
        <v>3092</v>
      </c>
      <c r="C304" s="2" t="s">
        <v>1953</v>
      </c>
      <c r="D304" s="2" t="s">
        <v>1836</v>
      </c>
      <c r="E304" s="2" t="s">
        <v>1838</v>
      </c>
      <c r="F304" s="2">
        <v>2.37799</v>
      </c>
      <c r="G304" s="2">
        <v>1.0119100000000001</v>
      </c>
      <c r="H304" s="15">
        <v>-1.2326600000000001</v>
      </c>
      <c r="J304" s="18"/>
    </row>
    <row r="305" spans="1:10" s="2" customFormat="1" ht="15" x14ac:dyDescent="0.2">
      <c r="A305" s="2" t="s">
        <v>1462</v>
      </c>
      <c r="B305" s="2" t="s">
        <v>3381</v>
      </c>
      <c r="C305" s="2" t="s">
        <v>2018</v>
      </c>
      <c r="D305" s="2" t="s">
        <v>1836</v>
      </c>
      <c r="E305" s="2" t="s">
        <v>1838</v>
      </c>
      <c r="F305" s="2">
        <v>1.7914000000000001</v>
      </c>
      <c r="G305" s="2">
        <v>0.76242399999999999</v>
      </c>
      <c r="H305" s="15">
        <v>-1.2324200000000001</v>
      </c>
      <c r="J305" s="18"/>
    </row>
    <row r="306" spans="1:10" s="2" customFormat="1" ht="15" x14ac:dyDescent="0.2">
      <c r="A306" s="2" t="s">
        <v>591</v>
      </c>
      <c r="B306" s="2" t="s">
        <v>3087</v>
      </c>
      <c r="C306" s="2" t="s">
        <v>2501</v>
      </c>
      <c r="D306" s="2" t="s">
        <v>1836</v>
      </c>
      <c r="E306" s="2" t="s">
        <v>1838</v>
      </c>
      <c r="F306" s="2">
        <v>2.4919600000000002</v>
      </c>
      <c r="G306" s="2">
        <v>1.06064</v>
      </c>
      <c r="H306" s="15">
        <v>-1.23234</v>
      </c>
    </row>
    <row r="307" spans="1:10" s="2" customFormat="1" ht="15" x14ac:dyDescent="0.2">
      <c r="A307" s="2" t="s">
        <v>1198</v>
      </c>
      <c r="B307" s="2" t="s">
        <v>3049</v>
      </c>
      <c r="C307" s="2" t="s">
        <v>3015</v>
      </c>
      <c r="D307" s="2" t="s">
        <v>1836</v>
      </c>
      <c r="E307" s="2" t="s">
        <v>1838</v>
      </c>
      <c r="F307" s="2">
        <v>3.6998700000000002</v>
      </c>
      <c r="G307" s="2">
        <v>1.57677</v>
      </c>
      <c r="H307" s="15">
        <v>-1.2304999999999999</v>
      </c>
    </row>
    <row r="308" spans="1:10" s="2" customFormat="1" ht="15" x14ac:dyDescent="0.2">
      <c r="A308" s="2" t="s">
        <v>523</v>
      </c>
      <c r="B308" s="2" t="s">
        <v>3154</v>
      </c>
      <c r="C308" s="2" t="s">
        <v>2091</v>
      </c>
      <c r="D308" s="2" t="s">
        <v>1836</v>
      </c>
      <c r="E308" s="2" t="s">
        <v>1838</v>
      </c>
      <c r="F308" s="2">
        <v>14.6564</v>
      </c>
      <c r="G308" s="2">
        <v>6.2471800000000002</v>
      </c>
      <c r="H308" s="15">
        <v>-1.2302500000000001</v>
      </c>
    </row>
    <row r="309" spans="1:10" s="2" customFormat="1" ht="15" x14ac:dyDescent="0.2">
      <c r="A309" s="2" t="s">
        <v>1338</v>
      </c>
      <c r="B309" s="2" t="s">
        <v>3015</v>
      </c>
      <c r="C309" s="2" t="s">
        <v>2532</v>
      </c>
      <c r="D309" s="2" t="s">
        <v>1836</v>
      </c>
      <c r="E309" s="2" t="s">
        <v>1838</v>
      </c>
      <c r="F309" s="2">
        <v>3.4657900000000001</v>
      </c>
      <c r="G309" s="2">
        <v>1.4791300000000001</v>
      </c>
      <c r="H309" s="15">
        <v>-1.22844</v>
      </c>
      <c r="J309" s="18"/>
    </row>
    <row r="310" spans="1:10" s="2" customFormat="1" ht="15" x14ac:dyDescent="0.2">
      <c r="A310" s="2" t="s">
        <v>1033</v>
      </c>
      <c r="B310" s="2" t="s">
        <v>3261</v>
      </c>
      <c r="C310" s="2" t="s">
        <v>2329</v>
      </c>
      <c r="D310" s="2" t="s">
        <v>1836</v>
      </c>
      <c r="E310" s="2" t="s">
        <v>1838</v>
      </c>
      <c r="F310" s="2">
        <v>20.3626</v>
      </c>
      <c r="G310" s="2">
        <v>8.6988599999999998</v>
      </c>
      <c r="H310" s="15">
        <v>-1.2270300000000001</v>
      </c>
      <c r="J310" s="18"/>
    </row>
    <row r="311" spans="1:10" s="2" customFormat="1" ht="15" x14ac:dyDescent="0.2">
      <c r="A311" s="2" t="s">
        <v>312</v>
      </c>
      <c r="B311" s="2" t="s">
        <v>3135</v>
      </c>
      <c r="C311" s="2" t="s">
        <v>2447</v>
      </c>
      <c r="D311" s="2" t="s">
        <v>1836</v>
      </c>
      <c r="E311" s="2" t="s">
        <v>1838</v>
      </c>
      <c r="F311" s="2">
        <v>2.36652</v>
      </c>
      <c r="G311" s="2">
        <v>1.01128</v>
      </c>
      <c r="H311" s="15">
        <v>-1.22658</v>
      </c>
      <c r="J311" s="18"/>
    </row>
    <row r="312" spans="1:10" s="2" customFormat="1" ht="15" x14ac:dyDescent="0.2">
      <c r="A312" s="2" t="s">
        <v>1178</v>
      </c>
      <c r="B312" s="2" t="s">
        <v>3015</v>
      </c>
      <c r="C312" s="2" t="s">
        <v>2405</v>
      </c>
      <c r="D312" s="2" t="s">
        <v>1836</v>
      </c>
      <c r="E312" s="2" t="s">
        <v>1838</v>
      </c>
      <c r="F312" s="2">
        <v>1.08775</v>
      </c>
      <c r="G312" s="2">
        <v>0.466368</v>
      </c>
      <c r="H312" s="15">
        <v>-1.2218100000000001</v>
      </c>
    </row>
    <row r="313" spans="1:10" s="2" customFormat="1" ht="15" x14ac:dyDescent="0.2">
      <c r="A313" s="2" t="s">
        <v>1081</v>
      </c>
      <c r="B313" s="2" t="s">
        <v>3158</v>
      </c>
      <c r="C313" s="2" t="s">
        <v>2607</v>
      </c>
      <c r="D313" s="2" t="s">
        <v>1836</v>
      </c>
      <c r="E313" s="2" t="s">
        <v>1838</v>
      </c>
      <c r="F313" s="2">
        <v>22.723500000000001</v>
      </c>
      <c r="G313" s="2">
        <v>9.7792200000000005</v>
      </c>
      <c r="H313" s="15">
        <v>-1.2163999999999999</v>
      </c>
      <c r="J313" s="18"/>
    </row>
    <row r="314" spans="1:10" s="2" customFormat="1" ht="15" x14ac:dyDescent="0.2">
      <c r="A314" s="2" t="s">
        <v>828</v>
      </c>
      <c r="B314" s="2" t="s">
        <v>3093</v>
      </c>
      <c r="C314" s="2" t="s">
        <v>2221</v>
      </c>
      <c r="D314" s="2" t="s">
        <v>1836</v>
      </c>
      <c r="E314" s="2" t="s">
        <v>1838</v>
      </c>
      <c r="F314" s="2">
        <v>42.320900000000002</v>
      </c>
      <c r="G314" s="2">
        <v>18.239999999999998</v>
      </c>
      <c r="H314" s="15">
        <v>-1.2142599999999999</v>
      </c>
      <c r="J314" s="18"/>
    </row>
    <row r="315" spans="1:10" s="2" customFormat="1" ht="15" x14ac:dyDescent="0.2">
      <c r="A315" s="2" t="s">
        <v>836</v>
      </c>
      <c r="B315" s="2" t="s">
        <v>3219</v>
      </c>
      <c r="C315" s="2" t="s">
        <v>2226</v>
      </c>
      <c r="D315" s="2" t="s">
        <v>1836</v>
      </c>
      <c r="E315" s="2" t="s">
        <v>1838</v>
      </c>
      <c r="F315" s="2">
        <v>1.8883099999999999</v>
      </c>
      <c r="G315" s="2">
        <v>0.81683799999999995</v>
      </c>
      <c r="H315" s="15">
        <v>-1.2089700000000001</v>
      </c>
      <c r="J315" s="18"/>
    </row>
    <row r="316" spans="1:10" s="2" customFormat="1" ht="15" x14ac:dyDescent="0.2">
      <c r="A316" s="2" t="s">
        <v>1287</v>
      </c>
      <c r="B316" s="2" t="s">
        <v>3053</v>
      </c>
      <c r="C316" s="2" t="s">
        <v>2495</v>
      </c>
      <c r="D316" s="2" t="s">
        <v>1836</v>
      </c>
      <c r="E316" s="2" t="s">
        <v>1838</v>
      </c>
      <c r="F316" s="2">
        <v>7.9058900000000003</v>
      </c>
      <c r="G316" s="2">
        <v>3.4245800000000002</v>
      </c>
      <c r="H316" s="15">
        <v>-1.2070000000000001</v>
      </c>
      <c r="J316" s="18"/>
    </row>
    <row r="317" spans="1:10" s="2" customFormat="1" ht="15" x14ac:dyDescent="0.2">
      <c r="A317" s="2" t="s">
        <v>510</v>
      </c>
      <c r="B317" s="2" t="s">
        <v>3333</v>
      </c>
      <c r="C317" s="2" t="s">
        <v>2294</v>
      </c>
      <c r="D317" s="2" t="s">
        <v>1836</v>
      </c>
      <c r="E317" s="2" t="s">
        <v>1838</v>
      </c>
      <c r="F317" s="2">
        <v>24.054600000000001</v>
      </c>
      <c r="G317" s="2">
        <v>10.4267</v>
      </c>
      <c r="H317" s="15">
        <v>-1.2060299999999999</v>
      </c>
      <c r="J317" s="18"/>
    </row>
    <row r="318" spans="1:10" s="2" customFormat="1" ht="15" x14ac:dyDescent="0.2">
      <c r="A318" s="2" t="s">
        <v>684</v>
      </c>
      <c r="B318" s="2" t="s">
        <v>3015</v>
      </c>
      <c r="C318" s="2" t="s">
        <v>3015</v>
      </c>
      <c r="D318" s="2" t="s">
        <v>1836</v>
      </c>
      <c r="E318" s="2" t="s">
        <v>1838</v>
      </c>
      <c r="F318" s="2">
        <v>17.581800000000001</v>
      </c>
      <c r="G318" s="2">
        <v>7.6304600000000002</v>
      </c>
      <c r="H318" s="15">
        <v>-1.20424</v>
      </c>
      <c r="J318" s="18"/>
    </row>
    <row r="319" spans="1:10" s="2" customFormat="1" ht="15" x14ac:dyDescent="0.2">
      <c r="A319" s="2" t="s">
        <v>530</v>
      </c>
      <c r="B319" s="2" t="s">
        <v>3027</v>
      </c>
      <c r="C319" s="2" t="s">
        <v>2497</v>
      </c>
      <c r="D319" s="2" t="s">
        <v>1836</v>
      </c>
      <c r="E319" s="2" t="s">
        <v>1838</v>
      </c>
      <c r="F319" s="2">
        <v>5.6767500000000002</v>
      </c>
      <c r="G319" s="2">
        <v>2.4678200000000001</v>
      </c>
      <c r="H319" s="15">
        <v>-1.20183</v>
      </c>
    </row>
    <row r="320" spans="1:10" s="2" customFormat="1" ht="15" x14ac:dyDescent="0.2">
      <c r="A320" s="2" t="s">
        <v>71</v>
      </c>
      <c r="B320" s="2" t="s">
        <v>3133</v>
      </c>
      <c r="C320" s="2" t="s">
        <v>2031</v>
      </c>
      <c r="D320" s="2" t="s">
        <v>1836</v>
      </c>
      <c r="E320" s="2" t="s">
        <v>1838</v>
      </c>
      <c r="F320" s="2">
        <v>7.2208800000000002</v>
      </c>
      <c r="G320" s="2">
        <v>3.1417600000000001</v>
      </c>
      <c r="H320" s="15">
        <v>-1.2005999999999999</v>
      </c>
    </row>
    <row r="321" spans="1:10" s="2" customFormat="1" ht="15" x14ac:dyDescent="0.2">
      <c r="A321" s="2" t="s">
        <v>766</v>
      </c>
      <c r="B321" s="2" t="s">
        <v>3015</v>
      </c>
      <c r="C321" s="2" t="s">
        <v>2195</v>
      </c>
      <c r="D321" s="2" t="s">
        <v>1836</v>
      </c>
      <c r="E321" s="2" t="s">
        <v>1838</v>
      </c>
      <c r="F321" s="2">
        <v>2.3186300000000002</v>
      </c>
      <c r="G321" s="2">
        <v>1.0105599999999999</v>
      </c>
      <c r="H321" s="15">
        <v>-1.19811</v>
      </c>
      <c r="J321" s="18"/>
    </row>
    <row r="322" spans="1:10" s="2" customFormat="1" ht="15" x14ac:dyDescent="0.2">
      <c r="A322" s="2" t="s">
        <v>1381</v>
      </c>
      <c r="B322" s="2" t="s">
        <v>3175</v>
      </c>
      <c r="C322" s="2" t="s">
        <v>2557</v>
      </c>
      <c r="D322" s="2" t="s">
        <v>1836</v>
      </c>
      <c r="E322" s="2" t="s">
        <v>1838</v>
      </c>
      <c r="F322" s="2">
        <v>2.5284200000000001</v>
      </c>
      <c r="G322" s="2">
        <v>1.1026</v>
      </c>
      <c r="H322" s="15">
        <v>-1.19733</v>
      </c>
      <c r="J322" s="18"/>
    </row>
    <row r="323" spans="1:10" s="2" customFormat="1" ht="15" x14ac:dyDescent="0.2">
      <c r="A323" s="2" t="s">
        <v>558</v>
      </c>
      <c r="B323" s="2" t="s">
        <v>3339</v>
      </c>
      <c r="C323" s="2" t="s">
        <v>2505</v>
      </c>
      <c r="D323" s="2" t="s">
        <v>1836</v>
      </c>
      <c r="E323" s="2" t="s">
        <v>1838</v>
      </c>
      <c r="F323" s="2">
        <v>1.7053499999999999</v>
      </c>
      <c r="G323" s="2">
        <v>0.74657300000000004</v>
      </c>
      <c r="H323" s="15">
        <v>-1.19171</v>
      </c>
    </row>
    <row r="324" spans="1:10" s="2" customFormat="1" ht="15" x14ac:dyDescent="0.2">
      <c r="A324" s="2" t="s">
        <v>634</v>
      </c>
      <c r="B324" s="2" t="s">
        <v>3015</v>
      </c>
      <c r="C324" s="2" t="s">
        <v>2385</v>
      </c>
      <c r="D324" s="2" t="s">
        <v>1836</v>
      </c>
      <c r="E324" s="2" t="s">
        <v>1838</v>
      </c>
      <c r="F324" s="2">
        <v>51.973799999999997</v>
      </c>
      <c r="G324" s="2">
        <v>22.76</v>
      </c>
      <c r="H324" s="15">
        <v>-1.1912799999999999</v>
      </c>
      <c r="J324" s="18"/>
    </row>
    <row r="325" spans="1:10" s="2" customFormat="1" ht="15" x14ac:dyDescent="0.2">
      <c r="A325" s="2" t="s">
        <v>1382</v>
      </c>
      <c r="B325" s="2" t="s">
        <v>3358</v>
      </c>
      <c r="C325" s="2" t="s">
        <v>2558</v>
      </c>
      <c r="D325" s="2" t="s">
        <v>1836</v>
      </c>
      <c r="E325" s="2" t="s">
        <v>1838</v>
      </c>
      <c r="F325" s="2">
        <v>1.34354</v>
      </c>
      <c r="G325" s="2">
        <v>0.59048400000000001</v>
      </c>
      <c r="H325" s="15">
        <v>-1.18607</v>
      </c>
      <c r="J325" s="18"/>
    </row>
    <row r="326" spans="1:10" s="2" customFormat="1" ht="15" x14ac:dyDescent="0.2">
      <c r="A326" s="2" t="s">
        <v>851</v>
      </c>
      <c r="B326" s="2" t="s">
        <v>3035</v>
      </c>
      <c r="C326" s="2" t="s">
        <v>1892</v>
      </c>
      <c r="D326" s="2" t="s">
        <v>1836</v>
      </c>
      <c r="E326" s="2" t="s">
        <v>1838</v>
      </c>
      <c r="F326" s="2">
        <v>42.481200000000001</v>
      </c>
      <c r="G326" s="2">
        <v>18.709900000000001</v>
      </c>
      <c r="H326" s="15">
        <v>-1.18302</v>
      </c>
      <c r="J326" s="18"/>
    </row>
    <row r="327" spans="1:10" s="2" customFormat="1" ht="15" x14ac:dyDescent="0.2">
      <c r="A327" s="2" t="s">
        <v>190</v>
      </c>
      <c r="B327" s="2" t="s">
        <v>3015</v>
      </c>
      <c r="C327" s="2" t="s">
        <v>3015</v>
      </c>
      <c r="D327" s="2" t="s">
        <v>1836</v>
      </c>
      <c r="E327" s="2" t="s">
        <v>1838</v>
      </c>
      <c r="F327" s="2">
        <v>8.6670700000000007</v>
      </c>
      <c r="G327" s="2">
        <v>3.8184100000000001</v>
      </c>
      <c r="H327" s="15">
        <v>-1.1825699999999999</v>
      </c>
      <c r="J327" s="18"/>
    </row>
    <row r="328" spans="1:10" s="2" customFormat="1" ht="15" x14ac:dyDescent="0.2">
      <c r="A328" s="2" t="s">
        <v>1149</v>
      </c>
      <c r="B328" s="2" t="s">
        <v>3024</v>
      </c>
      <c r="C328" s="2" t="s">
        <v>2381</v>
      </c>
      <c r="D328" s="2" t="s">
        <v>1836</v>
      </c>
      <c r="E328" s="2" t="s">
        <v>1838</v>
      </c>
      <c r="F328" s="2">
        <v>2.7280099999999998</v>
      </c>
      <c r="G328" s="2">
        <v>1.2024900000000001</v>
      </c>
      <c r="H328" s="15">
        <v>-1.1818200000000001</v>
      </c>
    </row>
    <row r="329" spans="1:10" s="2" customFormat="1" ht="15" x14ac:dyDescent="0.2">
      <c r="A329" s="2" t="s">
        <v>1407</v>
      </c>
      <c r="B329" s="2" t="s">
        <v>3015</v>
      </c>
      <c r="C329" s="2" t="s">
        <v>3015</v>
      </c>
      <c r="D329" s="2" t="s">
        <v>1836</v>
      </c>
      <c r="E329" s="2" t="s">
        <v>1838</v>
      </c>
      <c r="F329" s="2">
        <v>9.9636700000000005</v>
      </c>
      <c r="G329" s="2">
        <v>4.3981599999999998</v>
      </c>
      <c r="H329" s="15">
        <v>-1.1797800000000001</v>
      </c>
    </row>
    <row r="330" spans="1:10" s="2" customFormat="1" ht="15" x14ac:dyDescent="0.2">
      <c r="A330" s="2" t="s">
        <v>800</v>
      </c>
      <c r="B330" s="2" t="s">
        <v>3210</v>
      </c>
      <c r="C330" s="2" t="s">
        <v>2208</v>
      </c>
      <c r="D330" s="2" t="s">
        <v>1836</v>
      </c>
      <c r="E330" s="2" t="s">
        <v>1838</v>
      </c>
      <c r="F330" s="2">
        <v>33.7821</v>
      </c>
      <c r="G330" s="2">
        <v>14.918100000000001</v>
      </c>
      <c r="H330" s="15">
        <v>-1.17919</v>
      </c>
      <c r="J330" s="18"/>
    </row>
    <row r="331" spans="1:10" s="2" customFormat="1" ht="15" x14ac:dyDescent="0.2">
      <c r="A331" s="2" t="s">
        <v>372</v>
      </c>
      <c r="B331" s="2" t="s">
        <v>3015</v>
      </c>
      <c r="C331" s="2" t="s">
        <v>2465</v>
      </c>
      <c r="D331" s="2" t="s">
        <v>1836</v>
      </c>
      <c r="E331" s="2" t="s">
        <v>1838</v>
      </c>
      <c r="F331" s="2">
        <v>4.7269399999999999</v>
      </c>
      <c r="G331" s="2">
        <v>2.0876399999999999</v>
      </c>
      <c r="H331" s="15">
        <v>-1.17903</v>
      </c>
      <c r="J331" s="18"/>
    </row>
    <row r="332" spans="1:10" s="2" customFormat="1" ht="15" x14ac:dyDescent="0.2">
      <c r="A332" s="2" t="s">
        <v>352</v>
      </c>
      <c r="B332" s="2" t="s">
        <v>3077</v>
      </c>
      <c r="C332" s="2" t="s">
        <v>1934</v>
      </c>
      <c r="D332" s="2" t="s">
        <v>1836</v>
      </c>
      <c r="E332" s="2" t="s">
        <v>1838</v>
      </c>
      <c r="F332" s="2">
        <v>16.6492</v>
      </c>
      <c r="G332" s="2">
        <v>7.3623700000000003</v>
      </c>
      <c r="H332" s="15">
        <v>-1.1772100000000001</v>
      </c>
      <c r="J332" s="18"/>
    </row>
    <row r="333" spans="1:10" s="2" customFormat="1" ht="15" x14ac:dyDescent="0.2">
      <c r="A333" s="2" t="s">
        <v>1250</v>
      </c>
      <c r="B333" s="2" t="s">
        <v>3319</v>
      </c>
      <c r="C333" s="2" t="s">
        <v>3015</v>
      </c>
      <c r="D333" s="2" t="s">
        <v>1836</v>
      </c>
      <c r="E333" s="2" t="s">
        <v>1838</v>
      </c>
      <c r="F333" s="2">
        <v>47.763199999999998</v>
      </c>
      <c r="G333" s="2">
        <v>21.142299999999999</v>
      </c>
      <c r="H333" s="15">
        <v>-1.17577</v>
      </c>
      <c r="J333" s="18"/>
    </row>
    <row r="334" spans="1:10" s="2" customFormat="1" ht="15" x14ac:dyDescent="0.2">
      <c r="A334" s="2" t="s">
        <v>1222</v>
      </c>
      <c r="B334" s="2" t="s">
        <v>3015</v>
      </c>
      <c r="C334" s="2" t="s">
        <v>2435</v>
      </c>
      <c r="D334" s="2" t="s">
        <v>1836</v>
      </c>
      <c r="E334" s="2" t="s">
        <v>1838</v>
      </c>
      <c r="F334" s="2">
        <v>1.7092400000000001</v>
      </c>
      <c r="G334" s="2">
        <v>0.75752799999999998</v>
      </c>
      <c r="H334" s="15">
        <v>-1.17398</v>
      </c>
    </row>
    <row r="335" spans="1:10" s="2" customFormat="1" ht="15" x14ac:dyDescent="0.2">
      <c r="A335" s="2" t="s">
        <v>1025</v>
      </c>
      <c r="B335" s="2" t="s">
        <v>3094</v>
      </c>
      <c r="C335" s="2" t="s">
        <v>2325</v>
      </c>
      <c r="D335" s="2" t="s">
        <v>1836</v>
      </c>
      <c r="E335" s="2" t="s">
        <v>1838</v>
      </c>
      <c r="F335" s="2">
        <v>1.7602599999999999</v>
      </c>
      <c r="G335" s="2">
        <v>0.78063700000000003</v>
      </c>
      <c r="H335" s="15">
        <v>-1.1730700000000001</v>
      </c>
      <c r="J335" s="18"/>
    </row>
    <row r="336" spans="1:10" s="2" customFormat="1" ht="15" x14ac:dyDescent="0.2">
      <c r="A336" s="2" t="s">
        <v>1223</v>
      </c>
      <c r="B336" s="2" t="s">
        <v>3015</v>
      </c>
      <c r="C336" s="2" t="s">
        <v>2435</v>
      </c>
      <c r="D336" s="2" t="s">
        <v>1836</v>
      </c>
      <c r="E336" s="2" t="s">
        <v>1838</v>
      </c>
      <c r="F336" s="2">
        <v>1.9463900000000001</v>
      </c>
      <c r="G336" s="2">
        <v>0.86354500000000001</v>
      </c>
      <c r="H336" s="15">
        <v>-1.1724600000000001</v>
      </c>
      <c r="J336" s="18"/>
    </row>
    <row r="337" spans="1:10" s="2" customFormat="1" ht="15" x14ac:dyDescent="0.2">
      <c r="A337" s="2" t="s">
        <v>524</v>
      </c>
      <c r="B337" s="2" t="s">
        <v>3015</v>
      </c>
      <c r="C337" s="2" t="s">
        <v>3015</v>
      </c>
      <c r="D337" s="2" t="s">
        <v>1836</v>
      </c>
      <c r="E337" s="2" t="s">
        <v>1838</v>
      </c>
      <c r="F337" s="2">
        <v>114.264</v>
      </c>
      <c r="G337" s="2">
        <v>50.707500000000003</v>
      </c>
      <c r="H337" s="15">
        <v>-1.1720999999999999</v>
      </c>
      <c r="J337" s="18"/>
    </row>
    <row r="338" spans="1:10" s="2" customFormat="1" ht="15" x14ac:dyDescent="0.2">
      <c r="A338" s="2" t="s">
        <v>220</v>
      </c>
      <c r="B338" s="2" t="s">
        <v>3301</v>
      </c>
      <c r="C338" s="2" t="e">
        <v>#NAME?</v>
      </c>
      <c r="D338" s="2" t="s">
        <v>1836</v>
      </c>
      <c r="E338" s="2" t="s">
        <v>1838</v>
      </c>
      <c r="F338" s="2">
        <v>8.1850299999999994</v>
      </c>
      <c r="G338" s="2">
        <v>3.6345999999999998</v>
      </c>
      <c r="H338" s="15">
        <v>-1.17119</v>
      </c>
      <c r="J338" s="18"/>
    </row>
    <row r="339" spans="1:10" s="2" customFormat="1" ht="15" x14ac:dyDescent="0.2">
      <c r="A339" s="2" t="s">
        <v>1157</v>
      </c>
      <c r="B339" s="2" t="s">
        <v>3286</v>
      </c>
      <c r="C339" s="2" t="s">
        <v>2391</v>
      </c>
      <c r="D339" s="2" t="s">
        <v>1836</v>
      </c>
      <c r="E339" s="2" t="s">
        <v>1838</v>
      </c>
      <c r="F339" s="2">
        <v>12.100899999999999</v>
      </c>
      <c r="G339" s="2">
        <v>5.3736699999999997</v>
      </c>
      <c r="H339" s="15">
        <v>-1.1711400000000001</v>
      </c>
      <c r="J339" s="18"/>
    </row>
    <row r="340" spans="1:10" s="2" customFormat="1" ht="15" x14ac:dyDescent="0.2">
      <c r="A340" s="2" t="s">
        <v>93</v>
      </c>
      <c r="B340" s="2" t="s">
        <v>3015</v>
      </c>
      <c r="C340" s="2" t="s">
        <v>1844</v>
      </c>
      <c r="D340" s="2" t="s">
        <v>1836</v>
      </c>
      <c r="E340" s="2" t="s">
        <v>1838</v>
      </c>
      <c r="F340" s="2">
        <v>1.9734700000000001</v>
      </c>
      <c r="G340" s="2">
        <v>0.87651599999999996</v>
      </c>
      <c r="H340" s="15">
        <v>-1.1708799999999999</v>
      </c>
      <c r="J340" s="18"/>
    </row>
    <row r="341" spans="1:10" s="2" customFormat="1" ht="15" x14ac:dyDescent="0.2">
      <c r="A341" s="2" t="s">
        <v>1321</v>
      </c>
      <c r="B341" s="2" t="s">
        <v>3015</v>
      </c>
      <c r="C341" s="2" t="s">
        <v>2519</v>
      </c>
      <c r="D341" s="2" t="s">
        <v>1836</v>
      </c>
      <c r="E341" s="2" t="s">
        <v>1838</v>
      </c>
      <c r="F341" s="2">
        <v>1.77135</v>
      </c>
      <c r="G341" s="2">
        <v>0.790354</v>
      </c>
      <c r="H341" s="15">
        <v>-1.16428</v>
      </c>
      <c r="J341" s="18"/>
    </row>
    <row r="342" spans="1:10" s="2" customFormat="1" ht="15" x14ac:dyDescent="0.2">
      <c r="A342" s="2" t="s">
        <v>354</v>
      </c>
      <c r="B342" s="2" t="s">
        <v>3038</v>
      </c>
      <c r="C342" s="2" t="s">
        <v>2008</v>
      </c>
      <c r="D342" s="2" t="s">
        <v>1836</v>
      </c>
      <c r="E342" s="2" t="s">
        <v>1838</v>
      </c>
      <c r="F342" s="2">
        <v>1.9012500000000001</v>
      </c>
      <c r="G342" s="2">
        <v>0.848495</v>
      </c>
      <c r="H342" s="15">
        <v>-1.1639699999999999</v>
      </c>
    </row>
    <row r="343" spans="1:10" s="2" customFormat="1" ht="15" x14ac:dyDescent="0.2">
      <c r="A343" s="2" t="s">
        <v>240</v>
      </c>
      <c r="B343" s="2" t="s">
        <v>3025</v>
      </c>
      <c r="C343" s="2" t="s">
        <v>2427</v>
      </c>
      <c r="D343" s="2" t="s">
        <v>1836</v>
      </c>
      <c r="E343" s="2" t="s">
        <v>1838</v>
      </c>
      <c r="F343" s="2">
        <v>14.027100000000001</v>
      </c>
      <c r="G343" s="2">
        <v>6.2629099999999998</v>
      </c>
      <c r="H343" s="15">
        <v>-1.1633100000000001</v>
      </c>
      <c r="J343" s="18"/>
    </row>
    <row r="344" spans="1:10" s="2" customFormat="1" ht="15" x14ac:dyDescent="0.2">
      <c r="A344" s="2" t="s">
        <v>978</v>
      </c>
      <c r="B344" s="2" t="s">
        <v>3015</v>
      </c>
      <c r="C344" s="2" t="s">
        <v>2034</v>
      </c>
      <c r="D344" s="2" t="s">
        <v>1836</v>
      </c>
      <c r="E344" s="2" t="s">
        <v>1838</v>
      </c>
      <c r="F344" s="2">
        <v>11.4526</v>
      </c>
      <c r="G344" s="2">
        <v>5.1172199999999997</v>
      </c>
      <c r="H344" s="15">
        <v>-1.1622399999999999</v>
      </c>
      <c r="J344" s="18"/>
    </row>
    <row r="345" spans="1:10" s="2" customFormat="1" ht="15" x14ac:dyDescent="0.2">
      <c r="A345" s="2" t="s">
        <v>443</v>
      </c>
      <c r="B345" s="2" t="s">
        <v>3139</v>
      </c>
      <c r="C345" s="2" t="s">
        <v>2048</v>
      </c>
      <c r="D345" s="2" t="s">
        <v>1836</v>
      </c>
      <c r="E345" s="2" t="s">
        <v>1838</v>
      </c>
      <c r="F345" s="2">
        <v>26.4116</v>
      </c>
      <c r="G345" s="2">
        <v>11.8028</v>
      </c>
      <c r="H345" s="15">
        <v>-1.16204</v>
      </c>
      <c r="J345" s="18"/>
    </row>
    <row r="346" spans="1:10" s="2" customFormat="1" ht="15" x14ac:dyDescent="0.2">
      <c r="A346" s="2" t="s">
        <v>274</v>
      </c>
      <c r="B346" s="2" t="s">
        <v>3015</v>
      </c>
      <c r="C346" s="2" t="s">
        <v>3015</v>
      </c>
      <c r="D346" s="2" t="s">
        <v>1836</v>
      </c>
      <c r="E346" s="2" t="s">
        <v>1838</v>
      </c>
      <c r="F346" s="2">
        <v>127.738</v>
      </c>
      <c r="G346" s="2">
        <v>57.224800000000002</v>
      </c>
      <c r="H346" s="15">
        <v>-1.1584700000000001</v>
      </c>
      <c r="J346" s="18"/>
    </row>
    <row r="347" spans="1:10" s="2" customFormat="1" ht="15" x14ac:dyDescent="0.2">
      <c r="A347" s="2" t="s">
        <v>434</v>
      </c>
      <c r="B347" s="2" t="s">
        <v>3015</v>
      </c>
      <c r="C347" s="2" t="s">
        <v>2478</v>
      </c>
      <c r="D347" s="2" t="s">
        <v>1836</v>
      </c>
      <c r="E347" s="2" t="s">
        <v>1838</v>
      </c>
      <c r="F347" s="2">
        <v>2.4527299999999999</v>
      </c>
      <c r="G347" s="2">
        <v>1.1003400000000001</v>
      </c>
      <c r="H347" s="15">
        <v>-1.1564300000000001</v>
      </c>
    </row>
    <row r="348" spans="1:10" s="2" customFormat="1" ht="15" x14ac:dyDescent="0.2">
      <c r="A348" s="2" t="s">
        <v>501</v>
      </c>
      <c r="B348" s="2" t="s">
        <v>3015</v>
      </c>
      <c r="C348" s="2" t="s">
        <v>2488</v>
      </c>
      <c r="D348" s="2" t="s">
        <v>1836</v>
      </c>
      <c r="E348" s="2" t="s">
        <v>1838</v>
      </c>
      <c r="F348" s="2">
        <v>36.762300000000003</v>
      </c>
      <c r="G348" s="2">
        <v>16.568200000000001</v>
      </c>
      <c r="H348" s="15">
        <v>-1.14981</v>
      </c>
    </row>
    <row r="349" spans="1:10" s="2" customFormat="1" ht="15" x14ac:dyDescent="0.2">
      <c r="A349" s="2" t="s">
        <v>1252</v>
      </c>
      <c r="B349" s="2" t="s">
        <v>3015</v>
      </c>
      <c r="C349" s="2" t="s">
        <v>2459</v>
      </c>
      <c r="D349" s="2" t="s">
        <v>1836</v>
      </c>
      <c r="E349" s="2" t="s">
        <v>1838</v>
      </c>
      <c r="F349" s="2">
        <v>1.8704099999999999</v>
      </c>
      <c r="G349" s="2">
        <v>0.84445999999999999</v>
      </c>
      <c r="H349" s="15">
        <v>-1.1472599999999999</v>
      </c>
    </row>
    <row r="350" spans="1:10" s="2" customFormat="1" ht="15" x14ac:dyDescent="0.2">
      <c r="A350" s="2" t="s">
        <v>1169</v>
      </c>
      <c r="B350" s="2" t="s">
        <v>3289</v>
      </c>
      <c r="C350" s="2" t="s">
        <v>2399</v>
      </c>
      <c r="D350" s="2" t="s">
        <v>1836</v>
      </c>
      <c r="E350" s="2" t="s">
        <v>1838</v>
      </c>
      <c r="F350" s="2">
        <v>8.8560099999999995</v>
      </c>
      <c r="G350" s="2">
        <v>3.99925</v>
      </c>
      <c r="H350" s="15">
        <v>-1.14693</v>
      </c>
      <c r="J350" s="18"/>
    </row>
    <row r="351" spans="1:10" s="2" customFormat="1" ht="15" x14ac:dyDescent="0.2">
      <c r="A351" s="2" t="s">
        <v>460</v>
      </c>
      <c r="B351" s="2" t="s">
        <v>3015</v>
      </c>
      <c r="C351" s="2" t="s">
        <v>3015</v>
      </c>
      <c r="D351" s="2" t="s">
        <v>1836</v>
      </c>
      <c r="E351" s="2" t="s">
        <v>1838</v>
      </c>
      <c r="F351" s="2">
        <v>28.5153</v>
      </c>
      <c r="G351" s="2">
        <v>12.8934</v>
      </c>
      <c r="H351" s="15">
        <v>-1.1451</v>
      </c>
    </row>
    <row r="352" spans="1:10" s="2" customFormat="1" ht="15" x14ac:dyDescent="0.2">
      <c r="A352" s="2" t="s">
        <v>1371</v>
      </c>
      <c r="B352" s="2" t="s">
        <v>3015</v>
      </c>
      <c r="C352" s="2" t="s">
        <v>1862</v>
      </c>
      <c r="D352" s="2" t="s">
        <v>1836</v>
      </c>
      <c r="E352" s="2" t="s">
        <v>1838</v>
      </c>
      <c r="F352" s="2">
        <v>1.3326</v>
      </c>
      <c r="G352" s="2">
        <v>0.60324</v>
      </c>
      <c r="H352" s="15">
        <v>-1.14344</v>
      </c>
      <c r="J352" s="18"/>
    </row>
    <row r="353" spans="1:10" s="2" customFormat="1" ht="15" x14ac:dyDescent="0.2">
      <c r="A353" s="2" t="s">
        <v>1204</v>
      </c>
      <c r="B353" s="2" t="s">
        <v>3302</v>
      </c>
      <c r="C353" s="2" t="s">
        <v>2426</v>
      </c>
      <c r="D353" s="2" t="s">
        <v>1836</v>
      </c>
      <c r="E353" s="2" t="s">
        <v>1838</v>
      </c>
      <c r="F353" s="2">
        <v>5.5745300000000002</v>
      </c>
      <c r="G353" s="2">
        <v>2.5244599999999999</v>
      </c>
      <c r="H353" s="15">
        <v>-1.1428700000000001</v>
      </c>
      <c r="J353" s="18"/>
    </row>
    <row r="354" spans="1:10" s="2" customFormat="1" ht="15" x14ac:dyDescent="0.2">
      <c r="A354" s="2" t="s">
        <v>1285</v>
      </c>
      <c r="B354" s="2" t="s">
        <v>3015</v>
      </c>
      <c r="C354" s="2" t="s">
        <v>2493</v>
      </c>
      <c r="D354" s="2" t="s">
        <v>1836</v>
      </c>
      <c r="E354" s="2" t="s">
        <v>1838</v>
      </c>
      <c r="F354" s="2">
        <v>8.3954699999999995</v>
      </c>
      <c r="G354" s="2">
        <v>3.8073399999999999</v>
      </c>
      <c r="H354" s="15">
        <v>-1.14083</v>
      </c>
      <c r="J354" s="18"/>
    </row>
    <row r="355" spans="1:10" s="2" customFormat="1" ht="15" x14ac:dyDescent="0.2">
      <c r="A355" s="2" t="s">
        <v>1229</v>
      </c>
      <c r="B355" s="2" t="s">
        <v>3058</v>
      </c>
      <c r="C355" s="2" t="s">
        <v>1908</v>
      </c>
      <c r="D355" s="2" t="s">
        <v>1836</v>
      </c>
      <c r="E355" s="2" t="s">
        <v>1838</v>
      </c>
      <c r="F355" s="2">
        <v>2.9623499999999998</v>
      </c>
      <c r="G355" s="2">
        <v>1.3436600000000001</v>
      </c>
      <c r="H355" s="15">
        <v>-1.1405700000000001</v>
      </c>
      <c r="J355" s="18"/>
    </row>
    <row r="356" spans="1:10" s="2" customFormat="1" ht="15" x14ac:dyDescent="0.2">
      <c r="A356" s="2" t="s">
        <v>1337</v>
      </c>
      <c r="B356" s="2" t="s">
        <v>3015</v>
      </c>
      <c r="C356" s="2" t="s">
        <v>2531</v>
      </c>
      <c r="D356" s="2" t="s">
        <v>1836</v>
      </c>
      <c r="E356" s="2" t="s">
        <v>1838</v>
      </c>
      <c r="F356" s="2">
        <v>5.8822299999999998</v>
      </c>
      <c r="G356" s="2">
        <v>2.6691099999999999</v>
      </c>
      <c r="H356" s="15">
        <v>-1.14001</v>
      </c>
    </row>
    <row r="357" spans="1:10" s="2" customFormat="1" ht="15" x14ac:dyDescent="0.2">
      <c r="A357" s="2" t="s">
        <v>143</v>
      </c>
      <c r="B357" s="2" t="s">
        <v>3294</v>
      </c>
      <c r="C357" s="2" t="s">
        <v>2407</v>
      </c>
      <c r="D357" s="2" t="s">
        <v>1836</v>
      </c>
      <c r="E357" s="2" t="s">
        <v>1838</v>
      </c>
      <c r="F357" s="2">
        <v>18.580100000000002</v>
      </c>
      <c r="G357" s="2">
        <v>8.4327000000000005</v>
      </c>
      <c r="H357" s="15">
        <v>-1.1396900000000001</v>
      </c>
    </row>
    <row r="358" spans="1:10" s="2" customFormat="1" ht="15" x14ac:dyDescent="0.2">
      <c r="A358" s="2" t="s">
        <v>1200</v>
      </c>
      <c r="B358" s="2" t="s">
        <v>3015</v>
      </c>
      <c r="C358" s="2" t="s">
        <v>2424</v>
      </c>
      <c r="D358" s="2" t="s">
        <v>1836</v>
      </c>
      <c r="E358" s="2" t="s">
        <v>1838</v>
      </c>
      <c r="F358" s="2">
        <v>51.781100000000002</v>
      </c>
      <c r="G358" s="2">
        <v>23.5594</v>
      </c>
      <c r="H358" s="15">
        <v>-1.1361300000000001</v>
      </c>
    </row>
    <row r="359" spans="1:10" s="2" customFormat="1" ht="15" x14ac:dyDescent="0.2">
      <c r="A359" s="2" t="s">
        <v>1393</v>
      </c>
      <c r="B359" s="2" t="s">
        <v>3364</v>
      </c>
      <c r="C359" s="2" t="s">
        <v>2571</v>
      </c>
      <c r="D359" s="2" t="s">
        <v>1836</v>
      </c>
      <c r="E359" s="2" t="s">
        <v>1838</v>
      </c>
      <c r="F359" s="2">
        <v>7.8944900000000002</v>
      </c>
      <c r="G359" s="2">
        <v>3.59613</v>
      </c>
      <c r="H359" s="15">
        <v>-1.1344000000000001</v>
      </c>
      <c r="J359" s="18"/>
    </row>
    <row r="360" spans="1:10" s="2" customFormat="1" ht="15" x14ac:dyDescent="0.2">
      <c r="A360" s="2" t="s">
        <v>1262</v>
      </c>
      <c r="B360" s="2" t="s">
        <v>3045</v>
      </c>
      <c r="C360" s="2" t="s">
        <v>3015</v>
      </c>
      <c r="D360" s="2" t="s">
        <v>1836</v>
      </c>
      <c r="E360" s="2" t="s">
        <v>1838</v>
      </c>
      <c r="F360" s="2">
        <v>1.7482500000000001</v>
      </c>
      <c r="G360" s="2">
        <v>0.79729099999999997</v>
      </c>
      <c r="H360" s="15">
        <v>-1.13273</v>
      </c>
      <c r="J360" s="18"/>
    </row>
    <row r="361" spans="1:10" s="2" customFormat="1" ht="15" x14ac:dyDescent="0.2">
      <c r="A361" s="2" t="s">
        <v>1435</v>
      </c>
      <c r="B361" s="2" t="s">
        <v>3015</v>
      </c>
      <c r="C361" s="2" t="s">
        <v>2593</v>
      </c>
      <c r="D361" s="2" t="s">
        <v>1836</v>
      </c>
      <c r="E361" s="2" t="s">
        <v>1838</v>
      </c>
      <c r="F361" s="2">
        <v>1.1201700000000001</v>
      </c>
      <c r="G361" s="2">
        <v>0.51100199999999996</v>
      </c>
      <c r="H361" s="15">
        <v>-1.1323099999999999</v>
      </c>
      <c r="J361" s="18"/>
    </row>
    <row r="362" spans="1:10" s="2" customFormat="1" ht="15" x14ac:dyDescent="0.2">
      <c r="A362" s="2" t="s">
        <v>943</v>
      </c>
      <c r="B362" s="2" t="s">
        <v>3058</v>
      </c>
      <c r="C362" s="2" t="s">
        <v>2018</v>
      </c>
      <c r="D362" s="2" t="s">
        <v>1836</v>
      </c>
      <c r="E362" s="2" t="s">
        <v>1838</v>
      </c>
      <c r="F362" s="2">
        <v>7.7013999999999996</v>
      </c>
      <c r="G362" s="2">
        <v>3.5153500000000002</v>
      </c>
      <c r="H362" s="15">
        <v>-1.1314500000000001</v>
      </c>
    </row>
    <row r="363" spans="1:10" s="2" customFormat="1" ht="15" x14ac:dyDescent="0.2">
      <c r="A363" s="2" t="s">
        <v>1173</v>
      </c>
      <c r="B363" s="2" t="s">
        <v>3038</v>
      </c>
      <c r="C363" s="2" t="s">
        <v>2374</v>
      </c>
      <c r="D363" s="2" t="s">
        <v>1836</v>
      </c>
      <c r="E363" s="2" t="s">
        <v>1838</v>
      </c>
      <c r="F363" s="2">
        <v>0.83236299999999996</v>
      </c>
      <c r="G363" s="2">
        <v>0.38021199999999999</v>
      </c>
      <c r="H363" s="15">
        <v>-1.1304099999999999</v>
      </c>
      <c r="J363" s="18"/>
    </row>
    <row r="364" spans="1:10" s="2" customFormat="1" ht="15" x14ac:dyDescent="0.2">
      <c r="A364" s="2" t="s">
        <v>129</v>
      </c>
      <c r="B364" s="2" t="s">
        <v>3209</v>
      </c>
      <c r="C364" s="2" t="s">
        <v>2401</v>
      </c>
      <c r="D364" s="2" t="s">
        <v>1836</v>
      </c>
      <c r="E364" s="2" t="s">
        <v>1838</v>
      </c>
      <c r="F364" s="2">
        <v>10.9</v>
      </c>
      <c r="G364" s="2">
        <v>4.9809599999999996</v>
      </c>
      <c r="H364" s="15">
        <v>-1.12984</v>
      </c>
    </row>
    <row r="365" spans="1:10" s="2" customFormat="1" ht="15" x14ac:dyDescent="0.2">
      <c r="A365" s="2" t="s">
        <v>894</v>
      </c>
      <c r="B365" s="2" t="s">
        <v>3015</v>
      </c>
      <c r="C365" s="2" t="s">
        <v>1880</v>
      </c>
      <c r="D365" s="2" t="s">
        <v>1836</v>
      </c>
      <c r="E365" s="2" t="s">
        <v>1838</v>
      </c>
      <c r="F365" s="2">
        <v>9.6581600000000005</v>
      </c>
      <c r="G365" s="2">
        <v>4.4164399999999997</v>
      </c>
      <c r="H365" s="15">
        <v>-1.12886</v>
      </c>
      <c r="J365" s="18"/>
    </row>
    <row r="366" spans="1:10" s="2" customFormat="1" ht="15" x14ac:dyDescent="0.2">
      <c r="A366" s="2" t="s">
        <v>1329</v>
      </c>
      <c r="B366" s="2" t="s">
        <v>3347</v>
      </c>
      <c r="C366" s="2" t="s">
        <v>2524</v>
      </c>
      <c r="D366" s="2" t="s">
        <v>1836</v>
      </c>
      <c r="E366" s="2" t="s">
        <v>1838</v>
      </c>
      <c r="F366" s="2">
        <v>1.7793000000000001</v>
      </c>
      <c r="G366" s="2">
        <v>0.81548900000000002</v>
      </c>
      <c r="H366" s="15">
        <v>-1.12557</v>
      </c>
    </row>
    <row r="367" spans="1:10" s="2" customFormat="1" ht="15" x14ac:dyDescent="0.2">
      <c r="A367" s="2" t="s">
        <v>525</v>
      </c>
      <c r="B367" s="2" t="s">
        <v>3015</v>
      </c>
      <c r="C367" s="2" t="s">
        <v>3015</v>
      </c>
      <c r="D367" s="2" t="s">
        <v>1836</v>
      </c>
      <c r="E367" s="2" t="s">
        <v>1838</v>
      </c>
      <c r="F367" s="2">
        <v>18.343399999999999</v>
      </c>
      <c r="G367" s="2">
        <v>8.4375999999999998</v>
      </c>
      <c r="H367" s="15">
        <v>-1.12036</v>
      </c>
    </row>
    <row r="368" spans="1:10" s="2" customFormat="1" ht="15" x14ac:dyDescent="0.2">
      <c r="A368" s="2" t="s">
        <v>1249</v>
      </c>
      <c r="B368" s="2" t="s">
        <v>3318</v>
      </c>
      <c r="C368" s="2" t="s">
        <v>2456</v>
      </c>
      <c r="D368" s="2" t="s">
        <v>1836</v>
      </c>
      <c r="E368" s="2" t="s">
        <v>1838</v>
      </c>
      <c r="F368" s="2">
        <v>10.9133</v>
      </c>
      <c r="G368" s="2">
        <v>5.0213900000000002</v>
      </c>
      <c r="H368" s="15">
        <v>-1.1199300000000001</v>
      </c>
    </row>
    <row r="369" spans="1:10" s="2" customFormat="1" ht="15" x14ac:dyDescent="0.2">
      <c r="A369" s="2" t="s">
        <v>743</v>
      </c>
      <c r="B369" s="2" t="s">
        <v>3201</v>
      </c>
      <c r="C369" s="2" t="s">
        <v>2186</v>
      </c>
      <c r="D369" s="2" t="s">
        <v>1836</v>
      </c>
      <c r="E369" s="2" t="s">
        <v>1838</v>
      </c>
      <c r="F369" s="2">
        <v>1.78914</v>
      </c>
      <c r="G369" s="2">
        <v>0.82491800000000004</v>
      </c>
      <c r="H369" s="15">
        <v>-1.1169500000000001</v>
      </c>
      <c r="J369" s="18"/>
    </row>
    <row r="370" spans="1:10" s="2" customFormat="1" ht="15" x14ac:dyDescent="0.2">
      <c r="A370" s="2" t="s">
        <v>384</v>
      </c>
      <c r="B370" s="2" t="s">
        <v>3015</v>
      </c>
      <c r="C370" s="2" t="s">
        <v>3015</v>
      </c>
      <c r="D370" s="2" t="s">
        <v>1836</v>
      </c>
      <c r="E370" s="2" t="s">
        <v>1838</v>
      </c>
      <c r="F370" s="2">
        <v>29.618400000000001</v>
      </c>
      <c r="G370" s="2">
        <v>13.662100000000001</v>
      </c>
      <c r="H370" s="15">
        <v>-1.11632</v>
      </c>
      <c r="J370" s="18"/>
    </row>
    <row r="371" spans="1:10" s="2" customFormat="1" ht="15" x14ac:dyDescent="0.2">
      <c r="A371" s="2" t="s">
        <v>1266</v>
      </c>
      <c r="B371" s="2" t="s">
        <v>3325</v>
      </c>
      <c r="C371" s="2" t="s">
        <v>2469</v>
      </c>
      <c r="D371" s="2" t="s">
        <v>1836</v>
      </c>
      <c r="E371" s="2" t="s">
        <v>1838</v>
      </c>
      <c r="F371" s="2">
        <v>1.9129700000000001</v>
      </c>
      <c r="G371" s="2">
        <v>0.88269699999999995</v>
      </c>
      <c r="H371" s="15">
        <v>-1.11582</v>
      </c>
    </row>
    <row r="372" spans="1:10" s="2" customFormat="1" ht="15" x14ac:dyDescent="0.2">
      <c r="A372" s="2" t="s">
        <v>731</v>
      </c>
      <c r="B372" s="2" t="s">
        <v>3015</v>
      </c>
      <c r="C372" s="2" t="s">
        <v>2183</v>
      </c>
      <c r="D372" s="2" t="s">
        <v>1836</v>
      </c>
      <c r="E372" s="2" t="s">
        <v>1838</v>
      </c>
      <c r="F372" s="2">
        <v>5.3973699999999996</v>
      </c>
      <c r="G372" s="2">
        <v>2.4914399999999999</v>
      </c>
      <c r="H372" s="15">
        <v>-1.11528</v>
      </c>
      <c r="J372" s="18"/>
    </row>
    <row r="373" spans="1:10" s="2" customFormat="1" ht="15" x14ac:dyDescent="0.2">
      <c r="A373" s="2" t="s">
        <v>1304</v>
      </c>
      <c r="B373" s="2" t="s">
        <v>3086</v>
      </c>
      <c r="C373" s="2" t="s">
        <v>2510</v>
      </c>
      <c r="D373" s="2" t="s">
        <v>1836</v>
      </c>
      <c r="E373" s="2" t="s">
        <v>1838</v>
      </c>
      <c r="F373" s="2">
        <v>7.2991200000000003</v>
      </c>
      <c r="G373" s="2">
        <v>3.37039</v>
      </c>
      <c r="H373" s="15">
        <v>-1.1148100000000001</v>
      </c>
      <c r="J373" s="18"/>
    </row>
    <row r="374" spans="1:10" s="2" customFormat="1" ht="15" x14ac:dyDescent="0.2">
      <c r="A374" s="2" t="s">
        <v>251</v>
      </c>
      <c r="B374" s="2" t="s">
        <v>3015</v>
      </c>
      <c r="C374" s="2" t="s">
        <v>1963</v>
      </c>
      <c r="D374" s="2" t="s">
        <v>1836</v>
      </c>
      <c r="E374" s="2" t="s">
        <v>1838</v>
      </c>
      <c r="F374" s="2">
        <v>10.2959</v>
      </c>
      <c r="G374" s="2">
        <v>4.7564399999999996</v>
      </c>
      <c r="H374" s="15">
        <v>-1.11412</v>
      </c>
    </row>
    <row r="375" spans="1:10" s="2" customFormat="1" ht="15" x14ac:dyDescent="0.2">
      <c r="A375" s="2" t="s">
        <v>1174</v>
      </c>
      <c r="B375" s="2" t="s">
        <v>3015</v>
      </c>
      <c r="C375" s="2" t="s">
        <v>2403</v>
      </c>
      <c r="D375" s="2" t="s">
        <v>1836</v>
      </c>
      <c r="E375" s="2" t="s">
        <v>1838</v>
      </c>
      <c r="F375" s="2">
        <v>21.488</v>
      </c>
      <c r="G375" s="2">
        <v>9.9288000000000007</v>
      </c>
      <c r="H375" s="15">
        <v>-1.1138399999999999</v>
      </c>
    </row>
    <row r="376" spans="1:10" s="2" customFormat="1" ht="15" x14ac:dyDescent="0.2">
      <c r="A376" s="2" t="s">
        <v>598</v>
      </c>
      <c r="B376" s="2" t="s">
        <v>3038</v>
      </c>
      <c r="C376" s="2" t="s">
        <v>2514</v>
      </c>
      <c r="D376" s="2" t="s">
        <v>1836</v>
      </c>
      <c r="E376" s="2" t="s">
        <v>1838</v>
      </c>
      <c r="F376" s="2">
        <v>5.4894999999999996</v>
      </c>
      <c r="G376" s="2">
        <v>2.5388600000000001</v>
      </c>
      <c r="H376" s="15">
        <v>-1.1125</v>
      </c>
      <c r="J376" s="18"/>
    </row>
    <row r="377" spans="1:10" s="2" customFormat="1" ht="15" x14ac:dyDescent="0.2">
      <c r="A377" s="2" t="s">
        <v>819</v>
      </c>
      <c r="B377" s="2" t="s">
        <v>3015</v>
      </c>
      <c r="C377" s="2" t="s">
        <v>2214</v>
      </c>
      <c r="D377" s="2" t="s">
        <v>1836</v>
      </c>
      <c r="E377" s="2" t="s">
        <v>1838</v>
      </c>
      <c r="F377" s="2">
        <v>117.569</v>
      </c>
      <c r="G377" s="2">
        <v>54.377299999999998</v>
      </c>
      <c r="H377" s="15">
        <v>-1.11243</v>
      </c>
      <c r="J377" s="18"/>
    </row>
    <row r="378" spans="1:10" s="2" customFormat="1" ht="15" x14ac:dyDescent="0.2">
      <c r="A378" s="2" t="s">
        <v>754</v>
      </c>
      <c r="B378" s="2" t="s">
        <v>3062</v>
      </c>
      <c r="C378" s="2" t="s">
        <v>2188</v>
      </c>
      <c r="D378" s="2" t="s">
        <v>1836</v>
      </c>
      <c r="E378" s="2" t="s">
        <v>1838</v>
      </c>
      <c r="F378" s="2">
        <v>6.9001400000000004</v>
      </c>
      <c r="G378" s="2">
        <v>3.1917399999999998</v>
      </c>
      <c r="H378" s="15">
        <v>-1.1122799999999999</v>
      </c>
      <c r="J378" s="18"/>
    </row>
    <row r="379" spans="1:10" s="2" customFormat="1" ht="15" x14ac:dyDescent="0.2">
      <c r="A379" s="2" t="s">
        <v>1297</v>
      </c>
      <c r="B379" s="2" t="s">
        <v>3015</v>
      </c>
      <c r="C379" s="2" t="s">
        <v>3015</v>
      </c>
      <c r="D379" s="2" t="s">
        <v>1836</v>
      </c>
      <c r="E379" s="2" t="s">
        <v>1838</v>
      </c>
      <c r="F379" s="2">
        <v>1.0734600000000001</v>
      </c>
      <c r="G379" s="2">
        <v>0.49669799999999997</v>
      </c>
      <c r="H379" s="15">
        <v>-1.1118399999999999</v>
      </c>
    </row>
    <row r="380" spans="1:10" s="2" customFormat="1" ht="15" x14ac:dyDescent="0.2">
      <c r="A380" s="2" t="s">
        <v>1095</v>
      </c>
      <c r="B380" s="2" t="s">
        <v>3015</v>
      </c>
      <c r="C380" s="2" t="s">
        <v>1880</v>
      </c>
      <c r="D380" s="2" t="s">
        <v>1836</v>
      </c>
      <c r="E380" s="2" t="s">
        <v>1838</v>
      </c>
      <c r="F380" s="2">
        <v>100.709</v>
      </c>
      <c r="G380" s="2">
        <v>46.625999999999998</v>
      </c>
      <c r="H380" s="15">
        <v>-1.1109800000000001</v>
      </c>
    </row>
    <row r="381" spans="1:10" s="2" customFormat="1" ht="15" x14ac:dyDescent="0.2">
      <c r="A381" s="2" t="s">
        <v>75</v>
      </c>
      <c r="B381" s="2" t="s">
        <v>3258</v>
      </c>
      <c r="C381" s="2" t="s">
        <v>2384</v>
      </c>
      <c r="D381" s="2" t="s">
        <v>1836</v>
      </c>
      <c r="E381" s="2" t="s">
        <v>1838</v>
      </c>
      <c r="F381" s="2">
        <v>5.9261799999999996</v>
      </c>
      <c r="G381" s="2">
        <v>2.7521399999999998</v>
      </c>
      <c r="H381" s="15">
        <v>-1.1065499999999999</v>
      </c>
      <c r="J381" s="18"/>
    </row>
    <row r="382" spans="1:10" s="2" customFormat="1" ht="15" x14ac:dyDescent="0.2">
      <c r="A382" s="2" t="s">
        <v>1389</v>
      </c>
      <c r="B382" s="2" t="s">
        <v>3030</v>
      </c>
      <c r="C382" s="2" t="s">
        <v>2568</v>
      </c>
      <c r="D382" s="2" t="s">
        <v>1836</v>
      </c>
      <c r="E382" s="2" t="s">
        <v>1838</v>
      </c>
      <c r="F382" s="2">
        <v>1.7463500000000001</v>
      </c>
      <c r="G382" s="2">
        <v>0.81285700000000005</v>
      </c>
      <c r="H382" s="15">
        <v>-1.10327</v>
      </c>
    </row>
    <row r="383" spans="1:10" s="2" customFormat="1" ht="15" x14ac:dyDescent="0.2">
      <c r="A383" s="2" t="s">
        <v>175</v>
      </c>
      <c r="B383" s="2" t="s">
        <v>3299</v>
      </c>
      <c r="C383" s="2" t="s">
        <v>1862</v>
      </c>
      <c r="D383" s="2" t="s">
        <v>1836</v>
      </c>
      <c r="E383" s="2" t="s">
        <v>1838</v>
      </c>
      <c r="F383" s="2">
        <v>16.055</v>
      </c>
      <c r="G383" s="2">
        <v>7.47323</v>
      </c>
      <c r="H383" s="15">
        <v>-1.1032200000000001</v>
      </c>
    </row>
    <row r="384" spans="1:10" s="2" customFormat="1" ht="15" x14ac:dyDescent="0.2">
      <c r="A384" s="2" t="s">
        <v>1088</v>
      </c>
      <c r="B384" s="2" t="s">
        <v>3081</v>
      </c>
      <c r="C384" s="2" t="s">
        <v>2353</v>
      </c>
      <c r="D384" s="2" t="s">
        <v>1836</v>
      </c>
      <c r="E384" s="2" t="s">
        <v>1838</v>
      </c>
      <c r="F384" s="2">
        <v>2.6558299999999999</v>
      </c>
      <c r="G384" s="2">
        <v>1.2370399999999999</v>
      </c>
      <c r="H384" s="15">
        <v>-1.1022700000000001</v>
      </c>
      <c r="J384" s="18"/>
    </row>
    <row r="385" spans="1:10" s="2" customFormat="1" ht="15" x14ac:dyDescent="0.2">
      <c r="A385" s="2" t="s">
        <v>788</v>
      </c>
      <c r="B385" s="2" t="s">
        <v>3301</v>
      </c>
      <c r="C385" s="2" t="s">
        <v>2567</v>
      </c>
      <c r="D385" s="2" t="s">
        <v>1836</v>
      </c>
      <c r="E385" s="2" t="s">
        <v>1838</v>
      </c>
      <c r="F385" s="2">
        <v>64.732200000000006</v>
      </c>
      <c r="G385" s="2">
        <v>30.177900000000001</v>
      </c>
      <c r="H385" s="15">
        <v>-1.1009899999999999</v>
      </c>
      <c r="J385" s="18"/>
    </row>
    <row r="386" spans="1:10" s="2" customFormat="1" ht="15" x14ac:dyDescent="0.2">
      <c r="A386" s="2" t="s">
        <v>1012</v>
      </c>
      <c r="B386" s="2" t="s">
        <v>3015</v>
      </c>
      <c r="C386" s="2" t="s">
        <v>2317</v>
      </c>
      <c r="D386" s="2" t="s">
        <v>1836</v>
      </c>
      <c r="E386" s="2" t="s">
        <v>1838</v>
      </c>
      <c r="F386" s="2">
        <v>2.59382</v>
      </c>
      <c r="G386" s="2">
        <v>1.2111400000000001</v>
      </c>
      <c r="H386" s="15">
        <v>-1.0987100000000001</v>
      </c>
      <c r="J386" s="18"/>
    </row>
    <row r="387" spans="1:10" s="2" customFormat="1" ht="15" x14ac:dyDescent="0.2">
      <c r="A387" s="2" t="s">
        <v>1362</v>
      </c>
      <c r="B387" s="2" t="s">
        <v>3353</v>
      </c>
      <c r="C387" s="2" t="s">
        <v>2548</v>
      </c>
      <c r="D387" s="2" t="s">
        <v>1836</v>
      </c>
      <c r="E387" s="2" t="s">
        <v>1838</v>
      </c>
      <c r="F387" s="2">
        <v>17.153099999999998</v>
      </c>
      <c r="G387" s="2">
        <v>8.0170700000000004</v>
      </c>
      <c r="H387" s="15">
        <v>-1.0973200000000001</v>
      </c>
      <c r="J387" s="18"/>
    </row>
    <row r="388" spans="1:10" s="2" customFormat="1" ht="15" x14ac:dyDescent="0.2">
      <c r="A388" s="2" t="s">
        <v>665</v>
      </c>
      <c r="B388" s="2" t="s">
        <v>3197</v>
      </c>
      <c r="C388" s="2" t="s">
        <v>2179</v>
      </c>
      <c r="D388" s="2" t="s">
        <v>1836</v>
      </c>
      <c r="E388" s="2" t="s">
        <v>1838</v>
      </c>
      <c r="F388" s="2">
        <v>4.0036300000000002</v>
      </c>
      <c r="G388" s="2">
        <v>1.8715599999999999</v>
      </c>
      <c r="H388" s="15">
        <v>-1.09707</v>
      </c>
      <c r="J388" s="18"/>
    </row>
    <row r="389" spans="1:10" s="2" customFormat="1" ht="15" x14ac:dyDescent="0.2">
      <c r="A389" s="2" t="s">
        <v>417</v>
      </c>
      <c r="B389" s="2" t="s">
        <v>3045</v>
      </c>
      <c r="C389" s="2" t="s">
        <v>1923</v>
      </c>
      <c r="D389" s="2" t="s">
        <v>1836</v>
      </c>
      <c r="E389" s="2" t="s">
        <v>1838</v>
      </c>
      <c r="F389" s="2">
        <v>61.389800000000001</v>
      </c>
      <c r="G389" s="2">
        <v>28.713100000000001</v>
      </c>
      <c r="H389" s="15">
        <v>-1.09629</v>
      </c>
    </row>
    <row r="390" spans="1:10" s="2" customFormat="1" ht="15" x14ac:dyDescent="0.2">
      <c r="A390" s="2" t="s">
        <v>984</v>
      </c>
      <c r="B390" s="2" t="s">
        <v>3253</v>
      </c>
      <c r="C390" s="2" t="s">
        <v>2307</v>
      </c>
      <c r="D390" s="2" t="s">
        <v>1836</v>
      </c>
      <c r="E390" s="2" t="s">
        <v>1838</v>
      </c>
      <c r="F390" s="2">
        <v>13.5283</v>
      </c>
      <c r="G390" s="2">
        <v>6.3287699999999996</v>
      </c>
      <c r="H390" s="15">
        <v>-1.09598</v>
      </c>
      <c r="J390" s="18"/>
    </row>
    <row r="391" spans="1:10" s="2" customFormat="1" ht="15" x14ac:dyDescent="0.2">
      <c r="A391" s="2" t="s">
        <v>1291</v>
      </c>
      <c r="B391" s="2" t="s">
        <v>3015</v>
      </c>
      <c r="C391" s="2" t="s">
        <v>2499</v>
      </c>
      <c r="D391" s="2" t="s">
        <v>1836</v>
      </c>
      <c r="E391" s="2" t="s">
        <v>1838</v>
      </c>
      <c r="F391" s="2">
        <v>66.064599999999999</v>
      </c>
      <c r="G391" s="2">
        <v>30.912800000000001</v>
      </c>
      <c r="H391" s="15">
        <v>-1.0956699999999999</v>
      </c>
      <c r="J391" s="18"/>
    </row>
    <row r="392" spans="1:10" s="2" customFormat="1" ht="15" x14ac:dyDescent="0.2">
      <c r="A392" s="2" t="s">
        <v>575</v>
      </c>
      <c r="B392" s="2" t="s">
        <v>3165</v>
      </c>
      <c r="C392" s="2" t="s">
        <v>2113</v>
      </c>
      <c r="D392" s="2" t="s">
        <v>1836</v>
      </c>
      <c r="E392" s="2" t="s">
        <v>1838</v>
      </c>
      <c r="F392" s="2">
        <v>2.7837900000000002</v>
      </c>
      <c r="G392" s="2">
        <v>1.3031200000000001</v>
      </c>
      <c r="H392" s="15">
        <v>-1.0950800000000001</v>
      </c>
    </row>
    <row r="393" spans="1:10" s="2" customFormat="1" ht="15" x14ac:dyDescent="0.2">
      <c r="A393" s="2" t="s">
        <v>1436</v>
      </c>
      <c r="B393" s="2" t="s">
        <v>3015</v>
      </c>
      <c r="C393" s="2" t="s">
        <v>1862</v>
      </c>
      <c r="D393" s="2" t="s">
        <v>1836</v>
      </c>
      <c r="E393" s="2" t="s">
        <v>1838</v>
      </c>
      <c r="F393" s="2">
        <v>1.63801</v>
      </c>
      <c r="G393" s="2">
        <v>0.76749100000000003</v>
      </c>
      <c r="H393" s="15">
        <v>-1.0937300000000001</v>
      </c>
    </row>
    <row r="394" spans="1:10" s="2" customFormat="1" ht="15" x14ac:dyDescent="0.2">
      <c r="A394" s="2" t="s">
        <v>1357</v>
      </c>
      <c r="B394" s="2" t="s">
        <v>3015</v>
      </c>
      <c r="C394" s="2" t="s">
        <v>2545</v>
      </c>
      <c r="D394" s="2" t="s">
        <v>1836</v>
      </c>
      <c r="E394" s="2" t="s">
        <v>1838</v>
      </c>
      <c r="F394" s="2">
        <v>1.2413400000000001</v>
      </c>
      <c r="G394" s="2">
        <v>0.58250599999999997</v>
      </c>
      <c r="H394" s="15">
        <v>-1.09155</v>
      </c>
    </row>
    <row r="395" spans="1:10" s="2" customFormat="1" ht="15" x14ac:dyDescent="0.2">
      <c r="A395" s="2" t="s">
        <v>578</v>
      </c>
      <c r="B395" s="2" t="s">
        <v>3340</v>
      </c>
      <c r="C395" s="2" t="s">
        <v>2508</v>
      </c>
      <c r="D395" s="2" t="s">
        <v>1836</v>
      </c>
      <c r="E395" s="2" t="s">
        <v>1838</v>
      </c>
      <c r="F395" s="2">
        <v>8.9638899999999992</v>
      </c>
      <c r="G395" s="2">
        <v>4.20824</v>
      </c>
      <c r="H395" s="15">
        <v>-1.09091</v>
      </c>
      <c r="J395" s="18"/>
    </row>
    <row r="396" spans="1:10" s="2" customFormat="1" ht="15" x14ac:dyDescent="0.2">
      <c r="A396" s="2" t="s">
        <v>1390</v>
      </c>
      <c r="B396" s="2" t="s">
        <v>3362</v>
      </c>
      <c r="C396" s="2" t="s">
        <v>2569</v>
      </c>
      <c r="D396" s="2" t="s">
        <v>1836</v>
      </c>
      <c r="E396" s="2" t="s">
        <v>1838</v>
      </c>
      <c r="F396" s="2">
        <v>0.79801699999999998</v>
      </c>
      <c r="G396" s="2">
        <v>0.37463999999999997</v>
      </c>
      <c r="H396" s="15">
        <v>-1.09091</v>
      </c>
    </row>
    <row r="397" spans="1:10" s="2" customFormat="1" ht="15" x14ac:dyDescent="0.2">
      <c r="A397" s="2" t="s">
        <v>1315</v>
      </c>
      <c r="B397" s="2" t="s">
        <v>3081</v>
      </c>
      <c r="C397" s="2" t="s">
        <v>2515</v>
      </c>
      <c r="D397" s="2" t="s">
        <v>1836</v>
      </c>
      <c r="E397" s="2" t="s">
        <v>1838</v>
      </c>
      <c r="F397" s="2">
        <v>0.92362100000000003</v>
      </c>
      <c r="G397" s="2">
        <v>0.434008</v>
      </c>
      <c r="H397" s="15">
        <v>-1.08958</v>
      </c>
    </row>
    <row r="398" spans="1:10" s="2" customFormat="1" ht="15" x14ac:dyDescent="0.2">
      <c r="A398" s="2" t="s">
        <v>1185</v>
      </c>
      <c r="B398" s="2" t="s">
        <v>3182</v>
      </c>
      <c r="C398" s="2" t="s">
        <v>2411</v>
      </c>
      <c r="D398" s="2" t="s">
        <v>1836</v>
      </c>
      <c r="E398" s="2" t="s">
        <v>1838</v>
      </c>
      <c r="F398" s="2">
        <v>0.82359700000000002</v>
      </c>
      <c r="G398" s="2">
        <v>0.38826699999999997</v>
      </c>
      <c r="H398" s="15">
        <v>-1.0848899999999999</v>
      </c>
    </row>
    <row r="399" spans="1:10" s="2" customFormat="1" ht="15" x14ac:dyDescent="0.2">
      <c r="A399" s="2" t="s">
        <v>433</v>
      </c>
      <c r="B399" s="2" t="s">
        <v>3015</v>
      </c>
      <c r="C399" s="2" t="s">
        <v>2045</v>
      </c>
      <c r="D399" s="2" t="s">
        <v>1836</v>
      </c>
      <c r="E399" s="2" t="s">
        <v>1838</v>
      </c>
      <c r="F399" s="2">
        <v>2.8269799999999998</v>
      </c>
      <c r="G399" s="2">
        <v>1.33345</v>
      </c>
      <c r="H399" s="15">
        <v>-1.08409</v>
      </c>
      <c r="J399" s="18"/>
    </row>
    <row r="400" spans="1:10" s="2" customFormat="1" ht="15" x14ac:dyDescent="0.2">
      <c r="A400" s="2" t="s">
        <v>1196</v>
      </c>
      <c r="B400" s="2" t="s">
        <v>3015</v>
      </c>
      <c r="C400" s="2" t="s">
        <v>2421</v>
      </c>
      <c r="D400" s="2" t="s">
        <v>1836</v>
      </c>
      <c r="E400" s="2" t="s">
        <v>1838</v>
      </c>
      <c r="F400" s="2">
        <v>1.5328200000000001</v>
      </c>
      <c r="G400" s="2">
        <v>0.72356200000000004</v>
      </c>
      <c r="H400" s="15">
        <v>-1.083</v>
      </c>
    </row>
    <row r="401" spans="1:10" s="2" customFormat="1" ht="15" x14ac:dyDescent="0.2">
      <c r="A401" s="2" t="s">
        <v>1246</v>
      </c>
      <c r="B401" s="2" t="s">
        <v>3015</v>
      </c>
      <c r="C401" s="2" t="s">
        <v>2454</v>
      </c>
      <c r="D401" s="2" t="s">
        <v>1836</v>
      </c>
      <c r="E401" s="2" t="s">
        <v>1838</v>
      </c>
      <c r="F401" s="2">
        <v>1.50282</v>
      </c>
      <c r="G401" s="2">
        <v>0.70940300000000001</v>
      </c>
      <c r="H401" s="15">
        <v>-1.083</v>
      </c>
    </row>
    <row r="402" spans="1:10" s="2" customFormat="1" ht="15" x14ac:dyDescent="0.2">
      <c r="A402" s="2" t="s">
        <v>1159</v>
      </c>
      <c r="B402" s="2" t="s">
        <v>3015</v>
      </c>
      <c r="C402" s="2" t="s">
        <v>2392</v>
      </c>
      <c r="D402" s="2" t="s">
        <v>1836</v>
      </c>
      <c r="E402" s="2" t="s">
        <v>1838</v>
      </c>
      <c r="F402" s="2">
        <v>16.418199999999999</v>
      </c>
      <c r="G402" s="2">
        <v>7.7688199999999998</v>
      </c>
      <c r="H402" s="15">
        <v>-1.0795300000000001</v>
      </c>
      <c r="J402" s="18"/>
    </row>
    <row r="403" spans="1:10" s="2" customFormat="1" ht="15" x14ac:dyDescent="0.2">
      <c r="A403" s="2" t="s">
        <v>1260</v>
      </c>
      <c r="B403" s="2" t="s">
        <v>3046</v>
      </c>
      <c r="C403" s="2" t="s">
        <v>2463</v>
      </c>
      <c r="D403" s="2" t="s">
        <v>1836</v>
      </c>
      <c r="E403" s="2" t="s">
        <v>1838</v>
      </c>
      <c r="F403" s="2">
        <v>11.880800000000001</v>
      </c>
      <c r="G403" s="2">
        <v>5.6228699999999998</v>
      </c>
      <c r="H403" s="15">
        <v>-1.07925</v>
      </c>
      <c r="J403" s="18"/>
    </row>
    <row r="404" spans="1:10" s="2" customFormat="1" ht="15" x14ac:dyDescent="0.2">
      <c r="A404" s="2" t="s">
        <v>936</v>
      </c>
      <c r="B404" s="2" t="s">
        <v>3373</v>
      </c>
      <c r="C404" s="2" t="s">
        <v>2200</v>
      </c>
      <c r="D404" s="2" t="s">
        <v>1836</v>
      </c>
      <c r="E404" s="2" t="s">
        <v>1838</v>
      </c>
      <c r="F404" s="2">
        <v>3.7222599999999999</v>
      </c>
      <c r="G404" s="2">
        <v>1.76207</v>
      </c>
      <c r="H404" s="15">
        <v>-1.07891</v>
      </c>
      <c r="J404" s="18"/>
    </row>
    <row r="405" spans="1:10" s="2" customFormat="1" ht="15" x14ac:dyDescent="0.2">
      <c r="A405" s="2" t="s">
        <v>1378</v>
      </c>
      <c r="B405" s="2" t="s">
        <v>3357</v>
      </c>
      <c r="C405" s="2" t="s">
        <v>2555</v>
      </c>
      <c r="D405" s="2" t="s">
        <v>1836</v>
      </c>
      <c r="E405" s="2" t="s">
        <v>1838</v>
      </c>
      <c r="F405" s="2">
        <v>60.236899999999999</v>
      </c>
      <c r="G405" s="2">
        <v>28.555</v>
      </c>
      <c r="H405" s="15">
        <v>-1.0769</v>
      </c>
    </row>
    <row r="406" spans="1:10" s="2" customFormat="1" ht="15" x14ac:dyDescent="0.2">
      <c r="A406" s="2" t="s">
        <v>557</v>
      </c>
      <c r="B406" s="2" t="s">
        <v>3015</v>
      </c>
      <c r="C406" s="2" t="s">
        <v>2504</v>
      </c>
      <c r="D406" s="2" t="s">
        <v>1836</v>
      </c>
      <c r="E406" s="2" t="s">
        <v>1838</v>
      </c>
      <c r="F406" s="2">
        <v>5.13192</v>
      </c>
      <c r="G406" s="2">
        <v>2.4468200000000002</v>
      </c>
      <c r="H406" s="15">
        <v>-1.0685899999999999</v>
      </c>
      <c r="J406" s="18"/>
    </row>
    <row r="407" spans="1:10" s="2" customFormat="1" ht="15" x14ac:dyDescent="0.2">
      <c r="A407" s="2" t="s">
        <v>1361</v>
      </c>
      <c r="B407" s="2" t="s">
        <v>3353</v>
      </c>
      <c r="C407" s="2" t="s">
        <v>2547</v>
      </c>
      <c r="D407" s="2" t="s">
        <v>1836</v>
      </c>
      <c r="E407" s="2" t="s">
        <v>1838</v>
      </c>
      <c r="F407" s="2">
        <v>2.3009900000000001</v>
      </c>
      <c r="G407" s="2">
        <v>1.0973999999999999</v>
      </c>
      <c r="H407" s="15">
        <v>-1.0681700000000001</v>
      </c>
      <c r="J407" s="18"/>
    </row>
    <row r="408" spans="1:10" s="2" customFormat="1" ht="15" x14ac:dyDescent="0.2">
      <c r="A408" s="2" t="s">
        <v>416</v>
      </c>
      <c r="B408" s="2" t="s">
        <v>3080</v>
      </c>
      <c r="C408" s="2" t="s">
        <v>2036</v>
      </c>
      <c r="D408" s="2" t="s">
        <v>1836</v>
      </c>
      <c r="E408" s="2" t="s">
        <v>1838</v>
      </c>
      <c r="F408" s="2">
        <v>8.0118899999999993</v>
      </c>
      <c r="G408" s="2">
        <v>3.82192</v>
      </c>
      <c r="H408" s="15">
        <v>-1.0678399999999999</v>
      </c>
      <c r="J408" s="18"/>
    </row>
    <row r="409" spans="1:10" s="2" customFormat="1" ht="15" x14ac:dyDescent="0.2">
      <c r="A409" s="2" t="s">
        <v>1474</v>
      </c>
      <c r="B409" s="2" t="s">
        <v>3015</v>
      </c>
      <c r="C409" s="2" t="s">
        <v>3015</v>
      </c>
      <c r="D409" s="2" t="s">
        <v>1836</v>
      </c>
      <c r="E409" s="2" t="s">
        <v>1838</v>
      </c>
      <c r="F409" s="2">
        <v>4.3029999999999999</v>
      </c>
      <c r="G409" s="2">
        <v>2.0553400000000002</v>
      </c>
      <c r="H409" s="15">
        <v>-1.0659700000000001</v>
      </c>
    </row>
    <row r="410" spans="1:10" s="2" customFormat="1" ht="15" x14ac:dyDescent="0.2">
      <c r="A410" s="2" t="s">
        <v>1375</v>
      </c>
      <c r="B410" s="2" t="s">
        <v>3149</v>
      </c>
      <c r="C410" s="2" t="s">
        <v>2553</v>
      </c>
      <c r="D410" s="2" t="s">
        <v>1836</v>
      </c>
      <c r="E410" s="2" t="s">
        <v>1838</v>
      </c>
      <c r="F410" s="2">
        <v>1.09548</v>
      </c>
      <c r="G410" s="2">
        <v>0.52393999999999996</v>
      </c>
      <c r="H410" s="15">
        <v>-1.06409</v>
      </c>
    </row>
    <row r="411" spans="1:10" s="2" customFormat="1" ht="15" x14ac:dyDescent="0.2">
      <c r="A411" s="2" t="s">
        <v>1129</v>
      </c>
      <c r="B411" s="2" t="s">
        <v>3280</v>
      </c>
      <c r="C411" s="2" t="s">
        <v>2364</v>
      </c>
      <c r="D411" s="2" t="s">
        <v>1836</v>
      </c>
      <c r="E411" s="2" t="s">
        <v>1838</v>
      </c>
      <c r="F411" s="2">
        <v>2.2606799999999998</v>
      </c>
      <c r="G411" s="2">
        <v>1.08239</v>
      </c>
      <c r="H411" s="15">
        <v>-1.06253</v>
      </c>
      <c r="J411" s="18"/>
    </row>
    <row r="412" spans="1:10" s="2" customFormat="1" ht="15" x14ac:dyDescent="0.2">
      <c r="A412" s="2" t="s">
        <v>475</v>
      </c>
      <c r="B412" s="2" t="s">
        <v>3331</v>
      </c>
      <c r="C412" s="2" t="s">
        <v>2484</v>
      </c>
      <c r="D412" s="2" t="s">
        <v>1836</v>
      </c>
      <c r="E412" s="2" t="s">
        <v>1838</v>
      </c>
      <c r="F412" s="2">
        <v>11.9504</v>
      </c>
      <c r="G412" s="2">
        <v>5.7232700000000003</v>
      </c>
      <c r="H412" s="15">
        <v>-1.0621499999999999</v>
      </c>
      <c r="J412" s="18"/>
    </row>
    <row r="413" spans="1:10" s="2" customFormat="1" ht="15" x14ac:dyDescent="0.2">
      <c r="A413" s="2" t="s">
        <v>817</v>
      </c>
      <c r="B413" s="2" t="s">
        <v>3015</v>
      </c>
      <c r="C413" s="2" t="s">
        <v>2575</v>
      </c>
      <c r="D413" s="2" t="s">
        <v>1836</v>
      </c>
      <c r="E413" s="2" t="s">
        <v>1838</v>
      </c>
      <c r="F413" s="2">
        <v>10.466699999999999</v>
      </c>
      <c r="G413" s="2">
        <v>5.0131899999999998</v>
      </c>
      <c r="H413" s="15">
        <v>-1.0620000000000001</v>
      </c>
    </row>
    <row r="414" spans="1:10" s="2" customFormat="1" ht="15" x14ac:dyDescent="0.2">
      <c r="A414" s="2" t="s">
        <v>532</v>
      </c>
      <c r="B414" s="2" t="s">
        <v>3043</v>
      </c>
      <c r="C414" s="2" t="s">
        <v>2095</v>
      </c>
      <c r="D414" s="2" t="s">
        <v>1836</v>
      </c>
      <c r="E414" s="2" t="s">
        <v>1838</v>
      </c>
      <c r="F414" s="2">
        <v>21.0182</v>
      </c>
      <c r="G414" s="2">
        <v>10.0678</v>
      </c>
      <c r="H414" s="15">
        <v>-1.06189</v>
      </c>
      <c r="J414" s="18"/>
    </row>
    <row r="415" spans="1:10" s="2" customFormat="1" ht="15" x14ac:dyDescent="0.2">
      <c r="A415" s="2" t="s">
        <v>227</v>
      </c>
      <c r="B415" s="2" t="s">
        <v>3089</v>
      </c>
      <c r="C415" s="2" t="s">
        <v>1950</v>
      </c>
      <c r="D415" s="2" t="s">
        <v>1836</v>
      </c>
      <c r="E415" s="2" t="s">
        <v>1838</v>
      </c>
      <c r="F415" s="2">
        <v>20.874300000000002</v>
      </c>
      <c r="G415" s="2">
        <v>10.0047</v>
      </c>
      <c r="H415" s="15">
        <v>-1.06105</v>
      </c>
      <c r="J415" s="18"/>
    </row>
    <row r="416" spans="1:10" s="2" customFormat="1" ht="15" x14ac:dyDescent="0.2">
      <c r="A416" s="2" t="s">
        <v>1080</v>
      </c>
      <c r="B416" s="2" t="s">
        <v>3380</v>
      </c>
      <c r="C416" s="2" t="s">
        <v>2606</v>
      </c>
      <c r="D416" s="2" t="s">
        <v>1836</v>
      </c>
      <c r="E416" s="2" t="s">
        <v>1838</v>
      </c>
      <c r="F416" s="2">
        <v>59.792200000000001</v>
      </c>
      <c r="G416" s="2">
        <v>28.6816</v>
      </c>
      <c r="H416" s="15">
        <v>-1.05983</v>
      </c>
      <c r="J416" s="18"/>
    </row>
    <row r="417" spans="1:10" s="2" customFormat="1" ht="15" x14ac:dyDescent="0.2">
      <c r="A417" s="2" t="s">
        <v>465</v>
      </c>
      <c r="B417" s="2" t="s">
        <v>3015</v>
      </c>
      <c r="C417" s="2" t="s">
        <v>3015</v>
      </c>
      <c r="D417" s="2" t="s">
        <v>1836</v>
      </c>
      <c r="E417" s="2" t="s">
        <v>1838</v>
      </c>
      <c r="F417" s="2">
        <v>35.8127</v>
      </c>
      <c r="G417" s="2">
        <v>17.1874</v>
      </c>
      <c r="H417" s="15">
        <v>-1.0591200000000001</v>
      </c>
      <c r="J417" s="18"/>
    </row>
    <row r="418" spans="1:10" s="2" customFormat="1" ht="15" x14ac:dyDescent="0.2">
      <c r="A418" s="2" t="s">
        <v>638</v>
      </c>
      <c r="B418" s="2" t="s">
        <v>3346</v>
      </c>
      <c r="C418" s="2" t="s">
        <v>2523</v>
      </c>
      <c r="D418" s="2" t="s">
        <v>1836</v>
      </c>
      <c r="E418" s="2" t="s">
        <v>1838</v>
      </c>
      <c r="F418" s="2">
        <v>66.1464</v>
      </c>
      <c r="G418" s="2">
        <v>31.767099999999999</v>
      </c>
      <c r="H418" s="15">
        <v>-1.05813</v>
      </c>
      <c r="J418" s="18"/>
    </row>
    <row r="419" spans="1:10" s="2" customFormat="1" ht="15" x14ac:dyDescent="0.2">
      <c r="A419" s="2" t="s">
        <v>1345</v>
      </c>
      <c r="B419" s="2" t="s">
        <v>3015</v>
      </c>
      <c r="C419" s="2" t="s">
        <v>2539</v>
      </c>
      <c r="D419" s="2" t="s">
        <v>1836</v>
      </c>
      <c r="E419" s="2" t="s">
        <v>1838</v>
      </c>
      <c r="F419" s="2">
        <v>2.0553599999999999</v>
      </c>
      <c r="G419" s="2">
        <v>0.98774200000000001</v>
      </c>
      <c r="H419" s="15">
        <v>-1.0571900000000001</v>
      </c>
      <c r="J419" s="18"/>
    </row>
    <row r="420" spans="1:10" s="2" customFormat="1" ht="15" x14ac:dyDescent="0.2">
      <c r="A420" s="2" t="s">
        <v>1275</v>
      </c>
      <c r="B420" s="2" t="s">
        <v>3328</v>
      </c>
      <c r="C420" s="2" t="s">
        <v>2480</v>
      </c>
      <c r="D420" s="2" t="s">
        <v>1836</v>
      </c>
      <c r="E420" s="2" t="s">
        <v>1838</v>
      </c>
      <c r="F420" s="2">
        <v>47.869</v>
      </c>
      <c r="G420" s="2">
        <v>23.0488</v>
      </c>
      <c r="H420" s="15">
        <v>-1.0544</v>
      </c>
      <c r="J420" s="18"/>
    </row>
    <row r="421" spans="1:10" s="2" customFormat="1" ht="15" x14ac:dyDescent="0.2">
      <c r="A421" s="2" t="s">
        <v>550</v>
      </c>
      <c r="B421" s="2" t="s">
        <v>3015</v>
      </c>
      <c r="C421" s="2" t="s">
        <v>2104</v>
      </c>
      <c r="D421" s="2" t="s">
        <v>1836</v>
      </c>
      <c r="E421" s="2" t="s">
        <v>1838</v>
      </c>
      <c r="F421" s="2">
        <v>2.0029499999999998</v>
      </c>
      <c r="G421" s="2">
        <v>0.96518300000000001</v>
      </c>
      <c r="H421" s="15">
        <v>-1.05325</v>
      </c>
      <c r="J421" s="18"/>
    </row>
    <row r="422" spans="1:10" s="2" customFormat="1" ht="15" x14ac:dyDescent="0.2">
      <c r="A422" s="2" t="s">
        <v>742</v>
      </c>
      <c r="B422" s="2" t="s">
        <v>3058</v>
      </c>
      <c r="C422" s="2" t="s">
        <v>2185</v>
      </c>
      <c r="D422" s="2" t="s">
        <v>1836</v>
      </c>
      <c r="E422" s="2" t="s">
        <v>1838</v>
      </c>
      <c r="F422" s="2">
        <v>2.4286599999999998</v>
      </c>
      <c r="G422" s="2">
        <v>1.1722300000000001</v>
      </c>
      <c r="H422" s="15">
        <v>-1.05091</v>
      </c>
      <c r="J422" s="18"/>
    </row>
    <row r="423" spans="1:10" s="2" customFormat="1" ht="15" x14ac:dyDescent="0.2">
      <c r="A423" s="2" t="s">
        <v>1439</v>
      </c>
      <c r="B423" s="2" t="s">
        <v>3129</v>
      </c>
      <c r="C423" s="2" t="s">
        <v>2595</v>
      </c>
      <c r="D423" s="2" t="s">
        <v>1836</v>
      </c>
      <c r="E423" s="2" t="s">
        <v>1838</v>
      </c>
      <c r="F423" s="2">
        <v>2.5129899999999998</v>
      </c>
      <c r="G423" s="2">
        <v>1.2146600000000001</v>
      </c>
      <c r="H423" s="15">
        <v>-1.0488500000000001</v>
      </c>
    </row>
    <row r="424" spans="1:10" s="2" customFormat="1" ht="15" x14ac:dyDescent="0.2">
      <c r="A424" s="2" t="s">
        <v>1373</v>
      </c>
      <c r="B424" s="2" t="s">
        <v>3355</v>
      </c>
      <c r="C424" s="2" t="s">
        <v>2552</v>
      </c>
      <c r="D424" s="2" t="s">
        <v>1836</v>
      </c>
      <c r="E424" s="2" t="s">
        <v>1838</v>
      </c>
      <c r="F424" s="2">
        <v>4.6199399999999997</v>
      </c>
      <c r="G424" s="2">
        <v>2.2341000000000002</v>
      </c>
      <c r="H424" s="15">
        <v>-1.0481799999999999</v>
      </c>
      <c r="J424" s="18"/>
    </row>
    <row r="425" spans="1:10" s="2" customFormat="1" ht="15" x14ac:dyDescent="0.2">
      <c r="A425" s="2" t="s">
        <v>1271</v>
      </c>
      <c r="B425" s="2" t="s">
        <v>3015</v>
      </c>
      <c r="C425" s="2" t="s">
        <v>2476</v>
      </c>
      <c r="D425" s="2" t="s">
        <v>1836</v>
      </c>
      <c r="E425" s="2" t="s">
        <v>1838</v>
      </c>
      <c r="F425" s="2">
        <v>2.3959299999999999</v>
      </c>
      <c r="G425" s="2">
        <v>1.1591100000000001</v>
      </c>
      <c r="H425" s="15">
        <v>-1.0475699999999999</v>
      </c>
      <c r="J425" s="18"/>
    </row>
    <row r="426" spans="1:10" s="2" customFormat="1" ht="15" x14ac:dyDescent="0.2">
      <c r="A426" s="2" t="s">
        <v>1211</v>
      </c>
      <c r="B426" s="2" t="s">
        <v>3305</v>
      </c>
      <c r="C426" s="2" t="s">
        <v>2429</v>
      </c>
      <c r="D426" s="2" t="s">
        <v>1836</v>
      </c>
      <c r="E426" s="2" t="s">
        <v>1838</v>
      </c>
      <c r="F426" s="2">
        <v>4.70364</v>
      </c>
      <c r="G426" s="2">
        <v>2.2772700000000001</v>
      </c>
      <c r="H426" s="15">
        <v>-1.04647</v>
      </c>
      <c r="J426" s="18"/>
    </row>
    <row r="427" spans="1:10" s="2" customFormat="1" ht="15" x14ac:dyDescent="0.2">
      <c r="A427" s="2" t="s">
        <v>385</v>
      </c>
      <c r="B427" s="2" t="s">
        <v>3015</v>
      </c>
      <c r="C427" s="2" t="s">
        <v>2020</v>
      </c>
      <c r="D427" s="2" t="s">
        <v>1836</v>
      </c>
      <c r="E427" s="2" t="s">
        <v>1838</v>
      </c>
      <c r="F427" s="2">
        <v>6.4118199999999996</v>
      </c>
      <c r="G427" s="2">
        <v>3.1049000000000002</v>
      </c>
      <c r="H427" s="15">
        <v>-1.04619</v>
      </c>
    </row>
    <row r="428" spans="1:10" s="2" customFormat="1" ht="15" x14ac:dyDescent="0.2">
      <c r="A428" s="2" t="s">
        <v>939</v>
      </c>
      <c r="B428" s="2" t="s">
        <v>3374</v>
      </c>
      <c r="C428" s="2" t="s">
        <v>2588</v>
      </c>
      <c r="D428" s="2" t="s">
        <v>1836</v>
      </c>
      <c r="E428" s="2" t="s">
        <v>1838</v>
      </c>
      <c r="F428" s="2">
        <v>1.4782299999999999</v>
      </c>
      <c r="G428" s="2">
        <v>0.71665199999999996</v>
      </c>
      <c r="H428" s="15">
        <v>-1.04453</v>
      </c>
      <c r="J428" s="18"/>
    </row>
    <row r="429" spans="1:10" s="2" customFormat="1" ht="15" x14ac:dyDescent="0.2">
      <c r="A429" s="2" t="s">
        <v>1094</v>
      </c>
      <c r="B429" s="2" t="s">
        <v>3045</v>
      </c>
      <c r="C429" s="2" t="s">
        <v>2609</v>
      </c>
      <c r="D429" s="2" t="s">
        <v>1836</v>
      </c>
      <c r="E429" s="2" t="s">
        <v>1838</v>
      </c>
      <c r="F429" s="2">
        <v>2.8086700000000002</v>
      </c>
      <c r="G429" s="2">
        <v>1.36496</v>
      </c>
      <c r="H429" s="15">
        <v>-1.0410299999999999</v>
      </c>
    </row>
    <row r="430" spans="1:10" s="2" customFormat="1" ht="15" x14ac:dyDescent="0.2">
      <c r="A430" s="2" t="s">
        <v>1232</v>
      </c>
      <c r="B430" s="2" t="s">
        <v>3275</v>
      </c>
      <c r="C430" s="2" t="s">
        <v>2443</v>
      </c>
      <c r="D430" s="2" t="s">
        <v>1836</v>
      </c>
      <c r="E430" s="2" t="s">
        <v>1838</v>
      </c>
      <c r="F430" s="2">
        <v>1.77122</v>
      </c>
      <c r="G430" s="2">
        <v>0.86287100000000005</v>
      </c>
      <c r="H430" s="15">
        <v>-1.03752</v>
      </c>
    </row>
    <row r="431" spans="1:10" s="2" customFormat="1" ht="15" x14ac:dyDescent="0.2">
      <c r="A431" s="2" t="s">
        <v>32</v>
      </c>
      <c r="B431" s="2" t="s">
        <v>3033</v>
      </c>
      <c r="C431" s="2" t="s">
        <v>1858</v>
      </c>
      <c r="D431" s="2" t="s">
        <v>1836</v>
      </c>
      <c r="E431" s="2" t="s">
        <v>1838</v>
      </c>
      <c r="F431" s="2">
        <v>6.3867399999999996</v>
      </c>
      <c r="G431" s="2">
        <v>3.1223200000000002</v>
      </c>
      <c r="H431" s="15">
        <v>-1.0324599999999999</v>
      </c>
      <c r="J431" s="18"/>
    </row>
    <row r="432" spans="1:10" s="2" customFormat="1" ht="15" x14ac:dyDescent="0.2">
      <c r="A432" s="2" t="s">
        <v>844</v>
      </c>
      <c r="B432" s="2" t="s">
        <v>3220</v>
      </c>
      <c r="C432" s="2" t="s">
        <v>2231</v>
      </c>
      <c r="D432" s="2" t="s">
        <v>1836</v>
      </c>
      <c r="E432" s="2" t="s">
        <v>1838</v>
      </c>
      <c r="F432" s="2">
        <v>4.7689500000000002</v>
      </c>
      <c r="G432" s="2">
        <v>2.3337400000000001</v>
      </c>
      <c r="H432" s="15">
        <v>-1.0310299999999999</v>
      </c>
      <c r="J432" s="18"/>
    </row>
    <row r="433" spans="1:10" s="2" customFormat="1" ht="15" x14ac:dyDescent="0.2">
      <c r="A433" s="2" t="s">
        <v>993</v>
      </c>
      <c r="B433" s="2" t="s">
        <v>3015</v>
      </c>
      <c r="C433" s="2" t="s">
        <v>2594</v>
      </c>
      <c r="D433" s="2" t="s">
        <v>1836</v>
      </c>
      <c r="E433" s="2" t="s">
        <v>1838</v>
      </c>
      <c r="F433" s="2">
        <v>10.4193</v>
      </c>
      <c r="G433" s="2">
        <v>5.0990799999999998</v>
      </c>
      <c r="H433" s="15">
        <v>-1.03095</v>
      </c>
    </row>
    <row r="434" spans="1:10" s="2" customFormat="1" ht="15" x14ac:dyDescent="0.2">
      <c r="A434" s="2" t="s">
        <v>320</v>
      </c>
      <c r="B434" s="2" t="s">
        <v>3113</v>
      </c>
      <c r="C434" s="2" t="s">
        <v>1994</v>
      </c>
      <c r="D434" s="2" t="s">
        <v>1836</v>
      </c>
      <c r="E434" s="2" t="s">
        <v>1838</v>
      </c>
      <c r="F434" s="2">
        <v>1.3244800000000001</v>
      </c>
      <c r="G434" s="2">
        <v>0.64828399999999997</v>
      </c>
      <c r="H434" s="15">
        <v>-1.0307299999999999</v>
      </c>
      <c r="J434" s="18"/>
    </row>
    <row r="435" spans="1:10" s="2" customFormat="1" ht="15" x14ac:dyDescent="0.2">
      <c r="A435" s="2" t="s">
        <v>123</v>
      </c>
      <c r="B435" s="2" t="s">
        <v>3056</v>
      </c>
      <c r="C435" s="2" t="s">
        <v>1899</v>
      </c>
      <c r="D435" s="2" t="s">
        <v>1836</v>
      </c>
      <c r="E435" s="2" t="s">
        <v>1838</v>
      </c>
      <c r="F435" s="2">
        <v>1.9359599999999999</v>
      </c>
      <c r="G435" s="2">
        <v>0.947882</v>
      </c>
      <c r="H435" s="15">
        <v>-1.03027</v>
      </c>
      <c r="J435" s="18"/>
    </row>
    <row r="436" spans="1:10" s="2" customFormat="1" ht="15" x14ac:dyDescent="0.2">
      <c r="A436" s="2" t="s">
        <v>1207</v>
      </c>
      <c r="B436" s="2" t="s">
        <v>3111</v>
      </c>
      <c r="C436" s="2" t="s">
        <v>1988</v>
      </c>
      <c r="D436" s="2" t="s">
        <v>1836</v>
      </c>
      <c r="E436" s="2" t="s">
        <v>1838</v>
      </c>
      <c r="F436" s="2">
        <v>1.0108299999999999</v>
      </c>
      <c r="G436" s="2">
        <v>0.495143</v>
      </c>
      <c r="H436" s="15">
        <v>-1.02963</v>
      </c>
      <c r="J436" s="18"/>
    </row>
    <row r="437" spans="1:10" s="2" customFormat="1" ht="15" x14ac:dyDescent="0.2">
      <c r="A437" s="2" t="s">
        <v>1305</v>
      </c>
      <c r="B437" s="2" t="s">
        <v>3342</v>
      </c>
      <c r="C437" s="2" t="s">
        <v>2511</v>
      </c>
      <c r="D437" s="2" t="s">
        <v>1836</v>
      </c>
      <c r="E437" s="2" t="s">
        <v>1838</v>
      </c>
      <c r="F437" s="2">
        <v>20.513999999999999</v>
      </c>
      <c r="G437" s="2">
        <v>10.058400000000001</v>
      </c>
      <c r="H437" s="15">
        <v>-1.0282</v>
      </c>
      <c r="J437" s="18"/>
    </row>
    <row r="438" spans="1:10" s="2" customFormat="1" ht="15" x14ac:dyDescent="0.2">
      <c r="A438" s="2" t="s">
        <v>808</v>
      </c>
      <c r="B438" s="2" t="s">
        <v>3015</v>
      </c>
      <c r="C438" s="2" t="s">
        <v>1862</v>
      </c>
      <c r="D438" s="2" t="s">
        <v>1836</v>
      </c>
      <c r="E438" s="2" t="s">
        <v>1838</v>
      </c>
      <c r="F438" s="2">
        <v>2.2401900000000001</v>
      </c>
      <c r="G438" s="2">
        <v>1.1005799999999999</v>
      </c>
      <c r="H438" s="15">
        <v>-1.02535</v>
      </c>
      <c r="J438" s="18"/>
    </row>
    <row r="439" spans="1:10" s="2" customFormat="1" ht="15" x14ac:dyDescent="0.2">
      <c r="A439" s="2" t="s">
        <v>366</v>
      </c>
      <c r="B439" s="2" t="s">
        <v>3127</v>
      </c>
      <c r="C439" s="2" t="s">
        <v>2012</v>
      </c>
      <c r="D439" s="2" t="s">
        <v>1836</v>
      </c>
      <c r="E439" s="2" t="s">
        <v>1838</v>
      </c>
      <c r="F439" s="2">
        <v>13.690300000000001</v>
      </c>
      <c r="G439" s="2">
        <v>6.7259700000000002</v>
      </c>
      <c r="H439" s="15">
        <v>-1.0253399999999999</v>
      </c>
    </row>
    <row r="440" spans="1:10" s="2" customFormat="1" ht="15" x14ac:dyDescent="0.2">
      <c r="A440" s="2" t="s">
        <v>1364</v>
      </c>
      <c r="B440" s="2" t="s">
        <v>3015</v>
      </c>
      <c r="C440" s="2" t="s">
        <v>2549</v>
      </c>
      <c r="D440" s="2" t="s">
        <v>1836</v>
      </c>
      <c r="E440" s="2" t="s">
        <v>1838</v>
      </c>
      <c r="F440" s="2">
        <v>4.4039299999999999</v>
      </c>
      <c r="G440" s="2">
        <v>2.16534</v>
      </c>
      <c r="H440" s="15">
        <v>-1.0242</v>
      </c>
    </row>
    <row r="441" spans="1:10" s="2" customFormat="1" ht="15" x14ac:dyDescent="0.2">
      <c r="A441" s="2" t="s">
        <v>77</v>
      </c>
      <c r="B441" s="2" t="s">
        <v>3188</v>
      </c>
      <c r="C441" s="2" t="s">
        <v>2385</v>
      </c>
      <c r="D441" s="2" t="s">
        <v>1836</v>
      </c>
      <c r="E441" s="2" t="s">
        <v>1838</v>
      </c>
      <c r="F441" s="2">
        <v>90.296000000000006</v>
      </c>
      <c r="G441" s="2">
        <v>44.408999999999999</v>
      </c>
      <c r="H441" s="15">
        <v>-1.0238100000000001</v>
      </c>
      <c r="J441" s="18"/>
    </row>
    <row r="442" spans="1:10" s="2" customFormat="1" ht="15" x14ac:dyDescent="0.2">
      <c r="A442" s="2" t="s">
        <v>1156</v>
      </c>
      <c r="B442" s="2" t="s">
        <v>3015</v>
      </c>
      <c r="C442" s="2" t="s">
        <v>2390</v>
      </c>
      <c r="D442" s="2" t="s">
        <v>1836</v>
      </c>
      <c r="E442" s="2" t="s">
        <v>1838</v>
      </c>
      <c r="F442" s="2">
        <v>62.140599999999999</v>
      </c>
      <c r="G442" s="2">
        <v>30.605599999999999</v>
      </c>
      <c r="H442" s="15">
        <v>-1.0217400000000001</v>
      </c>
      <c r="J442" s="18"/>
    </row>
    <row r="443" spans="1:10" s="2" customFormat="1" ht="15" x14ac:dyDescent="0.2">
      <c r="A443" s="2" t="s">
        <v>611</v>
      </c>
      <c r="B443" s="2" t="s">
        <v>3015</v>
      </c>
      <c r="C443" s="2" t="s">
        <v>2517</v>
      </c>
      <c r="D443" s="2" t="s">
        <v>1836</v>
      </c>
      <c r="E443" s="2" t="s">
        <v>1838</v>
      </c>
      <c r="F443" s="2">
        <v>1.2919799999999999</v>
      </c>
      <c r="G443" s="2">
        <v>0.63637600000000005</v>
      </c>
      <c r="H443" s="15">
        <v>-1.0216400000000001</v>
      </c>
    </row>
    <row r="444" spans="1:10" s="2" customFormat="1" ht="15" x14ac:dyDescent="0.2">
      <c r="A444" s="2" t="s">
        <v>163</v>
      </c>
      <c r="B444" s="2" t="s">
        <v>3015</v>
      </c>
      <c r="C444" s="2" t="s">
        <v>1922</v>
      </c>
      <c r="D444" s="2" t="s">
        <v>1836</v>
      </c>
      <c r="E444" s="2" t="s">
        <v>1838</v>
      </c>
      <c r="F444" s="2">
        <v>13.3531</v>
      </c>
      <c r="G444" s="2">
        <v>6.5852199999999996</v>
      </c>
      <c r="H444" s="15">
        <v>-1.0198799999999999</v>
      </c>
      <c r="J444" s="18"/>
    </row>
    <row r="445" spans="1:10" s="2" customFormat="1" ht="15" x14ac:dyDescent="0.2">
      <c r="A445" s="2" t="s">
        <v>890</v>
      </c>
      <c r="B445" s="2" t="s">
        <v>3233</v>
      </c>
      <c r="C445" s="2" t="s">
        <v>2584</v>
      </c>
      <c r="D445" s="2" t="s">
        <v>1836</v>
      </c>
      <c r="E445" s="2" t="s">
        <v>1838</v>
      </c>
      <c r="F445" s="2">
        <v>23.785</v>
      </c>
      <c r="G445" s="2">
        <v>11.7354</v>
      </c>
      <c r="H445" s="15">
        <v>-1.01918</v>
      </c>
    </row>
    <row r="446" spans="1:10" s="2" customFormat="1" ht="15" x14ac:dyDescent="0.2">
      <c r="A446" s="2" t="s">
        <v>1179</v>
      </c>
      <c r="B446" s="2" t="s">
        <v>3293</v>
      </c>
      <c r="C446" s="2" t="s">
        <v>1847</v>
      </c>
      <c r="D446" s="2" t="s">
        <v>1836</v>
      </c>
      <c r="E446" s="2" t="s">
        <v>1838</v>
      </c>
      <c r="F446" s="2">
        <v>7.2552000000000003</v>
      </c>
      <c r="G446" s="2">
        <v>3.5840800000000002</v>
      </c>
      <c r="H446" s="15">
        <v>-1.0174099999999999</v>
      </c>
    </row>
    <row r="447" spans="1:10" s="2" customFormat="1" ht="15" x14ac:dyDescent="0.2">
      <c r="A447" s="2" t="s">
        <v>1235</v>
      </c>
      <c r="B447" s="2" t="s">
        <v>3015</v>
      </c>
      <c r="C447" s="2" t="s">
        <v>2444</v>
      </c>
      <c r="D447" s="2" t="s">
        <v>1836</v>
      </c>
      <c r="E447" s="2" t="s">
        <v>1838</v>
      </c>
      <c r="F447" s="2">
        <v>10.0274</v>
      </c>
      <c r="G447" s="2">
        <v>4.9549000000000003</v>
      </c>
      <c r="H447" s="15">
        <v>-1.01701</v>
      </c>
    </row>
    <row r="448" spans="1:10" s="2" customFormat="1" ht="15" x14ac:dyDescent="0.2">
      <c r="A448" s="2" t="s">
        <v>796</v>
      </c>
      <c r="B448" s="2" t="s">
        <v>3015</v>
      </c>
      <c r="C448" s="2" t="s">
        <v>2204</v>
      </c>
      <c r="D448" s="2" t="s">
        <v>1836</v>
      </c>
      <c r="E448" s="2" t="s">
        <v>1838</v>
      </c>
      <c r="F448" s="2">
        <v>1.7680400000000001</v>
      </c>
      <c r="G448" s="2">
        <v>0.87371100000000002</v>
      </c>
      <c r="H448" s="15">
        <v>-1.01692</v>
      </c>
      <c r="J448" s="18"/>
    </row>
    <row r="449" spans="1:10" s="2" customFormat="1" ht="15" x14ac:dyDescent="0.2">
      <c r="A449" s="2" t="s">
        <v>1073</v>
      </c>
      <c r="B449" s="2" t="s">
        <v>3015</v>
      </c>
      <c r="C449" s="2" t="s">
        <v>1847</v>
      </c>
      <c r="D449" s="2" t="s">
        <v>1836</v>
      </c>
      <c r="E449" s="2" t="s">
        <v>1838</v>
      </c>
      <c r="F449" s="2">
        <v>19.0151</v>
      </c>
      <c r="G449" s="2">
        <v>9.4216899999999999</v>
      </c>
      <c r="H449" s="15">
        <v>-1.01309</v>
      </c>
    </row>
    <row r="450" spans="1:10" s="2" customFormat="1" ht="15" x14ac:dyDescent="0.2">
      <c r="A450" s="2" t="s">
        <v>1333</v>
      </c>
      <c r="B450" s="2" t="s">
        <v>3045</v>
      </c>
      <c r="C450" s="2" t="s">
        <v>1923</v>
      </c>
      <c r="D450" s="2" t="s">
        <v>1836</v>
      </c>
      <c r="E450" s="2" t="s">
        <v>1838</v>
      </c>
      <c r="F450" s="2">
        <v>6.97478</v>
      </c>
      <c r="G450" s="2">
        <v>3.45662</v>
      </c>
      <c r="H450" s="15">
        <v>-1.01278</v>
      </c>
      <c r="J450" s="18"/>
    </row>
    <row r="451" spans="1:10" s="2" customFormat="1" ht="15" x14ac:dyDescent="0.2">
      <c r="A451" s="2" t="s">
        <v>1163</v>
      </c>
      <c r="B451" s="2" t="s">
        <v>3027</v>
      </c>
      <c r="C451" s="2" t="s">
        <v>2396</v>
      </c>
      <c r="D451" s="2" t="s">
        <v>1836</v>
      </c>
      <c r="E451" s="2" t="s">
        <v>1838</v>
      </c>
      <c r="F451" s="2">
        <v>2.3114699999999999</v>
      </c>
      <c r="G451" s="2">
        <v>1.14591</v>
      </c>
      <c r="H451" s="15">
        <v>-1.0123200000000001</v>
      </c>
      <c r="J451" s="18"/>
    </row>
    <row r="452" spans="1:10" s="2" customFormat="1" ht="15" x14ac:dyDescent="0.2">
      <c r="A452" s="2" t="s">
        <v>682</v>
      </c>
      <c r="B452" s="2" t="s">
        <v>3191</v>
      </c>
      <c r="C452" s="2" t="s">
        <v>3015</v>
      </c>
      <c r="D452" s="2" t="s">
        <v>1836</v>
      </c>
      <c r="E452" s="2" t="s">
        <v>1838</v>
      </c>
      <c r="F452" s="2">
        <v>1.7057899999999999</v>
      </c>
      <c r="G452" s="2">
        <v>0.84813000000000005</v>
      </c>
      <c r="H452" s="15">
        <v>-1.0080800000000001</v>
      </c>
    </row>
    <row r="453" spans="1:10" s="2" customFormat="1" ht="15" x14ac:dyDescent="0.2">
      <c r="A453" s="2" t="s">
        <v>1455</v>
      </c>
      <c r="B453" s="2" t="s">
        <v>3030</v>
      </c>
      <c r="C453" s="2" t="s">
        <v>3015</v>
      </c>
      <c r="D453" s="2" t="s">
        <v>1836</v>
      </c>
      <c r="E453" s="2" t="s">
        <v>1838</v>
      </c>
      <c r="F453" s="2">
        <v>3.4885899999999999</v>
      </c>
      <c r="G453" s="2">
        <v>1.7346699999999999</v>
      </c>
      <c r="H453" s="15">
        <v>-1.0079800000000001</v>
      </c>
    </row>
    <row r="454" spans="1:10" s="2" customFormat="1" ht="15" x14ac:dyDescent="0.2">
      <c r="A454" s="2" t="s">
        <v>829</v>
      </c>
      <c r="B454" s="2" t="s">
        <v>3015</v>
      </c>
      <c r="C454" s="2" t="s">
        <v>2222</v>
      </c>
      <c r="D454" s="2" t="s">
        <v>1836</v>
      </c>
      <c r="E454" s="2" t="s">
        <v>1838</v>
      </c>
      <c r="F454" s="2">
        <v>995.572</v>
      </c>
      <c r="G454" s="2">
        <v>495.16199999999998</v>
      </c>
      <c r="H454" s="15">
        <v>-1.00763</v>
      </c>
      <c r="J454" s="18"/>
    </row>
    <row r="455" spans="1:10" s="2" customFormat="1" ht="15" x14ac:dyDescent="0.2">
      <c r="A455" s="2" t="s">
        <v>965</v>
      </c>
      <c r="B455" s="2" t="s">
        <v>3200</v>
      </c>
      <c r="C455" s="2" t="s">
        <v>2297</v>
      </c>
      <c r="D455" s="2" t="s">
        <v>1836</v>
      </c>
      <c r="E455" s="2" t="s">
        <v>1838</v>
      </c>
      <c r="F455" s="2">
        <v>2.6083400000000001</v>
      </c>
      <c r="G455" s="2">
        <v>1.29813</v>
      </c>
      <c r="H455" s="15">
        <v>-1.0066999999999999</v>
      </c>
    </row>
    <row r="456" spans="1:10" s="2" customFormat="1" ht="15" x14ac:dyDescent="0.2">
      <c r="A456" s="2" t="s">
        <v>543</v>
      </c>
      <c r="B456" s="2" t="s">
        <v>3337</v>
      </c>
      <c r="C456" s="2" t="s">
        <v>3015</v>
      </c>
      <c r="D456" s="2" t="s">
        <v>1836</v>
      </c>
      <c r="E456" s="2" t="s">
        <v>1838</v>
      </c>
      <c r="F456" s="2">
        <v>5.48848</v>
      </c>
      <c r="G456" s="2">
        <v>2.7343500000000001</v>
      </c>
      <c r="H456" s="15">
        <v>-1.0052099999999999</v>
      </c>
      <c r="J456" s="18"/>
    </row>
    <row r="457" spans="1:10" s="2" customFormat="1" ht="15" x14ac:dyDescent="0.2">
      <c r="A457" s="2" t="s">
        <v>1289</v>
      </c>
      <c r="B457" s="2" t="s">
        <v>3335</v>
      </c>
      <c r="C457" s="2" t="s">
        <v>2167</v>
      </c>
      <c r="D457" s="2" t="s">
        <v>1836</v>
      </c>
      <c r="E457" s="2" t="s">
        <v>1838</v>
      </c>
      <c r="F457" s="2">
        <v>2.60806</v>
      </c>
      <c r="G457" s="2">
        <v>1.29976</v>
      </c>
      <c r="H457" s="15">
        <v>-1.0047299999999999</v>
      </c>
    </row>
    <row r="458" spans="1:10" s="2" customFormat="1" ht="15" x14ac:dyDescent="0.2">
      <c r="A458" s="2" t="s">
        <v>495</v>
      </c>
      <c r="B458" s="2" t="s">
        <v>3332</v>
      </c>
      <c r="C458" s="2" t="s">
        <v>2487</v>
      </c>
      <c r="D458" s="2" t="s">
        <v>1836</v>
      </c>
      <c r="E458" s="2" t="s">
        <v>1838</v>
      </c>
      <c r="F458" s="2">
        <v>1.8716900000000001</v>
      </c>
      <c r="G458" s="2">
        <v>0.93287100000000001</v>
      </c>
      <c r="H458" s="15">
        <v>-1.0045999999999999</v>
      </c>
      <c r="J458" s="18"/>
    </row>
    <row r="459" spans="1:10" s="2" customFormat="1" ht="15" x14ac:dyDescent="0.2">
      <c r="A459" s="2" t="s">
        <v>503</v>
      </c>
      <c r="B459" s="2" t="s">
        <v>3015</v>
      </c>
      <c r="C459" s="2" t="s">
        <v>2490</v>
      </c>
      <c r="D459" s="2" t="s">
        <v>1836</v>
      </c>
      <c r="E459" s="2" t="s">
        <v>1838</v>
      </c>
      <c r="F459" s="2">
        <v>3.7860800000000001</v>
      </c>
      <c r="G459" s="2">
        <v>1.8870800000000001</v>
      </c>
      <c r="H459" s="15">
        <v>-1.0045500000000001</v>
      </c>
      <c r="J459" s="18"/>
    </row>
    <row r="460" spans="1:10" s="2" customFormat="1" ht="15" x14ac:dyDescent="0.2">
      <c r="A460" s="2" t="s">
        <v>1412</v>
      </c>
      <c r="B460" s="2" t="s">
        <v>3370</v>
      </c>
      <c r="C460" s="2" t="s">
        <v>2582</v>
      </c>
      <c r="D460" s="2" t="s">
        <v>1836</v>
      </c>
      <c r="E460" s="2" t="s">
        <v>1838</v>
      </c>
      <c r="F460" s="2">
        <v>174.67400000000001</v>
      </c>
      <c r="G460" s="2">
        <v>87.107699999999994</v>
      </c>
      <c r="H460" s="15">
        <v>-1.00379</v>
      </c>
      <c r="J460" s="18"/>
    </row>
    <row r="461" spans="1:10" s="2" customFormat="1" ht="15" x14ac:dyDescent="0.2">
      <c r="A461" s="2" t="s">
        <v>1061</v>
      </c>
      <c r="B461" s="2" t="s">
        <v>3235</v>
      </c>
      <c r="C461" s="2" t="s">
        <v>2267</v>
      </c>
      <c r="D461" s="2" t="s">
        <v>1836</v>
      </c>
      <c r="E461" s="2" t="s">
        <v>1838</v>
      </c>
      <c r="F461" s="2">
        <v>6.7327300000000001</v>
      </c>
      <c r="G461" s="2">
        <v>3.35867</v>
      </c>
      <c r="H461" s="15">
        <v>-1.0033000000000001</v>
      </c>
    </row>
    <row r="462" spans="1:10" s="2" customFormat="1" ht="15" x14ac:dyDescent="0.2">
      <c r="A462" s="2" t="s">
        <v>512</v>
      </c>
      <c r="B462" s="2" t="s">
        <v>3045</v>
      </c>
      <c r="C462" s="2" t="s">
        <v>2085</v>
      </c>
      <c r="D462" s="2" t="s">
        <v>1836</v>
      </c>
      <c r="E462" s="2" t="s">
        <v>1838</v>
      </c>
      <c r="F462" s="2">
        <v>0.82557199999999997</v>
      </c>
      <c r="G462" s="2">
        <v>0.41237800000000002</v>
      </c>
      <c r="H462" s="15">
        <v>-1.00143</v>
      </c>
    </row>
    <row r="463" spans="1:10" s="2" customFormat="1" ht="15" x14ac:dyDescent="0.2">
      <c r="A463" s="2" t="s">
        <v>1350</v>
      </c>
      <c r="B463" s="2" t="s">
        <v>3030</v>
      </c>
      <c r="C463" s="2" t="s">
        <v>2540</v>
      </c>
      <c r="D463" s="2" t="s">
        <v>1836</v>
      </c>
      <c r="E463" s="2" t="s">
        <v>1838</v>
      </c>
      <c r="F463" s="2">
        <v>10.253500000000001</v>
      </c>
      <c r="G463" s="2">
        <v>5.1253099999999998</v>
      </c>
      <c r="H463" s="15">
        <v>-1.00041</v>
      </c>
      <c r="J463" s="18"/>
    </row>
    <row r="464" spans="1:10" s="2" customFormat="1" ht="15" x14ac:dyDescent="0.2">
      <c r="A464" s="2" t="s">
        <v>360</v>
      </c>
      <c r="B464" s="2" t="s">
        <v>3124</v>
      </c>
      <c r="C464" s="2" t="s">
        <v>3015</v>
      </c>
      <c r="D464" s="2" t="s">
        <v>1836</v>
      </c>
      <c r="E464" s="2" t="s">
        <v>1838</v>
      </c>
      <c r="F464" s="2">
        <v>0.77188000000000001</v>
      </c>
      <c r="G464" s="2">
        <v>0</v>
      </c>
      <c r="H464" s="6" t="s">
        <v>3508</v>
      </c>
    </row>
    <row r="465" spans="1:8" s="2" customFormat="1" ht="15" x14ac:dyDescent="0.2">
      <c r="A465" s="2" t="s">
        <v>1451</v>
      </c>
      <c r="B465" s="2" t="s">
        <v>3094</v>
      </c>
      <c r="C465" s="2" t="s">
        <v>2602</v>
      </c>
      <c r="D465" s="2" t="s">
        <v>1836</v>
      </c>
      <c r="E465" s="2" t="s">
        <v>1838</v>
      </c>
      <c r="F465" s="2">
        <v>0.89119300000000001</v>
      </c>
      <c r="G465" s="2">
        <v>0</v>
      </c>
      <c r="H465" s="6" t="s">
        <v>3508</v>
      </c>
    </row>
    <row r="466" spans="1:8" s="2" customFormat="1" ht="15" x14ac:dyDescent="0.2">
      <c r="A466" s="2" t="s">
        <v>1473</v>
      </c>
      <c r="B466" s="2" t="s">
        <v>3015</v>
      </c>
      <c r="C466" s="2" t="s">
        <v>3015</v>
      </c>
      <c r="D466" s="2" t="s">
        <v>1836</v>
      </c>
      <c r="E466" s="2" t="s">
        <v>1838</v>
      </c>
      <c r="F466" s="2">
        <v>0.83474400000000004</v>
      </c>
      <c r="G466" s="2">
        <v>0</v>
      </c>
      <c r="H466" s="6" t="s">
        <v>3508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workbookViewId="0">
      <selection activeCell="A34" sqref="A34"/>
    </sheetView>
  </sheetViews>
  <sheetFormatPr defaultColWidth="8.875" defaultRowHeight="14.25" x14ac:dyDescent="0.2"/>
  <cols>
    <col min="1" max="2" width="20" customWidth="1"/>
    <col min="3" max="3" width="53.375" customWidth="1"/>
    <col min="4" max="4" width="14.375" customWidth="1"/>
    <col min="5" max="5" width="11.875" customWidth="1"/>
    <col min="6" max="7" width="9.125" bestFit="1" customWidth="1"/>
    <col min="8" max="8" width="9.625" style="14" bestFit="1" customWidth="1"/>
  </cols>
  <sheetData>
    <row r="1" spans="1:8" ht="20.25" x14ac:dyDescent="0.2">
      <c r="A1" s="11" t="s">
        <v>3530</v>
      </c>
    </row>
    <row r="2" spans="1:8" s="25" customFormat="1" ht="18.75" x14ac:dyDescent="0.2">
      <c r="A2" s="28" t="s">
        <v>3543</v>
      </c>
      <c r="H2" s="33"/>
    </row>
    <row r="3" spans="1:8" s="25" customFormat="1" ht="18" x14ac:dyDescent="0.2">
      <c r="A3" s="25" t="s">
        <v>3512</v>
      </c>
      <c r="H3" s="33"/>
    </row>
    <row r="4" spans="1:8" s="25" customFormat="1" ht="18" x14ac:dyDescent="0.2">
      <c r="A4" s="25" t="s">
        <v>3020</v>
      </c>
      <c r="B4" s="25" t="s">
        <v>3023</v>
      </c>
      <c r="C4" s="25" t="s">
        <v>1843</v>
      </c>
      <c r="D4" s="25" t="s">
        <v>0</v>
      </c>
      <c r="E4" s="25" t="s">
        <v>1</v>
      </c>
      <c r="F4" s="25" t="s">
        <v>2</v>
      </c>
      <c r="G4" s="25" t="s">
        <v>3</v>
      </c>
      <c r="H4" s="33" t="s">
        <v>4</v>
      </c>
    </row>
    <row r="5" spans="1:8" s="12" customFormat="1" ht="15" x14ac:dyDescent="0.2">
      <c r="A5" s="12" t="s">
        <v>1792</v>
      </c>
      <c r="B5" s="12" t="s">
        <v>3484</v>
      </c>
      <c r="C5" s="12" t="s">
        <v>2969</v>
      </c>
      <c r="D5" s="12" t="s">
        <v>1839</v>
      </c>
      <c r="E5" s="12" t="s">
        <v>1841</v>
      </c>
      <c r="F5" s="12">
        <v>1.3093699999999999</v>
      </c>
      <c r="G5" s="12">
        <v>4.5998400000000002E-2</v>
      </c>
      <c r="H5" s="13">
        <v>-4.8311500000000001</v>
      </c>
    </row>
    <row r="6" spans="1:8" s="12" customFormat="1" ht="15" x14ac:dyDescent="0.2">
      <c r="A6" s="12" t="s">
        <v>1301</v>
      </c>
      <c r="B6" s="12" t="s">
        <v>3193</v>
      </c>
      <c r="C6" s="12" t="s">
        <v>2803</v>
      </c>
      <c r="D6" s="12" t="s">
        <v>1839</v>
      </c>
      <c r="E6" s="12" t="s">
        <v>1841</v>
      </c>
      <c r="F6" s="12">
        <v>6.21685</v>
      </c>
      <c r="G6" s="12">
        <v>0.59907100000000002</v>
      </c>
      <c r="H6" s="13">
        <v>-3.3753899999999999</v>
      </c>
    </row>
    <row r="7" spans="1:8" s="12" customFormat="1" ht="15" x14ac:dyDescent="0.2">
      <c r="A7" s="12" t="s">
        <v>332</v>
      </c>
      <c r="B7" s="12" t="s">
        <v>3118</v>
      </c>
      <c r="C7" s="12" t="s">
        <v>3015</v>
      </c>
      <c r="D7" s="12" t="s">
        <v>1839</v>
      </c>
      <c r="E7" s="12" t="s">
        <v>1841</v>
      </c>
      <c r="F7" s="12">
        <v>8.9441500000000005</v>
      </c>
      <c r="G7" s="12">
        <v>1.00299</v>
      </c>
      <c r="H7" s="13">
        <v>-3.1566299999999998</v>
      </c>
    </row>
    <row r="8" spans="1:8" s="12" customFormat="1" ht="15" x14ac:dyDescent="0.2">
      <c r="A8" s="12" t="s">
        <v>619</v>
      </c>
      <c r="B8" s="12" t="s">
        <v>3015</v>
      </c>
      <c r="C8" s="12" t="s">
        <v>2132</v>
      </c>
      <c r="D8" s="12" t="s">
        <v>1839</v>
      </c>
      <c r="E8" s="12" t="s">
        <v>1841</v>
      </c>
      <c r="F8" s="12">
        <v>3.4230200000000002</v>
      </c>
      <c r="G8" s="12">
        <v>0.39998899999999998</v>
      </c>
      <c r="H8" s="13">
        <v>-3.0972400000000002</v>
      </c>
    </row>
    <row r="9" spans="1:8" s="12" customFormat="1" ht="15" x14ac:dyDescent="0.2">
      <c r="A9" s="12" t="s">
        <v>803</v>
      </c>
      <c r="B9" s="12" t="s">
        <v>3093</v>
      </c>
      <c r="C9" s="12" t="s">
        <v>2209</v>
      </c>
      <c r="D9" s="12" t="s">
        <v>1839</v>
      </c>
      <c r="E9" s="12" t="s">
        <v>1841</v>
      </c>
      <c r="F9" s="12">
        <v>147.08500000000001</v>
      </c>
      <c r="G9" s="12">
        <v>18.71</v>
      </c>
      <c r="H9" s="13">
        <v>-2.9747699999999999</v>
      </c>
    </row>
    <row r="10" spans="1:8" s="12" customFormat="1" ht="15" x14ac:dyDescent="0.2">
      <c r="A10" s="12" t="s">
        <v>1682</v>
      </c>
      <c r="B10" s="12" t="s">
        <v>3015</v>
      </c>
      <c r="C10" s="12" t="s">
        <v>2848</v>
      </c>
      <c r="D10" s="12" t="s">
        <v>1839</v>
      </c>
      <c r="E10" s="12" t="s">
        <v>1841</v>
      </c>
      <c r="F10" s="12">
        <v>1.9821200000000001</v>
      </c>
      <c r="G10" s="12">
        <v>0.26241999999999999</v>
      </c>
      <c r="H10" s="13">
        <v>-2.9171</v>
      </c>
    </row>
    <row r="11" spans="1:8" s="12" customFormat="1" ht="15" x14ac:dyDescent="0.2">
      <c r="A11" s="12" t="s">
        <v>819</v>
      </c>
      <c r="B11" s="12" t="s">
        <v>3015</v>
      </c>
      <c r="C11" s="12" t="s">
        <v>2214</v>
      </c>
      <c r="D11" s="12" t="s">
        <v>1839</v>
      </c>
      <c r="E11" s="12" t="s">
        <v>1841</v>
      </c>
      <c r="F11" s="12">
        <v>5.6794099999999998</v>
      </c>
      <c r="G11" s="12">
        <v>0.78088999999999997</v>
      </c>
      <c r="H11" s="13">
        <v>-2.8625500000000001</v>
      </c>
    </row>
    <row r="12" spans="1:8" s="12" customFormat="1" ht="15" x14ac:dyDescent="0.2">
      <c r="A12" s="12" t="s">
        <v>314</v>
      </c>
      <c r="B12" s="12" t="s">
        <v>3094</v>
      </c>
      <c r="C12" s="12" t="s">
        <v>1955</v>
      </c>
      <c r="D12" s="12" t="s">
        <v>1839</v>
      </c>
      <c r="E12" s="12" t="s">
        <v>1841</v>
      </c>
      <c r="F12" s="12">
        <v>1.32748</v>
      </c>
      <c r="G12" s="12">
        <v>0.18490300000000001</v>
      </c>
      <c r="H12" s="13">
        <v>-2.8438500000000002</v>
      </c>
    </row>
    <row r="13" spans="1:8" s="12" customFormat="1" ht="15" x14ac:dyDescent="0.2">
      <c r="A13" s="12" t="s">
        <v>236</v>
      </c>
      <c r="B13" s="12" t="s">
        <v>3094</v>
      </c>
      <c r="C13" s="12" t="s">
        <v>1955</v>
      </c>
      <c r="D13" s="12" t="s">
        <v>1839</v>
      </c>
      <c r="E13" s="12" t="s">
        <v>1841</v>
      </c>
      <c r="F13" s="12">
        <v>3.9122499999999998</v>
      </c>
      <c r="G13" s="12">
        <v>0.60139699999999996</v>
      </c>
      <c r="H13" s="13">
        <v>-2.7016100000000001</v>
      </c>
    </row>
    <row r="14" spans="1:8" s="12" customFormat="1" ht="15" x14ac:dyDescent="0.2">
      <c r="A14" s="12" t="s">
        <v>696</v>
      </c>
      <c r="B14" s="12" t="s">
        <v>3193</v>
      </c>
      <c r="C14" s="12" t="s">
        <v>2166</v>
      </c>
      <c r="D14" s="12" t="s">
        <v>1839</v>
      </c>
      <c r="E14" s="12" t="s">
        <v>1841</v>
      </c>
      <c r="F14" s="12">
        <v>14.323700000000001</v>
      </c>
      <c r="G14" s="12">
        <v>2.3126000000000002</v>
      </c>
      <c r="H14" s="13">
        <v>-2.6308199999999999</v>
      </c>
    </row>
    <row r="15" spans="1:8" s="12" customFormat="1" ht="15" x14ac:dyDescent="0.2">
      <c r="A15" s="12" t="s">
        <v>294</v>
      </c>
      <c r="B15" s="12" t="s">
        <v>3015</v>
      </c>
      <c r="C15" s="12" t="s">
        <v>1979</v>
      </c>
      <c r="D15" s="12" t="s">
        <v>1839</v>
      </c>
      <c r="E15" s="12" t="s">
        <v>1841</v>
      </c>
      <c r="F15" s="12">
        <v>2.4047800000000001</v>
      </c>
      <c r="G15" s="12">
        <v>0.39086599999999999</v>
      </c>
      <c r="H15" s="13">
        <v>-2.6211600000000002</v>
      </c>
    </row>
    <row r="16" spans="1:8" s="12" customFormat="1" ht="15" x14ac:dyDescent="0.2">
      <c r="A16" s="12" t="s">
        <v>623</v>
      </c>
      <c r="B16" s="12" t="s">
        <v>3015</v>
      </c>
      <c r="C16" s="12" t="s">
        <v>1862</v>
      </c>
      <c r="D16" s="12" t="s">
        <v>1839</v>
      </c>
      <c r="E16" s="12" t="s">
        <v>1841</v>
      </c>
      <c r="F16" s="12">
        <v>1.1394500000000001</v>
      </c>
      <c r="G16" s="12">
        <v>0.197989</v>
      </c>
      <c r="H16" s="13">
        <v>-2.5248400000000002</v>
      </c>
    </row>
    <row r="17" spans="1:8" s="12" customFormat="1" ht="15" x14ac:dyDescent="0.2">
      <c r="A17" s="12" t="s">
        <v>1693</v>
      </c>
      <c r="B17" s="12" t="s">
        <v>3030</v>
      </c>
      <c r="C17" s="12" t="s">
        <v>3015</v>
      </c>
      <c r="D17" s="12" t="s">
        <v>1839</v>
      </c>
      <c r="E17" s="12" t="s">
        <v>1841</v>
      </c>
      <c r="F17" s="12">
        <v>1.78399</v>
      </c>
      <c r="G17" s="12">
        <v>0.32253900000000002</v>
      </c>
      <c r="H17" s="13">
        <v>-2.4675600000000002</v>
      </c>
    </row>
    <row r="18" spans="1:8" s="12" customFormat="1" ht="15" x14ac:dyDescent="0.2">
      <c r="A18" s="12" t="s">
        <v>1586</v>
      </c>
      <c r="B18" s="12" t="s">
        <v>3015</v>
      </c>
      <c r="C18" s="12" t="s">
        <v>2745</v>
      </c>
      <c r="D18" s="12" t="s">
        <v>1839</v>
      </c>
      <c r="E18" s="12" t="s">
        <v>1841</v>
      </c>
      <c r="F18" s="12">
        <v>0.96471899999999999</v>
      </c>
      <c r="G18" s="12">
        <v>0.21701899999999999</v>
      </c>
      <c r="H18" s="13">
        <v>-2.1522899999999998</v>
      </c>
    </row>
    <row r="19" spans="1:8" s="12" customFormat="1" ht="15" x14ac:dyDescent="0.2">
      <c r="A19" s="12" t="s">
        <v>1609</v>
      </c>
      <c r="B19" s="12" t="s">
        <v>3093</v>
      </c>
      <c r="C19" s="12" t="s">
        <v>2770</v>
      </c>
      <c r="D19" s="12" t="s">
        <v>1839</v>
      </c>
      <c r="E19" s="12" t="s">
        <v>1841</v>
      </c>
      <c r="F19" s="12">
        <v>0.99762700000000004</v>
      </c>
      <c r="G19" s="12">
        <v>0.23108200000000001</v>
      </c>
      <c r="H19" s="13">
        <v>-2.1101000000000001</v>
      </c>
    </row>
    <row r="20" spans="1:8" s="12" customFormat="1" ht="15" x14ac:dyDescent="0.2">
      <c r="A20" s="12" t="s">
        <v>749</v>
      </c>
      <c r="B20" s="12" t="s">
        <v>3015</v>
      </c>
      <c r="C20" s="12" t="s">
        <v>3015</v>
      </c>
      <c r="D20" s="12" t="s">
        <v>1839</v>
      </c>
      <c r="E20" s="12" t="s">
        <v>1841</v>
      </c>
      <c r="F20" s="12">
        <v>39.369199999999999</v>
      </c>
      <c r="G20" s="12">
        <v>9.5924200000000006</v>
      </c>
      <c r="H20" s="13">
        <v>-2.0371000000000001</v>
      </c>
    </row>
    <row r="21" spans="1:8" s="12" customFormat="1" ht="15" x14ac:dyDescent="0.2">
      <c r="A21" s="12" t="s">
        <v>380</v>
      </c>
      <c r="B21" s="12" t="s">
        <v>3121</v>
      </c>
      <c r="C21" s="12" t="s">
        <v>2750</v>
      </c>
      <c r="D21" s="12" t="s">
        <v>1839</v>
      </c>
      <c r="E21" s="12" t="s">
        <v>1841</v>
      </c>
      <c r="F21" s="12">
        <v>8.7213799999999999</v>
      </c>
      <c r="G21" s="12">
        <v>2.1347</v>
      </c>
      <c r="H21" s="13">
        <v>-2.0305200000000001</v>
      </c>
    </row>
    <row r="22" spans="1:8" s="12" customFormat="1" ht="15" x14ac:dyDescent="0.2">
      <c r="A22" s="12" t="s">
        <v>364</v>
      </c>
      <c r="B22" s="12" t="s">
        <v>3015</v>
      </c>
      <c r="C22" s="12" t="s">
        <v>2010</v>
      </c>
      <c r="D22" s="12" t="s">
        <v>1839</v>
      </c>
      <c r="E22" s="12" t="s">
        <v>1841</v>
      </c>
      <c r="F22" s="12">
        <v>1.4238599999999999</v>
      </c>
      <c r="G22" s="12">
        <v>0.35070899999999999</v>
      </c>
      <c r="H22" s="13">
        <v>-2.0214699999999999</v>
      </c>
    </row>
    <row r="23" spans="1:8" s="12" customFormat="1" ht="15" x14ac:dyDescent="0.2">
      <c r="A23" s="12" t="s">
        <v>1686</v>
      </c>
      <c r="B23" s="12" t="s">
        <v>3049</v>
      </c>
      <c r="C23" s="12" t="s">
        <v>2855</v>
      </c>
      <c r="D23" s="12" t="s">
        <v>1839</v>
      </c>
      <c r="E23" s="12" t="s">
        <v>1841</v>
      </c>
      <c r="F23" s="12">
        <v>1.0301499999999999</v>
      </c>
      <c r="G23" s="12">
        <v>0.255938</v>
      </c>
      <c r="H23" s="13">
        <v>-2.0089899999999998</v>
      </c>
    </row>
    <row r="24" spans="1:8" s="12" customFormat="1" ht="15" x14ac:dyDescent="0.2">
      <c r="A24" s="12" t="s">
        <v>1567</v>
      </c>
      <c r="B24" s="12" t="s">
        <v>3155</v>
      </c>
      <c r="C24" s="12" t="s">
        <v>2723</v>
      </c>
      <c r="D24" s="12" t="s">
        <v>1839</v>
      </c>
      <c r="E24" s="12" t="s">
        <v>1841</v>
      </c>
      <c r="F24" s="12">
        <v>3.49817</v>
      </c>
      <c r="G24" s="12">
        <v>0.87029000000000001</v>
      </c>
      <c r="H24" s="13">
        <v>-2.0070299999999999</v>
      </c>
    </row>
    <row r="25" spans="1:8" s="12" customFormat="1" ht="15" x14ac:dyDescent="0.2">
      <c r="A25" s="12" t="s">
        <v>3511</v>
      </c>
      <c r="B25" s="12" t="s">
        <v>3015</v>
      </c>
      <c r="C25" s="12" t="s">
        <v>3015</v>
      </c>
      <c r="D25" s="12" t="s">
        <v>1839</v>
      </c>
      <c r="E25" s="12" t="s">
        <v>1841</v>
      </c>
      <c r="F25" s="12">
        <v>1.4095</v>
      </c>
      <c r="G25" s="12">
        <v>0.35621199999999997</v>
      </c>
      <c r="H25" s="13">
        <v>-1.98438</v>
      </c>
    </row>
    <row r="26" spans="1:8" s="12" customFormat="1" ht="15" x14ac:dyDescent="0.2">
      <c r="A26" s="12" t="s">
        <v>531</v>
      </c>
      <c r="B26" s="12" t="s">
        <v>3093</v>
      </c>
      <c r="C26" s="12" t="s">
        <v>2094</v>
      </c>
      <c r="D26" s="12" t="s">
        <v>1839</v>
      </c>
      <c r="E26" s="12" t="s">
        <v>1841</v>
      </c>
      <c r="F26" s="12">
        <v>0.78532199999999996</v>
      </c>
      <c r="G26" s="12">
        <v>0.20063500000000001</v>
      </c>
      <c r="H26" s="13">
        <v>-1.96871</v>
      </c>
    </row>
    <row r="27" spans="1:8" s="12" customFormat="1" ht="15" x14ac:dyDescent="0.2">
      <c r="A27" s="12" t="s">
        <v>1636</v>
      </c>
      <c r="B27" s="12" t="s">
        <v>3015</v>
      </c>
      <c r="C27" s="12" t="s">
        <v>3015</v>
      </c>
      <c r="D27" s="12" t="s">
        <v>1839</v>
      </c>
      <c r="E27" s="12" t="s">
        <v>1841</v>
      </c>
      <c r="F27" s="12">
        <v>4.0718699999999997</v>
      </c>
      <c r="G27" s="12">
        <v>1.0727500000000001</v>
      </c>
      <c r="H27" s="13">
        <v>-1.92438</v>
      </c>
    </row>
    <row r="28" spans="1:8" s="12" customFormat="1" ht="15" x14ac:dyDescent="0.2">
      <c r="A28" s="12" t="s">
        <v>1299</v>
      </c>
      <c r="B28" s="12" t="s">
        <v>3201</v>
      </c>
      <c r="C28" s="12" t="s">
        <v>2216</v>
      </c>
      <c r="D28" s="12" t="s">
        <v>1839</v>
      </c>
      <c r="E28" s="12" t="s">
        <v>1841</v>
      </c>
      <c r="F28" s="12">
        <v>9.6729800000000008</v>
      </c>
      <c r="G28" s="12">
        <v>2.6281500000000002</v>
      </c>
      <c r="H28" s="13">
        <v>-1.87991</v>
      </c>
    </row>
    <row r="29" spans="1:8" s="12" customFormat="1" ht="15" x14ac:dyDescent="0.2">
      <c r="A29" s="12" t="s">
        <v>217</v>
      </c>
      <c r="B29" s="12" t="s">
        <v>3189</v>
      </c>
      <c r="C29" s="12" t="s">
        <v>2683</v>
      </c>
      <c r="D29" s="12" t="s">
        <v>1839</v>
      </c>
      <c r="E29" s="12" t="s">
        <v>1841</v>
      </c>
      <c r="F29" s="12">
        <v>18.111999999999998</v>
      </c>
      <c r="G29" s="12">
        <v>5.0169800000000002</v>
      </c>
      <c r="H29" s="13">
        <v>-1.85205</v>
      </c>
    </row>
    <row r="30" spans="1:8" s="12" customFormat="1" ht="15" x14ac:dyDescent="0.2">
      <c r="A30" s="12" t="s">
        <v>500</v>
      </c>
      <c r="B30" s="12" t="s">
        <v>3015</v>
      </c>
      <c r="C30" s="12" t="s">
        <v>3015</v>
      </c>
      <c r="D30" s="12" t="s">
        <v>1839</v>
      </c>
      <c r="E30" s="12" t="s">
        <v>1841</v>
      </c>
      <c r="F30" s="12">
        <v>19.98</v>
      </c>
      <c r="G30" s="12">
        <v>5.6262699999999999</v>
      </c>
      <c r="H30" s="13">
        <v>-1.8283100000000001</v>
      </c>
    </row>
    <row r="31" spans="1:8" s="12" customFormat="1" ht="15" x14ac:dyDescent="0.2">
      <c r="A31" s="12" t="s">
        <v>216</v>
      </c>
      <c r="B31" s="12" t="s">
        <v>3015</v>
      </c>
      <c r="C31" s="12" t="s">
        <v>2683</v>
      </c>
      <c r="D31" s="12" t="s">
        <v>1839</v>
      </c>
      <c r="E31" s="12" t="s">
        <v>1841</v>
      </c>
      <c r="F31" s="12">
        <v>45.917499999999997</v>
      </c>
      <c r="G31" s="12">
        <v>13.104100000000001</v>
      </c>
      <c r="H31" s="13">
        <v>-1.8090299999999999</v>
      </c>
    </row>
    <row r="32" spans="1:8" s="12" customFormat="1" ht="15" x14ac:dyDescent="0.2">
      <c r="A32" s="12" t="s">
        <v>1516</v>
      </c>
      <c r="B32" s="12" t="s">
        <v>3049</v>
      </c>
      <c r="C32" s="12" t="s">
        <v>1847</v>
      </c>
      <c r="D32" s="12" t="s">
        <v>1839</v>
      </c>
      <c r="E32" s="12" t="s">
        <v>1841</v>
      </c>
      <c r="F32" s="12">
        <v>4.2119200000000001</v>
      </c>
      <c r="G32" s="12">
        <v>1.21801</v>
      </c>
      <c r="H32" s="13">
        <v>-1.7899499999999999</v>
      </c>
    </row>
    <row r="33" spans="1:8" s="12" customFormat="1" ht="15" x14ac:dyDescent="0.2">
      <c r="A33" s="12" t="s">
        <v>997</v>
      </c>
      <c r="B33" s="12" t="s">
        <v>3254</v>
      </c>
      <c r="C33" s="12" t="s">
        <v>1847</v>
      </c>
      <c r="D33" s="12" t="s">
        <v>1839</v>
      </c>
      <c r="E33" s="12" t="s">
        <v>1841</v>
      </c>
      <c r="F33" s="12">
        <v>30.1279</v>
      </c>
      <c r="G33" s="12">
        <v>8.7747100000000007</v>
      </c>
      <c r="H33" s="13">
        <v>-1.7796700000000001</v>
      </c>
    </row>
    <row r="34" spans="1:8" s="12" customFormat="1" ht="15" x14ac:dyDescent="0.2">
      <c r="A34" s="12" t="s">
        <v>1001</v>
      </c>
      <c r="B34" s="12" t="s">
        <v>3015</v>
      </c>
      <c r="C34" s="12" t="s">
        <v>2312</v>
      </c>
      <c r="D34" s="12" t="s">
        <v>1839</v>
      </c>
      <c r="E34" s="12" t="s">
        <v>1841</v>
      </c>
      <c r="F34" s="12">
        <v>2.9210500000000001</v>
      </c>
      <c r="G34" s="12">
        <v>0.85207599999999994</v>
      </c>
      <c r="H34" s="13">
        <v>-1.7774300000000001</v>
      </c>
    </row>
    <row r="35" spans="1:8" s="12" customFormat="1" ht="15" x14ac:dyDescent="0.2">
      <c r="A35" s="12" t="s">
        <v>1020</v>
      </c>
      <c r="B35" s="12" t="s">
        <v>3015</v>
      </c>
      <c r="C35" s="12" t="s">
        <v>2322</v>
      </c>
      <c r="D35" s="12" t="s">
        <v>1839</v>
      </c>
      <c r="E35" s="12" t="s">
        <v>1841</v>
      </c>
      <c r="F35" s="12">
        <v>94.046199999999999</v>
      </c>
      <c r="G35" s="12">
        <v>27.4924</v>
      </c>
      <c r="H35" s="13">
        <v>-1.77433</v>
      </c>
    </row>
    <row r="36" spans="1:8" s="12" customFormat="1" ht="15" x14ac:dyDescent="0.2">
      <c r="A36" s="12" t="s">
        <v>888</v>
      </c>
      <c r="B36" s="12" t="s">
        <v>3015</v>
      </c>
      <c r="C36" s="12" t="s">
        <v>3015</v>
      </c>
      <c r="D36" s="12" t="s">
        <v>1839</v>
      </c>
      <c r="E36" s="12" t="s">
        <v>1841</v>
      </c>
      <c r="F36" s="12">
        <v>1.62503</v>
      </c>
      <c r="G36" s="12">
        <v>0.47545399999999999</v>
      </c>
      <c r="H36" s="13">
        <v>-1.7730900000000001</v>
      </c>
    </row>
    <row r="37" spans="1:8" s="12" customFormat="1" ht="15" x14ac:dyDescent="0.2">
      <c r="A37" s="12" t="s">
        <v>1716</v>
      </c>
      <c r="B37" s="12" t="s">
        <v>3015</v>
      </c>
      <c r="C37" s="12" t="s">
        <v>2202</v>
      </c>
      <c r="D37" s="12" t="s">
        <v>1839</v>
      </c>
      <c r="E37" s="12" t="s">
        <v>1841</v>
      </c>
      <c r="F37" s="12">
        <v>10.684799999999999</v>
      </c>
      <c r="G37" s="12">
        <v>3.12906</v>
      </c>
      <c r="H37" s="13">
        <v>-1.7717499999999999</v>
      </c>
    </row>
    <row r="38" spans="1:8" s="12" customFormat="1" ht="15" x14ac:dyDescent="0.2">
      <c r="A38" s="12" t="s">
        <v>1280</v>
      </c>
      <c r="B38" s="12" t="s">
        <v>3030</v>
      </c>
      <c r="C38" s="12" t="s">
        <v>2776</v>
      </c>
      <c r="D38" s="12" t="s">
        <v>1839</v>
      </c>
      <c r="E38" s="12" t="s">
        <v>1841</v>
      </c>
      <c r="F38" s="12">
        <v>121.669</v>
      </c>
      <c r="G38" s="12">
        <v>36.0229</v>
      </c>
      <c r="H38" s="13">
        <v>-1.75597</v>
      </c>
    </row>
    <row r="39" spans="1:8" s="12" customFormat="1" ht="15" x14ac:dyDescent="0.2">
      <c r="A39" s="12" t="s">
        <v>1650</v>
      </c>
      <c r="B39" s="12" t="s">
        <v>3166</v>
      </c>
      <c r="C39" s="12" t="s">
        <v>2114</v>
      </c>
      <c r="D39" s="12" t="s">
        <v>1839</v>
      </c>
      <c r="E39" s="12" t="s">
        <v>1841</v>
      </c>
      <c r="F39" s="12">
        <v>1.03796</v>
      </c>
      <c r="G39" s="12">
        <v>0.31313200000000002</v>
      </c>
      <c r="H39" s="13">
        <v>-1.7289099999999999</v>
      </c>
    </row>
    <row r="40" spans="1:8" s="12" customFormat="1" ht="15" x14ac:dyDescent="0.2">
      <c r="A40" s="12" t="s">
        <v>1654</v>
      </c>
      <c r="B40" s="12" t="s">
        <v>3015</v>
      </c>
      <c r="C40" s="12" t="s">
        <v>2821</v>
      </c>
      <c r="D40" s="12" t="s">
        <v>1839</v>
      </c>
      <c r="E40" s="12" t="s">
        <v>1841</v>
      </c>
      <c r="F40" s="12">
        <v>1.13381</v>
      </c>
      <c r="G40" s="12">
        <v>0.34300900000000001</v>
      </c>
      <c r="H40" s="13">
        <v>-1.72485</v>
      </c>
    </row>
    <row r="41" spans="1:8" s="12" customFormat="1" ht="15" x14ac:dyDescent="0.2">
      <c r="A41" s="12" t="s">
        <v>499</v>
      </c>
      <c r="B41" s="12" t="s">
        <v>3015</v>
      </c>
      <c r="C41" s="12" t="s">
        <v>2079</v>
      </c>
      <c r="D41" s="12" t="s">
        <v>1839</v>
      </c>
      <c r="E41" s="12" t="s">
        <v>1841</v>
      </c>
      <c r="F41" s="12">
        <v>19.516300000000001</v>
      </c>
      <c r="G41" s="12">
        <v>5.9176200000000003</v>
      </c>
      <c r="H41" s="13">
        <v>-1.72159</v>
      </c>
    </row>
    <row r="42" spans="1:8" s="12" customFormat="1" ht="15" x14ac:dyDescent="0.2">
      <c r="A42" s="12" t="s">
        <v>410</v>
      </c>
      <c r="B42" s="12" t="s">
        <v>3015</v>
      </c>
      <c r="C42" s="12" t="s">
        <v>3015</v>
      </c>
      <c r="D42" s="12" t="s">
        <v>1839</v>
      </c>
      <c r="E42" s="12" t="s">
        <v>1841</v>
      </c>
      <c r="F42" s="12">
        <v>6.8853600000000004</v>
      </c>
      <c r="G42" s="12">
        <v>2.11782</v>
      </c>
      <c r="H42" s="13">
        <v>-1.70095</v>
      </c>
    </row>
    <row r="43" spans="1:8" s="12" customFormat="1" ht="15" x14ac:dyDescent="0.2">
      <c r="A43" s="12" t="s">
        <v>964</v>
      </c>
      <c r="B43" s="12" t="s">
        <v>3015</v>
      </c>
      <c r="C43" s="12" t="s">
        <v>2296</v>
      </c>
      <c r="D43" s="12" t="s">
        <v>1839</v>
      </c>
      <c r="E43" s="12" t="s">
        <v>1841</v>
      </c>
      <c r="F43" s="12">
        <v>5.8461299999999996</v>
      </c>
      <c r="G43" s="12">
        <v>1.8121700000000001</v>
      </c>
      <c r="H43" s="13">
        <v>-1.6897599999999999</v>
      </c>
    </row>
    <row r="44" spans="1:8" s="12" customFormat="1" ht="15" x14ac:dyDescent="0.2">
      <c r="A44" s="12" t="s">
        <v>230</v>
      </c>
      <c r="B44" s="12" t="s">
        <v>3090</v>
      </c>
      <c r="C44" s="12" t="s">
        <v>1951</v>
      </c>
      <c r="D44" s="12" t="s">
        <v>1839</v>
      </c>
      <c r="E44" s="12" t="s">
        <v>1841</v>
      </c>
      <c r="F44" s="12">
        <v>22.0519</v>
      </c>
      <c r="G44" s="12">
        <v>6.8376299999999999</v>
      </c>
      <c r="H44" s="13">
        <v>-1.68933</v>
      </c>
    </row>
    <row r="45" spans="1:8" s="12" customFormat="1" ht="15" x14ac:dyDescent="0.2">
      <c r="A45" s="12" t="s">
        <v>442</v>
      </c>
      <c r="B45" s="12" t="s">
        <v>3015</v>
      </c>
      <c r="C45" s="12" t="s">
        <v>1862</v>
      </c>
      <c r="D45" s="12" t="s">
        <v>1839</v>
      </c>
      <c r="E45" s="12" t="s">
        <v>1841</v>
      </c>
      <c r="F45" s="12">
        <v>28.128</v>
      </c>
      <c r="G45" s="12">
        <v>8.7301199999999994</v>
      </c>
      <c r="H45" s="13">
        <v>-1.6879299999999999</v>
      </c>
    </row>
    <row r="46" spans="1:8" s="12" customFormat="1" ht="15" x14ac:dyDescent="0.2">
      <c r="A46" s="12" t="s">
        <v>33</v>
      </c>
      <c r="B46" s="12" t="s">
        <v>3033</v>
      </c>
      <c r="C46" s="12" t="s">
        <v>1858</v>
      </c>
      <c r="D46" s="12" t="s">
        <v>1839</v>
      </c>
      <c r="E46" s="12" t="s">
        <v>1841</v>
      </c>
      <c r="F46" s="12">
        <v>1.06348</v>
      </c>
      <c r="G46" s="12">
        <v>0.33099800000000001</v>
      </c>
      <c r="H46" s="13">
        <v>-1.6838900000000001</v>
      </c>
    </row>
    <row r="47" spans="1:8" s="12" customFormat="1" ht="15" x14ac:dyDescent="0.2">
      <c r="A47" s="12" t="s">
        <v>761</v>
      </c>
      <c r="B47" s="12" t="s">
        <v>3015</v>
      </c>
      <c r="C47" s="12" t="s">
        <v>2191</v>
      </c>
      <c r="D47" s="12" t="s">
        <v>1839</v>
      </c>
      <c r="E47" s="12" t="s">
        <v>1841</v>
      </c>
      <c r="F47" s="12">
        <v>4.4885799999999998</v>
      </c>
      <c r="G47" s="12">
        <v>1.41126</v>
      </c>
      <c r="H47" s="13">
        <v>-1.66927</v>
      </c>
    </row>
    <row r="48" spans="1:8" s="12" customFormat="1" ht="15" x14ac:dyDescent="0.2">
      <c r="A48" s="12" t="s">
        <v>209</v>
      </c>
      <c r="B48" s="12" t="s">
        <v>3015</v>
      </c>
      <c r="C48" s="12" t="s">
        <v>2681</v>
      </c>
      <c r="D48" s="12" t="s">
        <v>1839</v>
      </c>
      <c r="E48" s="12" t="s">
        <v>1841</v>
      </c>
      <c r="F48" s="12">
        <v>1.92746</v>
      </c>
      <c r="G48" s="12">
        <v>0.608097</v>
      </c>
      <c r="H48" s="13">
        <v>-1.6643300000000001</v>
      </c>
    </row>
    <row r="49" spans="1:8" s="12" customFormat="1" ht="15" x14ac:dyDescent="0.2">
      <c r="A49" s="12" t="s">
        <v>1501</v>
      </c>
      <c r="B49" s="12" t="s">
        <v>3015</v>
      </c>
      <c r="C49" s="12" t="s">
        <v>2455</v>
      </c>
      <c r="D49" s="12" t="s">
        <v>1839</v>
      </c>
      <c r="E49" s="12" t="s">
        <v>1841</v>
      </c>
      <c r="F49" s="12">
        <v>1.1763699999999999</v>
      </c>
      <c r="G49" s="12">
        <v>0.37171399999999999</v>
      </c>
      <c r="H49" s="13">
        <v>-1.6620699999999999</v>
      </c>
    </row>
    <row r="50" spans="1:8" s="12" customFormat="1" ht="15" x14ac:dyDescent="0.2">
      <c r="A50" s="12" t="s">
        <v>6</v>
      </c>
      <c r="B50" s="12" t="s">
        <v>3024</v>
      </c>
      <c r="C50" s="12" t="s">
        <v>1844</v>
      </c>
      <c r="D50" s="12" t="s">
        <v>1839</v>
      </c>
      <c r="E50" s="12" t="s">
        <v>1841</v>
      </c>
      <c r="F50" s="12">
        <v>2.3382299999999998</v>
      </c>
      <c r="G50" s="12">
        <v>0.74075599999999997</v>
      </c>
      <c r="H50" s="13">
        <v>-1.65835</v>
      </c>
    </row>
    <row r="51" spans="1:8" s="12" customFormat="1" ht="15" x14ac:dyDescent="0.2">
      <c r="A51" s="12" t="s">
        <v>990</v>
      </c>
      <c r="B51" s="12" t="s">
        <v>3015</v>
      </c>
      <c r="C51" s="12" t="s">
        <v>2309</v>
      </c>
      <c r="D51" s="12" t="s">
        <v>1839</v>
      </c>
      <c r="E51" s="12" t="s">
        <v>1841</v>
      </c>
      <c r="F51" s="12">
        <v>1.2685299999999999</v>
      </c>
      <c r="G51" s="12">
        <v>0.41219800000000001</v>
      </c>
      <c r="H51" s="13">
        <v>-1.62175</v>
      </c>
    </row>
    <row r="52" spans="1:8" s="12" customFormat="1" ht="15" x14ac:dyDescent="0.2">
      <c r="A52" s="12" t="s">
        <v>1489</v>
      </c>
      <c r="B52" s="12" t="s">
        <v>3344</v>
      </c>
      <c r="C52" s="12" t="s">
        <v>2633</v>
      </c>
      <c r="D52" s="12" t="s">
        <v>1839</v>
      </c>
      <c r="E52" s="12" t="s">
        <v>1841</v>
      </c>
      <c r="F52" s="12">
        <v>1.74996</v>
      </c>
      <c r="G52" s="12">
        <v>0.57017700000000004</v>
      </c>
      <c r="H52" s="13">
        <v>-1.6178399999999999</v>
      </c>
    </row>
    <row r="53" spans="1:8" s="12" customFormat="1" ht="15" x14ac:dyDescent="0.2">
      <c r="A53" s="12" t="s">
        <v>1767</v>
      </c>
      <c r="B53" s="12" t="s">
        <v>3030</v>
      </c>
      <c r="C53" s="12" t="s">
        <v>2940</v>
      </c>
      <c r="D53" s="12" t="s">
        <v>1839</v>
      </c>
      <c r="E53" s="12" t="s">
        <v>1841</v>
      </c>
      <c r="F53" s="12">
        <v>2.8555799999999998</v>
      </c>
      <c r="G53" s="12">
        <v>0.93242899999999995</v>
      </c>
      <c r="H53" s="13">
        <v>-1.6147199999999999</v>
      </c>
    </row>
    <row r="54" spans="1:8" s="12" customFormat="1" ht="15" x14ac:dyDescent="0.2">
      <c r="A54" s="12" t="s">
        <v>1121</v>
      </c>
      <c r="B54" s="12" t="s">
        <v>3015</v>
      </c>
      <c r="C54" s="12" t="s">
        <v>3015</v>
      </c>
      <c r="D54" s="12" t="s">
        <v>1839</v>
      </c>
      <c r="E54" s="12" t="s">
        <v>1841</v>
      </c>
      <c r="F54" s="12">
        <v>31.9072</v>
      </c>
      <c r="G54" s="12">
        <v>10.424799999999999</v>
      </c>
      <c r="H54" s="13">
        <v>-1.6138600000000001</v>
      </c>
    </row>
    <row r="55" spans="1:8" s="12" customFormat="1" ht="15" x14ac:dyDescent="0.2">
      <c r="A55" s="12" t="s">
        <v>734</v>
      </c>
      <c r="B55" s="12" t="s">
        <v>3081</v>
      </c>
      <c r="C55" s="12" t="s">
        <v>2489</v>
      </c>
      <c r="D55" s="12" t="s">
        <v>1839</v>
      </c>
      <c r="E55" s="12" t="s">
        <v>1841</v>
      </c>
      <c r="F55" s="12">
        <v>52.354300000000002</v>
      </c>
      <c r="G55" s="12">
        <v>17.218299999999999</v>
      </c>
      <c r="H55" s="13">
        <v>-1.6043700000000001</v>
      </c>
    </row>
    <row r="56" spans="1:8" s="12" customFormat="1" ht="15" x14ac:dyDescent="0.2">
      <c r="A56" s="12" t="s">
        <v>960</v>
      </c>
      <c r="B56" s="12" t="s">
        <v>3038</v>
      </c>
      <c r="C56" s="12" t="s">
        <v>2293</v>
      </c>
      <c r="D56" s="12" t="s">
        <v>1839</v>
      </c>
      <c r="E56" s="12" t="s">
        <v>1841</v>
      </c>
      <c r="F56" s="12">
        <v>7.5668699999999998</v>
      </c>
      <c r="G56" s="12">
        <v>2.5182600000000002</v>
      </c>
      <c r="H56" s="13">
        <v>-1.58727</v>
      </c>
    </row>
    <row r="57" spans="1:8" s="12" customFormat="1" ht="15" x14ac:dyDescent="0.2">
      <c r="A57" s="12" t="s">
        <v>122</v>
      </c>
      <c r="B57" s="12" t="s">
        <v>3015</v>
      </c>
      <c r="C57" s="12" t="s">
        <v>1898</v>
      </c>
      <c r="D57" s="12" t="s">
        <v>1839</v>
      </c>
      <c r="E57" s="12" t="s">
        <v>1841</v>
      </c>
      <c r="F57" s="12">
        <v>6.0011000000000001</v>
      </c>
      <c r="G57" s="12">
        <v>1.9975499999999999</v>
      </c>
      <c r="H57" s="13">
        <v>-1.587</v>
      </c>
    </row>
    <row r="58" spans="1:8" s="12" customFormat="1" ht="15" x14ac:dyDescent="0.2">
      <c r="A58" s="12" t="s">
        <v>678</v>
      </c>
      <c r="B58" s="12" t="s">
        <v>3015</v>
      </c>
      <c r="C58" s="12" t="s">
        <v>3015</v>
      </c>
      <c r="D58" s="12" t="s">
        <v>1839</v>
      </c>
      <c r="E58" s="12" t="s">
        <v>1841</v>
      </c>
      <c r="F58" s="12">
        <v>12.1343</v>
      </c>
      <c r="G58" s="12">
        <v>4.0540399999999996</v>
      </c>
      <c r="H58" s="13">
        <v>-1.5816600000000001</v>
      </c>
    </row>
    <row r="59" spans="1:8" s="12" customFormat="1" ht="15" x14ac:dyDescent="0.2">
      <c r="A59" s="12" t="s">
        <v>271</v>
      </c>
      <c r="B59" s="12" t="s">
        <v>3030</v>
      </c>
      <c r="C59" s="12" t="s">
        <v>2707</v>
      </c>
      <c r="D59" s="12" t="s">
        <v>1839</v>
      </c>
      <c r="E59" s="12" t="s">
        <v>1841</v>
      </c>
      <c r="F59" s="12">
        <v>6.2331300000000001</v>
      </c>
      <c r="G59" s="12">
        <v>2.1027</v>
      </c>
      <c r="H59" s="13">
        <v>-1.5677099999999999</v>
      </c>
    </row>
    <row r="60" spans="1:8" s="12" customFormat="1" ht="15" x14ac:dyDescent="0.2">
      <c r="A60" s="12" t="s">
        <v>698</v>
      </c>
      <c r="B60" s="12" t="s">
        <v>3081</v>
      </c>
      <c r="C60" s="12" t="s">
        <v>2851</v>
      </c>
      <c r="D60" s="12" t="s">
        <v>1839</v>
      </c>
      <c r="E60" s="12" t="s">
        <v>1841</v>
      </c>
      <c r="F60" s="12">
        <v>28.2943</v>
      </c>
      <c r="G60" s="12">
        <v>9.6128599999999995</v>
      </c>
      <c r="H60" s="13">
        <v>-1.5574699999999999</v>
      </c>
    </row>
    <row r="61" spans="1:8" s="12" customFormat="1" ht="15" x14ac:dyDescent="0.2">
      <c r="A61" s="12" t="s">
        <v>1513</v>
      </c>
      <c r="B61" s="12" t="s">
        <v>3015</v>
      </c>
      <c r="C61" s="12" t="s">
        <v>1904</v>
      </c>
      <c r="D61" s="12" t="s">
        <v>1839</v>
      </c>
      <c r="E61" s="12" t="s">
        <v>1841</v>
      </c>
      <c r="F61" s="12">
        <v>2.9752900000000002</v>
      </c>
      <c r="G61" s="12">
        <v>1.01637</v>
      </c>
      <c r="H61" s="13">
        <v>-1.5496099999999999</v>
      </c>
    </row>
    <row r="62" spans="1:8" s="12" customFormat="1" ht="15" x14ac:dyDescent="0.2">
      <c r="A62" s="12" t="s">
        <v>1757</v>
      </c>
      <c r="B62" s="12" t="s">
        <v>3105</v>
      </c>
      <c r="C62" s="12" t="s">
        <v>2927</v>
      </c>
      <c r="D62" s="12" t="s">
        <v>1839</v>
      </c>
      <c r="E62" s="12" t="s">
        <v>1841</v>
      </c>
      <c r="F62" s="12">
        <v>13.1935</v>
      </c>
      <c r="G62" s="12">
        <v>4.5147300000000001</v>
      </c>
      <c r="H62" s="13">
        <v>-1.5471200000000001</v>
      </c>
    </row>
    <row r="63" spans="1:8" s="12" customFormat="1" ht="15" x14ac:dyDescent="0.2">
      <c r="A63" s="12" t="s">
        <v>670</v>
      </c>
      <c r="B63" s="12" t="s">
        <v>3447</v>
      </c>
      <c r="C63" s="12" t="s">
        <v>2836</v>
      </c>
      <c r="D63" s="12" t="s">
        <v>1839</v>
      </c>
      <c r="E63" s="12" t="s">
        <v>1841</v>
      </c>
      <c r="F63" s="12">
        <v>18.606000000000002</v>
      </c>
      <c r="G63" s="12">
        <v>6.4110699999999996</v>
      </c>
      <c r="H63" s="13">
        <v>-1.5371300000000001</v>
      </c>
    </row>
    <row r="64" spans="1:8" s="12" customFormat="1" ht="15" x14ac:dyDescent="0.2">
      <c r="A64" s="12" t="s">
        <v>319</v>
      </c>
      <c r="B64" s="12" t="s">
        <v>3015</v>
      </c>
      <c r="C64" s="12" t="s">
        <v>2729</v>
      </c>
      <c r="D64" s="12" t="s">
        <v>1839</v>
      </c>
      <c r="E64" s="12" t="s">
        <v>1841</v>
      </c>
      <c r="F64" s="12">
        <v>4.6597900000000001</v>
      </c>
      <c r="G64" s="12">
        <v>1.60731</v>
      </c>
      <c r="H64" s="13">
        <v>-1.5356099999999999</v>
      </c>
    </row>
    <row r="65" spans="1:8" s="12" customFormat="1" ht="15" x14ac:dyDescent="0.2">
      <c r="A65" s="12" t="s">
        <v>1702</v>
      </c>
      <c r="B65" s="12" t="s">
        <v>3243</v>
      </c>
      <c r="C65" s="12" t="s">
        <v>1953</v>
      </c>
      <c r="D65" s="12" t="s">
        <v>1839</v>
      </c>
      <c r="E65" s="12" t="s">
        <v>1841</v>
      </c>
      <c r="F65" s="12">
        <v>0.95299900000000004</v>
      </c>
      <c r="G65" s="12">
        <v>0.331293</v>
      </c>
      <c r="H65" s="13">
        <v>-1.52437</v>
      </c>
    </row>
    <row r="66" spans="1:8" s="12" customFormat="1" ht="15" x14ac:dyDescent="0.2">
      <c r="A66" s="12" t="s">
        <v>1058</v>
      </c>
      <c r="B66" s="12" t="s">
        <v>3015</v>
      </c>
      <c r="C66" s="12" t="s">
        <v>1880</v>
      </c>
      <c r="D66" s="12" t="s">
        <v>1839</v>
      </c>
      <c r="E66" s="12" t="s">
        <v>1841</v>
      </c>
      <c r="F66" s="12">
        <v>10.881500000000001</v>
      </c>
      <c r="G66" s="12">
        <v>3.8483800000000001</v>
      </c>
      <c r="H66" s="13">
        <v>-1.4995499999999999</v>
      </c>
    </row>
    <row r="67" spans="1:8" s="12" customFormat="1" ht="15" x14ac:dyDescent="0.2">
      <c r="A67" s="12" t="s">
        <v>1535</v>
      </c>
      <c r="B67" s="12" t="s">
        <v>3015</v>
      </c>
      <c r="C67" s="12" t="s">
        <v>2686</v>
      </c>
      <c r="D67" s="12" t="s">
        <v>1839</v>
      </c>
      <c r="E67" s="12" t="s">
        <v>1841</v>
      </c>
      <c r="F67" s="12">
        <v>25.8443</v>
      </c>
      <c r="G67" s="12">
        <v>9.2348599999999994</v>
      </c>
      <c r="H67" s="13">
        <v>-1.48468</v>
      </c>
    </row>
    <row r="68" spans="1:8" s="12" customFormat="1" ht="15" x14ac:dyDescent="0.2">
      <c r="A68" s="12" t="s">
        <v>1548</v>
      </c>
      <c r="B68" s="12" t="s">
        <v>3015</v>
      </c>
      <c r="C68" s="12" t="s">
        <v>2698</v>
      </c>
      <c r="D68" s="12" t="s">
        <v>1839</v>
      </c>
      <c r="E68" s="12" t="s">
        <v>1841</v>
      </c>
      <c r="F68" s="12">
        <v>1.6731100000000001</v>
      </c>
      <c r="G68" s="12">
        <v>0.60044500000000001</v>
      </c>
      <c r="H68" s="13">
        <v>-1.4784299999999999</v>
      </c>
    </row>
    <row r="69" spans="1:8" s="12" customFormat="1" ht="15" x14ac:dyDescent="0.2">
      <c r="A69" s="12" t="s">
        <v>1797</v>
      </c>
      <c r="B69" s="12" t="s">
        <v>3015</v>
      </c>
      <c r="C69" s="12" t="s">
        <v>3015</v>
      </c>
      <c r="D69" s="12" t="s">
        <v>1839</v>
      </c>
      <c r="E69" s="12" t="s">
        <v>1841</v>
      </c>
      <c r="F69" s="12">
        <v>23.221800000000002</v>
      </c>
      <c r="G69" s="12">
        <v>8.3912700000000005</v>
      </c>
      <c r="H69" s="13">
        <v>-1.46852</v>
      </c>
    </row>
    <row r="70" spans="1:8" s="12" customFormat="1" ht="15" x14ac:dyDescent="0.2">
      <c r="A70" s="12" t="s">
        <v>1762</v>
      </c>
      <c r="B70" s="12" t="s">
        <v>3015</v>
      </c>
      <c r="C70" s="12" t="s">
        <v>2933</v>
      </c>
      <c r="D70" s="12" t="s">
        <v>1839</v>
      </c>
      <c r="E70" s="12" t="s">
        <v>1841</v>
      </c>
      <c r="F70" s="12">
        <v>1.1585799999999999</v>
      </c>
      <c r="G70" s="12">
        <v>0.41941899999999999</v>
      </c>
      <c r="H70" s="13">
        <v>-1.4658899999999999</v>
      </c>
    </row>
    <row r="71" spans="1:8" s="12" customFormat="1" ht="15" x14ac:dyDescent="0.2">
      <c r="A71" s="12" t="s">
        <v>615</v>
      </c>
      <c r="B71" s="12" t="s">
        <v>3100</v>
      </c>
      <c r="C71" s="12" t="s">
        <v>1948</v>
      </c>
      <c r="D71" s="12" t="s">
        <v>1839</v>
      </c>
      <c r="E71" s="12" t="s">
        <v>1841</v>
      </c>
      <c r="F71" s="12">
        <v>1.58294</v>
      </c>
      <c r="G71" s="12">
        <v>0.57338800000000001</v>
      </c>
      <c r="H71" s="13">
        <v>-1.46502</v>
      </c>
    </row>
    <row r="72" spans="1:8" s="12" customFormat="1" ht="15" x14ac:dyDescent="0.2">
      <c r="A72" s="12" t="s">
        <v>1673</v>
      </c>
      <c r="B72" s="12" t="s">
        <v>3201</v>
      </c>
      <c r="C72" s="12" t="s">
        <v>2216</v>
      </c>
      <c r="D72" s="12" t="s">
        <v>1839</v>
      </c>
      <c r="E72" s="12" t="s">
        <v>1841</v>
      </c>
      <c r="F72" s="12">
        <v>2.08229</v>
      </c>
      <c r="G72" s="12">
        <v>0.75761999999999996</v>
      </c>
      <c r="H72" s="13">
        <v>-1.45862</v>
      </c>
    </row>
    <row r="73" spans="1:8" s="12" customFormat="1" ht="15" x14ac:dyDescent="0.2">
      <c r="A73" s="12" t="s">
        <v>1706</v>
      </c>
      <c r="B73" s="12" t="s">
        <v>3015</v>
      </c>
      <c r="C73" s="12" t="s">
        <v>2870</v>
      </c>
      <c r="D73" s="12" t="s">
        <v>1839</v>
      </c>
      <c r="E73" s="12" t="s">
        <v>1841</v>
      </c>
      <c r="F73" s="12">
        <v>2.5070199999999998</v>
      </c>
      <c r="G73" s="12">
        <v>0.91635800000000001</v>
      </c>
      <c r="H73" s="13">
        <v>-1.4519899999999999</v>
      </c>
    </row>
    <row r="74" spans="1:8" s="12" customFormat="1" ht="15" x14ac:dyDescent="0.2">
      <c r="A74" s="12" t="s">
        <v>285</v>
      </c>
      <c r="B74" s="12" t="s">
        <v>3015</v>
      </c>
      <c r="C74" s="12" t="s">
        <v>1976</v>
      </c>
      <c r="D74" s="12" t="s">
        <v>1839</v>
      </c>
      <c r="E74" s="12" t="s">
        <v>1841</v>
      </c>
      <c r="F74" s="12">
        <v>1.9960100000000001</v>
      </c>
      <c r="G74" s="12">
        <v>0.73155400000000004</v>
      </c>
      <c r="H74" s="13">
        <v>-1.44808</v>
      </c>
    </row>
    <row r="75" spans="1:8" s="12" customFormat="1" ht="15" x14ac:dyDescent="0.2">
      <c r="A75" s="12" t="s">
        <v>1595</v>
      </c>
      <c r="B75" s="12" t="s">
        <v>3015</v>
      </c>
      <c r="C75" s="12" t="s">
        <v>2757</v>
      </c>
      <c r="D75" s="12" t="s">
        <v>1839</v>
      </c>
      <c r="E75" s="12" t="s">
        <v>1841</v>
      </c>
      <c r="F75" s="12">
        <v>0.92048600000000003</v>
      </c>
      <c r="G75" s="12">
        <v>0.33766299999999999</v>
      </c>
      <c r="H75" s="13">
        <v>-1.4468099999999999</v>
      </c>
    </row>
    <row r="76" spans="1:8" s="12" customFormat="1" ht="15" x14ac:dyDescent="0.2">
      <c r="A76" s="12" t="s">
        <v>653</v>
      </c>
      <c r="B76" s="12" t="s">
        <v>3015</v>
      </c>
      <c r="C76" s="12" t="s">
        <v>3015</v>
      </c>
      <c r="D76" s="12" t="s">
        <v>1839</v>
      </c>
      <c r="E76" s="12" t="s">
        <v>1841</v>
      </c>
      <c r="F76" s="12">
        <v>22.782800000000002</v>
      </c>
      <c r="G76" s="12">
        <v>8.3915299999999995</v>
      </c>
      <c r="H76" s="13">
        <v>-1.4409400000000001</v>
      </c>
    </row>
    <row r="77" spans="1:8" s="12" customFormat="1" ht="15" x14ac:dyDescent="0.2">
      <c r="A77" s="12" t="s">
        <v>1483</v>
      </c>
      <c r="B77" s="12" t="s">
        <v>3015</v>
      </c>
      <c r="C77" s="12" t="s">
        <v>2624</v>
      </c>
      <c r="D77" s="12" t="s">
        <v>1839</v>
      </c>
      <c r="E77" s="12" t="s">
        <v>1841</v>
      </c>
      <c r="F77" s="12">
        <v>4.4900399999999996</v>
      </c>
      <c r="G77" s="12">
        <v>1.65961</v>
      </c>
      <c r="H77" s="13">
        <v>-1.43588</v>
      </c>
    </row>
    <row r="78" spans="1:8" s="12" customFormat="1" ht="15" x14ac:dyDescent="0.2">
      <c r="A78" s="12" t="s">
        <v>210</v>
      </c>
      <c r="B78" s="12" t="s">
        <v>3015</v>
      </c>
      <c r="C78" s="12" t="s">
        <v>2681</v>
      </c>
      <c r="D78" s="12" t="s">
        <v>1839</v>
      </c>
      <c r="E78" s="12" t="s">
        <v>1841</v>
      </c>
      <c r="F78" s="12">
        <v>2.04576</v>
      </c>
      <c r="G78" s="12">
        <v>0.75660300000000003</v>
      </c>
      <c r="H78" s="13">
        <v>-1.43502</v>
      </c>
    </row>
    <row r="79" spans="1:8" s="12" customFormat="1" ht="15" x14ac:dyDescent="0.2">
      <c r="A79" s="12" t="s">
        <v>275</v>
      </c>
      <c r="B79" s="12" t="s">
        <v>3015</v>
      </c>
      <c r="C79" s="12" t="s">
        <v>3408</v>
      </c>
      <c r="D79" s="12" t="s">
        <v>1839</v>
      </c>
      <c r="E79" s="12" t="s">
        <v>1841</v>
      </c>
      <c r="F79" s="12">
        <v>11.014799999999999</v>
      </c>
      <c r="G79" s="12">
        <v>4.0753500000000003</v>
      </c>
      <c r="H79" s="13">
        <v>-1.43445</v>
      </c>
    </row>
    <row r="80" spans="1:8" s="12" customFormat="1" ht="15" x14ac:dyDescent="0.2">
      <c r="A80" s="12" t="s">
        <v>897</v>
      </c>
      <c r="B80" s="12" t="s">
        <v>3015</v>
      </c>
      <c r="C80" s="12" t="s">
        <v>2259</v>
      </c>
      <c r="D80" s="12" t="s">
        <v>1839</v>
      </c>
      <c r="E80" s="12" t="s">
        <v>1841</v>
      </c>
      <c r="F80" s="12">
        <v>21.8584</v>
      </c>
      <c r="G80" s="12">
        <v>8.0958699999999997</v>
      </c>
      <c r="H80" s="13">
        <v>-1.43293</v>
      </c>
    </row>
    <row r="81" spans="1:8" s="12" customFormat="1" ht="15" x14ac:dyDescent="0.2">
      <c r="A81" s="12" t="s">
        <v>1620</v>
      </c>
      <c r="B81" s="12" t="s">
        <v>3015</v>
      </c>
      <c r="C81" s="12" t="s">
        <v>2785</v>
      </c>
      <c r="D81" s="12" t="s">
        <v>1839</v>
      </c>
      <c r="E81" s="12" t="s">
        <v>1841</v>
      </c>
      <c r="F81" s="12">
        <v>1.26274</v>
      </c>
      <c r="G81" s="12">
        <v>0.46785100000000002</v>
      </c>
      <c r="H81" s="13">
        <v>-1.4324399999999999</v>
      </c>
    </row>
    <row r="82" spans="1:8" s="12" customFormat="1" ht="15" x14ac:dyDescent="0.2">
      <c r="A82" s="12" t="s">
        <v>880</v>
      </c>
      <c r="B82" s="12" t="s">
        <v>3015</v>
      </c>
      <c r="C82" s="12" t="s">
        <v>2251</v>
      </c>
      <c r="D82" s="12" t="s">
        <v>1839</v>
      </c>
      <c r="E82" s="12" t="s">
        <v>1841</v>
      </c>
      <c r="F82" s="12">
        <v>2.0710199999999999</v>
      </c>
      <c r="G82" s="12">
        <v>0.767594</v>
      </c>
      <c r="H82" s="13">
        <v>-1.4319299999999999</v>
      </c>
    </row>
    <row r="83" spans="1:8" s="12" customFormat="1" ht="15" x14ac:dyDescent="0.2">
      <c r="A83" s="12" t="s">
        <v>885</v>
      </c>
      <c r="B83" s="12" t="s">
        <v>3015</v>
      </c>
      <c r="C83" s="12" t="s">
        <v>2455</v>
      </c>
      <c r="D83" s="12" t="s">
        <v>1839</v>
      </c>
      <c r="E83" s="12" t="s">
        <v>1841</v>
      </c>
      <c r="F83" s="12">
        <v>27.026499999999999</v>
      </c>
      <c r="G83" s="12">
        <v>10.018800000000001</v>
      </c>
      <c r="H83" s="13">
        <v>-1.43167</v>
      </c>
    </row>
    <row r="84" spans="1:8" s="12" customFormat="1" ht="15" x14ac:dyDescent="0.2">
      <c r="A84" s="12" t="s">
        <v>45</v>
      </c>
      <c r="B84" s="12" t="s">
        <v>3015</v>
      </c>
      <c r="C84" s="12" t="s">
        <v>1863</v>
      </c>
      <c r="D84" s="12" t="s">
        <v>1839</v>
      </c>
      <c r="E84" s="12" t="s">
        <v>1841</v>
      </c>
      <c r="F84" s="12">
        <v>273.589</v>
      </c>
      <c r="G84" s="12">
        <v>101.982</v>
      </c>
      <c r="H84" s="13">
        <v>-1.4237</v>
      </c>
    </row>
    <row r="85" spans="1:8" s="12" customFormat="1" ht="15" x14ac:dyDescent="0.2">
      <c r="A85" s="12" t="s">
        <v>130</v>
      </c>
      <c r="B85" s="12" t="s">
        <v>3015</v>
      </c>
      <c r="C85" s="12" t="s">
        <v>2665</v>
      </c>
      <c r="D85" s="12" t="s">
        <v>1839</v>
      </c>
      <c r="E85" s="12" t="s">
        <v>1841</v>
      </c>
      <c r="F85" s="12">
        <v>6.3401699999999996</v>
      </c>
      <c r="G85" s="12">
        <v>2.36497</v>
      </c>
      <c r="H85" s="13">
        <v>-1.4227000000000001</v>
      </c>
    </row>
    <row r="86" spans="1:8" s="12" customFormat="1" ht="15" x14ac:dyDescent="0.2">
      <c r="A86" s="12" t="s">
        <v>958</v>
      </c>
      <c r="B86" s="12" t="s">
        <v>3475</v>
      </c>
      <c r="C86" s="12" t="s">
        <v>2931</v>
      </c>
      <c r="D86" s="12" t="s">
        <v>1839</v>
      </c>
      <c r="E86" s="12" t="s">
        <v>1841</v>
      </c>
      <c r="F86" s="12">
        <v>17.875800000000002</v>
      </c>
      <c r="G86" s="12">
        <v>6.6726400000000003</v>
      </c>
      <c r="H86" s="13">
        <v>-1.4216800000000001</v>
      </c>
    </row>
    <row r="87" spans="1:8" s="12" customFormat="1" ht="15" x14ac:dyDescent="0.2">
      <c r="A87" s="12" t="s">
        <v>1581</v>
      </c>
      <c r="B87" s="12" t="s">
        <v>3301</v>
      </c>
      <c r="C87" s="12" t="s">
        <v>2737</v>
      </c>
      <c r="D87" s="12" t="s">
        <v>1839</v>
      </c>
      <c r="E87" s="12" t="s">
        <v>1841</v>
      </c>
      <c r="F87" s="12">
        <v>1.28501</v>
      </c>
      <c r="G87" s="12">
        <v>0.480881</v>
      </c>
      <c r="H87" s="13">
        <v>-1.4180299999999999</v>
      </c>
    </row>
    <row r="88" spans="1:8" s="12" customFormat="1" ht="15" x14ac:dyDescent="0.2">
      <c r="A88" s="12" t="s">
        <v>1556</v>
      </c>
      <c r="B88" s="12" t="s">
        <v>3015</v>
      </c>
      <c r="C88" s="12" t="s">
        <v>2709</v>
      </c>
      <c r="D88" s="12" t="s">
        <v>1839</v>
      </c>
      <c r="E88" s="12" t="s">
        <v>1841</v>
      </c>
      <c r="F88" s="12">
        <v>4.2792899999999996</v>
      </c>
      <c r="G88" s="12">
        <v>1.61528</v>
      </c>
      <c r="H88" s="13">
        <v>-1.4055899999999999</v>
      </c>
    </row>
    <row r="89" spans="1:8" s="12" customFormat="1" ht="15" x14ac:dyDescent="0.2">
      <c r="A89" s="12" t="s">
        <v>753</v>
      </c>
      <c r="B89" s="12" t="s">
        <v>3015</v>
      </c>
      <c r="C89" s="12" t="s">
        <v>2871</v>
      </c>
      <c r="D89" s="12" t="s">
        <v>1839</v>
      </c>
      <c r="E89" s="12" t="s">
        <v>1841</v>
      </c>
      <c r="F89" s="12">
        <v>8.2241199999999992</v>
      </c>
      <c r="G89" s="12">
        <v>3.1132900000000001</v>
      </c>
      <c r="H89" s="13">
        <v>-1.4014200000000001</v>
      </c>
    </row>
    <row r="90" spans="1:8" s="12" customFormat="1" ht="15" x14ac:dyDescent="0.2">
      <c r="A90" s="12" t="s">
        <v>1710</v>
      </c>
      <c r="B90" s="12" t="s">
        <v>3015</v>
      </c>
      <c r="C90" s="12" t="s">
        <v>2873</v>
      </c>
      <c r="D90" s="12" t="s">
        <v>1839</v>
      </c>
      <c r="E90" s="12" t="s">
        <v>1841</v>
      </c>
      <c r="F90" s="12">
        <v>0.81485300000000005</v>
      </c>
      <c r="G90" s="12">
        <v>0.30877100000000002</v>
      </c>
      <c r="H90" s="13">
        <v>-1.4</v>
      </c>
    </row>
    <row r="91" spans="1:8" s="12" customFormat="1" ht="15" x14ac:dyDescent="0.2">
      <c r="A91" s="12" t="s">
        <v>756</v>
      </c>
      <c r="B91" s="12" t="s">
        <v>3015</v>
      </c>
      <c r="C91" s="12" t="s">
        <v>2872</v>
      </c>
      <c r="D91" s="12" t="s">
        <v>1839</v>
      </c>
      <c r="E91" s="12" t="s">
        <v>1841</v>
      </c>
      <c r="F91" s="12">
        <v>264.815</v>
      </c>
      <c r="G91" s="12">
        <v>100.806</v>
      </c>
      <c r="H91" s="13">
        <v>-1.39341</v>
      </c>
    </row>
    <row r="92" spans="1:8" s="12" customFormat="1" ht="15" x14ac:dyDescent="0.2">
      <c r="A92" s="12" t="s">
        <v>1276</v>
      </c>
      <c r="B92" s="12" t="s">
        <v>3049</v>
      </c>
      <c r="C92" s="12" t="s">
        <v>2766</v>
      </c>
      <c r="D92" s="12" t="s">
        <v>1839</v>
      </c>
      <c r="E92" s="12" t="s">
        <v>1841</v>
      </c>
      <c r="F92" s="12">
        <v>6.7696800000000001</v>
      </c>
      <c r="G92" s="12">
        <v>2.5798299999999998</v>
      </c>
      <c r="H92" s="13">
        <v>-1.39181</v>
      </c>
    </row>
    <row r="93" spans="1:8" s="12" customFormat="1" ht="15" x14ac:dyDescent="0.2">
      <c r="A93" s="12" t="s">
        <v>168</v>
      </c>
      <c r="B93" s="12" t="s">
        <v>3015</v>
      </c>
      <c r="C93" s="12" t="s">
        <v>1862</v>
      </c>
      <c r="D93" s="12" t="s">
        <v>1839</v>
      </c>
      <c r="E93" s="12" t="s">
        <v>1841</v>
      </c>
      <c r="F93" s="12">
        <v>14.712999999999999</v>
      </c>
      <c r="G93" s="12">
        <v>5.6211000000000002</v>
      </c>
      <c r="H93" s="13">
        <v>-1.3881699999999999</v>
      </c>
    </row>
    <row r="94" spans="1:8" s="12" customFormat="1" ht="15" x14ac:dyDescent="0.2">
      <c r="A94" s="12" t="s">
        <v>1503</v>
      </c>
      <c r="B94" s="12" t="s">
        <v>3015</v>
      </c>
      <c r="C94" s="12" t="s">
        <v>3015</v>
      </c>
      <c r="D94" s="12" t="s">
        <v>1839</v>
      </c>
      <c r="E94" s="12" t="s">
        <v>1841</v>
      </c>
      <c r="F94" s="12">
        <v>1.95966</v>
      </c>
      <c r="G94" s="12">
        <v>0.74936199999999997</v>
      </c>
      <c r="H94" s="13">
        <v>-1.38687</v>
      </c>
    </row>
    <row r="95" spans="1:8" s="12" customFormat="1" ht="15" x14ac:dyDescent="0.2">
      <c r="A95" s="12" t="s">
        <v>1667</v>
      </c>
      <c r="B95" s="12" t="s">
        <v>3015</v>
      </c>
      <c r="C95" s="12" t="s">
        <v>2832</v>
      </c>
      <c r="D95" s="12" t="s">
        <v>1839</v>
      </c>
      <c r="E95" s="12" t="s">
        <v>1841</v>
      </c>
      <c r="F95" s="12">
        <v>1.335</v>
      </c>
      <c r="G95" s="12">
        <v>0.51204099999999997</v>
      </c>
      <c r="H95" s="13">
        <v>-1.3825099999999999</v>
      </c>
    </row>
    <row r="96" spans="1:8" s="12" customFormat="1" ht="15" x14ac:dyDescent="0.2">
      <c r="A96" s="12" t="s">
        <v>12</v>
      </c>
      <c r="B96" s="12" t="s">
        <v>3015</v>
      </c>
      <c r="C96" s="12" t="s">
        <v>1847</v>
      </c>
      <c r="D96" s="12" t="s">
        <v>1839</v>
      </c>
      <c r="E96" s="12" t="s">
        <v>1841</v>
      </c>
      <c r="F96" s="12">
        <v>15.9681</v>
      </c>
      <c r="G96" s="12">
        <v>6.1269299999999998</v>
      </c>
      <c r="H96" s="13">
        <v>-1.3819600000000001</v>
      </c>
    </row>
    <row r="97" spans="1:8" s="12" customFormat="1" ht="15" x14ac:dyDescent="0.2">
      <c r="A97" s="12" t="s">
        <v>1748</v>
      </c>
      <c r="B97" s="12" t="s">
        <v>3015</v>
      </c>
      <c r="C97" s="12" t="s">
        <v>3015</v>
      </c>
      <c r="D97" s="12" t="s">
        <v>1839</v>
      </c>
      <c r="E97" s="12" t="s">
        <v>1841</v>
      </c>
      <c r="F97" s="12">
        <v>1.5960300000000001</v>
      </c>
      <c r="G97" s="12">
        <v>0.612599</v>
      </c>
      <c r="H97" s="13">
        <v>-1.38147</v>
      </c>
    </row>
    <row r="98" spans="1:8" s="12" customFormat="1" ht="15" x14ac:dyDescent="0.2">
      <c r="A98" s="12" t="s">
        <v>675</v>
      </c>
      <c r="B98" s="12" t="s">
        <v>3189</v>
      </c>
      <c r="C98" s="12" t="s">
        <v>2157</v>
      </c>
      <c r="D98" s="12" t="s">
        <v>1839</v>
      </c>
      <c r="E98" s="12" t="s">
        <v>1841</v>
      </c>
      <c r="F98" s="12">
        <v>21.8018</v>
      </c>
      <c r="G98" s="12">
        <v>8.4424200000000003</v>
      </c>
      <c r="H98" s="13">
        <v>-1.3687199999999999</v>
      </c>
    </row>
    <row r="99" spans="1:8" s="12" customFormat="1" ht="15" x14ac:dyDescent="0.2">
      <c r="A99" s="12" t="s">
        <v>1696</v>
      </c>
      <c r="B99" s="12" t="s">
        <v>3015</v>
      </c>
      <c r="C99" s="12" t="s">
        <v>2863</v>
      </c>
      <c r="D99" s="12" t="s">
        <v>1839</v>
      </c>
      <c r="E99" s="12" t="s">
        <v>1841</v>
      </c>
      <c r="F99" s="12">
        <v>18.302399999999999</v>
      </c>
      <c r="G99" s="12">
        <v>7.0885699999999998</v>
      </c>
      <c r="H99" s="13">
        <v>-1.36846</v>
      </c>
    </row>
    <row r="100" spans="1:8" s="12" customFormat="1" ht="15" x14ac:dyDescent="0.2">
      <c r="A100" s="12" t="s">
        <v>51</v>
      </c>
      <c r="B100" s="12" t="s">
        <v>3037</v>
      </c>
      <c r="C100" s="12" t="s">
        <v>1866</v>
      </c>
      <c r="D100" s="12" t="s">
        <v>1839</v>
      </c>
      <c r="E100" s="12" t="s">
        <v>1841</v>
      </c>
      <c r="F100" s="12">
        <v>4.2758399999999996</v>
      </c>
      <c r="G100" s="12">
        <v>1.6566099999999999</v>
      </c>
      <c r="H100" s="13">
        <v>-1.36798</v>
      </c>
    </row>
    <row r="101" spans="1:8" s="12" customFormat="1" ht="15" x14ac:dyDescent="0.2">
      <c r="A101" s="12" t="s">
        <v>1481</v>
      </c>
      <c r="B101" s="12" t="s">
        <v>3015</v>
      </c>
      <c r="C101" s="12" t="s">
        <v>2621</v>
      </c>
      <c r="D101" s="12" t="s">
        <v>1839</v>
      </c>
      <c r="E101" s="12" t="s">
        <v>1841</v>
      </c>
      <c r="F101" s="12">
        <v>11.0952</v>
      </c>
      <c r="G101" s="12">
        <v>4.3097300000000001</v>
      </c>
      <c r="H101" s="13">
        <v>-1.36426</v>
      </c>
    </row>
    <row r="102" spans="1:8" s="12" customFormat="1" ht="15" x14ac:dyDescent="0.2">
      <c r="A102" s="12" t="s">
        <v>1694</v>
      </c>
      <c r="B102" s="12" t="s">
        <v>3015</v>
      </c>
      <c r="C102" s="12" t="s">
        <v>2862</v>
      </c>
      <c r="D102" s="12" t="s">
        <v>1839</v>
      </c>
      <c r="E102" s="12" t="s">
        <v>1841</v>
      </c>
      <c r="F102" s="12">
        <v>8.7159300000000002</v>
      </c>
      <c r="G102" s="12">
        <v>3.38951</v>
      </c>
      <c r="H102" s="13">
        <v>-1.3625799999999999</v>
      </c>
    </row>
    <row r="103" spans="1:8" s="12" customFormat="1" ht="15" x14ac:dyDescent="0.2">
      <c r="A103" s="12" t="s">
        <v>1583</v>
      </c>
      <c r="B103" s="12" t="s">
        <v>3420</v>
      </c>
      <c r="C103" s="12" t="s">
        <v>2741</v>
      </c>
      <c r="D103" s="12" t="s">
        <v>1839</v>
      </c>
      <c r="E103" s="12" t="s">
        <v>1841</v>
      </c>
      <c r="F103" s="12">
        <v>2.9475099999999999</v>
      </c>
      <c r="G103" s="12">
        <v>1.1464300000000001</v>
      </c>
      <c r="H103" s="13">
        <v>-1.3623499999999999</v>
      </c>
    </row>
    <row r="104" spans="1:8" s="12" customFormat="1" ht="15" x14ac:dyDescent="0.2">
      <c r="A104" s="12" t="s">
        <v>1613</v>
      </c>
      <c r="B104" s="12" t="s">
        <v>3015</v>
      </c>
      <c r="C104" s="12" t="s">
        <v>3015</v>
      </c>
      <c r="D104" s="12" t="s">
        <v>1839</v>
      </c>
      <c r="E104" s="12" t="s">
        <v>1841</v>
      </c>
      <c r="F104" s="12">
        <v>9.7957300000000007</v>
      </c>
      <c r="G104" s="12">
        <v>3.83907</v>
      </c>
      <c r="H104" s="13">
        <v>-1.3513900000000001</v>
      </c>
    </row>
    <row r="105" spans="1:8" s="12" customFormat="1" ht="15" x14ac:dyDescent="0.2">
      <c r="A105" s="12" t="s">
        <v>1576</v>
      </c>
      <c r="B105" s="12" t="s">
        <v>3045</v>
      </c>
      <c r="C105" s="12" t="s">
        <v>2733</v>
      </c>
      <c r="D105" s="12" t="s">
        <v>1839</v>
      </c>
      <c r="E105" s="12" t="s">
        <v>1841</v>
      </c>
      <c r="F105" s="12">
        <v>2.4527399999999999</v>
      </c>
      <c r="G105" s="12">
        <v>0.96453100000000003</v>
      </c>
      <c r="H105" s="13">
        <v>-1.34649</v>
      </c>
    </row>
    <row r="106" spans="1:8" s="12" customFormat="1" ht="15" x14ac:dyDescent="0.2">
      <c r="A106" s="12" t="s">
        <v>1265</v>
      </c>
      <c r="B106" s="12" t="s">
        <v>3324</v>
      </c>
      <c r="C106" s="12" t="s">
        <v>2468</v>
      </c>
      <c r="D106" s="12" t="s">
        <v>1839</v>
      </c>
      <c r="E106" s="12" t="s">
        <v>1841</v>
      </c>
      <c r="F106" s="12">
        <v>1.6583600000000001</v>
      </c>
      <c r="G106" s="12">
        <v>0.65236799999999995</v>
      </c>
      <c r="H106" s="13">
        <v>-1.3460000000000001</v>
      </c>
    </row>
    <row r="107" spans="1:8" s="12" customFormat="1" ht="15" x14ac:dyDescent="0.2">
      <c r="A107" s="12" t="s">
        <v>831</v>
      </c>
      <c r="B107" s="12" t="s">
        <v>3015</v>
      </c>
      <c r="C107" s="12" t="s">
        <v>3015</v>
      </c>
      <c r="D107" s="12" t="s">
        <v>1839</v>
      </c>
      <c r="E107" s="12" t="s">
        <v>1841</v>
      </c>
      <c r="F107" s="12">
        <v>29.063800000000001</v>
      </c>
      <c r="G107" s="12">
        <v>11.4575</v>
      </c>
      <c r="H107" s="13">
        <v>-1.34293</v>
      </c>
    </row>
    <row r="108" spans="1:8" s="12" customFormat="1" ht="15" x14ac:dyDescent="0.2">
      <c r="A108" s="12" t="s">
        <v>1724</v>
      </c>
      <c r="B108" s="12" t="s">
        <v>3073</v>
      </c>
      <c r="C108" s="12" t="s">
        <v>2888</v>
      </c>
      <c r="D108" s="12" t="s">
        <v>1839</v>
      </c>
      <c r="E108" s="12" t="s">
        <v>1841</v>
      </c>
      <c r="F108" s="12">
        <v>0.97533000000000003</v>
      </c>
      <c r="G108" s="12">
        <v>0.38482499999999997</v>
      </c>
      <c r="H108" s="13">
        <v>-1.34169</v>
      </c>
    </row>
    <row r="109" spans="1:8" s="12" customFormat="1" ht="15" x14ac:dyDescent="0.2">
      <c r="A109" s="12" t="s">
        <v>1786</v>
      </c>
      <c r="B109" s="12" t="s">
        <v>3015</v>
      </c>
      <c r="C109" s="12" t="s">
        <v>1880</v>
      </c>
      <c r="D109" s="12" t="s">
        <v>1839</v>
      </c>
      <c r="E109" s="12" t="s">
        <v>1841</v>
      </c>
      <c r="F109" s="12">
        <v>5.6065899999999997</v>
      </c>
      <c r="G109" s="12">
        <v>2.2128199999999998</v>
      </c>
      <c r="H109" s="13">
        <v>-1.3412299999999999</v>
      </c>
    </row>
    <row r="110" spans="1:8" s="12" customFormat="1" ht="15" x14ac:dyDescent="0.2">
      <c r="A110" s="12" t="s">
        <v>1780</v>
      </c>
      <c r="B110" s="12" t="s">
        <v>3015</v>
      </c>
      <c r="C110" s="12" t="s">
        <v>2956</v>
      </c>
      <c r="D110" s="12" t="s">
        <v>1839</v>
      </c>
      <c r="E110" s="12" t="s">
        <v>1841</v>
      </c>
      <c r="F110" s="12">
        <v>2.1651500000000001</v>
      </c>
      <c r="G110" s="12">
        <v>0.85464700000000005</v>
      </c>
      <c r="H110" s="13">
        <v>-1.3410599999999999</v>
      </c>
    </row>
    <row r="111" spans="1:8" s="12" customFormat="1" ht="15" x14ac:dyDescent="0.2">
      <c r="A111" s="12" t="s">
        <v>644</v>
      </c>
      <c r="B111" s="12" t="s">
        <v>3193</v>
      </c>
      <c r="C111" s="12" t="s">
        <v>2166</v>
      </c>
      <c r="D111" s="12" t="s">
        <v>1839</v>
      </c>
      <c r="E111" s="12" t="s">
        <v>1841</v>
      </c>
      <c r="F111" s="12">
        <v>561.09699999999998</v>
      </c>
      <c r="G111" s="12">
        <v>221.88800000000001</v>
      </c>
      <c r="H111" s="13">
        <v>-1.3384199999999999</v>
      </c>
    </row>
    <row r="112" spans="1:8" s="12" customFormat="1" ht="15" x14ac:dyDescent="0.2">
      <c r="A112" s="12" t="s">
        <v>1568</v>
      </c>
      <c r="B112" s="12" t="s">
        <v>3414</v>
      </c>
      <c r="C112" s="12" t="s">
        <v>2724</v>
      </c>
      <c r="D112" s="12" t="s">
        <v>1839</v>
      </c>
      <c r="E112" s="12" t="s">
        <v>1841</v>
      </c>
      <c r="F112" s="12">
        <v>3.9556499999999999</v>
      </c>
      <c r="G112" s="12">
        <v>1.5646199999999999</v>
      </c>
      <c r="H112" s="13">
        <v>-1.3381000000000001</v>
      </c>
    </row>
    <row r="113" spans="1:8" s="12" customFormat="1" ht="15" x14ac:dyDescent="0.2">
      <c r="A113" s="12" t="s">
        <v>572</v>
      </c>
      <c r="B113" s="12" t="s">
        <v>3299</v>
      </c>
      <c r="C113" s="12" t="s">
        <v>2804</v>
      </c>
      <c r="D113" s="12" t="s">
        <v>1839</v>
      </c>
      <c r="E113" s="12" t="s">
        <v>1841</v>
      </c>
      <c r="F113" s="12">
        <v>6.3428800000000001</v>
      </c>
      <c r="G113" s="12">
        <v>2.5238399999999999</v>
      </c>
      <c r="H113" s="13">
        <v>-1.32952</v>
      </c>
    </row>
    <row r="114" spans="1:8" s="12" customFormat="1" ht="15" x14ac:dyDescent="0.2">
      <c r="A114" s="12" t="s">
        <v>363</v>
      </c>
      <c r="B114" s="12" t="s">
        <v>3125</v>
      </c>
      <c r="C114" s="12" t="s">
        <v>3015</v>
      </c>
      <c r="D114" s="12" t="s">
        <v>1839</v>
      </c>
      <c r="E114" s="12" t="s">
        <v>1841</v>
      </c>
      <c r="F114" s="12">
        <v>2.5592700000000002</v>
      </c>
      <c r="G114" s="12">
        <v>1.02023</v>
      </c>
      <c r="H114" s="13">
        <v>-1.32684</v>
      </c>
    </row>
    <row r="115" spans="1:8" s="12" customFormat="1" ht="15" x14ac:dyDescent="0.2">
      <c r="A115" s="12" t="s">
        <v>982</v>
      </c>
      <c r="B115" s="12" t="s">
        <v>3015</v>
      </c>
      <c r="C115" s="12" t="s">
        <v>3015</v>
      </c>
      <c r="D115" s="12" t="s">
        <v>1839</v>
      </c>
      <c r="E115" s="12" t="s">
        <v>1841</v>
      </c>
      <c r="F115" s="12">
        <v>2.2590699999999999</v>
      </c>
      <c r="G115" s="12">
        <v>0.90088199999999996</v>
      </c>
      <c r="H115" s="13">
        <v>-1.3263199999999999</v>
      </c>
    </row>
    <row r="116" spans="1:8" s="12" customFormat="1" ht="15" x14ac:dyDescent="0.2">
      <c r="A116" s="12" t="s">
        <v>409</v>
      </c>
      <c r="B116" s="12" t="s">
        <v>3015</v>
      </c>
      <c r="C116" s="12" t="s">
        <v>2756</v>
      </c>
      <c r="D116" s="12" t="s">
        <v>1839</v>
      </c>
      <c r="E116" s="12" t="s">
        <v>1841</v>
      </c>
      <c r="F116" s="12">
        <v>24.292999999999999</v>
      </c>
      <c r="G116" s="12">
        <v>9.7067899999999998</v>
      </c>
      <c r="H116" s="13">
        <v>-1.32348</v>
      </c>
    </row>
    <row r="117" spans="1:8" s="12" customFormat="1" ht="15" x14ac:dyDescent="0.2">
      <c r="A117" s="12" t="s">
        <v>1539</v>
      </c>
      <c r="B117" s="12" t="s">
        <v>3093</v>
      </c>
      <c r="C117" s="12" t="s">
        <v>2689</v>
      </c>
      <c r="D117" s="12" t="s">
        <v>1839</v>
      </c>
      <c r="E117" s="12" t="s">
        <v>1841</v>
      </c>
      <c r="F117" s="12">
        <v>0.84841</v>
      </c>
      <c r="G117" s="12">
        <v>0.34016400000000002</v>
      </c>
      <c r="H117" s="13">
        <v>-1.31853</v>
      </c>
    </row>
    <row r="118" spans="1:8" s="12" customFormat="1" ht="15" x14ac:dyDescent="0.2">
      <c r="A118" s="12" t="s">
        <v>336</v>
      </c>
      <c r="B118" s="12" t="s">
        <v>3100</v>
      </c>
      <c r="C118" s="12" t="s">
        <v>1948</v>
      </c>
      <c r="D118" s="12" t="s">
        <v>1839</v>
      </c>
      <c r="E118" s="12" t="s">
        <v>1841</v>
      </c>
      <c r="F118" s="12">
        <v>31.6296</v>
      </c>
      <c r="G118" s="12">
        <v>12.6897</v>
      </c>
      <c r="H118" s="13">
        <v>-1.3176099999999999</v>
      </c>
    </row>
    <row r="119" spans="1:8" s="12" customFormat="1" ht="15" x14ac:dyDescent="0.2">
      <c r="A119" s="12" t="s">
        <v>998</v>
      </c>
      <c r="B119" s="12" t="s">
        <v>3015</v>
      </c>
      <c r="C119" s="12" t="s">
        <v>3015</v>
      </c>
      <c r="D119" s="12" t="s">
        <v>1839</v>
      </c>
      <c r="E119" s="12" t="s">
        <v>1841</v>
      </c>
      <c r="F119" s="12">
        <v>21.988299999999999</v>
      </c>
      <c r="G119" s="12">
        <v>8.8636999999999997</v>
      </c>
      <c r="H119" s="13">
        <v>-1.3107500000000001</v>
      </c>
    </row>
    <row r="120" spans="1:8" s="12" customFormat="1" ht="15" x14ac:dyDescent="0.2">
      <c r="A120" s="12" t="s">
        <v>1589</v>
      </c>
      <c r="B120" s="12" t="s">
        <v>3015</v>
      </c>
      <c r="C120" s="12" t="s">
        <v>2746</v>
      </c>
      <c r="D120" s="12" t="s">
        <v>1839</v>
      </c>
      <c r="E120" s="12" t="s">
        <v>1841</v>
      </c>
      <c r="F120" s="12">
        <v>5.7364699999999997</v>
      </c>
      <c r="G120" s="12">
        <v>2.3130799999999998</v>
      </c>
      <c r="H120" s="13">
        <v>-1.3103499999999999</v>
      </c>
    </row>
    <row r="121" spans="1:8" s="12" customFormat="1" ht="15" x14ac:dyDescent="0.2">
      <c r="A121" s="12" t="s">
        <v>757</v>
      </c>
      <c r="B121" s="12" t="s">
        <v>3015</v>
      </c>
      <c r="C121" s="12" t="s">
        <v>1880</v>
      </c>
      <c r="D121" s="12" t="s">
        <v>1839</v>
      </c>
      <c r="E121" s="12" t="s">
        <v>1841</v>
      </c>
      <c r="F121" s="12">
        <v>155.86799999999999</v>
      </c>
      <c r="G121" s="12">
        <v>62.861600000000003</v>
      </c>
      <c r="H121" s="13">
        <v>-1.3100700000000001</v>
      </c>
    </row>
    <row r="122" spans="1:8" s="12" customFormat="1" ht="15" x14ac:dyDescent="0.2">
      <c r="A122" s="12" t="s">
        <v>1537</v>
      </c>
      <c r="B122" s="12" t="s">
        <v>3015</v>
      </c>
      <c r="C122" s="12" t="s">
        <v>2639</v>
      </c>
      <c r="D122" s="12" t="s">
        <v>1839</v>
      </c>
      <c r="E122" s="12" t="s">
        <v>1841</v>
      </c>
      <c r="F122" s="12">
        <v>4.9717500000000001</v>
      </c>
      <c r="G122" s="12">
        <v>2.0065599999999999</v>
      </c>
      <c r="H122" s="13">
        <v>-1.3090299999999999</v>
      </c>
    </row>
    <row r="123" spans="1:8" s="12" customFormat="1" ht="15" x14ac:dyDescent="0.2">
      <c r="A123" s="12" t="s">
        <v>1527</v>
      </c>
      <c r="B123" s="12" t="s">
        <v>3015</v>
      </c>
      <c r="C123" s="12" t="s">
        <v>3015</v>
      </c>
      <c r="D123" s="12" t="s">
        <v>1839</v>
      </c>
      <c r="E123" s="12" t="s">
        <v>1841</v>
      </c>
      <c r="F123" s="12">
        <v>7.1895800000000003</v>
      </c>
      <c r="G123" s="12">
        <v>2.9033600000000002</v>
      </c>
      <c r="H123" s="13">
        <v>-1.3081799999999999</v>
      </c>
    </row>
    <row r="124" spans="1:8" s="12" customFormat="1" ht="15" x14ac:dyDescent="0.2">
      <c r="A124" s="12" t="s">
        <v>732</v>
      </c>
      <c r="B124" s="12" t="s">
        <v>3015</v>
      </c>
      <c r="C124" s="12" t="s">
        <v>2816</v>
      </c>
      <c r="D124" s="12" t="s">
        <v>1839</v>
      </c>
      <c r="E124" s="12" t="s">
        <v>1841</v>
      </c>
      <c r="F124" s="12">
        <v>28.801100000000002</v>
      </c>
      <c r="G124" s="12">
        <v>11.639799999999999</v>
      </c>
      <c r="H124" s="13">
        <v>-1.3070600000000001</v>
      </c>
    </row>
    <row r="125" spans="1:8" s="12" customFormat="1" ht="15" x14ac:dyDescent="0.2">
      <c r="A125" s="12" t="s">
        <v>1508</v>
      </c>
      <c r="B125" s="12" t="s">
        <v>3015</v>
      </c>
      <c r="C125" s="12" t="s">
        <v>3015</v>
      </c>
      <c r="D125" s="12" t="s">
        <v>1839</v>
      </c>
      <c r="E125" s="12" t="s">
        <v>1841</v>
      </c>
      <c r="F125" s="12">
        <v>2.8146599999999999</v>
      </c>
      <c r="G125" s="12">
        <v>1.1415</v>
      </c>
      <c r="H125" s="13">
        <v>-1.30203</v>
      </c>
    </row>
    <row r="126" spans="1:8" s="12" customFormat="1" ht="15" x14ac:dyDescent="0.2">
      <c r="A126" s="12" t="s">
        <v>679</v>
      </c>
      <c r="B126" s="12" t="s">
        <v>3448</v>
      </c>
      <c r="C126" s="12" t="s">
        <v>2839</v>
      </c>
      <c r="D126" s="12" t="s">
        <v>1839</v>
      </c>
      <c r="E126" s="12" t="s">
        <v>1841</v>
      </c>
      <c r="F126" s="12">
        <v>137.56100000000001</v>
      </c>
      <c r="G126" s="12">
        <v>55.832799999999999</v>
      </c>
      <c r="H126" s="13">
        <v>-1.30088</v>
      </c>
    </row>
    <row r="127" spans="1:8" s="12" customFormat="1" ht="15" x14ac:dyDescent="0.2">
      <c r="A127" s="12" t="s">
        <v>112</v>
      </c>
      <c r="B127" s="12" t="s">
        <v>3015</v>
      </c>
      <c r="C127" s="12" t="s">
        <v>1890</v>
      </c>
      <c r="D127" s="12" t="s">
        <v>1839</v>
      </c>
      <c r="E127" s="12" t="s">
        <v>1841</v>
      </c>
      <c r="F127" s="12">
        <v>2.76356</v>
      </c>
      <c r="G127" s="12">
        <v>1.1264000000000001</v>
      </c>
      <c r="H127" s="13">
        <v>-1.29481</v>
      </c>
    </row>
    <row r="128" spans="1:8" s="12" customFormat="1" ht="15" x14ac:dyDescent="0.2">
      <c r="A128" s="12" t="s">
        <v>1090</v>
      </c>
      <c r="B128" s="12" t="s">
        <v>3015</v>
      </c>
      <c r="C128" s="12" t="s">
        <v>2354</v>
      </c>
      <c r="D128" s="12" t="s">
        <v>1839</v>
      </c>
      <c r="E128" s="12" t="s">
        <v>1841</v>
      </c>
      <c r="F128" s="12">
        <v>5.0093100000000002</v>
      </c>
      <c r="G128" s="12">
        <v>2.0442900000000002</v>
      </c>
      <c r="H128" s="13">
        <v>-1.29301</v>
      </c>
    </row>
    <row r="129" spans="1:8" s="12" customFormat="1" ht="15" x14ac:dyDescent="0.2">
      <c r="A129" s="12" t="s">
        <v>1631</v>
      </c>
      <c r="B129" s="12" t="s">
        <v>3438</v>
      </c>
      <c r="C129" s="12" t="s">
        <v>2795</v>
      </c>
      <c r="D129" s="12" t="s">
        <v>1839</v>
      </c>
      <c r="E129" s="12" t="s">
        <v>1841</v>
      </c>
      <c r="F129" s="12">
        <v>1.0659099999999999</v>
      </c>
      <c r="G129" s="12">
        <v>0.43523400000000001</v>
      </c>
      <c r="H129" s="13">
        <v>-1.29223</v>
      </c>
    </row>
    <row r="130" spans="1:8" s="12" customFormat="1" ht="15" x14ac:dyDescent="0.2">
      <c r="A130" s="12" t="s">
        <v>1411</v>
      </c>
      <c r="B130" s="12" t="s">
        <v>3452</v>
      </c>
      <c r="C130" s="12" t="s">
        <v>1981</v>
      </c>
      <c r="D130" s="12" t="s">
        <v>1839</v>
      </c>
      <c r="E130" s="12" t="s">
        <v>1841</v>
      </c>
      <c r="F130" s="12">
        <v>17.732399999999998</v>
      </c>
      <c r="G130" s="12">
        <v>7.2446599999999997</v>
      </c>
      <c r="H130" s="13">
        <v>-1.2914000000000001</v>
      </c>
    </row>
    <row r="131" spans="1:8" s="12" customFormat="1" ht="15" x14ac:dyDescent="0.2">
      <c r="A131" s="12" t="s">
        <v>802</v>
      </c>
      <c r="B131" s="12" t="s">
        <v>3015</v>
      </c>
      <c r="C131" s="12" t="s">
        <v>3015</v>
      </c>
      <c r="D131" s="12" t="s">
        <v>1839</v>
      </c>
      <c r="E131" s="12" t="s">
        <v>1841</v>
      </c>
      <c r="F131" s="12">
        <v>18.704999999999998</v>
      </c>
      <c r="G131" s="12">
        <v>7.6552899999999999</v>
      </c>
      <c r="H131" s="13">
        <v>-1.2888900000000001</v>
      </c>
    </row>
    <row r="132" spans="1:8" s="12" customFormat="1" ht="15" x14ac:dyDescent="0.2">
      <c r="A132" s="12" t="s">
        <v>452</v>
      </c>
      <c r="B132" s="12" t="s">
        <v>3015</v>
      </c>
      <c r="C132" s="12" t="s">
        <v>2763</v>
      </c>
      <c r="D132" s="12" t="s">
        <v>1839</v>
      </c>
      <c r="E132" s="12" t="s">
        <v>1841</v>
      </c>
      <c r="F132" s="12">
        <v>47.367199999999997</v>
      </c>
      <c r="G132" s="12">
        <v>19.433199999999999</v>
      </c>
      <c r="H132" s="13">
        <v>-1.2853600000000001</v>
      </c>
    </row>
    <row r="133" spans="1:8" s="12" customFormat="1" ht="15" x14ac:dyDescent="0.2">
      <c r="A133" s="12" t="s">
        <v>1569</v>
      </c>
      <c r="B133" s="12" t="s">
        <v>3015</v>
      </c>
      <c r="C133" s="12" t="s">
        <v>2725</v>
      </c>
      <c r="D133" s="12" t="s">
        <v>1839</v>
      </c>
      <c r="E133" s="12" t="s">
        <v>1841</v>
      </c>
      <c r="F133" s="12">
        <v>58.312800000000003</v>
      </c>
      <c r="G133" s="12">
        <v>23.9617</v>
      </c>
      <c r="H133" s="13">
        <v>-1.28308</v>
      </c>
    </row>
    <row r="134" spans="1:8" s="12" customFormat="1" ht="15" x14ac:dyDescent="0.2">
      <c r="A134" s="12" t="s">
        <v>1122</v>
      </c>
      <c r="B134" s="12" t="s">
        <v>3015</v>
      </c>
      <c r="C134" s="12" t="s">
        <v>3015</v>
      </c>
      <c r="D134" s="12" t="s">
        <v>1839</v>
      </c>
      <c r="E134" s="12" t="s">
        <v>1841</v>
      </c>
      <c r="F134" s="12">
        <v>7.2976900000000002</v>
      </c>
      <c r="G134" s="12">
        <v>3.00692</v>
      </c>
      <c r="H134" s="13">
        <v>-1.27915</v>
      </c>
    </row>
    <row r="135" spans="1:8" s="12" customFormat="1" ht="15" x14ac:dyDescent="0.2">
      <c r="A135" s="12" t="s">
        <v>15</v>
      </c>
      <c r="B135" s="12" t="s">
        <v>3015</v>
      </c>
      <c r="C135" s="12" t="s">
        <v>2614</v>
      </c>
      <c r="D135" s="12" t="s">
        <v>1839</v>
      </c>
      <c r="E135" s="12" t="s">
        <v>1841</v>
      </c>
      <c r="F135" s="12">
        <v>38.895099999999999</v>
      </c>
      <c r="G135" s="12">
        <v>16.028199999999998</v>
      </c>
      <c r="H135" s="13">
        <v>-1.2789699999999999</v>
      </c>
    </row>
    <row r="136" spans="1:8" s="12" customFormat="1" ht="15" x14ac:dyDescent="0.2">
      <c r="A136" s="12" t="s">
        <v>1486</v>
      </c>
      <c r="B136" s="12" t="s">
        <v>3015</v>
      </c>
      <c r="C136" s="12" t="s">
        <v>3015</v>
      </c>
      <c r="D136" s="12" t="s">
        <v>1839</v>
      </c>
      <c r="E136" s="12" t="s">
        <v>1841</v>
      </c>
      <c r="F136" s="12">
        <v>2.9232</v>
      </c>
      <c r="G136" s="12">
        <v>1.2066699999999999</v>
      </c>
      <c r="H136" s="13">
        <v>-1.2765200000000001</v>
      </c>
    </row>
    <row r="137" spans="1:8" s="12" customFormat="1" ht="15" x14ac:dyDescent="0.2">
      <c r="A137" s="12" t="s">
        <v>1659</v>
      </c>
      <c r="B137" s="12" t="s">
        <v>3103</v>
      </c>
      <c r="C137" s="12" t="s">
        <v>3015</v>
      </c>
      <c r="D137" s="12" t="s">
        <v>1839</v>
      </c>
      <c r="E137" s="12" t="s">
        <v>1841</v>
      </c>
      <c r="F137" s="12">
        <v>7.88626</v>
      </c>
      <c r="G137" s="12">
        <v>3.2768700000000002</v>
      </c>
      <c r="H137" s="13">
        <v>-1.26702</v>
      </c>
    </row>
    <row r="138" spans="1:8" s="12" customFormat="1" ht="15" x14ac:dyDescent="0.2">
      <c r="A138" s="12" t="s">
        <v>692</v>
      </c>
      <c r="B138" s="12" t="s">
        <v>3209</v>
      </c>
      <c r="C138" s="12" t="s">
        <v>3015</v>
      </c>
      <c r="D138" s="12" t="s">
        <v>1839</v>
      </c>
      <c r="E138" s="12" t="s">
        <v>1841</v>
      </c>
      <c r="F138" s="12">
        <v>23.0016</v>
      </c>
      <c r="G138" s="12">
        <v>9.5601000000000003</v>
      </c>
      <c r="H138" s="13">
        <v>-1.26664</v>
      </c>
    </row>
    <row r="139" spans="1:8" s="12" customFormat="1" ht="15" x14ac:dyDescent="0.2">
      <c r="A139" s="12" t="s">
        <v>200</v>
      </c>
      <c r="B139" s="12" t="s">
        <v>3080</v>
      </c>
      <c r="C139" s="12" t="s">
        <v>1937</v>
      </c>
      <c r="D139" s="12" t="s">
        <v>1839</v>
      </c>
      <c r="E139" s="12" t="s">
        <v>1841</v>
      </c>
      <c r="F139" s="12">
        <v>2.0425399999999998</v>
      </c>
      <c r="G139" s="12">
        <v>0.85185200000000005</v>
      </c>
      <c r="H139" s="13">
        <v>-1.26169</v>
      </c>
    </row>
    <row r="140" spans="1:8" s="12" customFormat="1" ht="15" x14ac:dyDescent="0.2">
      <c r="A140" s="12" t="s">
        <v>1553</v>
      </c>
      <c r="B140" s="12" t="s">
        <v>3015</v>
      </c>
      <c r="C140" s="12" t="s">
        <v>2705</v>
      </c>
      <c r="D140" s="12" t="s">
        <v>1839</v>
      </c>
      <c r="E140" s="12" t="s">
        <v>1841</v>
      </c>
      <c r="F140" s="12">
        <v>5.8144799999999996</v>
      </c>
      <c r="G140" s="12">
        <v>2.4254199999999999</v>
      </c>
      <c r="H140" s="13">
        <v>-1.26142</v>
      </c>
    </row>
    <row r="141" spans="1:8" s="12" customFormat="1" ht="15" x14ac:dyDescent="0.2">
      <c r="A141" s="12" t="s">
        <v>1671</v>
      </c>
      <c r="B141" s="12" t="s">
        <v>3432</v>
      </c>
      <c r="C141" s="12" t="s">
        <v>2833</v>
      </c>
      <c r="D141" s="12" t="s">
        <v>1839</v>
      </c>
      <c r="E141" s="12" t="s">
        <v>1841</v>
      </c>
      <c r="F141" s="12">
        <v>2.4337300000000002</v>
      </c>
      <c r="G141" s="12">
        <v>1.0158199999999999</v>
      </c>
      <c r="H141" s="13">
        <v>-1.2605200000000001</v>
      </c>
    </row>
    <row r="142" spans="1:8" s="12" customFormat="1" ht="15" x14ac:dyDescent="0.2">
      <c r="A142" s="12" t="s">
        <v>1482</v>
      </c>
      <c r="B142" s="12" t="s">
        <v>3015</v>
      </c>
      <c r="C142" s="12" t="s">
        <v>3015</v>
      </c>
      <c r="D142" s="12" t="s">
        <v>1839</v>
      </c>
      <c r="E142" s="12" t="s">
        <v>1841</v>
      </c>
      <c r="F142" s="12">
        <v>15.2812</v>
      </c>
      <c r="G142" s="12">
        <v>6.38774</v>
      </c>
      <c r="H142" s="13">
        <v>-1.2583899999999999</v>
      </c>
    </row>
    <row r="143" spans="1:8" s="12" customFormat="1" ht="15" x14ac:dyDescent="0.2">
      <c r="A143" s="12" t="s">
        <v>704</v>
      </c>
      <c r="B143" s="12" t="s">
        <v>3015</v>
      </c>
      <c r="C143" s="12" t="s">
        <v>2853</v>
      </c>
      <c r="D143" s="12" t="s">
        <v>1839</v>
      </c>
      <c r="E143" s="12" t="s">
        <v>1841</v>
      </c>
      <c r="F143" s="12">
        <v>3.5814599999999999</v>
      </c>
      <c r="G143" s="12">
        <v>1.49881</v>
      </c>
      <c r="H143" s="13">
        <v>-1.2567299999999999</v>
      </c>
    </row>
    <row r="144" spans="1:8" s="12" customFormat="1" ht="15" x14ac:dyDescent="0.2">
      <c r="A144" s="12" t="s">
        <v>86</v>
      </c>
      <c r="B144" s="12" t="s">
        <v>3015</v>
      </c>
      <c r="C144" s="12" t="s">
        <v>2644</v>
      </c>
      <c r="D144" s="12" t="s">
        <v>1839</v>
      </c>
      <c r="E144" s="12" t="s">
        <v>1841</v>
      </c>
      <c r="F144" s="12">
        <v>75.731099999999998</v>
      </c>
      <c r="G144" s="12">
        <v>31.713200000000001</v>
      </c>
      <c r="H144" s="13">
        <v>-1.2558</v>
      </c>
    </row>
    <row r="145" spans="1:8" s="12" customFormat="1" ht="15" x14ac:dyDescent="0.2">
      <c r="A145" s="12" t="s">
        <v>97</v>
      </c>
      <c r="B145" s="12" t="s">
        <v>3392</v>
      </c>
      <c r="C145" s="12" t="s">
        <v>2651</v>
      </c>
      <c r="D145" s="12" t="s">
        <v>1839</v>
      </c>
      <c r="E145" s="12" t="s">
        <v>1841</v>
      </c>
      <c r="F145" s="12">
        <v>57.593000000000004</v>
      </c>
      <c r="G145" s="12">
        <v>24.135400000000001</v>
      </c>
      <c r="H145" s="13">
        <v>-1.25474</v>
      </c>
    </row>
    <row r="146" spans="1:8" s="12" customFormat="1" ht="15" x14ac:dyDescent="0.2">
      <c r="A146" s="12" t="s">
        <v>1791</v>
      </c>
      <c r="B146" s="12" t="s">
        <v>3015</v>
      </c>
      <c r="C146" s="12" t="s">
        <v>1880</v>
      </c>
      <c r="D146" s="12" t="s">
        <v>1839</v>
      </c>
      <c r="E146" s="12" t="s">
        <v>1841</v>
      </c>
      <c r="F146" s="12">
        <v>4.4081200000000003</v>
      </c>
      <c r="G146" s="12">
        <v>1.8487199999999999</v>
      </c>
      <c r="H146" s="13">
        <v>-1.2536400000000001</v>
      </c>
    </row>
    <row r="147" spans="1:8" s="12" customFormat="1" ht="15" x14ac:dyDescent="0.2">
      <c r="A147" s="12" t="s">
        <v>1765</v>
      </c>
      <c r="B147" s="12" t="s">
        <v>3015</v>
      </c>
      <c r="C147" s="12" t="s">
        <v>2937</v>
      </c>
      <c r="D147" s="12" t="s">
        <v>1839</v>
      </c>
      <c r="E147" s="12" t="s">
        <v>1841</v>
      </c>
      <c r="F147" s="12">
        <v>0.84363200000000005</v>
      </c>
      <c r="G147" s="12">
        <v>0.35392299999999999</v>
      </c>
      <c r="H147" s="13">
        <v>-1.25318</v>
      </c>
    </row>
    <row r="148" spans="1:8" s="12" customFormat="1" ht="15" x14ac:dyDescent="0.2">
      <c r="A148" s="12" t="s">
        <v>117</v>
      </c>
      <c r="B148" s="12" t="s">
        <v>3054</v>
      </c>
      <c r="C148" s="12" t="s">
        <v>1894</v>
      </c>
      <c r="D148" s="12" t="s">
        <v>1839</v>
      </c>
      <c r="E148" s="12" t="s">
        <v>1841</v>
      </c>
      <c r="F148" s="12">
        <v>3.3054600000000001</v>
      </c>
      <c r="G148" s="12">
        <v>1.3873800000000001</v>
      </c>
      <c r="H148" s="13">
        <v>-1.2524900000000001</v>
      </c>
    </row>
    <row r="149" spans="1:8" s="12" customFormat="1" ht="15" x14ac:dyDescent="0.2">
      <c r="A149" s="12" t="s">
        <v>1168</v>
      </c>
      <c r="B149" s="12" t="s">
        <v>3015</v>
      </c>
      <c r="C149" s="12" t="s">
        <v>2663</v>
      </c>
      <c r="D149" s="12" t="s">
        <v>1839</v>
      </c>
      <c r="E149" s="12" t="s">
        <v>1841</v>
      </c>
      <c r="F149" s="12">
        <v>2.5672899999999998</v>
      </c>
      <c r="G149" s="12">
        <v>1.07765</v>
      </c>
      <c r="H149" s="13">
        <v>-1.2523500000000001</v>
      </c>
    </row>
    <row r="150" spans="1:8" s="12" customFormat="1" ht="15" x14ac:dyDescent="0.2">
      <c r="A150" s="12" t="s">
        <v>1775</v>
      </c>
      <c r="B150" s="12" t="s">
        <v>3100</v>
      </c>
      <c r="C150" s="12" t="s">
        <v>2948</v>
      </c>
      <c r="D150" s="12" t="s">
        <v>1839</v>
      </c>
      <c r="E150" s="12" t="s">
        <v>1841</v>
      </c>
      <c r="F150" s="12">
        <v>1.1756500000000001</v>
      </c>
      <c r="G150" s="12">
        <v>0.493842</v>
      </c>
      <c r="H150" s="13">
        <v>-1.2513399999999999</v>
      </c>
    </row>
    <row r="151" spans="1:8" s="12" customFormat="1" ht="15" x14ac:dyDescent="0.2">
      <c r="A151" s="12" t="s">
        <v>1622</v>
      </c>
      <c r="B151" s="12" t="s">
        <v>3435</v>
      </c>
      <c r="C151" s="12" t="s">
        <v>2246</v>
      </c>
      <c r="D151" s="12" t="s">
        <v>1839</v>
      </c>
      <c r="E151" s="12" t="s">
        <v>1841</v>
      </c>
      <c r="F151" s="12">
        <v>4.5105899999999997</v>
      </c>
      <c r="G151" s="12">
        <v>1.9027400000000001</v>
      </c>
      <c r="H151" s="13">
        <v>-1.2452399999999999</v>
      </c>
    </row>
    <row r="152" spans="1:8" s="12" customFormat="1" ht="15" x14ac:dyDescent="0.2">
      <c r="A152" s="12" t="s">
        <v>1783</v>
      </c>
      <c r="B152" s="12" t="s">
        <v>3015</v>
      </c>
      <c r="C152" s="12" t="s">
        <v>2959</v>
      </c>
      <c r="D152" s="12" t="s">
        <v>1839</v>
      </c>
      <c r="E152" s="12" t="s">
        <v>1841</v>
      </c>
      <c r="F152" s="12">
        <v>0.82741100000000001</v>
      </c>
      <c r="G152" s="12">
        <v>0.34961599999999998</v>
      </c>
      <c r="H152" s="13">
        <v>-1.2428300000000001</v>
      </c>
    </row>
    <row r="153" spans="1:8" s="12" customFormat="1" ht="15" x14ac:dyDescent="0.2">
      <c r="A153" s="12" t="s">
        <v>1557</v>
      </c>
      <c r="B153" s="12" t="s">
        <v>3015</v>
      </c>
      <c r="C153" s="12" t="s">
        <v>3015</v>
      </c>
      <c r="D153" s="12" t="s">
        <v>1839</v>
      </c>
      <c r="E153" s="12" t="s">
        <v>1841</v>
      </c>
      <c r="F153" s="12">
        <v>0.92178300000000002</v>
      </c>
      <c r="G153" s="12">
        <v>0.39046199999999998</v>
      </c>
      <c r="H153" s="13">
        <v>-1.23925</v>
      </c>
    </row>
    <row r="154" spans="1:8" s="12" customFormat="1" ht="15" x14ac:dyDescent="0.2">
      <c r="A154" s="12" t="s">
        <v>614</v>
      </c>
      <c r="B154" s="12" t="s">
        <v>3015</v>
      </c>
      <c r="C154" s="12" t="s">
        <v>2816</v>
      </c>
      <c r="D154" s="12" t="s">
        <v>1839</v>
      </c>
      <c r="E154" s="12" t="s">
        <v>1841</v>
      </c>
      <c r="F154" s="12">
        <v>2.2815799999999999</v>
      </c>
      <c r="G154" s="12">
        <v>0.96648999999999996</v>
      </c>
      <c r="H154" s="13">
        <v>-1.2392099999999999</v>
      </c>
    </row>
    <row r="155" spans="1:8" s="12" customFormat="1" ht="15" x14ac:dyDescent="0.2">
      <c r="A155" s="12" t="s">
        <v>184</v>
      </c>
      <c r="B155" s="12" t="s">
        <v>3074</v>
      </c>
      <c r="C155" s="12" t="s">
        <v>1929</v>
      </c>
      <c r="D155" s="12" t="s">
        <v>1839</v>
      </c>
      <c r="E155" s="12" t="s">
        <v>1841</v>
      </c>
      <c r="F155" s="12">
        <v>1.76997</v>
      </c>
      <c r="G155" s="12">
        <v>0.75004400000000004</v>
      </c>
      <c r="H155" s="13">
        <v>-1.23868</v>
      </c>
    </row>
    <row r="156" spans="1:8" s="12" customFormat="1" ht="15" x14ac:dyDescent="0.2">
      <c r="A156" s="12" t="s">
        <v>1417</v>
      </c>
      <c r="B156" s="12" t="s">
        <v>3015</v>
      </c>
      <c r="C156" s="12" t="s">
        <v>2914</v>
      </c>
      <c r="D156" s="12" t="s">
        <v>1839</v>
      </c>
      <c r="E156" s="12" t="s">
        <v>1841</v>
      </c>
      <c r="F156" s="12">
        <v>1.5181199999999999</v>
      </c>
      <c r="G156" s="12">
        <v>0.64555200000000001</v>
      </c>
      <c r="H156" s="13">
        <v>-1.2336800000000001</v>
      </c>
    </row>
    <row r="157" spans="1:8" s="12" customFormat="1" ht="15" x14ac:dyDescent="0.2">
      <c r="A157" s="12" t="s">
        <v>1768</v>
      </c>
      <c r="B157" s="12" t="s">
        <v>3015</v>
      </c>
      <c r="C157" s="12" t="s">
        <v>1847</v>
      </c>
      <c r="D157" s="12" t="s">
        <v>1839</v>
      </c>
      <c r="E157" s="12" t="s">
        <v>1841</v>
      </c>
      <c r="F157" s="12">
        <v>1.9741500000000001</v>
      </c>
      <c r="G157" s="12">
        <v>0.84081300000000003</v>
      </c>
      <c r="H157" s="13">
        <v>-1.2313700000000001</v>
      </c>
    </row>
    <row r="158" spans="1:8" s="12" customFormat="1" ht="15" x14ac:dyDescent="0.2">
      <c r="A158" s="12" t="s">
        <v>165</v>
      </c>
      <c r="B158" s="12" t="s">
        <v>3015</v>
      </c>
      <c r="C158" s="12" t="s">
        <v>1880</v>
      </c>
      <c r="D158" s="12" t="s">
        <v>1839</v>
      </c>
      <c r="E158" s="12" t="s">
        <v>1841</v>
      </c>
      <c r="F158" s="12">
        <v>87.256</v>
      </c>
      <c r="G158" s="12">
        <v>37.2395</v>
      </c>
      <c r="H158" s="13">
        <v>-1.2284200000000001</v>
      </c>
    </row>
    <row r="159" spans="1:8" s="12" customFormat="1" ht="15" x14ac:dyDescent="0.2">
      <c r="A159" s="12" t="s">
        <v>1771</v>
      </c>
      <c r="B159" s="12" t="s">
        <v>3155</v>
      </c>
      <c r="C159" s="12" t="s">
        <v>3015</v>
      </c>
      <c r="D159" s="12" t="s">
        <v>1839</v>
      </c>
      <c r="E159" s="12" t="s">
        <v>1841</v>
      </c>
      <c r="F159" s="12">
        <v>1.76576</v>
      </c>
      <c r="G159" s="12">
        <v>0.75401799999999997</v>
      </c>
      <c r="H159" s="13">
        <v>-1.2276199999999999</v>
      </c>
    </row>
    <row r="160" spans="1:8" s="12" customFormat="1" ht="15" x14ac:dyDescent="0.2">
      <c r="A160" s="12" t="s">
        <v>608</v>
      </c>
      <c r="B160" s="12" t="s">
        <v>3030</v>
      </c>
      <c r="C160" s="12" t="s">
        <v>2128</v>
      </c>
      <c r="D160" s="12" t="s">
        <v>1839</v>
      </c>
      <c r="E160" s="12" t="s">
        <v>1841</v>
      </c>
      <c r="F160" s="12">
        <v>6.6764400000000004</v>
      </c>
      <c r="G160" s="12">
        <v>2.85656</v>
      </c>
      <c r="H160" s="13">
        <v>-1.2248000000000001</v>
      </c>
    </row>
    <row r="161" spans="1:8" s="12" customFormat="1" ht="15" x14ac:dyDescent="0.2">
      <c r="A161" s="12" t="s">
        <v>772</v>
      </c>
      <c r="B161" s="12" t="s">
        <v>3015</v>
      </c>
      <c r="C161" s="12" t="s">
        <v>1880</v>
      </c>
      <c r="D161" s="12" t="s">
        <v>1839</v>
      </c>
      <c r="E161" s="12" t="s">
        <v>1841</v>
      </c>
      <c r="F161" s="12">
        <v>173.828</v>
      </c>
      <c r="G161" s="12">
        <v>74.383499999999998</v>
      </c>
      <c r="H161" s="13">
        <v>-1.22461</v>
      </c>
    </row>
    <row r="162" spans="1:8" s="12" customFormat="1" ht="15" x14ac:dyDescent="0.2">
      <c r="A162" s="12" t="s">
        <v>1588</v>
      </c>
      <c r="B162" s="12" t="s">
        <v>3191</v>
      </c>
      <c r="C162" s="12" t="s">
        <v>3015</v>
      </c>
      <c r="D162" s="12" t="s">
        <v>1839</v>
      </c>
      <c r="E162" s="12" t="s">
        <v>1841</v>
      </c>
      <c r="F162" s="12">
        <v>13.160600000000001</v>
      </c>
      <c r="G162" s="12">
        <v>5.6811800000000003</v>
      </c>
      <c r="H162" s="13">
        <v>-1.2119599999999999</v>
      </c>
    </row>
    <row r="163" spans="1:8" s="12" customFormat="1" ht="15" x14ac:dyDescent="0.2">
      <c r="A163" s="12" t="s">
        <v>1726</v>
      </c>
      <c r="B163" s="12" t="s">
        <v>3015</v>
      </c>
      <c r="C163" s="12" t="s">
        <v>2890</v>
      </c>
      <c r="D163" s="12" t="s">
        <v>1839</v>
      </c>
      <c r="E163" s="12" t="s">
        <v>1841</v>
      </c>
      <c r="F163" s="12">
        <v>1.05138</v>
      </c>
      <c r="G163" s="12">
        <v>0.45396900000000001</v>
      </c>
      <c r="H163" s="13">
        <v>-1.2116199999999999</v>
      </c>
    </row>
    <row r="164" spans="1:8" s="12" customFormat="1" ht="15" x14ac:dyDescent="0.2">
      <c r="A164" s="12" t="s">
        <v>635</v>
      </c>
      <c r="B164" s="12" t="s">
        <v>3068</v>
      </c>
      <c r="C164" s="12" t="s">
        <v>2827</v>
      </c>
      <c r="D164" s="12" t="s">
        <v>1839</v>
      </c>
      <c r="E164" s="12" t="s">
        <v>1841</v>
      </c>
      <c r="F164" s="12">
        <v>11.3964</v>
      </c>
      <c r="G164" s="12">
        <v>4.9343500000000002</v>
      </c>
      <c r="H164" s="13">
        <v>-1.20764</v>
      </c>
    </row>
    <row r="165" spans="1:8" s="12" customFormat="1" ht="15" x14ac:dyDescent="0.2">
      <c r="A165" s="12" t="s">
        <v>1741</v>
      </c>
      <c r="B165" s="12" t="s">
        <v>3015</v>
      </c>
      <c r="C165" s="12" t="s">
        <v>2910</v>
      </c>
      <c r="D165" s="12" t="s">
        <v>1839</v>
      </c>
      <c r="E165" s="12" t="s">
        <v>1841</v>
      </c>
      <c r="F165" s="12">
        <v>21.600100000000001</v>
      </c>
      <c r="G165" s="12">
        <v>9.3534600000000001</v>
      </c>
      <c r="H165" s="13">
        <v>-1.20746</v>
      </c>
    </row>
    <row r="166" spans="1:8" s="12" customFormat="1" ht="15" x14ac:dyDescent="0.2">
      <c r="A166" s="12" t="s">
        <v>1243</v>
      </c>
      <c r="B166" s="12" t="s">
        <v>3015</v>
      </c>
      <c r="C166" s="12" t="s">
        <v>2451</v>
      </c>
      <c r="D166" s="12" t="s">
        <v>1839</v>
      </c>
      <c r="E166" s="12" t="s">
        <v>1841</v>
      </c>
      <c r="F166" s="12">
        <v>8.1935099999999998</v>
      </c>
      <c r="G166" s="12">
        <v>3.5608</v>
      </c>
      <c r="H166" s="13">
        <v>-1.20228</v>
      </c>
    </row>
    <row r="167" spans="1:8" s="12" customFormat="1" ht="15" x14ac:dyDescent="0.2">
      <c r="A167" s="12" t="s">
        <v>1109</v>
      </c>
      <c r="B167" s="12" t="s">
        <v>3271</v>
      </c>
      <c r="C167" s="12" t="s">
        <v>1847</v>
      </c>
      <c r="D167" s="12" t="s">
        <v>1839</v>
      </c>
      <c r="E167" s="12" t="s">
        <v>1841</v>
      </c>
      <c r="F167" s="12">
        <v>2.28071</v>
      </c>
      <c r="G167" s="12">
        <v>0.99134900000000004</v>
      </c>
      <c r="H167" s="13">
        <v>-1.2020200000000001</v>
      </c>
    </row>
    <row r="168" spans="1:8" s="12" customFormat="1" ht="15" x14ac:dyDescent="0.2">
      <c r="A168" s="12" t="s">
        <v>727</v>
      </c>
      <c r="B168" s="12" t="s">
        <v>3015</v>
      </c>
      <c r="C168" s="12" t="s">
        <v>1862</v>
      </c>
      <c r="D168" s="12" t="s">
        <v>1839</v>
      </c>
      <c r="E168" s="12" t="s">
        <v>1841</v>
      </c>
      <c r="F168" s="12">
        <v>271.16199999999998</v>
      </c>
      <c r="G168" s="12">
        <v>118.11199999999999</v>
      </c>
      <c r="H168" s="13">
        <v>-1.1990000000000001</v>
      </c>
    </row>
    <row r="169" spans="1:8" s="12" customFormat="1" ht="15" x14ac:dyDescent="0.2">
      <c r="A169" s="12" t="s">
        <v>1572</v>
      </c>
      <c r="B169" s="12" t="s">
        <v>3015</v>
      </c>
      <c r="C169" s="12" t="s">
        <v>2680</v>
      </c>
      <c r="D169" s="12" t="s">
        <v>1839</v>
      </c>
      <c r="E169" s="12" t="s">
        <v>1841</v>
      </c>
      <c r="F169" s="12">
        <v>2.2843100000000001</v>
      </c>
      <c r="G169" s="12">
        <v>0.99657600000000002</v>
      </c>
      <c r="H169" s="13">
        <v>-1.1967099999999999</v>
      </c>
    </row>
    <row r="170" spans="1:8" s="12" customFormat="1" ht="15" x14ac:dyDescent="0.2">
      <c r="A170" s="12" t="s">
        <v>874</v>
      </c>
      <c r="B170" s="12" t="s">
        <v>3448</v>
      </c>
      <c r="C170" s="12" t="s">
        <v>2907</v>
      </c>
      <c r="D170" s="12" t="s">
        <v>1839</v>
      </c>
      <c r="E170" s="12" t="s">
        <v>1841</v>
      </c>
      <c r="F170" s="12">
        <v>114.291</v>
      </c>
      <c r="G170" s="12">
        <v>49.885599999999997</v>
      </c>
      <c r="H170" s="13">
        <v>-1.1960200000000001</v>
      </c>
    </row>
    <row r="171" spans="1:8" s="12" customFormat="1" ht="15" x14ac:dyDescent="0.2">
      <c r="A171" s="12" t="s">
        <v>1618</v>
      </c>
      <c r="B171" s="12" t="s">
        <v>3015</v>
      </c>
      <c r="C171" s="12" t="s">
        <v>2782</v>
      </c>
      <c r="D171" s="12" t="s">
        <v>1839</v>
      </c>
      <c r="E171" s="12" t="s">
        <v>1841</v>
      </c>
      <c r="F171" s="12">
        <v>3.4591400000000001</v>
      </c>
      <c r="G171" s="12">
        <v>1.5118799999999999</v>
      </c>
      <c r="H171" s="13">
        <v>-1.19407</v>
      </c>
    </row>
    <row r="172" spans="1:8" s="12" customFormat="1" ht="15" x14ac:dyDescent="0.2">
      <c r="A172" s="12" t="s">
        <v>356</v>
      </c>
      <c r="B172" s="12" t="s">
        <v>3320</v>
      </c>
      <c r="C172" s="12" t="s">
        <v>3015</v>
      </c>
      <c r="D172" s="12" t="s">
        <v>1839</v>
      </c>
      <c r="E172" s="12" t="s">
        <v>1841</v>
      </c>
      <c r="F172" s="12">
        <v>64.375699999999995</v>
      </c>
      <c r="G172" s="12">
        <v>28.232199999999999</v>
      </c>
      <c r="H172" s="13">
        <v>-1.1891799999999999</v>
      </c>
    </row>
    <row r="173" spans="1:8" s="12" customFormat="1" ht="15" x14ac:dyDescent="0.2">
      <c r="A173" s="12" t="s">
        <v>1561</v>
      </c>
      <c r="B173" s="12" t="s">
        <v>3015</v>
      </c>
      <c r="C173" s="12" t="s">
        <v>2715</v>
      </c>
      <c r="D173" s="12" t="s">
        <v>1839</v>
      </c>
      <c r="E173" s="12" t="s">
        <v>1841</v>
      </c>
      <c r="F173" s="12">
        <v>1.8907400000000001</v>
      </c>
      <c r="G173" s="12">
        <v>0.83048</v>
      </c>
      <c r="H173" s="13">
        <v>-1.18693</v>
      </c>
    </row>
    <row r="174" spans="1:8" s="12" customFormat="1" ht="15" x14ac:dyDescent="0.2">
      <c r="A174" s="12" t="s">
        <v>253</v>
      </c>
      <c r="B174" s="12" t="s">
        <v>3015</v>
      </c>
      <c r="C174" s="12" t="s">
        <v>2687</v>
      </c>
      <c r="D174" s="12" t="s">
        <v>1839</v>
      </c>
      <c r="E174" s="12" t="s">
        <v>1841</v>
      </c>
      <c r="F174" s="12">
        <v>157.29599999999999</v>
      </c>
      <c r="G174" s="12">
        <v>69.206000000000003</v>
      </c>
      <c r="H174" s="13">
        <v>-1.18452</v>
      </c>
    </row>
    <row r="175" spans="1:8" s="12" customFormat="1" ht="15" x14ac:dyDescent="0.2">
      <c r="A175" s="12" t="s">
        <v>1701</v>
      </c>
      <c r="B175" s="12" t="s">
        <v>3015</v>
      </c>
      <c r="C175" s="12" t="s">
        <v>1847</v>
      </c>
      <c r="D175" s="12" t="s">
        <v>1839</v>
      </c>
      <c r="E175" s="12" t="s">
        <v>1841</v>
      </c>
      <c r="F175" s="12">
        <v>2.8120400000000001</v>
      </c>
      <c r="G175" s="12">
        <v>1.23872</v>
      </c>
      <c r="H175" s="13">
        <v>-1.18276</v>
      </c>
    </row>
    <row r="176" spans="1:8" s="12" customFormat="1" ht="15" x14ac:dyDescent="0.2">
      <c r="A176" s="12" t="s">
        <v>1541</v>
      </c>
      <c r="B176" s="12" t="s">
        <v>3402</v>
      </c>
      <c r="C176" s="12" t="s">
        <v>2691</v>
      </c>
      <c r="D176" s="12" t="s">
        <v>1839</v>
      </c>
      <c r="E176" s="12" t="s">
        <v>1841</v>
      </c>
      <c r="F176" s="12">
        <v>1.8722099999999999</v>
      </c>
      <c r="G176" s="12">
        <v>0.82566099999999998</v>
      </c>
      <c r="H176" s="13">
        <v>-1.1811199999999999</v>
      </c>
    </row>
    <row r="177" spans="1:8" s="12" customFormat="1" ht="15" x14ac:dyDescent="0.2">
      <c r="A177" s="12" t="s">
        <v>547</v>
      </c>
      <c r="B177" s="12" t="s">
        <v>3015</v>
      </c>
      <c r="C177" s="12" t="s">
        <v>2798</v>
      </c>
      <c r="D177" s="12" t="s">
        <v>1839</v>
      </c>
      <c r="E177" s="12" t="s">
        <v>1841</v>
      </c>
      <c r="F177" s="12">
        <v>7.3368500000000001</v>
      </c>
      <c r="G177" s="12">
        <v>3.23712</v>
      </c>
      <c r="H177" s="13">
        <v>-1.18045</v>
      </c>
    </row>
    <row r="178" spans="1:8" s="12" customFormat="1" ht="15" x14ac:dyDescent="0.2">
      <c r="A178" s="12" t="s">
        <v>627</v>
      </c>
      <c r="B178" s="12" t="s">
        <v>3301</v>
      </c>
      <c r="C178" s="12" t="s">
        <v>2824</v>
      </c>
      <c r="D178" s="12" t="s">
        <v>1839</v>
      </c>
      <c r="E178" s="12" t="s">
        <v>1841</v>
      </c>
      <c r="F178" s="12">
        <v>60.5792</v>
      </c>
      <c r="G178" s="12">
        <v>26.729800000000001</v>
      </c>
      <c r="H178" s="13">
        <v>-1.1803699999999999</v>
      </c>
    </row>
    <row r="179" spans="1:8" s="12" customFormat="1" ht="15" x14ac:dyDescent="0.2">
      <c r="A179" s="12" t="s">
        <v>735</v>
      </c>
      <c r="B179" s="12" t="s">
        <v>3171</v>
      </c>
      <c r="C179" s="12" t="s">
        <v>2123</v>
      </c>
      <c r="D179" s="12" t="s">
        <v>1839</v>
      </c>
      <c r="E179" s="12" t="s">
        <v>1841</v>
      </c>
      <c r="F179" s="12">
        <v>3.6709499999999999</v>
      </c>
      <c r="G179" s="12">
        <v>1.6233900000000001</v>
      </c>
      <c r="H179" s="13">
        <v>-1.1771400000000001</v>
      </c>
    </row>
    <row r="180" spans="1:8" s="12" customFormat="1" ht="15" x14ac:dyDescent="0.2">
      <c r="A180" s="12" t="s">
        <v>967</v>
      </c>
      <c r="B180" s="12" t="s">
        <v>3030</v>
      </c>
      <c r="C180" s="12" t="s">
        <v>2934</v>
      </c>
      <c r="D180" s="12" t="s">
        <v>1839</v>
      </c>
      <c r="E180" s="12" t="s">
        <v>1841</v>
      </c>
      <c r="F180" s="12">
        <v>10.0556</v>
      </c>
      <c r="G180" s="12">
        <v>4.4477200000000003</v>
      </c>
      <c r="H180" s="13">
        <v>-1.1768700000000001</v>
      </c>
    </row>
    <row r="181" spans="1:8" s="12" customFormat="1" ht="15" x14ac:dyDescent="0.2">
      <c r="A181" s="12" t="s">
        <v>1633</v>
      </c>
      <c r="B181" s="12" t="s">
        <v>3015</v>
      </c>
      <c r="C181" s="12" t="s">
        <v>3015</v>
      </c>
      <c r="D181" s="12" t="s">
        <v>1839</v>
      </c>
      <c r="E181" s="12" t="s">
        <v>1841</v>
      </c>
      <c r="F181" s="12">
        <v>207.49299999999999</v>
      </c>
      <c r="G181" s="12">
        <v>91.792900000000003</v>
      </c>
      <c r="H181" s="13">
        <v>-1.1766099999999999</v>
      </c>
    </row>
    <row r="182" spans="1:8" s="12" customFormat="1" ht="15" x14ac:dyDescent="0.2">
      <c r="A182" s="12" t="s">
        <v>1699</v>
      </c>
      <c r="B182" s="12" t="s">
        <v>3015</v>
      </c>
      <c r="C182" s="12" t="s">
        <v>3015</v>
      </c>
      <c r="D182" s="12" t="s">
        <v>1839</v>
      </c>
      <c r="E182" s="12" t="s">
        <v>1841</v>
      </c>
      <c r="F182" s="12">
        <v>4.4765600000000001</v>
      </c>
      <c r="G182" s="12">
        <v>1.98319</v>
      </c>
      <c r="H182" s="13">
        <v>-1.1745699999999999</v>
      </c>
    </row>
    <row r="183" spans="1:8" s="12" customFormat="1" ht="15" x14ac:dyDescent="0.2">
      <c r="A183" s="12" t="s">
        <v>325</v>
      </c>
      <c r="B183" s="12" t="s">
        <v>3418</v>
      </c>
      <c r="C183" s="12" t="s">
        <v>2113</v>
      </c>
      <c r="D183" s="12" t="s">
        <v>1839</v>
      </c>
      <c r="E183" s="12" t="s">
        <v>1841</v>
      </c>
      <c r="F183" s="12">
        <v>2.67693</v>
      </c>
      <c r="G183" s="12">
        <v>1.1890799999999999</v>
      </c>
      <c r="H183" s="13">
        <v>-1.1707399999999999</v>
      </c>
    </row>
    <row r="184" spans="1:8" s="12" customFormat="1" ht="15" x14ac:dyDescent="0.2">
      <c r="A184" s="12" t="s">
        <v>1718</v>
      </c>
      <c r="B184" s="12" t="s">
        <v>3015</v>
      </c>
      <c r="C184" s="12" t="s">
        <v>2881</v>
      </c>
      <c r="D184" s="12" t="s">
        <v>1839</v>
      </c>
      <c r="E184" s="12" t="s">
        <v>1841</v>
      </c>
      <c r="F184" s="12">
        <v>4.1208799999999997</v>
      </c>
      <c r="G184" s="12">
        <v>1.8368899999999999</v>
      </c>
      <c r="H184" s="13">
        <v>-1.1656899999999999</v>
      </c>
    </row>
    <row r="185" spans="1:8" s="12" customFormat="1" ht="15" x14ac:dyDescent="0.2">
      <c r="A185" s="12" t="s">
        <v>1638</v>
      </c>
      <c r="B185" s="12" t="s">
        <v>3155</v>
      </c>
      <c r="C185" s="12" t="s">
        <v>2802</v>
      </c>
      <c r="D185" s="12" t="s">
        <v>1839</v>
      </c>
      <c r="E185" s="12" t="s">
        <v>1841</v>
      </c>
      <c r="F185" s="12">
        <v>5.3278400000000001</v>
      </c>
      <c r="G185" s="12">
        <v>2.3774199999999999</v>
      </c>
      <c r="H185" s="13">
        <v>-1.16415</v>
      </c>
    </row>
    <row r="186" spans="1:8" s="12" customFormat="1" ht="15" x14ac:dyDescent="0.2">
      <c r="A186" s="12" t="s">
        <v>152</v>
      </c>
      <c r="B186" s="12" t="s">
        <v>3015</v>
      </c>
      <c r="C186" s="12" t="s">
        <v>3015</v>
      </c>
      <c r="D186" s="12" t="s">
        <v>1839</v>
      </c>
      <c r="E186" s="12" t="s">
        <v>1841</v>
      </c>
      <c r="F186" s="12">
        <v>1.4691000000000001</v>
      </c>
      <c r="G186" s="12">
        <v>0.65602499999999997</v>
      </c>
      <c r="H186" s="13">
        <v>-1.1631100000000001</v>
      </c>
    </row>
    <row r="187" spans="1:8" s="12" customFormat="1" ht="15" x14ac:dyDescent="0.2">
      <c r="A187" s="12" t="s">
        <v>1554</v>
      </c>
      <c r="B187" s="12" t="s">
        <v>3015</v>
      </c>
      <c r="C187" s="12" t="s">
        <v>3015</v>
      </c>
      <c r="D187" s="12" t="s">
        <v>1839</v>
      </c>
      <c r="E187" s="12" t="s">
        <v>1841</v>
      </c>
      <c r="F187" s="12">
        <v>110.721</v>
      </c>
      <c r="G187" s="12">
        <v>49.467599999999997</v>
      </c>
      <c r="H187" s="13">
        <v>-1.16238</v>
      </c>
    </row>
    <row r="188" spans="1:8" s="12" customFormat="1" ht="15" x14ac:dyDescent="0.2">
      <c r="A188" s="12" t="s">
        <v>235</v>
      </c>
      <c r="B188" s="12" t="s">
        <v>3015</v>
      </c>
      <c r="C188" s="12" t="s">
        <v>2687</v>
      </c>
      <c r="D188" s="12" t="s">
        <v>1839</v>
      </c>
      <c r="E188" s="12" t="s">
        <v>1841</v>
      </c>
      <c r="F188" s="12">
        <v>41.781199999999998</v>
      </c>
      <c r="G188" s="12">
        <v>18.682200000000002</v>
      </c>
      <c r="H188" s="13">
        <v>-1.1611899999999999</v>
      </c>
    </row>
    <row r="189" spans="1:8" s="12" customFormat="1" ht="15" x14ac:dyDescent="0.2">
      <c r="A189" s="12" t="s">
        <v>1395</v>
      </c>
      <c r="B189" s="12" t="s">
        <v>3087</v>
      </c>
      <c r="C189" s="12" t="s">
        <v>2572</v>
      </c>
      <c r="D189" s="12" t="s">
        <v>1839</v>
      </c>
      <c r="E189" s="12" t="s">
        <v>1841</v>
      </c>
      <c r="F189" s="12">
        <v>299.43299999999999</v>
      </c>
      <c r="G189" s="12">
        <v>134.01900000000001</v>
      </c>
      <c r="H189" s="13">
        <v>-1.1597999999999999</v>
      </c>
    </row>
    <row r="190" spans="1:8" s="12" customFormat="1" ht="15" x14ac:dyDescent="0.2">
      <c r="A190" s="12" t="s">
        <v>526</v>
      </c>
      <c r="B190" s="12" t="s">
        <v>3185</v>
      </c>
      <c r="C190" s="12" t="s">
        <v>2786</v>
      </c>
      <c r="D190" s="12" t="s">
        <v>1839</v>
      </c>
      <c r="E190" s="12" t="s">
        <v>1841</v>
      </c>
      <c r="F190" s="12">
        <v>5.89053</v>
      </c>
      <c r="G190" s="12">
        <v>2.6430699999999998</v>
      </c>
      <c r="H190" s="13">
        <v>-1.15618</v>
      </c>
    </row>
    <row r="191" spans="1:8" s="12" customFormat="1" ht="15" x14ac:dyDescent="0.2">
      <c r="A191" s="12" t="s">
        <v>658</v>
      </c>
      <c r="B191" s="12" t="s">
        <v>3015</v>
      </c>
      <c r="C191" s="12" t="s">
        <v>2151</v>
      </c>
      <c r="D191" s="12" t="s">
        <v>1839</v>
      </c>
      <c r="E191" s="12" t="s">
        <v>1841</v>
      </c>
      <c r="F191" s="12">
        <v>21.075299999999999</v>
      </c>
      <c r="G191" s="12">
        <v>9.4651399999999999</v>
      </c>
      <c r="H191" s="13">
        <v>-1.15486</v>
      </c>
    </row>
    <row r="192" spans="1:8" s="12" customFormat="1" ht="15" x14ac:dyDescent="0.2">
      <c r="A192" s="12" t="s">
        <v>1644</v>
      </c>
      <c r="B192" s="12" t="s">
        <v>3440</v>
      </c>
      <c r="C192" s="12" t="s">
        <v>1847</v>
      </c>
      <c r="D192" s="12" t="s">
        <v>1839</v>
      </c>
      <c r="E192" s="12" t="s">
        <v>1841</v>
      </c>
      <c r="F192" s="12">
        <v>4.4730800000000004</v>
      </c>
      <c r="G192" s="12">
        <v>2.01952</v>
      </c>
      <c r="H192" s="13">
        <v>-1.1472599999999999</v>
      </c>
    </row>
    <row r="193" spans="1:8" s="12" customFormat="1" ht="15" x14ac:dyDescent="0.2">
      <c r="A193" s="12" t="s">
        <v>745</v>
      </c>
      <c r="B193" s="12" t="s">
        <v>3458</v>
      </c>
      <c r="C193" s="12" t="s">
        <v>2864</v>
      </c>
      <c r="D193" s="12" t="s">
        <v>1839</v>
      </c>
      <c r="E193" s="12" t="s">
        <v>1841</v>
      </c>
      <c r="F193" s="12">
        <v>2.75488</v>
      </c>
      <c r="G193" s="12">
        <v>1.2444200000000001</v>
      </c>
      <c r="H193" s="13">
        <v>-1.14652</v>
      </c>
    </row>
    <row r="194" spans="1:8" s="12" customFormat="1" ht="15" x14ac:dyDescent="0.2">
      <c r="A194" s="12" t="s">
        <v>385</v>
      </c>
      <c r="B194" s="12" t="s">
        <v>3015</v>
      </c>
      <c r="C194" s="12" t="s">
        <v>2020</v>
      </c>
      <c r="D194" s="12" t="s">
        <v>1839</v>
      </c>
      <c r="E194" s="12" t="s">
        <v>1841</v>
      </c>
      <c r="F194" s="12">
        <v>1.10083</v>
      </c>
      <c r="G194" s="12">
        <v>0.49810199999999999</v>
      </c>
      <c r="H194" s="13">
        <v>-1.14408</v>
      </c>
    </row>
    <row r="195" spans="1:8" s="12" customFormat="1" ht="15" x14ac:dyDescent="0.2">
      <c r="A195" s="12" t="s">
        <v>832</v>
      </c>
      <c r="B195" s="12" t="s">
        <v>3015</v>
      </c>
      <c r="C195" s="12" t="s">
        <v>2892</v>
      </c>
      <c r="D195" s="12" t="s">
        <v>1839</v>
      </c>
      <c r="E195" s="12" t="s">
        <v>1841</v>
      </c>
      <c r="F195" s="12">
        <v>47.9833</v>
      </c>
      <c r="G195" s="12">
        <v>21.729099999999999</v>
      </c>
      <c r="H195" s="13">
        <v>-1.1429</v>
      </c>
    </row>
    <row r="196" spans="1:8" s="12" customFormat="1" ht="15" x14ac:dyDescent="0.2">
      <c r="A196" s="12" t="s">
        <v>1224</v>
      </c>
      <c r="B196" s="12" t="s">
        <v>3308</v>
      </c>
      <c r="C196" s="12" t="s">
        <v>1976</v>
      </c>
      <c r="D196" s="12" t="s">
        <v>1839</v>
      </c>
      <c r="E196" s="12" t="s">
        <v>1841</v>
      </c>
      <c r="F196" s="12">
        <v>5.9515200000000004</v>
      </c>
      <c r="G196" s="12">
        <v>2.69611</v>
      </c>
      <c r="H196" s="13">
        <v>-1.14238</v>
      </c>
    </row>
    <row r="197" spans="1:8" s="12" customFormat="1" ht="15" x14ac:dyDescent="0.2">
      <c r="A197" s="12" t="s">
        <v>1300</v>
      </c>
      <c r="B197" s="12" t="s">
        <v>3050</v>
      </c>
      <c r="C197" s="12" t="s">
        <v>2033</v>
      </c>
      <c r="D197" s="12" t="s">
        <v>1839</v>
      </c>
      <c r="E197" s="12" t="s">
        <v>1841</v>
      </c>
      <c r="F197" s="12">
        <v>2.9058199999999998</v>
      </c>
      <c r="G197" s="12">
        <v>1.3195399999999999</v>
      </c>
      <c r="H197" s="13">
        <v>-1.1389100000000001</v>
      </c>
    </row>
    <row r="198" spans="1:8" s="12" customFormat="1" ht="15" x14ac:dyDescent="0.2">
      <c r="A198" s="12" t="s">
        <v>1615</v>
      </c>
      <c r="B198" s="12" t="s">
        <v>3182</v>
      </c>
      <c r="C198" s="12" t="s">
        <v>2778</v>
      </c>
      <c r="D198" s="12" t="s">
        <v>1839</v>
      </c>
      <c r="E198" s="12" t="s">
        <v>1841</v>
      </c>
      <c r="F198" s="12">
        <v>2.6263000000000001</v>
      </c>
      <c r="G198" s="12">
        <v>1.1926300000000001</v>
      </c>
      <c r="H198" s="13">
        <v>-1.1388799999999999</v>
      </c>
    </row>
    <row r="199" spans="1:8" s="12" customFormat="1" ht="15" x14ac:dyDescent="0.2">
      <c r="A199" s="12" t="s">
        <v>232</v>
      </c>
      <c r="B199" s="12" t="s">
        <v>3027</v>
      </c>
      <c r="C199" s="12" t="s">
        <v>1952</v>
      </c>
      <c r="D199" s="12" t="s">
        <v>1839</v>
      </c>
      <c r="E199" s="12" t="s">
        <v>1841</v>
      </c>
      <c r="F199" s="12">
        <v>6.8137600000000003</v>
      </c>
      <c r="G199" s="12">
        <v>3.1032299999999999</v>
      </c>
      <c r="H199" s="13">
        <v>-1.1346799999999999</v>
      </c>
    </row>
    <row r="200" spans="1:8" s="12" customFormat="1" ht="15" x14ac:dyDescent="0.2">
      <c r="A200" s="12" t="s">
        <v>1582</v>
      </c>
      <c r="B200" s="12" t="s">
        <v>3027</v>
      </c>
      <c r="C200" s="12" t="s">
        <v>2740</v>
      </c>
      <c r="D200" s="12" t="s">
        <v>1839</v>
      </c>
      <c r="E200" s="12" t="s">
        <v>1841</v>
      </c>
      <c r="F200" s="12">
        <v>0.856738</v>
      </c>
      <c r="G200" s="12">
        <v>0.39103300000000002</v>
      </c>
      <c r="H200" s="13">
        <v>-1.1315599999999999</v>
      </c>
    </row>
    <row r="201" spans="1:8" s="12" customFormat="1" ht="15" x14ac:dyDescent="0.2">
      <c r="A201" s="12" t="s">
        <v>1106</v>
      </c>
      <c r="B201" s="12" t="s">
        <v>3093</v>
      </c>
      <c r="C201" s="12" t="s">
        <v>1847</v>
      </c>
      <c r="D201" s="12" t="s">
        <v>1839</v>
      </c>
      <c r="E201" s="12" t="s">
        <v>1841</v>
      </c>
      <c r="F201" s="12">
        <v>10.563499999999999</v>
      </c>
      <c r="G201" s="12">
        <v>4.8287100000000001</v>
      </c>
      <c r="H201" s="13">
        <v>-1.1293800000000001</v>
      </c>
    </row>
    <row r="202" spans="1:8" s="12" customFormat="1" ht="15" x14ac:dyDescent="0.2">
      <c r="A202" s="12" t="s">
        <v>793</v>
      </c>
      <c r="B202" s="12" t="s">
        <v>3015</v>
      </c>
      <c r="C202" s="12" t="s">
        <v>1862</v>
      </c>
      <c r="D202" s="12" t="s">
        <v>1839</v>
      </c>
      <c r="E202" s="12" t="s">
        <v>1841</v>
      </c>
      <c r="F202" s="12">
        <v>11.791499999999999</v>
      </c>
      <c r="G202" s="12">
        <v>5.39642</v>
      </c>
      <c r="H202" s="13">
        <v>-1.12768</v>
      </c>
    </row>
    <row r="203" spans="1:8" s="12" customFormat="1" ht="15" x14ac:dyDescent="0.2">
      <c r="A203" s="12" t="s">
        <v>1006</v>
      </c>
      <c r="B203" s="12" t="s">
        <v>3319</v>
      </c>
      <c r="C203" s="12" t="s">
        <v>1862</v>
      </c>
      <c r="D203" s="12" t="s">
        <v>1839</v>
      </c>
      <c r="E203" s="12" t="s">
        <v>1841</v>
      </c>
      <c r="F203" s="12">
        <v>8.3578700000000001</v>
      </c>
      <c r="G203" s="12">
        <v>3.8254999999999999</v>
      </c>
      <c r="H203" s="13">
        <v>-1.1274900000000001</v>
      </c>
    </row>
    <row r="204" spans="1:8" s="12" customFormat="1" ht="15" x14ac:dyDescent="0.2">
      <c r="A204" s="12" t="s">
        <v>44</v>
      </c>
      <c r="B204" s="12" t="s">
        <v>3015</v>
      </c>
      <c r="C204" s="12" t="s">
        <v>1880</v>
      </c>
      <c r="D204" s="12" t="s">
        <v>1839</v>
      </c>
      <c r="E204" s="12" t="s">
        <v>1841</v>
      </c>
      <c r="F204" s="12">
        <v>2.7822399999999998</v>
      </c>
      <c r="G204" s="12">
        <v>1.2749299999999999</v>
      </c>
      <c r="H204" s="13">
        <v>-1.1258300000000001</v>
      </c>
    </row>
    <row r="205" spans="1:8" s="12" customFormat="1" ht="15" x14ac:dyDescent="0.2">
      <c r="A205" s="12" t="s">
        <v>1054</v>
      </c>
      <c r="B205" s="12" t="s">
        <v>3015</v>
      </c>
      <c r="C205" s="12" t="s">
        <v>3015</v>
      </c>
      <c r="D205" s="12" t="s">
        <v>1839</v>
      </c>
      <c r="E205" s="12" t="s">
        <v>1841</v>
      </c>
      <c r="F205" s="12">
        <v>9.58127</v>
      </c>
      <c r="G205" s="12">
        <v>4.3928399999999996</v>
      </c>
      <c r="H205" s="13">
        <v>-1.1250599999999999</v>
      </c>
    </row>
    <row r="206" spans="1:8" s="12" customFormat="1" ht="15" x14ac:dyDescent="0.2">
      <c r="A206" s="12" t="s">
        <v>469</v>
      </c>
      <c r="B206" s="12" t="s">
        <v>3427</v>
      </c>
      <c r="C206" s="12" t="s">
        <v>2768</v>
      </c>
      <c r="D206" s="12" t="s">
        <v>1839</v>
      </c>
      <c r="E206" s="12" t="s">
        <v>1841</v>
      </c>
      <c r="F206" s="12">
        <v>392.82499999999999</v>
      </c>
      <c r="G206" s="12">
        <v>180.10599999999999</v>
      </c>
      <c r="H206" s="13">
        <v>-1.12504</v>
      </c>
    </row>
    <row r="207" spans="1:8" s="12" customFormat="1" ht="15" x14ac:dyDescent="0.2">
      <c r="A207" s="12" t="s">
        <v>1707</v>
      </c>
      <c r="B207" s="12" t="s">
        <v>3015</v>
      </c>
      <c r="C207" s="12" t="s">
        <v>3015</v>
      </c>
      <c r="D207" s="12" t="s">
        <v>1839</v>
      </c>
      <c r="E207" s="12" t="s">
        <v>1841</v>
      </c>
      <c r="F207" s="12">
        <v>14.2477</v>
      </c>
      <c r="G207" s="12">
        <v>6.54298</v>
      </c>
      <c r="H207" s="13">
        <v>-1.1227100000000001</v>
      </c>
    </row>
    <row r="208" spans="1:8" s="12" customFormat="1" ht="15" x14ac:dyDescent="0.2">
      <c r="A208" s="12" t="s">
        <v>1632</v>
      </c>
      <c r="B208" s="12" t="s">
        <v>3015</v>
      </c>
      <c r="C208" s="12" t="s">
        <v>3015</v>
      </c>
      <c r="D208" s="12" t="s">
        <v>1839</v>
      </c>
      <c r="E208" s="12" t="s">
        <v>1841</v>
      </c>
      <c r="F208" s="12">
        <v>34.038499999999999</v>
      </c>
      <c r="G208" s="12">
        <v>15.678900000000001</v>
      </c>
      <c r="H208" s="13">
        <v>-1.1183399999999999</v>
      </c>
    </row>
    <row r="209" spans="1:8" s="12" customFormat="1" ht="15" x14ac:dyDescent="0.2">
      <c r="A209" s="12" t="s">
        <v>377</v>
      </c>
      <c r="B209" s="12" t="s">
        <v>3015</v>
      </c>
      <c r="C209" s="12" t="s">
        <v>1880</v>
      </c>
      <c r="D209" s="12" t="s">
        <v>1839</v>
      </c>
      <c r="E209" s="12" t="s">
        <v>1841</v>
      </c>
      <c r="F209" s="12">
        <v>3.8254000000000001</v>
      </c>
      <c r="G209" s="12">
        <v>1.76312</v>
      </c>
      <c r="H209" s="13">
        <v>-1.11748</v>
      </c>
    </row>
    <row r="210" spans="1:8" s="12" customFormat="1" ht="15" x14ac:dyDescent="0.2">
      <c r="A210" s="12" t="s">
        <v>58</v>
      </c>
      <c r="B210" s="12" t="s">
        <v>3081</v>
      </c>
      <c r="C210" s="12" t="s">
        <v>2635</v>
      </c>
      <c r="D210" s="12" t="s">
        <v>1839</v>
      </c>
      <c r="E210" s="12" t="s">
        <v>1841</v>
      </c>
      <c r="F210" s="12">
        <v>145.559</v>
      </c>
      <c r="G210" s="12">
        <v>67.088399999999993</v>
      </c>
      <c r="H210" s="13">
        <v>-1.11747</v>
      </c>
    </row>
    <row r="211" spans="1:8" s="12" customFormat="1" ht="15" x14ac:dyDescent="0.2">
      <c r="A211" s="12" t="s">
        <v>602</v>
      </c>
      <c r="B211" s="12" t="s">
        <v>3015</v>
      </c>
      <c r="C211" s="12" t="s">
        <v>3015</v>
      </c>
      <c r="D211" s="12" t="s">
        <v>1839</v>
      </c>
      <c r="E211" s="12" t="s">
        <v>1841</v>
      </c>
      <c r="F211" s="12">
        <v>7.0156099999999997</v>
      </c>
      <c r="G211" s="12">
        <v>3.2450600000000001</v>
      </c>
      <c r="H211" s="13">
        <v>-1.11232</v>
      </c>
    </row>
    <row r="212" spans="1:8" s="12" customFormat="1" ht="15" x14ac:dyDescent="0.2">
      <c r="A212" s="12" t="s">
        <v>79</v>
      </c>
      <c r="B212" s="12" t="s">
        <v>3015</v>
      </c>
      <c r="C212" s="12" t="s">
        <v>3015</v>
      </c>
      <c r="D212" s="12" t="s">
        <v>1839</v>
      </c>
      <c r="E212" s="12" t="s">
        <v>1841</v>
      </c>
      <c r="F212" s="12">
        <v>4.0717100000000004</v>
      </c>
      <c r="G212" s="12">
        <v>1.8844000000000001</v>
      </c>
      <c r="H212" s="13">
        <v>-1.1115299999999999</v>
      </c>
    </row>
    <row r="213" spans="1:8" s="12" customFormat="1" ht="15" x14ac:dyDescent="0.2">
      <c r="A213" s="12" t="s">
        <v>48</v>
      </c>
      <c r="B213" s="12" t="s">
        <v>3015</v>
      </c>
      <c r="C213" s="12" t="s">
        <v>1865</v>
      </c>
      <c r="D213" s="12" t="s">
        <v>1839</v>
      </c>
      <c r="E213" s="12" t="s">
        <v>1841</v>
      </c>
      <c r="F213" s="12">
        <v>14.5718</v>
      </c>
      <c r="G213" s="12">
        <v>6.7656999999999998</v>
      </c>
      <c r="H213" s="13">
        <v>-1.10687</v>
      </c>
    </row>
    <row r="214" spans="1:8" s="12" customFormat="1" ht="15" x14ac:dyDescent="0.2">
      <c r="A214" s="12" t="s">
        <v>1579</v>
      </c>
      <c r="B214" s="12" t="s">
        <v>3015</v>
      </c>
      <c r="C214" s="12" t="s">
        <v>2454</v>
      </c>
      <c r="D214" s="12" t="s">
        <v>1839</v>
      </c>
      <c r="E214" s="12" t="s">
        <v>1841</v>
      </c>
      <c r="F214" s="12">
        <v>1.3416999999999999</v>
      </c>
      <c r="G214" s="12">
        <v>0.62334500000000004</v>
      </c>
      <c r="H214" s="13">
        <v>-1.10595</v>
      </c>
    </row>
    <row r="215" spans="1:8" s="12" customFormat="1" ht="15" x14ac:dyDescent="0.2">
      <c r="A215" s="12" t="s">
        <v>1497</v>
      </c>
      <c r="B215" s="12" t="s">
        <v>3015</v>
      </c>
      <c r="C215" s="12" t="s">
        <v>2645</v>
      </c>
      <c r="D215" s="12" t="s">
        <v>1839</v>
      </c>
      <c r="E215" s="12" t="s">
        <v>1841</v>
      </c>
      <c r="F215" s="12">
        <v>1.2615499999999999</v>
      </c>
      <c r="G215" s="12">
        <v>0.586511</v>
      </c>
      <c r="H215" s="13">
        <v>-1.10497</v>
      </c>
    </row>
    <row r="216" spans="1:8" s="12" customFormat="1" ht="15" x14ac:dyDescent="0.2">
      <c r="A216" s="12" t="s">
        <v>1049</v>
      </c>
      <c r="B216" s="12" t="s">
        <v>3262</v>
      </c>
      <c r="C216" s="12" t="s">
        <v>2335</v>
      </c>
      <c r="D216" s="12" t="s">
        <v>1839</v>
      </c>
      <c r="E216" s="12" t="s">
        <v>1841</v>
      </c>
      <c r="F216" s="12">
        <v>48.994700000000002</v>
      </c>
      <c r="G216" s="12">
        <v>22.7989</v>
      </c>
      <c r="H216" s="13">
        <v>-1.1036600000000001</v>
      </c>
    </row>
    <row r="217" spans="1:8" s="12" customFormat="1" ht="15" x14ac:dyDescent="0.2">
      <c r="A217" s="12" t="s">
        <v>1777</v>
      </c>
      <c r="B217" s="12" t="s">
        <v>3479</v>
      </c>
      <c r="C217" s="12" t="s">
        <v>2953</v>
      </c>
      <c r="D217" s="12" t="s">
        <v>1839</v>
      </c>
      <c r="E217" s="12" t="s">
        <v>1841</v>
      </c>
      <c r="F217" s="12">
        <v>4.0515600000000003</v>
      </c>
      <c r="G217" s="12">
        <v>1.89455</v>
      </c>
      <c r="H217" s="13">
        <v>-1.0966199999999999</v>
      </c>
    </row>
    <row r="218" spans="1:8" s="12" customFormat="1" ht="15" x14ac:dyDescent="0.2">
      <c r="A218" s="12" t="s">
        <v>1669</v>
      </c>
      <c r="B218" s="12" t="s">
        <v>3015</v>
      </c>
      <c r="C218" s="12" t="s">
        <v>3015</v>
      </c>
      <c r="D218" s="12" t="s">
        <v>1839</v>
      </c>
      <c r="E218" s="12" t="s">
        <v>1841</v>
      </c>
      <c r="F218" s="12">
        <v>29.863900000000001</v>
      </c>
      <c r="G218" s="12">
        <v>13.965299999999999</v>
      </c>
      <c r="H218" s="13">
        <v>-1.09656</v>
      </c>
    </row>
    <row r="219" spans="1:8" s="12" customFormat="1" ht="15" x14ac:dyDescent="0.2">
      <c r="A219" s="12" t="s">
        <v>1751</v>
      </c>
      <c r="B219" s="12" t="s">
        <v>3015</v>
      </c>
      <c r="C219" s="12" t="s">
        <v>2917</v>
      </c>
      <c r="D219" s="12" t="s">
        <v>1839</v>
      </c>
      <c r="E219" s="12" t="s">
        <v>1841</v>
      </c>
      <c r="F219" s="12">
        <v>2.3465699999999998</v>
      </c>
      <c r="G219" s="12">
        <v>1.09839</v>
      </c>
      <c r="H219" s="13">
        <v>-1.09517</v>
      </c>
    </row>
    <row r="220" spans="1:8" s="12" customFormat="1" ht="15" x14ac:dyDescent="0.2">
      <c r="A220" s="12" t="s">
        <v>794</v>
      </c>
      <c r="B220" s="12" t="s">
        <v>3015</v>
      </c>
      <c r="C220" s="12" t="s">
        <v>2197</v>
      </c>
      <c r="D220" s="12" t="s">
        <v>1839</v>
      </c>
      <c r="E220" s="12" t="s">
        <v>1841</v>
      </c>
      <c r="F220" s="12">
        <v>7.4331100000000001</v>
      </c>
      <c r="G220" s="12">
        <v>3.4801799999999998</v>
      </c>
      <c r="H220" s="13">
        <v>-1.0948100000000001</v>
      </c>
    </row>
    <row r="221" spans="1:8" s="12" customFormat="1" ht="15" x14ac:dyDescent="0.2">
      <c r="A221" s="12" t="s">
        <v>1175</v>
      </c>
      <c r="B221" s="12" t="s">
        <v>3094</v>
      </c>
      <c r="C221" s="12" t="s">
        <v>3015</v>
      </c>
      <c r="D221" s="12" t="s">
        <v>1839</v>
      </c>
      <c r="E221" s="12" t="s">
        <v>1841</v>
      </c>
      <c r="F221" s="12">
        <v>2.5725799999999999</v>
      </c>
      <c r="G221" s="12">
        <v>1.20614</v>
      </c>
      <c r="H221" s="13">
        <v>-1.0928199999999999</v>
      </c>
    </row>
    <row r="222" spans="1:8" s="12" customFormat="1" ht="15" x14ac:dyDescent="0.2">
      <c r="A222" s="12" t="s">
        <v>780</v>
      </c>
      <c r="B222" s="12" t="s">
        <v>3015</v>
      </c>
      <c r="C222" s="12" t="s">
        <v>2878</v>
      </c>
      <c r="D222" s="12" t="s">
        <v>1839</v>
      </c>
      <c r="E222" s="12" t="s">
        <v>1841</v>
      </c>
      <c r="F222" s="12">
        <v>10.437099999999999</v>
      </c>
      <c r="G222" s="12">
        <v>4.8994200000000001</v>
      </c>
      <c r="H222" s="13">
        <v>-1.09104</v>
      </c>
    </row>
    <row r="223" spans="1:8" s="12" customFormat="1" ht="15" x14ac:dyDescent="0.2">
      <c r="A223" s="12" t="s">
        <v>39</v>
      </c>
      <c r="B223" s="12" t="s">
        <v>3054</v>
      </c>
      <c r="C223" s="12" t="s">
        <v>2623</v>
      </c>
      <c r="D223" s="12" t="s">
        <v>1839</v>
      </c>
      <c r="E223" s="12" t="s">
        <v>1841</v>
      </c>
      <c r="F223" s="12">
        <v>19.945</v>
      </c>
      <c r="G223" s="12">
        <v>9.3629800000000003</v>
      </c>
      <c r="H223" s="13">
        <v>-1.0909899999999999</v>
      </c>
    </row>
    <row r="224" spans="1:8" s="12" customFormat="1" ht="15" x14ac:dyDescent="0.2">
      <c r="A224" s="12" t="s">
        <v>645</v>
      </c>
      <c r="B224" s="12" t="s">
        <v>3181</v>
      </c>
      <c r="C224" s="12" t="s">
        <v>2143</v>
      </c>
      <c r="D224" s="12" t="s">
        <v>1839</v>
      </c>
      <c r="E224" s="12" t="s">
        <v>1841</v>
      </c>
      <c r="F224" s="12">
        <v>12.673</v>
      </c>
      <c r="G224" s="12">
        <v>5.9493600000000004</v>
      </c>
      <c r="H224" s="13">
        <v>-1.0909500000000001</v>
      </c>
    </row>
    <row r="225" spans="1:8" s="12" customFormat="1" ht="15" x14ac:dyDescent="0.2">
      <c r="A225" s="12" t="s">
        <v>642</v>
      </c>
      <c r="B225" s="12" t="s">
        <v>3446</v>
      </c>
      <c r="C225" s="12" t="s">
        <v>2829</v>
      </c>
      <c r="D225" s="12" t="s">
        <v>1839</v>
      </c>
      <c r="E225" s="12" t="s">
        <v>1841</v>
      </c>
      <c r="F225" s="12">
        <v>64.821799999999996</v>
      </c>
      <c r="G225" s="12">
        <v>30.485700000000001</v>
      </c>
      <c r="H225" s="13">
        <v>-1.0883400000000001</v>
      </c>
    </row>
    <row r="226" spans="1:8" s="12" customFormat="1" ht="15" x14ac:dyDescent="0.2">
      <c r="A226" s="12" t="s">
        <v>1525</v>
      </c>
      <c r="B226" s="12" t="s">
        <v>3030</v>
      </c>
      <c r="C226" s="12" t="s">
        <v>2129</v>
      </c>
      <c r="D226" s="12" t="s">
        <v>1839</v>
      </c>
      <c r="E226" s="12" t="s">
        <v>1841</v>
      </c>
      <c r="F226" s="12">
        <v>1.4110499999999999</v>
      </c>
      <c r="G226" s="12">
        <v>0.66451899999999997</v>
      </c>
      <c r="H226" s="13">
        <v>-1.08639</v>
      </c>
    </row>
    <row r="227" spans="1:8" s="12" customFormat="1" ht="15" x14ac:dyDescent="0.2">
      <c r="A227" s="12" t="s">
        <v>577</v>
      </c>
      <c r="B227" s="12" t="s">
        <v>3015</v>
      </c>
      <c r="C227" s="12" t="s">
        <v>2115</v>
      </c>
      <c r="D227" s="12" t="s">
        <v>1839</v>
      </c>
      <c r="E227" s="12" t="s">
        <v>1841</v>
      </c>
      <c r="F227" s="12">
        <v>0.88331800000000005</v>
      </c>
      <c r="G227" s="12">
        <v>0.416462</v>
      </c>
      <c r="H227" s="13">
        <v>-1.0847500000000001</v>
      </c>
    </row>
    <row r="228" spans="1:8" s="12" customFormat="1" ht="15" x14ac:dyDescent="0.2">
      <c r="A228" s="12" t="s">
        <v>370</v>
      </c>
      <c r="B228" s="12" t="s">
        <v>3100</v>
      </c>
      <c r="C228" s="12" t="s">
        <v>2015</v>
      </c>
      <c r="D228" s="12" t="s">
        <v>1839</v>
      </c>
      <c r="E228" s="12" t="s">
        <v>1841</v>
      </c>
      <c r="F228" s="12">
        <v>5.4963699999999998</v>
      </c>
      <c r="G228" s="12">
        <v>2.5935100000000002</v>
      </c>
      <c r="H228" s="13">
        <v>-1.0835699999999999</v>
      </c>
    </row>
    <row r="229" spans="1:8" s="12" customFormat="1" ht="15" x14ac:dyDescent="0.2">
      <c r="A229" s="12" t="s">
        <v>393</v>
      </c>
      <c r="B229" s="12" t="s">
        <v>3015</v>
      </c>
      <c r="C229" s="12" t="s">
        <v>2754</v>
      </c>
      <c r="D229" s="12" t="s">
        <v>1839</v>
      </c>
      <c r="E229" s="12" t="s">
        <v>1841</v>
      </c>
      <c r="F229" s="12">
        <v>36.6633</v>
      </c>
      <c r="G229" s="12">
        <v>17.331499999999998</v>
      </c>
      <c r="H229" s="13">
        <v>-1.08094</v>
      </c>
    </row>
    <row r="230" spans="1:8" s="12" customFormat="1" ht="15" x14ac:dyDescent="0.2">
      <c r="A230" s="12" t="s">
        <v>717</v>
      </c>
      <c r="B230" s="12" t="s">
        <v>3104</v>
      </c>
      <c r="C230" s="12" t="s">
        <v>2177</v>
      </c>
      <c r="D230" s="12" t="s">
        <v>1839</v>
      </c>
      <c r="E230" s="12" t="s">
        <v>1841</v>
      </c>
      <c r="F230" s="12">
        <v>1.2848999999999999</v>
      </c>
      <c r="G230" s="12">
        <v>0.60812200000000005</v>
      </c>
      <c r="H230" s="13">
        <v>-1.0792299999999999</v>
      </c>
    </row>
    <row r="231" spans="1:8" s="12" customFormat="1" ht="15" x14ac:dyDescent="0.2">
      <c r="A231" s="12" t="s">
        <v>1674</v>
      </c>
      <c r="B231" s="12" t="s">
        <v>3015</v>
      </c>
      <c r="C231" s="12" t="s">
        <v>1862</v>
      </c>
      <c r="D231" s="12" t="s">
        <v>1839</v>
      </c>
      <c r="E231" s="12" t="s">
        <v>1841</v>
      </c>
      <c r="F231" s="12">
        <v>0.91466199999999998</v>
      </c>
      <c r="G231" s="12">
        <v>0.43533300000000003</v>
      </c>
      <c r="H231" s="13">
        <v>-1.0711200000000001</v>
      </c>
    </row>
    <row r="232" spans="1:8" s="12" customFormat="1" ht="15" x14ac:dyDescent="0.2">
      <c r="A232" s="12" t="s">
        <v>1533</v>
      </c>
      <c r="B232" s="12" t="s">
        <v>3015</v>
      </c>
      <c r="C232" s="12" t="s">
        <v>3015</v>
      </c>
      <c r="D232" s="12" t="s">
        <v>1839</v>
      </c>
      <c r="E232" s="12" t="s">
        <v>1841</v>
      </c>
      <c r="F232" s="12">
        <v>84.9251</v>
      </c>
      <c r="G232" s="12">
        <v>40.476599999999998</v>
      </c>
      <c r="H232" s="13">
        <v>-1.0690999999999999</v>
      </c>
    </row>
    <row r="233" spans="1:8" s="12" customFormat="1" ht="15" x14ac:dyDescent="0.2">
      <c r="A233" s="12" t="s">
        <v>477</v>
      </c>
      <c r="B233" s="12" t="s">
        <v>3015</v>
      </c>
      <c r="C233" s="12" t="s">
        <v>2772</v>
      </c>
      <c r="D233" s="12" t="s">
        <v>1839</v>
      </c>
      <c r="E233" s="12" t="s">
        <v>1841</v>
      </c>
      <c r="F233" s="12">
        <v>9.6292299999999997</v>
      </c>
      <c r="G233" s="12">
        <v>4.5901899999999998</v>
      </c>
      <c r="H233" s="13">
        <v>-1.06887</v>
      </c>
    </row>
    <row r="234" spans="1:8" s="12" customFormat="1" ht="15" x14ac:dyDescent="0.2">
      <c r="A234" s="12" t="s">
        <v>1409</v>
      </c>
      <c r="B234" s="12" t="s">
        <v>3015</v>
      </c>
      <c r="C234" s="12" t="s">
        <v>2902</v>
      </c>
      <c r="D234" s="12" t="s">
        <v>1839</v>
      </c>
      <c r="E234" s="12" t="s">
        <v>1841</v>
      </c>
      <c r="F234" s="12">
        <v>14.251099999999999</v>
      </c>
      <c r="G234" s="12">
        <v>6.8012199999999998</v>
      </c>
      <c r="H234" s="13">
        <v>-1.06721</v>
      </c>
    </row>
    <row r="235" spans="1:8" s="12" customFormat="1" ht="15" x14ac:dyDescent="0.2">
      <c r="A235" s="12" t="s">
        <v>101</v>
      </c>
      <c r="B235" s="12" t="s">
        <v>3015</v>
      </c>
      <c r="C235" s="12" t="s">
        <v>2654</v>
      </c>
      <c r="D235" s="12" t="s">
        <v>1839</v>
      </c>
      <c r="E235" s="12" t="s">
        <v>1841</v>
      </c>
      <c r="F235" s="12">
        <v>2.2459600000000002</v>
      </c>
      <c r="G235" s="12">
        <v>1.07226</v>
      </c>
      <c r="H235" s="13">
        <v>-1.0666800000000001</v>
      </c>
    </row>
    <row r="236" spans="1:8" s="12" customFormat="1" ht="15" x14ac:dyDescent="0.2">
      <c r="A236" s="12" t="s">
        <v>1788</v>
      </c>
      <c r="B236" s="12" t="s">
        <v>3015</v>
      </c>
      <c r="C236" s="12" t="s">
        <v>2964</v>
      </c>
      <c r="D236" s="12" t="s">
        <v>1839</v>
      </c>
      <c r="E236" s="12" t="s">
        <v>1841</v>
      </c>
      <c r="F236" s="12">
        <v>3.86673</v>
      </c>
      <c r="G236" s="12">
        <v>1.8486800000000001</v>
      </c>
      <c r="H236" s="13">
        <v>-1.0646199999999999</v>
      </c>
    </row>
    <row r="237" spans="1:8" s="12" customFormat="1" ht="15" x14ac:dyDescent="0.2">
      <c r="A237" s="12" t="s">
        <v>1476</v>
      </c>
      <c r="B237" s="12" t="s">
        <v>3093</v>
      </c>
      <c r="C237" s="12" t="s">
        <v>2615</v>
      </c>
      <c r="D237" s="12" t="s">
        <v>1839</v>
      </c>
      <c r="E237" s="12" t="s">
        <v>1841</v>
      </c>
      <c r="F237" s="12">
        <v>1.35022</v>
      </c>
      <c r="G237" s="12">
        <v>0.64570399999999994</v>
      </c>
      <c r="H237" s="13">
        <v>-1.0642499999999999</v>
      </c>
    </row>
    <row r="238" spans="1:8" s="12" customFormat="1" ht="15" x14ac:dyDescent="0.2">
      <c r="A238" s="12" t="s">
        <v>7</v>
      </c>
      <c r="B238" s="12" t="s">
        <v>3015</v>
      </c>
      <c r="C238" s="12" t="s">
        <v>1845</v>
      </c>
      <c r="D238" s="12" t="s">
        <v>1839</v>
      </c>
      <c r="E238" s="12" t="s">
        <v>1841</v>
      </c>
      <c r="F238" s="12">
        <v>3.8248500000000001</v>
      </c>
      <c r="G238" s="12">
        <v>1.8345400000000001</v>
      </c>
      <c r="H238" s="13">
        <v>-1.0599799999999999</v>
      </c>
    </row>
    <row r="239" spans="1:8" s="12" customFormat="1" ht="15" x14ac:dyDescent="0.2">
      <c r="A239" s="12" t="s">
        <v>901</v>
      </c>
      <c r="B239" s="12" t="s">
        <v>3015</v>
      </c>
      <c r="C239" s="12" t="s">
        <v>1880</v>
      </c>
      <c r="D239" s="12" t="s">
        <v>1839</v>
      </c>
      <c r="E239" s="12" t="s">
        <v>1841</v>
      </c>
      <c r="F239" s="12">
        <v>20.748999999999999</v>
      </c>
      <c r="G239" s="12">
        <v>9.95885</v>
      </c>
      <c r="H239" s="13">
        <v>-1.0589900000000001</v>
      </c>
    </row>
    <row r="240" spans="1:8" s="12" customFormat="1" ht="15" x14ac:dyDescent="0.2">
      <c r="A240" s="12" t="s">
        <v>1743</v>
      </c>
      <c r="B240" s="12" t="s">
        <v>3015</v>
      </c>
      <c r="C240" s="12" t="s">
        <v>2911</v>
      </c>
      <c r="D240" s="12" t="s">
        <v>1839</v>
      </c>
      <c r="E240" s="12" t="s">
        <v>1841</v>
      </c>
      <c r="F240" s="12">
        <v>6.3510999999999997</v>
      </c>
      <c r="G240" s="12">
        <v>3.0484100000000001</v>
      </c>
      <c r="H240" s="13">
        <v>-1.0589500000000001</v>
      </c>
    </row>
    <row r="241" spans="1:8" s="12" customFormat="1" ht="15" x14ac:dyDescent="0.2">
      <c r="A241" s="12" t="s">
        <v>47</v>
      </c>
      <c r="B241" s="12" t="s">
        <v>3015</v>
      </c>
      <c r="C241" s="12" t="s">
        <v>1865</v>
      </c>
      <c r="D241" s="12" t="s">
        <v>1839</v>
      </c>
      <c r="E241" s="12" t="s">
        <v>1841</v>
      </c>
      <c r="F241" s="12">
        <v>66.780900000000003</v>
      </c>
      <c r="G241" s="12">
        <v>32.059600000000003</v>
      </c>
      <c r="H241" s="13">
        <v>-1.0586800000000001</v>
      </c>
    </row>
    <row r="242" spans="1:8" s="12" customFormat="1" ht="15" x14ac:dyDescent="0.2">
      <c r="A242" s="12" t="s">
        <v>667</v>
      </c>
      <c r="B242" s="12" t="s">
        <v>3015</v>
      </c>
      <c r="C242" s="12" t="s">
        <v>3015</v>
      </c>
      <c r="D242" s="12" t="s">
        <v>1839</v>
      </c>
      <c r="E242" s="12" t="s">
        <v>1841</v>
      </c>
      <c r="F242" s="12">
        <v>20.572700000000001</v>
      </c>
      <c r="G242" s="12">
        <v>9.8773999999999997</v>
      </c>
      <c r="H242" s="13">
        <v>-1.05853</v>
      </c>
    </row>
    <row r="243" spans="1:8" s="12" customFormat="1" ht="15" x14ac:dyDescent="0.2">
      <c r="A243" s="12" t="s">
        <v>1747</v>
      </c>
      <c r="B243" s="12" t="s">
        <v>3037</v>
      </c>
      <c r="C243" s="12" t="s">
        <v>2915</v>
      </c>
      <c r="D243" s="12" t="s">
        <v>1839</v>
      </c>
      <c r="E243" s="12" t="s">
        <v>1841</v>
      </c>
      <c r="F243" s="12">
        <v>3.1029399999999998</v>
      </c>
      <c r="G243" s="12">
        <v>1.4901899999999999</v>
      </c>
      <c r="H243" s="13">
        <v>-1.0581400000000001</v>
      </c>
    </row>
    <row r="244" spans="1:8" s="12" customFormat="1" ht="15" x14ac:dyDescent="0.2">
      <c r="A244" s="12" t="s">
        <v>1585</v>
      </c>
      <c r="B244" s="12" t="s">
        <v>3422</v>
      </c>
      <c r="C244" s="12" t="s">
        <v>2744</v>
      </c>
      <c r="D244" s="12" t="s">
        <v>1839</v>
      </c>
      <c r="E244" s="12" t="s">
        <v>1841</v>
      </c>
      <c r="F244" s="12">
        <v>2.3448199999999999</v>
      </c>
      <c r="G244" s="12">
        <v>1.1267</v>
      </c>
      <c r="H244" s="13">
        <v>-1.05738</v>
      </c>
    </row>
    <row r="245" spans="1:8" s="12" customFormat="1" ht="15" x14ac:dyDescent="0.2">
      <c r="A245" s="12" t="s">
        <v>1410</v>
      </c>
      <c r="B245" s="12" t="s">
        <v>3193</v>
      </c>
      <c r="C245" s="12" t="s">
        <v>2904</v>
      </c>
      <c r="D245" s="12" t="s">
        <v>1839</v>
      </c>
      <c r="E245" s="12" t="s">
        <v>1841</v>
      </c>
      <c r="F245" s="12">
        <v>2.90916</v>
      </c>
      <c r="G245" s="12">
        <v>1.3996299999999999</v>
      </c>
      <c r="H245" s="13">
        <v>-1.0555600000000001</v>
      </c>
    </row>
    <row r="246" spans="1:8" s="12" customFormat="1" ht="15" x14ac:dyDescent="0.2">
      <c r="A246" s="12" t="s">
        <v>1555</v>
      </c>
      <c r="B246" s="12" t="s">
        <v>3015</v>
      </c>
      <c r="C246" s="12" t="s">
        <v>3015</v>
      </c>
      <c r="D246" s="12" t="s">
        <v>1839</v>
      </c>
      <c r="E246" s="12" t="s">
        <v>1841</v>
      </c>
      <c r="F246" s="12">
        <v>4.4030399999999998</v>
      </c>
      <c r="G246" s="12">
        <v>2.1195200000000001</v>
      </c>
      <c r="H246" s="13">
        <v>-1.0547599999999999</v>
      </c>
    </row>
    <row r="247" spans="1:8" s="12" customFormat="1" ht="15" x14ac:dyDescent="0.2">
      <c r="A247" s="12" t="s">
        <v>1464</v>
      </c>
      <c r="B247" s="12" t="s">
        <v>3485</v>
      </c>
      <c r="C247" s="12" t="s">
        <v>2971</v>
      </c>
      <c r="D247" s="12" t="s">
        <v>1839</v>
      </c>
      <c r="E247" s="12" t="s">
        <v>1841</v>
      </c>
      <c r="F247" s="12">
        <v>18.168500000000002</v>
      </c>
      <c r="G247" s="12">
        <v>8.7477999999999998</v>
      </c>
      <c r="H247" s="13">
        <v>-1.0544500000000001</v>
      </c>
    </row>
    <row r="248" spans="1:8" s="12" customFormat="1" ht="15" x14ac:dyDescent="0.2">
      <c r="A248" s="12" t="s">
        <v>1559</v>
      </c>
      <c r="B248" s="12" t="s">
        <v>3308</v>
      </c>
      <c r="C248" s="12" t="s">
        <v>1976</v>
      </c>
      <c r="D248" s="12" t="s">
        <v>1839</v>
      </c>
      <c r="E248" s="12" t="s">
        <v>1841</v>
      </c>
      <c r="F248" s="12">
        <v>1.6736200000000001</v>
      </c>
      <c r="G248" s="12">
        <v>0.806284</v>
      </c>
      <c r="H248" s="13">
        <v>-1.0536099999999999</v>
      </c>
    </row>
    <row r="249" spans="1:8" s="12" customFormat="1" ht="15" x14ac:dyDescent="0.2">
      <c r="A249" s="12" t="s">
        <v>1784</v>
      </c>
      <c r="B249" s="12" t="s">
        <v>3015</v>
      </c>
      <c r="C249" s="12" t="s">
        <v>2961</v>
      </c>
      <c r="D249" s="12" t="s">
        <v>1839</v>
      </c>
      <c r="E249" s="12" t="s">
        <v>1841</v>
      </c>
      <c r="F249" s="12">
        <v>4.6003299999999996</v>
      </c>
      <c r="G249" s="12">
        <v>2.2166600000000001</v>
      </c>
      <c r="H249" s="13">
        <v>-1.05335</v>
      </c>
    </row>
    <row r="250" spans="1:8" s="12" customFormat="1" ht="15" x14ac:dyDescent="0.2">
      <c r="A250" s="12" t="s">
        <v>1599</v>
      </c>
      <c r="B250" s="12" t="s">
        <v>3015</v>
      </c>
      <c r="C250" s="12" t="s">
        <v>3015</v>
      </c>
      <c r="D250" s="12" t="s">
        <v>1839</v>
      </c>
      <c r="E250" s="12" t="s">
        <v>1841</v>
      </c>
      <c r="F250" s="12">
        <v>1.74356</v>
      </c>
      <c r="G250" s="12">
        <v>0.84015200000000001</v>
      </c>
      <c r="H250" s="13">
        <v>-1.05332</v>
      </c>
    </row>
    <row r="251" spans="1:8" s="12" customFormat="1" ht="15" x14ac:dyDescent="0.2">
      <c r="A251" s="12" t="s">
        <v>237</v>
      </c>
      <c r="B251" s="12" t="s">
        <v>3015</v>
      </c>
      <c r="C251" s="12" t="s">
        <v>2688</v>
      </c>
      <c r="D251" s="12" t="s">
        <v>1839</v>
      </c>
      <c r="E251" s="12" t="s">
        <v>1841</v>
      </c>
      <c r="F251" s="12">
        <v>12.9758</v>
      </c>
      <c r="G251" s="12">
        <v>6.2535600000000002</v>
      </c>
      <c r="H251" s="13">
        <v>-1.05307</v>
      </c>
    </row>
    <row r="252" spans="1:8" s="12" customFormat="1" ht="15" x14ac:dyDescent="0.2">
      <c r="A252" s="12" t="s">
        <v>1565</v>
      </c>
      <c r="B252" s="12" t="s">
        <v>3413</v>
      </c>
      <c r="C252" s="12" t="s">
        <v>2719</v>
      </c>
      <c r="D252" s="12" t="s">
        <v>1839</v>
      </c>
      <c r="E252" s="12" t="s">
        <v>1841</v>
      </c>
      <c r="F252" s="12">
        <v>28.171199999999999</v>
      </c>
      <c r="G252" s="12">
        <v>13.5823</v>
      </c>
      <c r="H252" s="13">
        <v>-1.0524899999999999</v>
      </c>
    </row>
    <row r="253" spans="1:8" s="12" customFormat="1" ht="15" x14ac:dyDescent="0.2">
      <c r="A253" s="12" t="s">
        <v>1697</v>
      </c>
      <c r="B253" s="12" t="s">
        <v>3015</v>
      </c>
      <c r="C253" s="12" t="s">
        <v>2863</v>
      </c>
      <c r="D253" s="12" t="s">
        <v>1839</v>
      </c>
      <c r="E253" s="12" t="s">
        <v>1841</v>
      </c>
      <c r="F253" s="12">
        <v>9.2090300000000003</v>
      </c>
      <c r="G253" s="12">
        <v>4.4438199999999997</v>
      </c>
      <c r="H253" s="13">
        <v>-1.05125</v>
      </c>
    </row>
    <row r="254" spans="1:8" s="12" customFormat="1" ht="15" x14ac:dyDescent="0.2">
      <c r="A254" s="12" t="s">
        <v>1115</v>
      </c>
      <c r="B254" s="12" t="s">
        <v>3015</v>
      </c>
      <c r="C254" s="12" t="s">
        <v>1898</v>
      </c>
      <c r="D254" s="12" t="s">
        <v>1839</v>
      </c>
      <c r="E254" s="12" t="s">
        <v>1841</v>
      </c>
      <c r="F254" s="12">
        <v>2.24702</v>
      </c>
      <c r="G254" s="12">
        <v>1.0861799999999999</v>
      </c>
      <c r="H254" s="13">
        <v>-1.0487500000000001</v>
      </c>
    </row>
    <row r="255" spans="1:8" s="12" customFormat="1" ht="15" x14ac:dyDescent="0.2">
      <c r="A255" s="12" t="s">
        <v>1055</v>
      </c>
      <c r="B255" s="12" t="s">
        <v>3015</v>
      </c>
      <c r="C255" s="12" t="s">
        <v>1917</v>
      </c>
      <c r="D255" s="12" t="s">
        <v>1839</v>
      </c>
      <c r="E255" s="12" t="s">
        <v>1841</v>
      </c>
      <c r="F255" s="12">
        <v>6.21767</v>
      </c>
      <c r="G255" s="12">
        <v>3.0066799999999998</v>
      </c>
      <c r="H255" s="13">
        <v>-1.0482</v>
      </c>
    </row>
    <row r="256" spans="1:8" s="12" customFormat="1" ht="15" x14ac:dyDescent="0.2">
      <c r="A256" s="12" t="s">
        <v>1652</v>
      </c>
      <c r="B256" s="12" t="s">
        <v>3015</v>
      </c>
      <c r="C256" s="12">
        <v>0</v>
      </c>
      <c r="D256" s="12" t="s">
        <v>1839</v>
      </c>
      <c r="E256" s="12" t="s">
        <v>1841</v>
      </c>
      <c r="F256" s="12">
        <v>121.642</v>
      </c>
      <c r="G256" s="12">
        <v>58.9283</v>
      </c>
      <c r="H256" s="13">
        <v>-1.0456099999999999</v>
      </c>
    </row>
    <row r="257" spans="1:8" s="12" customFormat="1" ht="15" x14ac:dyDescent="0.2">
      <c r="A257" s="12" t="s">
        <v>1545</v>
      </c>
      <c r="B257" s="12" t="s">
        <v>3404</v>
      </c>
      <c r="C257" s="12" t="s">
        <v>2695</v>
      </c>
      <c r="D257" s="12" t="s">
        <v>1839</v>
      </c>
      <c r="E257" s="12" t="s">
        <v>1841</v>
      </c>
      <c r="F257" s="12">
        <v>1.3218700000000001</v>
      </c>
      <c r="G257" s="12">
        <v>0.64090999999999998</v>
      </c>
      <c r="H257" s="13">
        <v>-1.0443899999999999</v>
      </c>
    </row>
    <row r="258" spans="1:8" s="12" customFormat="1" ht="15" x14ac:dyDescent="0.2">
      <c r="A258" s="12" t="s">
        <v>1247</v>
      </c>
      <c r="B258" s="12" t="s">
        <v>3033</v>
      </c>
      <c r="C258" s="12" t="s">
        <v>1971</v>
      </c>
      <c r="D258" s="12" t="s">
        <v>1839</v>
      </c>
      <c r="E258" s="12" t="s">
        <v>1841</v>
      </c>
      <c r="F258" s="12">
        <v>82.582099999999997</v>
      </c>
      <c r="G258" s="12">
        <v>40.055700000000002</v>
      </c>
      <c r="H258" s="13">
        <v>-1.04382</v>
      </c>
    </row>
    <row r="259" spans="1:8" s="12" customFormat="1" ht="15" x14ac:dyDescent="0.2">
      <c r="A259" s="12" t="s">
        <v>1766</v>
      </c>
      <c r="B259" s="12" t="s">
        <v>3015</v>
      </c>
      <c r="C259" s="12" t="s">
        <v>2938</v>
      </c>
      <c r="D259" s="12" t="s">
        <v>1839</v>
      </c>
      <c r="E259" s="12" t="s">
        <v>1841</v>
      </c>
      <c r="F259" s="12">
        <v>9.2154299999999996</v>
      </c>
      <c r="G259" s="12">
        <v>4.4717900000000004</v>
      </c>
      <c r="H259" s="13">
        <v>-1.0431999999999999</v>
      </c>
    </row>
    <row r="260" spans="1:8" s="12" customFormat="1" ht="15" x14ac:dyDescent="0.2">
      <c r="A260" s="12" t="s">
        <v>262</v>
      </c>
      <c r="B260" s="12" t="s">
        <v>3406</v>
      </c>
      <c r="C260" s="12" t="s">
        <v>2702</v>
      </c>
      <c r="D260" s="12" t="s">
        <v>1839</v>
      </c>
      <c r="E260" s="12" t="s">
        <v>1841</v>
      </c>
      <c r="F260" s="12">
        <v>1.7781499999999999</v>
      </c>
      <c r="G260" s="12">
        <v>0.86358699999999999</v>
      </c>
      <c r="H260" s="13">
        <v>-1.04196</v>
      </c>
    </row>
    <row r="261" spans="1:8" s="12" customFormat="1" ht="15" x14ac:dyDescent="0.2">
      <c r="A261" s="12" t="s">
        <v>1759</v>
      </c>
      <c r="B261" s="12" t="s">
        <v>3301</v>
      </c>
      <c r="C261" s="12" t="s">
        <v>1934</v>
      </c>
      <c r="D261" s="12" t="s">
        <v>1839</v>
      </c>
      <c r="E261" s="12" t="s">
        <v>1841</v>
      </c>
      <c r="F261" s="12">
        <v>6.5976900000000001</v>
      </c>
      <c r="G261" s="12">
        <v>3.20865</v>
      </c>
      <c r="H261" s="13">
        <v>-1.03999</v>
      </c>
    </row>
    <row r="262" spans="1:8" s="12" customFormat="1" ht="15" x14ac:dyDescent="0.2">
      <c r="A262" s="12" t="s">
        <v>1125</v>
      </c>
      <c r="B262" s="12" t="s">
        <v>3015</v>
      </c>
      <c r="C262" s="12" t="s">
        <v>3015</v>
      </c>
      <c r="D262" s="12" t="s">
        <v>1839</v>
      </c>
      <c r="E262" s="12" t="s">
        <v>1841</v>
      </c>
      <c r="F262" s="12">
        <v>115.628</v>
      </c>
      <c r="G262" s="12">
        <v>56.317900000000002</v>
      </c>
      <c r="H262" s="13">
        <v>-1.03783</v>
      </c>
    </row>
    <row r="263" spans="1:8" s="12" customFormat="1" ht="15" x14ac:dyDescent="0.2">
      <c r="A263" s="12" t="s">
        <v>1649</v>
      </c>
      <c r="B263" s="12" t="s">
        <v>3109</v>
      </c>
      <c r="C263" s="12" t="s">
        <v>2815</v>
      </c>
      <c r="D263" s="12" t="s">
        <v>1839</v>
      </c>
      <c r="E263" s="12" t="s">
        <v>1841</v>
      </c>
      <c r="F263" s="12">
        <v>1.3928700000000001</v>
      </c>
      <c r="G263" s="12">
        <v>0.67856300000000003</v>
      </c>
      <c r="H263" s="13">
        <v>-1.0375099999999999</v>
      </c>
    </row>
    <row r="264" spans="1:8" s="12" customFormat="1" ht="15" x14ac:dyDescent="0.2">
      <c r="A264" s="12" t="s">
        <v>1547</v>
      </c>
      <c r="B264" s="12" t="s">
        <v>3405</v>
      </c>
      <c r="C264" s="12" t="s">
        <v>1847</v>
      </c>
      <c r="D264" s="12" t="s">
        <v>1839</v>
      </c>
      <c r="E264" s="12" t="s">
        <v>1841</v>
      </c>
      <c r="F264" s="12">
        <v>1.1359399999999999</v>
      </c>
      <c r="G264" s="12">
        <v>0.55346600000000001</v>
      </c>
      <c r="H264" s="13">
        <v>-1.03732</v>
      </c>
    </row>
    <row r="265" spans="1:8" s="12" customFormat="1" ht="15" x14ac:dyDescent="0.2">
      <c r="A265" s="12" t="s">
        <v>1524</v>
      </c>
      <c r="B265" s="12" t="s">
        <v>3015</v>
      </c>
      <c r="C265" s="12" t="s">
        <v>3015</v>
      </c>
      <c r="D265" s="12" t="s">
        <v>1839</v>
      </c>
      <c r="E265" s="12" t="s">
        <v>1841</v>
      </c>
      <c r="F265" s="12">
        <v>2.0577700000000001</v>
      </c>
      <c r="G265" s="12">
        <v>1.0031600000000001</v>
      </c>
      <c r="H265" s="13">
        <v>-1.03653</v>
      </c>
    </row>
    <row r="266" spans="1:8" s="12" customFormat="1" ht="15" x14ac:dyDescent="0.2">
      <c r="A266" s="12" t="s">
        <v>273</v>
      </c>
      <c r="B266" s="12" t="s">
        <v>3015</v>
      </c>
      <c r="C266" s="12" t="s">
        <v>3015</v>
      </c>
      <c r="D266" s="12" t="s">
        <v>1839</v>
      </c>
      <c r="E266" s="12" t="s">
        <v>1841</v>
      </c>
      <c r="F266" s="12">
        <v>25.186699999999998</v>
      </c>
      <c r="G266" s="12">
        <v>12.280900000000001</v>
      </c>
      <c r="H266" s="13">
        <v>-1.0362499999999999</v>
      </c>
    </row>
    <row r="267" spans="1:8" s="12" customFormat="1" ht="15" x14ac:dyDescent="0.2">
      <c r="A267" s="12" t="s">
        <v>1635</v>
      </c>
      <c r="B267" s="12" t="s">
        <v>3081</v>
      </c>
      <c r="C267" s="12" t="s">
        <v>1915</v>
      </c>
      <c r="D267" s="12" t="s">
        <v>1839</v>
      </c>
      <c r="E267" s="12" t="s">
        <v>1841</v>
      </c>
      <c r="F267" s="12">
        <v>2.3724400000000001</v>
      </c>
      <c r="G267" s="12">
        <v>1.15924</v>
      </c>
      <c r="H267" s="13">
        <v>-1.0331900000000001</v>
      </c>
    </row>
    <row r="268" spans="1:8" s="12" customFormat="1" ht="15" x14ac:dyDescent="0.2">
      <c r="A268" s="12" t="s">
        <v>1737</v>
      </c>
      <c r="B268" s="12" t="s">
        <v>3182</v>
      </c>
      <c r="C268" s="12" t="s">
        <v>2905</v>
      </c>
      <c r="D268" s="12" t="s">
        <v>1839</v>
      </c>
      <c r="E268" s="12" t="s">
        <v>1841</v>
      </c>
      <c r="F268" s="12">
        <v>12.4674</v>
      </c>
      <c r="G268" s="12">
        <v>6.09701</v>
      </c>
      <c r="H268" s="13">
        <v>-1.0319799999999999</v>
      </c>
    </row>
    <row r="269" spans="1:8" s="12" customFormat="1" ht="15" x14ac:dyDescent="0.2">
      <c r="A269" s="12" t="s">
        <v>741</v>
      </c>
      <c r="B269" s="12" t="s">
        <v>3015</v>
      </c>
      <c r="C269" s="12" t="s">
        <v>3015</v>
      </c>
      <c r="D269" s="12" t="s">
        <v>1839</v>
      </c>
      <c r="E269" s="12" t="s">
        <v>1841</v>
      </c>
      <c r="F269" s="12">
        <v>12.086399999999999</v>
      </c>
      <c r="G269" s="12">
        <v>5.9120400000000002</v>
      </c>
      <c r="H269" s="13">
        <v>-1.03166</v>
      </c>
    </row>
    <row r="270" spans="1:8" s="12" customFormat="1" ht="15" x14ac:dyDescent="0.2">
      <c r="A270" s="12" t="s">
        <v>1523</v>
      </c>
      <c r="B270" s="12" t="s">
        <v>3015</v>
      </c>
      <c r="C270" s="12" t="s">
        <v>2676</v>
      </c>
      <c r="D270" s="12" t="s">
        <v>1839</v>
      </c>
      <c r="E270" s="12" t="s">
        <v>1841</v>
      </c>
      <c r="F270" s="12">
        <v>13.2255</v>
      </c>
      <c r="G270" s="12">
        <v>6.4704199999999998</v>
      </c>
      <c r="H270" s="13">
        <v>-1.03139</v>
      </c>
    </row>
    <row r="271" spans="1:8" s="12" customFormat="1" ht="15" x14ac:dyDescent="0.2">
      <c r="A271" s="12" t="s">
        <v>131</v>
      </c>
      <c r="B271" s="12" t="s">
        <v>3049</v>
      </c>
      <c r="C271" s="12" t="s">
        <v>2666</v>
      </c>
      <c r="D271" s="12" t="s">
        <v>1839</v>
      </c>
      <c r="E271" s="12" t="s">
        <v>1841</v>
      </c>
      <c r="F271" s="12">
        <v>10.3287</v>
      </c>
      <c r="G271" s="12">
        <v>5.0537599999999996</v>
      </c>
      <c r="H271" s="13">
        <v>-1.0312300000000001</v>
      </c>
    </row>
    <row r="272" spans="1:8" s="12" customFormat="1" ht="15" x14ac:dyDescent="0.2">
      <c r="A272" s="12" t="s">
        <v>1637</v>
      </c>
      <c r="B272" s="12" t="s">
        <v>3015</v>
      </c>
      <c r="C272" s="12" t="s">
        <v>2801</v>
      </c>
      <c r="D272" s="12" t="s">
        <v>1839</v>
      </c>
      <c r="E272" s="12" t="s">
        <v>1841</v>
      </c>
      <c r="F272" s="12">
        <v>1.10226</v>
      </c>
      <c r="G272" s="12">
        <v>0.53936799999999996</v>
      </c>
      <c r="H272" s="13">
        <v>-1.03112</v>
      </c>
    </row>
    <row r="273" spans="1:8" s="12" customFormat="1" ht="15" x14ac:dyDescent="0.2">
      <c r="A273" s="12" t="s">
        <v>934</v>
      </c>
      <c r="B273" s="12" t="s">
        <v>3015</v>
      </c>
      <c r="C273" s="12" t="s">
        <v>2926</v>
      </c>
      <c r="D273" s="12" t="s">
        <v>1839</v>
      </c>
      <c r="E273" s="12" t="s">
        <v>1841</v>
      </c>
      <c r="F273" s="12">
        <v>18.581399999999999</v>
      </c>
      <c r="G273" s="12">
        <v>9.0945999999999998</v>
      </c>
      <c r="H273" s="13">
        <v>-1.03078</v>
      </c>
    </row>
    <row r="274" spans="1:8" s="12" customFormat="1" ht="15" x14ac:dyDescent="0.2">
      <c r="A274" s="12" t="s">
        <v>1141</v>
      </c>
      <c r="B274" s="12" t="s">
        <v>3015</v>
      </c>
      <c r="C274" s="12" t="s">
        <v>2629</v>
      </c>
      <c r="D274" s="12" t="s">
        <v>1839</v>
      </c>
      <c r="E274" s="12" t="s">
        <v>1841</v>
      </c>
      <c r="F274" s="12">
        <v>30.334900000000001</v>
      </c>
      <c r="G274" s="12">
        <v>14.8789</v>
      </c>
      <c r="H274" s="13">
        <v>-1.0277099999999999</v>
      </c>
    </row>
    <row r="275" spans="1:8" s="12" customFormat="1" ht="15" x14ac:dyDescent="0.2">
      <c r="A275" s="12" t="s">
        <v>1026</v>
      </c>
      <c r="B275" s="12" t="s">
        <v>3259</v>
      </c>
      <c r="C275" s="12" t="s">
        <v>1847</v>
      </c>
      <c r="D275" s="12" t="s">
        <v>1839</v>
      </c>
      <c r="E275" s="12" t="s">
        <v>1841</v>
      </c>
      <c r="F275" s="12">
        <v>2.8478699999999999</v>
      </c>
      <c r="G275" s="12">
        <v>1.3980900000000001</v>
      </c>
      <c r="H275" s="13">
        <v>-1.02643</v>
      </c>
    </row>
    <row r="276" spans="1:8" s="12" customFormat="1" ht="15" x14ac:dyDescent="0.2">
      <c r="A276" s="12" t="s">
        <v>1660</v>
      </c>
      <c r="B276" s="12" t="s">
        <v>3445</v>
      </c>
      <c r="C276" s="12" t="s">
        <v>3015</v>
      </c>
      <c r="D276" s="12" t="s">
        <v>1839</v>
      </c>
      <c r="E276" s="12" t="s">
        <v>1841</v>
      </c>
      <c r="F276" s="12">
        <v>0.89339299999999999</v>
      </c>
      <c r="G276" s="12">
        <v>0.43862600000000002</v>
      </c>
      <c r="H276" s="13">
        <v>-1.0263</v>
      </c>
    </row>
    <row r="277" spans="1:8" s="12" customFormat="1" ht="15" x14ac:dyDescent="0.2">
      <c r="A277" s="12" t="s">
        <v>1740</v>
      </c>
      <c r="B277" s="12" t="s">
        <v>3015</v>
      </c>
      <c r="C277" s="12" t="s">
        <v>3015</v>
      </c>
      <c r="D277" s="12" t="s">
        <v>1839</v>
      </c>
      <c r="E277" s="12" t="s">
        <v>1841</v>
      </c>
      <c r="F277" s="12">
        <v>45.418700000000001</v>
      </c>
      <c r="G277" s="12">
        <v>22.321899999999999</v>
      </c>
      <c r="H277" s="13">
        <v>-1.0248299999999999</v>
      </c>
    </row>
    <row r="278" spans="1:8" s="12" customFormat="1" ht="15" x14ac:dyDescent="0.2">
      <c r="A278" s="12" t="s">
        <v>1708</v>
      </c>
      <c r="B278" s="12" t="s">
        <v>3328</v>
      </c>
      <c r="C278" s="12" t="s">
        <v>2077</v>
      </c>
      <c r="D278" s="12" t="s">
        <v>1839</v>
      </c>
      <c r="E278" s="12" t="s">
        <v>1841</v>
      </c>
      <c r="F278" s="12">
        <v>5.4539799999999996</v>
      </c>
      <c r="G278" s="12">
        <v>2.68161</v>
      </c>
      <c r="H278" s="13">
        <v>-1.0242100000000001</v>
      </c>
    </row>
    <row r="279" spans="1:8" s="12" customFormat="1" ht="15" x14ac:dyDescent="0.2">
      <c r="A279" s="12" t="s">
        <v>606</v>
      </c>
      <c r="B279" s="12" t="s">
        <v>3015</v>
      </c>
      <c r="C279" s="12" t="s">
        <v>3015</v>
      </c>
      <c r="D279" s="12" t="s">
        <v>1839</v>
      </c>
      <c r="E279" s="12" t="s">
        <v>1841</v>
      </c>
      <c r="F279" s="12">
        <v>14.9101</v>
      </c>
      <c r="G279" s="12">
        <v>7.3357700000000001</v>
      </c>
      <c r="H279" s="13">
        <v>-1.0232699999999999</v>
      </c>
    </row>
    <row r="280" spans="1:8" s="12" customFormat="1" ht="15" x14ac:dyDescent="0.2">
      <c r="A280" s="12" t="s">
        <v>1494</v>
      </c>
      <c r="B280" s="12" t="s">
        <v>3389</v>
      </c>
      <c r="C280" s="12" t="s">
        <v>1847</v>
      </c>
      <c r="D280" s="12" t="s">
        <v>1839</v>
      </c>
      <c r="E280" s="12" t="s">
        <v>1841</v>
      </c>
      <c r="F280" s="12">
        <v>0.95353299999999996</v>
      </c>
      <c r="G280" s="12">
        <v>0.46943400000000002</v>
      </c>
      <c r="H280" s="13">
        <v>-1.0223599999999999</v>
      </c>
    </row>
    <row r="281" spans="1:8" s="12" customFormat="1" ht="15" x14ac:dyDescent="0.2">
      <c r="A281" s="12" t="s">
        <v>1646</v>
      </c>
      <c r="B281" s="12" t="s">
        <v>3015</v>
      </c>
      <c r="C281" s="12" t="s">
        <v>3015</v>
      </c>
      <c r="D281" s="12" t="s">
        <v>1839</v>
      </c>
      <c r="E281" s="12" t="s">
        <v>1841</v>
      </c>
      <c r="F281" s="12">
        <v>14.721500000000001</v>
      </c>
      <c r="G281" s="12">
        <v>7.2505499999999996</v>
      </c>
      <c r="H281" s="13">
        <v>-1.0217700000000001</v>
      </c>
    </row>
    <row r="282" spans="1:8" s="12" customFormat="1" ht="15" x14ac:dyDescent="0.2">
      <c r="A282" s="12" t="s">
        <v>546</v>
      </c>
      <c r="B282" s="12" t="s">
        <v>3015</v>
      </c>
      <c r="C282" s="12" t="s">
        <v>2796</v>
      </c>
      <c r="D282" s="12" t="s">
        <v>1839</v>
      </c>
      <c r="E282" s="12" t="s">
        <v>1841</v>
      </c>
      <c r="F282" s="12">
        <v>17.5959</v>
      </c>
      <c r="G282" s="12">
        <v>8.6695100000000007</v>
      </c>
      <c r="H282" s="13">
        <v>-1.02122</v>
      </c>
    </row>
    <row r="283" spans="1:8" s="12" customFormat="1" ht="15" x14ac:dyDescent="0.2">
      <c r="A283" s="12" t="s">
        <v>1246</v>
      </c>
      <c r="B283" s="12" t="s">
        <v>3015</v>
      </c>
      <c r="C283" s="12" t="s">
        <v>2454</v>
      </c>
      <c r="D283" s="12" t="s">
        <v>1839</v>
      </c>
      <c r="E283" s="12" t="s">
        <v>1841</v>
      </c>
      <c r="F283" s="12">
        <v>0.99059399999999997</v>
      </c>
      <c r="G283" s="12">
        <v>0.48846400000000001</v>
      </c>
      <c r="H283" s="13">
        <v>-1.0200400000000001</v>
      </c>
    </row>
    <row r="284" spans="1:8" s="12" customFormat="1" ht="15" x14ac:dyDescent="0.2">
      <c r="A284" s="12" t="s">
        <v>587</v>
      </c>
      <c r="B284" s="12" t="s">
        <v>3015</v>
      </c>
      <c r="C284" s="12" t="s">
        <v>3015</v>
      </c>
      <c r="D284" s="12" t="s">
        <v>1839</v>
      </c>
      <c r="E284" s="12" t="s">
        <v>1841</v>
      </c>
      <c r="F284" s="12">
        <v>2.36022</v>
      </c>
      <c r="G284" s="12">
        <v>1.16431</v>
      </c>
      <c r="H284" s="13">
        <v>-1.0194399999999999</v>
      </c>
    </row>
    <row r="285" spans="1:8" s="12" customFormat="1" ht="15" x14ac:dyDescent="0.2">
      <c r="A285" s="12" t="s">
        <v>1510</v>
      </c>
      <c r="B285" s="12" t="s">
        <v>3015</v>
      </c>
      <c r="C285" s="12" t="s">
        <v>3015</v>
      </c>
      <c r="D285" s="12" t="s">
        <v>1839</v>
      </c>
      <c r="E285" s="12" t="s">
        <v>1841</v>
      </c>
      <c r="F285" s="12">
        <v>12.424899999999999</v>
      </c>
      <c r="G285" s="12">
        <v>6.1330200000000001</v>
      </c>
      <c r="H285" s="13">
        <v>-1.01857</v>
      </c>
    </row>
    <row r="286" spans="1:8" s="12" customFormat="1" ht="15" x14ac:dyDescent="0.2">
      <c r="A286" s="12" t="s">
        <v>1776</v>
      </c>
      <c r="B286" s="12" t="s">
        <v>3015</v>
      </c>
      <c r="C286" s="12" t="s">
        <v>2950</v>
      </c>
      <c r="D286" s="12" t="s">
        <v>1839</v>
      </c>
      <c r="E286" s="12" t="s">
        <v>1841</v>
      </c>
      <c r="F286" s="12">
        <v>5.2659799999999999</v>
      </c>
      <c r="G286" s="12">
        <v>2.6023700000000001</v>
      </c>
      <c r="H286" s="13">
        <v>-1.01688</v>
      </c>
    </row>
    <row r="287" spans="1:8" s="12" customFormat="1" ht="15" x14ac:dyDescent="0.2">
      <c r="A287" s="12" t="s">
        <v>1692</v>
      </c>
      <c r="B287" s="12" t="s">
        <v>3015</v>
      </c>
      <c r="C287" s="12" t="s">
        <v>2861</v>
      </c>
      <c r="D287" s="12" t="s">
        <v>1839</v>
      </c>
      <c r="E287" s="12" t="s">
        <v>1841</v>
      </c>
      <c r="F287" s="12">
        <v>2.9653999999999998</v>
      </c>
      <c r="G287" s="12">
        <v>1.46576</v>
      </c>
      <c r="H287" s="13">
        <v>-1.01657</v>
      </c>
    </row>
    <row r="288" spans="1:8" s="12" customFormat="1" ht="15" x14ac:dyDescent="0.2">
      <c r="A288" s="12" t="s">
        <v>27</v>
      </c>
      <c r="B288" s="12" t="s">
        <v>3030</v>
      </c>
      <c r="C288" s="12" t="s">
        <v>1854</v>
      </c>
      <c r="D288" s="12" t="s">
        <v>1839</v>
      </c>
      <c r="E288" s="12" t="s">
        <v>1841</v>
      </c>
      <c r="F288" s="12">
        <v>1.22841</v>
      </c>
      <c r="G288" s="12">
        <v>0.60782599999999998</v>
      </c>
      <c r="H288" s="13">
        <v>-1.0150600000000001</v>
      </c>
    </row>
    <row r="289" spans="1:8" s="12" customFormat="1" ht="15" x14ac:dyDescent="0.2">
      <c r="A289" s="12" t="s">
        <v>1592</v>
      </c>
      <c r="B289" s="12" t="s">
        <v>3423</v>
      </c>
      <c r="C289" s="12" t="s">
        <v>2751</v>
      </c>
      <c r="D289" s="12" t="s">
        <v>1839</v>
      </c>
      <c r="E289" s="12" t="s">
        <v>1841</v>
      </c>
      <c r="F289" s="12">
        <v>4.6430300000000004</v>
      </c>
      <c r="G289" s="12">
        <v>2.298</v>
      </c>
      <c r="H289" s="13">
        <v>-1.0146900000000001</v>
      </c>
    </row>
    <row r="290" spans="1:8" s="12" customFormat="1" ht="15" x14ac:dyDescent="0.2">
      <c r="A290" s="12" t="s">
        <v>838</v>
      </c>
      <c r="B290" s="12" t="s">
        <v>3015</v>
      </c>
      <c r="C290" s="12" t="s">
        <v>3015</v>
      </c>
      <c r="D290" s="12" t="s">
        <v>1839</v>
      </c>
      <c r="E290" s="12" t="s">
        <v>1841</v>
      </c>
      <c r="F290" s="12">
        <v>5.8734599999999997</v>
      </c>
      <c r="G290" s="12">
        <v>2.9093200000000001</v>
      </c>
      <c r="H290" s="13">
        <v>-1.01353</v>
      </c>
    </row>
    <row r="291" spans="1:8" s="12" customFormat="1" ht="15" x14ac:dyDescent="0.2">
      <c r="A291" s="12" t="s">
        <v>1542</v>
      </c>
      <c r="B291" s="12" t="s">
        <v>3015</v>
      </c>
      <c r="C291" s="12" t="s">
        <v>2692</v>
      </c>
      <c r="D291" s="12" t="s">
        <v>1839</v>
      </c>
      <c r="E291" s="12" t="s">
        <v>1841</v>
      </c>
      <c r="F291" s="12">
        <v>780.13900000000001</v>
      </c>
      <c r="G291" s="12">
        <v>386.524</v>
      </c>
      <c r="H291" s="13">
        <v>-1.0131699999999999</v>
      </c>
    </row>
    <row r="292" spans="1:8" s="12" customFormat="1" ht="15" x14ac:dyDescent="0.2">
      <c r="A292" s="12" t="s">
        <v>1037</v>
      </c>
      <c r="B292" s="12" t="s">
        <v>3015</v>
      </c>
      <c r="C292" s="12" t="s">
        <v>3015</v>
      </c>
      <c r="D292" s="12" t="s">
        <v>1839</v>
      </c>
      <c r="E292" s="12" t="s">
        <v>1841</v>
      </c>
      <c r="F292" s="12">
        <v>1.9810300000000001</v>
      </c>
      <c r="G292" s="12">
        <v>0.98192299999999999</v>
      </c>
      <c r="H292" s="13">
        <v>-1.01257</v>
      </c>
    </row>
    <row r="293" spans="1:8" s="12" customFormat="1" ht="15" x14ac:dyDescent="0.2">
      <c r="A293" s="12" t="s">
        <v>1376</v>
      </c>
      <c r="B293" s="12" t="s">
        <v>3356</v>
      </c>
      <c r="C293" s="12" t="s">
        <v>2554</v>
      </c>
      <c r="D293" s="12" t="s">
        <v>1839</v>
      </c>
      <c r="E293" s="12" t="s">
        <v>1841</v>
      </c>
      <c r="F293" s="12">
        <v>1.9173</v>
      </c>
      <c r="G293" s="12">
        <v>0.951932</v>
      </c>
      <c r="H293" s="13">
        <v>-1.0101500000000001</v>
      </c>
    </row>
    <row r="294" spans="1:8" s="12" customFormat="1" ht="15" x14ac:dyDescent="0.2">
      <c r="A294" s="12" t="s">
        <v>375</v>
      </c>
      <c r="B294" s="12" t="s">
        <v>3047</v>
      </c>
      <c r="C294" s="12" t="s">
        <v>2277</v>
      </c>
      <c r="D294" s="12" t="s">
        <v>1839</v>
      </c>
      <c r="E294" s="12" t="s">
        <v>1841</v>
      </c>
      <c r="F294" s="12">
        <v>2.81433</v>
      </c>
      <c r="G294" s="12">
        <v>1.39819</v>
      </c>
      <c r="H294" s="13">
        <v>-1.0092300000000001</v>
      </c>
    </row>
    <row r="295" spans="1:8" s="12" customFormat="1" ht="15" x14ac:dyDescent="0.2">
      <c r="A295" s="12" t="s">
        <v>548</v>
      </c>
      <c r="B295" s="12" t="s">
        <v>3015</v>
      </c>
      <c r="C295" s="12" t="s">
        <v>2102</v>
      </c>
      <c r="D295" s="12" t="s">
        <v>1839</v>
      </c>
      <c r="E295" s="12" t="s">
        <v>1841</v>
      </c>
      <c r="F295" s="12">
        <v>250.36600000000001</v>
      </c>
      <c r="G295" s="12">
        <v>124.57599999999999</v>
      </c>
      <c r="H295" s="13">
        <v>-1.00701</v>
      </c>
    </row>
    <row r="296" spans="1:8" s="12" customFormat="1" ht="15" x14ac:dyDescent="0.2">
      <c r="A296" s="12" t="s">
        <v>1774</v>
      </c>
      <c r="B296" s="12" t="s">
        <v>3015</v>
      </c>
      <c r="C296" s="12" t="s">
        <v>2947</v>
      </c>
      <c r="D296" s="12" t="s">
        <v>1839</v>
      </c>
      <c r="E296" s="12" t="s">
        <v>1841</v>
      </c>
      <c r="F296" s="12">
        <v>2.59056</v>
      </c>
      <c r="G296" s="12">
        <v>1.29009</v>
      </c>
      <c r="H296" s="13">
        <v>-1.0058</v>
      </c>
    </row>
    <row r="297" spans="1:8" s="12" customFormat="1" ht="15" x14ac:dyDescent="0.2">
      <c r="A297" s="12" t="s">
        <v>218</v>
      </c>
      <c r="B297" s="12" t="s">
        <v>3015</v>
      </c>
      <c r="C297" s="12" t="s">
        <v>3015</v>
      </c>
      <c r="D297" s="12" t="s">
        <v>1839</v>
      </c>
      <c r="E297" s="12" t="s">
        <v>1841</v>
      </c>
      <c r="F297" s="12">
        <v>4.56569</v>
      </c>
      <c r="G297" s="12">
        <v>2.2784200000000001</v>
      </c>
      <c r="H297" s="13">
        <v>-1.0027999999999999</v>
      </c>
    </row>
    <row r="298" spans="1:8" s="12" customFormat="1" ht="15" x14ac:dyDescent="0.2">
      <c r="A298" s="12" t="s">
        <v>1538</v>
      </c>
      <c r="B298" s="12" t="s">
        <v>3015</v>
      </c>
      <c r="C298" s="12" t="s">
        <v>3015</v>
      </c>
      <c r="D298" s="12" t="s">
        <v>1839</v>
      </c>
      <c r="E298" s="12" t="s">
        <v>1841</v>
      </c>
      <c r="F298" s="12">
        <v>29.958600000000001</v>
      </c>
      <c r="G298" s="12">
        <v>14.9689</v>
      </c>
      <c r="H298" s="13">
        <v>-1.0009999999999999</v>
      </c>
    </row>
    <row r="299" spans="1:8" s="12" customFormat="1" ht="15" x14ac:dyDescent="0.2">
      <c r="A299" s="12" t="s">
        <v>1551</v>
      </c>
      <c r="B299" s="12" t="s">
        <v>3015</v>
      </c>
      <c r="C299" s="12" t="s">
        <v>3015</v>
      </c>
      <c r="D299" s="12" t="s">
        <v>1839</v>
      </c>
      <c r="E299" s="12" t="s">
        <v>1841</v>
      </c>
      <c r="F299" s="12">
        <v>7.89316</v>
      </c>
      <c r="G299" s="12">
        <v>3.9451399999999999</v>
      </c>
      <c r="H299" s="13">
        <v>-1.0005299999999999</v>
      </c>
    </row>
    <row r="300" spans="1:8" s="12" customFormat="1" ht="15" x14ac:dyDescent="0.2">
      <c r="A300" s="12" t="s">
        <v>341</v>
      </c>
      <c r="B300" s="12" t="s">
        <v>3015</v>
      </c>
      <c r="C300" s="12" t="s">
        <v>3015</v>
      </c>
      <c r="D300" s="12" t="s">
        <v>1839</v>
      </c>
      <c r="E300" s="12" t="s">
        <v>1841</v>
      </c>
      <c r="F300" s="12">
        <v>4.0306899999999999</v>
      </c>
      <c r="G300" s="12">
        <v>2.0152399999999999</v>
      </c>
      <c r="H300" s="13">
        <v>-1.00007</v>
      </c>
    </row>
    <row r="301" spans="1:8" s="12" customFormat="1" ht="15" x14ac:dyDescent="0.2">
      <c r="A301" s="12" t="s">
        <v>8</v>
      </c>
      <c r="B301" s="12" t="s">
        <v>3015</v>
      </c>
      <c r="C301" s="12" t="s">
        <v>3015</v>
      </c>
      <c r="D301" s="12" t="s">
        <v>1839</v>
      </c>
      <c r="E301" s="12" t="s">
        <v>1841</v>
      </c>
      <c r="F301" s="12">
        <v>1.7303500000000001</v>
      </c>
      <c r="G301" s="12">
        <v>0</v>
      </c>
      <c r="H301" s="6" t="s">
        <v>3510</v>
      </c>
    </row>
    <row r="302" spans="1:8" s="12" customFormat="1" ht="15" x14ac:dyDescent="0.2">
      <c r="A302" s="12" t="s">
        <v>1746</v>
      </c>
      <c r="B302" s="12" t="s">
        <v>3015</v>
      </c>
      <c r="C302" s="12" t="s">
        <v>2913</v>
      </c>
      <c r="D302" s="12" t="s">
        <v>1839</v>
      </c>
      <c r="E302" s="12" t="s">
        <v>1841</v>
      </c>
      <c r="F302" s="12">
        <v>0.84472000000000003</v>
      </c>
      <c r="G302" s="12">
        <v>0</v>
      </c>
      <c r="H302" s="6" t="s">
        <v>3510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workbookViewId="0"/>
  </sheetViews>
  <sheetFormatPr defaultColWidth="8.875" defaultRowHeight="14.25" x14ac:dyDescent="0.2"/>
  <cols>
    <col min="1" max="2" width="23" style="1" customWidth="1"/>
    <col min="3" max="3" width="55.375" customWidth="1"/>
    <col min="4" max="4" width="13.5" customWidth="1"/>
    <col min="5" max="5" width="16.125" customWidth="1"/>
    <col min="6" max="7" width="9.125" bestFit="1" customWidth="1"/>
    <col min="8" max="8" width="9.625" style="14" bestFit="1" customWidth="1"/>
  </cols>
  <sheetData>
    <row r="1" spans="1:13" ht="20.25" x14ac:dyDescent="0.2">
      <c r="A1" s="11" t="s">
        <v>3530</v>
      </c>
    </row>
    <row r="2" spans="1:13" s="25" customFormat="1" ht="18.75" x14ac:dyDescent="0.2">
      <c r="A2" s="28" t="s">
        <v>3538</v>
      </c>
      <c r="B2" s="28"/>
      <c r="H2" s="33"/>
    </row>
    <row r="3" spans="1:13" s="25" customFormat="1" ht="18" x14ac:dyDescent="0.2">
      <c r="A3" s="28" t="s">
        <v>3515</v>
      </c>
      <c r="B3" s="28"/>
      <c r="H3" s="33"/>
    </row>
    <row r="4" spans="1:13" s="25" customFormat="1" ht="18" x14ac:dyDescent="0.2">
      <c r="A4" s="28" t="s">
        <v>3020</v>
      </c>
      <c r="B4" s="28" t="s">
        <v>3514</v>
      </c>
      <c r="C4" s="25" t="s">
        <v>1843</v>
      </c>
      <c r="D4" s="29" t="s">
        <v>0</v>
      </c>
      <c r="E4" s="29" t="s">
        <v>1</v>
      </c>
      <c r="F4" s="29" t="s">
        <v>2</v>
      </c>
      <c r="G4" s="29" t="s">
        <v>3</v>
      </c>
      <c r="H4" s="38" t="s">
        <v>4</v>
      </c>
      <c r="I4" s="29"/>
      <c r="J4" s="29"/>
      <c r="K4" s="29"/>
      <c r="L4" s="29"/>
      <c r="M4" s="29"/>
    </row>
    <row r="5" spans="1:13" s="2" customFormat="1" ht="15" x14ac:dyDescent="0.2">
      <c r="A5" s="5" t="s">
        <v>1817</v>
      </c>
      <c r="B5" s="2" t="s">
        <v>3015</v>
      </c>
      <c r="C5" s="2" t="s">
        <v>3015</v>
      </c>
      <c r="D5" s="3" t="s">
        <v>1839</v>
      </c>
      <c r="E5" s="3" t="s">
        <v>1840</v>
      </c>
      <c r="F5" s="3">
        <v>1.1266700000000001</v>
      </c>
      <c r="G5" s="3">
        <v>0.14790700000000001</v>
      </c>
      <c r="H5" s="6">
        <v>-2.9293100000000001</v>
      </c>
      <c r="J5" s="4"/>
      <c r="K5" s="3"/>
      <c r="L5" s="3"/>
    </row>
    <row r="6" spans="1:13" s="2" customFormat="1" ht="15" x14ac:dyDescent="0.2">
      <c r="A6" s="5" t="s">
        <v>803</v>
      </c>
      <c r="B6" s="2" t="s">
        <v>3093</v>
      </c>
      <c r="C6" s="2" t="s">
        <v>2209</v>
      </c>
      <c r="D6" s="3" t="s">
        <v>1839</v>
      </c>
      <c r="E6" s="3" t="s">
        <v>1840</v>
      </c>
      <c r="F6" s="3">
        <v>147.08500000000001</v>
      </c>
      <c r="G6" s="3">
        <v>35.334899999999998</v>
      </c>
      <c r="H6" s="6">
        <v>-2.05748</v>
      </c>
      <c r="J6" s="4"/>
      <c r="K6" s="3"/>
      <c r="L6" s="3"/>
    </row>
    <row r="7" spans="1:13" s="2" customFormat="1" ht="15" x14ac:dyDescent="0.2">
      <c r="A7" s="5" t="s">
        <v>1449</v>
      </c>
      <c r="B7" s="2" t="s">
        <v>3379</v>
      </c>
      <c r="C7" s="2" t="s">
        <v>2600</v>
      </c>
      <c r="D7" s="3" t="s">
        <v>1839</v>
      </c>
      <c r="E7" s="3" t="s">
        <v>1840</v>
      </c>
      <c r="F7" s="3">
        <v>1.2545200000000001</v>
      </c>
      <c r="G7" s="3">
        <v>0.30783300000000002</v>
      </c>
      <c r="H7" s="6">
        <v>-2.0269200000000001</v>
      </c>
    </row>
    <row r="8" spans="1:13" s="2" customFormat="1" ht="15" x14ac:dyDescent="0.2">
      <c r="A8" s="5" t="s">
        <v>1693</v>
      </c>
      <c r="B8" s="2" t="s">
        <v>3030</v>
      </c>
      <c r="C8" s="2" t="s">
        <v>3015</v>
      </c>
      <c r="D8" s="3" t="s">
        <v>1839</v>
      </c>
      <c r="E8" s="3" t="s">
        <v>1840</v>
      </c>
      <c r="F8" s="3">
        <v>1.78399</v>
      </c>
      <c r="G8" s="3">
        <v>0.44422299999999998</v>
      </c>
      <c r="H8" s="6">
        <v>-2.0057499999999999</v>
      </c>
    </row>
    <row r="9" spans="1:13" s="2" customFormat="1" ht="15" x14ac:dyDescent="0.2">
      <c r="A9" s="5" t="s">
        <v>1001</v>
      </c>
      <c r="B9" s="2" t="s">
        <v>3015</v>
      </c>
      <c r="C9" s="2" t="s">
        <v>2312</v>
      </c>
      <c r="D9" s="3" t="s">
        <v>1839</v>
      </c>
      <c r="E9" s="3" t="s">
        <v>1840</v>
      </c>
      <c r="F9" s="3">
        <v>2.9210500000000001</v>
      </c>
      <c r="G9" s="3">
        <v>0.83888700000000005</v>
      </c>
      <c r="H9" s="6">
        <v>-1.7999400000000001</v>
      </c>
    </row>
    <row r="10" spans="1:13" s="2" customFormat="1" ht="15" x14ac:dyDescent="0.2">
      <c r="A10" s="5" t="s">
        <v>380</v>
      </c>
      <c r="B10" s="2" t="s">
        <v>3121</v>
      </c>
      <c r="C10" s="2" t="s">
        <v>2750</v>
      </c>
      <c r="D10" s="3" t="s">
        <v>1839</v>
      </c>
      <c r="E10" s="3" t="s">
        <v>1840</v>
      </c>
      <c r="F10" s="3">
        <v>8.7213799999999999</v>
      </c>
      <c r="G10" s="3">
        <v>2.5461100000000001</v>
      </c>
      <c r="H10" s="6">
        <v>-1.77626</v>
      </c>
    </row>
    <row r="11" spans="1:13" s="2" customFormat="1" ht="15" x14ac:dyDescent="0.2">
      <c r="A11" s="5" t="s">
        <v>1801</v>
      </c>
      <c r="B11" s="2" t="s">
        <v>3026</v>
      </c>
      <c r="C11" s="2" t="s">
        <v>2979</v>
      </c>
      <c r="D11" s="3" t="s">
        <v>1839</v>
      </c>
      <c r="E11" s="3" t="s">
        <v>1840</v>
      </c>
      <c r="F11" s="3">
        <v>1.05522</v>
      </c>
      <c r="G11" s="3">
        <v>0.31259700000000001</v>
      </c>
      <c r="H11" s="6">
        <v>-1.75518</v>
      </c>
    </row>
    <row r="12" spans="1:13" s="2" customFormat="1" ht="15" x14ac:dyDescent="0.2">
      <c r="A12" s="5" t="s">
        <v>1665</v>
      </c>
      <c r="B12" s="2" t="s">
        <v>3062</v>
      </c>
      <c r="C12" s="2" t="s">
        <v>2997</v>
      </c>
      <c r="D12" s="3" t="s">
        <v>1839</v>
      </c>
      <c r="E12" s="3" t="s">
        <v>1840</v>
      </c>
      <c r="F12" s="3">
        <v>1.8363700000000001</v>
      </c>
      <c r="G12" s="3">
        <v>0.54770200000000002</v>
      </c>
      <c r="H12" s="6">
        <v>-1.74539</v>
      </c>
    </row>
    <row r="13" spans="1:13" s="2" customFormat="1" ht="15" x14ac:dyDescent="0.2">
      <c r="A13" s="5" t="s">
        <v>429</v>
      </c>
      <c r="B13" s="2" t="s">
        <v>3094</v>
      </c>
      <c r="C13" s="2" t="s">
        <v>2042</v>
      </c>
      <c r="D13" s="3" t="s">
        <v>1839</v>
      </c>
      <c r="E13" s="3" t="s">
        <v>1840</v>
      </c>
      <c r="F13" s="3">
        <v>3.6671900000000002</v>
      </c>
      <c r="G13" s="3">
        <v>1.09918</v>
      </c>
      <c r="H13" s="6">
        <v>-1.7382500000000001</v>
      </c>
    </row>
    <row r="14" spans="1:13" s="2" customFormat="1" ht="15" x14ac:dyDescent="0.2">
      <c r="A14" s="5" t="s">
        <v>794</v>
      </c>
      <c r="B14" s="2" t="s">
        <v>3015</v>
      </c>
      <c r="C14" s="2" t="s">
        <v>2197</v>
      </c>
      <c r="D14" s="3" t="s">
        <v>1839</v>
      </c>
      <c r="E14" s="3" t="s">
        <v>1840</v>
      </c>
      <c r="F14" s="3">
        <v>7.4331100000000001</v>
      </c>
      <c r="G14" s="3">
        <v>2.2809499999999998</v>
      </c>
      <c r="H14" s="6">
        <v>-1.7043299999999999</v>
      </c>
    </row>
    <row r="15" spans="1:13" s="2" customFormat="1" ht="15" x14ac:dyDescent="0.2">
      <c r="A15" s="5" t="s">
        <v>1767</v>
      </c>
      <c r="B15" s="2" t="s">
        <v>3030</v>
      </c>
      <c r="C15" s="2" t="s">
        <v>2940</v>
      </c>
      <c r="D15" s="3" t="s">
        <v>1839</v>
      </c>
      <c r="E15" s="3" t="s">
        <v>1840</v>
      </c>
      <c r="F15" s="3">
        <v>2.8555799999999998</v>
      </c>
      <c r="G15" s="3">
        <v>0.948515</v>
      </c>
      <c r="H15" s="6">
        <v>-1.5900399999999999</v>
      </c>
    </row>
    <row r="16" spans="1:13" s="2" customFormat="1" ht="15" x14ac:dyDescent="0.2">
      <c r="A16" s="5" t="s">
        <v>735</v>
      </c>
      <c r="B16" s="2" t="s">
        <v>3171</v>
      </c>
      <c r="C16" s="2" t="s">
        <v>2123</v>
      </c>
      <c r="D16" s="3" t="s">
        <v>1839</v>
      </c>
      <c r="E16" s="3" t="s">
        <v>1840</v>
      </c>
      <c r="F16" s="3">
        <v>3.6709499999999999</v>
      </c>
      <c r="G16" s="3">
        <v>1.2569999999999999</v>
      </c>
      <c r="H16" s="6">
        <v>-1.54617</v>
      </c>
    </row>
    <row r="17" spans="1:8" s="2" customFormat="1" ht="15" x14ac:dyDescent="0.2">
      <c r="A17" s="5" t="s">
        <v>1674</v>
      </c>
      <c r="B17" s="2" t="s">
        <v>3015</v>
      </c>
      <c r="C17" s="2" t="s">
        <v>1862</v>
      </c>
      <c r="D17" s="3" t="s">
        <v>1839</v>
      </c>
      <c r="E17" s="3" t="s">
        <v>1840</v>
      </c>
      <c r="F17" s="3">
        <v>0.91466199999999998</v>
      </c>
      <c r="G17" s="3">
        <v>0.32293699999999997</v>
      </c>
      <c r="H17" s="6">
        <v>-1.5019800000000001</v>
      </c>
    </row>
    <row r="18" spans="1:8" s="2" customFormat="1" ht="15" x14ac:dyDescent="0.2">
      <c r="A18" s="5" t="s">
        <v>734</v>
      </c>
      <c r="B18" s="2" t="s">
        <v>3081</v>
      </c>
      <c r="C18" s="2" t="s">
        <v>2489</v>
      </c>
      <c r="D18" s="3" t="s">
        <v>1839</v>
      </c>
      <c r="E18" s="3" t="s">
        <v>1840</v>
      </c>
      <c r="F18" s="3">
        <v>52.354300000000002</v>
      </c>
      <c r="G18" s="3">
        <v>18.5915</v>
      </c>
      <c r="H18" s="6">
        <v>-1.49366</v>
      </c>
    </row>
    <row r="19" spans="1:8" s="2" customFormat="1" ht="15" x14ac:dyDescent="0.2">
      <c r="A19" s="5" t="s">
        <v>1189</v>
      </c>
      <c r="B19" s="2" t="s">
        <v>3269</v>
      </c>
      <c r="C19" s="2" t="s">
        <v>2981</v>
      </c>
      <c r="D19" s="3" t="s">
        <v>1839</v>
      </c>
      <c r="E19" s="3" t="s">
        <v>1840</v>
      </c>
      <c r="F19" s="3">
        <v>0.82891800000000004</v>
      </c>
      <c r="G19" s="3">
        <v>0.29592200000000002</v>
      </c>
      <c r="H19" s="6">
        <v>-1.4860100000000001</v>
      </c>
    </row>
    <row r="20" spans="1:8" s="2" customFormat="1" ht="15" x14ac:dyDescent="0.2">
      <c r="A20" s="5" t="s">
        <v>1551</v>
      </c>
      <c r="B20" s="2" t="s">
        <v>3015</v>
      </c>
      <c r="C20" s="2" t="s">
        <v>3015</v>
      </c>
      <c r="D20" s="3" t="s">
        <v>1839</v>
      </c>
      <c r="E20" s="3" t="s">
        <v>1840</v>
      </c>
      <c r="F20" s="3">
        <v>7.89316</v>
      </c>
      <c r="G20" s="3">
        <v>2.8633899999999999</v>
      </c>
      <c r="H20" s="6">
        <v>-1.46288</v>
      </c>
    </row>
    <row r="21" spans="1:8" s="2" customFormat="1" ht="15" x14ac:dyDescent="0.2">
      <c r="A21" s="5" t="s">
        <v>1368</v>
      </c>
      <c r="B21" s="2" t="s">
        <v>3015</v>
      </c>
      <c r="C21" s="2" t="s">
        <v>1847</v>
      </c>
      <c r="D21" s="3" t="s">
        <v>1839</v>
      </c>
      <c r="E21" s="3" t="s">
        <v>1840</v>
      </c>
      <c r="F21" s="3">
        <v>5.4162600000000003</v>
      </c>
      <c r="G21" s="3">
        <v>1.96546</v>
      </c>
      <c r="H21" s="6">
        <v>-1.4624299999999999</v>
      </c>
    </row>
    <row r="22" spans="1:8" s="2" customFormat="1" ht="15" x14ac:dyDescent="0.2">
      <c r="A22" s="5" t="s">
        <v>1513</v>
      </c>
      <c r="B22" s="2" t="s">
        <v>3015</v>
      </c>
      <c r="C22" s="2" t="s">
        <v>1904</v>
      </c>
      <c r="D22" s="3" t="s">
        <v>1839</v>
      </c>
      <c r="E22" s="3" t="s">
        <v>1840</v>
      </c>
      <c r="F22" s="3">
        <v>2.9752900000000002</v>
      </c>
      <c r="G22" s="3">
        <v>1.08639</v>
      </c>
      <c r="H22" s="6">
        <v>-1.4534899999999999</v>
      </c>
    </row>
    <row r="23" spans="1:8" s="2" customFormat="1" ht="15" x14ac:dyDescent="0.2">
      <c r="A23" s="5" t="s">
        <v>364</v>
      </c>
      <c r="B23" s="2" t="s">
        <v>3015</v>
      </c>
      <c r="C23" s="2" t="s">
        <v>2010</v>
      </c>
      <c r="D23" s="3" t="s">
        <v>1839</v>
      </c>
      <c r="E23" s="3" t="s">
        <v>1840</v>
      </c>
      <c r="F23" s="3">
        <v>1.4238599999999999</v>
      </c>
      <c r="G23" s="3">
        <v>0.52838200000000002</v>
      </c>
      <c r="H23" s="6">
        <v>-1.4301600000000001</v>
      </c>
    </row>
    <row r="24" spans="1:8" s="2" customFormat="1" ht="15" x14ac:dyDescent="0.2">
      <c r="A24" s="5" t="s">
        <v>1132</v>
      </c>
      <c r="B24" s="2" t="s">
        <v>3015</v>
      </c>
      <c r="C24" s="2" t="s">
        <v>2368</v>
      </c>
      <c r="D24" s="3" t="s">
        <v>1839</v>
      </c>
      <c r="E24" s="3" t="s">
        <v>1840</v>
      </c>
      <c r="F24" s="3">
        <v>0.75709499999999996</v>
      </c>
      <c r="G24" s="3">
        <v>0.28344000000000003</v>
      </c>
      <c r="H24" s="6">
        <v>-1.41743</v>
      </c>
    </row>
    <row r="25" spans="1:8" s="2" customFormat="1" ht="15" x14ac:dyDescent="0.2">
      <c r="A25" s="5" t="s">
        <v>1567</v>
      </c>
      <c r="B25" s="2" t="s">
        <v>3155</v>
      </c>
      <c r="C25" s="2" t="s">
        <v>2723</v>
      </c>
      <c r="D25" s="3" t="s">
        <v>1839</v>
      </c>
      <c r="E25" s="3" t="s">
        <v>1840</v>
      </c>
      <c r="F25" s="3">
        <v>3.49817</v>
      </c>
      <c r="G25" s="3">
        <v>1.3207899999999999</v>
      </c>
      <c r="H25" s="6">
        <v>-1.4052</v>
      </c>
    </row>
    <row r="26" spans="1:8" s="2" customFormat="1" ht="15" x14ac:dyDescent="0.2">
      <c r="A26" s="5" t="s">
        <v>210</v>
      </c>
      <c r="B26" s="2" t="s">
        <v>3015</v>
      </c>
      <c r="C26" s="2" t="s">
        <v>2681</v>
      </c>
      <c r="D26" s="3" t="s">
        <v>1839</v>
      </c>
      <c r="E26" s="3" t="s">
        <v>1840</v>
      </c>
      <c r="F26" s="3">
        <v>2.04576</v>
      </c>
      <c r="G26" s="3">
        <v>0.77570899999999998</v>
      </c>
      <c r="H26" s="6">
        <v>-1.3990499999999999</v>
      </c>
    </row>
    <row r="27" spans="1:8" s="2" customFormat="1" ht="15" x14ac:dyDescent="0.2">
      <c r="A27" s="5" t="s">
        <v>1716</v>
      </c>
      <c r="B27" s="2" t="s">
        <v>3015</v>
      </c>
      <c r="C27" s="2" t="s">
        <v>2202</v>
      </c>
      <c r="D27" s="3" t="s">
        <v>1839</v>
      </c>
      <c r="E27" s="3" t="s">
        <v>1840</v>
      </c>
      <c r="F27" s="3">
        <v>10.684799999999999</v>
      </c>
      <c r="G27" s="3">
        <v>4.0705600000000004</v>
      </c>
      <c r="H27" s="6">
        <v>-1.39225</v>
      </c>
    </row>
    <row r="28" spans="1:8" s="2" customFormat="1" ht="15" x14ac:dyDescent="0.2">
      <c r="A28" s="5" t="s">
        <v>1537</v>
      </c>
      <c r="B28" s="2" t="s">
        <v>3015</v>
      </c>
      <c r="C28" s="2" t="s">
        <v>2639</v>
      </c>
      <c r="D28" s="3" t="s">
        <v>1839</v>
      </c>
      <c r="E28" s="3" t="s">
        <v>1840</v>
      </c>
      <c r="F28" s="3">
        <v>4.9717500000000001</v>
      </c>
      <c r="G28" s="3">
        <v>1.8991</v>
      </c>
      <c r="H28" s="6">
        <v>-1.3884399999999999</v>
      </c>
    </row>
    <row r="29" spans="1:8" s="2" customFormat="1" ht="15" x14ac:dyDescent="0.2">
      <c r="A29" s="5" t="s">
        <v>217</v>
      </c>
      <c r="B29" s="2" t="s">
        <v>3189</v>
      </c>
      <c r="C29" s="2" t="s">
        <v>2683</v>
      </c>
      <c r="D29" s="3" t="s">
        <v>1839</v>
      </c>
      <c r="E29" s="3" t="s">
        <v>1840</v>
      </c>
      <c r="F29" s="3">
        <v>18.111999999999998</v>
      </c>
      <c r="G29" s="3">
        <v>7.1253399999999996</v>
      </c>
      <c r="H29" s="6">
        <v>-1.34592</v>
      </c>
    </row>
    <row r="30" spans="1:8" s="2" customFormat="1" ht="15" x14ac:dyDescent="0.2">
      <c r="A30" s="5" t="s">
        <v>753</v>
      </c>
      <c r="B30" s="2" t="s">
        <v>3015</v>
      </c>
      <c r="C30" s="2" t="s">
        <v>2871</v>
      </c>
      <c r="D30" s="3" t="s">
        <v>1839</v>
      </c>
      <c r="E30" s="3" t="s">
        <v>1840</v>
      </c>
      <c r="F30" s="3">
        <v>8.2241199999999992</v>
      </c>
      <c r="G30" s="3">
        <v>3.25021</v>
      </c>
      <c r="H30" s="6">
        <v>-1.3393299999999999</v>
      </c>
    </row>
    <row r="31" spans="1:8" s="2" customFormat="1" ht="15" x14ac:dyDescent="0.2">
      <c r="A31" s="5" t="s">
        <v>531</v>
      </c>
      <c r="B31" s="2" t="s">
        <v>3093</v>
      </c>
      <c r="C31" s="2" t="s">
        <v>2094</v>
      </c>
      <c r="D31" s="3" t="s">
        <v>1839</v>
      </c>
      <c r="E31" s="3" t="s">
        <v>1840</v>
      </c>
      <c r="F31" s="3">
        <v>0.78532199999999996</v>
      </c>
      <c r="G31" s="3">
        <v>0.31211699999999998</v>
      </c>
      <c r="H31" s="6">
        <v>-1.3311999999999999</v>
      </c>
    </row>
    <row r="32" spans="1:8" s="2" customFormat="1" ht="15" x14ac:dyDescent="0.2">
      <c r="A32" s="5" t="s">
        <v>615</v>
      </c>
      <c r="B32" s="2" t="s">
        <v>3100</v>
      </c>
      <c r="C32" s="2" t="s">
        <v>1948</v>
      </c>
      <c r="D32" s="3" t="s">
        <v>1839</v>
      </c>
      <c r="E32" s="3" t="s">
        <v>1840</v>
      </c>
      <c r="F32" s="3">
        <v>1.58294</v>
      </c>
      <c r="G32" s="3">
        <v>0.63175300000000001</v>
      </c>
      <c r="H32" s="6">
        <v>-1.32518</v>
      </c>
    </row>
    <row r="33" spans="1:8" s="2" customFormat="1" ht="15" x14ac:dyDescent="0.2">
      <c r="A33" s="5" t="s">
        <v>1758</v>
      </c>
      <c r="B33" s="2" t="s">
        <v>3015</v>
      </c>
      <c r="C33" s="2" t="s">
        <v>3009</v>
      </c>
      <c r="D33" s="3" t="s">
        <v>1839</v>
      </c>
      <c r="E33" s="3" t="s">
        <v>1840</v>
      </c>
      <c r="F33" s="3">
        <v>2.6737500000000001</v>
      </c>
      <c r="G33" s="3">
        <v>1.07531</v>
      </c>
      <c r="H33" s="6">
        <v>-1.3141099999999999</v>
      </c>
    </row>
    <row r="34" spans="1:8" s="2" customFormat="1" ht="15" x14ac:dyDescent="0.2">
      <c r="A34" s="5" t="s">
        <v>1803</v>
      </c>
      <c r="B34" s="2" t="s">
        <v>3015</v>
      </c>
      <c r="C34" s="2" t="s">
        <v>3015</v>
      </c>
      <c r="D34" s="3" t="s">
        <v>1839</v>
      </c>
      <c r="E34" s="3" t="s">
        <v>1840</v>
      </c>
      <c r="F34" s="3">
        <v>6.6737599999999997</v>
      </c>
      <c r="G34" s="3">
        <v>2.69</v>
      </c>
      <c r="H34" s="6">
        <v>-1.3108900000000001</v>
      </c>
    </row>
    <row r="35" spans="1:8" s="2" customFormat="1" ht="15" x14ac:dyDescent="0.2">
      <c r="A35" s="5" t="s">
        <v>526</v>
      </c>
      <c r="B35" s="2" t="s">
        <v>3185</v>
      </c>
      <c r="C35" s="2" t="s">
        <v>2786</v>
      </c>
      <c r="D35" s="3" t="s">
        <v>1839</v>
      </c>
      <c r="E35" s="3" t="s">
        <v>1840</v>
      </c>
      <c r="F35" s="3">
        <v>5.89053</v>
      </c>
      <c r="G35" s="3">
        <v>2.37601</v>
      </c>
      <c r="H35" s="6">
        <v>-1.30986</v>
      </c>
    </row>
    <row r="36" spans="1:8" s="2" customFormat="1" ht="15" x14ac:dyDescent="0.2">
      <c r="A36" s="5" t="s">
        <v>446</v>
      </c>
      <c r="B36" s="2" t="s">
        <v>3038</v>
      </c>
      <c r="C36" s="2" t="s">
        <v>2050</v>
      </c>
      <c r="D36" s="3" t="s">
        <v>1839</v>
      </c>
      <c r="E36" s="3" t="s">
        <v>1840</v>
      </c>
      <c r="F36" s="3">
        <v>3.1097199999999998</v>
      </c>
      <c r="G36" s="3">
        <v>1.26311</v>
      </c>
      <c r="H36" s="6">
        <v>-1.2998099999999999</v>
      </c>
    </row>
    <row r="37" spans="1:8" s="2" customFormat="1" ht="15" x14ac:dyDescent="0.2">
      <c r="A37" s="5" t="s">
        <v>1768</v>
      </c>
      <c r="B37" s="2" t="s">
        <v>3015</v>
      </c>
      <c r="C37" s="2" t="s">
        <v>1847</v>
      </c>
      <c r="D37" s="3" t="s">
        <v>1839</v>
      </c>
      <c r="E37" s="3" t="s">
        <v>1840</v>
      </c>
      <c r="F37" s="3">
        <v>1.9741500000000001</v>
      </c>
      <c r="G37" s="3">
        <v>0.80283899999999997</v>
      </c>
      <c r="H37" s="6">
        <v>-1.2980499999999999</v>
      </c>
    </row>
    <row r="38" spans="1:8" s="2" customFormat="1" ht="15" x14ac:dyDescent="0.2">
      <c r="A38" s="5" t="s">
        <v>22</v>
      </c>
      <c r="B38" s="2" t="s">
        <v>3015</v>
      </c>
      <c r="C38" s="2" t="s">
        <v>3015</v>
      </c>
      <c r="D38" s="3" t="s">
        <v>1839</v>
      </c>
      <c r="E38" s="3" t="s">
        <v>1840</v>
      </c>
      <c r="F38" s="3">
        <v>1.4095</v>
      </c>
      <c r="G38" s="3">
        <v>0.57542199999999999</v>
      </c>
      <c r="H38" s="6">
        <v>-1.2924899999999999</v>
      </c>
    </row>
    <row r="39" spans="1:8" s="2" customFormat="1" ht="15" x14ac:dyDescent="0.2">
      <c r="A39" s="5" t="s">
        <v>1822</v>
      </c>
      <c r="B39" s="2" t="s">
        <v>3015</v>
      </c>
      <c r="C39" s="2" t="s">
        <v>3001</v>
      </c>
      <c r="D39" s="3" t="s">
        <v>1839</v>
      </c>
      <c r="E39" s="3" t="s">
        <v>1840</v>
      </c>
      <c r="F39" s="3">
        <v>1.13879</v>
      </c>
      <c r="G39" s="3">
        <v>0.47020699999999999</v>
      </c>
      <c r="H39" s="6">
        <v>-1.2761400000000001</v>
      </c>
    </row>
    <row r="40" spans="1:8" s="2" customFormat="1" ht="15" x14ac:dyDescent="0.2">
      <c r="A40" s="5" t="s">
        <v>1819</v>
      </c>
      <c r="B40" s="2" t="s">
        <v>3310</v>
      </c>
      <c r="C40" s="2" t="s">
        <v>2996</v>
      </c>
      <c r="D40" s="3" t="s">
        <v>1839</v>
      </c>
      <c r="E40" s="3" t="s">
        <v>1840</v>
      </c>
      <c r="F40" s="3">
        <v>1.0426899999999999</v>
      </c>
      <c r="G40" s="3">
        <v>0.43053399999999997</v>
      </c>
      <c r="H40" s="6">
        <v>-1.2761100000000001</v>
      </c>
    </row>
    <row r="41" spans="1:8" s="2" customFormat="1" ht="15" x14ac:dyDescent="0.2">
      <c r="A41" s="5" t="s">
        <v>1718</v>
      </c>
      <c r="B41" s="2" t="s">
        <v>3015</v>
      </c>
      <c r="C41" s="2" t="s">
        <v>2881</v>
      </c>
      <c r="D41" s="3" t="s">
        <v>1839</v>
      </c>
      <c r="E41" s="3" t="s">
        <v>1840</v>
      </c>
      <c r="F41" s="3">
        <v>4.1208799999999997</v>
      </c>
      <c r="G41" s="3">
        <v>1.7063900000000001</v>
      </c>
      <c r="H41" s="6">
        <v>-1.2720100000000001</v>
      </c>
    </row>
    <row r="42" spans="1:8" s="2" customFormat="1" ht="15" x14ac:dyDescent="0.2">
      <c r="A42" s="5" t="s">
        <v>1299</v>
      </c>
      <c r="B42" s="2" t="s">
        <v>3201</v>
      </c>
      <c r="C42" s="2" t="s">
        <v>2216</v>
      </c>
      <c r="D42" s="3" t="s">
        <v>1839</v>
      </c>
      <c r="E42" s="3" t="s">
        <v>1840</v>
      </c>
      <c r="F42" s="3">
        <v>9.6729800000000008</v>
      </c>
      <c r="G42" s="3">
        <v>4.0217799999999997</v>
      </c>
      <c r="H42" s="6">
        <v>-1.26613</v>
      </c>
    </row>
    <row r="43" spans="1:8" s="2" customFormat="1" ht="15" x14ac:dyDescent="0.2">
      <c r="A43" s="5" t="s">
        <v>1765</v>
      </c>
      <c r="B43" s="2" t="s">
        <v>3015</v>
      </c>
      <c r="C43" s="2" t="s">
        <v>2937</v>
      </c>
      <c r="D43" s="3" t="s">
        <v>1839</v>
      </c>
      <c r="E43" s="3" t="s">
        <v>1840</v>
      </c>
      <c r="F43" s="3">
        <v>0.84363200000000005</v>
      </c>
      <c r="G43" s="3">
        <v>0.356379</v>
      </c>
      <c r="H43" s="6">
        <v>-1.2432000000000001</v>
      </c>
    </row>
    <row r="44" spans="1:8" s="2" customFormat="1" ht="15" x14ac:dyDescent="0.2">
      <c r="A44" s="5" t="s">
        <v>1301</v>
      </c>
      <c r="B44" s="2" t="s">
        <v>3193</v>
      </c>
      <c r="C44" s="2" t="s">
        <v>2803</v>
      </c>
      <c r="D44" s="3" t="s">
        <v>1839</v>
      </c>
      <c r="E44" s="3" t="s">
        <v>1840</v>
      </c>
      <c r="F44" s="3">
        <v>6.21685</v>
      </c>
      <c r="G44" s="3">
        <v>2.6338400000000002</v>
      </c>
      <c r="H44" s="6">
        <v>-1.23902</v>
      </c>
    </row>
    <row r="45" spans="1:8" s="2" customFormat="1" ht="15" x14ac:dyDescent="0.2">
      <c r="A45" s="5" t="s">
        <v>1128</v>
      </c>
      <c r="B45" s="2" t="s">
        <v>3279</v>
      </c>
      <c r="C45" s="2" t="s">
        <v>3015</v>
      </c>
      <c r="D45" s="3" t="s">
        <v>1839</v>
      </c>
      <c r="E45" s="3" t="s">
        <v>1840</v>
      </c>
      <c r="F45" s="3">
        <v>11.676</v>
      </c>
      <c r="G45" s="3">
        <v>4.9741999999999997</v>
      </c>
      <c r="H45" s="6">
        <v>-1.2310099999999999</v>
      </c>
    </row>
    <row r="46" spans="1:8" s="2" customFormat="1" ht="15" x14ac:dyDescent="0.2">
      <c r="A46" s="5" t="s">
        <v>1686</v>
      </c>
      <c r="B46" s="2" t="s">
        <v>3049</v>
      </c>
      <c r="C46" s="2" t="s">
        <v>2855</v>
      </c>
      <c r="D46" s="3" t="s">
        <v>1839</v>
      </c>
      <c r="E46" s="3" t="s">
        <v>1840</v>
      </c>
      <c r="F46" s="3">
        <v>1.0301499999999999</v>
      </c>
      <c r="G46" s="3">
        <v>0.44484200000000002</v>
      </c>
      <c r="H46" s="6">
        <v>-1.21149</v>
      </c>
    </row>
    <row r="47" spans="1:8" s="2" customFormat="1" ht="15" x14ac:dyDescent="0.2">
      <c r="A47" s="5" t="s">
        <v>1006</v>
      </c>
      <c r="B47" s="2" t="s">
        <v>3319</v>
      </c>
      <c r="C47" s="2" t="s">
        <v>1862</v>
      </c>
      <c r="D47" s="3" t="s">
        <v>1839</v>
      </c>
      <c r="E47" s="3" t="s">
        <v>1840</v>
      </c>
      <c r="F47" s="3">
        <v>8.3578700000000001</v>
      </c>
      <c r="G47" s="3">
        <v>3.6111499999999999</v>
      </c>
      <c r="H47" s="6">
        <v>-1.21068</v>
      </c>
    </row>
    <row r="48" spans="1:8" s="2" customFormat="1" ht="15" x14ac:dyDescent="0.2">
      <c r="A48" s="5" t="s">
        <v>678</v>
      </c>
      <c r="B48" s="2" t="s">
        <v>3015</v>
      </c>
      <c r="C48" s="2" t="s">
        <v>3015</v>
      </c>
      <c r="D48" s="3" t="s">
        <v>1839</v>
      </c>
      <c r="E48" s="3" t="s">
        <v>1840</v>
      </c>
      <c r="F48" s="3">
        <v>12.1343</v>
      </c>
      <c r="G48" s="3">
        <v>5.2662000000000004</v>
      </c>
      <c r="H48" s="6">
        <v>-1.2042600000000001</v>
      </c>
    </row>
    <row r="49" spans="1:8" s="2" customFormat="1" ht="15" x14ac:dyDescent="0.2">
      <c r="A49" s="5" t="s">
        <v>1636</v>
      </c>
      <c r="B49" s="2" t="s">
        <v>3015</v>
      </c>
      <c r="C49" s="2" t="s">
        <v>3015</v>
      </c>
      <c r="D49" s="3" t="s">
        <v>1839</v>
      </c>
      <c r="E49" s="3" t="s">
        <v>1840</v>
      </c>
      <c r="F49" s="3">
        <v>4.0718699999999997</v>
      </c>
      <c r="G49" s="3">
        <v>1.8041</v>
      </c>
      <c r="H49" s="6">
        <v>-1.17441</v>
      </c>
    </row>
    <row r="50" spans="1:8" s="2" customFormat="1" ht="15" x14ac:dyDescent="0.2">
      <c r="A50" s="5" t="s">
        <v>1581</v>
      </c>
      <c r="B50" s="2" t="s">
        <v>3301</v>
      </c>
      <c r="C50" s="2" t="s">
        <v>2737</v>
      </c>
      <c r="D50" s="3" t="s">
        <v>1839</v>
      </c>
      <c r="E50" s="3" t="s">
        <v>1840</v>
      </c>
      <c r="F50" s="3">
        <v>1.28501</v>
      </c>
      <c r="G50" s="3">
        <v>0.57482800000000001</v>
      </c>
      <c r="H50" s="6">
        <v>-1.1605799999999999</v>
      </c>
    </row>
    <row r="51" spans="1:8" s="2" customFormat="1" ht="15" x14ac:dyDescent="0.2">
      <c r="A51" s="5" t="s">
        <v>704</v>
      </c>
      <c r="B51" s="2" t="s">
        <v>3015</v>
      </c>
      <c r="C51" s="2" t="s">
        <v>2853</v>
      </c>
      <c r="D51" s="3" t="s">
        <v>1839</v>
      </c>
      <c r="E51" s="3" t="s">
        <v>1840</v>
      </c>
      <c r="F51" s="3">
        <v>3.5814599999999999</v>
      </c>
      <c r="G51" s="3">
        <v>1.6023099999999999</v>
      </c>
      <c r="H51" s="6">
        <v>-1.16039</v>
      </c>
    </row>
    <row r="52" spans="1:8" s="2" customFormat="1" ht="15" x14ac:dyDescent="0.2">
      <c r="A52" s="5" t="s">
        <v>244</v>
      </c>
      <c r="B52" s="2" t="s">
        <v>3027</v>
      </c>
      <c r="C52" s="2" t="s">
        <v>2986</v>
      </c>
      <c r="D52" s="3" t="s">
        <v>1839</v>
      </c>
      <c r="E52" s="3" t="s">
        <v>1840</v>
      </c>
      <c r="F52" s="3">
        <v>18.9876</v>
      </c>
      <c r="G52" s="3">
        <v>8.4951000000000008</v>
      </c>
      <c r="H52" s="6">
        <v>-1.1603600000000001</v>
      </c>
    </row>
    <row r="53" spans="1:8" s="2" customFormat="1" ht="15" x14ac:dyDescent="0.2">
      <c r="A53" s="5" t="s">
        <v>885</v>
      </c>
      <c r="B53" s="2" t="s">
        <v>3015</v>
      </c>
      <c r="C53" s="2" t="s">
        <v>2455</v>
      </c>
      <c r="D53" s="3" t="s">
        <v>1839</v>
      </c>
      <c r="E53" s="3" t="s">
        <v>1840</v>
      </c>
      <c r="F53" s="3">
        <v>27.026499999999999</v>
      </c>
      <c r="G53" s="3">
        <v>12.1327</v>
      </c>
      <c r="H53" s="6">
        <v>-1.1554800000000001</v>
      </c>
    </row>
    <row r="54" spans="1:8" s="2" customFormat="1" ht="15" x14ac:dyDescent="0.2">
      <c r="A54" s="5" t="s">
        <v>1309</v>
      </c>
      <c r="B54" s="2" t="s">
        <v>3032</v>
      </c>
      <c r="C54" s="2" t="s">
        <v>1847</v>
      </c>
      <c r="D54" s="3" t="s">
        <v>1839</v>
      </c>
      <c r="E54" s="3" t="s">
        <v>1840</v>
      </c>
      <c r="F54" s="3">
        <v>1.8674999999999999</v>
      </c>
      <c r="G54" s="3">
        <v>0.84190399999999999</v>
      </c>
      <c r="H54" s="6">
        <v>-1.1493800000000001</v>
      </c>
    </row>
    <row r="55" spans="1:8" s="2" customFormat="1" ht="15" x14ac:dyDescent="0.2">
      <c r="A55" s="5" t="s">
        <v>1553</v>
      </c>
      <c r="B55" s="2" t="s">
        <v>3015</v>
      </c>
      <c r="C55" s="2" t="s">
        <v>2705</v>
      </c>
      <c r="D55" s="3" t="s">
        <v>1839</v>
      </c>
      <c r="E55" s="3" t="s">
        <v>1840</v>
      </c>
      <c r="F55" s="3">
        <v>5.8144799999999996</v>
      </c>
      <c r="G55" s="3">
        <v>2.63171</v>
      </c>
      <c r="H55" s="6">
        <v>-1.1436500000000001</v>
      </c>
    </row>
    <row r="56" spans="1:8" s="2" customFormat="1" ht="15" x14ac:dyDescent="0.2">
      <c r="A56" s="5" t="s">
        <v>1706</v>
      </c>
      <c r="B56" s="2" t="s">
        <v>3015</v>
      </c>
      <c r="C56" s="2" t="s">
        <v>2870</v>
      </c>
      <c r="D56" s="3" t="s">
        <v>1839</v>
      </c>
      <c r="E56" s="3" t="s">
        <v>1840</v>
      </c>
      <c r="F56" s="3">
        <v>2.5070199999999998</v>
      </c>
      <c r="G56" s="3">
        <v>1.1370400000000001</v>
      </c>
      <c r="H56" s="6">
        <v>-1.1406799999999999</v>
      </c>
    </row>
    <row r="57" spans="1:8" s="2" customFormat="1" ht="15" x14ac:dyDescent="0.2">
      <c r="A57" s="5" t="s">
        <v>36</v>
      </c>
      <c r="B57" s="2" t="s">
        <v>3024</v>
      </c>
      <c r="C57" s="2" t="s">
        <v>1844</v>
      </c>
      <c r="D57" s="3" t="s">
        <v>1839</v>
      </c>
      <c r="E57" s="3" t="s">
        <v>1840</v>
      </c>
      <c r="F57" s="3">
        <v>1.0588200000000001</v>
      </c>
      <c r="G57" s="3">
        <v>0.48374600000000001</v>
      </c>
      <c r="H57" s="6">
        <v>-1.1301300000000001</v>
      </c>
    </row>
    <row r="58" spans="1:8" s="2" customFormat="1" ht="15" x14ac:dyDescent="0.2">
      <c r="A58" s="5" t="s">
        <v>1808</v>
      </c>
      <c r="B58" s="2" t="s">
        <v>3027</v>
      </c>
      <c r="C58" s="2" t="s">
        <v>2985</v>
      </c>
      <c r="D58" s="3" t="s">
        <v>1839</v>
      </c>
      <c r="E58" s="3" t="s">
        <v>1840</v>
      </c>
      <c r="F58" s="3">
        <v>1.42134</v>
      </c>
      <c r="G58" s="3">
        <v>0.65485099999999996</v>
      </c>
      <c r="H58" s="6">
        <v>-1.1180099999999999</v>
      </c>
    </row>
    <row r="59" spans="1:8" s="2" customFormat="1" ht="15" x14ac:dyDescent="0.2">
      <c r="A59" s="5" t="s">
        <v>757</v>
      </c>
      <c r="B59" s="2" t="s">
        <v>3015</v>
      </c>
      <c r="C59" s="2" t="s">
        <v>1880</v>
      </c>
      <c r="D59" s="3" t="s">
        <v>1839</v>
      </c>
      <c r="E59" s="3" t="s">
        <v>1840</v>
      </c>
      <c r="F59" s="3">
        <v>155.86799999999999</v>
      </c>
      <c r="G59" s="3">
        <v>72.276200000000003</v>
      </c>
      <c r="H59" s="6">
        <v>-1.10873</v>
      </c>
    </row>
    <row r="60" spans="1:8" s="2" customFormat="1" ht="15" x14ac:dyDescent="0.2">
      <c r="A60" s="5" t="s">
        <v>1622</v>
      </c>
      <c r="B60" s="2" t="s">
        <v>3435</v>
      </c>
      <c r="C60" s="2" t="s">
        <v>2246</v>
      </c>
      <c r="D60" s="3" t="s">
        <v>1839</v>
      </c>
      <c r="E60" s="3" t="s">
        <v>1840</v>
      </c>
      <c r="F60" s="3">
        <v>4.5105899999999997</v>
      </c>
      <c r="G60" s="3">
        <v>2.0955300000000001</v>
      </c>
      <c r="H60" s="6">
        <v>-1.1060000000000001</v>
      </c>
    </row>
    <row r="61" spans="1:8" s="2" customFormat="1" ht="15" x14ac:dyDescent="0.2">
      <c r="A61" s="5" t="s">
        <v>343</v>
      </c>
      <c r="B61" s="2" t="s">
        <v>3015</v>
      </c>
      <c r="C61" s="2" t="s">
        <v>3015</v>
      </c>
      <c r="D61" s="3" t="s">
        <v>1839</v>
      </c>
      <c r="E61" s="3" t="s">
        <v>1840</v>
      </c>
      <c r="F61" s="3">
        <v>2.0111500000000002</v>
      </c>
      <c r="G61" s="3">
        <v>0.94283300000000003</v>
      </c>
      <c r="H61" s="6">
        <v>-1.0929500000000001</v>
      </c>
    </row>
    <row r="62" spans="1:8" s="2" customFormat="1" ht="15" x14ac:dyDescent="0.2">
      <c r="A62" s="5" t="s">
        <v>1741</v>
      </c>
      <c r="B62" s="2" t="s">
        <v>3015</v>
      </c>
      <c r="C62" s="2" t="s">
        <v>2910</v>
      </c>
      <c r="D62" s="3" t="s">
        <v>1839</v>
      </c>
      <c r="E62" s="3" t="s">
        <v>1840</v>
      </c>
      <c r="F62" s="3">
        <v>21.600100000000001</v>
      </c>
      <c r="G62" s="3">
        <v>10.1302</v>
      </c>
      <c r="H62" s="6">
        <v>-1.0923700000000001</v>
      </c>
    </row>
    <row r="63" spans="1:8" s="2" customFormat="1" ht="15" x14ac:dyDescent="0.2">
      <c r="A63" s="5" t="s">
        <v>1682</v>
      </c>
      <c r="B63" s="2" t="s">
        <v>3015</v>
      </c>
      <c r="C63" s="2" t="s">
        <v>2848</v>
      </c>
      <c r="D63" s="3" t="s">
        <v>1839</v>
      </c>
      <c r="E63" s="3" t="s">
        <v>1840</v>
      </c>
      <c r="F63" s="3">
        <v>1.9821200000000001</v>
      </c>
      <c r="G63" s="3">
        <v>0.92969100000000005</v>
      </c>
      <c r="H63" s="6">
        <v>-1.09222</v>
      </c>
    </row>
    <row r="64" spans="1:8" s="2" customFormat="1" ht="15" x14ac:dyDescent="0.2">
      <c r="A64" s="5" t="s">
        <v>1243</v>
      </c>
      <c r="B64" s="2" t="s">
        <v>3015</v>
      </c>
      <c r="C64" s="2" t="s">
        <v>2451</v>
      </c>
      <c r="D64" s="3" t="s">
        <v>1839</v>
      </c>
      <c r="E64" s="3" t="s">
        <v>1840</v>
      </c>
      <c r="F64" s="3">
        <v>8.1935099999999998</v>
      </c>
      <c r="G64" s="3">
        <v>3.8448000000000002</v>
      </c>
      <c r="H64" s="6">
        <v>-1.0915699999999999</v>
      </c>
    </row>
    <row r="65" spans="1:8" s="2" customFormat="1" ht="15" x14ac:dyDescent="0.2">
      <c r="A65" s="5" t="s">
        <v>1026</v>
      </c>
      <c r="B65" s="2" t="s">
        <v>3259</v>
      </c>
      <c r="C65" s="2" t="s">
        <v>1847</v>
      </c>
      <c r="D65" s="3" t="s">
        <v>1839</v>
      </c>
      <c r="E65" s="3" t="s">
        <v>1840</v>
      </c>
      <c r="F65" s="3">
        <v>2.8478699999999999</v>
      </c>
      <c r="G65" s="3">
        <v>1.33674</v>
      </c>
      <c r="H65" s="6">
        <v>-1.09117</v>
      </c>
    </row>
    <row r="66" spans="1:8" s="2" customFormat="1" ht="15" x14ac:dyDescent="0.2">
      <c r="A66" s="5" t="s">
        <v>1388</v>
      </c>
      <c r="B66" s="2" t="s">
        <v>3030</v>
      </c>
      <c r="C66" s="2" t="s">
        <v>2565</v>
      </c>
      <c r="D66" s="3" t="s">
        <v>1839</v>
      </c>
      <c r="E66" s="3" t="s">
        <v>1840</v>
      </c>
      <c r="F66" s="3">
        <v>11.4343</v>
      </c>
      <c r="G66" s="3">
        <v>5.4442000000000004</v>
      </c>
      <c r="H66" s="6">
        <v>-1.0705800000000001</v>
      </c>
    </row>
    <row r="67" spans="1:8" s="2" customFormat="1" ht="15" x14ac:dyDescent="0.2">
      <c r="A67" s="5" t="s">
        <v>496</v>
      </c>
      <c r="B67" s="2" t="s">
        <v>3015</v>
      </c>
      <c r="C67" s="2" t="s">
        <v>1847</v>
      </c>
      <c r="D67" s="3" t="s">
        <v>1839</v>
      </c>
      <c r="E67" s="3" t="s">
        <v>1840</v>
      </c>
      <c r="F67" s="3">
        <v>1.4514800000000001</v>
      </c>
      <c r="G67" s="3">
        <v>0.69157599999999997</v>
      </c>
      <c r="H67" s="6">
        <v>-1.0695699999999999</v>
      </c>
    </row>
    <row r="68" spans="1:8" s="2" customFormat="1" ht="15" x14ac:dyDescent="0.2">
      <c r="A68" s="5" t="s">
        <v>793</v>
      </c>
      <c r="B68" s="2" t="s">
        <v>3015</v>
      </c>
      <c r="C68" s="2" t="s">
        <v>1862</v>
      </c>
      <c r="D68" s="3" t="s">
        <v>1839</v>
      </c>
      <c r="E68" s="3" t="s">
        <v>1840</v>
      </c>
      <c r="F68" s="3">
        <v>11.791499999999999</v>
      </c>
      <c r="G68" s="3">
        <v>5.6215400000000004</v>
      </c>
      <c r="H68" s="6">
        <v>-1.0687199999999999</v>
      </c>
    </row>
    <row r="69" spans="1:8" s="2" customFormat="1" ht="15" x14ac:dyDescent="0.2">
      <c r="A69" s="5" t="s">
        <v>1820</v>
      </c>
      <c r="B69" s="2" t="s">
        <v>3015</v>
      </c>
      <c r="C69" s="2" t="s">
        <v>3015</v>
      </c>
      <c r="D69" s="3" t="s">
        <v>1839</v>
      </c>
      <c r="E69" s="3" t="s">
        <v>1840</v>
      </c>
      <c r="F69" s="3">
        <v>2.03261</v>
      </c>
      <c r="G69" s="3">
        <v>0.97197199999999995</v>
      </c>
      <c r="H69" s="6">
        <v>-1.0643499999999999</v>
      </c>
    </row>
    <row r="70" spans="1:8" s="2" customFormat="1" ht="15" x14ac:dyDescent="0.2">
      <c r="A70" s="5" t="s">
        <v>1516</v>
      </c>
      <c r="B70" s="2" t="s">
        <v>3049</v>
      </c>
      <c r="C70" s="2" t="s">
        <v>1847</v>
      </c>
      <c r="D70" s="3" t="s">
        <v>1839</v>
      </c>
      <c r="E70" s="3" t="s">
        <v>1840</v>
      </c>
      <c r="F70" s="3">
        <v>4.2119200000000001</v>
      </c>
      <c r="G70" s="3">
        <v>2.0379399999999999</v>
      </c>
      <c r="H70" s="6">
        <v>-1.0473699999999999</v>
      </c>
    </row>
    <row r="71" spans="1:8" s="2" customFormat="1" ht="15" x14ac:dyDescent="0.2">
      <c r="A71" s="5" t="s">
        <v>1489</v>
      </c>
      <c r="B71" s="2" t="s">
        <v>3344</v>
      </c>
      <c r="C71" s="2" t="s">
        <v>2633</v>
      </c>
      <c r="D71" s="3" t="s">
        <v>1839</v>
      </c>
      <c r="E71" s="3" t="s">
        <v>1840</v>
      </c>
      <c r="F71" s="3">
        <v>1.74996</v>
      </c>
      <c r="G71" s="3">
        <v>0.84696499999999997</v>
      </c>
      <c r="H71" s="6">
        <v>-1.04695</v>
      </c>
    </row>
    <row r="72" spans="1:8" s="2" customFormat="1" ht="15" x14ac:dyDescent="0.2">
      <c r="A72" s="5" t="s">
        <v>854</v>
      </c>
      <c r="B72" s="2" t="s">
        <v>3058</v>
      </c>
      <c r="C72" s="2" t="s">
        <v>2237</v>
      </c>
      <c r="D72" s="3" t="s">
        <v>1839</v>
      </c>
      <c r="E72" s="3" t="s">
        <v>1840</v>
      </c>
      <c r="F72" s="3">
        <v>1.0042599999999999</v>
      </c>
      <c r="G72" s="3">
        <v>0.48621900000000001</v>
      </c>
      <c r="H72" s="6">
        <v>-1.0464500000000001</v>
      </c>
    </row>
    <row r="73" spans="1:8" s="2" customFormat="1" ht="15" x14ac:dyDescent="0.2">
      <c r="A73" s="5" t="s">
        <v>1814</v>
      </c>
      <c r="B73" s="2" t="s">
        <v>3015</v>
      </c>
      <c r="C73" s="2" t="s">
        <v>2990</v>
      </c>
      <c r="D73" s="3" t="s">
        <v>1839</v>
      </c>
      <c r="E73" s="3" t="s">
        <v>1840</v>
      </c>
      <c r="F73" s="3">
        <v>1.31385</v>
      </c>
      <c r="G73" s="3">
        <v>0.63932800000000001</v>
      </c>
      <c r="H73" s="6">
        <v>-1.0391699999999999</v>
      </c>
    </row>
    <row r="74" spans="1:8" s="2" customFormat="1" ht="15" x14ac:dyDescent="0.2">
      <c r="A74" s="5" t="s">
        <v>442</v>
      </c>
      <c r="B74" s="2" t="s">
        <v>3015</v>
      </c>
      <c r="C74" s="2" t="s">
        <v>1862</v>
      </c>
      <c r="D74" s="3" t="s">
        <v>1839</v>
      </c>
      <c r="E74" s="3" t="s">
        <v>1840</v>
      </c>
      <c r="F74" s="3">
        <v>28.128</v>
      </c>
      <c r="G74" s="3">
        <v>13.6874</v>
      </c>
      <c r="H74" s="6">
        <v>-1.0391600000000001</v>
      </c>
    </row>
    <row r="75" spans="1:8" s="2" customFormat="1" ht="15" x14ac:dyDescent="0.2">
      <c r="A75" s="5" t="s">
        <v>13</v>
      </c>
      <c r="B75" s="2" t="s">
        <v>3391</v>
      </c>
      <c r="C75" s="2" t="s">
        <v>2977</v>
      </c>
      <c r="D75" s="3" t="s">
        <v>1839</v>
      </c>
      <c r="E75" s="3" t="s">
        <v>1840</v>
      </c>
      <c r="F75" s="3">
        <v>12.4711</v>
      </c>
      <c r="G75" s="3">
        <v>6.0807200000000003</v>
      </c>
      <c r="H75" s="6">
        <v>-1.0362800000000001</v>
      </c>
    </row>
    <row r="76" spans="1:8" s="2" customFormat="1" ht="15" x14ac:dyDescent="0.2">
      <c r="A76" s="5" t="s">
        <v>727</v>
      </c>
      <c r="B76" s="2" t="s">
        <v>3015</v>
      </c>
      <c r="C76" s="2" t="s">
        <v>1862</v>
      </c>
      <c r="D76" s="3" t="s">
        <v>1839</v>
      </c>
      <c r="E76" s="3" t="s">
        <v>1840</v>
      </c>
      <c r="F76" s="3">
        <v>271.16199999999998</v>
      </c>
      <c r="G76" s="3">
        <v>132.45099999999999</v>
      </c>
      <c r="H76" s="6">
        <v>-1.0337000000000001</v>
      </c>
    </row>
    <row r="77" spans="1:8" s="2" customFormat="1" ht="15" x14ac:dyDescent="0.2">
      <c r="A77" s="5" t="s">
        <v>1648</v>
      </c>
      <c r="B77" s="2" t="s">
        <v>3015</v>
      </c>
      <c r="C77" s="2" t="s">
        <v>2995</v>
      </c>
      <c r="D77" s="3" t="s">
        <v>1839</v>
      </c>
      <c r="E77" s="3" t="s">
        <v>1840</v>
      </c>
      <c r="F77" s="3">
        <v>3.8275299999999999</v>
      </c>
      <c r="G77" s="3">
        <v>1.87018</v>
      </c>
      <c r="H77" s="6">
        <v>-1.0332399999999999</v>
      </c>
    </row>
    <row r="78" spans="1:8" s="2" customFormat="1" ht="15" x14ac:dyDescent="0.2">
      <c r="A78" s="5" t="s">
        <v>47</v>
      </c>
      <c r="B78" s="2" t="s">
        <v>3015</v>
      </c>
      <c r="C78" s="2" t="s">
        <v>1865</v>
      </c>
      <c r="D78" s="3" t="s">
        <v>1839</v>
      </c>
      <c r="E78" s="3" t="s">
        <v>1840</v>
      </c>
      <c r="F78" s="3">
        <v>66.780900000000003</v>
      </c>
      <c r="G78" s="3">
        <v>32.634700000000002</v>
      </c>
      <c r="H78" s="6">
        <v>-1.0330299999999999</v>
      </c>
    </row>
    <row r="79" spans="1:8" s="2" customFormat="1" ht="15" x14ac:dyDescent="0.2">
      <c r="A79" s="5" t="s">
        <v>1573</v>
      </c>
      <c r="B79" s="2" t="s">
        <v>3015</v>
      </c>
      <c r="C79" s="2" t="s">
        <v>2988</v>
      </c>
      <c r="D79" s="3" t="s">
        <v>1839</v>
      </c>
      <c r="E79" s="3" t="s">
        <v>1840</v>
      </c>
      <c r="F79" s="3">
        <v>2.06094</v>
      </c>
      <c r="G79" s="3">
        <v>1.00735</v>
      </c>
      <c r="H79" s="6">
        <v>-1.0327299999999999</v>
      </c>
    </row>
    <row r="80" spans="1:8" s="2" customFormat="1" ht="15" x14ac:dyDescent="0.2">
      <c r="A80" s="5" t="s">
        <v>1827</v>
      </c>
      <c r="B80" s="2" t="s">
        <v>3190</v>
      </c>
      <c r="C80" s="2" t="s">
        <v>3005</v>
      </c>
      <c r="D80" s="3" t="s">
        <v>1839</v>
      </c>
      <c r="E80" s="3" t="s">
        <v>1840</v>
      </c>
      <c r="F80" s="3">
        <v>2.2004299999999999</v>
      </c>
      <c r="G80" s="3">
        <v>1.0806800000000001</v>
      </c>
      <c r="H80" s="6">
        <v>-1.0258499999999999</v>
      </c>
    </row>
    <row r="81" spans="1:13" s="2" customFormat="1" ht="15" x14ac:dyDescent="0.2">
      <c r="A81" s="5" t="s">
        <v>1650</v>
      </c>
      <c r="B81" s="2" t="s">
        <v>3166</v>
      </c>
      <c r="C81" s="2" t="s">
        <v>2114</v>
      </c>
      <c r="D81" s="3" t="s">
        <v>1839</v>
      </c>
      <c r="E81" s="3" t="s">
        <v>1840</v>
      </c>
      <c r="F81" s="3">
        <v>1.03796</v>
      </c>
      <c r="G81" s="3">
        <v>0.51136599999999999</v>
      </c>
      <c r="H81" s="6">
        <v>-1.02132</v>
      </c>
    </row>
    <row r="82" spans="1:13" s="2" customFormat="1" ht="15" x14ac:dyDescent="0.2">
      <c r="A82" s="5" t="s">
        <v>587</v>
      </c>
      <c r="B82" s="2" t="s">
        <v>3015</v>
      </c>
      <c r="C82" s="2" t="s">
        <v>3015</v>
      </c>
      <c r="D82" s="3" t="s">
        <v>1839</v>
      </c>
      <c r="E82" s="3" t="s">
        <v>1840</v>
      </c>
      <c r="F82" s="3">
        <v>2.36022</v>
      </c>
      <c r="G82" s="3">
        <v>1.1682900000000001</v>
      </c>
      <c r="H82" s="6">
        <v>-1.0145200000000001</v>
      </c>
    </row>
    <row r="83" spans="1:13" s="2" customFormat="1" ht="15" x14ac:dyDescent="0.2">
      <c r="A83" s="5" t="s">
        <v>1029</v>
      </c>
      <c r="B83" s="2" t="s">
        <v>3015</v>
      </c>
      <c r="C83" s="2" t="s">
        <v>3012</v>
      </c>
      <c r="D83" s="3" t="s">
        <v>1839</v>
      </c>
      <c r="E83" s="3" t="s">
        <v>1840</v>
      </c>
      <c r="F83" s="3">
        <v>4.0110700000000001</v>
      </c>
      <c r="G83" s="3">
        <v>1.99187</v>
      </c>
      <c r="H83" s="6">
        <v>-1.00986</v>
      </c>
    </row>
    <row r="84" spans="1:13" s="2" customFormat="1" ht="15" x14ac:dyDescent="0.2">
      <c r="A84" s="5" t="s">
        <v>1673</v>
      </c>
      <c r="B84" s="2" t="s">
        <v>3201</v>
      </c>
      <c r="C84" s="2" t="s">
        <v>2216</v>
      </c>
      <c r="D84" s="3" t="s">
        <v>1839</v>
      </c>
      <c r="E84" s="3" t="s">
        <v>1840</v>
      </c>
      <c r="F84" s="3">
        <v>2.08229</v>
      </c>
      <c r="G84" s="3">
        <v>1.03637</v>
      </c>
      <c r="H84" s="6">
        <v>-1.0066299999999999</v>
      </c>
    </row>
    <row r="85" spans="1:13" s="2" customFormat="1" ht="15" x14ac:dyDescent="0.2">
      <c r="A85" s="5" t="s">
        <v>1833</v>
      </c>
      <c r="B85" s="2" t="s">
        <v>3015</v>
      </c>
      <c r="C85" s="2" t="s">
        <v>3015</v>
      </c>
      <c r="D85" s="3" t="s">
        <v>1839</v>
      </c>
      <c r="E85" s="3" t="s">
        <v>1840</v>
      </c>
      <c r="F85" s="3">
        <v>1.64876</v>
      </c>
      <c r="G85" s="3">
        <v>0.82301299999999999</v>
      </c>
      <c r="H85" s="6">
        <v>-1.0024</v>
      </c>
    </row>
    <row r="86" spans="1:13" s="2" customFormat="1" ht="15" x14ac:dyDescent="0.2">
      <c r="A86" s="5" t="s">
        <v>932</v>
      </c>
      <c r="B86" s="2" t="s">
        <v>3122</v>
      </c>
      <c r="C86" s="2" t="s">
        <v>3007</v>
      </c>
      <c r="D86" s="3" t="s">
        <v>1839</v>
      </c>
      <c r="E86" s="3" t="s">
        <v>1840</v>
      </c>
      <c r="F86" s="3">
        <v>8.7642900000000008</v>
      </c>
      <c r="G86" s="3">
        <v>4.3768000000000002</v>
      </c>
      <c r="H86" s="6">
        <v>-1.00176</v>
      </c>
    </row>
    <row r="87" spans="1:13" s="2" customFormat="1" ht="15" x14ac:dyDescent="0.2">
      <c r="A87" s="5" t="s">
        <v>131</v>
      </c>
      <c r="B87" s="2" t="s">
        <v>3049</v>
      </c>
      <c r="C87" s="2" t="s">
        <v>2666</v>
      </c>
      <c r="D87" s="3" t="s">
        <v>1839</v>
      </c>
      <c r="E87" s="3" t="s">
        <v>1840</v>
      </c>
      <c r="F87" s="3">
        <v>10.3287</v>
      </c>
      <c r="G87" s="3">
        <v>5.1581099999999998</v>
      </c>
      <c r="H87" s="6">
        <v>-1.0017499999999999</v>
      </c>
    </row>
    <row r="88" spans="1:13" s="19" customFormat="1" x14ac:dyDescent="0.2">
      <c r="A88" s="22" t="s">
        <v>1355</v>
      </c>
      <c r="B88" s="19" t="s">
        <v>3030</v>
      </c>
      <c r="C88" s="19" t="s">
        <v>3015</v>
      </c>
      <c r="D88" s="21" t="s">
        <v>1839</v>
      </c>
      <c r="E88" s="21" t="s">
        <v>1840</v>
      </c>
      <c r="F88" s="21">
        <v>3.26736</v>
      </c>
      <c r="G88" s="21">
        <v>1.6330499999999999</v>
      </c>
      <c r="H88" s="20">
        <v>-1.0005599999999999</v>
      </c>
    </row>
    <row r="89" spans="1:13" s="2" customFormat="1" ht="15" x14ac:dyDescent="0.2">
      <c r="A89" s="5" t="s">
        <v>1798</v>
      </c>
      <c r="B89" s="2" t="s">
        <v>3474</v>
      </c>
      <c r="C89" s="2" t="s">
        <v>3015</v>
      </c>
      <c r="D89" s="3" t="s">
        <v>1839</v>
      </c>
      <c r="E89" s="3" t="s">
        <v>1840</v>
      </c>
      <c r="F89" s="3">
        <v>1.8737999999999999</v>
      </c>
      <c r="G89" s="3">
        <v>0</v>
      </c>
      <c r="H89" s="6" t="s">
        <v>3513</v>
      </c>
      <c r="J89" s="3"/>
      <c r="K89" s="3"/>
      <c r="L89" s="3"/>
      <c r="M89" s="3"/>
    </row>
    <row r="90" spans="1:13" s="2" customFormat="1" ht="15" x14ac:dyDescent="0.2">
      <c r="A90" s="5" t="s">
        <v>1810</v>
      </c>
      <c r="B90" s="2" t="s">
        <v>3015</v>
      </c>
      <c r="C90" s="2" t="s">
        <v>1862</v>
      </c>
      <c r="D90" s="3" t="s">
        <v>1839</v>
      </c>
      <c r="E90" s="3" t="s">
        <v>1840</v>
      </c>
      <c r="F90" s="3">
        <v>5.2130200000000002</v>
      </c>
      <c r="G90" s="3">
        <v>0</v>
      </c>
      <c r="H90" s="6" t="s">
        <v>3513</v>
      </c>
      <c r="J90" s="3"/>
      <c r="K90" s="3"/>
      <c r="L90" s="3"/>
      <c r="M90" s="3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3"/>
  <sheetViews>
    <sheetView workbookViewId="0">
      <selection activeCell="D1" sqref="D1:D1048576"/>
    </sheetView>
  </sheetViews>
  <sheetFormatPr defaultRowHeight="14.25" x14ac:dyDescent="0.2"/>
  <cols>
    <col min="1" max="1" width="19.375" customWidth="1"/>
    <col min="4" max="4" width="22.5" customWidth="1"/>
  </cols>
  <sheetData>
    <row r="1" spans="1:9" ht="20.25" x14ac:dyDescent="0.2">
      <c r="A1" s="11" t="s">
        <v>3530</v>
      </c>
    </row>
    <row r="2" spans="1:9" s="36" customFormat="1" ht="18" x14ac:dyDescent="0.2">
      <c r="A2" s="36" t="s">
        <v>3525</v>
      </c>
      <c r="B2" s="38" t="s">
        <v>4</v>
      </c>
      <c r="D2" s="36" t="s">
        <v>3544</v>
      </c>
      <c r="E2" t="s">
        <v>3526</v>
      </c>
      <c r="F2" t="s">
        <v>3527</v>
      </c>
      <c r="H2" s="36" t="s">
        <v>3528</v>
      </c>
    </row>
    <row r="3" spans="1:9" x14ac:dyDescent="0.2">
      <c r="A3" t="s">
        <v>9</v>
      </c>
      <c r="B3">
        <f>VLOOKUP($A3,[2]修饰!$A:$H,8,FALSE)</f>
        <v>1.1439299999999999</v>
      </c>
      <c r="D3" t="s">
        <v>6</v>
      </c>
      <c r="E3">
        <f>VLOOKUP($D3,[2]修饰!$A:$H,8,FALSE)</f>
        <v>-1.3505400000000001</v>
      </c>
      <c r="F3">
        <f>VLOOKUP($D3,[3]Sheet2!$A:$H,8,FALSE)</f>
        <v>-1.65835</v>
      </c>
      <c r="H3" t="s">
        <v>11</v>
      </c>
      <c r="I3">
        <f>VLOOKUP($H3,[3]Sheet2!$A:$H,8,FALSE)</f>
        <v>1.08074</v>
      </c>
    </row>
    <row r="4" spans="1:9" x14ac:dyDescent="0.2">
      <c r="A4" t="s">
        <v>16</v>
      </c>
      <c r="B4">
        <f>VLOOKUP($A4,[2]修饰!$A:$H,8,FALSE)</f>
        <v>-1.04277</v>
      </c>
      <c r="D4" t="s">
        <v>7</v>
      </c>
      <c r="E4">
        <f>VLOOKUP($D4,[2]修饰!$A:$H,8,FALSE)</f>
        <v>-1.4379299999999999</v>
      </c>
      <c r="F4">
        <f>VLOOKUP($D4,[3]Sheet2!$A:$H,8,FALSE)</f>
        <v>-1.0599799999999999</v>
      </c>
      <c r="H4" t="s">
        <v>1475</v>
      </c>
      <c r="I4">
        <f>VLOOKUP($H4,[3]Sheet2!$A:$H,8,FALSE)</f>
        <v>2.7736800000000001</v>
      </c>
    </row>
    <row r="5" spans="1:9" x14ac:dyDescent="0.2">
      <c r="A5" t="s">
        <v>17</v>
      </c>
      <c r="B5">
        <f>VLOOKUP($A5,[2]修饰!$A:$H,8,FALSE)</f>
        <v>-1.0287900000000001</v>
      </c>
      <c r="D5" t="s">
        <v>12</v>
      </c>
      <c r="E5">
        <f>VLOOKUP($D5,[2]修饰!$A:$H,8,FALSE)</f>
        <v>-1.04583</v>
      </c>
      <c r="F5">
        <f>VLOOKUP($D5,[3]Sheet2!$A:$H,8,FALSE)</f>
        <v>-1.3819600000000001</v>
      </c>
      <c r="H5" t="s">
        <v>14</v>
      </c>
      <c r="I5">
        <f>VLOOKUP($H5,[3]Sheet2!$A:$H,8,FALSE)</f>
        <v>1.4903299999999999</v>
      </c>
    </row>
    <row r="6" spans="1:9" x14ac:dyDescent="0.2">
      <c r="A6" t="s">
        <v>18</v>
      </c>
      <c r="B6">
        <f>VLOOKUP($A6,[2]修饰!$A:$H,8,FALSE)</f>
        <v>-1.85375</v>
      </c>
      <c r="D6" t="s">
        <v>27</v>
      </c>
      <c r="E6">
        <f>VLOOKUP($D6,[2]修饰!$A:$H,8,FALSE)</f>
        <v>-1.23946</v>
      </c>
      <c r="F6">
        <f>VLOOKUP($D6,[3]Sheet2!$A:$H,8,FALSE)</f>
        <v>-1.0150600000000001</v>
      </c>
      <c r="H6" t="s">
        <v>15</v>
      </c>
      <c r="I6">
        <f>VLOOKUP($H6,[3]Sheet2!$A:$H,8,FALSE)</f>
        <v>-1.2789699999999999</v>
      </c>
    </row>
    <row r="7" spans="1:9" x14ac:dyDescent="0.2">
      <c r="A7" t="s">
        <v>20</v>
      </c>
      <c r="B7">
        <f>VLOOKUP($A7,[2]修饰!$A:$H,8,FALSE)</f>
        <v>-1.05159</v>
      </c>
      <c r="D7" t="s">
        <v>33</v>
      </c>
      <c r="E7">
        <f>VLOOKUP($D7,[2]修饰!$A:$H,8,FALSE)</f>
        <v>-2.3063600000000002</v>
      </c>
      <c r="F7">
        <f>VLOOKUP($D7,[3]Sheet2!$A:$H,8,FALSE)</f>
        <v>-1.6838900000000001</v>
      </c>
      <c r="H7" t="s">
        <v>1476</v>
      </c>
      <c r="I7">
        <f>VLOOKUP($H7,[3]Sheet2!$A:$H,8,FALSE)</f>
        <v>-1.0642499999999999</v>
      </c>
    </row>
    <row r="8" spans="1:9" x14ac:dyDescent="0.2">
      <c r="A8" t="s">
        <v>23</v>
      </c>
      <c r="B8">
        <f>VLOOKUP($A8,[2]修饰!$A:$H,8,FALSE)</f>
        <v>-1.0085200000000001</v>
      </c>
      <c r="D8" t="s">
        <v>37</v>
      </c>
      <c r="E8">
        <f>VLOOKUP($D8,[2]修饰!$A:$H,8,FALSE)</f>
        <v>1.80271</v>
      </c>
      <c r="F8">
        <f>VLOOKUP($D8,[3]Sheet2!$A:$H,8,FALSE)</f>
        <v>1.12209</v>
      </c>
      <c r="H8" t="s">
        <v>1129</v>
      </c>
      <c r="I8">
        <f>VLOOKUP($H8,[3]Sheet2!$A:$H,8,FALSE)</f>
        <v>1.0666100000000001</v>
      </c>
    </row>
    <row r="9" spans="1:9" x14ac:dyDescent="0.2">
      <c r="A9" t="s">
        <v>24</v>
      </c>
      <c r="B9">
        <f>VLOOKUP($A9,[2]修饰!$A:$H,8,FALSE)</f>
        <v>-1.84622</v>
      </c>
      <c r="D9" t="s">
        <v>45</v>
      </c>
      <c r="E9">
        <f>VLOOKUP($D9,[2]修饰!$A:$H,8,FALSE)</f>
        <v>-1.0025299999999999</v>
      </c>
      <c r="F9">
        <f>VLOOKUP($D9,[3]Sheet2!$A:$H,8,FALSE)</f>
        <v>-1.4237</v>
      </c>
      <c r="H9" t="s">
        <v>19</v>
      </c>
      <c r="I9">
        <f>VLOOKUP($H9,[3]Sheet2!$A:$H,8,FALSE)</f>
        <v>1.2726</v>
      </c>
    </row>
    <row r="10" spans="1:9" x14ac:dyDescent="0.2">
      <c r="A10" t="s">
        <v>25</v>
      </c>
      <c r="B10">
        <f>VLOOKUP($A10,[2]修饰!$A:$H,8,FALSE)</f>
        <v>1.07263</v>
      </c>
      <c r="D10" t="s">
        <v>47</v>
      </c>
      <c r="E10">
        <f>VLOOKUP($D10,[2]修饰!$A:$H,8,FALSE)</f>
        <v>-1.22417</v>
      </c>
      <c r="F10">
        <f>VLOOKUP($D10,[3]Sheet2!$A:$H,8,FALSE)</f>
        <v>-1.0586800000000001</v>
      </c>
      <c r="H10" t="s">
        <v>21</v>
      </c>
      <c r="I10">
        <f>VLOOKUP($H10,[3]Sheet2!$A:$H,8,FALSE)</f>
        <v>1.0645500000000001</v>
      </c>
    </row>
    <row r="11" spans="1:9" x14ac:dyDescent="0.2">
      <c r="A11" t="s">
        <v>28</v>
      </c>
      <c r="B11">
        <f>VLOOKUP($A11,[2]修饰!$A:$H,8,FALSE)</f>
        <v>-1.0959300000000001</v>
      </c>
      <c r="D11" t="s">
        <v>48</v>
      </c>
      <c r="E11">
        <f>VLOOKUP($D11,[2]修饰!$A:$H,8,FALSE)</f>
        <v>-1.1551800000000001</v>
      </c>
      <c r="F11">
        <f>VLOOKUP($D11,[3]Sheet2!$A:$H,8,FALSE)</f>
        <v>-1.10687</v>
      </c>
      <c r="H11" t="s">
        <v>1131</v>
      </c>
      <c r="I11">
        <f>VLOOKUP($H11,[3]Sheet2!$A:$H,8,FALSE)</f>
        <v>1.60209</v>
      </c>
    </row>
    <row r="12" spans="1:9" x14ac:dyDescent="0.2">
      <c r="A12" t="s">
        <v>29</v>
      </c>
      <c r="B12">
        <f>VLOOKUP($A12,[2]修饰!$A:$H,8,FALSE)</f>
        <v>1.55366</v>
      </c>
      <c r="D12" t="s">
        <v>51</v>
      </c>
      <c r="E12">
        <f>VLOOKUP($D12,[2]修饰!$A:$H,8,FALSE)</f>
        <v>-1.1536900000000001</v>
      </c>
      <c r="F12">
        <f>VLOOKUP($D12,[3]Sheet2!$A:$H,8,FALSE)</f>
        <v>-1.36798</v>
      </c>
      <c r="H12" t="s">
        <v>1112</v>
      </c>
      <c r="I12">
        <f>VLOOKUP($H12,[3]Sheet2!$A:$H,8,FALSE)</f>
        <v>1.03609</v>
      </c>
    </row>
    <row r="13" spans="1:9" x14ac:dyDescent="0.2">
      <c r="A13" t="s">
        <v>30</v>
      </c>
      <c r="B13">
        <f>VLOOKUP($A13,[2]修饰!$A:$H,8,FALSE)</f>
        <v>-1.01251</v>
      </c>
      <c r="D13" t="s">
        <v>61</v>
      </c>
      <c r="E13">
        <f>VLOOKUP($D13,[2]修饰!$A:$H,8,FALSE)</f>
        <v>2.1115300000000001</v>
      </c>
      <c r="F13">
        <f>VLOOKUP($D13,[3]Sheet2!$A:$H,8,FALSE)</f>
        <v>4.1359500000000002</v>
      </c>
      <c r="H13" t="s">
        <v>1477</v>
      </c>
      <c r="I13">
        <f>VLOOKUP($H13,[3]Sheet2!$A:$H,8,FALSE)</f>
        <v>1.8785700000000001</v>
      </c>
    </row>
    <row r="14" spans="1:9" x14ac:dyDescent="0.2">
      <c r="A14" t="s">
        <v>32</v>
      </c>
      <c r="B14">
        <f>VLOOKUP($A14,[2]修饰!$A:$H,8,FALSE)</f>
        <v>-2.3291300000000001</v>
      </c>
      <c r="D14" t="s">
        <v>73</v>
      </c>
      <c r="E14">
        <f>VLOOKUP($D14,[2]修饰!$A:$H,8,FALSE)</f>
        <v>2.6388400000000001</v>
      </c>
      <c r="F14">
        <f>VLOOKUP($D14,[3]Sheet2!$A:$H,8,FALSE)</f>
        <v>1.4795700000000001</v>
      </c>
      <c r="H14" t="s">
        <v>22</v>
      </c>
      <c r="I14">
        <f>VLOOKUP($H14,[3]Sheet2!$A:$H,8,FALSE)</f>
        <v>-1.98438</v>
      </c>
    </row>
    <row r="15" spans="1:9" x14ac:dyDescent="0.2">
      <c r="A15" t="s">
        <v>35</v>
      </c>
      <c r="B15">
        <f>VLOOKUP($A15,[2]修饰!$A:$H,8,FALSE)</f>
        <v>-1.44967</v>
      </c>
      <c r="D15" t="s">
        <v>76</v>
      </c>
      <c r="E15">
        <f>VLOOKUP($D15,[2]修饰!$A:$H,8,FALSE)</f>
        <v>1.0782099999999999</v>
      </c>
      <c r="F15">
        <f>VLOOKUP($D15,[3]Sheet2!$A:$H,8,FALSE)</f>
        <v>1.14483</v>
      </c>
      <c r="H15" t="s">
        <v>1478</v>
      </c>
      <c r="I15">
        <f>VLOOKUP($H15,[3]Sheet2!$A:$H,8,FALSE)</f>
        <v>1.0544500000000001</v>
      </c>
    </row>
    <row r="16" spans="1:9" x14ac:dyDescent="0.2">
      <c r="A16" t="s">
        <v>40</v>
      </c>
      <c r="B16">
        <f>VLOOKUP($A16,[2]修饰!$A:$H,8,FALSE)</f>
        <v>-1.0772699999999999</v>
      </c>
      <c r="D16" t="s">
        <v>92</v>
      </c>
      <c r="E16">
        <f>VLOOKUP($D16,[2]修饰!$A:$H,8,FALSE)</f>
        <v>3.8513700000000002</v>
      </c>
      <c r="F16" t="str">
        <f>VLOOKUP($D16,[3]Sheet2!$A:$H,8,FALSE)</f>
        <v>inf</v>
      </c>
      <c r="H16" t="s">
        <v>1479</v>
      </c>
      <c r="I16">
        <f>VLOOKUP($H16,[3]Sheet2!$A:$H,8,FALSE)</f>
        <v>1.28478</v>
      </c>
    </row>
    <row r="17" spans="1:9" x14ac:dyDescent="0.2">
      <c r="A17" t="s">
        <v>41</v>
      </c>
      <c r="B17">
        <f>VLOOKUP($A17,[2]修饰!$A:$H,8,FALSE)</f>
        <v>1.0177400000000001</v>
      </c>
      <c r="D17" t="s">
        <v>98</v>
      </c>
      <c r="E17">
        <f>VLOOKUP($D17,[2]修饰!$A:$H,8,FALSE)</f>
        <v>-1.18947</v>
      </c>
      <c r="F17">
        <f>VLOOKUP($D17,[3]Sheet2!$A:$H,8,FALSE)</f>
        <v>1.52037</v>
      </c>
      <c r="H17" t="s">
        <v>1480</v>
      </c>
      <c r="I17">
        <f>VLOOKUP($H17,[3]Sheet2!$A:$H,8,FALSE)</f>
        <v>1.4255599999999999</v>
      </c>
    </row>
    <row r="18" spans="1:9" x14ac:dyDescent="0.2">
      <c r="A18" t="s">
        <v>42</v>
      </c>
      <c r="B18" t="str">
        <f>VLOOKUP($A18,[2]修饰!$A:$H,8,FALSE)</f>
        <v>BD</v>
      </c>
      <c r="D18" t="s">
        <v>103</v>
      </c>
      <c r="E18">
        <f>VLOOKUP($D18,[2]修饰!$A:$H,8,FALSE)</f>
        <v>2.8610099999999998</v>
      </c>
      <c r="F18">
        <f>VLOOKUP($D18,[3]Sheet2!$A:$H,8,FALSE)</f>
        <v>2.4703200000000001</v>
      </c>
      <c r="H18" t="s">
        <v>31</v>
      </c>
      <c r="I18">
        <f>VLOOKUP($H18,[3]Sheet2!$A:$H,8,FALSE)</f>
        <v>1.2409600000000001</v>
      </c>
    </row>
    <row r="19" spans="1:9" x14ac:dyDescent="0.2">
      <c r="A19" t="s">
        <v>46</v>
      </c>
      <c r="B19">
        <f>VLOOKUP($A19,[2]修饰!$A:$H,8,FALSE)</f>
        <v>1.1041399999999999</v>
      </c>
      <c r="D19" t="s">
        <v>104</v>
      </c>
      <c r="E19">
        <f>VLOOKUP($D19,[2]修饰!$A:$H,8,FALSE)</f>
        <v>1.9565999999999999</v>
      </c>
      <c r="F19">
        <f>VLOOKUP($D19,[3]Sheet2!$A:$H,8,FALSE)</f>
        <v>1.37713</v>
      </c>
      <c r="H19" t="s">
        <v>1481</v>
      </c>
      <c r="I19">
        <f>VLOOKUP($H19,[3]Sheet2!$A:$H,8,FALSE)</f>
        <v>-1.36426</v>
      </c>
    </row>
    <row r="20" spans="1:9" x14ac:dyDescent="0.2">
      <c r="A20" t="s">
        <v>53</v>
      </c>
      <c r="B20">
        <f>VLOOKUP($A20,[2]修饰!$A:$H,8,FALSE)</f>
        <v>-1.4235100000000001</v>
      </c>
      <c r="D20" t="s">
        <v>112</v>
      </c>
      <c r="E20">
        <f>VLOOKUP($D20,[2]修饰!$A:$H,8,FALSE)</f>
        <v>-1.6045400000000001</v>
      </c>
      <c r="F20">
        <f>VLOOKUP($D20,[3]Sheet2!$A:$H,8,FALSE)</f>
        <v>-1.29481</v>
      </c>
      <c r="H20" t="s">
        <v>34</v>
      </c>
      <c r="I20">
        <f>VLOOKUP($H20,[3]Sheet2!$A:$H,8,FALSE)</f>
        <v>1.3630500000000001</v>
      </c>
    </row>
    <row r="21" spans="1:9" x14ac:dyDescent="0.2">
      <c r="A21" t="s">
        <v>54</v>
      </c>
      <c r="B21">
        <f>VLOOKUP($A21,[2]修饰!$A:$H,8,FALSE)</f>
        <v>-1.25359</v>
      </c>
      <c r="D21" t="s">
        <v>122</v>
      </c>
      <c r="E21">
        <f>VLOOKUP($D21,[2]修饰!$A:$H,8,FALSE)</f>
        <v>-1.1582600000000001</v>
      </c>
      <c r="F21">
        <f>VLOOKUP($D21,[3]Sheet2!$A:$H,8,FALSE)</f>
        <v>-1.587</v>
      </c>
      <c r="H21" t="s">
        <v>1482</v>
      </c>
      <c r="I21">
        <f>VLOOKUP($H21,[3]Sheet2!$A:$H,8,FALSE)</f>
        <v>-1.2583899999999999</v>
      </c>
    </row>
    <row r="22" spans="1:9" x14ac:dyDescent="0.2">
      <c r="A22" t="s">
        <v>56</v>
      </c>
      <c r="B22">
        <f>VLOOKUP($A22,[2]修饰!$A:$H,8,FALSE)</f>
        <v>-1.59673</v>
      </c>
      <c r="D22" t="s">
        <v>127</v>
      </c>
      <c r="E22">
        <f>VLOOKUP($D22,[2]修饰!$A:$H,8,FALSE)</f>
        <v>-1.45478</v>
      </c>
      <c r="F22">
        <f>VLOOKUP($D22,[3]Sheet2!$A:$H,8,FALSE)</f>
        <v>2.4386899999999998</v>
      </c>
      <c r="H22" t="s">
        <v>1134</v>
      </c>
      <c r="I22">
        <f>VLOOKUP($H22,[3]Sheet2!$A:$H,8,FALSE)</f>
        <v>2.4210500000000001</v>
      </c>
    </row>
    <row r="23" spans="1:9" x14ac:dyDescent="0.2">
      <c r="A23" t="s">
        <v>57</v>
      </c>
      <c r="B23">
        <f>VLOOKUP($A23,[2]修饰!$A:$H,8,FALSE)</f>
        <v>1.0716399999999999</v>
      </c>
      <c r="D23" t="s">
        <v>147</v>
      </c>
      <c r="E23" t="str">
        <f>VLOOKUP($D23,[2]修饰!$A:$H,8,FALSE)</f>
        <v>BD</v>
      </c>
      <c r="F23">
        <f>VLOOKUP($D23,[3]Sheet2!$A:$H,8,FALSE)</f>
        <v>1.04634</v>
      </c>
      <c r="H23" t="s">
        <v>39</v>
      </c>
      <c r="I23">
        <f>VLOOKUP($H23,[3]Sheet2!$A:$H,8,FALSE)</f>
        <v>-1.0909899999999999</v>
      </c>
    </row>
    <row r="24" spans="1:9" x14ac:dyDescent="0.2">
      <c r="A24" t="s">
        <v>59</v>
      </c>
      <c r="B24">
        <f>VLOOKUP($A24,[2]修饰!$A:$H,8,FALSE)</f>
        <v>2.1291899999999999</v>
      </c>
      <c r="D24" t="s">
        <v>149</v>
      </c>
      <c r="E24">
        <f>VLOOKUP($D24,[2]修饰!$A:$H,8,FALSE)</f>
        <v>-1.26858</v>
      </c>
      <c r="F24">
        <f>VLOOKUP($D24,[3]Sheet2!$A:$H,8,FALSE)</f>
        <v>1.00251</v>
      </c>
      <c r="H24" t="s">
        <v>1483</v>
      </c>
      <c r="I24">
        <f>VLOOKUP($H24,[3]Sheet2!$A:$H,8,FALSE)</f>
        <v>-1.43588</v>
      </c>
    </row>
    <row r="25" spans="1:9" x14ac:dyDescent="0.2">
      <c r="A25" t="s">
        <v>60</v>
      </c>
      <c r="B25">
        <f>VLOOKUP($A25,[2]修饰!$A:$H,8,FALSE)</f>
        <v>3.4204599999999998</v>
      </c>
      <c r="D25" t="s">
        <v>162</v>
      </c>
      <c r="E25">
        <f>VLOOKUP($D25,[2]修饰!$A:$H,8,FALSE)</f>
        <v>1.2713000000000001</v>
      </c>
      <c r="F25">
        <f>VLOOKUP($D25,[3]Sheet2!$A:$H,8,FALSE)</f>
        <v>1.25166</v>
      </c>
      <c r="H25" t="s">
        <v>1484</v>
      </c>
      <c r="I25">
        <f>VLOOKUP($H25,[3]Sheet2!$A:$H,8,FALSE)</f>
        <v>1.18648</v>
      </c>
    </row>
    <row r="26" spans="1:9" x14ac:dyDescent="0.2">
      <c r="A26" t="s">
        <v>62</v>
      </c>
      <c r="B26">
        <f>VLOOKUP($A26,[2]修饰!$A:$H,8,FALSE)</f>
        <v>1.68137</v>
      </c>
      <c r="D26" t="s">
        <v>166</v>
      </c>
      <c r="E26">
        <f>VLOOKUP($D26,[2]修饰!$A:$H,8,FALSE)</f>
        <v>1.18384</v>
      </c>
      <c r="F26">
        <f>VLOOKUP($D26,[3]Sheet2!$A:$H,8,FALSE)</f>
        <v>1.0358700000000001</v>
      </c>
      <c r="H26" t="s">
        <v>1485</v>
      </c>
      <c r="I26">
        <f>VLOOKUP($H26,[3]Sheet2!$A:$H,8,FALSE)</f>
        <v>2.0057100000000001</v>
      </c>
    </row>
    <row r="27" spans="1:9" x14ac:dyDescent="0.2">
      <c r="A27" t="s">
        <v>63</v>
      </c>
      <c r="B27">
        <f>VLOOKUP($A27,[2]修饰!$A:$H,8,FALSE)</f>
        <v>-1.0262899999999999</v>
      </c>
      <c r="D27" t="s">
        <v>168</v>
      </c>
      <c r="E27">
        <f>VLOOKUP($D27,[2]修饰!$A:$H,8,FALSE)</f>
        <v>-1.1031299999999999</v>
      </c>
      <c r="F27">
        <f>VLOOKUP($D27,[3]Sheet2!$A:$H,8,FALSE)</f>
        <v>-1.3881699999999999</v>
      </c>
      <c r="H27" t="s">
        <v>1486</v>
      </c>
      <c r="I27">
        <f>VLOOKUP($H27,[3]Sheet2!$A:$H,8,FALSE)</f>
        <v>-1.2765200000000001</v>
      </c>
    </row>
    <row r="28" spans="1:9" x14ac:dyDescent="0.2">
      <c r="A28" t="s">
        <v>64</v>
      </c>
      <c r="B28">
        <f>VLOOKUP($A28,[2]修饰!$A:$H,8,FALSE)</f>
        <v>1.37073</v>
      </c>
      <c r="D28" t="s">
        <v>184</v>
      </c>
      <c r="E28">
        <f>VLOOKUP($D28,[2]修饰!$A:$H,8,FALSE)</f>
        <v>-1.5364</v>
      </c>
      <c r="F28">
        <f>VLOOKUP($D28,[3]Sheet2!$A:$H,8,FALSE)</f>
        <v>-1.23868</v>
      </c>
      <c r="H28" t="s">
        <v>43</v>
      </c>
      <c r="I28">
        <f>VLOOKUP($H28,[3]Sheet2!$A:$H,8,FALSE)</f>
        <v>1.2338100000000001</v>
      </c>
    </row>
    <row r="29" spans="1:9" x14ac:dyDescent="0.2">
      <c r="A29" t="s">
        <v>65</v>
      </c>
      <c r="B29">
        <f>VLOOKUP($A29,[2]修饰!$A:$H,8,FALSE)</f>
        <v>-1.54192</v>
      </c>
      <c r="D29" t="s">
        <v>200</v>
      </c>
      <c r="E29">
        <f>VLOOKUP($D29,[2]修饰!$A:$H,8,FALSE)</f>
        <v>1.0109999999999999</v>
      </c>
      <c r="F29">
        <f>VLOOKUP($D29,[3]Sheet2!$A:$H,8,FALSE)</f>
        <v>-1.26169</v>
      </c>
      <c r="H29" t="s">
        <v>44</v>
      </c>
      <c r="I29">
        <f>VLOOKUP($H29,[3]Sheet2!$A:$H,8,FALSE)</f>
        <v>-1.1258300000000001</v>
      </c>
    </row>
    <row r="30" spans="1:9" x14ac:dyDescent="0.2">
      <c r="A30" t="s">
        <v>66</v>
      </c>
      <c r="B30">
        <f>VLOOKUP($A30,[2]修饰!$A:$H,8,FALSE)</f>
        <v>-1.2735099999999999</v>
      </c>
      <c r="D30" t="s">
        <v>212</v>
      </c>
      <c r="E30">
        <f>VLOOKUP($D30,[2]修饰!$A:$H,8,FALSE)</f>
        <v>1.08256</v>
      </c>
      <c r="F30">
        <f>VLOOKUP($D30,[3]Sheet2!$A:$H,8,FALSE)</f>
        <v>1.04403</v>
      </c>
      <c r="H30" t="s">
        <v>1487</v>
      </c>
      <c r="I30">
        <f>VLOOKUP($H30,[3]Sheet2!$A:$H,8,FALSE)</f>
        <v>1.04244</v>
      </c>
    </row>
    <row r="31" spans="1:9" x14ac:dyDescent="0.2">
      <c r="A31" t="s">
        <v>67</v>
      </c>
      <c r="B31">
        <f>VLOOKUP($A31,[2]修饰!$A:$H,8,FALSE)</f>
        <v>-1.2748699999999999</v>
      </c>
      <c r="D31" t="s">
        <v>230</v>
      </c>
      <c r="E31">
        <f>VLOOKUP($D31,[2]修饰!$A:$H,8,FALSE)</f>
        <v>-1.6753499999999999</v>
      </c>
      <c r="F31">
        <f>VLOOKUP($D31,[3]Sheet2!$A:$H,8,FALSE)</f>
        <v>-1.68933</v>
      </c>
      <c r="H31" t="s">
        <v>1141</v>
      </c>
      <c r="I31">
        <f>VLOOKUP($H31,[3]Sheet2!$A:$H,8,FALSE)</f>
        <v>-1.0277099999999999</v>
      </c>
    </row>
    <row r="32" spans="1:9" x14ac:dyDescent="0.2">
      <c r="A32" t="s">
        <v>69</v>
      </c>
      <c r="B32">
        <f>VLOOKUP($A32,[2]修饰!$A:$H,8,FALSE)</f>
        <v>-2.0246300000000002</v>
      </c>
      <c r="D32" t="s">
        <v>232</v>
      </c>
      <c r="E32">
        <f>VLOOKUP($D32,[2]修饰!$A:$H,8,FALSE)</f>
        <v>-1.1168800000000001</v>
      </c>
      <c r="F32">
        <f>VLOOKUP($D32,[3]Sheet2!$A:$H,8,FALSE)</f>
        <v>-1.1346799999999999</v>
      </c>
      <c r="H32" t="s">
        <v>1488</v>
      </c>
      <c r="I32">
        <f>VLOOKUP($H32,[3]Sheet2!$A:$H,8,FALSE)</f>
        <v>1.19503</v>
      </c>
    </row>
    <row r="33" spans="1:9" x14ac:dyDescent="0.2">
      <c r="A33" t="s">
        <v>72</v>
      </c>
      <c r="B33" t="str">
        <f>VLOOKUP($A33,[2]修饰!$A:$H,8,FALSE)</f>
        <v>BD</v>
      </c>
      <c r="D33" t="s">
        <v>8</v>
      </c>
      <c r="E33">
        <f>VLOOKUP($D33,[2]修饰!$A:$H,8,FALSE)</f>
        <v>-1.67567</v>
      </c>
      <c r="F33" t="e">
        <f>VLOOKUP($D33,[3]Sheet2!$A:$H,8,FALSE)</f>
        <v>#NAME?</v>
      </c>
      <c r="H33" t="s">
        <v>49</v>
      </c>
      <c r="I33">
        <f>VLOOKUP($H33,[3]Sheet2!$A:$H,8,FALSE)</f>
        <v>1.4330000000000001</v>
      </c>
    </row>
    <row r="34" spans="1:9" x14ac:dyDescent="0.2">
      <c r="A34" t="s">
        <v>82</v>
      </c>
      <c r="B34">
        <f>VLOOKUP($A34,[2]修饰!$A:$H,8,FALSE)</f>
        <v>3.2928099999999998</v>
      </c>
      <c r="D34" t="s">
        <v>236</v>
      </c>
      <c r="E34">
        <f>VLOOKUP($D34,[2]修饰!$A:$H,8,FALSE)</f>
        <v>-1.6804600000000001</v>
      </c>
      <c r="F34">
        <f>VLOOKUP($D34,[3]Sheet2!$A:$H,8,FALSE)</f>
        <v>-2.7016100000000001</v>
      </c>
      <c r="H34" t="s">
        <v>50</v>
      </c>
      <c r="I34">
        <f>VLOOKUP($H34,[3]Sheet2!$A:$H,8,FALSE)</f>
        <v>1.08263</v>
      </c>
    </row>
    <row r="35" spans="1:9" x14ac:dyDescent="0.2">
      <c r="A35" t="s">
        <v>89</v>
      </c>
      <c r="B35">
        <f>VLOOKUP($A35,[2]修饰!$A:$H,8,FALSE)</f>
        <v>-1.0892200000000001</v>
      </c>
      <c r="D35" t="s">
        <v>252</v>
      </c>
      <c r="E35">
        <f>VLOOKUP($D35,[2]修饰!$A:$H,8,FALSE)</f>
        <v>1.3304199999999999</v>
      </c>
      <c r="F35">
        <f>VLOOKUP($D35,[3]Sheet2!$A:$H,8,FALSE)</f>
        <v>1.3055399999999999</v>
      </c>
      <c r="H35" t="s">
        <v>1145</v>
      </c>
      <c r="I35">
        <f>VLOOKUP($H35,[3]Sheet2!$A:$H,8,FALSE)</f>
        <v>1.0105999999999999</v>
      </c>
    </row>
    <row r="36" spans="1:9" x14ac:dyDescent="0.2">
      <c r="A36" t="s">
        <v>93</v>
      </c>
      <c r="B36">
        <f>VLOOKUP($A36,[2]修饰!$A:$H,8,FALSE)</f>
        <v>-1.2430399999999999</v>
      </c>
      <c r="D36" t="s">
        <v>270</v>
      </c>
      <c r="E36">
        <f>VLOOKUP($D36,[2]修饰!$A:$H,8,FALSE)</f>
        <v>1.0427500000000001</v>
      </c>
      <c r="F36">
        <f>VLOOKUP($D36,[3]Sheet2!$A:$H,8,FALSE)</f>
        <v>1.51708</v>
      </c>
      <c r="H36" t="s">
        <v>1489</v>
      </c>
      <c r="I36">
        <f>VLOOKUP($H36,[3]Sheet2!$A:$H,8,FALSE)</f>
        <v>-1.6178399999999999</v>
      </c>
    </row>
    <row r="37" spans="1:9" x14ac:dyDescent="0.2">
      <c r="A37" t="s">
        <v>95</v>
      </c>
      <c r="B37">
        <f>VLOOKUP($A37,[2]修饰!$A:$H,8,FALSE)</f>
        <v>1.94465</v>
      </c>
      <c r="D37" t="s">
        <v>285</v>
      </c>
      <c r="E37">
        <f>VLOOKUP($D37,[2]修饰!$A:$H,8,FALSE)</f>
        <v>-1.24722</v>
      </c>
      <c r="F37">
        <f>VLOOKUP($D37,[3]Sheet2!$A:$H,8,FALSE)</f>
        <v>-1.44808</v>
      </c>
      <c r="H37" t="s">
        <v>55</v>
      </c>
      <c r="I37">
        <f>VLOOKUP($H37,[3]Sheet2!$A:$H,8,FALSE)</f>
        <v>1.6454</v>
      </c>
    </row>
    <row r="38" spans="1:9" x14ac:dyDescent="0.2">
      <c r="A38" t="s">
        <v>99</v>
      </c>
      <c r="B38">
        <f>VLOOKUP($A38,[2]修饰!$A:$H,8,FALSE)</f>
        <v>-1.0508599999999999</v>
      </c>
      <c r="D38" t="s">
        <v>294</v>
      </c>
      <c r="E38">
        <f>VLOOKUP($D38,[2]修饰!$A:$H,8,FALSE)</f>
        <v>-1.4893400000000001</v>
      </c>
      <c r="F38">
        <f>VLOOKUP($D38,[3]Sheet2!$A:$H,8,FALSE)</f>
        <v>-2.6211600000000002</v>
      </c>
      <c r="H38" t="s">
        <v>1490</v>
      </c>
      <c r="I38">
        <f>VLOOKUP($H38,[3]Sheet2!$A:$H,8,FALSE)</f>
        <v>2.3580299999999998</v>
      </c>
    </row>
    <row r="39" spans="1:9" x14ac:dyDescent="0.2">
      <c r="A39" t="s">
        <v>102</v>
      </c>
      <c r="B39">
        <f>VLOOKUP($A39,[2]修饰!$A:$H,8,FALSE)</f>
        <v>-4.0428199999999999</v>
      </c>
      <c r="D39" t="s">
        <v>306</v>
      </c>
      <c r="E39">
        <f>VLOOKUP($D39,[2]修饰!$A:$H,8,FALSE)</f>
        <v>2.07843</v>
      </c>
      <c r="F39">
        <f>VLOOKUP($D39,[3]Sheet2!$A:$H,8,FALSE)</f>
        <v>1.8645400000000001</v>
      </c>
      <c r="H39" t="s">
        <v>1491</v>
      </c>
      <c r="I39">
        <f>VLOOKUP($H39,[3]Sheet2!$A:$H,8,FALSE)</f>
        <v>1.0456300000000001</v>
      </c>
    </row>
    <row r="40" spans="1:9" x14ac:dyDescent="0.2">
      <c r="A40" t="s">
        <v>105</v>
      </c>
      <c r="B40">
        <f>VLOOKUP($A40,[2]修饰!$A:$H,8,FALSE)</f>
        <v>1.1297900000000001</v>
      </c>
      <c r="D40" t="s">
        <v>311</v>
      </c>
      <c r="E40">
        <f>VLOOKUP($D40,[2]修饰!$A:$H,8,FALSE)</f>
        <v>1.60819</v>
      </c>
      <c r="F40">
        <f>VLOOKUP($D40,[3]Sheet2!$A:$H,8,FALSE)</f>
        <v>1.9303399999999999</v>
      </c>
      <c r="H40" t="s">
        <v>58</v>
      </c>
      <c r="I40">
        <f>VLOOKUP($H40,[3]Sheet2!$A:$H,8,FALSE)</f>
        <v>-1.11747</v>
      </c>
    </row>
    <row r="41" spans="1:9" x14ac:dyDescent="0.2">
      <c r="A41" t="s">
        <v>107</v>
      </c>
      <c r="B41" t="str">
        <f>VLOOKUP($A41,[2]修饰!$A:$H,8,FALSE)</f>
        <v>BD</v>
      </c>
      <c r="D41" t="s">
        <v>314</v>
      </c>
      <c r="E41">
        <f>VLOOKUP($D41,[2]修饰!$A:$H,8,FALSE)</f>
        <v>-2.1527400000000001</v>
      </c>
      <c r="F41">
        <f>VLOOKUP($D41,[3]Sheet2!$A:$H,8,FALSE)</f>
        <v>-2.8438500000000002</v>
      </c>
      <c r="H41" t="s">
        <v>1492</v>
      </c>
      <c r="I41">
        <f>VLOOKUP($H41,[3]Sheet2!$A:$H,8,FALSE)</f>
        <v>1.4898800000000001</v>
      </c>
    </row>
    <row r="42" spans="1:9" x14ac:dyDescent="0.2">
      <c r="A42" t="s">
        <v>108</v>
      </c>
      <c r="B42">
        <f>VLOOKUP($A42,[2]修饰!$A:$H,8,FALSE)</f>
        <v>1.1232800000000001</v>
      </c>
      <c r="D42" t="s">
        <v>315</v>
      </c>
      <c r="E42">
        <f>VLOOKUP($D42,[2]修饰!$A:$H,8,FALSE)</f>
        <v>1.6876899999999999</v>
      </c>
      <c r="F42">
        <f>VLOOKUP($D42,[3]Sheet2!$A:$H,8,FALSE)</f>
        <v>1.05531</v>
      </c>
      <c r="H42" t="s">
        <v>1151</v>
      </c>
      <c r="I42">
        <f>VLOOKUP($H42,[3]Sheet2!$A:$H,8,FALSE)</f>
        <v>2.02963</v>
      </c>
    </row>
    <row r="43" spans="1:9" x14ac:dyDescent="0.2">
      <c r="A43" t="s">
        <v>113</v>
      </c>
      <c r="B43">
        <f>VLOOKUP($A43,[2]修饰!$A:$H,8,FALSE)</f>
        <v>-1.44035</v>
      </c>
      <c r="D43" t="s">
        <v>322</v>
      </c>
      <c r="E43">
        <f>VLOOKUP($D43,[2]修饰!$A:$H,8,FALSE)</f>
        <v>1.4032100000000001</v>
      </c>
      <c r="F43">
        <f>VLOOKUP($D43,[3]Sheet2!$A:$H,8,FALSE)</f>
        <v>2.2966099999999998</v>
      </c>
      <c r="H43" t="s">
        <v>1493</v>
      </c>
      <c r="I43">
        <f>VLOOKUP($H43,[3]Sheet2!$A:$H,8,FALSE)</f>
        <v>1.3242400000000001</v>
      </c>
    </row>
    <row r="44" spans="1:9" x14ac:dyDescent="0.2">
      <c r="A44" t="s">
        <v>114</v>
      </c>
      <c r="B44">
        <f>VLOOKUP($A44,[2]修饰!$A:$H,8,FALSE)</f>
        <v>1.02275</v>
      </c>
      <c r="D44" t="s">
        <v>330</v>
      </c>
      <c r="E44" t="str">
        <f>VLOOKUP($D44,[2]修饰!$A:$H,8,FALSE)</f>
        <v>BD</v>
      </c>
      <c r="F44">
        <f>VLOOKUP($D44,[3]Sheet2!$A:$H,8,FALSE)</f>
        <v>1.26244</v>
      </c>
      <c r="H44" t="s">
        <v>1494</v>
      </c>
      <c r="I44">
        <f>VLOOKUP($H44,[3]Sheet2!$A:$H,8,FALSE)</f>
        <v>-1.0223599999999999</v>
      </c>
    </row>
    <row r="45" spans="1:9" x14ac:dyDescent="0.2">
      <c r="A45" t="s">
        <v>115</v>
      </c>
      <c r="B45">
        <f>VLOOKUP($A45,[2]修饰!$A:$H,8,FALSE)</f>
        <v>1.93652</v>
      </c>
      <c r="D45" t="s">
        <v>331</v>
      </c>
      <c r="E45">
        <f>VLOOKUP($D45,[2]修饰!$A:$H,8,FALSE)</f>
        <v>1.6670199999999999</v>
      </c>
      <c r="F45">
        <f>VLOOKUP($D45,[3]Sheet2!$A:$H,8,FALSE)</f>
        <v>1.6503699999999999</v>
      </c>
      <c r="H45" t="s">
        <v>68</v>
      </c>
      <c r="I45">
        <f>VLOOKUP($H45,[3]Sheet2!$A:$H,8,FALSE)</f>
        <v>1.2186699999999999</v>
      </c>
    </row>
    <row r="46" spans="1:9" x14ac:dyDescent="0.2">
      <c r="A46" t="s">
        <v>118</v>
      </c>
      <c r="B46">
        <f>VLOOKUP($A46,[2]修饰!$A:$H,8,FALSE)</f>
        <v>1.4098999999999999</v>
      </c>
      <c r="D46" t="s">
        <v>332</v>
      </c>
      <c r="E46">
        <f>VLOOKUP($D46,[2]修饰!$A:$H,8,FALSE)</f>
        <v>-2.1911</v>
      </c>
      <c r="F46">
        <f>VLOOKUP($D46,[3]Sheet2!$A:$H,8,FALSE)</f>
        <v>-3.1566299999999998</v>
      </c>
      <c r="H46" t="s">
        <v>70</v>
      </c>
      <c r="I46">
        <f>VLOOKUP($H46,[3]Sheet2!$A:$H,8,FALSE)</f>
        <v>2.0158299999999998</v>
      </c>
    </row>
    <row r="47" spans="1:9" x14ac:dyDescent="0.2">
      <c r="A47" t="s">
        <v>119</v>
      </c>
      <c r="B47" t="str">
        <f>VLOOKUP($A47,[2]修饰!$A:$H,8,FALSE)</f>
        <v>BD</v>
      </c>
      <c r="D47" t="s">
        <v>335</v>
      </c>
      <c r="E47">
        <f>VLOOKUP($D47,[2]修饰!$A:$H,8,FALSE)</f>
        <v>1.2378100000000001</v>
      </c>
      <c r="F47">
        <f>VLOOKUP($D47,[3]Sheet2!$A:$H,8,FALSE)</f>
        <v>1.32795</v>
      </c>
      <c r="H47" t="s">
        <v>1495</v>
      </c>
      <c r="I47">
        <f>VLOOKUP($H47,[3]Sheet2!$A:$H,8,FALSE)</f>
        <v>1.762</v>
      </c>
    </row>
    <row r="48" spans="1:9" x14ac:dyDescent="0.2">
      <c r="A48" t="s">
        <v>120</v>
      </c>
      <c r="B48">
        <f>VLOOKUP($A48,[2]修饰!$A:$H,8,FALSE)</f>
        <v>1.26847</v>
      </c>
      <c r="D48" t="s">
        <v>360</v>
      </c>
      <c r="E48">
        <f>VLOOKUP($D48,[2]修饰!$A:$H,8,FALSE)</f>
        <v>3.9649399999999999</v>
      </c>
      <c r="F48">
        <f>VLOOKUP($D48,[3]Sheet2!$A:$H,8,FALSE)</f>
        <v>3.6976599999999999</v>
      </c>
      <c r="H48" t="s">
        <v>74</v>
      </c>
      <c r="I48">
        <f>VLOOKUP($H48,[3]Sheet2!$A:$H,8,FALSE)</f>
        <v>1.0851299999999999</v>
      </c>
    </row>
    <row r="49" spans="1:9" x14ac:dyDescent="0.2">
      <c r="A49" t="s">
        <v>121</v>
      </c>
      <c r="B49">
        <f>VLOOKUP($A49,[2]修饰!$A:$H,8,FALSE)</f>
        <v>-2.0196700000000001</v>
      </c>
      <c r="D49" t="s">
        <v>363</v>
      </c>
      <c r="E49">
        <f>VLOOKUP($D49,[2]修饰!$A:$H,8,FALSE)</f>
        <v>-1.6177299999999999</v>
      </c>
      <c r="F49">
        <f>VLOOKUP($D49,[3]Sheet2!$A:$H,8,FALSE)</f>
        <v>-1.32684</v>
      </c>
      <c r="H49" t="s">
        <v>78</v>
      </c>
      <c r="I49">
        <f>VLOOKUP($H49,[3]Sheet2!$A:$H,8,FALSE)</f>
        <v>1.32098</v>
      </c>
    </row>
    <row r="50" spans="1:9" x14ac:dyDescent="0.2">
      <c r="A50" t="s">
        <v>123</v>
      </c>
      <c r="B50">
        <f>VLOOKUP($A50,[2]修饰!$A:$H,8,FALSE)</f>
        <v>-1.60225</v>
      </c>
      <c r="D50" t="s">
        <v>364</v>
      </c>
      <c r="E50">
        <f>VLOOKUP($D50,[2]修饰!$A:$H,8,FALSE)</f>
        <v>-1.25959</v>
      </c>
      <c r="F50">
        <f>VLOOKUP($D50,[3]Sheet2!$A:$H,8,FALSE)</f>
        <v>-2.0214699999999999</v>
      </c>
      <c r="H50" t="s">
        <v>79</v>
      </c>
      <c r="I50">
        <f>VLOOKUP($H50,[3]Sheet2!$A:$H,8,FALSE)</f>
        <v>-1.1115299999999999</v>
      </c>
    </row>
    <row r="51" spans="1:9" x14ac:dyDescent="0.2">
      <c r="A51" t="s">
        <v>124</v>
      </c>
      <c r="B51">
        <f>VLOOKUP($A51,[2]修饰!$A:$H,8,FALSE)</f>
        <v>-1.0377099999999999</v>
      </c>
      <c r="D51" t="s">
        <v>370</v>
      </c>
      <c r="E51">
        <f>VLOOKUP($D51,[2]修饰!$A:$H,8,FALSE)</f>
        <v>-1.21608</v>
      </c>
      <c r="F51">
        <f>VLOOKUP($D51,[3]Sheet2!$A:$H,8,FALSE)</f>
        <v>-1.0835699999999999</v>
      </c>
      <c r="H51" t="s">
        <v>81</v>
      </c>
      <c r="I51">
        <f>VLOOKUP($H51,[3]Sheet2!$A:$H,8,FALSE)</f>
        <v>2.0149300000000001</v>
      </c>
    </row>
    <row r="52" spans="1:9" x14ac:dyDescent="0.2">
      <c r="A52" t="s">
        <v>126</v>
      </c>
      <c r="B52">
        <f>VLOOKUP($A52,[2]修饰!$A:$H,8,FALSE)</f>
        <v>-1.21987</v>
      </c>
      <c r="D52" t="s">
        <v>377</v>
      </c>
      <c r="E52">
        <f>VLOOKUP($D52,[2]修饰!$A:$H,8,FALSE)</f>
        <v>-1.5764100000000001</v>
      </c>
      <c r="F52">
        <f>VLOOKUP($D52,[3]Sheet2!$A:$H,8,FALSE)</f>
        <v>-1.11748</v>
      </c>
      <c r="H52" t="s">
        <v>85</v>
      </c>
      <c r="I52">
        <f>VLOOKUP($H52,[3]Sheet2!$A:$H,8,FALSE)</f>
        <v>1.0383</v>
      </c>
    </row>
    <row r="53" spans="1:9" x14ac:dyDescent="0.2">
      <c r="A53" t="s">
        <v>132</v>
      </c>
      <c r="B53">
        <f>VLOOKUP($A53,[2]修饰!$A:$H,8,FALSE)</f>
        <v>1.6611</v>
      </c>
      <c r="D53" t="s">
        <v>385</v>
      </c>
      <c r="E53">
        <f>VLOOKUP($D53,[2]修饰!$A:$H,8,FALSE)</f>
        <v>-1.43496</v>
      </c>
      <c r="F53">
        <f>VLOOKUP($D53,[3]Sheet2!$A:$H,8,FALSE)</f>
        <v>-1.14408</v>
      </c>
      <c r="H53" t="s">
        <v>1154</v>
      </c>
      <c r="I53">
        <f>VLOOKUP($H53,[3]Sheet2!$A:$H,8,FALSE)</f>
        <v>1.82908</v>
      </c>
    </row>
    <row r="54" spans="1:9" x14ac:dyDescent="0.2">
      <c r="A54" t="s">
        <v>135</v>
      </c>
      <c r="B54">
        <f>VLOOKUP($A54,[2]修饰!$A:$H,8,FALSE)</f>
        <v>-2.1118299999999999</v>
      </c>
      <c r="D54" t="s">
        <v>386</v>
      </c>
      <c r="E54">
        <f>VLOOKUP($D54,[2]修饰!$A:$H,8,FALSE)</f>
        <v>1.4113800000000001</v>
      </c>
      <c r="F54" t="str">
        <f>VLOOKUP($D54,[3]Sheet2!$A:$H,8,FALSE)</f>
        <v>inf</v>
      </c>
      <c r="H54" t="s">
        <v>86</v>
      </c>
      <c r="I54">
        <f>VLOOKUP($H54,[3]Sheet2!$A:$H,8,FALSE)</f>
        <v>-1.2558</v>
      </c>
    </row>
    <row r="55" spans="1:9" x14ac:dyDescent="0.2">
      <c r="A55" t="s">
        <v>137</v>
      </c>
      <c r="B55">
        <f>VLOOKUP($A55,[2]修饰!$A:$H,8,FALSE)</f>
        <v>-1.2922400000000001</v>
      </c>
      <c r="D55" t="s">
        <v>388</v>
      </c>
      <c r="E55">
        <f>VLOOKUP($D55,[2]修饰!$A:$H,8,FALSE)</f>
        <v>2.0020799999999999</v>
      </c>
      <c r="F55">
        <f>VLOOKUP($D55,[3]Sheet2!$A:$H,8,FALSE)</f>
        <v>1.3150999999999999</v>
      </c>
      <c r="H55" t="s">
        <v>1496</v>
      </c>
      <c r="I55">
        <f>VLOOKUP($H55,[3]Sheet2!$A:$H,8,FALSE)</f>
        <v>1.29626</v>
      </c>
    </row>
    <row r="56" spans="1:9" x14ac:dyDescent="0.2">
      <c r="A56" t="s">
        <v>138</v>
      </c>
      <c r="B56">
        <f>VLOOKUP($A56,[2]修饰!$A:$H,8,FALSE)</f>
        <v>-1.2733300000000001</v>
      </c>
      <c r="D56" t="s">
        <v>389</v>
      </c>
      <c r="E56">
        <f>VLOOKUP($D56,[2]修饰!$A:$H,8,FALSE)</f>
        <v>1.3362700000000001</v>
      </c>
      <c r="F56">
        <f>VLOOKUP($D56,[3]Sheet2!$A:$H,8,FALSE)</f>
        <v>2.26492</v>
      </c>
      <c r="H56" t="s">
        <v>1497</v>
      </c>
      <c r="I56">
        <f>VLOOKUP($H56,[3]Sheet2!$A:$H,8,FALSE)</f>
        <v>-1.10497</v>
      </c>
    </row>
    <row r="57" spans="1:9" x14ac:dyDescent="0.2">
      <c r="A57" t="s">
        <v>139</v>
      </c>
      <c r="B57">
        <f>VLOOKUP($A57,[2]修饰!$A:$H,8,FALSE)</f>
        <v>1.15673</v>
      </c>
      <c r="D57" t="s">
        <v>400</v>
      </c>
      <c r="E57">
        <f>VLOOKUP($D57,[2]修饰!$A:$H,8,FALSE)</f>
        <v>2.2561599999999999</v>
      </c>
      <c r="F57">
        <f>VLOOKUP($D57,[3]Sheet2!$A:$H,8,FALSE)</f>
        <v>1.0944100000000001</v>
      </c>
      <c r="H57" t="s">
        <v>1498</v>
      </c>
      <c r="I57">
        <f>VLOOKUP($H57,[3]Sheet2!$A:$H,8,FALSE)</f>
        <v>1.6197600000000001</v>
      </c>
    </row>
    <row r="58" spans="1:9" x14ac:dyDescent="0.2">
      <c r="A58" t="s">
        <v>140</v>
      </c>
      <c r="B58">
        <f>VLOOKUP($A58,[2]修饰!$A:$H,8,FALSE)</f>
        <v>1.1039699999999999</v>
      </c>
      <c r="D58" t="s">
        <v>422</v>
      </c>
      <c r="E58">
        <f>VLOOKUP($D58,[2]修饰!$A:$H,8,FALSE)</f>
        <v>-1.51047</v>
      </c>
      <c r="F58">
        <f>VLOOKUP($D58,[3]Sheet2!$A:$H,8,FALSE)</f>
        <v>1.68588</v>
      </c>
      <c r="H58" t="s">
        <v>87</v>
      </c>
      <c r="I58">
        <f>VLOOKUP($H58,[3]Sheet2!$A:$H,8,FALSE)</f>
        <v>1.1334299999999999</v>
      </c>
    </row>
    <row r="59" spans="1:9" x14ac:dyDescent="0.2">
      <c r="A59" t="s">
        <v>141</v>
      </c>
      <c r="B59">
        <f>VLOOKUP($A59,[2]修饰!$A:$H,8,FALSE)</f>
        <v>-1.00386</v>
      </c>
      <c r="D59" t="s">
        <v>425</v>
      </c>
      <c r="E59">
        <f>VLOOKUP($D59,[2]修饰!$A:$H,8,FALSE)</f>
        <v>1.42876</v>
      </c>
      <c r="F59">
        <f>VLOOKUP($D59,[3]Sheet2!$A:$H,8,FALSE)</f>
        <v>1.7931699999999999</v>
      </c>
      <c r="H59" t="s">
        <v>1499</v>
      </c>
      <c r="I59">
        <f>VLOOKUP($H59,[3]Sheet2!$A:$H,8,FALSE)</f>
        <v>1.4154500000000001</v>
      </c>
    </row>
    <row r="60" spans="1:9" x14ac:dyDescent="0.2">
      <c r="A60" t="s">
        <v>142</v>
      </c>
      <c r="B60">
        <f>VLOOKUP($A60,[2]修饰!$A:$H,8,FALSE)</f>
        <v>-1.5388500000000001</v>
      </c>
      <c r="D60" t="s">
        <v>433</v>
      </c>
      <c r="E60">
        <f>VLOOKUP($D60,[2]修饰!$A:$H,8,FALSE)</f>
        <v>1.2007399999999999</v>
      </c>
      <c r="F60">
        <f>VLOOKUP($D60,[3]Sheet2!$A:$H,8,FALSE)</f>
        <v>1.5016499999999999</v>
      </c>
      <c r="H60" t="s">
        <v>1500</v>
      </c>
      <c r="I60">
        <f>VLOOKUP($H60,[3]Sheet2!$A:$H,8,FALSE)</f>
        <v>1.5307200000000001</v>
      </c>
    </row>
    <row r="61" spans="1:9" x14ac:dyDescent="0.2">
      <c r="A61" t="s">
        <v>144</v>
      </c>
      <c r="B61">
        <f>VLOOKUP($A61,[2]修饰!$A:$H,8,FALSE)</f>
        <v>-1.14341</v>
      </c>
      <c r="D61" t="s">
        <v>449</v>
      </c>
      <c r="E61">
        <f>VLOOKUP($D61,[2]修饰!$A:$H,8,FALSE)</f>
        <v>1.3679399999999999</v>
      </c>
      <c r="F61">
        <f>VLOOKUP($D61,[3]Sheet2!$A:$H,8,FALSE)</f>
        <v>1.57734</v>
      </c>
      <c r="H61" t="s">
        <v>88</v>
      </c>
      <c r="I61">
        <f>VLOOKUP($H61,[3]Sheet2!$A:$H,8,FALSE)</f>
        <v>1.0598799999999999</v>
      </c>
    </row>
    <row r="62" spans="1:9" x14ac:dyDescent="0.2">
      <c r="A62" t="s">
        <v>145</v>
      </c>
      <c r="B62">
        <f>VLOOKUP($A62,[2]修饰!$A:$H,8,FALSE)</f>
        <v>4.9255599999999999</v>
      </c>
      <c r="D62" t="s">
        <v>461</v>
      </c>
      <c r="E62">
        <f>VLOOKUP($D62,[2]修饰!$A:$H,8,FALSE)</f>
        <v>-1.2772600000000001</v>
      </c>
      <c r="F62">
        <f>VLOOKUP($D62,[3]Sheet2!$A:$H,8,FALSE)</f>
        <v>1.00231</v>
      </c>
      <c r="H62" t="s">
        <v>1157</v>
      </c>
      <c r="I62">
        <f>VLOOKUP($H62,[3]Sheet2!$A:$H,8,FALSE)</f>
        <v>1.51031</v>
      </c>
    </row>
    <row r="63" spans="1:9" x14ac:dyDescent="0.2">
      <c r="A63" t="s">
        <v>146</v>
      </c>
      <c r="B63">
        <f>VLOOKUP($A63,[2]修饰!$A:$H,8,FALSE)</f>
        <v>1.0771200000000001</v>
      </c>
      <c r="D63" t="s">
        <v>482</v>
      </c>
      <c r="E63">
        <f>VLOOKUP($D63,[2]修饰!$A:$H,8,FALSE)</f>
        <v>2.60256</v>
      </c>
      <c r="F63">
        <f>VLOOKUP($D63,[3]Sheet2!$A:$H,8,FALSE)</f>
        <v>1.4976700000000001</v>
      </c>
      <c r="H63" t="s">
        <v>1501</v>
      </c>
      <c r="I63">
        <f>VLOOKUP($H63,[3]Sheet2!$A:$H,8,FALSE)</f>
        <v>-1.6620699999999999</v>
      </c>
    </row>
    <row r="64" spans="1:9" x14ac:dyDescent="0.2">
      <c r="A64" t="s">
        <v>148</v>
      </c>
      <c r="B64">
        <f>VLOOKUP($A64,[2]修饰!$A:$H,8,FALSE)</f>
        <v>1.4488399999999999</v>
      </c>
      <c r="D64" t="s">
        <v>487</v>
      </c>
      <c r="E64">
        <f>VLOOKUP($D64,[2]修饰!$A:$H,8,FALSE)</f>
        <v>1.21957</v>
      </c>
      <c r="F64">
        <f>VLOOKUP($D64,[3]Sheet2!$A:$H,8,FALSE)</f>
        <v>1.55433</v>
      </c>
      <c r="H64" t="s">
        <v>1502</v>
      </c>
      <c r="I64">
        <f>VLOOKUP($H64,[3]Sheet2!$A:$H,8,FALSE)</f>
        <v>1.03301</v>
      </c>
    </row>
    <row r="65" spans="1:9" x14ac:dyDescent="0.2">
      <c r="A65" t="s">
        <v>151</v>
      </c>
      <c r="B65">
        <f>VLOOKUP($A65,[2]修饰!$A:$H,8,FALSE)</f>
        <v>1.2246999999999999</v>
      </c>
      <c r="D65" t="s">
        <v>494</v>
      </c>
      <c r="E65">
        <f>VLOOKUP($D65,[2]修饰!$A:$H,8,FALSE)</f>
        <v>1.2077899999999999</v>
      </c>
      <c r="F65">
        <f>VLOOKUP($D65,[3]Sheet2!$A:$H,8,FALSE)</f>
        <v>1.3523799999999999</v>
      </c>
      <c r="H65" t="s">
        <v>96</v>
      </c>
      <c r="I65">
        <f>VLOOKUP($H65,[3]Sheet2!$A:$H,8,FALSE)</f>
        <v>1.13974</v>
      </c>
    </row>
    <row r="66" spans="1:9" x14ac:dyDescent="0.2">
      <c r="A66" t="s">
        <v>153</v>
      </c>
      <c r="B66">
        <f>VLOOKUP($A66,[2]修饰!$A:$H,8,FALSE)</f>
        <v>1.6068899999999999</v>
      </c>
      <c r="D66" t="s">
        <v>497</v>
      </c>
      <c r="E66">
        <f>VLOOKUP($D66,[2]修饰!$A:$H,8,FALSE)</f>
        <v>1.5279</v>
      </c>
      <c r="F66">
        <f>VLOOKUP($D66,[3]Sheet2!$A:$H,8,FALSE)</f>
        <v>1.22285</v>
      </c>
      <c r="H66" t="s">
        <v>1503</v>
      </c>
      <c r="I66">
        <f>VLOOKUP($H66,[3]Sheet2!$A:$H,8,FALSE)</f>
        <v>-1.38687</v>
      </c>
    </row>
    <row r="67" spans="1:9" x14ac:dyDescent="0.2">
      <c r="A67" t="s">
        <v>154</v>
      </c>
      <c r="B67">
        <f>VLOOKUP($A67,[2]修饰!$A:$H,8,FALSE)</f>
        <v>-1.1757299999999999</v>
      </c>
      <c r="D67" t="s">
        <v>498</v>
      </c>
      <c r="E67">
        <f>VLOOKUP($D67,[2]修饰!$A:$H,8,FALSE)</f>
        <v>1.61111</v>
      </c>
      <c r="F67">
        <f>VLOOKUP($D67,[3]Sheet2!$A:$H,8,FALSE)</f>
        <v>5.1839500000000003</v>
      </c>
      <c r="H67" t="s">
        <v>1158</v>
      </c>
      <c r="I67">
        <f>VLOOKUP($H67,[3]Sheet2!$A:$H,8,FALSE)</f>
        <v>1.4117200000000001</v>
      </c>
    </row>
    <row r="68" spans="1:9" x14ac:dyDescent="0.2">
      <c r="A68" t="s">
        <v>156</v>
      </c>
      <c r="B68">
        <f>VLOOKUP($A68,[2]修饰!$A:$H,8,FALSE)</f>
        <v>-2.6227399999999998</v>
      </c>
      <c r="D68" t="s">
        <v>499</v>
      </c>
      <c r="E68">
        <f>VLOOKUP($D68,[2]修饰!$A:$H,8,FALSE)</f>
        <v>-1.19594</v>
      </c>
      <c r="F68">
        <f>VLOOKUP($D68,[3]Sheet2!$A:$H,8,FALSE)</f>
        <v>-1.72159</v>
      </c>
      <c r="H68" t="s">
        <v>97</v>
      </c>
      <c r="I68">
        <f>VLOOKUP($H68,[3]Sheet2!$A:$H,8,FALSE)</f>
        <v>-1.25474</v>
      </c>
    </row>
    <row r="69" spans="1:9" x14ac:dyDescent="0.2">
      <c r="A69" t="s">
        <v>157</v>
      </c>
      <c r="B69">
        <f>VLOOKUP($A69,[2]修饰!$A:$H,8,FALSE)</f>
        <v>-2.3393000000000002</v>
      </c>
      <c r="D69" t="s">
        <v>507</v>
      </c>
      <c r="E69">
        <f>VLOOKUP($D69,[2]修饰!$A:$H,8,FALSE)</f>
        <v>1.2401199999999999</v>
      </c>
      <c r="F69">
        <f>VLOOKUP($D69,[3]Sheet2!$A:$H,8,FALSE)</f>
        <v>1.88439</v>
      </c>
      <c r="H69" t="s">
        <v>1504</v>
      </c>
      <c r="I69">
        <f>VLOOKUP($H69,[3]Sheet2!$A:$H,8,FALSE)</f>
        <v>1.1090599999999999</v>
      </c>
    </row>
    <row r="70" spans="1:9" x14ac:dyDescent="0.2">
      <c r="A70" t="s">
        <v>158</v>
      </c>
      <c r="B70">
        <f>VLOOKUP($A70,[2]修饰!$A:$H,8,FALSE)</f>
        <v>-1.5997600000000001</v>
      </c>
      <c r="D70" t="s">
        <v>521</v>
      </c>
      <c r="E70">
        <f>VLOOKUP($D70,[2]修饰!$A:$H,8,FALSE)</f>
        <v>-1.64205</v>
      </c>
      <c r="F70">
        <f>VLOOKUP($D70,[3]Sheet2!$A:$H,8,FALSE)</f>
        <v>1.03165</v>
      </c>
      <c r="H70" t="s">
        <v>100</v>
      </c>
      <c r="I70">
        <f>VLOOKUP($H70,[3]Sheet2!$A:$H,8,FALSE)</f>
        <v>1.13635</v>
      </c>
    </row>
    <row r="71" spans="1:9" x14ac:dyDescent="0.2">
      <c r="A71" t="s">
        <v>159</v>
      </c>
      <c r="B71">
        <f>VLOOKUP($A71,[2]修饰!$A:$H,8,FALSE)</f>
        <v>-1.3695299999999999</v>
      </c>
      <c r="D71" t="s">
        <v>528</v>
      </c>
      <c r="E71">
        <f>VLOOKUP($D71,[2]修饰!$A:$H,8,FALSE)</f>
        <v>1.02121</v>
      </c>
      <c r="F71">
        <f>VLOOKUP($D71,[3]Sheet2!$A:$H,8,FALSE)</f>
        <v>3.2860399999999998</v>
      </c>
      <c r="H71" t="s">
        <v>101</v>
      </c>
      <c r="I71">
        <f>VLOOKUP($H71,[3]Sheet2!$A:$H,8,FALSE)</f>
        <v>-1.0666800000000001</v>
      </c>
    </row>
    <row r="72" spans="1:9" x14ac:dyDescent="0.2">
      <c r="A72" t="s">
        <v>161</v>
      </c>
      <c r="B72">
        <f>VLOOKUP($A72,[2]修饰!$A:$H,8,FALSE)</f>
        <v>-1.58632</v>
      </c>
      <c r="D72" t="s">
        <v>531</v>
      </c>
      <c r="E72">
        <f>VLOOKUP($D72,[2]修饰!$A:$H,8,FALSE)</f>
        <v>-1.85209</v>
      </c>
      <c r="F72">
        <f>VLOOKUP($D72,[3]Sheet2!$A:$H,8,FALSE)</f>
        <v>-1.96871</v>
      </c>
      <c r="H72" t="s">
        <v>106</v>
      </c>
      <c r="I72">
        <f>VLOOKUP($H72,[3]Sheet2!$A:$H,8,FALSE)</f>
        <v>1.2430000000000001</v>
      </c>
    </row>
    <row r="73" spans="1:9" x14ac:dyDescent="0.2">
      <c r="A73" t="s">
        <v>163</v>
      </c>
      <c r="B73">
        <f>VLOOKUP($A73,[2]修饰!$A:$H,8,FALSE)</f>
        <v>1.0223599999999999</v>
      </c>
      <c r="D73" t="s">
        <v>532</v>
      </c>
      <c r="E73">
        <f>VLOOKUP($D73,[2]修饰!$A:$H,8,FALSE)</f>
        <v>-1.53016</v>
      </c>
      <c r="F73">
        <f>VLOOKUP($D73,[3]Sheet2!$A:$H,8,FALSE)</f>
        <v>1.9561200000000001</v>
      </c>
      <c r="H73" t="s">
        <v>1505</v>
      </c>
      <c r="I73">
        <f>VLOOKUP($H73,[3]Sheet2!$A:$H,8,FALSE)</f>
        <v>2.0704699999999998</v>
      </c>
    </row>
    <row r="74" spans="1:9" x14ac:dyDescent="0.2">
      <c r="A74" t="s">
        <v>167</v>
      </c>
      <c r="B74">
        <f>VLOOKUP($A74,[2]修饰!$A:$H,8,FALSE)</f>
        <v>1.1138600000000001</v>
      </c>
      <c r="D74" t="s">
        <v>535</v>
      </c>
      <c r="E74">
        <f>VLOOKUP($D74,[2]修饰!$A:$H,8,FALSE)</f>
        <v>1.0938099999999999</v>
      </c>
      <c r="F74">
        <f>VLOOKUP($D74,[3]Sheet2!$A:$H,8,FALSE)</f>
        <v>1.5937600000000001</v>
      </c>
      <c r="H74" t="s">
        <v>1506</v>
      </c>
      <c r="I74">
        <f>VLOOKUP($H74,[3]Sheet2!$A:$H,8,FALSE)</f>
        <v>1.2410000000000001</v>
      </c>
    </row>
    <row r="75" spans="1:9" x14ac:dyDescent="0.2">
      <c r="A75" t="s">
        <v>169</v>
      </c>
      <c r="B75">
        <f>VLOOKUP($A75,[2]修饰!$A:$H,8,FALSE)</f>
        <v>-1.2103699999999999</v>
      </c>
      <c r="D75" t="s">
        <v>539</v>
      </c>
      <c r="E75">
        <f>VLOOKUP($D75,[2]修饰!$A:$H,8,FALSE)</f>
        <v>1.7503899999999999</v>
      </c>
      <c r="F75">
        <f>VLOOKUP($D75,[3]Sheet2!$A:$H,8,FALSE)</f>
        <v>1.74804</v>
      </c>
      <c r="H75" t="s">
        <v>109</v>
      </c>
      <c r="I75">
        <f>VLOOKUP($H75,[3]Sheet2!$A:$H,8,FALSE)</f>
        <v>1.53027</v>
      </c>
    </row>
    <row r="76" spans="1:9" x14ac:dyDescent="0.2">
      <c r="A76" t="s">
        <v>172</v>
      </c>
      <c r="B76">
        <f>VLOOKUP($A76,[2]修饰!$A:$H,8,FALSE)</f>
        <v>-2.2174999999999998</v>
      </c>
      <c r="D76" t="s">
        <v>548</v>
      </c>
      <c r="E76">
        <f>VLOOKUP($D76,[2]修饰!$A:$H,8,FALSE)</f>
        <v>-1.3232699999999999</v>
      </c>
      <c r="F76">
        <f>VLOOKUP($D76,[3]Sheet2!$A:$H,8,FALSE)</f>
        <v>-1.00701</v>
      </c>
      <c r="H76" t="s">
        <v>110</v>
      </c>
      <c r="I76">
        <f>VLOOKUP($H76,[3]Sheet2!$A:$H,8,FALSE)</f>
        <v>1.03973</v>
      </c>
    </row>
    <row r="77" spans="1:9" x14ac:dyDescent="0.2">
      <c r="A77" t="s">
        <v>174</v>
      </c>
      <c r="B77">
        <f>VLOOKUP($A77,[2]修饰!$A:$H,8,FALSE)</f>
        <v>-1.0662100000000001</v>
      </c>
      <c r="D77" t="s">
        <v>562</v>
      </c>
      <c r="E77">
        <f>VLOOKUP($D77,[2]修饰!$A:$H,8,FALSE)</f>
        <v>1.9737199999999999</v>
      </c>
      <c r="F77">
        <f>VLOOKUP($D77,[3]Sheet2!$A:$H,8,FALSE)</f>
        <v>1.70675</v>
      </c>
      <c r="H77" t="s">
        <v>1162</v>
      </c>
      <c r="I77">
        <f>VLOOKUP($H77,[3]Sheet2!$A:$H,8,FALSE)</f>
        <v>1.2374000000000001</v>
      </c>
    </row>
    <row r="78" spans="1:9" x14ac:dyDescent="0.2">
      <c r="A78" t="s">
        <v>176</v>
      </c>
      <c r="B78">
        <f>VLOOKUP($A78,[2]修饰!$A:$H,8,FALSE)</f>
        <v>-1.54555</v>
      </c>
      <c r="D78" t="s">
        <v>567</v>
      </c>
      <c r="E78">
        <f>VLOOKUP($D78,[2]修饰!$A:$H,8,FALSE)</f>
        <v>1.1437900000000001</v>
      </c>
      <c r="F78">
        <f>VLOOKUP($D78,[3]Sheet2!$A:$H,8,FALSE)</f>
        <v>1.4790099999999999</v>
      </c>
      <c r="H78" t="s">
        <v>111</v>
      </c>
      <c r="I78">
        <f>VLOOKUP($H78,[3]Sheet2!$A:$H,8,FALSE)</f>
        <v>1.14557</v>
      </c>
    </row>
    <row r="79" spans="1:9" x14ac:dyDescent="0.2">
      <c r="A79" t="s">
        <v>177</v>
      </c>
      <c r="B79">
        <f>VLOOKUP($A79,[2]修饰!$A:$H,8,FALSE)</f>
        <v>-1.5861799999999999</v>
      </c>
      <c r="D79" t="s">
        <v>568</v>
      </c>
      <c r="E79">
        <f>VLOOKUP($D79,[2]修饰!$A:$H,8,FALSE)</f>
        <v>1.60324</v>
      </c>
      <c r="F79">
        <f>VLOOKUP($D79,[3]Sheet2!$A:$H,8,FALSE)</f>
        <v>1.44675</v>
      </c>
      <c r="H79" t="s">
        <v>1166</v>
      </c>
      <c r="I79">
        <f>VLOOKUP($H79,[3]Sheet2!$A:$H,8,FALSE)</f>
        <v>1.0124299999999999</v>
      </c>
    </row>
    <row r="80" spans="1:9" x14ac:dyDescent="0.2">
      <c r="A80" t="s">
        <v>178</v>
      </c>
      <c r="B80">
        <f>VLOOKUP($A80,[2]修饰!$A:$H,8,FALSE)</f>
        <v>-1.2555099999999999</v>
      </c>
      <c r="D80" t="s">
        <v>573</v>
      </c>
      <c r="E80">
        <f>VLOOKUP($D80,[2]修饰!$A:$H,8,FALSE)</f>
        <v>1.8851</v>
      </c>
      <c r="F80">
        <f>VLOOKUP($D80,[3]Sheet2!$A:$H,8,FALSE)</f>
        <v>2.2136200000000001</v>
      </c>
      <c r="H80" t="s">
        <v>116</v>
      </c>
      <c r="I80">
        <f>VLOOKUP($H80,[3]Sheet2!$A:$H,8,FALSE)</f>
        <v>1.1999</v>
      </c>
    </row>
    <row r="81" spans="1:9" x14ac:dyDescent="0.2">
      <c r="A81" t="s">
        <v>179</v>
      </c>
      <c r="B81">
        <f>VLOOKUP($A81,[2]修饰!$A:$H,8,FALSE)</f>
        <v>2.6911299999999998</v>
      </c>
      <c r="D81" t="s">
        <v>577</v>
      </c>
      <c r="E81">
        <f>VLOOKUP($D81,[2]修饰!$A:$H,8,FALSE)</f>
        <v>-1.0520799999999999</v>
      </c>
      <c r="F81">
        <f>VLOOKUP($D81,[3]Sheet2!$A:$H,8,FALSE)</f>
        <v>-1.0847500000000001</v>
      </c>
      <c r="H81" t="s">
        <v>117</v>
      </c>
      <c r="I81">
        <f>VLOOKUP($H81,[3]Sheet2!$A:$H,8,FALSE)</f>
        <v>-1.2524900000000001</v>
      </c>
    </row>
    <row r="82" spans="1:9" x14ac:dyDescent="0.2">
      <c r="A82" t="s">
        <v>180</v>
      </c>
      <c r="B82">
        <f>VLOOKUP($A82,[2]修饰!$A:$H,8,FALSE)</f>
        <v>-1.1176299999999999</v>
      </c>
      <c r="D82" t="s">
        <v>581</v>
      </c>
      <c r="E82">
        <f>VLOOKUP($D82,[2]修饰!$A:$H,8,FALSE)</f>
        <v>2.4523000000000001</v>
      </c>
      <c r="F82">
        <f>VLOOKUP($D82,[3]Sheet2!$A:$H,8,FALSE)</f>
        <v>4.9921100000000003</v>
      </c>
      <c r="H82" t="s">
        <v>1507</v>
      </c>
      <c r="I82">
        <f>VLOOKUP($H82,[3]Sheet2!$A:$H,8,FALSE)</f>
        <v>1.2510399999999999</v>
      </c>
    </row>
    <row r="83" spans="1:9" x14ac:dyDescent="0.2">
      <c r="A83" t="s">
        <v>181</v>
      </c>
      <c r="B83">
        <f>VLOOKUP($A83,[2]修饰!$A:$H,8,FALSE)</f>
        <v>-2.81603</v>
      </c>
      <c r="D83" t="s">
        <v>584</v>
      </c>
      <c r="E83">
        <f>VLOOKUP($D83,[2]修饰!$A:$H,8,FALSE)</f>
        <v>1.27003</v>
      </c>
      <c r="F83">
        <f>VLOOKUP($D83,[3]Sheet2!$A:$H,8,FALSE)</f>
        <v>1.1099000000000001</v>
      </c>
      <c r="H83" t="s">
        <v>1508</v>
      </c>
      <c r="I83">
        <f>VLOOKUP($H83,[3]Sheet2!$A:$H,8,FALSE)</f>
        <v>-1.30203</v>
      </c>
    </row>
    <row r="84" spans="1:9" x14ac:dyDescent="0.2">
      <c r="A84" t="s">
        <v>182</v>
      </c>
      <c r="B84">
        <f>VLOOKUP($A84,[2]修饰!$A:$H,8,FALSE)</f>
        <v>-2.1131099999999998</v>
      </c>
      <c r="D84" t="s">
        <v>596</v>
      </c>
      <c r="E84">
        <f>VLOOKUP($D84,[2]修饰!$A:$H,8,FALSE)</f>
        <v>1.19086</v>
      </c>
      <c r="F84">
        <f>VLOOKUP($D84,[3]Sheet2!$A:$H,8,FALSE)</f>
        <v>1.26797</v>
      </c>
      <c r="H84" t="s">
        <v>1509</v>
      </c>
      <c r="I84">
        <f>VLOOKUP($H84,[3]Sheet2!$A:$H,8,FALSE)</f>
        <v>1.7826900000000001</v>
      </c>
    </row>
    <row r="85" spans="1:9" x14ac:dyDescent="0.2">
      <c r="A85" t="s">
        <v>183</v>
      </c>
      <c r="B85">
        <f>VLOOKUP($A85,[2]修饰!$A:$H,8,FALSE)</f>
        <v>-1.0106200000000001</v>
      </c>
      <c r="D85" t="s">
        <v>607</v>
      </c>
      <c r="E85">
        <f>VLOOKUP($D85,[2]修饰!$A:$H,8,FALSE)</f>
        <v>1.1394200000000001</v>
      </c>
      <c r="F85">
        <f>VLOOKUP($D85,[3]Sheet2!$A:$H,8,FALSE)</f>
        <v>1.15021</v>
      </c>
      <c r="H85" t="s">
        <v>1168</v>
      </c>
      <c r="I85">
        <f>VLOOKUP($H85,[3]Sheet2!$A:$H,8,FALSE)</f>
        <v>-1.2523500000000001</v>
      </c>
    </row>
    <row r="86" spans="1:9" x14ac:dyDescent="0.2">
      <c r="A86" t="s">
        <v>185</v>
      </c>
      <c r="B86">
        <f>VLOOKUP($A86,[2]修饰!$A:$H,8,FALSE)</f>
        <v>2.0984600000000002</v>
      </c>
      <c r="D86" t="s">
        <v>608</v>
      </c>
      <c r="E86">
        <f>VLOOKUP($D86,[2]修饰!$A:$H,8,FALSE)</f>
        <v>-1.00518</v>
      </c>
      <c r="F86">
        <f>VLOOKUP($D86,[3]Sheet2!$A:$H,8,FALSE)</f>
        <v>-1.2248000000000001</v>
      </c>
      <c r="H86" t="s">
        <v>1510</v>
      </c>
      <c r="I86">
        <f>VLOOKUP($H86,[3]Sheet2!$A:$H,8,FALSE)</f>
        <v>-1.01857</v>
      </c>
    </row>
    <row r="87" spans="1:9" x14ac:dyDescent="0.2">
      <c r="A87" t="s">
        <v>186</v>
      </c>
      <c r="B87">
        <f>VLOOKUP($A87,[2]修饰!$A:$H,8,FALSE)</f>
        <v>1.44946</v>
      </c>
      <c r="D87" t="s">
        <v>619</v>
      </c>
      <c r="E87" t="str">
        <f>VLOOKUP($D87,[2]修饰!$A:$H,8,FALSE)</f>
        <v>BD</v>
      </c>
      <c r="F87">
        <f>VLOOKUP($D87,[3]Sheet2!$A:$H,8,FALSE)</f>
        <v>-3.0972400000000002</v>
      </c>
      <c r="H87" t="s">
        <v>1511</v>
      </c>
      <c r="I87">
        <f>VLOOKUP($H87,[3]Sheet2!$A:$H,8,FALSE)</f>
        <v>1.0689500000000001</v>
      </c>
    </row>
    <row r="88" spans="1:9" x14ac:dyDescent="0.2">
      <c r="A88" t="s">
        <v>187</v>
      </c>
      <c r="B88">
        <f>VLOOKUP($A88,[2]修饰!$A:$H,8,FALSE)</f>
        <v>-1.1364399999999999</v>
      </c>
      <c r="D88" t="s">
        <v>623</v>
      </c>
      <c r="E88">
        <f>VLOOKUP($D88,[2]修饰!$A:$H,8,FALSE)</f>
        <v>-1.0099100000000001</v>
      </c>
      <c r="F88">
        <f>VLOOKUP($D88,[3]Sheet2!$A:$H,8,FALSE)</f>
        <v>-2.5248400000000002</v>
      </c>
      <c r="H88" t="s">
        <v>125</v>
      </c>
      <c r="I88">
        <f>VLOOKUP($H88,[3]Sheet2!$A:$H,8,FALSE)</f>
        <v>1.7604500000000001</v>
      </c>
    </row>
    <row r="89" spans="1:9" x14ac:dyDescent="0.2">
      <c r="A89" t="s">
        <v>190</v>
      </c>
      <c r="B89">
        <f>VLOOKUP($A89,[2]修饰!$A:$H,8,FALSE)</f>
        <v>-1.0171699999999999</v>
      </c>
      <c r="D89" t="s">
        <v>626</v>
      </c>
      <c r="E89">
        <f>VLOOKUP($D89,[2]修饰!$A:$H,8,FALSE)</f>
        <v>1.113</v>
      </c>
      <c r="F89">
        <f>VLOOKUP($D89,[3]Sheet2!$A:$H,8,FALSE)</f>
        <v>1.04674</v>
      </c>
      <c r="H89" t="s">
        <v>128</v>
      </c>
      <c r="I89">
        <f>VLOOKUP($H89,[3]Sheet2!$A:$H,8,FALSE)</f>
        <v>1.61392</v>
      </c>
    </row>
    <row r="90" spans="1:9" x14ac:dyDescent="0.2">
      <c r="A90" t="s">
        <v>191</v>
      </c>
      <c r="B90">
        <f>VLOOKUP($A90,[2]修饰!$A:$H,8,FALSE)</f>
        <v>-1.6310800000000001</v>
      </c>
      <c r="D90" t="s">
        <v>628</v>
      </c>
      <c r="E90">
        <f>VLOOKUP($D90,[2]修饰!$A:$H,8,FALSE)</f>
        <v>1.7682800000000001</v>
      </c>
      <c r="F90">
        <f>VLOOKUP($D90,[3]Sheet2!$A:$H,8,FALSE)</f>
        <v>3.2413400000000001</v>
      </c>
      <c r="H90" t="s">
        <v>1512</v>
      </c>
      <c r="I90">
        <f>VLOOKUP($H90,[3]Sheet2!$A:$H,8,FALSE)</f>
        <v>1.17144</v>
      </c>
    </row>
    <row r="91" spans="1:9" x14ac:dyDescent="0.2">
      <c r="A91" t="s">
        <v>192</v>
      </c>
      <c r="B91">
        <f>VLOOKUP($A91,[2]修饰!$A:$H,8,FALSE)</f>
        <v>-1.0449999999999999</v>
      </c>
      <c r="D91" t="s">
        <v>630</v>
      </c>
      <c r="E91">
        <f>VLOOKUP($D91,[2]修饰!$A:$H,8,FALSE)</f>
        <v>2.4624799999999998</v>
      </c>
      <c r="F91">
        <f>VLOOKUP($D91,[3]Sheet2!$A:$H,8,FALSE)</f>
        <v>5.1199899999999996</v>
      </c>
      <c r="H91" t="s">
        <v>130</v>
      </c>
      <c r="I91">
        <f>VLOOKUP($H91,[3]Sheet2!$A:$H,8,FALSE)</f>
        <v>-1.4227000000000001</v>
      </c>
    </row>
    <row r="92" spans="1:9" x14ac:dyDescent="0.2">
      <c r="A92" t="s">
        <v>194</v>
      </c>
      <c r="B92">
        <f>VLOOKUP($A92,[2]修饰!$A:$H,8,FALSE)</f>
        <v>1.2093700000000001</v>
      </c>
      <c r="D92" t="s">
        <v>645</v>
      </c>
      <c r="E92">
        <f>VLOOKUP($D92,[2]修饰!$A:$H,8,FALSE)</f>
        <v>-1.4891099999999999</v>
      </c>
      <c r="F92">
        <f>VLOOKUP($D92,[3]Sheet2!$A:$H,8,FALSE)</f>
        <v>-1.0909500000000001</v>
      </c>
      <c r="H92" t="s">
        <v>131</v>
      </c>
      <c r="I92">
        <f>VLOOKUP($H92,[3]Sheet2!$A:$H,8,FALSE)</f>
        <v>-1.0312300000000001</v>
      </c>
    </row>
    <row r="93" spans="1:9" x14ac:dyDescent="0.2">
      <c r="A93" t="s">
        <v>195</v>
      </c>
      <c r="B93">
        <f>VLOOKUP($A93,[2]修饰!$A:$H,8,FALSE)</f>
        <v>2.3004600000000002</v>
      </c>
      <c r="D93" t="s">
        <v>648</v>
      </c>
      <c r="E93">
        <f>VLOOKUP($D93,[2]修饰!$A:$H,8,FALSE)</f>
        <v>-1.0894699999999999</v>
      </c>
      <c r="F93">
        <f>VLOOKUP($D93,[3]Sheet2!$A:$H,8,FALSE)</f>
        <v>1.51813</v>
      </c>
      <c r="H93" t="s">
        <v>1175</v>
      </c>
      <c r="I93">
        <f>VLOOKUP($H93,[3]Sheet2!$A:$H,8,FALSE)</f>
        <v>-1.0928199999999999</v>
      </c>
    </row>
    <row r="94" spans="1:9" x14ac:dyDescent="0.2">
      <c r="A94" t="s">
        <v>196</v>
      </c>
      <c r="B94">
        <f>VLOOKUP($A94,[2]修饰!$A:$H,8,FALSE)</f>
        <v>-2.4274200000000001</v>
      </c>
      <c r="D94" t="s">
        <v>652</v>
      </c>
      <c r="E94">
        <f>VLOOKUP($D94,[2]修饰!$A:$H,8,FALSE)</f>
        <v>1.05759</v>
      </c>
      <c r="F94">
        <f>VLOOKUP($D94,[3]Sheet2!$A:$H,8,FALSE)</f>
        <v>1.8937900000000001</v>
      </c>
      <c r="H94" t="s">
        <v>134</v>
      </c>
      <c r="I94">
        <f>VLOOKUP($H94,[3]Sheet2!$A:$H,8,FALSE)</f>
        <v>1.44224</v>
      </c>
    </row>
    <row r="95" spans="1:9" x14ac:dyDescent="0.2">
      <c r="A95" t="s">
        <v>197</v>
      </c>
      <c r="B95">
        <f>VLOOKUP($A95,[2]修饰!$A:$H,8,FALSE)</f>
        <v>1.21566</v>
      </c>
      <c r="D95" t="s">
        <v>656</v>
      </c>
      <c r="E95">
        <f>VLOOKUP($D95,[2]修饰!$A:$H,8,FALSE)</f>
        <v>-2.14134</v>
      </c>
      <c r="F95">
        <f>VLOOKUP($D95,[3]Sheet2!$A:$H,8,FALSE)</f>
        <v>1.6656500000000001</v>
      </c>
      <c r="H95" t="s">
        <v>1513</v>
      </c>
      <c r="I95">
        <f>VLOOKUP($H95,[3]Sheet2!$A:$H,8,FALSE)</f>
        <v>-1.5496099999999999</v>
      </c>
    </row>
    <row r="96" spans="1:9" x14ac:dyDescent="0.2">
      <c r="A96" t="s">
        <v>198</v>
      </c>
      <c r="B96">
        <f>VLOOKUP($A96,[2]修饰!$A:$H,8,FALSE)</f>
        <v>-1.36131</v>
      </c>
      <c r="D96" t="s">
        <v>658</v>
      </c>
      <c r="E96">
        <f>VLOOKUP($D96,[2]修饰!$A:$H,8,FALSE)</f>
        <v>1.9179900000000001</v>
      </c>
      <c r="F96">
        <f>VLOOKUP($D96,[3]Sheet2!$A:$H,8,FALSE)</f>
        <v>-1.15486</v>
      </c>
      <c r="H96" t="s">
        <v>136</v>
      </c>
      <c r="I96">
        <f>VLOOKUP($H96,[3]Sheet2!$A:$H,8,FALSE)</f>
        <v>3.8305899999999999</v>
      </c>
    </row>
    <row r="97" spans="1:9" x14ac:dyDescent="0.2">
      <c r="A97" t="s">
        <v>199</v>
      </c>
      <c r="B97">
        <f>VLOOKUP($A97,[2]修饰!$A:$H,8,FALSE)</f>
        <v>1.46319</v>
      </c>
      <c r="D97" t="s">
        <v>660</v>
      </c>
      <c r="E97">
        <f>VLOOKUP($D97,[2]修饰!$A:$H,8,FALSE)</f>
        <v>1.0059400000000001</v>
      </c>
      <c r="F97">
        <f>VLOOKUP($D97,[3]Sheet2!$A:$H,8,FALSE)</f>
        <v>1.56793</v>
      </c>
      <c r="H97" t="s">
        <v>1179</v>
      </c>
      <c r="I97">
        <f>VLOOKUP($H97,[3]Sheet2!$A:$H,8,FALSE)</f>
        <v>1.1779200000000001</v>
      </c>
    </row>
    <row r="98" spans="1:9" x14ac:dyDescent="0.2">
      <c r="A98" t="s">
        <v>201</v>
      </c>
      <c r="B98">
        <f>VLOOKUP($A98,[2]修饰!$A:$H,8,FALSE)</f>
        <v>-1.3940399999999999</v>
      </c>
      <c r="D98" t="s">
        <v>663</v>
      </c>
      <c r="E98">
        <f>VLOOKUP($D98,[2]修饰!$A:$H,8,FALSE)</f>
        <v>1.30888</v>
      </c>
      <c r="F98">
        <f>VLOOKUP($D98,[3]Sheet2!$A:$H,8,FALSE)</f>
        <v>1.4481200000000001</v>
      </c>
      <c r="H98" t="s">
        <v>1514</v>
      </c>
      <c r="I98">
        <f>VLOOKUP($H98,[3]Sheet2!$A:$H,8,FALSE)</f>
        <v>1.4376599999999999</v>
      </c>
    </row>
    <row r="99" spans="1:9" x14ac:dyDescent="0.2">
      <c r="A99" t="s">
        <v>202</v>
      </c>
      <c r="B99">
        <f>VLOOKUP($A99,[2]修饰!$A:$H,8,FALSE)</f>
        <v>1.04758</v>
      </c>
      <c r="D99" t="s">
        <v>669</v>
      </c>
      <c r="E99">
        <f>VLOOKUP($D99,[2]修饰!$A:$H,8,FALSE)</f>
        <v>2.0457299999999998</v>
      </c>
      <c r="F99">
        <f>VLOOKUP($D99,[3]Sheet2!$A:$H,8,FALSE)</f>
        <v>2.27996</v>
      </c>
      <c r="H99" t="s">
        <v>1515</v>
      </c>
      <c r="I99">
        <f>VLOOKUP($H99,[3]Sheet2!$A:$H,8,FALSE)</f>
        <v>1.5013300000000001</v>
      </c>
    </row>
    <row r="100" spans="1:9" x14ac:dyDescent="0.2">
      <c r="A100" t="s">
        <v>203</v>
      </c>
      <c r="B100">
        <f>VLOOKUP($A100,[2]修饰!$A:$H,8,FALSE)</f>
        <v>-1.0102</v>
      </c>
      <c r="D100" t="s">
        <v>673</v>
      </c>
      <c r="E100">
        <f>VLOOKUP($D100,[2]修饰!$A:$H,8,FALSE)</f>
        <v>1.9930600000000001</v>
      </c>
      <c r="F100">
        <f>VLOOKUP($D100,[3]Sheet2!$A:$H,8,FALSE)</f>
        <v>1.6767399999999999</v>
      </c>
      <c r="H100" t="s">
        <v>1516</v>
      </c>
      <c r="I100">
        <f>VLOOKUP($H100,[3]Sheet2!$A:$H,8,FALSE)</f>
        <v>-1.7899499999999999</v>
      </c>
    </row>
    <row r="101" spans="1:9" x14ac:dyDescent="0.2">
      <c r="A101" t="s">
        <v>204</v>
      </c>
      <c r="B101">
        <f>VLOOKUP($A101,[2]修饰!$A:$H,8,FALSE)</f>
        <v>-1.1007899999999999</v>
      </c>
      <c r="D101" t="s">
        <v>675</v>
      </c>
      <c r="E101">
        <f>VLOOKUP($D101,[2]修饰!$A:$H,8,FALSE)</f>
        <v>-1.0252399999999999</v>
      </c>
      <c r="F101">
        <f>VLOOKUP($D101,[3]Sheet2!$A:$H,8,FALSE)</f>
        <v>-1.3687199999999999</v>
      </c>
      <c r="H101" t="s">
        <v>143</v>
      </c>
      <c r="I101">
        <f>VLOOKUP($H101,[3]Sheet2!$A:$H,8,FALSE)</f>
        <v>2.46597</v>
      </c>
    </row>
    <row r="102" spans="1:9" x14ac:dyDescent="0.2">
      <c r="A102" t="s">
        <v>206</v>
      </c>
      <c r="B102">
        <f>VLOOKUP($A102,[2]修饰!$A:$H,8,FALSE)</f>
        <v>-1.6333299999999999</v>
      </c>
      <c r="D102" t="s">
        <v>685</v>
      </c>
      <c r="E102">
        <f>VLOOKUP($D102,[2]修饰!$A:$H,8,FALSE)</f>
        <v>1.95984</v>
      </c>
      <c r="F102">
        <f>VLOOKUP($D102,[3]Sheet2!$A:$H,8,FALSE)</f>
        <v>1.6408700000000001</v>
      </c>
      <c r="H102" t="s">
        <v>1181</v>
      </c>
      <c r="I102">
        <f>VLOOKUP($H102,[3]Sheet2!$A:$H,8,FALSE)</f>
        <v>1.1735500000000001</v>
      </c>
    </row>
    <row r="103" spans="1:9" x14ac:dyDescent="0.2">
      <c r="A103" t="s">
        <v>207</v>
      </c>
      <c r="B103">
        <f>VLOOKUP($A103,[2]修饰!$A:$H,8,FALSE)</f>
        <v>3.14269</v>
      </c>
      <c r="D103" t="s">
        <v>691</v>
      </c>
      <c r="E103">
        <f>VLOOKUP($D103,[2]修饰!$A:$H,8,FALSE)</f>
        <v>-1.5864199999999999</v>
      </c>
      <c r="F103">
        <f>VLOOKUP($D103,[3]Sheet2!$A:$H,8,FALSE)</f>
        <v>1.65686</v>
      </c>
      <c r="H103" t="s">
        <v>1182</v>
      </c>
      <c r="I103">
        <f>VLOOKUP($H103,[3]Sheet2!$A:$H,8,FALSE)</f>
        <v>1.5697000000000001</v>
      </c>
    </row>
    <row r="104" spans="1:9" x14ac:dyDescent="0.2">
      <c r="A104" t="s">
        <v>208</v>
      </c>
      <c r="B104">
        <f>VLOOKUP($A104,[2]修饰!$A:$H,8,FALSE)</f>
        <v>1.28135</v>
      </c>
      <c r="D104" t="s">
        <v>696</v>
      </c>
      <c r="E104">
        <f>VLOOKUP($D104,[2]修饰!$A:$H,8,FALSE)</f>
        <v>-2.0010300000000001</v>
      </c>
      <c r="F104">
        <f>VLOOKUP($D104,[3]Sheet2!$A:$H,8,FALSE)</f>
        <v>-2.6308199999999999</v>
      </c>
      <c r="H104" t="s">
        <v>150</v>
      </c>
      <c r="I104">
        <f>VLOOKUP($H104,[3]Sheet2!$A:$H,8,FALSE)</f>
        <v>2.47587</v>
      </c>
    </row>
    <row r="105" spans="1:9" x14ac:dyDescent="0.2">
      <c r="A105" t="s">
        <v>211</v>
      </c>
      <c r="B105">
        <f>VLOOKUP($A105,[2]修饰!$A:$H,8,FALSE)</f>
        <v>1.6277699999999999</v>
      </c>
      <c r="D105" t="s">
        <v>697</v>
      </c>
      <c r="E105">
        <f>VLOOKUP($D105,[2]修饰!$A:$H,8,FALSE)</f>
        <v>1.49092</v>
      </c>
      <c r="F105">
        <f>VLOOKUP($D105,[3]Sheet2!$A:$H,8,FALSE)</f>
        <v>1.4902</v>
      </c>
      <c r="H105" t="s">
        <v>152</v>
      </c>
      <c r="I105">
        <f>VLOOKUP($H105,[3]Sheet2!$A:$H,8,FALSE)</f>
        <v>-1.1631100000000001</v>
      </c>
    </row>
    <row r="106" spans="1:9" x14ac:dyDescent="0.2">
      <c r="A106" t="s">
        <v>213</v>
      </c>
      <c r="B106">
        <f>VLOOKUP($A106,[2]修饰!$A:$H,8,FALSE)</f>
        <v>-1.01359</v>
      </c>
      <c r="D106" t="s">
        <v>717</v>
      </c>
      <c r="E106">
        <f>VLOOKUP($D106,[2]修饰!$A:$H,8,FALSE)</f>
        <v>-1.47078</v>
      </c>
      <c r="F106">
        <f>VLOOKUP($D106,[3]Sheet2!$A:$H,8,FALSE)</f>
        <v>-1.0792299999999999</v>
      </c>
      <c r="H106" t="s">
        <v>155</v>
      </c>
      <c r="I106">
        <f>VLOOKUP($H106,[3]Sheet2!$A:$H,8,FALSE)</f>
        <v>1.9623299999999999</v>
      </c>
    </row>
    <row r="107" spans="1:9" x14ac:dyDescent="0.2">
      <c r="A107" t="s">
        <v>214</v>
      </c>
      <c r="B107">
        <f>VLOOKUP($A107,[2]修饰!$A:$H,8,FALSE)</f>
        <v>-1.2279500000000001</v>
      </c>
      <c r="D107" t="s">
        <v>724</v>
      </c>
      <c r="E107">
        <f>VLOOKUP($D107,[2]修饰!$A:$H,8,FALSE)</f>
        <v>1.3089500000000001</v>
      </c>
      <c r="F107">
        <f>VLOOKUP($D107,[3]Sheet2!$A:$H,8,FALSE)</f>
        <v>2.2046100000000002</v>
      </c>
      <c r="H107" t="s">
        <v>1184</v>
      </c>
      <c r="I107">
        <f>VLOOKUP($H107,[3]Sheet2!$A:$H,8,FALSE)</f>
        <v>1.09294</v>
      </c>
    </row>
    <row r="108" spans="1:9" x14ac:dyDescent="0.2">
      <c r="A108" t="s">
        <v>215</v>
      </c>
      <c r="B108">
        <f>VLOOKUP($A108,[2]修饰!$A:$H,8,FALSE)</f>
        <v>3.3925200000000002</v>
      </c>
      <c r="D108" t="s">
        <v>733</v>
      </c>
      <c r="E108">
        <f>VLOOKUP($D108,[2]修饰!$A:$H,8,FALSE)</f>
        <v>2.17517</v>
      </c>
      <c r="F108">
        <f>VLOOKUP($D108,[3]Sheet2!$A:$H,8,FALSE)</f>
        <v>1.40669</v>
      </c>
      <c r="H108" t="s">
        <v>1517</v>
      </c>
      <c r="I108" t="str">
        <f>VLOOKUP($H108,[3]Sheet2!$A:$H,8,FALSE)</f>
        <v>inf</v>
      </c>
    </row>
    <row r="109" spans="1:9" x14ac:dyDescent="0.2">
      <c r="A109" t="s">
        <v>219</v>
      </c>
      <c r="B109" t="str">
        <f>VLOOKUP($A109,[2]修饰!$A:$H,8,FALSE)</f>
        <v>BD</v>
      </c>
      <c r="D109" t="s">
        <v>735</v>
      </c>
      <c r="E109">
        <f>VLOOKUP($D109,[2]修饰!$A:$H,8,FALSE)</f>
        <v>-1.02363</v>
      </c>
      <c r="F109">
        <f>VLOOKUP($D109,[3]Sheet2!$A:$H,8,FALSE)</f>
        <v>-1.1771400000000001</v>
      </c>
      <c r="H109" t="s">
        <v>160</v>
      </c>
      <c r="I109">
        <f>VLOOKUP($H109,[3]Sheet2!$A:$H,8,FALSE)</f>
        <v>2.06697</v>
      </c>
    </row>
    <row r="110" spans="1:9" x14ac:dyDescent="0.2">
      <c r="A110" t="s">
        <v>222</v>
      </c>
      <c r="B110">
        <f>VLOOKUP($A110,[2]修饰!$A:$H,8,FALSE)</f>
        <v>1.2303200000000001</v>
      </c>
      <c r="D110" t="s">
        <v>738</v>
      </c>
      <c r="E110">
        <f>VLOOKUP($D110,[2]修饰!$A:$H,8,FALSE)</f>
        <v>1.9571799999999999</v>
      </c>
      <c r="F110">
        <f>VLOOKUP($D110,[3]Sheet2!$A:$H,8,FALSE)</f>
        <v>3.40754</v>
      </c>
      <c r="H110" t="s">
        <v>164</v>
      </c>
      <c r="I110">
        <f>VLOOKUP($H110,[3]Sheet2!$A:$H,8,FALSE)</f>
        <v>1.2359899999999999</v>
      </c>
    </row>
    <row r="111" spans="1:9" x14ac:dyDescent="0.2">
      <c r="A111" t="s">
        <v>223</v>
      </c>
      <c r="B111">
        <f>VLOOKUP($A111,[2]修饰!$A:$H,8,FALSE)</f>
        <v>1.5891900000000001</v>
      </c>
      <c r="D111" t="s">
        <v>742</v>
      </c>
      <c r="E111">
        <f>VLOOKUP($D111,[2]修饰!$A:$H,8,FALSE)</f>
        <v>-1.2393799999999999</v>
      </c>
      <c r="F111">
        <f>VLOOKUP($D111,[3]Sheet2!$A:$H,8,FALSE)</f>
        <v>1.3104499999999999</v>
      </c>
      <c r="H111" t="s">
        <v>165</v>
      </c>
      <c r="I111">
        <f>VLOOKUP($H111,[3]Sheet2!$A:$H,8,FALSE)</f>
        <v>-1.2284200000000001</v>
      </c>
    </row>
    <row r="112" spans="1:9" x14ac:dyDescent="0.2">
      <c r="A112" t="s">
        <v>224</v>
      </c>
      <c r="B112" t="str">
        <f>VLOOKUP($A112,[2]修饰!$A:$H,8,FALSE)</f>
        <v>BD</v>
      </c>
      <c r="D112" t="s">
        <v>747</v>
      </c>
      <c r="E112">
        <f>VLOOKUP($D112,[2]修饰!$A:$H,8,FALSE)</f>
        <v>1.2681800000000001</v>
      </c>
      <c r="F112">
        <f>VLOOKUP($D112,[3]Sheet2!$A:$H,8,FALSE)</f>
        <v>1.0475399999999999</v>
      </c>
      <c r="H112" t="s">
        <v>1518</v>
      </c>
      <c r="I112">
        <f>VLOOKUP($H112,[3]Sheet2!$A:$H,8,FALSE)</f>
        <v>1.0972200000000001</v>
      </c>
    </row>
    <row r="113" spans="1:9" x14ac:dyDescent="0.2">
      <c r="A113" t="s">
        <v>225</v>
      </c>
      <c r="B113">
        <f>VLOOKUP($A113,[2]修饰!$A:$H,8,FALSE)</f>
        <v>-2.6419899999999998</v>
      </c>
      <c r="D113" t="s">
        <v>749</v>
      </c>
      <c r="E113">
        <f>VLOOKUP($D113,[2]修饰!$A:$H,8,FALSE)</f>
        <v>-1.1037699999999999</v>
      </c>
      <c r="F113">
        <f>VLOOKUP($D113,[3]Sheet2!$A:$H,8,FALSE)</f>
        <v>-2.0371000000000001</v>
      </c>
      <c r="H113" t="s">
        <v>1519</v>
      </c>
      <c r="I113">
        <f>VLOOKUP($H113,[3]Sheet2!$A:$H,8,FALSE)</f>
        <v>1.16615</v>
      </c>
    </row>
    <row r="114" spans="1:9" x14ac:dyDescent="0.2">
      <c r="A114" t="s">
        <v>226</v>
      </c>
      <c r="B114">
        <f>VLOOKUP($A114,[2]修饰!$A:$H,8,FALSE)</f>
        <v>-1.6435500000000001</v>
      </c>
      <c r="D114" t="s">
        <v>750</v>
      </c>
      <c r="E114">
        <f>VLOOKUP($D114,[2]修饰!$A:$H,8,FALSE)</f>
        <v>-1.86372</v>
      </c>
      <c r="F114">
        <f>VLOOKUP($D114,[3]Sheet2!$A:$H,8,FALSE)</f>
        <v>1.2720199999999999</v>
      </c>
      <c r="H114" t="s">
        <v>1520</v>
      </c>
      <c r="I114">
        <f>VLOOKUP($H114,[3]Sheet2!$A:$H,8,FALSE)</f>
        <v>1.5757399999999999</v>
      </c>
    </row>
    <row r="115" spans="1:9" x14ac:dyDescent="0.2">
      <c r="A115" t="s">
        <v>228</v>
      </c>
      <c r="B115" t="str">
        <f>VLOOKUP($A115,[2]修饰!$A:$H,8,FALSE)</f>
        <v>BD</v>
      </c>
      <c r="D115" t="s">
        <v>761</v>
      </c>
      <c r="E115">
        <f>VLOOKUP($D115,[2]修饰!$A:$H,8,FALSE)</f>
        <v>-1.3711199999999999</v>
      </c>
      <c r="F115">
        <f>VLOOKUP($D115,[3]Sheet2!$A:$H,8,FALSE)</f>
        <v>-1.66927</v>
      </c>
      <c r="H115" t="s">
        <v>1521</v>
      </c>
      <c r="I115">
        <f>VLOOKUP($H115,[3]Sheet2!$A:$H,8,FALSE)</f>
        <v>1.8494299999999999</v>
      </c>
    </row>
    <row r="116" spans="1:9" x14ac:dyDescent="0.2">
      <c r="A116" t="s">
        <v>231</v>
      </c>
      <c r="B116">
        <f>VLOOKUP($A116,[2]修饰!$A:$H,8,FALSE)</f>
        <v>-2.1013899999999999</v>
      </c>
      <c r="D116" t="s">
        <v>782</v>
      </c>
      <c r="E116">
        <f>VLOOKUP($D116,[2]修饰!$A:$H,8,FALSE)</f>
        <v>1.5203</v>
      </c>
      <c r="F116">
        <f>VLOOKUP($D116,[3]Sheet2!$A:$H,8,FALSE)</f>
        <v>1.5655699999999999</v>
      </c>
      <c r="H116" t="s">
        <v>1522</v>
      </c>
      <c r="I116">
        <f>VLOOKUP($H116,[3]Sheet2!$A:$H,8,FALSE)</f>
        <v>1.06999</v>
      </c>
    </row>
    <row r="117" spans="1:9" x14ac:dyDescent="0.2">
      <c r="A117" t="s">
        <v>233</v>
      </c>
      <c r="B117">
        <f>VLOOKUP($A117,[2]修饰!$A:$H,8,FALSE)</f>
        <v>-3.48916</v>
      </c>
      <c r="D117" t="s">
        <v>790</v>
      </c>
      <c r="E117">
        <f>VLOOKUP($D117,[2]修饰!$A:$H,8,FALSE)</f>
        <v>-1.24217</v>
      </c>
      <c r="F117">
        <f>VLOOKUP($D117,[3]Sheet2!$A:$H,8,FALSE)</f>
        <v>1.60808</v>
      </c>
      <c r="H117" t="s">
        <v>1523</v>
      </c>
      <c r="I117">
        <f>VLOOKUP($H117,[3]Sheet2!$A:$H,8,FALSE)</f>
        <v>-1.03139</v>
      </c>
    </row>
    <row r="118" spans="1:9" x14ac:dyDescent="0.2">
      <c r="A118" t="s">
        <v>234</v>
      </c>
      <c r="B118">
        <f>VLOOKUP($A118,[2]修饰!$A:$H,8,FALSE)</f>
        <v>-1.0286900000000001</v>
      </c>
      <c r="D118" t="s">
        <v>797</v>
      </c>
      <c r="E118">
        <f>VLOOKUP($D118,[2]修饰!$A:$H,8,FALSE)</f>
        <v>-1.03827</v>
      </c>
      <c r="F118">
        <f>VLOOKUP($D118,[3]Sheet2!$A:$H,8,FALSE)</f>
        <v>1.57368</v>
      </c>
      <c r="H118" t="s">
        <v>1524</v>
      </c>
      <c r="I118">
        <f>VLOOKUP($H118,[3]Sheet2!$A:$H,8,FALSE)</f>
        <v>-1.03653</v>
      </c>
    </row>
    <row r="119" spans="1:9" x14ac:dyDescent="0.2">
      <c r="A119" t="s">
        <v>238</v>
      </c>
      <c r="B119">
        <f>VLOOKUP($A119,[2]修饰!$A:$H,8,FALSE)</f>
        <v>1.4814700000000001</v>
      </c>
      <c r="D119" t="s">
        <v>802</v>
      </c>
      <c r="E119">
        <f>VLOOKUP($D119,[2]修饰!$A:$H,8,FALSE)</f>
        <v>-2.5954700000000002</v>
      </c>
      <c r="F119">
        <f>VLOOKUP($D119,[3]Sheet2!$A:$H,8,FALSE)</f>
        <v>-1.2888900000000001</v>
      </c>
      <c r="H119" t="s">
        <v>1525</v>
      </c>
      <c r="I119">
        <f>VLOOKUP($H119,[3]Sheet2!$A:$H,8,FALSE)</f>
        <v>-1.08639</v>
      </c>
    </row>
    <row r="120" spans="1:9" x14ac:dyDescent="0.2">
      <c r="A120" t="s">
        <v>241</v>
      </c>
      <c r="B120">
        <f>VLOOKUP($A120,[2]修饰!$A:$H,8,FALSE)</f>
        <v>-1.14255</v>
      </c>
      <c r="D120" t="s">
        <v>803</v>
      </c>
      <c r="E120">
        <f>VLOOKUP($D120,[2]修饰!$A:$H,8,FALSE)</f>
        <v>-1.2625500000000001</v>
      </c>
      <c r="F120">
        <f>VLOOKUP($D120,[3]Sheet2!$A:$H,8,FALSE)</f>
        <v>-2.9747699999999999</v>
      </c>
      <c r="H120" t="s">
        <v>188</v>
      </c>
      <c r="I120">
        <f>VLOOKUP($H120,[3]Sheet2!$A:$H,8,FALSE)</f>
        <v>1.5707899999999999</v>
      </c>
    </row>
    <row r="121" spans="1:9" x14ac:dyDescent="0.2">
      <c r="A121" t="s">
        <v>243</v>
      </c>
      <c r="B121">
        <f>VLOOKUP($A121,[2]修饰!$A:$H,8,FALSE)</f>
        <v>5.0884499999999999</v>
      </c>
      <c r="D121" t="s">
        <v>807</v>
      </c>
      <c r="E121">
        <f>VLOOKUP($D121,[2]修饰!$A:$H,8,FALSE)</f>
        <v>2.7424499999999998</v>
      </c>
      <c r="F121">
        <f>VLOOKUP($D121,[3]Sheet2!$A:$H,8,FALSE)</f>
        <v>2.4608300000000001</v>
      </c>
      <c r="H121" t="s">
        <v>189</v>
      </c>
      <c r="I121">
        <f>VLOOKUP($H121,[3]Sheet2!$A:$H,8,FALSE)</f>
        <v>1.0260800000000001</v>
      </c>
    </row>
    <row r="122" spans="1:9" x14ac:dyDescent="0.2">
      <c r="A122" t="s">
        <v>245</v>
      </c>
      <c r="B122">
        <f>VLOOKUP($A122,[2]修饰!$A:$H,8,FALSE)</f>
        <v>-1.03437</v>
      </c>
      <c r="D122" t="s">
        <v>816</v>
      </c>
      <c r="E122">
        <f>VLOOKUP($D122,[2]修饰!$A:$H,8,FALSE)</f>
        <v>1.1385700000000001</v>
      </c>
      <c r="F122">
        <f>VLOOKUP($D122,[3]Sheet2!$A:$H,8,FALSE)</f>
        <v>1.1050899999999999</v>
      </c>
      <c r="H122" t="s">
        <v>1526</v>
      </c>
      <c r="I122">
        <f>VLOOKUP($H122,[3]Sheet2!$A:$H,8,FALSE)</f>
        <v>1.03851</v>
      </c>
    </row>
    <row r="123" spans="1:9" x14ac:dyDescent="0.2">
      <c r="A123" t="s">
        <v>246</v>
      </c>
      <c r="B123">
        <f>VLOOKUP($A123,[2]修饰!$A:$H,8,FALSE)</f>
        <v>-1.2839400000000001</v>
      </c>
      <c r="D123" t="s">
        <v>819</v>
      </c>
      <c r="E123">
        <f>VLOOKUP($D123,[2]修饰!$A:$H,8,FALSE)</f>
        <v>-3.0491899999999998</v>
      </c>
      <c r="F123">
        <f>VLOOKUP($D123,[3]Sheet2!$A:$H,8,FALSE)</f>
        <v>-2.8625500000000001</v>
      </c>
      <c r="H123" t="s">
        <v>193</v>
      </c>
      <c r="I123">
        <f>VLOOKUP($H123,[3]Sheet2!$A:$H,8,FALSE)</f>
        <v>1.2322200000000001</v>
      </c>
    </row>
    <row r="124" spans="1:9" x14ac:dyDescent="0.2">
      <c r="A124" t="s">
        <v>247</v>
      </c>
      <c r="B124">
        <f>VLOOKUP($A124,[2]修饰!$A:$H,8,FALSE)</f>
        <v>-1.2333000000000001</v>
      </c>
      <c r="D124" t="s">
        <v>821</v>
      </c>
      <c r="E124">
        <f>VLOOKUP($D124,[2]修饰!$A:$H,8,FALSE)</f>
        <v>1.3632500000000001</v>
      </c>
      <c r="F124">
        <f>VLOOKUP($D124,[3]Sheet2!$A:$H,8,FALSE)</f>
        <v>2.70878</v>
      </c>
      <c r="H124" t="s">
        <v>1527</v>
      </c>
      <c r="I124">
        <f>VLOOKUP($H124,[3]Sheet2!$A:$H,8,FALSE)</f>
        <v>-1.3081799999999999</v>
      </c>
    </row>
    <row r="125" spans="1:9" x14ac:dyDescent="0.2">
      <c r="A125" t="s">
        <v>248</v>
      </c>
      <c r="B125">
        <f>VLOOKUP($A125,[2]修饰!$A:$H,8,FALSE)</f>
        <v>-2.9604699999999999</v>
      </c>
      <c r="D125" t="s">
        <v>822</v>
      </c>
      <c r="E125">
        <f>VLOOKUP($D125,[2]修饰!$A:$H,8,FALSE)</f>
        <v>1.4651000000000001</v>
      </c>
      <c r="F125">
        <f>VLOOKUP($D125,[3]Sheet2!$A:$H,8,FALSE)</f>
        <v>1.2647900000000001</v>
      </c>
      <c r="H125" t="s">
        <v>1193</v>
      </c>
      <c r="I125">
        <f>VLOOKUP($H125,[3]Sheet2!$A:$H,8,FALSE)</f>
        <v>1.80907</v>
      </c>
    </row>
    <row r="126" spans="1:9" x14ac:dyDescent="0.2">
      <c r="A126" t="s">
        <v>249</v>
      </c>
      <c r="B126">
        <f>VLOOKUP($A126,[2]修饰!$A:$H,8,FALSE)</f>
        <v>-2.19069</v>
      </c>
      <c r="D126" t="s">
        <v>823</v>
      </c>
      <c r="E126">
        <f>VLOOKUP($D126,[2]修饰!$A:$H,8,FALSE)</f>
        <v>4.0658300000000001</v>
      </c>
      <c r="F126">
        <f>VLOOKUP($D126,[3]Sheet2!$A:$H,8,FALSE)</f>
        <v>6.3775399999999998</v>
      </c>
      <c r="H126" t="s">
        <v>1194</v>
      </c>
      <c r="I126">
        <f>VLOOKUP($H126,[3]Sheet2!$A:$H,8,FALSE)</f>
        <v>1.66903</v>
      </c>
    </row>
    <row r="127" spans="1:9" x14ac:dyDescent="0.2">
      <c r="A127" t="s">
        <v>250</v>
      </c>
      <c r="B127">
        <f>VLOOKUP($A127,[2]修饰!$A:$H,8,FALSE)</f>
        <v>-1.6254900000000001</v>
      </c>
      <c r="D127" t="s">
        <v>848</v>
      </c>
      <c r="E127">
        <f>VLOOKUP($D127,[2]修饰!$A:$H,8,FALSE)</f>
        <v>1.3863300000000001</v>
      </c>
      <c r="F127">
        <f>VLOOKUP($D127,[3]Sheet2!$A:$H,8,FALSE)</f>
        <v>2.2688000000000001</v>
      </c>
      <c r="H127" t="s">
        <v>1528</v>
      </c>
      <c r="I127">
        <f>VLOOKUP($H127,[3]Sheet2!$A:$H,8,FALSE)</f>
        <v>1.3309</v>
      </c>
    </row>
    <row r="128" spans="1:9" x14ac:dyDescent="0.2">
      <c r="A128" t="s">
        <v>251</v>
      </c>
      <c r="B128">
        <f>VLOOKUP($A128,[2]修饰!$A:$H,8,FALSE)</f>
        <v>-1.1444000000000001</v>
      </c>
      <c r="D128" t="s">
        <v>858</v>
      </c>
      <c r="E128">
        <f>VLOOKUP($D128,[2]修饰!$A:$H,8,FALSE)</f>
        <v>1.8264100000000001</v>
      </c>
      <c r="F128">
        <f>VLOOKUP($D128,[3]Sheet2!$A:$H,8,FALSE)</f>
        <v>2.79555</v>
      </c>
      <c r="H128" t="s">
        <v>1195</v>
      </c>
      <c r="I128">
        <f>VLOOKUP($H128,[3]Sheet2!$A:$H,8,FALSE)</f>
        <v>1.7374799999999999</v>
      </c>
    </row>
    <row r="129" spans="1:9" x14ac:dyDescent="0.2">
      <c r="A129" t="s">
        <v>254</v>
      </c>
      <c r="B129">
        <f>VLOOKUP($A129,[2]修饰!$A:$H,8,FALSE)</f>
        <v>1.2379100000000001</v>
      </c>
      <c r="D129" t="s">
        <v>859</v>
      </c>
      <c r="E129">
        <f>VLOOKUP($D129,[2]修饰!$A:$H,8,FALSE)</f>
        <v>-1.0176099999999999</v>
      </c>
      <c r="F129">
        <f>VLOOKUP($D129,[3]Sheet2!$A:$H,8,FALSE)</f>
        <v>1.63504</v>
      </c>
      <c r="H129" t="s">
        <v>1529</v>
      </c>
      <c r="I129">
        <f>VLOOKUP($H129,[3]Sheet2!$A:$H,8,FALSE)</f>
        <v>1.15829</v>
      </c>
    </row>
    <row r="130" spans="1:9" x14ac:dyDescent="0.2">
      <c r="A130" t="s">
        <v>255</v>
      </c>
      <c r="B130">
        <f>VLOOKUP($A130,[2]修饰!$A:$H,8,FALSE)</f>
        <v>-1.6061700000000001</v>
      </c>
      <c r="D130" t="s">
        <v>870</v>
      </c>
      <c r="E130">
        <f>VLOOKUP($D130,[2]修饰!$A:$H,8,FALSE)</f>
        <v>2.6382699999999999</v>
      </c>
      <c r="F130">
        <f>VLOOKUP($D130,[3]Sheet2!$A:$H,8,FALSE)</f>
        <v>2.1253099999999998</v>
      </c>
      <c r="H130" t="s">
        <v>1530</v>
      </c>
      <c r="I130">
        <f>VLOOKUP($H130,[3]Sheet2!$A:$H,8,FALSE)</f>
        <v>1.2731600000000001</v>
      </c>
    </row>
    <row r="131" spans="1:9" x14ac:dyDescent="0.2">
      <c r="A131" t="s">
        <v>257</v>
      </c>
      <c r="B131">
        <f>VLOOKUP($A131,[2]修饰!$A:$H,8,FALSE)</f>
        <v>1.9510799999999999</v>
      </c>
      <c r="D131" t="s">
        <v>876</v>
      </c>
      <c r="E131">
        <f>VLOOKUP($D131,[2]修饰!$A:$H,8,FALSE)</f>
        <v>1.52843</v>
      </c>
      <c r="F131">
        <f>VLOOKUP($D131,[3]Sheet2!$A:$H,8,FALSE)</f>
        <v>2.1430600000000002</v>
      </c>
      <c r="H131" t="s">
        <v>209</v>
      </c>
      <c r="I131">
        <f>VLOOKUP($H131,[3]Sheet2!$A:$H,8,FALSE)</f>
        <v>-1.6643300000000001</v>
      </c>
    </row>
    <row r="132" spans="1:9" x14ac:dyDescent="0.2">
      <c r="A132" t="s">
        <v>261</v>
      </c>
      <c r="B132">
        <f>VLOOKUP($A132,[2]修饰!$A:$H,8,FALSE)</f>
        <v>1.3411500000000001</v>
      </c>
      <c r="D132" t="s">
        <v>880</v>
      </c>
      <c r="E132">
        <f>VLOOKUP($D132,[2]修饰!$A:$H,8,FALSE)</f>
        <v>-1.09083</v>
      </c>
      <c r="F132">
        <f>VLOOKUP($D132,[3]Sheet2!$A:$H,8,FALSE)</f>
        <v>-1.4319299999999999</v>
      </c>
      <c r="H132" t="s">
        <v>210</v>
      </c>
      <c r="I132">
        <f>VLOOKUP($H132,[3]Sheet2!$A:$H,8,FALSE)</f>
        <v>-1.43502</v>
      </c>
    </row>
    <row r="133" spans="1:9" x14ac:dyDescent="0.2">
      <c r="A133" t="s">
        <v>263</v>
      </c>
      <c r="B133">
        <f>VLOOKUP($A133,[2]修饰!$A:$H,8,FALSE)</f>
        <v>-1.08342</v>
      </c>
      <c r="D133" t="s">
        <v>884</v>
      </c>
      <c r="E133">
        <f>VLOOKUP($D133,[2]修饰!$A:$H,8,FALSE)</f>
        <v>1.7276499999999999</v>
      </c>
      <c r="F133">
        <f>VLOOKUP($D133,[3]Sheet2!$A:$H,8,FALSE)</f>
        <v>1.0861099999999999</v>
      </c>
      <c r="H133" t="s">
        <v>1531</v>
      </c>
      <c r="I133">
        <f>VLOOKUP($H133,[3]Sheet2!$A:$H,8,FALSE)</f>
        <v>1.06304</v>
      </c>
    </row>
    <row r="134" spans="1:9" x14ac:dyDescent="0.2">
      <c r="A134" t="s">
        <v>264</v>
      </c>
      <c r="B134">
        <f>VLOOKUP($A134,[2]修饰!$A:$H,8,FALSE)</f>
        <v>-1.87426</v>
      </c>
      <c r="D134" t="s">
        <v>897</v>
      </c>
      <c r="E134">
        <f>VLOOKUP($D134,[2]修饰!$A:$H,8,FALSE)</f>
        <v>-1.0634600000000001</v>
      </c>
      <c r="F134">
        <f>VLOOKUP($D134,[3]Sheet2!$A:$H,8,FALSE)</f>
        <v>-1.43293</v>
      </c>
      <c r="H134" t="s">
        <v>1532</v>
      </c>
      <c r="I134">
        <f>VLOOKUP($H134,[3]Sheet2!$A:$H,8,FALSE)</f>
        <v>1.2183299999999999</v>
      </c>
    </row>
    <row r="135" spans="1:9" x14ac:dyDescent="0.2">
      <c r="A135" t="s">
        <v>265</v>
      </c>
      <c r="B135">
        <f>VLOOKUP($A135,[2]修饰!$A:$H,8,FALSE)</f>
        <v>-2.1200899999999998</v>
      </c>
      <c r="D135" t="s">
        <v>916</v>
      </c>
      <c r="E135">
        <f>VLOOKUP($D135,[2]修饰!$A:$H,8,FALSE)</f>
        <v>1.0251300000000001</v>
      </c>
      <c r="F135">
        <f>VLOOKUP($D135,[3]Sheet2!$A:$H,8,FALSE)</f>
        <v>1.12005</v>
      </c>
      <c r="H135" t="s">
        <v>1533</v>
      </c>
      <c r="I135">
        <f>VLOOKUP($H135,[3]Sheet2!$A:$H,8,FALSE)</f>
        <v>-1.0690999999999999</v>
      </c>
    </row>
    <row r="136" spans="1:9" x14ac:dyDescent="0.2">
      <c r="A136" t="s">
        <v>266</v>
      </c>
      <c r="B136">
        <f>VLOOKUP($A136,[2]修饰!$A:$H,8,FALSE)</f>
        <v>4.3138699999999996</v>
      </c>
      <c r="D136" t="s">
        <v>919</v>
      </c>
      <c r="E136">
        <f>VLOOKUP($D136,[2]修饰!$A:$H,8,FALSE)</f>
        <v>1.2624</v>
      </c>
      <c r="F136">
        <f>VLOOKUP($D136,[3]Sheet2!$A:$H,8,FALSE)</f>
        <v>1.3707199999999999</v>
      </c>
      <c r="H136" t="s">
        <v>216</v>
      </c>
      <c r="I136">
        <f>VLOOKUP($H136,[3]Sheet2!$A:$H,8,FALSE)</f>
        <v>-1.8090299999999999</v>
      </c>
    </row>
    <row r="137" spans="1:9" x14ac:dyDescent="0.2">
      <c r="A137" t="s">
        <v>268</v>
      </c>
      <c r="B137">
        <f>VLOOKUP($A137,[2]修饰!$A:$H,8,FALSE)</f>
        <v>1.5127600000000001</v>
      </c>
      <c r="D137" t="s">
        <v>920</v>
      </c>
      <c r="E137">
        <f>VLOOKUP($D137,[2]修饰!$A:$H,8,FALSE)</f>
        <v>1.0486800000000001</v>
      </c>
      <c r="F137">
        <f>VLOOKUP($D137,[3]Sheet2!$A:$H,8,FALSE)</f>
        <v>1.2239500000000001</v>
      </c>
      <c r="H137" t="s">
        <v>217</v>
      </c>
      <c r="I137">
        <f>VLOOKUP($H137,[3]Sheet2!$A:$H,8,FALSE)</f>
        <v>-1.85205</v>
      </c>
    </row>
    <row r="138" spans="1:9" x14ac:dyDescent="0.2">
      <c r="A138" t="s">
        <v>269</v>
      </c>
      <c r="B138">
        <f>VLOOKUP($A138,[2]修饰!$A:$H,8,FALSE)</f>
        <v>4.3479999999999999</v>
      </c>
      <c r="D138" t="s">
        <v>937</v>
      </c>
      <c r="E138">
        <f>VLOOKUP($D138,[2]修饰!$A:$H,8,FALSE)</f>
        <v>-1.03088</v>
      </c>
      <c r="F138">
        <f>VLOOKUP($D138,[3]Sheet2!$A:$H,8,FALSE)</f>
        <v>2.08717</v>
      </c>
      <c r="H138" t="s">
        <v>218</v>
      </c>
      <c r="I138">
        <f>VLOOKUP($H138,[3]Sheet2!$A:$H,8,FALSE)</f>
        <v>-1.0027999999999999</v>
      </c>
    </row>
    <row r="139" spans="1:9" x14ac:dyDescent="0.2">
      <c r="A139" t="s">
        <v>276</v>
      </c>
      <c r="B139">
        <f>VLOOKUP($A139,[2]修饰!$A:$H,8,FALSE)</f>
        <v>-2.2205900000000001</v>
      </c>
      <c r="D139" t="s">
        <v>938</v>
      </c>
      <c r="E139">
        <f>VLOOKUP($D139,[2]修饰!$A:$H,8,FALSE)</f>
        <v>1.04728</v>
      </c>
      <c r="F139">
        <f>VLOOKUP($D139,[3]Sheet2!$A:$H,8,FALSE)</f>
        <v>1.6721200000000001</v>
      </c>
      <c r="H139" t="s">
        <v>221</v>
      </c>
      <c r="I139">
        <f>VLOOKUP($H139,[3]Sheet2!$A:$H,8,FALSE)</f>
        <v>1.1940500000000001</v>
      </c>
    </row>
    <row r="140" spans="1:9" x14ac:dyDescent="0.2">
      <c r="A140" t="s">
        <v>277</v>
      </c>
      <c r="B140">
        <f>VLOOKUP($A140,[2]修饰!$A:$H,8,FALSE)</f>
        <v>1.4287000000000001</v>
      </c>
      <c r="D140" t="s">
        <v>947</v>
      </c>
      <c r="E140">
        <f>VLOOKUP($D140,[2]修饰!$A:$H,8,FALSE)</f>
        <v>1.10663</v>
      </c>
      <c r="F140">
        <f>VLOOKUP($D140,[3]Sheet2!$A:$H,8,FALSE)</f>
        <v>1.458</v>
      </c>
      <c r="H140" t="s">
        <v>1534</v>
      </c>
      <c r="I140">
        <f>VLOOKUP($H140,[3]Sheet2!$A:$H,8,FALSE)</f>
        <v>1.64947</v>
      </c>
    </row>
    <row r="141" spans="1:9" x14ac:dyDescent="0.2">
      <c r="A141" t="s">
        <v>278</v>
      </c>
      <c r="B141">
        <f>VLOOKUP($A141,[2]修饰!$A:$H,8,FALSE)</f>
        <v>-1.3661300000000001</v>
      </c>
      <c r="D141" t="s">
        <v>960</v>
      </c>
      <c r="E141">
        <f>VLOOKUP($D141,[2]修饰!$A:$H,8,FALSE)</f>
        <v>-1.72617</v>
      </c>
      <c r="F141">
        <f>VLOOKUP($D141,[3]Sheet2!$A:$H,8,FALSE)</f>
        <v>-1.58727</v>
      </c>
      <c r="H141" t="s">
        <v>1202</v>
      </c>
      <c r="I141">
        <f>VLOOKUP($H141,[3]Sheet2!$A:$H,8,FALSE)</f>
        <v>1.4665299999999999</v>
      </c>
    </row>
    <row r="142" spans="1:9" x14ac:dyDescent="0.2">
      <c r="A142" t="s">
        <v>279</v>
      </c>
      <c r="B142">
        <f>VLOOKUP($A142,[2]修饰!$A:$H,8,FALSE)</f>
        <v>-2.6723400000000002</v>
      </c>
      <c r="D142" t="s">
        <v>964</v>
      </c>
      <c r="E142">
        <f>VLOOKUP($D142,[2]修饰!$A:$H,8,FALSE)</f>
        <v>-1.0449900000000001</v>
      </c>
      <c r="F142">
        <f>VLOOKUP($D142,[3]Sheet2!$A:$H,8,FALSE)</f>
        <v>-1.6897599999999999</v>
      </c>
      <c r="H142" t="s">
        <v>1203</v>
      </c>
      <c r="I142">
        <f>VLOOKUP($H142,[3]Sheet2!$A:$H,8,FALSE)</f>
        <v>1.01315</v>
      </c>
    </row>
    <row r="143" spans="1:9" x14ac:dyDescent="0.2">
      <c r="A143" t="s">
        <v>280</v>
      </c>
      <c r="B143">
        <f>VLOOKUP($A143,[2]修饰!$A:$H,8,FALSE)</f>
        <v>-1.89429</v>
      </c>
      <c r="D143" t="s">
        <v>988</v>
      </c>
      <c r="E143">
        <f>VLOOKUP($D143,[2]修饰!$A:$H,8,FALSE)</f>
        <v>-1.7516499999999999</v>
      </c>
      <c r="F143">
        <f>VLOOKUP($D143,[3]Sheet2!$A:$H,8,FALSE)</f>
        <v>2.9302800000000002</v>
      </c>
      <c r="H143" t="s">
        <v>1535</v>
      </c>
      <c r="I143">
        <f>VLOOKUP($H143,[3]Sheet2!$A:$H,8,FALSE)</f>
        <v>-1.48468</v>
      </c>
    </row>
    <row r="144" spans="1:9" x14ac:dyDescent="0.2">
      <c r="A144" t="s">
        <v>282</v>
      </c>
      <c r="B144">
        <f>VLOOKUP($A144,[2]修饰!$A:$H,8,FALSE)</f>
        <v>-1.89672</v>
      </c>
      <c r="D144" t="s">
        <v>990</v>
      </c>
      <c r="E144">
        <f>VLOOKUP($D144,[2]修饰!$A:$H,8,FALSE)</f>
        <v>-1.30314</v>
      </c>
      <c r="F144">
        <f>VLOOKUP($D144,[3]Sheet2!$A:$H,8,FALSE)</f>
        <v>-1.62175</v>
      </c>
      <c r="H144" t="s">
        <v>235</v>
      </c>
      <c r="I144">
        <f>VLOOKUP($H144,[3]Sheet2!$A:$H,8,FALSE)</f>
        <v>-1.1611899999999999</v>
      </c>
    </row>
    <row r="145" spans="1:9" x14ac:dyDescent="0.2">
      <c r="A145" t="s">
        <v>283</v>
      </c>
      <c r="B145">
        <f>VLOOKUP($A145,[2]修饰!$A:$H,8,FALSE)</f>
        <v>1.0143500000000001</v>
      </c>
      <c r="D145" t="s">
        <v>997</v>
      </c>
      <c r="E145">
        <f>VLOOKUP($D145,[2]修饰!$A:$H,8,FALSE)</f>
        <v>-1.88209</v>
      </c>
      <c r="F145">
        <f>VLOOKUP($D145,[3]Sheet2!$A:$H,8,FALSE)</f>
        <v>-1.7796700000000001</v>
      </c>
      <c r="H145" t="s">
        <v>237</v>
      </c>
      <c r="I145">
        <f>VLOOKUP($H145,[3]Sheet2!$A:$H,8,FALSE)</f>
        <v>-1.05307</v>
      </c>
    </row>
    <row r="146" spans="1:9" x14ac:dyDescent="0.2">
      <c r="A146" t="s">
        <v>286</v>
      </c>
      <c r="B146">
        <f>VLOOKUP($A146,[2]修饰!$A:$H,8,FALSE)</f>
        <v>-1.3352200000000001</v>
      </c>
      <c r="D146" t="s">
        <v>1000</v>
      </c>
      <c r="E146">
        <f>VLOOKUP($D146,[2]修饰!$A:$H,8,FALSE)</f>
        <v>-1.2271000000000001</v>
      </c>
      <c r="F146">
        <f>VLOOKUP($D146,[3]Sheet2!$A:$H,8,FALSE)</f>
        <v>1.9117900000000001</v>
      </c>
      <c r="H146" t="s">
        <v>1537</v>
      </c>
      <c r="I146">
        <f>VLOOKUP($H146,[3]Sheet2!$A:$H,8,FALSE)</f>
        <v>-1.3090299999999999</v>
      </c>
    </row>
    <row r="147" spans="1:9" x14ac:dyDescent="0.2">
      <c r="A147" t="s">
        <v>291</v>
      </c>
      <c r="B147">
        <f>VLOOKUP($A147,[2]修饰!$A:$H,8,FALSE)</f>
        <v>-1.0777600000000001</v>
      </c>
      <c r="D147" t="s">
        <v>1001</v>
      </c>
      <c r="E147">
        <f>VLOOKUP($D147,[2]修饰!$A:$H,8,FALSE)</f>
        <v>-1.3434200000000001</v>
      </c>
      <c r="F147">
        <f>VLOOKUP($D147,[3]Sheet2!$A:$H,8,FALSE)</f>
        <v>-1.7774300000000001</v>
      </c>
      <c r="H147" t="s">
        <v>1538</v>
      </c>
      <c r="I147">
        <f>VLOOKUP($H147,[3]Sheet2!$A:$H,8,FALSE)</f>
        <v>-1.0009999999999999</v>
      </c>
    </row>
    <row r="148" spans="1:9" x14ac:dyDescent="0.2">
      <c r="A148" t="s">
        <v>292</v>
      </c>
      <c r="B148">
        <f>VLOOKUP($A148,[2]修饰!$A:$H,8,FALSE)</f>
        <v>-1.63748</v>
      </c>
      <c r="D148" t="s">
        <v>1012</v>
      </c>
      <c r="E148">
        <f>VLOOKUP($D148,[2]修饰!$A:$H,8,FALSE)</f>
        <v>-1.04809</v>
      </c>
      <c r="F148">
        <f>VLOOKUP($D148,[3]Sheet2!$A:$H,8,FALSE)</f>
        <v>1.1982900000000001</v>
      </c>
      <c r="H148" t="s">
        <v>1539</v>
      </c>
      <c r="I148">
        <f>VLOOKUP($H148,[3]Sheet2!$A:$H,8,FALSE)</f>
        <v>-1.31853</v>
      </c>
    </row>
    <row r="149" spans="1:9" x14ac:dyDescent="0.2">
      <c r="A149" t="s">
        <v>295</v>
      </c>
      <c r="B149">
        <f>VLOOKUP($A149,[2]修饰!$A:$H,8,FALSE)</f>
        <v>-1.2614099999999999</v>
      </c>
      <c r="D149" t="s">
        <v>1020</v>
      </c>
      <c r="E149">
        <f>VLOOKUP($D149,[2]修饰!$A:$H,8,FALSE)</f>
        <v>-1.02302</v>
      </c>
      <c r="F149">
        <f>VLOOKUP($D149,[3]Sheet2!$A:$H,8,FALSE)</f>
        <v>-1.77433</v>
      </c>
      <c r="H149" t="s">
        <v>1540</v>
      </c>
      <c r="I149">
        <f>VLOOKUP($H149,[3]Sheet2!$A:$H,8,FALSE)</f>
        <v>1.0366500000000001</v>
      </c>
    </row>
    <row r="150" spans="1:9" x14ac:dyDescent="0.2">
      <c r="A150" t="s">
        <v>298</v>
      </c>
      <c r="B150">
        <f>VLOOKUP($A150,[2]修饰!$A:$H,8,FALSE)</f>
        <v>1.7241</v>
      </c>
      <c r="D150" t="s">
        <v>1026</v>
      </c>
      <c r="E150">
        <f>VLOOKUP($D150,[2]修饰!$A:$H,8,FALSE)</f>
        <v>-1.30989</v>
      </c>
      <c r="F150">
        <f>VLOOKUP($D150,[3]Sheet2!$A:$H,8,FALSE)</f>
        <v>-1.02643</v>
      </c>
      <c r="H150" t="s">
        <v>1541</v>
      </c>
      <c r="I150">
        <f>VLOOKUP($H150,[3]Sheet2!$A:$H,8,FALSE)</f>
        <v>-1.1811199999999999</v>
      </c>
    </row>
    <row r="151" spans="1:9" x14ac:dyDescent="0.2">
      <c r="A151" t="s">
        <v>300</v>
      </c>
      <c r="B151">
        <f>VLOOKUP($A151,[2]修饰!$A:$H,8,FALSE)</f>
        <v>1.0965</v>
      </c>
      <c r="D151" t="s">
        <v>1028</v>
      </c>
      <c r="E151">
        <f>VLOOKUP($D151,[2]修饰!$A:$H,8,FALSE)</f>
        <v>2.17977</v>
      </c>
      <c r="F151">
        <f>VLOOKUP($D151,[3]Sheet2!$A:$H,8,FALSE)</f>
        <v>1.93242</v>
      </c>
      <c r="H151" t="s">
        <v>1542</v>
      </c>
      <c r="I151">
        <f>VLOOKUP($H151,[3]Sheet2!$A:$H,8,FALSE)</f>
        <v>-1.0131699999999999</v>
      </c>
    </row>
    <row r="152" spans="1:9" x14ac:dyDescent="0.2">
      <c r="A152" t="s">
        <v>302</v>
      </c>
      <c r="B152">
        <f>VLOOKUP($A152,[2]修饰!$A:$H,8,FALSE)</f>
        <v>3.2250200000000002</v>
      </c>
      <c r="D152" t="s">
        <v>1049</v>
      </c>
      <c r="E152">
        <f>VLOOKUP($D152,[2]修饰!$A:$H,8,FALSE)</f>
        <v>-1.36856</v>
      </c>
      <c r="F152">
        <f>VLOOKUP($D152,[3]Sheet2!$A:$H,8,FALSE)</f>
        <v>-1.1036600000000001</v>
      </c>
      <c r="H152" t="s">
        <v>1543</v>
      </c>
      <c r="I152">
        <f>VLOOKUP($H152,[3]Sheet2!$A:$H,8,FALSE)</f>
        <v>1.5127900000000001</v>
      </c>
    </row>
    <row r="153" spans="1:9" x14ac:dyDescent="0.2">
      <c r="A153" t="s">
        <v>303</v>
      </c>
      <c r="B153">
        <f>VLOOKUP($A153,[2]修饰!$A:$H,8,FALSE)</f>
        <v>1.4575100000000001</v>
      </c>
      <c r="D153" t="s">
        <v>1060</v>
      </c>
      <c r="E153">
        <f>VLOOKUP($D153,[2]修饰!$A:$H,8,FALSE)</f>
        <v>1.03684</v>
      </c>
      <c r="F153">
        <f>VLOOKUP($D153,[3]Sheet2!$A:$H,8,FALSE)</f>
        <v>1.01637</v>
      </c>
      <c r="H153" t="s">
        <v>1206</v>
      </c>
      <c r="I153">
        <f>VLOOKUP($H153,[3]Sheet2!$A:$H,8,FALSE)</f>
        <v>1.3596200000000001</v>
      </c>
    </row>
    <row r="154" spans="1:9" x14ac:dyDescent="0.2">
      <c r="A154" t="s">
        <v>304</v>
      </c>
      <c r="B154">
        <f>VLOOKUP($A154,[2]修饰!$A:$H,8,FALSE)</f>
        <v>1.70231</v>
      </c>
      <c r="D154" t="s">
        <v>1070</v>
      </c>
      <c r="E154">
        <f>VLOOKUP($D154,[2]修饰!$A:$H,8,FALSE)</f>
        <v>1.00017</v>
      </c>
      <c r="F154">
        <f>VLOOKUP($D154,[3]Sheet2!$A:$H,8,FALSE)</f>
        <v>2.1915300000000002</v>
      </c>
      <c r="H154" t="s">
        <v>1544</v>
      </c>
      <c r="I154">
        <f>VLOOKUP($H154,[3]Sheet2!$A:$H,8,FALSE)</f>
        <v>2.05376</v>
      </c>
    </row>
    <row r="155" spans="1:9" x14ac:dyDescent="0.2">
      <c r="A155" t="s">
        <v>308</v>
      </c>
      <c r="B155">
        <f>VLOOKUP($A155,[2]修饰!$A:$H,8,FALSE)</f>
        <v>-1.0684499999999999</v>
      </c>
      <c r="D155" t="s">
        <v>1074</v>
      </c>
      <c r="E155">
        <f>VLOOKUP($D155,[2]修饰!$A:$H,8,FALSE)</f>
        <v>1.3423400000000001</v>
      </c>
      <c r="F155">
        <f>VLOOKUP($D155,[3]Sheet2!$A:$H,8,FALSE)</f>
        <v>1.42452</v>
      </c>
      <c r="H155" t="s">
        <v>1545</v>
      </c>
      <c r="I155">
        <f>VLOOKUP($H155,[3]Sheet2!$A:$H,8,FALSE)</f>
        <v>-1.0443899999999999</v>
      </c>
    </row>
    <row r="156" spans="1:9" x14ac:dyDescent="0.2">
      <c r="A156" t="s">
        <v>313</v>
      </c>
      <c r="B156">
        <f>VLOOKUP($A156,[2]修饰!$A:$H,8,FALSE)</f>
        <v>-1.4123399999999999</v>
      </c>
      <c r="D156" t="s">
        <v>1077</v>
      </c>
      <c r="E156">
        <f>VLOOKUP($D156,[2]修饰!$A:$H,8,FALSE)</f>
        <v>1.73454</v>
      </c>
      <c r="F156">
        <f>VLOOKUP($D156,[3]Sheet2!$A:$H,8,FALSE)</f>
        <v>1.21231</v>
      </c>
      <c r="H156" t="s">
        <v>1546</v>
      </c>
      <c r="I156">
        <f>VLOOKUP($H156,[3]Sheet2!$A:$H,8,FALSE)</f>
        <v>1.0042</v>
      </c>
    </row>
    <row r="157" spans="1:9" x14ac:dyDescent="0.2">
      <c r="A157" t="s">
        <v>316</v>
      </c>
      <c r="B157">
        <f>VLOOKUP($A157,[2]修饰!$A:$H,8,FALSE)</f>
        <v>-1.1930499999999999</v>
      </c>
      <c r="D157" t="s">
        <v>1078</v>
      </c>
      <c r="E157">
        <f>VLOOKUP($D157,[2]修饰!$A:$H,8,FALSE)</f>
        <v>1.1763399999999999</v>
      </c>
      <c r="F157">
        <f>VLOOKUP($D157,[3]Sheet2!$A:$H,8,FALSE)</f>
        <v>1.08328</v>
      </c>
      <c r="H157" t="s">
        <v>1547</v>
      </c>
      <c r="I157">
        <f>VLOOKUP($H157,[3]Sheet2!$A:$H,8,FALSE)</f>
        <v>-1.03732</v>
      </c>
    </row>
    <row r="158" spans="1:9" x14ac:dyDescent="0.2">
      <c r="A158" t="s">
        <v>317</v>
      </c>
      <c r="B158">
        <f>VLOOKUP($A158,[2]修饰!$A:$H,8,FALSE)</f>
        <v>-1.14236</v>
      </c>
      <c r="D158" t="s">
        <v>1082</v>
      </c>
      <c r="E158">
        <f>VLOOKUP($D158,[2]修饰!$A:$H,8,FALSE)</f>
        <v>-1.22881</v>
      </c>
      <c r="F158">
        <f>VLOOKUP($D158,[3]Sheet2!$A:$H,8,FALSE)</f>
        <v>2.39499</v>
      </c>
      <c r="H158" t="s">
        <v>253</v>
      </c>
      <c r="I158">
        <f>VLOOKUP($H158,[3]Sheet2!$A:$H,8,FALSE)</f>
        <v>-1.18452</v>
      </c>
    </row>
    <row r="159" spans="1:9" x14ac:dyDescent="0.2">
      <c r="A159" t="s">
        <v>318</v>
      </c>
      <c r="B159">
        <f>VLOOKUP($A159,[2]修饰!$A:$H,8,FALSE)</f>
        <v>1.03108</v>
      </c>
      <c r="D159" t="s">
        <v>1083</v>
      </c>
      <c r="E159">
        <f>VLOOKUP($D159,[2]修饰!$A:$H,8,FALSE)</f>
        <v>-2.1033599999999999</v>
      </c>
      <c r="F159">
        <f>VLOOKUP($D159,[3]Sheet2!$A:$H,8,FALSE)</f>
        <v>1.14005</v>
      </c>
      <c r="H159" t="s">
        <v>1210</v>
      </c>
      <c r="I159">
        <f>VLOOKUP($H159,[3]Sheet2!$A:$H,8,FALSE)</f>
        <v>1.0862400000000001</v>
      </c>
    </row>
    <row r="160" spans="1:9" x14ac:dyDescent="0.2">
      <c r="A160" t="s">
        <v>320</v>
      </c>
      <c r="B160">
        <f>VLOOKUP($A160,[2]修饰!$A:$H,8,FALSE)</f>
        <v>-1.3762099999999999</v>
      </c>
      <c r="D160" t="s">
        <v>1089</v>
      </c>
      <c r="E160">
        <f>VLOOKUP($D160,[2]修饰!$A:$H,8,FALSE)</f>
        <v>-1.5790900000000001</v>
      </c>
      <c r="F160">
        <f>VLOOKUP($D160,[3]Sheet2!$A:$H,8,FALSE)</f>
        <v>1.5488900000000001</v>
      </c>
      <c r="H160" t="s">
        <v>256</v>
      </c>
      <c r="I160">
        <f>VLOOKUP($H160,[3]Sheet2!$A:$H,8,FALSE)</f>
        <v>1.06507</v>
      </c>
    </row>
    <row r="161" spans="1:9" x14ac:dyDescent="0.2">
      <c r="A161" t="s">
        <v>321</v>
      </c>
      <c r="B161">
        <f>VLOOKUP($A161,[2]修饰!$A:$H,8,FALSE)</f>
        <v>1.7784</v>
      </c>
      <c r="D161" t="s">
        <v>1090</v>
      </c>
      <c r="E161">
        <f>VLOOKUP($D161,[2]修饰!$A:$H,8,FALSE)</f>
        <v>-1.01298</v>
      </c>
      <c r="F161">
        <f>VLOOKUP($D161,[3]Sheet2!$A:$H,8,FALSE)</f>
        <v>-1.29301</v>
      </c>
      <c r="H161" t="s">
        <v>1548</v>
      </c>
      <c r="I161">
        <f>VLOOKUP($H161,[3]Sheet2!$A:$H,8,FALSE)</f>
        <v>-1.4784299999999999</v>
      </c>
    </row>
    <row r="162" spans="1:9" x14ac:dyDescent="0.2">
      <c r="A162" t="s">
        <v>323</v>
      </c>
      <c r="B162">
        <f>VLOOKUP($A162,[2]修饰!$A:$H,8,FALSE)</f>
        <v>3.08101</v>
      </c>
      <c r="D162" t="s">
        <v>1096</v>
      </c>
      <c r="E162" t="str">
        <f>VLOOKUP($D162,[2]修饰!$A:$H,8,FALSE)</f>
        <v>BD</v>
      </c>
      <c r="F162">
        <f>VLOOKUP($D162,[3]Sheet2!$A:$H,8,FALSE)</f>
        <v>3.12113</v>
      </c>
      <c r="H162" t="s">
        <v>258</v>
      </c>
      <c r="I162">
        <f>VLOOKUP($H162,[3]Sheet2!$A:$H,8,FALSE)</f>
        <v>1.00326</v>
      </c>
    </row>
    <row r="163" spans="1:9" x14ac:dyDescent="0.2">
      <c r="A163" t="s">
        <v>324</v>
      </c>
      <c r="B163">
        <f>VLOOKUP($A163,[2]修饰!$A:$H,8,FALSE)</f>
        <v>2.3681000000000001</v>
      </c>
      <c r="D163" t="s">
        <v>1106</v>
      </c>
      <c r="E163">
        <f>VLOOKUP($D163,[2]修饰!$A:$H,8,FALSE)</f>
        <v>-1.2130399999999999</v>
      </c>
      <c r="F163">
        <f>VLOOKUP($D163,[3]Sheet2!$A:$H,8,FALSE)</f>
        <v>-1.1293800000000001</v>
      </c>
      <c r="H163" t="s">
        <v>259</v>
      </c>
      <c r="I163">
        <f>VLOOKUP($H163,[3]Sheet2!$A:$H,8,FALSE)</f>
        <v>2.01126</v>
      </c>
    </row>
    <row r="164" spans="1:9" x14ac:dyDescent="0.2">
      <c r="A164" t="s">
        <v>326</v>
      </c>
      <c r="B164">
        <f>VLOOKUP($A164,[2]修饰!$A:$H,8,FALSE)</f>
        <v>1.05525</v>
      </c>
      <c r="D164" t="s">
        <v>1109</v>
      </c>
      <c r="E164">
        <f>VLOOKUP($D164,[2]修饰!$A:$H,8,FALSE)</f>
        <v>-1.0296400000000001</v>
      </c>
      <c r="F164">
        <f>VLOOKUP($D164,[3]Sheet2!$A:$H,8,FALSE)</f>
        <v>-1.2020200000000001</v>
      </c>
      <c r="H164" t="s">
        <v>260</v>
      </c>
      <c r="I164">
        <f>VLOOKUP($H164,[3]Sheet2!$A:$H,8,FALSE)</f>
        <v>1.80863</v>
      </c>
    </row>
    <row r="165" spans="1:9" x14ac:dyDescent="0.2">
      <c r="A165" t="s">
        <v>328</v>
      </c>
      <c r="B165">
        <f>VLOOKUP($A165,[2]修饰!$A:$H,8,FALSE)</f>
        <v>1.3975</v>
      </c>
      <c r="H165" t="s">
        <v>1549</v>
      </c>
      <c r="I165">
        <f>VLOOKUP($H165,[3]Sheet2!$A:$H,8,FALSE)</f>
        <v>1.2727299999999999</v>
      </c>
    </row>
    <row r="166" spans="1:9" x14ac:dyDescent="0.2">
      <c r="A166" t="s">
        <v>329</v>
      </c>
      <c r="B166">
        <f>VLOOKUP($A166,[2]修饰!$A:$H,8,FALSE)</f>
        <v>1.5764400000000001</v>
      </c>
      <c r="H166" t="s">
        <v>1212</v>
      </c>
      <c r="I166">
        <f>VLOOKUP($H166,[3]Sheet2!$A:$H,8,FALSE)</f>
        <v>1.1908700000000001</v>
      </c>
    </row>
    <row r="167" spans="1:9" x14ac:dyDescent="0.2">
      <c r="A167" t="s">
        <v>333</v>
      </c>
      <c r="B167">
        <f>VLOOKUP($A167,[2]修饰!$A:$H,8,FALSE)</f>
        <v>-1.04091</v>
      </c>
      <c r="H167" t="s">
        <v>1550</v>
      </c>
      <c r="I167">
        <f>VLOOKUP($H167,[3]Sheet2!$A:$H,8,FALSE)</f>
        <v>1.0975299999999999</v>
      </c>
    </row>
    <row r="168" spans="1:9" x14ac:dyDescent="0.2">
      <c r="A168" t="s">
        <v>334</v>
      </c>
      <c r="B168">
        <f>VLOOKUP($A168,[2]修饰!$A:$H,8,FALSE)</f>
        <v>1.02766</v>
      </c>
      <c r="H168" t="s">
        <v>262</v>
      </c>
      <c r="I168">
        <f>VLOOKUP($H168,[3]Sheet2!$A:$H,8,FALSE)</f>
        <v>-1.04196</v>
      </c>
    </row>
    <row r="169" spans="1:9" x14ac:dyDescent="0.2">
      <c r="A169" t="s">
        <v>337</v>
      </c>
      <c r="B169">
        <f>VLOOKUP($A169,[2]修饰!$A:$H,8,FALSE)</f>
        <v>1.0898099999999999</v>
      </c>
      <c r="H169" t="s">
        <v>1551</v>
      </c>
      <c r="I169">
        <f>VLOOKUP($H169,[3]Sheet2!$A:$H,8,FALSE)</f>
        <v>-1.0005299999999999</v>
      </c>
    </row>
    <row r="170" spans="1:9" x14ac:dyDescent="0.2">
      <c r="A170" t="s">
        <v>342</v>
      </c>
      <c r="B170">
        <f>VLOOKUP($A170,[2]修饰!$A:$H,8,FALSE)</f>
        <v>-1.64659</v>
      </c>
      <c r="H170" t="s">
        <v>1213</v>
      </c>
      <c r="I170">
        <f>VLOOKUP($H170,[3]Sheet2!$A:$H,8,FALSE)</f>
        <v>2.2376100000000001</v>
      </c>
    </row>
    <row r="171" spans="1:9" x14ac:dyDescent="0.2">
      <c r="A171" t="s">
        <v>344</v>
      </c>
      <c r="B171" t="str">
        <f>VLOOKUP($A171,[2]修饰!$A:$H,8,FALSE)</f>
        <v>BD</v>
      </c>
      <c r="H171" t="s">
        <v>1215</v>
      </c>
      <c r="I171">
        <f>VLOOKUP($H171,[3]Sheet2!$A:$H,8,FALSE)</f>
        <v>1.1377900000000001</v>
      </c>
    </row>
    <row r="172" spans="1:9" x14ac:dyDescent="0.2">
      <c r="A172" t="s">
        <v>345</v>
      </c>
      <c r="B172">
        <f>VLOOKUP($A172,[2]修饰!$A:$H,8,FALSE)</f>
        <v>2.4168099999999999</v>
      </c>
      <c r="H172" t="s">
        <v>267</v>
      </c>
      <c r="I172">
        <f>VLOOKUP($H172,[3]Sheet2!$A:$H,8,FALSE)</f>
        <v>1.0256099999999999</v>
      </c>
    </row>
    <row r="173" spans="1:9" x14ac:dyDescent="0.2">
      <c r="A173" t="s">
        <v>346</v>
      </c>
      <c r="B173">
        <f>VLOOKUP($A173,[2]修饰!$A:$H,8,FALSE)</f>
        <v>-1.05714</v>
      </c>
      <c r="H173" t="s">
        <v>1552</v>
      </c>
      <c r="I173">
        <f>VLOOKUP($H173,[3]Sheet2!$A:$H,8,FALSE)</f>
        <v>1.60832</v>
      </c>
    </row>
    <row r="174" spans="1:9" x14ac:dyDescent="0.2">
      <c r="A174" t="s">
        <v>347</v>
      </c>
      <c r="B174">
        <f>VLOOKUP($A174,[2]修饰!$A:$H,8,FALSE)</f>
        <v>1.21496</v>
      </c>
      <c r="H174" t="s">
        <v>1553</v>
      </c>
      <c r="I174">
        <f>VLOOKUP($H174,[3]Sheet2!$A:$H,8,FALSE)</f>
        <v>-1.26142</v>
      </c>
    </row>
    <row r="175" spans="1:9" x14ac:dyDescent="0.2">
      <c r="A175" t="s">
        <v>348</v>
      </c>
      <c r="B175">
        <f>VLOOKUP($A175,[2]修饰!$A:$H,8,FALSE)</f>
        <v>-1.08284</v>
      </c>
      <c r="H175" t="s">
        <v>1216</v>
      </c>
      <c r="I175">
        <f>VLOOKUP($H175,[3]Sheet2!$A:$H,8,FALSE)</f>
        <v>1.03104</v>
      </c>
    </row>
    <row r="176" spans="1:9" x14ac:dyDescent="0.2">
      <c r="A176" t="s">
        <v>349</v>
      </c>
      <c r="B176">
        <f>VLOOKUP($A176,[2]修饰!$A:$H,8,FALSE)</f>
        <v>1.1645399999999999</v>
      </c>
      <c r="H176" t="s">
        <v>271</v>
      </c>
      <c r="I176">
        <f>VLOOKUP($H176,[3]Sheet2!$A:$H,8,FALSE)</f>
        <v>-1.5677099999999999</v>
      </c>
    </row>
    <row r="177" spans="1:9" x14ac:dyDescent="0.2">
      <c r="A177" t="s">
        <v>353</v>
      </c>
      <c r="B177">
        <f>VLOOKUP($A177,[2]修饰!$A:$H,8,FALSE)</f>
        <v>1.3982600000000001</v>
      </c>
      <c r="H177" t="s">
        <v>272</v>
      </c>
      <c r="I177">
        <f>VLOOKUP($H177,[3]Sheet2!$A:$H,8,FALSE)</f>
        <v>1.4315500000000001</v>
      </c>
    </row>
    <row r="178" spans="1:9" x14ac:dyDescent="0.2">
      <c r="A178" t="s">
        <v>354</v>
      </c>
      <c r="B178">
        <f>VLOOKUP($A178,[2]修饰!$A:$H,8,FALSE)</f>
        <v>-1.1618599999999999</v>
      </c>
      <c r="H178" t="s">
        <v>273</v>
      </c>
      <c r="I178">
        <f>VLOOKUP($H178,[3]Sheet2!$A:$H,8,FALSE)</f>
        <v>-1.0362499999999999</v>
      </c>
    </row>
    <row r="179" spans="1:9" x14ac:dyDescent="0.2">
      <c r="A179" t="s">
        <v>358</v>
      </c>
      <c r="B179">
        <f>VLOOKUP($A179,[2]修饰!$A:$H,8,FALSE)</f>
        <v>1.1762900000000001</v>
      </c>
      <c r="H179" t="s">
        <v>1554</v>
      </c>
      <c r="I179">
        <f>VLOOKUP($H179,[3]Sheet2!$A:$H,8,FALSE)</f>
        <v>-1.16238</v>
      </c>
    </row>
    <row r="180" spans="1:9" x14ac:dyDescent="0.2">
      <c r="A180" t="s">
        <v>361</v>
      </c>
      <c r="B180">
        <f>VLOOKUP($A180,[2]修饰!$A:$H,8,FALSE)</f>
        <v>-1.1128</v>
      </c>
      <c r="H180" t="s">
        <v>275</v>
      </c>
      <c r="I180">
        <f>VLOOKUP($H180,[3]Sheet2!$A:$H,8,FALSE)</f>
        <v>-1.43445</v>
      </c>
    </row>
    <row r="181" spans="1:9" x14ac:dyDescent="0.2">
      <c r="A181" t="s">
        <v>362</v>
      </c>
      <c r="B181">
        <f>VLOOKUP($A181,[2]修饰!$A:$H,8,FALSE)</f>
        <v>-1.2919</v>
      </c>
      <c r="H181" t="s">
        <v>1219</v>
      </c>
      <c r="I181">
        <f>VLOOKUP($H181,[3]Sheet2!$A:$H,8,FALSE)</f>
        <v>1.20381</v>
      </c>
    </row>
    <row r="182" spans="1:9" x14ac:dyDescent="0.2">
      <c r="A182" t="s">
        <v>365</v>
      </c>
      <c r="B182">
        <f>VLOOKUP($A182,[2]修饰!$A:$H,8,FALSE)</f>
        <v>-1.6012</v>
      </c>
      <c r="H182" t="s">
        <v>1555</v>
      </c>
      <c r="I182">
        <f>VLOOKUP($H182,[3]Sheet2!$A:$H,8,FALSE)</f>
        <v>-1.0547599999999999</v>
      </c>
    </row>
    <row r="183" spans="1:9" x14ac:dyDescent="0.2">
      <c r="A183" t="s">
        <v>366</v>
      </c>
      <c r="B183">
        <f>VLOOKUP($A183,[2]修饰!$A:$H,8,FALSE)</f>
        <v>-1.2654700000000001</v>
      </c>
      <c r="H183" t="s">
        <v>1556</v>
      </c>
      <c r="I183">
        <f>VLOOKUP($H183,[3]Sheet2!$A:$H,8,FALSE)</f>
        <v>-1.4055899999999999</v>
      </c>
    </row>
    <row r="184" spans="1:9" x14ac:dyDescent="0.2">
      <c r="A184" t="s">
        <v>367</v>
      </c>
      <c r="B184">
        <f>VLOOKUP($A184,[2]修饰!$A:$H,8,FALSE)</f>
        <v>1.58904</v>
      </c>
      <c r="H184" t="s">
        <v>1557</v>
      </c>
      <c r="I184">
        <f>VLOOKUP($H184,[3]Sheet2!$A:$H,8,FALSE)</f>
        <v>-1.23925</v>
      </c>
    </row>
    <row r="185" spans="1:9" x14ac:dyDescent="0.2">
      <c r="A185" t="s">
        <v>368</v>
      </c>
      <c r="B185">
        <f>VLOOKUP($A185,[2]修饰!$A:$H,8,FALSE)</f>
        <v>-1.1051899999999999</v>
      </c>
      <c r="H185" t="s">
        <v>1558</v>
      </c>
      <c r="I185">
        <f>VLOOKUP($H185,[3]Sheet2!$A:$H,8,FALSE)</f>
        <v>1.5965100000000001</v>
      </c>
    </row>
    <row r="186" spans="1:9" x14ac:dyDescent="0.2">
      <c r="A186" t="s">
        <v>369</v>
      </c>
      <c r="B186">
        <f>VLOOKUP($A186,[2]修饰!$A:$H,8,FALSE)</f>
        <v>-1.5871299999999999</v>
      </c>
      <c r="H186" t="s">
        <v>284</v>
      </c>
      <c r="I186">
        <f>VLOOKUP($H186,[3]Sheet2!$A:$H,8,FALSE)</f>
        <v>1.29477</v>
      </c>
    </row>
    <row r="187" spans="1:9" x14ac:dyDescent="0.2">
      <c r="A187" t="s">
        <v>371</v>
      </c>
      <c r="B187">
        <f>VLOOKUP($A187,[2]修饰!$A:$H,8,FALSE)</f>
        <v>-2.70445</v>
      </c>
      <c r="H187" t="s">
        <v>1221</v>
      </c>
      <c r="I187">
        <f>VLOOKUP($H187,[3]Sheet2!$A:$H,8,FALSE)</f>
        <v>1.3154399999999999</v>
      </c>
    </row>
    <row r="188" spans="1:9" x14ac:dyDescent="0.2">
      <c r="A188" t="s">
        <v>373</v>
      </c>
      <c r="B188">
        <f>VLOOKUP($A188,[2]修饰!$A:$H,8,FALSE)</f>
        <v>-1.35707</v>
      </c>
      <c r="H188" t="s">
        <v>1559</v>
      </c>
      <c r="I188">
        <f>VLOOKUP($H188,[3]Sheet2!$A:$H,8,FALSE)</f>
        <v>-1.0536099999999999</v>
      </c>
    </row>
    <row r="189" spans="1:9" x14ac:dyDescent="0.2">
      <c r="A189" t="s">
        <v>376</v>
      </c>
      <c r="B189">
        <f>VLOOKUP($A189,[2]修饰!$A:$H,8,FALSE)</f>
        <v>-1.58019</v>
      </c>
      <c r="H189" t="s">
        <v>1224</v>
      </c>
      <c r="I189">
        <f>VLOOKUP($H189,[3]Sheet2!$A:$H,8,FALSE)</f>
        <v>-1.14238</v>
      </c>
    </row>
    <row r="190" spans="1:9" x14ac:dyDescent="0.2">
      <c r="A190" t="s">
        <v>379</v>
      </c>
      <c r="B190">
        <f>VLOOKUP($A190,[2]修饰!$A:$H,8,FALSE)</f>
        <v>-1.1449199999999999</v>
      </c>
      <c r="H190" t="s">
        <v>1560</v>
      </c>
      <c r="I190">
        <f>VLOOKUP($H190,[3]Sheet2!$A:$H,8,FALSE)</f>
        <v>1.02504</v>
      </c>
    </row>
    <row r="191" spans="1:9" x14ac:dyDescent="0.2">
      <c r="A191" t="s">
        <v>387</v>
      </c>
      <c r="B191">
        <f>VLOOKUP($A191,[2]修饰!$A:$H,8,FALSE)</f>
        <v>2.03606</v>
      </c>
      <c r="H191" t="s">
        <v>287</v>
      </c>
      <c r="I191">
        <f>VLOOKUP($H191,[3]Sheet2!$A:$H,8,FALSE)</f>
        <v>1.42479</v>
      </c>
    </row>
    <row r="192" spans="1:9" x14ac:dyDescent="0.2">
      <c r="A192" t="s">
        <v>391</v>
      </c>
      <c r="B192">
        <f>VLOOKUP($A192,[2]修饰!$A:$H,8,FALSE)</f>
        <v>1.32908</v>
      </c>
      <c r="H192" t="s">
        <v>1561</v>
      </c>
      <c r="I192">
        <f>VLOOKUP($H192,[3]Sheet2!$A:$H,8,FALSE)</f>
        <v>-1.18693</v>
      </c>
    </row>
    <row r="193" spans="1:9" x14ac:dyDescent="0.2">
      <c r="A193" t="s">
        <v>395</v>
      </c>
      <c r="B193">
        <f>VLOOKUP($A193,[2]修饰!$A:$H,8,FALSE)</f>
        <v>1.34734</v>
      </c>
      <c r="H193" t="s">
        <v>1562</v>
      </c>
      <c r="I193">
        <f>VLOOKUP($H193,[3]Sheet2!$A:$H,8,FALSE)</f>
        <v>1.24265</v>
      </c>
    </row>
    <row r="194" spans="1:9" x14ac:dyDescent="0.2">
      <c r="A194" t="s">
        <v>396</v>
      </c>
      <c r="B194">
        <f>VLOOKUP($A194,[2]修饰!$A:$H,8,FALSE)</f>
        <v>-1.9508700000000001</v>
      </c>
      <c r="H194" t="s">
        <v>288</v>
      </c>
      <c r="I194">
        <f>VLOOKUP($H194,[3]Sheet2!$A:$H,8,FALSE)</f>
        <v>1.8684400000000001</v>
      </c>
    </row>
    <row r="195" spans="1:9" x14ac:dyDescent="0.2">
      <c r="A195" t="s">
        <v>397</v>
      </c>
      <c r="B195" t="str">
        <f>VLOOKUP($A195,[2]修饰!$A:$H,8,FALSE)</f>
        <v>BD</v>
      </c>
      <c r="H195" t="s">
        <v>289</v>
      </c>
      <c r="I195">
        <f>VLOOKUP($H195,[3]Sheet2!$A:$H,8,FALSE)</f>
        <v>1.47306</v>
      </c>
    </row>
    <row r="196" spans="1:9" x14ac:dyDescent="0.2">
      <c r="A196" t="s">
        <v>398</v>
      </c>
      <c r="B196">
        <f>VLOOKUP($A196,[2]修饰!$A:$H,8,FALSE)</f>
        <v>1.5499000000000001</v>
      </c>
      <c r="H196" t="s">
        <v>1563</v>
      </c>
      <c r="I196">
        <f>VLOOKUP($H196,[3]Sheet2!$A:$H,8,FALSE)</f>
        <v>1.22055</v>
      </c>
    </row>
    <row r="197" spans="1:9" x14ac:dyDescent="0.2">
      <c r="A197" t="s">
        <v>399</v>
      </c>
      <c r="B197">
        <f>VLOOKUP($A197,[2]修饰!$A:$H,8,FALSE)</f>
        <v>-1.0232399999999999</v>
      </c>
      <c r="H197" t="s">
        <v>290</v>
      </c>
      <c r="I197">
        <f>VLOOKUP($H197,[3]Sheet2!$A:$H,8,FALSE)</f>
        <v>2.2122799999999998</v>
      </c>
    </row>
    <row r="198" spans="1:9" x14ac:dyDescent="0.2">
      <c r="A198" t="s">
        <v>401</v>
      </c>
      <c r="B198">
        <f>VLOOKUP($A198,[2]修饰!$A:$H,8,FALSE)</f>
        <v>-1.6287700000000001</v>
      </c>
      <c r="H198" t="s">
        <v>1564</v>
      </c>
      <c r="I198">
        <f>VLOOKUP($H198,[3]Sheet2!$A:$H,8,FALSE)</f>
        <v>1.37853</v>
      </c>
    </row>
    <row r="199" spans="1:9" x14ac:dyDescent="0.2">
      <c r="A199" t="s">
        <v>402</v>
      </c>
      <c r="B199" t="str">
        <f>VLOOKUP($A199,[2]修饰!$A:$H,8,FALSE)</f>
        <v>BD</v>
      </c>
      <c r="H199" t="s">
        <v>296</v>
      </c>
      <c r="I199">
        <f>VLOOKUP($H199,[3]Sheet2!$A:$H,8,FALSE)</f>
        <v>1.2069399999999999</v>
      </c>
    </row>
    <row r="200" spans="1:9" x14ac:dyDescent="0.2">
      <c r="A200" t="s">
        <v>404</v>
      </c>
      <c r="B200">
        <f>VLOOKUP($A200,[2]修饰!$A:$H,8,FALSE)</f>
        <v>-1.0952599999999999</v>
      </c>
      <c r="H200" t="s">
        <v>1565</v>
      </c>
      <c r="I200">
        <f>VLOOKUP($H200,[3]Sheet2!$A:$H,8,FALSE)</f>
        <v>-1.0524899999999999</v>
      </c>
    </row>
    <row r="201" spans="1:9" x14ac:dyDescent="0.2">
      <c r="A201" t="s">
        <v>405</v>
      </c>
      <c r="B201">
        <f>VLOOKUP($A201,[2]修饰!$A:$H,8,FALSE)</f>
        <v>-1.5308200000000001</v>
      </c>
      <c r="H201" t="s">
        <v>1566</v>
      </c>
      <c r="I201">
        <f>VLOOKUP($H201,[3]Sheet2!$A:$H,8,FALSE)</f>
        <v>1.7561</v>
      </c>
    </row>
    <row r="202" spans="1:9" x14ac:dyDescent="0.2">
      <c r="A202" t="s">
        <v>407</v>
      </c>
      <c r="B202">
        <f>VLOOKUP($A202,[2]修饰!$A:$H,8,FALSE)</f>
        <v>-1.2345699999999999</v>
      </c>
      <c r="H202" t="s">
        <v>1231</v>
      </c>
      <c r="I202">
        <f>VLOOKUP($H202,[3]Sheet2!$A:$H,8,FALSE)</f>
        <v>1.01613</v>
      </c>
    </row>
    <row r="203" spans="1:9" x14ac:dyDescent="0.2">
      <c r="A203" t="s">
        <v>411</v>
      </c>
      <c r="B203">
        <f>VLOOKUP($A203,[2]修饰!$A:$H,8,FALSE)</f>
        <v>1.1517200000000001</v>
      </c>
      <c r="H203" t="s">
        <v>1234</v>
      </c>
      <c r="I203">
        <f>VLOOKUP($H203,[3]Sheet2!$A:$H,8,FALSE)</f>
        <v>1.25657</v>
      </c>
    </row>
    <row r="204" spans="1:9" x14ac:dyDescent="0.2">
      <c r="A204" t="s">
        <v>413</v>
      </c>
      <c r="B204">
        <f>VLOOKUP($A204,[2]修饰!$A:$H,8,FALSE)</f>
        <v>-1.9597899999999999</v>
      </c>
      <c r="H204" t="s">
        <v>1567</v>
      </c>
      <c r="I204">
        <f>VLOOKUP($H204,[3]Sheet2!$A:$H,8,FALSE)</f>
        <v>-2.0070299999999999</v>
      </c>
    </row>
    <row r="205" spans="1:9" x14ac:dyDescent="0.2">
      <c r="A205" t="s">
        <v>414</v>
      </c>
      <c r="B205">
        <f>VLOOKUP($A205,[2]修饰!$A:$H,8,FALSE)</f>
        <v>-1.1799599999999999</v>
      </c>
      <c r="H205" t="s">
        <v>1568</v>
      </c>
      <c r="I205">
        <f>VLOOKUP($H205,[3]Sheet2!$A:$H,8,FALSE)</f>
        <v>-1.3381000000000001</v>
      </c>
    </row>
    <row r="206" spans="1:9" x14ac:dyDescent="0.2">
      <c r="A206" t="s">
        <v>415</v>
      </c>
      <c r="B206">
        <f>VLOOKUP($A206,[2]修饰!$A:$H,8,FALSE)</f>
        <v>1.63836</v>
      </c>
      <c r="H206" t="s">
        <v>1235</v>
      </c>
      <c r="I206">
        <f>VLOOKUP($H206,[3]Sheet2!$A:$H,8,FALSE)</f>
        <v>1.1288800000000001</v>
      </c>
    </row>
    <row r="207" spans="1:9" x14ac:dyDescent="0.2">
      <c r="A207" t="s">
        <v>416</v>
      </c>
      <c r="B207">
        <f>VLOOKUP($A207,[2]修饰!$A:$H,8,FALSE)</f>
        <v>-1.1730499999999999</v>
      </c>
      <c r="H207" t="s">
        <v>1237</v>
      </c>
      <c r="I207">
        <f>VLOOKUP($H207,[3]Sheet2!$A:$H,8,FALSE)</f>
        <v>2.60643</v>
      </c>
    </row>
    <row r="208" spans="1:9" x14ac:dyDescent="0.2">
      <c r="A208" t="s">
        <v>418</v>
      </c>
      <c r="B208">
        <f>VLOOKUP($A208,[2]修饰!$A:$H,8,FALSE)</f>
        <v>1.01146</v>
      </c>
      <c r="H208" t="s">
        <v>1569</v>
      </c>
      <c r="I208">
        <f>VLOOKUP($H208,[3]Sheet2!$A:$H,8,FALSE)</f>
        <v>-1.28308</v>
      </c>
    </row>
    <row r="209" spans="1:9" x14ac:dyDescent="0.2">
      <c r="A209" t="s">
        <v>419</v>
      </c>
      <c r="B209">
        <f>VLOOKUP($A209,[2]修饰!$A:$H,8,FALSE)</f>
        <v>2.3160799999999999</v>
      </c>
      <c r="H209" t="s">
        <v>309</v>
      </c>
      <c r="I209">
        <f>VLOOKUP($H209,[3]Sheet2!$A:$H,8,FALSE)</f>
        <v>1.1723699999999999</v>
      </c>
    </row>
    <row r="210" spans="1:9" x14ac:dyDescent="0.2">
      <c r="A210" t="s">
        <v>420</v>
      </c>
      <c r="B210">
        <f>VLOOKUP($A210,[2]修饰!$A:$H,8,FALSE)</f>
        <v>-1.08785</v>
      </c>
      <c r="H210" t="s">
        <v>1570</v>
      </c>
      <c r="I210">
        <f>VLOOKUP($H210,[3]Sheet2!$A:$H,8,FALSE)</f>
        <v>1.3318099999999999</v>
      </c>
    </row>
    <row r="211" spans="1:9" x14ac:dyDescent="0.2">
      <c r="A211" t="s">
        <v>423</v>
      </c>
      <c r="B211">
        <f>VLOOKUP($A211,[2]修饰!$A:$H,8,FALSE)</f>
        <v>-2.6008499999999999</v>
      </c>
      <c r="H211" t="s">
        <v>1571</v>
      </c>
      <c r="I211">
        <f>VLOOKUP($H211,[3]Sheet2!$A:$H,8,FALSE)</f>
        <v>1.29</v>
      </c>
    </row>
    <row r="212" spans="1:9" x14ac:dyDescent="0.2">
      <c r="A212" t="s">
        <v>424</v>
      </c>
      <c r="B212">
        <f>VLOOKUP($A212,[2]修饰!$A:$H,8,FALSE)</f>
        <v>-1.27762</v>
      </c>
      <c r="H212" t="s">
        <v>1572</v>
      </c>
      <c r="I212">
        <f>VLOOKUP($H212,[3]Sheet2!$A:$H,8,FALSE)</f>
        <v>-1.1967099999999999</v>
      </c>
    </row>
    <row r="213" spans="1:9" x14ac:dyDescent="0.2">
      <c r="A213" t="s">
        <v>426</v>
      </c>
      <c r="B213">
        <f>VLOOKUP($A213,[2]修饰!$A:$H,8,FALSE)</f>
        <v>-1.3258700000000001</v>
      </c>
      <c r="H213" t="s">
        <v>310</v>
      </c>
      <c r="I213">
        <f>VLOOKUP($H213,[3]Sheet2!$A:$H,8,FALSE)</f>
        <v>1.2188000000000001</v>
      </c>
    </row>
    <row r="214" spans="1:9" x14ac:dyDescent="0.2">
      <c r="A214" t="s">
        <v>428</v>
      </c>
      <c r="B214">
        <f>VLOOKUP($A214,[2]修饰!$A:$H,8,FALSE)</f>
        <v>-1.7610600000000001</v>
      </c>
      <c r="H214" t="s">
        <v>319</v>
      </c>
      <c r="I214">
        <f>VLOOKUP($H214,[3]Sheet2!$A:$H,8,FALSE)</f>
        <v>-1.5356099999999999</v>
      </c>
    </row>
    <row r="215" spans="1:9" x14ac:dyDescent="0.2">
      <c r="A215" t="s">
        <v>429</v>
      </c>
      <c r="B215">
        <f>VLOOKUP($A215,[2]修饰!$A:$H,8,FALSE)</f>
        <v>-2.08114</v>
      </c>
      <c r="H215" t="s">
        <v>1238</v>
      </c>
      <c r="I215">
        <f>VLOOKUP($H215,[3]Sheet2!$A:$H,8,FALSE)</f>
        <v>1.1605799999999999</v>
      </c>
    </row>
    <row r="216" spans="1:9" x14ac:dyDescent="0.2">
      <c r="A216" t="s">
        <v>430</v>
      </c>
      <c r="B216">
        <f>VLOOKUP($A216,[2]修饰!$A:$H,8,FALSE)</f>
        <v>-1.23722</v>
      </c>
      <c r="H216" t="s">
        <v>1239</v>
      </c>
      <c r="I216">
        <f>VLOOKUP($H216,[3]Sheet2!$A:$H,8,FALSE)</f>
        <v>1.1152</v>
      </c>
    </row>
    <row r="217" spans="1:9" x14ac:dyDescent="0.2">
      <c r="A217" t="s">
        <v>432</v>
      </c>
      <c r="B217">
        <f>VLOOKUP($A217,[2]修饰!$A:$H,8,FALSE)</f>
        <v>-1.26634</v>
      </c>
      <c r="H217" t="s">
        <v>325</v>
      </c>
      <c r="I217">
        <f>VLOOKUP($H217,[3]Sheet2!$A:$H,8,FALSE)</f>
        <v>-1.1707399999999999</v>
      </c>
    </row>
    <row r="218" spans="1:9" x14ac:dyDescent="0.2">
      <c r="A218" t="s">
        <v>435</v>
      </c>
      <c r="B218">
        <f>VLOOKUP($A218,[2]修饰!$A:$H,8,FALSE)</f>
        <v>1.7718700000000001</v>
      </c>
      <c r="H218" t="s">
        <v>327</v>
      </c>
      <c r="I218">
        <f>VLOOKUP($H218,[3]Sheet2!$A:$H,8,FALSE)</f>
        <v>1.1800999999999999</v>
      </c>
    </row>
    <row r="219" spans="1:9" x14ac:dyDescent="0.2">
      <c r="A219" t="s">
        <v>437</v>
      </c>
      <c r="B219">
        <f>VLOOKUP($A219,[2]修饰!$A:$H,8,FALSE)</f>
        <v>1.1305400000000001</v>
      </c>
      <c r="H219" t="s">
        <v>1574</v>
      </c>
      <c r="I219">
        <f>VLOOKUP($H219,[3]Sheet2!$A:$H,8,FALSE)</f>
        <v>1.45458</v>
      </c>
    </row>
    <row r="220" spans="1:9" x14ac:dyDescent="0.2">
      <c r="A220" t="s">
        <v>438</v>
      </c>
      <c r="B220">
        <f>VLOOKUP($A220,[2]修饰!$A:$H,8,FALSE)</f>
        <v>2.39574</v>
      </c>
      <c r="H220" t="s">
        <v>1575</v>
      </c>
      <c r="I220">
        <f>VLOOKUP($H220,[3]Sheet2!$A:$H,8,FALSE)</f>
        <v>1.0175099999999999</v>
      </c>
    </row>
    <row r="221" spans="1:9" x14ac:dyDescent="0.2">
      <c r="A221" t="s">
        <v>439</v>
      </c>
      <c r="B221">
        <f>VLOOKUP($A221,[2]修饰!$A:$H,8,FALSE)</f>
        <v>1.7516400000000001</v>
      </c>
      <c r="H221" t="s">
        <v>1242</v>
      </c>
      <c r="I221">
        <f>VLOOKUP($H221,[3]Sheet2!$A:$H,8,FALSE)</f>
        <v>2.4880800000000001</v>
      </c>
    </row>
    <row r="222" spans="1:9" x14ac:dyDescent="0.2">
      <c r="A222" t="s">
        <v>440</v>
      </c>
      <c r="B222">
        <f>VLOOKUP($A222,[2]修饰!$A:$H,8,FALSE)</f>
        <v>1.73874</v>
      </c>
      <c r="H222" t="s">
        <v>1243</v>
      </c>
      <c r="I222">
        <f>VLOOKUP($H222,[3]Sheet2!$A:$H,8,FALSE)</f>
        <v>-1.20228</v>
      </c>
    </row>
    <row r="223" spans="1:9" x14ac:dyDescent="0.2">
      <c r="A223" t="s">
        <v>443</v>
      </c>
      <c r="B223">
        <f>VLOOKUP($A223,[2]修饰!$A:$H,8,FALSE)</f>
        <v>-1.7435700000000001</v>
      </c>
      <c r="H223" t="s">
        <v>1576</v>
      </c>
      <c r="I223">
        <f>VLOOKUP($H223,[3]Sheet2!$A:$H,8,FALSE)</f>
        <v>-1.34649</v>
      </c>
    </row>
    <row r="224" spans="1:9" x14ac:dyDescent="0.2">
      <c r="A224" t="s">
        <v>444</v>
      </c>
      <c r="B224" t="str">
        <f>VLOOKUP($A224,[2]修饰!$A:$H,8,FALSE)</f>
        <v>BD</v>
      </c>
      <c r="H224" t="s">
        <v>1577</v>
      </c>
      <c r="I224">
        <f>VLOOKUP($H224,[3]Sheet2!$A:$H,8,FALSE)</f>
        <v>1.15896</v>
      </c>
    </row>
    <row r="225" spans="1:9" x14ac:dyDescent="0.2">
      <c r="A225" t="s">
        <v>445</v>
      </c>
      <c r="B225">
        <f>VLOOKUP($A225,[2]修饰!$A:$H,8,FALSE)</f>
        <v>1.4379299999999999</v>
      </c>
      <c r="H225" t="s">
        <v>336</v>
      </c>
      <c r="I225">
        <f>VLOOKUP($H225,[3]Sheet2!$A:$H,8,FALSE)</f>
        <v>-1.3176099999999999</v>
      </c>
    </row>
    <row r="226" spans="1:9" x14ac:dyDescent="0.2">
      <c r="A226" t="s">
        <v>446</v>
      </c>
      <c r="B226">
        <f>VLOOKUP($A226,[2]修饰!$A:$H,8,FALSE)</f>
        <v>4.1008100000000001</v>
      </c>
      <c r="H226" t="s">
        <v>1245</v>
      </c>
      <c r="I226">
        <f>VLOOKUP($H226,[3]Sheet2!$A:$H,8,FALSE)</f>
        <v>1.1898299999999999</v>
      </c>
    </row>
    <row r="227" spans="1:9" x14ac:dyDescent="0.2">
      <c r="A227" t="s">
        <v>447</v>
      </c>
      <c r="B227">
        <f>VLOOKUP($A227,[2]修饰!$A:$H,8,FALSE)</f>
        <v>-1.06718</v>
      </c>
      <c r="H227" t="s">
        <v>339</v>
      </c>
      <c r="I227">
        <f>VLOOKUP($H227,[3]Sheet2!$A:$H,8,FALSE)</f>
        <v>2.81819</v>
      </c>
    </row>
    <row r="228" spans="1:9" x14ac:dyDescent="0.2">
      <c r="A228" t="s">
        <v>448</v>
      </c>
      <c r="B228">
        <f>VLOOKUP($A228,[2]修饰!$A:$H,8,FALSE)</f>
        <v>1.0705899999999999</v>
      </c>
      <c r="H228" t="s">
        <v>1578</v>
      </c>
      <c r="I228">
        <f>VLOOKUP($H228,[3]Sheet2!$A:$H,8,FALSE)</f>
        <v>1.2813699999999999</v>
      </c>
    </row>
    <row r="229" spans="1:9" x14ac:dyDescent="0.2">
      <c r="A229" t="s">
        <v>450</v>
      </c>
      <c r="B229">
        <f>VLOOKUP($A229,[2]修饰!$A:$H,8,FALSE)</f>
        <v>-1.1029800000000001</v>
      </c>
      <c r="H229" t="s">
        <v>341</v>
      </c>
      <c r="I229">
        <f>VLOOKUP($H229,[3]Sheet2!$A:$H,8,FALSE)</f>
        <v>-1.00007</v>
      </c>
    </row>
    <row r="230" spans="1:9" x14ac:dyDescent="0.2">
      <c r="A230" t="s">
        <v>451</v>
      </c>
      <c r="B230">
        <f>VLOOKUP($A230,[2]修饰!$A:$H,8,FALSE)</f>
        <v>-1.01722</v>
      </c>
      <c r="H230" t="s">
        <v>1246</v>
      </c>
      <c r="I230">
        <f>VLOOKUP($H230,[3]Sheet2!$A:$H,8,FALSE)</f>
        <v>-1.0200400000000001</v>
      </c>
    </row>
    <row r="231" spans="1:9" x14ac:dyDescent="0.2">
      <c r="A231" t="s">
        <v>453</v>
      </c>
      <c r="B231">
        <f>VLOOKUP($A231,[2]修饰!$A:$H,8,FALSE)</f>
        <v>1.4100600000000001</v>
      </c>
      <c r="H231" t="s">
        <v>1579</v>
      </c>
      <c r="I231">
        <f>VLOOKUP($H231,[3]Sheet2!$A:$H,8,FALSE)</f>
        <v>-1.10595</v>
      </c>
    </row>
    <row r="232" spans="1:9" x14ac:dyDescent="0.2">
      <c r="A232" t="s">
        <v>454</v>
      </c>
      <c r="B232">
        <f>VLOOKUP($A232,[2]修饰!$A:$H,8,FALSE)</f>
        <v>-1.2194</v>
      </c>
      <c r="H232" t="s">
        <v>1247</v>
      </c>
      <c r="I232">
        <f>VLOOKUP($H232,[3]Sheet2!$A:$H,8,FALSE)</f>
        <v>-1.04382</v>
      </c>
    </row>
    <row r="233" spans="1:9" x14ac:dyDescent="0.2">
      <c r="A233" t="s">
        <v>456</v>
      </c>
      <c r="B233">
        <f>VLOOKUP($A233,[2]修饰!$A:$H,8,FALSE)</f>
        <v>-2.0447600000000001</v>
      </c>
      <c r="H233" t="s">
        <v>1580</v>
      </c>
      <c r="I233">
        <f>VLOOKUP($H233,[3]Sheet2!$A:$H,8,FALSE)</f>
        <v>1.0010600000000001</v>
      </c>
    </row>
    <row r="234" spans="1:9" x14ac:dyDescent="0.2">
      <c r="A234" t="s">
        <v>457</v>
      </c>
      <c r="B234">
        <f>VLOOKUP($A234,[2]修饰!$A:$H,8,FALSE)</f>
        <v>1.3036399999999999</v>
      </c>
      <c r="H234" t="s">
        <v>1581</v>
      </c>
      <c r="I234">
        <f>VLOOKUP($H234,[3]Sheet2!$A:$H,8,FALSE)</f>
        <v>-1.4180299999999999</v>
      </c>
    </row>
    <row r="235" spans="1:9" x14ac:dyDescent="0.2">
      <c r="A235" t="s">
        <v>458</v>
      </c>
      <c r="B235">
        <f>VLOOKUP($A235,[2]修饰!$A:$H,8,FALSE)</f>
        <v>-1.0983400000000001</v>
      </c>
      <c r="H235" t="s">
        <v>350</v>
      </c>
      <c r="I235">
        <f>VLOOKUP($H235,[3]Sheet2!$A:$H,8,FALSE)</f>
        <v>1.3750899999999999</v>
      </c>
    </row>
    <row r="236" spans="1:9" x14ac:dyDescent="0.2">
      <c r="A236" t="s">
        <v>462</v>
      </c>
      <c r="B236">
        <f>VLOOKUP($A236,[2]修饰!$A:$H,8,FALSE)</f>
        <v>1.6682399999999999</v>
      </c>
      <c r="H236" t="s">
        <v>355</v>
      </c>
      <c r="I236">
        <f>VLOOKUP($H236,[3]Sheet2!$A:$H,8,FALSE)</f>
        <v>1.0029399999999999</v>
      </c>
    </row>
    <row r="237" spans="1:9" x14ac:dyDescent="0.2">
      <c r="A237" t="s">
        <v>464</v>
      </c>
      <c r="B237">
        <f>VLOOKUP($A237,[2]修饰!$A:$H,8,FALSE)</f>
        <v>-1.0004900000000001</v>
      </c>
      <c r="H237" t="s">
        <v>356</v>
      </c>
      <c r="I237">
        <f>VLOOKUP($H237,[3]Sheet2!$A:$H,8,FALSE)</f>
        <v>-1.1891799999999999</v>
      </c>
    </row>
    <row r="238" spans="1:9" x14ac:dyDescent="0.2">
      <c r="A238" t="s">
        <v>466</v>
      </c>
      <c r="B238">
        <f>VLOOKUP($A238,[2]修饰!$A:$H,8,FALSE)</f>
        <v>1.0778000000000001</v>
      </c>
      <c r="H238" t="s">
        <v>1582</v>
      </c>
      <c r="I238">
        <f>VLOOKUP($H238,[3]Sheet2!$A:$H,8,FALSE)</f>
        <v>-1.1315599999999999</v>
      </c>
    </row>
    <row r="239" spans="1:9" x14ac:dyDescent="0.2">
      <c r="A239" t="s">
        <v>467</v>
      </c>
      <c r="B239">
        <f>VLOOKUP($A239,[2]修饰!$A:$H,8,FALSE)</f>
        <v>1.23614</v>
      </c>
      <c r="H239" t="s">
        <v>1583</v>
      </c>
      <c r="I239">
        <f>VLOOKUP($H239,[3]Sheet2!$A:$H,8,FALSE)</f>
        <v>-1.3623499999999999</v>
      </c>
    </row>
    <row r="240" spans="1:9" x14ac:dyDescent="0.2">
      <c r="A240" t="s">
        <v>468</v>
      </c>
      <c r="B240">
        <f>VLOOKUP($A240,[2]修饰!$A:$H,8,FALSE)</f>
        <v>-1.17628</v>
      </c>
      <c r="H240" t="s">
        <v>359</v>
      </c>
      <c r="I240">
        <f>VLOOKUP($H240,[3]Sheet2!$A:$H,8,FALSE)</f>
        <v>1.2598400000000001</v>
      </c>
    </row>
    <row r="241" spans="1:9" x14ac:dyDescent="0.2">
      <c r="A241" t="s">
        <v>472</v>
      </c>
      <c r="B241">
        <f>VLOOKUP($A241,[2]修饰!$A:$H,8,FALSE)</f>
        <v>-1.08605</v>
      </c>
      <c r="H241" t="s">
        <v>1253</v>
      </c>
      <c r="I241">
        <f>VLOOKUP($H241,[3]Sheet2!$A:$H,8,FALSE)</f>
        <v>1.95828</v>
      </c>
    </row>
    <row r="242" spans="1:9" x14ac:dyDescent="0.2">
      <c r="A242" t="s">
        <v>476</v>
      </c>
      <c r="B242">
        <f>VLOOKUP($A242,[2]修饰!$A:$H,8,FALSE)</f>
        <v>1.90171</v>
      </c>
      <c r="H242" t="s">
        <v>1254</v>
      </c>
      <c r="I242">
        <f>VLOOKUP($H242,[3]Sheet2!$A:$H,8,FALSE)</f>
        <v>2.0587</v>
      </c>
    </row>
    <row r="243" spans="1:9" x14ac:dyDescent="0.2">
      <c r="A243" t="s">
        <v>479</v>
      </c>
      <c r="B243">
        <f>VLOOKUP($A243,[2]修饰!$A:$H,8,FALSE)</f>
        <v>-2.26579</v>
      </c>
      <c r="H243" t="s">
        <v>1256</v>
      </c>
      <c r="I243">
        <f>VLOOKUP($H243,[3]Sheet2!$A:$H,8,FALSE)</f>
        <v>1.1266700000000001</v>
      </c>
    </row>
    <row r="244" spans="1:9" x14ac:dyDescent="0.2">
      <c r="A244" t="s">
        <v>480</v>
      </c>
      <c r="B244">
        <f>VLOOKUP($A244,[2]修饰!$A:$H,8,FALSE)</f>
        <v>-1.9907999999999999</v>
      </c>
      <c r="H244" t="s">
        <v>1584</v>
      </c>
      <c r="I244">
        <f>VLOOKUP($H244,[3]Sheet2!$A:$H,8,FALSE)</f>
        <v>2.42537</v>
      </c>
    </row>
    <row r="245" spans="1:9" x14ac:dyDescent="0.2">
      <c r="A245" t="s">
        <v>484</v>
      </c>
      <c r="B245">
        <f>VLOOKUP($A245,[2]修饰!$A:$H,8,FALSE)</f>
        <v>-1.7902499999999999</v>
      </c>
      <c r="H245" t="s">
        <v>1585</v>
      </c>
      <c r="I245">
        <f>VLOOKUP($H245,[3]Sheet2!$A:$H,8,FALSE)</f>
        <v>-1.05738</v>
      </c>
    </row>
    <row r="246" spans="1:9" x14ac:dyDescent="0.2">
      <c r="A246" t="s">
        <v>488</v>
      </c>
      <c r="B246">
        <f>VLOOKUP($A246,[2]修饰!$A:$H,8,FALSE)</f>
        <v>-1.1886300000000001</v>
      </c>
      <c r="H246" t="s">
        <v>1258</v>
      </c>
      <c r="I246">
        <f>VLOOKUP($H246,[3]Sheet2!$A:$H,8,FALSE)</f>
        <v>1.76864</v>
      </c>
    </row>
    <row r="247" spans="1:9" x14ac:dyDescent="0.2">
      <c r="A247" t="s">
        <v>490</v>
      </c>
      <c r="B247">
        <f>VLOOKUP($A247,[2]修饰!$A:$H,8,FALSE)</f>
        <v>1.1321000000000001</v>
      </c>
      <c r="H247" t="s">
        <v>1259</v>
      </c>
      <c r="I247">
        <f>VLOOKUP($H247,[3]Sheet2!$A:$H,8,FALSE)</f>
        <v>3.4827900000000001</v>
      </c>
    </row>
    <row r="248" spans="1:9" x14ac:dyDescent="0.2">
      <c r="A248" t="s">
        <v>491</v>
      </c>
      <c r="B248">
        <f>VLOOKUP($A248,[2]修饰!$A:$H,8,FALSE)</f>
        <v>1.0990899999999999</v>
      </c>
      <c r="H248" t="s">
        <v>1586</v>
      </c>
      <c r="I248">
        <f>VLOOKUP($H248,[3]Sheet2!$A:$H,8,FALSE)</f>
        <v>-2.1522899999999998</v>
      </c>
    </row>
    <row r="249" spans="1:9" x14ac:dyDescent="0.2">
      <c r="A249" t="s">
        <v>492</v>
      </c>
      <c r="B249">
        <f>VLOOKUP($A249,[2]修饰!$A:$H,8,FALSE)</f>
        <v>1.39184</v>
      </c>
      <c r="H249" t="s">
        <v>1587</v>
      </c>
      <c r="I249" t="str">
        <f>VLOOKUP($H249,[3]Sheet2!$A:$H,8,FALSE)</f>
        <v>inf</v>
      </c>
    </row>
    <row r="250" spans="1:9" x14ac:dyDescent="0.2">
      <c r="A250" t="s">
        <v>493</v>
      </c>
      <c r="B250">
        <f>VLOOKUP($A250,[2]修饰!$A:$H,8,FALSE)</f>
        <v>-1.0339100000000001</v>
      </c>
      <c r="H250" t="s">
        <v>1588</v>
      </c>
      <c r="I250">
        <f>VLOOKUP($H250,[3]Sheet2!$A:$H,8,FALSE)</f>
        <v>-1.2119599999999999</v>
      </c>
    </row>
    <row r="251" spans="1:9" x14ac:dyDescent="0.2">
      <c r="A251" t="s">
        <v>496</v>
      </c>
      <c r="B251">
        <f>VLOOKUP($A251,[2]修饰!$A:$H,8,FALSE)</f>
        <v>-1.8801699999999999</v>
      </c>
      <c r="H251" t="s">
        <v>1589</v>
      </c>
      <c r="I251">
        <f>VLOOKUP($H251,[3]Sheet2!$A:$H,8,FALSE)</f>
        <v>-1.3103499999999999</v>
      </c>
    </row>
    <row r="252" spans="1:9" x14ac:dyDescent="0.2">
      <c r="A252" t="s">
        <v>502</v>
      </c>
      <c r="B252">
        <f>VLOOKUP($A252,[2]修饰!$A:$H,8,FALSE)</f>
        <v>-1.07378</v>
      </c>
      <c r="H252" t="s">
        <v>1590</v>
      </c>
      <c r="I252">
        <f>VLOOKUP($H252,[3]Sheet2!$A:$H,8,FALSE)</f>
        <v>1.09232</v>
      </c>
    </row>
    <row r="253" spans="1:9" x14ac:dyDescent="0.2">
      <c r="A253" t="s">
        <v>505</v>
      </c>
      <c r="B253">
        <f>VLOOKUP($A253,[2]修饰!$A:$H,8,FALSE)</f>
        <v>-1.1269899999999999</v>
      </c>
      <c r="H253" t="s">
        <v>375</v>
      </c>
      <c r="I253">
        <f>VLOOKUP($H253,[3]Sheet2!$A:$H,8,FALSE)</f>
        <v>-1.0092300000000001</v>
      </c>
    </row>
    <row r="254" spans="1:9" x14ac:dyDescent="0.2">
      <c r="A254" t="s">
        <v>508</v>
      </c>
      <c r="B254">
        <f>VLOOKUP($A254,[2]修饰!$A:$H,8,FALSE)</f>
        <v>1.5728599999999999</v>
      </c>
      <c r="H254" t="s">
        <v>1264</v>
      </c>
      <c r="I254">
        <f>VLOOKUP($H254,[3]Sheet2!$A:$H,8,FALSE)</f>
        <v>1.4851099999999999</v>
      </c>
    </row>
    <row r="255" spans="1:9" x14ac:dyDescent="0.2">
      <c r="A255" t="s">
        <v>511</v>
      </c>
      <c r="B255">
        <f>VLOOKUP($A255,[2]修饰!$A:$H,8,FALSE)</f>
        <v>1.1041099999999999</v>
      </c>
      <c r="H255" t="s">
        <v>378</v>
      </c>
      <c r="I255">
        <f>VLOOKUP($H255,[3]Sheet2!$A:$H,8,FALSE)</f>
        <v>1.53678</v>
      </c>
    </row>
    <row r="256" spans="1:9" x14ac:dyDescent="0.2">
      <c r="A256" t="s">
        <v>512</v>
      </c>
      <c r="B256">
        <f>VLOOKUP($A256,[2]修饰!$A:$H,8,FALSE)</f>
        <v>-1.53332</v>
      </c>
      <c r="H256" t="s">
        <v>380</v>
      </c>
      <c r="I256">
        <f>VLOOKUP($H256,[3]Sheet2!$A:$H,8,FALSE)</f>
        <v>-2.0305200000000001</v>
      </c>
    </row>
    <row r="257" spans="1:9" x14ac:dyDescent="0.2">
      <c r="A257" t="s">
        <v>516</v>
      </c>
      <c r="B257">
        <f>VLOOKUP($A257,[2]修饰!$A:$H,8,FALSE)</f>
        <v>1.1415</v>
      </c>
      <c r="H257" t="s">
        <v>381</v>
      </c>
      <c r="I257">
        <f>VLOOKUP($H257,[3]Sheet2!$A:$H,8,FALSE)</f>
        <v>1.0793699999999999</v>
      </c>
    </row>
    <row r="258" spans="1:9" x14ac:dyDescent="0.2">
      <c r="A258" t="s">
        <v>517</v>
      </c>
      <c r="B258">
        <f>VLOOKUP($A258,[2]修饰!$A:$H,8,FALSE)</f>
        <v>-1.2004900000000001</v>
      </c>
      <c r="H258" t="s">
        <v>383</v>
      </c>
      <c r="I258">
        <f>VLOOKUP($H258,[3]Sheet2!$A:$H,8,FALSE)</f>
        <v>2.0002</v>
      </c>
    </row>
    <row r="259" spans="1:9" x14ac:dyDescent="0.2">
      <c r="A259" t="s">
        <v>518</v>
      </c>
      <c r="B259">
        <f>VLOOKUP($A259,[2]修饰!$A:$H,8,FALSE)</f>
        <v>-2.1844199999999998</v>
      </c>
      <c r="H259" t="s">
        <v>1591</v>
      </c>
      <c r="I259">
        <f>VLOOKUP($H259,[3]Sheet2!$A:$H,8,FALSE)</f>
        <v>1.1186499999999999</v>
      </c>
    </row>
    <row r="260" spans="1:9" x14ac:dyDescent="0.2">
      <c r="A260" t="s">
        <v>520</v>
      </c>
      <c r="B260">
        <f>VLOOKUP($A260,[2]修饰!$A:$H,8,FALSE)</f>
        <v>-1.18136</v>
      </c>
      <c r="H260" t="s">
        <v>1592</v>
      </c>
      <c r="I260">
        <f>VLOOKUP($H260,[3]Sheet2!$A:$H,8,FALSE)</f>
        <v>-1.0146900000000001</v>
      </c>
    </row>
    <row r="261" spans="1:9" x14ac:dyDescent="0.2">
      <c r="A261" t="s">
        <v>522</v>
      </c>
      <c r="B261">
        <f>VLOOKUP($A261,[2]修饰!$A:$H,8,FALSE)</f>
        <v>1.1881999999999999</v>
      </c>
      <c r="H261" t="s">
        <v>1593</v>
      </c>
      <c r="I261">
        <f>VLOOKUP($H261,[3]Sheet2!$A:$H,8,FALSE)</f>
        <v>1.44313</v>
      </c>
    </row>
    <row r="262" spans="1:9" x14ac:dyDescent="0.2">
      <c r="A262" t="s">
        <v>523</v>
      </c>
      <c r="B262">
        <f>VLOOKUP($A262,[2]修饰!$A:$H,8,FALSE)</f>
        <v>-1.5713200000000001</v>
      </c>
      <c r="H262" t="s">
        <v>1265</v>
      </c>
      <c r="I262">
        <f>VLOOKUP($H262,[3]Sheet2!$A:$H,8,FALSE)</f>
        <v>-1.3460000000000001</v>
      </c>
    </row>
    <row r="263" spans="1:9" x14ac:dyDescent="0.2">
      <c r="A263" t="s">
        <v>524</v>
      </c>
      <c r="B263">
        <f>VLOOKUP($A263,[2]修饰!$A:$H,8,FALSE)</f>
        <v>-1.95137</v>
      </c>
      <c r="H263" t="s">
        <v>390</v>
      </c>
      <c r="I263">
        <f>VLOOKUP($H263,[3]Sheet2!$A:$H,8,FALSE)</f>
        <v>1.0108999999999999</v>
      </c>
    </row>
    <row r="264" spans="1:9" x14ac:dyDescent="0.2">
      <c r="A264" t="s">
        <v>525</v>
      </c>
      <c r="B264">
        <f>VLOOKUP($A264,[2]修饰!$A:$H,8,FALSE)</f>
        <v>-2.1175000000000002</v>
      </c>
      <c r="H264" t="s">
        <v>393</v>
      </c>
      <c r="I264">
        <f>VLOOKUP($H264,[3]Sheet2!$A:$H,8,FALSE)</f>
        <v>-1.08094</v>
      </c>
    </row>
    <row r="265" spans="1:9" x14ac:dyDescent="0.2">
      <c r="A265" t="s">
        <v>527</v>
      </c>
      <c r="B265">
        <f>VLOOKUP($A265,[2]修饰!$A:$H,8,FALSE)</f>
        <v>-1.0692999999999999</v>
      </c>
      <c r="H265" t="s">
        <v>1594</v>
      </c>
      <c r="I265">
        <f>VLOOKUP($H265,[3]Sheet2!$A:$H,8,FALSE)</f>
        <v>1.2718700000000001</v>
      </c>
    </row>
    <row r="266" spans="1:9" x14ac:dyDescent="0.2">
      <c r="A266" t="s">
        <v>529</v>
      </c>
      <c r="B266">
        <f>VLOOKUP($A266,[2]修饰!$A:$H,8,FALSE)</f>
        <v>-1.0508500000000001</v>
      </c>
      <c r="H266" t="s">
        <v>403</v>
      </c>
      <c r="I266">
        <f>VLOOKUP($H266,[3]Sheet2!$A:$H,8,FALSE)</f>
        <v>1.1619900000000001</v>
      </c>
    </row>
    <row r="267" spans="1:9" x14ac:dyDescent="0.2">
      <c r="A267" t="s">
        <v>533</v>
      </c>
      <c r="B267">
        <f>VLOOKUP($A267,[2]修饰!$A:$H,8,FALSE)</f>
        <v>-1.1106400000000001</v>
      </c>
      <c r="H267" t="s">
        <v>406</v>
      </c>
      <c r="I267">
        <f>VLOOKUP($H267,[3]Sheet2!$A:$H,8,FALSE)</f>
        <v>3.6793100000000001</v>
      </c>
    </row>
    <row r="268" spans="1:9" x14ac:dyDescent="0.2">
      <c r="A268" t="s">
        <v>534</v>
      </c>
      <c r="B268">
        <f>VLOOKUP($A268,[2]修饰!$A:$H,8,FALSE)</f>
        <v>1.30765</v>
      </c>
      <c r="H268" t="s">
        <v>408</v>
      </c>
      <c r="I268">
        <f>VLOOKUP($H268,[3]Sheet2!$A:$H,8,FALSE)</f>
        <v>1.5587899999999999</v>
      </c>
    </row>
    <row r="269" spans="1:9" x14ac:dyDescent="0.2">
      <c r="A269" t="s">
        <v>538</v>
      </c>
      <c r="B269">
        <f>VLOOKUP($A269,[2]修饰!$A:$H,8,FALSE)</f>
        <v>-1.1210199999999999</v>
      </c>
      <c r="H269" t="s">
        <v>409</v>
      </c>
      <c r="I269">
        <f>VLOOKUP($H269,[3]Sheet2!$A:$H,8,FALSE)</f>
        <v>-1.32348</v>
      </c>
    </row>
    <row r="270" spans="1:9" x14ac:dyDescent="0.2">
      <c r="A270" t="s">
        <v>540</v>
      </c>
      <c r="B270">
        <f>VLOOKUP($A270,[2]修饰!$A:$H,8,FALSE)</f>
        <v>-1.03207</v>
      </c>
      <c r="H270" t="s">
        <v>1595</v>
      </c>
      <c r="I270">
        <f>VLOOKUP($H270,[3]Sheet2!$A:$H,8,FALSE)</f>
        <v>-1.4468099999999999</v>
      </c>
    </row>
    <row r="271" spans="1:9" x14ac:dyDescent="0.2">
      <c r="A271" t="s">
        <v>541</v>
      </c>
      <c r="B271">
        <f>VLOOKUP($A271,[2]修饰!$A:$H,8,FALSE)</f>
        <v>-1.0695300000000001</v>
      </c>
      <c r="H271" t="s">
        <v>410</v>
      </c>
      <c r="I271">
        <f>VLOOKUP($H271,[3]Sheet2!$A:$H,8,FALSE)</f>
        <v>-1.70095</v>
      </c>
    </row>
    <row r="272" spans="1:9" x14ac:dyDescent="0.2">
      <c r="A272" t="s">
        <v>542</v>
      </c>
      <c r="B272">
        <f>VLOOKUP($A272,[2]修饰!$A:$H,8,FALSE)</f>
        <v>-1.10189</v>
      </c>
      <c r="H272" t="s">
        <v>412</v>
      </c>
      <c r="I272">
        <f>VLOOKUP($H272,[3]Sheet2!$A:$H,8,FALSE)</f>
        <v>1.03447</v>
      </c>
    </row>
    <row r="273" spans="1:9" x14ac:dyDescent="0.2">
      <c r="A273" t="s">
        <v>545</v>
      </c>
      <c r="B273">
        <f>VLOOKUP($A273,[2]修饰!$A:$H,8,FALSE)</f>
        <v>-1.07609</v>
      </c>
      <c r="H273" t="s">
        <v>1596</v>
      </c>
      <c r="I273">
        <f>VLOOKUP($H273,[3]Sheet2!$A:$H,8,FALSE)</f>
        <v>2.63198</v>
      </c>
    </row>
    <row r="274" spans="1:9" x14ac:dyDescent="0.2">
      <c r="A274" t="s">
        <v>471</v>
      </c>
      <c r="B274">
        <f>VLOOKUP($A274,[2]修饰!$A:$H,8,FALSE)</f>
        <v>-1.0692200000000001</v>
      </c>
      <c r="H274" t="s">
        <v>1597</v>
      </c>
      <c r="I274">
        <f>VLOOKUP($H274,[3]Sheet2!$A:$H,8,FALSE)</f>
        <v>1.35107</v>
      </c>
    </row>
    <row r="275" spans="1:9" x14ac:dyDescent="0.2">
      <c r="A275" t="s">
        <v>549</v>
      </c>
      <c r="B275">
        <f>VLOOKUP($A275,[2]修饰!$A:$H,8,FALSE)</f>
        <v>1.68492</v>
      </c>
      <c r="H275" t="s">
        <v>1598</v>
      </c>
      <c r="I275">
        <f>VLOOKUP($H275,[3]Sheet2!$A:$H,8,FALSE)</f>
        <v>1.08165</v>
      </c>
    </row>
    <row r="276" spans="1:9" x14ac:dyDescent="0.2">
      <c r="A276" t="s">
        <v>550</v>
      </c>
      <c r="B276">
        <f>VLOOKUP($A276,[2]修饰!$A:$H,8,FALSE)</f>
        <v>-1.07561</v>
      </c>
      <c r="H276" t="s">
        <v>1599</v>
      </c>
      <c r="I276">
        <f>VLOOKUP($H276,[3]Sheet2!$A:$H,8,FALSE)</f>
        <v>-1.05332</v>
      </c>
    </row>
    <row r="277" spans="1:9" x14ac:dyDescent="0.2">
      <c r="A277" t="s">
        <v>553</v>
      </c>
      <c r="B277">
        <f>VLOOKUP($A277,[2]修饰!$A:$H,8,FALSE)</f>
        <v>-1.2622199999999999</v>
      </c>
      <c r="H277" t="s">
        <v>1600</v>
      </c>
      <c r="I277">
        <f>VLOOKUP($H277,[3]Sheet2!$A:$H,8,FALSE)</f>
        <v>1.27159</v>
      </c>
    </row>
    <row r="278" spans="1:9" x14ac:dyDescent="0.2">
      <c r="A278" t="s">
        <v>554</v>
      </c>
      <c r="B278">
        <f>VLOOKUP($A278,[2]修饰!$A:$H,8,FALSE)</f>
        <v>-1.18049</v>
      </c>
      <c r="H278" t="s">
        <v>427</v>
      </c>
      <c r="I278">
        <f>VLOOKUP($H278,[3]Sheet2!$A:$H,8,FALSE)</f>
        <v>1.4929600000000001</v>
      </c>
    </row>
    <row r="279" spans="1:9" x14ac:dyDescent="0.2">
      <c r="A279" t="s">
        <v>555</v>
      </c>
      <c r="B279">
        <f>VLOOKUP($A279,[2]修饰!$A:$H,8,FALSE)</f>
        <v>-1.07019</v>
      </c>
      <c r="H279" t="s">
        <v>436</v>
      </c>
      <c r="I279">
        <f>VLOOKUP($H279,[3]Sheet2!$A:$H,8,FALSE)</f>
        <v>1.79735</v>
      </c>
    </row>
    <row r="280" spans="1:9" x14ac:dyDescent="0.2">
      <c r="A280" t="s">
        <v>556</v>
      </c>
      <c r="B280">
        <f>VLOOKUP($A280,[2]修饰!$A:$H,8,FALSE)</f>
        <v>1.9556199999999999</v>
      </c>
      <c r="H280" t="s">
        <v>442</v>
      </c>
      <c r="I280">
        <f>VLOOKUP($H280,[3]Sheet2!$A:$H,8,FALSE)</f>
        <v>-1.6879299999999999</v>
      </c>
    </row>
    <row r="281" spans="1:9" x14ac:dyDescent="0.2">
      <c r="A281" t="s">
        <v>560</v>
      </c>
      <c r="B281">
        <f>VLOOKUP($A281,[2]修饰!$A:$H,8,FALSE)</f>
        <v>-1.0441800000000001</v>
      </c>
      <c r="H281" t="s">
        <v>1274</v>
      </c>
      <c r="I281">
        <f>VLOOKUP($H281,[3]Sheet2!$A:$H,8,FALSE)</f>
        <v>1.24712</v>
      </c>
    </row>
    <row r="282" spans="1:9" x14ac:dyDescent="0.2">
      <c r="A282" t="s">
        <v>561</v>
      </c>
      <c r="B282">
        <f>VLOOKUP($A282,[2]修饰!$A:$H,8,FALSE)</f>
        <v>-1.3688899999999999</v>
      </c>
      <c r="H282" t="s">
        <v>1601</v>
      </c>
      <c r="I282">
        <f>VLOOKUP($H282,[3]Sheet2!$A:$H,8,FALSE)</f>
        <v>2.0040200000000001</v>
      </c>
    </row>
    <row r="283" spans="1:9" x14ac:dyDescent="0.2">
      <c r="A283" t="s">
        <v>563</v>
      </c>
      <c r="B283">
        <f>VLOOKUP($A283,[2]修饰!$A:$H,8,FALSE)</f>
        <v>1.0584800000000001</v>
      </c>
      <c r="H283" t="s">
        <v>452</v>
      </c>
      <c r="I283">
        <f>VLOOKUP($H283,[3]Sheet2!$A:$H,8,FALSE)</f>
        <v>-1.2853600000000001</v>
      </c>
    </row>
    <row r="284" spans="1:9" x14ac:dyDescent="0.2">
      <c r="A284" t="s">
        <v>564</v>
      </c>
      <c r="B284">
        <f>VLOOKUP($A284,[2]修饰!$A:$H,8,FALSE)</f>
        <v>-1.2418899999999999</v>
      </c>
      <c r="H284" t="s">
        <v>1602</v>
      </c>
      <c r="I284">
        <f>VLOOKUP($H284,[3]Sheet2!$A:$H,8,FALSE)</f>
        <v>1.1898299999999999</v>
      </c>
    </row>
    <row r="285" spans="1:9" x14ac:dyDescent="0.2">
      <c r="A285" t="s">
        <v>565</v>
      </c>
      <c r="B285">
        <f>VLOOKUP($A285,[2]修饰!$A:$H,8,FALSE)</f>
        <v>-1.4477500000000001</v>
      </c>
      <c r="H285" t="s">
        <v>1603</v>
      </c>
      <c r="I285">
        <f>VLOOKUP($H285,[3]Sheet2!$A:$H,8,FALSE)</f>
        <v>1.35517</v>
      </c>
    </row>
    <row r="286" spans="1:9" x14ac:dyDescent="0.2">
      <c r="A286" t="s">
        <v>566</v>
      </c>
      <c r="B286">
        <f>VLOOKUP($A286,[2]修饰!$A:$H,8,FALSE)</f>
        <v>1.1249</v>
      </c>
      <c r="H286" t="s">
        <v>459</v>
      </c>
      <c r="I286">
        <f>VLOOKUP($H286,[3]Sheet2!$A:$H,8,FALSE)</f>
        <v>1.2839100000000001</v>
      </c>
    </row>
    <row r="287" spans="1:9" x14ac:dyDescent="0.2">
      <c r="A287" t="s">
        <v>569</v>
      </c>
      <c r="B287">
        <f>VLOOKUP($A287,[2]修饰!$A:$H,8,FALSE)</f>
        <v>1.11178</v>
      </c>
      <c r="H287" t="s">
        <v>463</v>
      </c>
      <c r="I287">
        <f>VLOOKUP($H287,[3]Sheet2!$A:$H,8,FALSE)</f>
        <v>1.4201900000000001</v>
      </c>
    </row>
    <row r="288" spans="1:9" x14ac:dyDescent="0.2">
      <c r="A288" t="s">
        <v>570</v>
      </c>
      <c r="B288">
        <f>VLOOKUP($A288,[2]修饰!$A:$H,8,FALSE)</f>
        <v>1.0739099999999999</v>
      </c>
      <c r="H288" t="s">
        <v>1276</v>
      </c>
      <c r="I288">
        <f>VLOOKUP($H288,[3]Sheet2!$A:$H,8,FALSE)</f>
        <v>-1.39181</v>
      </c>
    </row>
    <row r="289" spans="1:9" x14ac:dyDescent="0.2">
      <c r="A289" t="s">
        <v>575</v>
      </c>
      <c r="B289">
        <f>VLOOKUP($A289,[2]修饰!$A:$H,8,FALSE)</f>
        <v>-1.01101</v>
      </c>
      <c r="H289" t="s">
        <v>1604</v>
      </c>
      <c r="I289">
        <f>VLOOKUP($H289,[3]Sheet2!$A:$H,8,FALSE)</f>
        <v>1.0108200000000001</v>
      </c>
    </row>
    <row r="290" spans="1:9" x14ac:dyDescent="0.2">
      <c r="A290" t="s">
        <v>576</v>
      </c>
      <c r="B290">
        <f>VLOOKUP($A290,[2]修饰!$A:$H,8,FALSE)</f>
        <v>1.31691</v>
      </c>
      <c r="H290" t="s">
        <v>1605</v>
      </c>
      <c r="I290">
        <f>VLOOKUP($H290,[3]Sheet2!$A:$H,8,FALSE)</f>
        <v>1.03403</v>
      </c>
    </row>
    <row r="291" spans="1:9" x14ac:dyDescent="0.2">
      <c r="A291" t="s">
        <v>580</v>
      </c>
      <c r="B291">
        <f>VLOOKUP($A291,[2]修饰!$A:$H,8,FALSE)</f>
        <v>-1.2383500000000001</v>
      </c>
      <c r="H291" t="s">
        <v>1606</v>
      </c>
      <c r="I291">
        <f>VLOOKUP($H291,[3]Sheet2!$A:$H,8,FALSE)</f>
        <v>1.01986</v>
      </c>
    </row>
    <row r="292" spans="1:9" x14ac:dyDescent="0.2">
      <c r="A292" t="s">
        <v>583</v>
      </c>
      <c r="B292">
        <f>VLOOKUP($A292,[2]修饰!$A:$H,8,FALSE)</f>
        <v>-1.3709499999999999</v>
      </c>
      <c r="H292" t="s">
        <v>469</v>
      </c>
      <c r="I292">
        <f>VLOOKUP($H292,[3]Sheet2!$A:$H,8,FALSE)</f>
        <v>-1.12504</v>
      </c>
    </row>
    <row r="293" spans="1:9" x14ac:dyDescent="0.2">
      <c r="A293" t="s">
        <v>586</v>
      </c>
      <c r="B293">
        <f>VLOOKUP($A293,[2]修饰!$A:$H,8,FALSE)</f>
        <v>1.1552</v>
      </c>
      <c r="H293" t="s">
        <v>1607</v>
      </c>
      <c r="I293">
        <f>VLOOKUP($H293,[3]Sheet2!$A:$H,8,FALSE)</f>
        <v>1.3396699999999999</v>
      </c>
    </row>
    <row r="294" spans="1:9" x14ac:dyDescent="0.2">
      <c r="A294" t="s">
        <v>588</v>
      </c>
      <c r="B294">
        <f>VLOOKUP($A294,[2]修饰!$A:$H,8,FALSE)</f>
        <v>2.1563300000000001</v>
      </c>
      <c r="H294" t="s">
        <v>470</v>
      </c>
      <c r="I294">
        <f>VLOOKUP($H294,[3]Sheet2!$A:$H,8,FALSE)</f>
        <v>1.88531</v>
      </c>
    </row>
    <row r="295" spans="1:9" x14ac:dyDescent="0.2">
      <c r="A295" t="s">
        <v>589</v>
      </c>
      <c r="B295">
        <f>VLOOKUP($A295,[2]修饰!$A:$H,8,FALSE)</f>
        <v>1.7378499999999999</v>
      </c>
      <c r="H295" t="s">
        <v>1608</v>
      </c>
      <c r="I295">
        <f>VLOOKUP($H295,[3]Sheet2!$A:$H,8,FALSE)</f>
        <v>1.33694</v>
      </c>
    </row>
    <row r="296" spans="1:9" x14ac:dyDescent="0.2">
      <c r="A296" t="s">
        <v>590</v>
      </c>
      <c r="B296">
        <f>VLOOKUP($A296,[2]修饰!$A:$H,8,FALSE)</f>
        <v>1.52267</v>
      </c>
      <c r="H296" t="s">
        <v>1609</v>
      </c>
      <c r="I296">
        <f>VLOOKUP($H296,[3]Sheet2!$A:$H,8,FALSE)</f>
        <v>-2.1101000000000001</v>
      </c>
    </row>
    <row r="297" spans="1:9" x14ac:dyDescent="0.2">
      <c r="A297" t="s">
        <v>592</v>
      </c>
      <c r="B297">
        <f>VLOOKUP($A297,[2]修饰!$A:$H,8,FALSE)</f>
        <v>1.02504</v>
      </c>
      <c r="H297" t="s">
        <v>1610</v>
      </c>
      <c r="I297">
        <f>VLOOKUP($H297,[3]Sheet2!$A:$H,8,FALSE)</f>
        <v>2.6778200000000001</v>
      </c>
    </row>
    <row r="298" spans="1:9" x14ac:dyDescent="0.2">
      <c r="A298" t="s">
        <v>595</v>
      </c>
      <c r="B298">
        <f>VLOOKUP($A298,[2]修饰!$A:$H,8,FALSE)</f>
        <v>-1.83582</v>
      </c>
      <c r="H298" t="s">
        <v>477</v>
      </c>
      <c r="I298">
        <f>VLOOKUP($H298,[3]Sheet2!$A:$H,8,FALSE)</f>
        <v>-1.06887</v>
      </c>
    </row>
    <row r="299" spans="1:9" x14ac:dyDescent="0.2">
      <c r="A299" t="s">
        <v>597</v>
      </c>
      <c r="B299">
        <f>VLOOKUP($A299,[2]修饰!$A:$H,8,FALSE)</f>
        <v>-2.4341699999999999</v>
      </c>
      <c r="H299" t="s">
        <v>1611</v>
      </c>
      <c r="I299">
        <f>VLOOKUP($H299,[3]Sheet2!$A:$H,8,FALSE)</f>
        <v>1.9108499999999999</v>
      </c>
    </row>
    <row r="300" spans="1:9" x14ac:dyDescent="0.2">
      <c r="A300" t="s">
        <v>599</v>
      </c>
      <c r="B300">
        <f>VLOOKUP($A300,[2]修饰!$A:$H,8,FALSE)</f>
        <v>-1.52142</v>
      </c>
      <c r="H300" t="s">
        <v>1612</v>
      </c>
      <c r="I300">
        <f>VLOOKUP($H300,[3]Sheet2!$A:$H,8,FALSE)</f>
        <v>1.2398800000000001</v>
      </c>
    </row>
    <row r="301" spans="1:9" x14ac:dyDescent="0.2">
      <c r="A301" t="s">
        <v>600</v>
      </c>
      <c r="B301">
        <f>VLOOKUP($A301,[2]修饰!$A:$H,8,FALSE)</f>
        <v>1.3947499999999999</v>
      </c>
      <c r="H301" t="s">
        <v>478</v>
      </c>
      <c r="I301">
        <f>VLOOKUP($H301,[3]Sheet2!$A:$H,8,FALSE)</f>
        <v>1.0526800000000001</v>
      </c>
    </row>
    <row r="302" spans="1:9" x14ac:dyDescent="0.2">
      <c r="A302" t="s">
        <v>601</v>
      </c>
      <c r="B302">
        <f>VLOOKUP($A302,[2]修饰!$A:$H,8,FALSE)</f>
        <v>-1.02254</v>
      </c>
      <c r="H302" t="s">
        <v>1280</v>
      </c>
      <c r="I302">
        <f>VLOOKUP($H302,[3]Sheet2!$A:$H,8,FALSE)</f>
        <v>-1.75597</v>
      </c>
    </row>
    <row r="303" spans="1:9" x14ac:dyDescent="0.2">
      <c r="A303" t="s">
        <v>603</v>
      </c>
      <c r="B303">
        <f>VLOOKUP($A303,[2]修饰!$A:$H,8,FALSE)</f>
        <v>-1.05776</v>
      </c>
      <c r="H303" t="s">
        <v>483</v>
      </c>
      <c r="I303">
        <f>VLOOKUP($H303,[3]Sheet2!$A:$H,8,FALSE)</f>
        <v>1.1249100000000001</v>
      </c>
    </row>
    <row r="304" spans="1:9" x14ac:dyDescent="0.2">
      <c r="A304" t="s">
        <v>604</v>
      </c>
      <c r="B304">
        <f>VLOOKUP($A304,[2]修饰!$A:$H,8,FALSE)</f>
        <v>-1.16231</v>
      </c>
      <c r="H304" t="s">
        <v>1613</v>
      </c>
      <c r="I304">
        <f>VLOOKUP($H304,[3]Sheet2!$A:$H,8,FALSE)</f>
        <v>-1.3513900000000001</v>
      </c>
    </row>
    <row r="305" spans="1:9" x14ac:dyDescent="0.2">
      <c r="A305" t="s">
        <v>605</v>
      </c>
      <c r="B305">
        <f>VLOOKUP($A305,[2]修饰!$A:$H,8,FALSE)</f>
        <v>-1.0612699999999999</v>
      </c>
      <c r="H305" t="s">
        <v>1614</v>
      </c>
      <c r="I305">
        <f>VLOOKUP($H305,[3]Sheet2!$A:$H,8,FALSE)</f>
        <v>1.02657</v>
      </c>
    </row>
    <row r="306" spans="1:9" x14ac:dyDescent="0.2">
      <c r="A306" t="s">
        <v>609</v>
      </c>
      <c r="B306">
        <f>VLOOKUP($A306,[2]修饰!$A:$H,8,FALSE)</f>
        <v>-1.0344</v>
      </c>
      <c r="H306" t="s">
        <v>1282</v>
      </c>
      <c r="I306">
        <f>VLOOKUP($H306,[3]Sheet2!$A:$H,8,FALSE)</f>
        <v>2.2383199999999999</v>
      </c>
    </row>
    <row r="307" spans="1:9" x14ac:dyDescent="0.2">
      <c r="A307" t="s">
        <v>610</v>
      </c>
      <c r="B307">
        <f>VLOOKUP($A307,[2]修饰!$A:$H,8,FALSE)</f>
        <v>1.0487500000000001</v>
      </c>
      <c r="H307" t="s">
        <v>486</v>
      </c>
      <c r="I307">
        <f>VLOOKUP($H307,[3]Sheet2!$A:$H,8,FALSE)</f>
        <v>1.8369599999999999</v>
      </c>
    </row>
    <row r="308" spans="1:9" x14ac:dyDescent="0.2">
      <c r="A308" t="s">
        <v>612</v>
      </c>
      <c r="B308">
        <f>VLOOKUP($A308,[2]修饰!$A:$H,8,FALSE)</f>
        <v>-1.3834900000000001</v>
      </c>
      <c r="H308" t="s">
        <v>1615</v>
      </c>
      <c r="I308">
        <f>VLOOKUP($H308,[3]Sheet2!$A:$H,8,FALSE)</f>
        <v>-1.1388799999999999</v>
      </c>
    </row>
    <row r="309" spans="1:9" x14ac:dyDescent="0.2">
      <c r="A309" t="s">
        <v>613</v>
      </c>
      <c r="B309">
        <f>VLOOKUP($A309,[2]修饰!$A:$H,8,FALSE)</f>
        <v>-1.2288300000000001</v>
      </c>
      <c r="H309" t="s">
        <v>500</v>
      </c>
      <c r="I309">
        <f>VLOOKUP($H309,[3]Sheet2!$A:$H,8,FALSE)</f>
        <v>-1.8283100000000001</v>
      </c>
    </row>
    <row r="310" spans="1:9" x14ac:dyDescent="0.2">
      <c r="A310" t="s">
        <v>616</v>
      </c>
      <c r="B310">
        <f>VLOOKUP($A310,[2]修饰!$A:$H,8,FALSE)</f>
        <v>-1.9247799999999999</v>
      </c>
      <c r="H310" t="s">
        <v>501</v>
      </c>
      <c r="I310">
        <f>VLOOKUP($H310,[3]Sheet2!$A:$H,8,FALSE)</f>
        <v>1.3449800000000001</v>
      </c>
    </row>
    <row r="311" spans="1:9" x14ac:dyDescent="0.2">
      <c r="A311" t="s">
        <v>617</v>
      </c>
      <c r="B311">
        <f>VLOOKUP($A311,[2]修饰!$A:$H,8,FALSE)</f>
        <v>-1.1540900000000001</v>
      </c>
      <c r="H311" t="s">
        <v>1616</v>
      </c>
      <c r="I311">
        <f>VLOOKUP($H311,[3]Sheet2!$A:$H,8,FALSE)</f>
        <v>1.5918600000000001</v>
      </c>
    </row>
    <row r="312" spans="1:9" x14ac:dyDescent="0.2">
      <c r="A312" t="s">
        <v>620</v>
      </c>
      <c r="B312">
        <f>VLOOKUP($A312,[2]修饰!$A:$H,8,FALSE)</f>
        <v>-1.1719200000000001</v>
      </c>
      <c r="H312" t="s">
        <v>504</v>
      </c>
      <c r="I312">
        <f>VLOOKUP($H312,[3]Sheet2!$A:$H,8,FALSE)</f>
        <v>2.1645500000000002</v>
      </c>
    </row>
    <row r="313" spans="1:9" x14ac:dyDescent="0.2">
      <c r="A313" t="s">
        <v>621</v>
      </c>
      <c r="B313">
        <f>VLOOKUP($A313,[2]修饰!$A:$H,8,FALSE)</f>
        <v>-1.0814999999999999</v>
      </c>
      <c r="H313" t="s">
        <v>506</v>
      </c>
      <c r="I313">
        <f>VLOOKUP($H313,[3]Sheet2!$A:$H,8,FALSE)</f>
        <v>1.3051600000000001</v>
      </c>
    </row>
    <row r="314" spans="1:9" x14ac:dyDescent="0.2">
      <c r="A314" t="s">
        <v>625</v>
      </c>
      <c r="B314">
        <f>VLOOKUP($A314,[2]修饰!$A:$H,8,FALSE)</f>
        <v>-1.83894</v>
      </c>
      <c r="H314" t="s">
        <v>1617</v>
      </c>
      <c r="I314">
        <f>VLOOKUP($H314,[3]Sheet2!$A:$H,8,FALSE)</f>
        <v>1.0940099999999999</v>
      </c>
    </row>
    <row r="315" spans="1:9" x14ac:dyDescent="0.2">
      <c r="A315" t="s">
        <v>629</v>
      </c>
      <c r="B315">
        <f>VLOOKUP($A315,[2]修饰!$A:$H,8,FALSE)</f>
        <v>1.0732299999999999</v>
      </c>
      <c r="H315" t="s">
        <v>509</v>
      </c>
      <c r="I315">
        <f>VLOOKUP($H315,[3]Sheet2!$A:$H,8,FALSE)</f>
        <v>2.2679499999999999</v>
      </c>
    </row>
    <row r="316" spans="1:9" x14ac:dyDescent="0.2">
      <c r="A316" t="s">
        <v>631</v>
      </c>
      <c r="B316">
        <f>VLOOKUP($A316,[2]修饰!$A:$H,8,FALSE)</f>
        <v>-1.00444</v>
      </c>
      <c r="H316" t="s">
        <v>1618</v>
      </c>
      <c r="I316">
        <f>VLOOKUP($H316,[3]Sheet2!$A:$H,8,FALSE)</f>
        <v>-1.19407</v>
      </c>
    </row>
    <row r="317" spans="1:9" x14ac:dyDescent="0.2">
      <c r="A317" t="s">
        <v>633</v>
      </c>
      <c r="B317" t="str">
        <f>VLOOKUP($A317,[2]修饰!$A:$H,8,FALSE)</f>
        <v>BD</v>
      </c>
      <c r="H317" t="s">
        <v>513</v>
      </c>
      <c r="I317">
        <f>VLOOKUP($H317,[3]Sheet2!$A:$H,8,FALSE)</f>
        <v>1.3208800000000001</v>
      </c>
    </row>
    <row r="318" spans="1:9" x14ac:dyDescent="0.2">
      <c r="A318" t="s">
        <v>636</v>
      </c>
      <c r="B318">
        <f>VLOOKUP($A318,[2]修饰!$A:$H,8,FALSE)</f>
        <v>1.1300600000000001</v>
      </c>
      <c r="H318" t="s">
        <v>514</v>
      </c>
      <c r="I318">
        <f>VLOOKUP($H318,[3]Sheet2!$A:$H,8,FALSE)</f>
        <v>2.5898599999999998</v>
      </c>
    </row>
    <row r="319" spans="1:9" x14ac:dyDescent="0.2">
      <c r="A319" t="s">
        <v>637</v>
      </c>
      <c r="B319">
        <f>VLOOKUP($A319,[2]修饰!$A:$H,8,FALSE)</f>
        <v>-2.7951299999999999</v>
      </c>
      <c r="H319" t="s">
        <v>515</v>
      </c>
      <c r="I319">
        <f>VLOOKUP($H319,[3]Sheet2!$A:$H,8,FALSE)</f>
        <v>1.3361400000000001</v>
      </c>
    </row>
    <row r="320" spans="1:9" x14ac:dyDescent="0.2">
      <c r="A320" t="s">
        <v>639</v>
      </c>
      <c r="B320">
        <f>VLOOKUP($A320,[2]修饰!$A:$H,8,FALSE)</f>
        <v>1.2618</v>
      </c>
      <c r="H320" t="s">
        <v>1619</v>
      </c>
      <c r="I320">
        <f>VLOOKUP($H320,[3]Sheet2!$A:$H,8,FALSE)</f>
        <v>2.4035899999999999</v>
      </c>
    </row>
    <row r="321" spans="1:9" x14ac:dyDescent="0.2">
      <c r="A321" t="s">
        <v>641</v>
      </c>
      <c r="B321">
        <f>VLOOKUP($A321,[2]修饰!$A:$H,8,FALSE)</f>
        <v>-1.7551000000000001</v>
      </c>
      <c r="H321" t="s">
        <v>519</v>
      </c>
      <c r="I321">
        <f>VLOOKUP($H321,[3]Sheet2!$A:$H,8,FALSE)</f>
        <v>1.4440900000000001</v>
      </c>
    </row>
    <row r="322" spans="1:9" x14ac:dyDescent="0.2">
      <c r="A322" t="s">
        <v>643</v>
      </c>
      <c r="B322">
        <f>VLOOKUP($A322,[2]修饰!$A:$H,8,FALSE)</f>
        <v>1.01305</v>
      </c>
      <c r="H322" t="s">
        <v>1620</v>
      </c>
      <c r="I322">
        <f>VLOOKUP($H322,[3]Sheet2!$A:$H,8,FALSE)</f>
        <v>-1.4324399999999999</v>
      </c>
    </row>
    <row r="323" spans="1:9" x14ac:dyDescent="0.2">
      <c r="A323" t="s">
        <v>646</v>
      </c>
      <c r="B323">
        <f>VLOOKUP($A323,[2]修饰!$A:$H,8,FALSE)</f>
        <v>-1.3744799999999999</v>
      </c>
      <c r="H323" t="s">
        <v>526</v>
      </c>
      <c r="I323">
        <f>VLOOKUP($H323,[3]Sheet2!$A:$H,8,FALSE)</f>
        <v>-1.15618</v>
      </c>
    </row>
    <row r="324" spans="1:9" x14ac:dyDescent="0.2">
      <c r="A324" t="s">
        <v>649</v>
      </c>
      <c r="B324">
        <f>VLOOKUP($A324,[2]修饰!$A:$H,8,FALSE)</f>
        <v>-1.2468300000000001</v>
      </c>
      <c r="H324" t="s">
        <v>1621</v>
      </c>
      <c r="I324">
        <f>VLOOKUP($H324,[3]Sheet2!$A:$H,8,FALSE)</f>
        <v>1.8508599999999999</v>
      </c>
    </row>
    <row r="325" spans="1:9" x14ac:dyDescent="0.2">
      <c r="A325" t="s">
        <v>650</v>
      </c>
      <c r="B325">
        <f>VLOOKUP($A325,[2]修饰!$A:$H,8,FALSE)</f>
        <v>1.34277</v>
      </c>
      <c r="H325" t="s">
        <v>1290</v>
      </c>
      <c r="I325">
        <f>VLOOKUP($H325,[3]Sheet2!$A:$H,8,FALSE)</f>
        <v>2.8980399999999999</v>
      </c>
    </row>
    <row r="326" spans="1:9" x14ac:dyDescent="0.2">
      <c r="A326" t="s">
        <v>651</v>
      </c>
      <c r="B326">
        <f>VLOOKUP($A326,[2]修饰!$A:$H,8,FALSE)</f>
        <v>2.1019199999999998</v>
      </c>
      <c r="H326" t="s">
        <v>1622</v>
      </c>
      <c r="I326">
        <f>VLOOKUP($H326,[3]Sheet2!$A:$H,8,FALSE)</f>
        <v>-1.2452399999999999</v>
      </c>
    </row>
    <row r="327" spans="1:9" x14ac:dyDescent="0.2">
      <c r="A327" t="s">
        <v>654</v>
      </c>
      <c r="B327">
        <f>VLOOKUP($A327,[2]修饰!$A:$H,8,FALSE)</f>
        <v>-1.0090600000000001</v>
      </c>
      <c r="H327" t="s">
        <v>1624</v>
      </c>
      <c r="I327">
        <f>VLOOKUP($H327,[3]Sheet2!$A:$H,8,FALSE)</f>
        <v>1.6721299999999999</v>
      </c>
    </row>
    <row r="328" spans="1:9" x14ac:dyDescent="0.2">
      <c r="A328" t="s">
        <v>655</v>
      </c>
      <c r="B328">
        <f>VLOOKUP($A328,[2]修饰!$A:$H,8,FALSE)</f>
        <v>-1.43703</v>
      </c>
      <c r="H328" t="s">
        <v>1291</v>
      </c>
      <c r="I328">
        <f>VLOOKUP($H328,[3]Sheet2!$A:$H,8,FALSE)</f>
        <v>1.79308</v>
      </c>
    </row>
    <row r="329" spans="1:9" x14ac:dyDescent="0.2">
      <c r="A329" t="s">
        <v>657</v>
      </c>
      <c r="B329">
        <f>VLOOKUP($A329,[2]修饰!$A:$H,8,FALSE)</f>
        <v>-1.20835</v>
      </c>
      <c r="H329" t="s">
        <v>1625</v>
      </c>
      <c r="I329">
        <f>VLOOKUP($H329,[3]Sheet2!$A:$H,8,FALSE)</f>
        <v>1.09006</v>
      </c>
    </row>
    <row r="330" spans="1:9" x14ac:dyDescent="0.2">
      <c r="A330" t="s">
        <v>671</v>
      </c>
      <c r="B330">
        <f>VLOOKUP($A330,[2]修饰!$A:$H,8,FALSE)</f>
        <v>-1.36917</v>
      </c>
      <c r="H330" t="s">
        <v>1626</v>
      </c>
      <c r="I330">
        <f>VLOOKUP($H330,[3]Sheet2!$A:$H,8,FALSE)</f>
        <v>1.30888</v>
      </c>
    </row>
    <row r="331" spans="1:9" x14ac:dyDescent="0.2">
      <c r="A331" t="s">
        <v>674</v>
      </c>
      <c r="B331">
        <f>VLOOKUP($A331,[2]修饰!$A:$H,8,FALSE)</f>
        <v>-1.0123599999999999</v>
      </c>
      <c r="H331" t="s">
        <v>1627</v>
      </c>
      <c r="I331">
        <f>VLOOKUP($H331,[3]Sheet2!$A:$H,8,FALSE)</f>
        <v>1.2560500000000001</v>
      </c>
    </row>
    <row r="332" spans="1:9" x14ac:dyDescent="0.2">
      <c r="A332" t="s">
        <v>676</v>
      </c>
      <c r="B332">
        <f>VLOOKUP($A332,[2]修饰!$A:$H,8,FALSE)</f>
        <v>-1.5500799999999999</v>
      </c>
      <c r="H332" t="s">
        <v>1628</v>
      </c>
      <c r="I332">
        <f>VLOOKUP($H332,[3]Sheet2!$A:$H,8,FALSE)</f>
        <v>1.4559299999999999</v>
      </c>
    </row>
    <row r="333" spans="1:9" x14ac:dyDescent="0.2">
      <c r="A333" t="s">
        <v>677</v>
      </c>
      <c r="B333">
        <f>VLOOKUP($A333,[2]修饰!$A:$H,8,FALSE)</f>
        <v>1.5627200000000001</v>
      </c>
      <c r="H333" t="s">
        <v>1629</v>
      </c>
      <c r="I333">
        <f>VLOOKUP($H333,[3]Sheet2!$A:$H,8,FALSE)</f>
        <v>1.09754</v>
      </c>
    </row>
    <row r="334" spans="1:9" x14ac:dyDescent="0.2">
      <c r="A334" t="s">
        <v>680</v>
      </c>
      <c r="B334">
        <f>VLOOKUP($A334,[2]修饰!$A:$H,8,FALSE)</f>
        <v>-1.10514</v>
      </c>
      <c r="H334" t="s">
        <v>536</v>
      </c>
      <c r="I334">
        <f>VLOOKUP($H334,[3]Sheet2!$A:$H,8,FALSE)</f>
        <v>1.2106699999999999</v>
      </c>
    </row>
    <row r="335" spans="1:9" x14ac:dyDescent="0.2">
      <c r="A335" t="s">
        <v>682</v>
      </c>
      <c r="B335">
        <f>VLOOKUP($A335,[2]修饰!$A:$H,8,FALSE)</f>
        <v>-1.2855799999999999</v>
      </c>
      <c r="H335" t="s">
        <v>1630</v>
      </c>
      <c r="I335">
        <f>VLOOKUP($H335,[3]Sheet2!$A:$H,8,FALSE)</f>
        <v>1.1768799999999999</v>
      </c>
    </row>
    <row r="336" spans="1:9" x14ac:dyDescent="0.2">
      <c r="A336" t="s">
        <v>683</v>
      </c>
      <c r="B336">
        <f>VLOOKUP($A336,[2]修饰!$A:$H,8,FALSE)</f>
        <v>-1.25475</v>
      </c>
      <c r="H336" t="s">
        <v>537</v>
      </c>
      <c r="I336">
        <f>VLOOKUP($H336,[3]Sheet2!$A:$H,8,FALSE)</f>
        <v>1.1773400000000001</v>
      </c>
    </row>
    <row r="337" spans="1:9" x14ac:dyDescent="0.2">
      <c r="A337" t="s">
        <v>686</v>
      </c>
      <c r="B337">
        <f>VLOOKUP($A337,[2]修饰!$A:$H,8,FALSE)</f>
        <v>1.0028600000000001</v>
      </c>
      <c r="H337" t="s">
        <v>544</v>
      </c>
      <c r="I337">
        <f>VLOOKUP($H337,[3]Sheet2!$A:$H,8,FALSE)</f>
        <v>1.4618199999999999</v>
      </c>
    </row>
    <row r="338" spans="1:9" x14ac:dyDescent="0.2">
      <c r="A338" t="s">
        <v>687</v>
      </c>
      <c r="B338">
        <f>VLOOKUP($A338,[2]修饰!$A:$H,8,FALSE)</f>
        <v>-1.4870000000000001</v>
      </c>
      <c r="H338" t="s">
        <v>1631</v>
      </c>
      <c r="I338">
        <f>VLOOKUP($H338,[3]Sheet2!$A:$H,8,FALSE)</f>
        <v>-1.29223</v>
      </c>
    </row>
    <row r="339" spans="1:9" x14ac:dyDescent="0.2">
      <c r="A339" t="s">
        <v>688</v>
      </c>
      <c r="B339">
        <f>VLOOKUP($A339,[2]修饰!$A:$H,8,FALSE)</f>
        <v>-1.0370200000000001</v>
      </c>
      <c r="H339" t="s">
        <v>1632</v>
      </c>
      <c r="I339">
        <f>VLOOKUP($H339,[3]Sheet2!$A:$H,8,FALSE)</f>
        <v>-1.1183399999999999</v>
      </c>
    </row>
    <row r="340" spans="1:9" x14ac:dyDescent="0.2">
      <c r="A340" t="s">
        <v>689</v>
      </c>
      <c r="B340">
        <f>VLOOKUP($A340,[2]修饰!$A:$H,8,FALSE)</f>
        <v>-1.16493</v>
      </c>
      <c r="H340" t="s">
        <v>546</v>
      </c>
      <c r="I340">
        <f>VLOOKUP($H340,[3]Sheet2!$A:$H,8,FALSE)</f>
        <v>-1.02122</v>
      </c>
    </row>
    <row r="341" spans="1:9" x14ac:dyDescent="0.2">
      <c r="A341" t="s">
        <v>690</v>
      </c>
      <c r="B341">
        <f>VLOOKUP($A341,[2]修饰!$A:$H,8,FALSE)</f>
        <v>-1.17303</v>
      </c>
      <c r="H341" t="s">
        <v>1633</v>
      </c>
      <c r="I341">
        <f>VLOOKUP($H341,[3]Sheet2!$A:$H,8,FALSE)</f>
        <v>-1.1766099999999999</v>
      </c>
    </row>
    <row r="342" spans="1:9" x14ac:dyDescent="0.2">
      <c r="A342" t="s">
        <v>695</v>
      </c>
      <c r="B342">
        <f>VLOOKUP($A342,[2]修饰!$A:$H,8,FALSE)</f>
        <v>-1.4192800000000001</v>
      </c>
      <c r="H342" t="s">
        <v>1634</v>
      </c>
      <c r="I342">
        <f>VLOOKUP($H342,[3]Sheet2!$A:$H,8,FALSE)</f>
        <v>1.0697099999999999</v>
      </c>
    </row>
    <row r="343" spans="1:9" x14ac:dyDescent="0.2">
      <c r="A343" t="s">
        <v>700</v>
      </c>
      <c r="B343">
        <f>VLOOKUP($A343,[2]修饰!$A:$H,8,FALSE)</f>
        <v>1.35225</v>
      </c>
      <c r="H343" t="s">
        <v>547</v>
      </c>
      <c r="I343">
        <f>VLOOKUP($H343,[3]Sheet2!$A:$H,8,FALSE)</f>
        <v>-1.18045</v>
      </c>
    </row>
    <row r="344" spans="1:9" x14ac:dyDescent="0.2">
      <c r="A344" t="s">
        <v>701</v>
      </c>
      <c r="B344">
        <f>VLOOKUP($A344,[2]修饰!$A:$H,8,FALSE)</f>
        <v>-1.66048</v>
      </c>
      <c r="H344" t="s">
        <v>1298</v>
      </c>
      <c r="I344">
        <f>VLOOKUP($H344,[3]Sheet2!$A:$H,8,FALSE)</f>
        <v>1.60931</v>
      </c>
    </row>
    <row r="345" spans="1:9" x14ac:dyDescent="0.2">
      <c r="A345" t="s">
        <v>703</v>
      </c>
      <c r="B345">
        <f>VLOOKUP($A345,[2]修饰!$A:$H,8,FALSE)</f>
        <v>1.22763</v>
      </c>
      <c r="H345" t="s">
        <v>552</v>
      </c>
      <c r="I345">
        <f>VLOOKUP($H345,[3]Sheet2!$A:$H,8,FALSE)</f>
        <v>1.4378200000000001</v>
      </c>
    </row>
    <row r="346" spans="1:9" x14ac:dyDescent="0.2">
      <c r="A346" t="s">
        <v>705</v>
      </c>
      <c r="B346">
        <f>VLOOKUP($A346,[2]修饰!$A:$H,8,FALSE)</f>
        <v>-1.57298</v>
      </c>
      <c r="H346" t="s">
        <v>1635</v>
      </c>
      <c r="I346">
        <f>VLOOKUP($H346,[3]Sheet2!$A:$H,8,FALSE)</f>
        <v>-1.0331900000000001</v>
      </c>
    </row>
    <row r="347" spans="1:9" x14ac:dyDescent="0.2">
      <c r="A347" t="s">
        <v>706</v>
      </c>
      <c r="B347">
        <f>VLOOKUP($A347,[2]修饰!$A:$H,8,FALSE)</f>
        <v>-1.1402600000000001</v>
      </c>
      <c r="H347" t="s">
        <v>1636</v>
      </c>
      <c r="I347">
        <f>VLOOKUP($H347,[3]Sheet2!$A:$H,8,FALSE)</f>
        <v>-1.92438</v>
      </c>
    </row>
    <row r="348" spans="1:9" x14ac:dyDescent="0.2">
      <c r="A348" t="s">
        <v>707</v>
      </c>
      <c r="B348">
        <f>VLOOKUP($A348,[2]修饰!$A:$H,8,FALSE)</f>
        <v>-1.6118699999999999</v>
      </c>
      <c r="H348" t="s">
        <v>1299</v>
      </c>
      <c r="I348">
        <f>VLOOKUP($H348,[3]Sheet2!$A:$H,8,FALSE)</f>
        <v>-1.87991</v>
      </c>
    </row>
    <row r="349" spans="1:9" x14ac:dyDescent="0.2">
      <c r="A349" t="s">
        <v>709</v>
      </c>
      <c r="B349">
        <f>VLOOKUP($A349,[2]修饰!$A:$H,8,FALSE)</f>
        <v>-1.4321699999999999</v>
      </c>
      <c r="H349" t="s">
        <v>559</v>
      </c>
      <c r="I349">
        <f>VLOOKUP($H349,[3]Sheet2!$A:$H,8,FALSE)</f>
        <v>1.38832</v>
      </c>
    </row>
    <row r="350" spans="1:9" x14ac:dyDescent="0.2">
      <c r="A350" t="s">
        <v>710</v>
      </c>
      <c r="B350">
        <f>VLOOKUP($A350,[2]修饰!$A:$H,8,FALSE)</f>
        <v>1.1009100000000001</v>
      </c>
      <c r="H350" t="s">
        <v>1637</v>
      </c>
      <c r="I350">
        <f>VLOOKUP($H350,[3]Sheet2!$A:$H,8,FALSE)</f>
        <v>-1.03112</v>
      </c>
    </row>
    <row r="351" spans="1:9" x14ac:dyDescent="0.2">
      <c r="A351" t="s">
        <v>711</v>
      </c>
      <c r="B351">
        <f>VLOOKUP($A351,[2]修饰!$A:$H,8,FALSE)</f>
        <v>1.67113</v>
      </c>
      <c r="H351" t="s">
        <v>1300</v>
      </c>
      <c r="I351">
        <f>VLOOKUP($H351,[3]Sheet2!$A:$H,8,FALSE)</f>
        <v>-1.1389100000000001</v>
      </c>
    </row>
    <row r="352" spans="1:9" x14ac:dyDescent="0.2">
      <c r="A352" t="s">
        <v>712</v>
      </c>
      <c r="B352">
        <f>VLOOKUP($A352,[2]修饰!$A:$H,8,FALSE)</f>
        <v>-1.1930099999999999</v>
      </c>
      <c r="H352" t="s">
        <v>1638</v>
      </c>
      <c r="I352">
        <f>VLOOKUP($H352,[3]Sheet2!$A:$H,8,FALSE)</f>
        <v>-1.16415</v>
      </c>
    </row>
    <row r="353" spans="1:9" x14ac:dyDescent="0.2">
      <c r="A353" t="s">
        <v>713</v>
      </c>
      <c r="B353">
        <f>VLOOKUP($A353,[2]修饰!$A:$H,8,FALSE)</f>
        <v>-1.69764</v>
      </c>
      <c r="H353" t="s">
        <v>1301</v>
      </c>
      <c r="I353">
        <f>VLOOKUP($H353,[3]Sheet2!$A:$H,8,FALSE)</f>
        <v>-3.3753899999999999</v>
      </c>
    </row>
    <row r="354" spans="1:9" x14ac:dyDescent="0.2">
      <c r="A354" t="s">
        <v>715</v>
      </c>
      <c r="B354">
        <f>VLOOKUP($A354,[2]修饰!$A:$H,8,FALSE)</f>
        <v>-1.16883</v>
      </c>
      <c r="H354" t="s">
        <v>571</v>
      </c>
      <c r="I354">
        <f>VLOOKUP($H354,[3]Sheet2!$A:$H,8,FALSE)</f>
        <v>1.0130300000000001</v>
      </c>
    </row>
    <row r="355" spans="1:9" x14ac:dyDescent="0.2">
      <c r="A355" t="s">
        <v>718</v>
      </c>
      <c r="B355">
        <f>VLOOKUP($A355,[2]修饰!$A:$H,8,FALSE)</f>
        <v>-1.79155</v>
      </c>
      <c r="H355" t="s">
        <v>572</v>
      </c>
      <c r="I355">
        <f>VLOOKUP($H355,[3]Sheet2!$A:$H,8,FALSE)</f>
        <v>-1.32952</v>
      </c>
    </row>
    <row r="356" spans="1:9" x14ac:dyDescent="0.2">
      <c r="A356" t="s">
        <v>719</v>
      </c>
      <c r="B356">
        <f>VLOOKUP($A356,[2]修饰!$A:$H,8,FALSE)</f>
        <v>-1.01444</v>
      </c>
      <c r="H356" t="s">
        <v>574</v>
      </c>
      <c r="I356">
        <f>VLOOKUP($H356,[3]Sheet2!$A:$H,8,FALSE)</f>
        <v>1.56097</v>
      </c>
    </row>
    <row r="357" spans="1:9" x14ac:dyDescent="0.2">
      <c r="A357" t="s">
        <v>725</v>
      </c>
      <c r="B357">
        <f>VLOOKUP($A357,[2]修饰!$A:$H,8,FALSE)</f>
        <v>1.0094700000000001</v>
      </c>
      <c r="H357" t="s">
        <v>1639</v>
      </c>
      <c r="I357">
        <f>VLOOKUP($H357,[3]Sheet2!$A:$H,8,FALSE)</f>
        <v>1.2269000000000001</v>
      </c>
    </row>
    <row r="358" spans="1:9" x14ac:dyDescent="0.2">
      <c r="A358" t="s">
        <v>728</v>
      </c>
      <c r="B358">
        <f>VLOOKUP($A358,[2]修饰!$A:$H,8,FALSE)</f>
        <v>1.3909899999999999</v>
      </c>
      <c r="H358" t="s">
        <v>579</v>
      </c>
      <c r="I358">
        <f>VLOOKUP($H358,[3]Sheet2!$A:$H,8,FALSE)</f>
        <v>4.3421900000000004</v>
      </c>
    </row>
    <row r="359" spans="1:9" x14ac:dyDescent="0.2">
      <c r="A359" t="s">
        <v>729</v>
      </c>
      <c r="B359">
        <f>VLOOKUP($A359,[2]修饰!$A:$H,8,FALSE)</f>
        <v>1.33558</v>
      </c>
      <c r="H359" t="s">
        <v>1306</v>
      </c>
      <c r="I359">
        <f>VLOOKUP($H359,[3]Sheet2!$A:$H,8,FALSE)</f>
        <v>1.8791199999999999</v>
      </c>
    </row>
    <row r="360" spans="1:9" x14ac:dyDescent="0.2">
      <c r="A360" t="s">
        <v>730</v>
      </c>
      <c r="B360">
        <f>VLOOKUP($A360,[2]修饰!$A:$H,8,FALSE)</f>
        <v>-1.1420600000000001</v>
      </c>
      <c r="H360" t="s">
        <v>1307</v>
      </c>
      <c r="I360">
        <f>VLOOKUP($H360,[3]Sheet2!$A:$H,8,FALSE)</f>
        <v>2.9593799999999999</v>
      </c>
    </row>
    <row r="361" spans="1:9" x14ac:dyDescent="0.2">
      <c r="A361" t="s">
        <v>731</v>
      </c>
      <c r="B361">
        <f>VLOOKUP($A361,[2]修饰!$A:$H,8,FALSE)</f>
        <v>-1.92075</v>
      </c>
      <c r="H361" t="s">
        <v>1640</v>
      </c>
      <c r="I361">
        <f>VLOOKUP($H361,[3]Sheet2!$A:$H,8,FALSE)</f>
        <v>1.13097</v>
      </c>
    </row>
    <row r="362" spans="1:9" x14ac:dyDescent="0.2">
      <c r="A362" t="s">
        <v>736</v>
      </c>
      <c r="B362">
        <f>VLOOKUP($A362,[2]修饰!$A:$H,8,FALSE)</f>
        <v>1.4056299999999999</v>
      </c>
      <c r="H362" t="s">
        <v>587</v>
      </c>
      <c r="I362">
        <f>VLOOKUP($H362,[3]Sheet2!$A:$H,8,FALSE)</f>
        <v>-1.0194399999999999</v>
      </c>
    </row>
    <row r="363" spans="1:9" x14ac:dyDescent="0.2">
      <c r="A363" t="s">
        <v>737</v>
      </c>
      <c r="B363">
        <f>VLOOKUP($A363,[2]修饰!$A:$H,8,FALSE)</f>
        <v>1.31846</v>
      </c>
      <c r="H363" t="s">
        <v>1641</v>
      </c>
      <c r="I363">
        <f>VLOOKUP($H363,[3]Sheet2!$A:$H,8,FALSE)</f>
        <v>1.0232600000000001</v>
      </c>
    </row>
    <row r="364" spans="1:9" x14ac:dyDescent="0.2">
      <c r="A364" t="s">
        <v>739</v>
      </c>
      <c r="B364">
        <f>VLOOKUP($A364,[2]修饰!$A:$H,8,FALSE)</f>
        <v>1.41012</v>
      </c>
      <c r="H364" t="s">
        <v>1310</v>
      </c>
      <c r="I364">
        <f>VLOOKUP($H364,[3]Sheet2!$A:$H,8,FALSE)</f>
        <v>1.29864</v>
      </c>
    </row>
    <row r="365" spans="1:9" x14ac:dyDescent="0.2">
      <c r="A365" t="s">
        <v>740</v>
      </c>
      <c r="B365">
        <f>VLOOKUP($A365,[2]修饰!$A:$H,8,FALSE)</f>
        <v>1.0705899999999999</v>
      </c>
      <c r="H365" t="s">
        <v>1642</v>
      </c>
      <c r="I365">
        <f>VLOOKUP($H365,[3]Sheet2!$A:$H,8,FALSE)</f>
        <v>1.0356099999999999</v>
      </c>
    </row>
    <row r="366" spans="1:9" x14ac:dyDescent="0.2">
      <c r="A366" t="s">
        <v>743</v>
      </c>
      <c r="B366">
        <f>VLOOKUP($A366,[2]修饰!$A:$H,8,FALSE)</f>
        <v>-1.03288</v>
      </c>
      <c r="H366" t="s">
        <v>593</v>
      </c>
      <c r="I366">
        <f>VLOOKUP($H366,[3]Sheet2!$A:$H,8,FALSE)</f>
        <v>1.3027299999999999</v>
      </c>
    </row>
    <row r="367" spans="1:9" x14ac:dyDescent="0.2">
      <c r="A367" t="s">
        <v>744</v>
      </c>
      <c r="B367">
        <f>VLOOKUP($A367,[2]修饰!$A:$H,8,FALSE)</f>
        <v>-1.9426099999999999</v>
      </c>
      <c r="H367" t="s">
        <v>1643</v>
      </c>
      <c r="I367">
        <f>VLOOKUP($H367,[3]Sheet2!$A:$H,8,FALSE)</f>
        <v>1.2088300000000001</v>
      </c>
    </row>
    <row r="368" spans="1:9" x14ac:dyDescent="0.2">
      <c r="A368" t="s">
        <v>748</v>
      </c>
      <c r="B368">
        <f>VLOOKUP($A368,[2]修饰!$A:$H,8,FALSE)</f>
        <v>-1.6330100000000001</v>
      </c>
      <c r="H368" t="s">
        <v>1644</v>
      </c>
      <c r="I368">
        <f>VLOOKUP($H368,[3]Sheet2!$A:$H,8,FALSE)</f>
        <v>-1.1472599999999999</v>
      </c>
    </row>
    <row r="369" spans="1:9" x14ac:dyDescent="0.2">
      <c r="A369" t="s">
        <v>751</v>
      </c>
      <c r="B369">
        <f>VLOOKUP($A369,[2]修饰!$A:$H,8,FALSE)</f>
        <v>1.0447599999999999</v>
      </c>
      <c r="H369" t="s">
        <v>594</v>
      </c>
      <c r="I369">
        <f>VLOOKUP($H369,[3]Sheet2!$A:$H,8,FALSE)</f>
        <v>1.24152</v>
      </c>
    </row>
    <row r="370" spans="1:9" x14ac:dyDescent="0.2">
      <c r="A370" t="s">
        <v>752</v>
      </c>
      <c r="B370">
        <f>VLOOKUP($A370,[2]修饰!$A:$H,8,FALSE)</f>
        <v>1.4965200000000001</v>
      </c>
      <c r="H370" t="s">
        <v>1313</v>
      </c>
      <c r="I370">
        <f>VLOOKUP($H370,[3]Sheet2!$A:$H,8,FALSE)</f>
        <v>1.60982</v>
      </c>
    </row>
    <row r="371" spans="1:9" x14ac:dyDescent="0.2">
      <c r="A371" t="s">
        <v>754</v>
      </c>
      <c r="B371">
        <f>VLOOKUP($A371,[2]修饰!$A:$H,8,FALSE)</f>
        <v>-1.2029000000000001</v>
      </c>
      <c r="H371" t="s">
        <v>1645</v>
      </c>
      <c r="I371">
        <f>VLOOKUP($H371,[3]Sheet2!$A:$H,8,FALSE)</f>
        <v>1.05494</v>
      </c>
    </row>
    <row r="372" spans="1:9" x14ac:dyDescent="0.2">
      <c r="A372" t="s">
        <v>755</v>
      </c>
      <c r="B372">
        <f>VLOOKUP($A372,[2]修饰!$A:$H,8,FALSE)</f>
        <v>-1.0208999999999999</v>
      </c>
      <c r="H372" t="s">
        <v>598</v>
      </c>
      <c r="I372">
        <f>VLOOKUP($H372,[3]Sheet2!$A:$H,8,FALSE)</f>
        <v>1.341</v>
      </c>
    </row>
    <row r="373" spans="1:9" x14ac:dyDescent="0.2">
      <c r="A373" t="s">
        <v>758</v>
      </c>
      <c r="B373">
        <f>VLOOKUP($A373,[2]修饰!$A:$H,8,FALSE)</f>
        <v>1.80359</v>
      </c>
      <c r="H373" t="s">
        <v>1314</v>
      </c>
      <c r="I373">
        <f>VLOOKUP($H373,[3]Sheet2!$A:$H,8,FALSE)</f>
        <v>1.06681</v>
      </c>
    </row>
    <row r="374" spans="1:9" x14ac:dyDescent="0.2">
      <c r="A374" t="s">
        <v>759</v>
      </c>
      <c r="B374">
        <f>VLOOKUP($A374,[2]修饰!$A:$H,8,FALSE)</f>
        <v>-1.0950599999999999</v>
      </c>
      <c r="H374" t="s">
        <v>1646</v>
      </c>
      <c r="I374">
        <f>VLOOKUP($H374,[3]Sheet2!$A:$H,8,FALSE)</f>
        <v>-1.0217700000000001</v>
      </c>
    </row>
    <row r="375" spans="1:9" x14ac:dyDescent="0.2">
      <c r="A375" t="s">
        <v>760</v>
      </c>
      <c r="B375">
        <f>VLOOKUP($A375,[2]修饰!$A:$H,8,FALSE)</f>
        <v>-2.4077899999999999</v>
      </c>
      <c r="H375" t="s">
        <v>1647</v>
      </c>
      <c r="I375" t="str">
        <f>VLOOKUP($H375,[3]Sheet2!$A:$H,8,FALSE)</f>
        <v>inf</v>
      </c>
    </row>
    <row r="376" spans="1:9" x14ac:dyDescent="0.2">
      <c r="A376" t="s">
        <v>762</v>
      </c>
      <c r="B376">
        <f>VLOOKUP($A376,[2]修饰!$A:$H,8,FALSE)</f>
        <v>1.19459</v>
      </c>
      <c r="H376" t="s">
        <v>602</v>
      </c>
      <c r="I376">
        <f>VLOOKUP($H376,[3]Sheet2!$A:$H,8,FALSE)</f>
        <v>-1.11232</v>
      </c>
    </row>
    <row r="377" spans="1:9" x14ac:dyDescent="0.2">
      <c r="A377" t="s">
        <v>763</v>
      </c>
      <c r="B377">
        <f>VLOOKUP($A377,[2]修饰!$A:$H,8,FALSE)</f>
        <v>-2.3522699999999999</v>
      </c>
      <c r="H377" t="s">
        <v>1317</v>
      </c>
      <c r="I377">
        <f>VLOOKUP($H377,[3]Sheet2!$A:$H,8,FALSE)</f>
        <v>1.8275600000000001</v>
      </c>
    </row>
    <row r="378" spans="1:9" x14ac:dyDescent="0.2">
      <c r="A378" t="s">
        <v>764</v>
      </c>
      <c r="B378">
        <f>VLOOKUP($A378,[2]修饰!$A:$H,8,FALSE)</f>
        <v>-1.08961</v>
      </c>
      <c r="H378" t="s">
        <v>606</v>
      </c>
      <c r="I378">
        <f>VLOOKUP($H378,[3]Sheet2!$A:$H,8,FALSE)</f>
        <v>-1.0232699999999999</v>
      </c>
    </row>
    <row r="379" spans="1:9" x14ac:dyDescent="0.2">
      <c r="A379" t="s">
        <v>766</v>
      </c>
      <c r="B379">
        <f>VLOOKUP($A379,[2]修饰!$A:$H,8,FALSE)</f>
        <v>-1.14663</v>
      </c>
      <c r="H379" t="s">
        <v>1318</v>
      </c>
      <c r="I379">
        <f>VLOOKUP($H379,[3]Sheet2!$A:$H,8,FALSE)</f>
        <v>1.0371600000000001</v>
      </c>
    </row>
    <row r="380" spans="1:9" x14ac:dyDescent="0.2">
      <c r="A380" t="s">
        <v>769</v>
      </c>
      <c r="B380">
        <f>VLOOKUP($A380,[2]修饰!$A:$H,8,FALSE)</f>
        <v>-1.3978600000000001</v>
      </c>
      <c r="H380" t="s">
        <v>1649</v>
      </c>
      <c r="I380">
        <f>VLOOKUP($H380,[3]Sheet2!$A:$H,8,FALSE)</f>
        <v>-1.0375099999999999</v>
      </c>
    </row>
    <row r="381" spans="1:9" x14ac:dyDescent="0.2">
      <c r="A381" t="s">
        <v>771</v>
      </c>
      <c r="B381">
        <f>VLOOKUP($A381,[2]修饰!$A:$H,8,FALSE)</f>
        <v>1.14194</v>
      </c>
      <c r="H381" t="s">
        <v>1650</v>
      </c>
      <c r="I381">
        <f>VLOOKUP($H381,[3]Sheet2!$A:$H,8,FALSE)</f>
        <v>-1.7289099999999999</v>
      </c>
    </row>
    <row r="382" spans="1:9" x14ac:dyDescent="0.2">
      <c r="A382" t="s">
        <v>775</v>
      </c>
      <c r="B382">
        <f>VLOOKUP($A382,[2]修饰!$A:$H,8,FALSE)</f>
        <v>1.24624</v>
      </c>
      <c r="H382" t="s">
        <v>614</v>
      </c>
      <c r="I382">
        <f>VLOOKUP($H382,[3]Sheet2!$A:$H,8,FALSE)</f>
        <v>-1.2392099999999999</v>
      </c>
    </row>
    <row r="383" spans="1:9" x14ac:dyDescent="0.2">
      <c r="A383" t="s">
        <v>779</v>
      </c>
      <c r="B383">
        <f>VLOOKUP($A383,[2]修饰!$A:$H,8,FALSE)</f>
        <v>-1.01332</v>
      </c>
      <c r="H383" t="s">
        <v>615</v>
      </c>
      <c r="I383">
        <f>VLOOKUP($H383,[3]Sheet2!$A:$H,8,FALSE)</f>
        <v>-1.46502</v>
      </c>
    </row>
    <row r="384" spans="1:9" x14ac:dyDescent="0.2">
      <c r="A384" t="s">
        <v>781</v>
      </c>
      <c r="B384">
        <f>VLOOKUP($A384,[2]修饰!$A:$H,8,FALSE)</f>
        <v>-1.1522300000000001</v>
      </c>
      <c r="H384" t="s">
        <v>618</v>
      </c>
      <c r="I384">
        <f>VLOOKUP($H384,[3]Sheet2!$A:$H,8,FALSE)</f>
        <v>1.0510299999999999</v>
      </c>
    </row>
    <row r="385" spans="1:9" x14ac:dyDescent="0.2">
      <c r="A385" t="s">
        <v>784</v>
      </c>
      <c r="B385">
        <f>VLOOKUP($A385,[2]修饰!$A:$H,8,FALSE)</f>
        <v>-1.06762</v>
      </c>
      <c r="H385" t="s">
        <v>622</v>
      </c>
      <c r="I385">
        <f>VLOOKUP($H385,[3]Sheet2!$A:$H,8,FALSE)</f>
        <v>1.0506200000000001</v>
      </c>
    </row>
    <row r="386" spans="1:9" x14ac:dyDescent="0.2">
      <c r="A386" t="s">
        <v>785</v>
      </c>
      <c r="B386">
        <f>VLOOKUP($A386,[2]修饰!$A:$H,8,FALSE)</f>
        <v>1.30765</v>
      </c>
      <c r="H386" t="s">
        <v>624</v>
      </c>
      <c r="I386">
        <f>VLOOKUP($H386,[3]Sheet2!$A:$H,8,FALSE)</f>
        <v>1.2242599999999999</v>
      </c>
    </row>
    <row r="387" spans="1:9" x14ac:dyDescent="0.2">
      <c r="A387" t="s">
        <v>787</v>
      </c>
      <c r="B387">
        <f>VLOOKUP($A387,[2]修饰!$A:$H,8,FALSE)</f>
        <v>1.1752199999999999</v>
      </c>
      <c r="H387" t="s">
        <v>1651</v>
      </c>
      <c r="I387">
        <f>VLOOKUP($H387,[3]Sheet2!$A:$H,8,FALSE)</f>
        <v>2.2604000000000002</v>
      </c>
    </row>
    <row r="388" spans="1:9" x14ac:dyDescent="0.2">
      <c r="A388" t="s">
        <v>789</v>
      </c>
      <c r="B388">
        <f>VLOOKUP($A388,[2]修饰!$A:$H,8,FALSE)</f>
        <v>-1.798</v>
      </c>
      <c r="H388" t="s">
        <v>1652</v>
      </c>
      <c r="I388">
        <f>VLOOKUP($H388,[3]Sheet2!$A:$H,8,FALSE)</f>
        <v>-1.0456099999999999</v>
      </c>
    </row>
    <row r="389" spans="1:9" x14ac:dyDescent="0.2">
      <c r="A389" t="s">
        <v>791</v>
      </c>
      <c r="B389">
        <f>VLOOKUP($A389,[2]修饰!$A:$H,8,FALSE)</f>
        <v>1.1421399999999999</v>
      </c>
      <c r="H389" t="s">
        <v>1653</v>
      </c>
      <c r="I389">
        <f>VLOOKUP($H389,[3]Sheet2!$A:$H,8,FALSE)</f>
        <v>1.68977</v>
      </c>
    </row>
    <row r="390" spans="1:9" x14ac:dyDescent="0.2">
      <c r="A390" t="s">
        <v>795</v>
      </c>
      <c r="B390">
        <f>VLOOKUP($A390,[2]修饰!$A:$H,8,FALSE)</f>
        <v>-1.0054700000000001</v>
      </c>
      <c r="H390" t="s">
        <v>1654</v>
      </c>
      <c r="I390">
        <f>VLOOKUP($H390,[3]Sheet2!$A:$H,8,FALSE)</f>
        <v>-1.72485</v>
      </c>
    </row>
    <row r="391" spans="1:9" x14ac:dyDescent="0.2">
      <c r="A391" t="s">
        <v>796</v>
      </c>
      <c r="B391">
        <f>VLOOKUP($A391,[2]修饰!$A:$H,8,FALSE)</f>
        <v>-1.149</v>
      </c>
      <c r="H391" t="s">
        <v>1655</v>
      </c>
      <c r="I391">
        <f>VLOOKUP($H391,[3]Sheet2!$A:$H,8,FALSE)</f>
        <v>1.2318899999999999</v>
      </c>
    </row>
    <row r="392" spans="1:9" x14ac:dyDescent="0.2">
      <c r="A392" t="s">
        <v>798</v>
      </c>
      <c r="B392">
        <f>VLOOKUP($A392,[2]修饰!$A:$H,8,FALSE)</f>
        <v>-1.50963</v>
      </c>
      <c r="H392" t="s">
        <v>1656</v>
      </c>
      <c r="I392">
        <f>VLOOKUP($H392,[3]Sheet2!$A:$H,8,FALSE)</f>
        <v>1.3869499999999999</v>
      </c>
    </row>
    <row r="393" spans="1:9" x14ac:dyDescent="0.2">
      <c r="A393" t="s">
        <v>799</v>
      </c>
      <c r="B393">
        <f>VLOOKUP($A393,[2]修饰!$A:$H,8,FALSE)</f>
        <v>2.0307200000000001</v>
      </c>
      <c r="H393" t="s">
        <v>627</v>
      </c>
      <c r="I393">
        <f>VLOOKUP($H393,[3]Sheet2!$A:$H,8,FALSE)</f>
        <v>-1.1803699999999999</v>
      </c>
    </row>
    <row r="394" spans="1:9" x14ac:dyDescent="0.2">
      <c r="A394" t="s">
        <v>800</v>
      </c>
      <c r="B394">
        <f>VLOOKUP($A394,[2]修饰!$A:$H,8,FALSE)</f>
        <v>-1.03084</v>
      </c>
      <c r="H394" t="s">
        <v>1323</v>
      </c>
      <c r="I394">
        <f>VLOOKUP($H394,[3]Sheet2!$A:$H,8,FALSE)</f>
        <v>1.23203</v>
      </c>
    </row>
    <row r="395" spans="1:9" x14ac:dyDescent="0.2">
      <c r="A395" t="s">
        <v>801</v>
      </c>
      <c r="B395">
        <f>VLOOKUP($A395,[2]修饰!$A:$H,8,FALSE)</f>
        <v>-1.6502600000000001</v>
      </c>
      <c r="H395" t="s">
        <v>1657</v>
      </c>
      <c r="I395">
        <f>VLOOKUP($H395,[3]Sheet2!$A:$H,8,FALSE)</f>
        <v>1.67997</v>
      </c>
    </row>
    <row r="396" spans="1:9" x14ac:dyDescent="0.2">
      <c r="A396" t="s">
        <v>804</v>
      </c>
      <c r="B396">
        <f>VLOOKUP($A396,[2]修饰!$A:$H,8,FALSE)</f>
        <v>-1.1981299999999999</v>
      </c>
      <c r="H396" t="s">
        <v>1658</v>
      </c>
      <c r="I396">
        <f>VLOOKUP($H396,[3]Sheet2!$A:$H,8,FALSE)</f>
        <v>1.0170399999999999</v>
      </c>
    </row>
    <row r="397" spans="1:9" x14ac:dyDescent="0.2">
      <c r="A397" t="s">
        <v>805</v>
      </c>
      <c r="B397">
        <f>VLOOKUP($A397,[2]修饰!$A:$H,8,FALSE)</f>
        <v>1.1329800000000001</v>
      </c>
      <c r="H397" t="s">
        <v>632</v>
      </c>
      <c r="I397">
        <f>VLOOKUP($H397,[3]Sheet2!$A:$H,8,FALSE)</f>
        <v>1.26935</v>
      </c>
    </row>
    <row r="398" spans="1:9" x14ac:dyDescent="0.2">
      <c r="A398" t="s">
        <v>808</v>
      </c>
      <c r="B398">
        <f>VLOOKUP($A398,[2]修饰!$A:$H,8,FALSE)</f>
        <v>-1.0087600000000001</v>
      </c>
      <c r="H398" t="s">
        <v>1659</v>
      </c>
      <c r="I398">
        <f>VLOOKUP($H398,[3]Sheet2!$A:$H,8,FALSE)</f>
        <v>-1.26702</v>
      </c>
    </row>
    <row r="399" spans="1:9" x14ac:dyDescent="0.2">
      <c r="A399" t="s">
        <v>810</v>
      </c>
      <c r="B399">
        <f>VLOOKUP($A399,[2]修饰!$A:$H,8,FALSE)</f>
        <v>-1.1053999999999999</v>
      </c>
      <c r="H399" t="s">
        <v>1660</v>
      </c>
      <c r="I399">
        <f>VLOOKUP($H399,[3]Sheet2!$A:$H,8,FALSE)</f>
        <v>-1.0263</v>
      </c>
    </row>
    <row r="400" spans="1:9" x14ac:dyDescent="0.2">
      <c r="A400" t="s">
        <v>812</v>
      </c>
      <c r="B400">
        <f>VLOOKUP($A400,[2]修饰!$A:$H,8,FALSE)</f>
        <v>-1.04399</v>
      </c>
      <c r="H400" t="s">
        <v>1661</v>
      </c>
      <c r="I400">
        <f>VLOOKUP($H400,[3]Sheet2!$A:$H,8,FALSE)</f>
        <v>1.0463100000000001</v>
      </c>
    </row>
    <row r="401" spans="1:9" x14ac:dyDescent="0.2">
      <c r="A401" t="s">
        <v>813</v>
      </c>
      <c r="B401">
        <f>VLOOKUP($A401,[2]修饰!$A:$H,8,FALSE)</f>
        <v>1.2250399999999999</v>
      </c>
      <c r="H401" t="s">
        <v>635</v>
      </c>
      <c r="I401">
        <f>VLOOKUP($H401,[3]Sheet2!$A:$H,8,FALSE)</f>
        <v>-1.20764</v>
      </c>
    </row>
    <row r="402" spans="1:9" x14ac:dyDescent="0.2">
      <c r="A402" t="s">
        <v>814</v>
      </c>
      <c r="B402">
        <f>VLOOKUP($A402,[2]修饰!$A:$H,8,FALSE)</f>
        <v>1.0249200000000001</v>
      </c>
      <c r="H402" t="s">
        <v>1662</v>
      </c>
      <c r="I402">
        <f>VLOOKUP($H402,[3]Sheet2!$A:$H,8,FALSE)</f>
        <v>1.4359200000000001</v>
      </c>
    </row>
    <row r="403" spans="1:9" x14ac:dyDescent="0.2">
      <c r="A403" t="s">
        <v>815</v>
      </c>
      <c r="B403">
        <f>VLOOKUP($A403,[2]修饰!$A:$H,8,FALSE)</f>
        <v>2.1119400000000002</v>
      </c>
      <c r="H403" t="s">
        <v>1330</v>
      </c>
      <c r="I403">
        <f>VLOOKUP($H403,[3]Sheet2!$A:$H,8,FALSE)</f>
        <v>1.2770699999999999</v>
      </c>
    </row>
    <row r="404" spans="1:9" x14ac:dyDescent="0.2">
      <c r="A404" t="s">
        <v>818</v>
      </c>
      <c r="B404">
        <f>VLOOKUP($A404,[2]修饰!$A:$H,8,FALSE)</f>
        <v>1.0186599999999999</v>
      </c>
      <c r="H404" t="s">
        <v>1663</v>
      </c>
      <c r="I404">
        <f>VLOOKUP($H404,[3]Sheet2!$A:$H,8,FALSE)</f>
        <v>1.4859899999999999</v>
      </c>
    </row>
    <row r="405" spans="1:9" x14ac:dyDescent="0.2">
      <c r="A405" t="s">
        <v>820</v>
      </c>
      <c r="B405">
        <f>VLOOKUP($A405,[2]修饰!$A:$H,8,FALSE)</f>
        <v>-1.02891</v>
      </c>
      <c r="H405" t="s">
        <v>642</v>
      </c>
      <c r="I405">
        <f>VLOOKUP($H405,[3]Sheet2!$A:$H,8,FALSE)</f>
        <v>-1.0883400000000001</v>
      </c>
    </row>
    <row r="406" spans="1:9" x14ac:dyDescent="0.2">
      <c r="A406" t="s">
        <v>824</v>
      </c>
      <c r="B406">
        <f>VLOOKUP($A406,[2]修饰!$A:$H,8,FALSE)</f>
        <v>-2.3829600000000002</v>
      </c>
      <c r="H406" t="s">
        <v>1664</v>
      </c>
      <c r="I406">
        <f>VLOOKUP($H406,[3]Sheet2!$A:$H,8,FALSE)</f>
        <v>1.02911</v>
      </c>
    </row>
    <row r="407" spans="1:9" x14ac:dyDescent="0.2">
      <c r="A407" t="s">
        <v>826</v>
      </c>
      <c r="B407">
        <f>VLOOKUP($A407,[2]修饰!$A:$H,8,FALSE)</f>
        <v>-1.48254</v>
      </c>
      <c r="H407" t="s">
        <v>644</v>
      </c>
      <c r="I407">
        <f>VLOOKUP($H407,[3]Sheet2!$A:$H,8,FALSE)</f>
        <v>-1.3384199999999999</v>
      </c>
    </row>
    <row r="408" spans="1:9" x14ac:dyDescent="0.2">
      <c r="A408" t="s">
        <v>827</v>
      </c>
      <c r="B408">
        <f>VLOOKUP($A408,[2]修饰!$A:$H,8,FALSE)</f>
        <v>-1.4261699999999999</v>
      </c>
      <c r="H408" t="s">
        <v>1331</v>
      </c>
      <c r="I408">
        <f>VLOOKUP($H408,[3]Sheet2!$A:$H,8,FALSE)</f>
        <v>1.00254</v>
      </c>
    </row>
    <row r="409" spans="1:9" x14ac:dyDescent="0.2">
      <c r="A409" t="s">
        <v>828</v>
      </c>
      <c r="B409">
        <f>VLOOKUP($A409,[2]修饰!$A:$H,8,FALSE)</f>
        <v>-1.4073100000000001</v>
      </c>
      <c r="H409" t="s">
        <v>1666</v>
      </c>
      <c r="I409">
        <f>VLOOKUP($H409,[3]Sheet2!$A:$H,8,FALSE)</f>
        <v>2.29759</v>
      </c>
    </row>
    <row r="410" spans="1:9" x14ac:dyDescent="0.2">
      <c r="A410" t="s">
        <v>829</v>
      </c>
      <c r="B410">
        <f>VLOOKUP($A410,[2]修饰!$A:$H,8,FALSE)</f>
        <v>-1.4913000000000001</v>
      </c>
      <c r="H410" t="s">
        <v>1667</v>
      </c>
      <c r="I410">
        <f>VLOOKUP($H410,[3]Sheet2!$A:$H,8,FALSE)</f>
        <v>-1.3825099999999999</v>
      </c>
    </row>
    <row r="411" spans="1:9" x14ac:dyDescent="0.2">
      <c r="A411" t="s">
        <v>830</v>
      </c>
      <c r="B411">
        <f>VLOOKUP($A411,[2]修饰!$A:$H,8,FALSE)</f>
        <v>-1.8692899999999999</v>
      </c>
      <c r="H411" t="s">
        <v>653</v>
      </c>
      <c r="I411">
        <f>VLOOKUP($H411,[3]Sheet2!$A:$H,8,FALSE)</f>
        <v>-1.4409400000000001</v>
      </c>
    </row>
    <row r="412" spans="1:9" x14ac:dyDescent="0.2">
      <c r="A412" t="s">
        <v>833</v>
      </c>
      <c r="B412">
        <f>VLOOKUP($A412,[2]修饰!$A:$H,8,FALSE)</f>
        <v>1.02094</v>
      </c>
      <c r="H412" t="s">
        <v>1669</v>
      </c>
      <c r="I412">
        <f>VLOOKUP($H412,[3]Sheet2!$A:$H,8,FALSE)</f>
        <v>-1.09656</v>
      </c>
    </row>
    <row r="413" spans="1:9" x14ac:dyDescent="0.2">
      <c r="A413" t="s">
        <v>834</v>
      </c>
      <c r="B413">
        <f>VLOOKUP($A413,[2]修饰!$A:$H,8,FALSE)</f>
        <v>-2.4451999999999998</v>
      </c>
      <c r="H413" t="s">
        <v>1670</v>
      </c>
      <c r="I413">
        <f>VLOOKUP($H413,[3]Sheet2!$A:$H,8,FALSE)</f>
        <v>1.6110800000000001</v>
      </c>
    </row>
    <row r="414" spans="1:9" x14ac:dyDescent="0.2">
      <c r="A414" t="s">
        <v>835</v>
      </c>
      <c r="B414">
        <f>VLOOKUP($A414,[2]修饰!$A:$H,8,FALSE)</f>
        <v>-1.1708799999999999</v>
      </c>
      <c r="H414" t="s">
        <v>1671</v>
      </c>
      <c r="I414">
        <f>VLOOKUP($H414,[3]Sheet2!$A:$H,8,FALSE)</f>
        <v>-1.2605200000000001</v>
      </c>
    </row>
    <row r="415" spans="1:9" x14ac:dyDescent="0.2">
      <c r="A415" t="s">
        <v>836</v>
      </c>
      <c r="B415">
        <f>VLOOKUP($A415,[2]修饰!$A:$H,8,FALSE)</f>
        <v>-1.51556</v>
      </c>
      <c r="H415" t="s">
        <v>1672</v>
      </c>
      <c r="I415">
        <f>VLOOKUP($H415,[3]Sheet2!$A:$H,8,FALSE)</f>
        <v>1.2533799999999999</v>
      </c>
    </row>
    <row r="416" spans="1:9" x14ac:dyDescent="0.2">
      <c r="A416" t="s">
        <v>837</v>
      </c>
      <c r="B416">
        <f>VLOOKUP($A416,[2]修饰!$A:$H,8,FALSE)</f>
        <v>-1.25403</v>
      </c>
      <c r="H416" t="s">
        <v>659</v>
      </c>
      <c r="I416">
        <f>VLOOKUP($H416,[3]Sheet2!$A:$H,8,FALSE)</f>
        <v>1.21844</v>
      </c>
    </row>
    <row r="417" spans="1:9" x14ac:dyDescent="0.2">
      <c r="A417" t="s">
        <v>839</v>
      </c>
      <c r="B417">
        <f>VLOOKUP($A417,[2]修饰!$A:$H,8,FALSE)</f>
        <v>-1.03634</v>
      </c>
      <c r="H417" t="s">
        <v>661</v>
      </c>
      <c r="I417">
        <f>VLOOKUP($H417,[3]Sheet2!$A:$H,8,FALSE)</f>
        <v>2.35609</v>
      </c>
    </row>
    <row r="418" spans="1:9" x14ac:dyDescent="0.2">
      <c r="A418" t="s">
        <v>840</v>
      </c>
      <c r="B418">
        <f>VLOOKUP($A418,[2]修饰!$A:$H,8,FALSE)</f>
        <v>1.16736</v>
      </c>
      <c r="H418" t="s">
        <v>664</v>
      </c>
      <c r="I418">
        <f>VLOOKUP($H418,[3]Sheet2!$A:$H,8,FALSE)</f>
        <v>1.95947</v>
      </c>
    </row>
    <row r="419" spans="1:9" x14ac:dyDescent="0.2">
      <c r="A419" t="s">
        <v>841</v>
      </c>
      <c r="B419">
        <f>VLOOKUP($A419,[2]修饰!$A:$H,8,FALSE)</f>
        <v>-1.3635299999999999</v>
      </c>
      <c r="H419" t="s">
        <v>666</v>
      </c>
      <c r="I419">
        <f>VLOOKUP($H419,[3]Sheet2!$A:$H,8,FALSE)</f>
        <v>1.24498</v>
      </c>
    </row>
    <row r="420" spans="1:9" x14ac:dyDescent="0.2">
      <c r="A420" t="s">
        <v>843</v>
      </c>
      <c r="B420">
        <f>VLOOKUP($A420,[2]修饰!$A:$H,8,FALSE)</f>
        <v>-1.76824</v>
      </c>
      <c r="H420" t="s">
        <v>667</v>
      </c>
      <c r="I420">
        <f>VLOOKUP($H420,[3]Sheet2!$A:$H,8,FALSE)</f>
        <v>-1.05853</v>
      </c>
    </row>
    <row r="421" spans="1:9" x14ac:dyDescent="0.2">
      <c r="A421" t="s">
        <v>844</v>
      </c>
      <c r="B421">
        <f>VLOOKUP($A421,[2]修饰!$A:$H,8,FALSE)</f>
        <v>-1.3407899999999999</v>
      </c>
      <c r="H421" t="s">
        <v>668</v>
      </c>
      <c r="I421">
        <f>VLOOKUP($H421,[3]Sheet2!$A:$H,8,FALSE)</f>
        <v>1.02833</v>
      </c>
    </row>
    <row r="422" spans="1:9" x14ac:dyDescent="0.2">
      <c r="A422" t="s">
        <v>845</v>
      </c>
      <c r="B422">
        <f>VLOOKUP($A422,[2]修饰!$A:$H,8,FALSE)</f>
        <v>1.0152699999999999</v>
      </c>
      <c r="H422" t="s">
        <v>1673</v>
      </c>
      <c r="I422">
        <f>VLOOKUP($H422,[3]Sheet2!$A:$H,8,FALSE)</f>
        <v>-1.45862</v>
      </c>
    </row>
    <row r="423" spans="1:9" x14ac:dyDescent="0.2">
      <c r="A423" t="s">
        <v>846</v>
      </c>
      <c r="B423">
        <f>VLOOKUP($A423,[2]修饰!$A:$H,8,FALSE)</f>
        <v>-1.27156</v>
      </c>
      <c r="H423" t="s">
        <v>670</v>
      </c>
      <c r="I423">
        <f>VLOOKUP($H423,[3]Sheet2!$A:$H,8,FALSE)</f>
        <v>-1.5371300000000001</v>
      </c>
    </row>
    <row r="424" spans="1:9" x14ac:dyDescent="0.2">
      <c r="A424" t="s">
        <v>849</v>
      </c>
      <c r="B424">
        <f>VLOOKUP($A424,[2]修饰!$A:$H,8,FALSE)</f>
        <v>-1.49102</v>
      </c>
      <c r="H424" t="s">
        <v>672</v>
      </c>
      <c r="I424">
        <f>VLOOKUP($H424,[3]Sheet2!$A:$H,8,FALSE)</f>
        <v>1.00488</v>
      </c>
    </row>
    <row r="425" spans="1:9" x14ac:dyDescent="0.2">
      <c r="A425" t="s">
        <v>852</v>
      </c>
      <c r="B425">
        <f>VLOOKUP($A425,[2]修饰!$A:$H,8,FALSE)</f>
        <v>1.16638</v>
      </c>
      <c r="H425" t="s">
        <v>1342</v>
      </c>
      <c r="I425">
        <f>VLOOKUP($H425,[3]Sheet2!$A:$H,8,FALSE)</f>
        <v>1.11778</v>
      </c>
    </row>
    <row r="426" spans="1:9" x14ac:dyDescent="0.2">
      <c r="A426" t="s">
        <v>854</v>
      </c>
      <c r="B426">
        <f>VLOOKUP($A426,[2]修饰!$A:$H,8,FALSE)</f>
        <v>-1.95313</v>
      </c>
      <c r="H426" t="s">
        <v>678</v>
      </c>
      <c r="I426">
        <f>VLOOKUP($H426,[3]Sheet2!$A:$H,8,FALSE)</f>
        <v>-1.5816600000000001</v>
      </c>
    </row>
    <row r="427" spans="1:9" x14ac:dyDescent="0.2">
      <c r="A427" t="s">
        <v>855</v>
      </c>
      <c r="B427">
        <f>VLOOKUP($A427,[2]修饰!$A:$H,8,FALSE)</f>
        <v>1.17012</v>
      </c>
      <c r="H427" t="s">
        <v>679</v>
      </c>
      <c r="I427">
        <f>VLOOKUP($H427,[3]Sheet2!$A:$H,8,FALSE)</f>
        <v>-1.30088</v>
      </c>
    </row>
    <row r="428" spans="1:9" x14ac:dyDescent="0.2">
      <c r="A428" t="s">
        <v>857</v>
      </c>
      <c r="B428">
        <f>VLOOKUP($A428,[2]修饰!$A:$H,8,FALSE)</f>
        <v>3.03715</v>
      </c>
      <c r="H428" t="s">
        <v>1674</v>
      </c>
      <c r="I428">
        <f>VLOOKUP($H428,[3]Sheet2!$A:$H,8,FALSE)</f>
        <v>-1.0711200000000001</v>
      </c>
    </row>
    <row r="429" spans="1:9" x14ac:dyDescent="0.2">
      <c r="A429" t="s">
        <v>860</v>
      </c>
      <c r="B429">
        <f>VLOOKUP($A429,[2]修饰!$A:$H,8,FALSE)</f>
        <v>1.22478</v>
      </c>
      <c r="H429" t="s">
        <v>1345</v>
      </c>
      <c r="I429">
        <f>VLOOKUP($H429,[3]Sheet2!$A:$H,8,FALSE)</f>
        <v>2.01579</v>
      </c>
    </row>
    <row r="430" spans="1:9" x14ac:dyDescent="0.2">
      <c r="A430" t="s">
        <v>861</v>
      </c>
      <c r="B430">
        <f>VLOOKUP($A430,[2]修饰!$A:$H,8,FALSE)</f>
        <v>-1.39331</v>
      </c>
      <c r="H430" t="s">
        <v>1675</v>
      </c>
      <c r="I430">
        <f>VLOOKUP($H430,[3]Sheet2!$A:$H,8,FALSE)</f>
        <v>1.23726</v>
      </c>
    </row>
    <row r="431" spans="1:9" x14ac:dyDescent="0.2">
      <c r="A431" t="s">
        <v>863</v>
      </c>
      <c r="B431">
        <f>VLOOKUP($A431,[2]修饰!$A:$H,8,FALSE)</f>
        <v>-1.2174100000000001</v>
      </c>
      <c r="H431" t="s">
        <v>1347</v>
      </c>
      <c r="I431">
        <f>VLOOKUP($H431,[3]Sheet2!$A:$H,8,FALSE)</f>
        <v>1.2935000000000001</v>
      </c>
    </row>
    <row r="432" spans="1:9" x14ac:dyDescent="0.2">
      <c r="A432" t="s">
        <v>864</v>
      </c>
      <c r="B432">
        <f>VLOOKUP($A432,[2]修饰!$A:$H,8,FALSE)</f>
        <v>1.0407</v>
      </c>
      <c r="H432" t="s">
        <v>1348</v>
      </c>
      <c r="I432">
        <f>VLOOKUP($H432,[3]Sheet2!$A:$H,8,FALSE)</f>
        <v>1.2861100000000001</v>
      </c>
    </row>
    <row r="433" spans="1:9" x14ac:dyDescent="0.2">
      <c r="A433" t="s">
        <v>866</v>
      </c>
      <c r="B433">
        <f>VLOOKUP($A433,[2]修饰!$A:$H,8,FALSE)</f>
        <v>-1.5992</v>
      </c>
      <c r="H433" t="s">
        <v>1676</v>
      </c>
      <c r="I433">
        <f>VLOOKUP($H433,[3]Sheet2!$A:$H,8,FALSE)</f>
        <v>1.75919</v>
      </c>
    </row>
    <row r="434" spans="1:9" x14ac:dyDescent="0.2">
      <c r="A434" t="s">
        <v>868</v>
      </c>
      <c r="B434">
        <f>VLOOKUP($A434,[2]修饰!$A:$H,8,FALSE)</f>
        <v>1.2127699999999999</v>
      </c>
      <c r="H434" t="s">
        <v>1677</v>
      </c>
      <c r="I434">
        <f>VLOOKUP($H434,[3]Sheet2!$A:$H,8,FALSE)</f>
        <v>1.3413999999999999</v>
      </c>
    </row>
    <row r="435" spans="1:9" x14ac:dyDescent="0.2">
      <c r="A435" t="s">
        <v>869</v>
      </c>
      <c r="B435">
        <f>VLOOKUP($A435,[2]修饰!$A:$H,8,FALSE)</f>
        <v>1.0618799999999999</v>
      </c>
      <c r="H435" t="s">
        <v>1678</v>
      </c>
      <c r="I435">
        <f>VLOOKUP($H435,[3]Sheet2!$A:$H,8,FALSE)</f>
        <v>1.13811</v>
      </c>
    </row>
    <row r="436" spans="1:9" x14ac:dyDescent="0.2">
      <c r="A436" t="s">
        <v>871</v>
      </c>
      <c r="B436">
        <f>VLOOKUP($A436,[2]修饰!$A:$H,8,FALSE)</f>
        <v>-1.6632</v>
      </c>
      <c r="H436" t="s">
        <v>1679</v>
      </c>
      <c r="I436">
        <f>VLOOKUP($H436,[3]Sheet2!$A:$H,8,FALSE)</f>
        <v>1.3316300000000001</v>
      </c>
    </row>
    <row r="437" spans="1:9" x14ac:dyDescent="0.2">
      <c r="A437" t="s">
        <v>872</v>
      </c>
      <c r="B437">
        <f>VLOOKUP($A437,[2]修饰!$A:$H,8,FALSE)</f>
        <v>-1.1453800000000001</v>
      </c>
      <c r="H437" t="s">
        <v>1350</v>
      </c>
      <c r="I437">
        <f>VLOOKUP($H437,[3]Sheet2!$A:$H,8,FALSE)</f>
        <v>1.31812</v>
      </c>
    </row>
    <row r="438" spans="1:9" x14ac:dyDescent="0.2">
      <c r="A438" t="s">
        <v>873</v>
      </c>
      <c r="B438">
        <f>VLOOKUP($A438,[2]修饰!$A:$H,8,FALSE)</f>
        <v>-1.2730699999999999</v>
      </c>
      <c r="H438" t="s">
        <v>1680</v>
      </c>
      <c r="I438">
        <f>VLOOKUP($H438,[3]Sheet2!$A:$H,8,FALSE)</f>
        <v>1.26349</v>
      </c>
    </row>
    <row r="439" spans="1:9" x14ac:dyDescent="0.2">
      <c r="A439" t="s">
        <v>875</v>
      </c>
      <c r="B439">
        <f>VLOOKUP($A439,[2]修饰!$A:$H,8,FALSE)</f>
        <v>1.04514</v>
      </c>
      <c r="H439" t="s">
        <v>692</v>
      </c>
      <c r="I439">
        <f>VLOOKUP($H439,[3]Sheet2!$A:$H,8,FALSE)</f>
        <v>-1.26664</v>
      </c>
    </row>
    <row r="440" spans="1:9" x14ac:dyDescent="0.2">
      <c r="A440" t="s">
        <v>877</v>
      </c>
      <c r="B440">
        <f>VLOOKUP($A440,[2]修饰!$A:$H,8,FALSE)</f>
        <v>2.7115100000000001</v>
      </c>
      <c r="H440" t="s">
        <v>693</v>
      </c>
      <c r="I440">
        <f>VLOOKUP($H440,[3]Sheet2!$A:$H,8,FALSE)</f>
        <v>1.0527500000000001</v>
      </c>
    </row>
    <row r="441" spans="1:9" x14ac:dyDescent="0.2">
      <c r="A441" t="s">
        <v>878</v>
      </c>
      <c r="B441">
        <f>VLOOKUP($A441,[2]修饰!$A:$H,8,FALSE)</f>
        <v>-1.5878399999999999</v>
      </c>
      <c r="H441" t="s">
        <v>1681</v>
      </c>
      <c r="I441">
        <f>VLOOKUP($H441,[3]Sheet2!$A:$H,8,FALSE)</f>
        <v>1.8897200000000001</v>
      </c>
    </row>
    <row r="442" spans="1:9" x14ac:dyDescent="0.2">
      <c r="A442" t="s">
        <v>879</v>
      </c>
      <c r="B442">
        <f>VLOOKUP($A442,[2]修饰!$A:$H,8,FALSE)</f>
        <v>1.1231899999999999</v>
      </c>
      <c r="H442" t="s">
        <v>694</v>
      </c>
      <c r="I442">
        <f>VLOOKUP($H442,[3]Sheet2!$A:$H,8,FALSE)</f>
        <v>1.2343200000000001</v>
      </c>
    </row>
    <row r="443" spans="1:9" x14ac:dyDescent="0.2">
      <c r="A443" t="s">
        <v>882</v>
      </c>
      <c r="B443">
        <f>VLOOKUP($A443,[2]修饰!$A:$H,8,FALSE)</f>
        <v>-1.0572900000000001</v>
      </c>
      <c r="H443" t="s">
        <v>1682</v>
      </c>
      <c r="I443">
        <f>VLOOKUP($H443,[3]Sheet2!$A:$H,8,FALSE)</f>
        <v>-2.9171</v>
      </c>
    </row>
    <row r="444" spans="1:9" x14ac:dyDescent="0.2">
      <c r="A444" t="s">
        <v>883</v>
      </c>
      <c r="B444">
        <f>VLOOKUP($A444,[2]修饰!$A:$H,8,FALSE)</f>
        <v>-1.2794300000000001</v>
      </c>
      <c r="H444" t="s">
        <v>1683</v>
      </c>
      <c r="I444">
        <f>VLOOKUP($H444,[3]Sheet2!$A:$H,8,FALSE)</f>
        <v>1.1916800000000001</v>
      </c>
    </row>
    <row r="445" spans="1:9" x14ac:dyDescent="0.2">
      <c r="A445" t="s">
        <v>889</v>
      </c>
      <c r="B445">
        <f>VLOOKUP($A445,[2]修饰!$A:$H,8,FALSE)</f>
        <v>-1.7897799999999999</v>
      </c>
      <c r="H445" t="s">
        <v>1684</v>
      </c>
      <c r="I445">
        <f>VLOOKUP($H445,[3]Sheet2!$A:$H,8,FALSE)</f>
        <v>1.52715</v>
      </c>
    </row>
    <row r="446" spans="1:9" x14ac:dyDescent="0.2">
      <c r="A446" t="s">
        <v>892</v>
      </c>
      <c r="B446">
        <f>VLOOKUP($A446,[2]修饰!$A:$H,8,FALSE)</f>
        <v>-1.0212600000000001</v>
      </c>
      <c r="H446" t="s">
        <v>698</v>
      </c>
      <c r="I446">
        <f>VLOOKUP($H446,[3]Sheet2!$A:$H,8,FALSE)</f>
        <v>-1.5574699999999999</v>
      </c>
    </row>
    <row r="447" spans="1:9" x14ac:dyDescent="0.2">
      <c r="A447" t="s">
        <v>893</v>
      </c>
      <c r="B447">
        <f>VLOOKUP($A447,[2]修饰!$A:$H,8,FALSE)</f>
        <v>1.0413699999999999</v>
      </c>
      <c r="H447" t="s">
        <v>1351</v>
      </c>
      <c r="I447">
        <f>VLOOKUP($H447,[3]Sheet2!$A:$H,8,FALSE)</f>
        <v>2.5817399999999999</v>
      </c>
    </row>
    <row r="448" spans="1:9" x14ac:dyDescent="0.2">
      <c r="A448" t="s">
        <v>895</v>
      </c>
      <c r="B448">
        <f>VLOOKUP($A448,[2]修饰!$A:$H,8,FALSE)</f>
        <v>-1.05626</v>
      </c>
      <c r="H448" t="s">
        <v>702</v>
      </c>
      <c r="I448">
        <f>VLOOKUP($H448,[3]Sheet2!$A:$H,8,FALSE)</f>
        <v>1.6005499999999999</v>
      </c>
    </row>
    <row r="449" spans="1:9" x14ac:dyDescent="0.2">
      <c r="A449" t="s">
        <v>896</v>
      </c>
      <c r="B449">
        <f>VLOOKUP($A449,[2]修饰!$A:$H,8,FALSE)</f>
        <v>1.2059299999999999</v>
      </c>
      <c r="H449" t="s">
        <v>704</v>
      </c>
      <c r="I449">
        <f>VLOOKUP($H449,[3]Sheet2!$A:$H,8,FALSE)</f>
        <v>-1.2567299999999999</v>
      </c>
    </row>
    <row r="450" spans="1:9" x14ac:dyDescent="0.2">
      <c r="A450" t="s">
        <v>899</v>
      </c>
      <c r="B450">
        <f>VLOOKUP($A450,[2]修饰!$A:$H,8,FALSE)</f>
        <v>-1.1889400000000001</v>
      </c>
      <c r="H450" t="s">
        <v>1685</v>
      </c>
      <c r="I450">
        <f>VLOOKUP($H450,[3]Sheet2!$A:$H,8,FALSE)</f>
        <v>1.1665099999999999</v>
      </c>
    </row>
    <row r="451" spans="1:9" x14ac:dyDescent="0.2">
      <c r="A451" t="s">
        <v>900</v>
      </c>
      <c r="B451">
        <f>VLOOKUP($A451,[2]修饰!$A:$H,8,FALSE)</f>
        <v>-1.32822</v>
      </c>
      <c r="H451" t="s">
        <v>1686</v>
      </c>
      <c r="I451">
        <f>VLOOKUP($H451,[3]Sheet2!$A:$H,8,FALSE)</f>
        <v>-2.0089899999999998</v>
      </c>
    </row>
    <row r="452" spans="1:9" x14ac:dyDescent="0.2">
      <c r="A452" t="s">
        <v>902</v>
      </c>
      <c r="B452">
        <f>VLOOKUP($A452,[2]修饰!$A:$H,8,FALSE)</f>
        <v>1.72916</v>
      </c>
      <c r="H452" t="s">
        <v>708</v>
      </c>
      <c r="I452">
        <f>VLOOKUP($H452,[3]Sheet2!$A:$H,8,FALSE)</f>
        <v>1.0872299999999999</v>
      </c>
    </row>
    <row r="453" spans="1:9" x14ac:dyDescent="0.2">
      <c r="A453" t="s">
        <v>903</v>
      </c>
      <c r="B453">
        <f>VLOOKUP($A453,[2]修饰!$A:$H,8,FALSE)</f>
        <v>-1.19947</v>
      </c>
      <c r="H453" t="s">
        <v>1687</v>
      </c>
      <c r="I453">
        <f>VLOOKUP($H453,[3]Sheet2!$A:$H,8,FALSE)</f>
        <v>1.06511</v>
      </c>
    </row>
    <row r="454" spans="1:9" x14ac:dyDescent="0.2">
      <c r="A454" t="s">
        <v>904</v>
      </c>
      <c r="B454">
        <f>VLOOKUP($A454,[2]修饰!$A:$H,8,FALSE)</f>
        <v>-1.1209199999999999</v>
      </c>
      <c r="H454" t="s">
        <v>716</v>
      </c>
      <c r="I454">
        <f>VLOOKUP($H454,[3]Sheet2!$A:$H,8,FALSE)</f>
        <v>1.2663899999999999</v>
      </c>
    </row>
    <row r="455" spans="1:9" x14ac:dyDescent="0.2">
      <c r="A455" t="s">
        <v>906</v>
      </c>
      <c r="B455">
        <f>VLOOKUP($A455,[2]修饰!$A:$H,8,FALSE)</f>
        <v>1.31538</v>
      </c>
      <c r="H455" t="s">
        <v>1688</v>
      </c>
      <c r="I455">
        <f>VLOOKUP($H455,[3]Sheet2!$A:$H,8,FALSE)</f>
        <v>1.03972</v>
      </c>
    </row>
    <row r="456" spans="1:9" x14ac:dyDescent="0.2">
      <c r="A456" t="s">
        <v>907</v>
      </c>
      <c r="B456">
        <f>VLOOKUP($A456,[2]修饰!$A:$H,8,FALSE)</f>
        <v>-1.93144</v>
      </c>
      <c r="H456" t="s">
        <v>1689</v>
      </c>
      <c r="I456">
        <f>VLOOKUP($H456,[3]Sheet2!$A:$H,8,FALSE)</f>
        <v>1.4500299999999999</v>
      </c>
    </row>
    <row r="457" spans="1:9" x14ac:dyDescent="0.2">
      <c r="A457" t="s">
        <v>909</v>
      </c>
      <c r="B457">
        <f>VLOOKUP($A457,[2]修饰!$A:$H,8,FALSE)</f>
        <v>-1.7262</v>
      </c>
      <c r="H457" t="s">
        <v>1690</v>
      </c>
      <c r="I457">
        <f>VLOOKUP($H457,[3]Sheet2!$A:$H,8,FALSE)</f>
        <v>1.0256400000000001</v>
      </c>
    </row>
    <row r="458" spans="1:9" x14ac:dyDescent="0.2">
      <c r="A458" t="s">
        <v>910</v>
      </c>
      <c r="B458">
        <f>VLOOKUP($A458,[2]修饰!$A:$H,8,FALSE)</f>
        <v>-1.59981</v>
      </c>
      <c r="H458" t="s">
        <v>720</v>
      </c>
      <c r="I458">
        <f>VLOOKUP($H458,[3]Sheet2!$A:$H,8,FALSE)</f>
        <v>1.1349</v>
      </c>
    </row>
    <row r="459" spans="1:9" x14ac:dyDescent="0.2">
      <c r="A459" t="s">
        <v>913</v>
      </c>
      <c r="B459">
        <f>VLOOKUP($A459,[2]修饰!$A:$H,8,FALSE)</f>
        <v>-1.52599</v>
      </c>
      <c r="H459" t="s">
        <v>1362</v>
      </c>
      <c r="I459">
        <f>VLOOKUP($H459,[3]Sheet2!$A:$H,8,FALSE)</f>
        <v>3.4611700000000001</v>
      </c>
    </row>
    <row r="460" spans="1:9" x14ac:dyDescent="0.2">
      <c r="A460" t="s">
        <v>914</v>
      </c>
      <c r="B460">
        <f>VLOOKUP($A460,[2]修饰!$A:$H,8,FALSE)</f>
        <v>-1.7602</v>
      </c>
      <c r="H460" t="s">
        <v>722</v>
      </c>
      <c r="I460">
        <f>VLOOKUP($H460,[3]Sheet2!$A:$H,8,FALSE)</f>
        <v>1.1253899999999999</v>
      </c>
    </row>
    <row r="461" spans="1:9" x14ac:dyDescent="0.2">
      <c r="A461" t="s">
        <v>917</v>
      </c>
      <c r="B461">
        <f>VLOOKUP($A461,[2]修饰!$A:$H,8,FALSE)</f>
        <v>1.6711</v>
      </c>
      <c r="H461" t="s">
        <v>723</v>
      </c>
      <c r="I461">
        <f>VLOOKUP($H461,[3]Sheet2!$A:$H,8,FALSE)</f>
        <v>1.04244</v>
      </c>
    </row>
    <row r="462" spans="1:9" x14ac:dyDescent="0.2">
      <c r="A462" t="s">
        <v>918</v>
      </c>
      <c r="B462">
        <f>VLOOKUP($A462,[2]修饰!$A:$H,8,FALSE)</f>
        <v>-1.46645</v>
      </c>
      <c r="H462" t="s">
        <v>1363</v>
      </c>
      <c r="I462">
        <f>VLOOKUP($H462,[3]Sheet2!$A:$H,8,FALSE)</f>
        <v>1.3361400000000001</v>
      </c>
    </row>
    <row r="463" spans="1:9" x14ac:dyDescent="0.2">
      <c r="A463" t="s">
        <v>921</v>
      </c>
      <c r="B463">
        <f>VLOOKUP($A463,[2]修饰!$A:$H,8,FALSE)</f>
        <v>-1.32643</v>
      </c>
      <c r="H463" t="s">
        <v>1365</v>
      </c>
      <c r="I463">
        <f>VLOOKUP($H463,[3]Sheet2!$A:$H,8,FALSE)</f>
        <v>1.6135200000000001</v>
      </c>
    </row>
    <row r="464" spans="1:9" x14ac:dyDescent="0.2">
      <c r="A464" t="s">
        <v>922</v>
      </c>
      <c r="B464" t="str">
        <f>VLOOKUP($A464,[2]修饰!$A:$H,8,FALSE)</f>
        <v>BD</v>
      </c>
      <c r="H464" t="s">
        <v>727</v>
      </c>
      <c r="I464">
        <f>VLOOKUP($H464,[3]Sheet2!$A:$H,8,FALSE)</f>
        <v>-1.1990000000000001</v>
      </c>
    </row>
    <row r="465" spans="1:9" x14ac:dyDescent="0.2">
      <c r="A465" t="s">
        <v>924</v>
      </c>
      <c r="B465">
        <f>VLOOKUP($A465,[2]修饰!$A:$H,8,FALSE)</f>
        <v>3.47628</v>
      </c>
      <c r="H465" t="s">
        <v>1691</v>
      </c>
      <c r="I465">
        <f>VLOOKUP($H465,[3]Sheet2!$A:$H,8,FALSE)</f>
        <v>2.9712800000000001</v>
      </c>
    </row>
    <row r="466" spans="1:9" x14ac:dyDescent="0.2">
      <c r="A466" t="s">
        <v>925</v>
      </c>
      <c r="B466">
        <f>VLOOKUP($A466,[2]修饰!$A:$H,8,FALSE)</f>
        <v>1.2233400000000001</v>
      </c>
      <c r="H466" t="s">
        <v>1692</v>
      </c>
      <c r="I466">
        <f>VLOOKUP($H466,[3]Sheet2!$A:$H,8,FALSE)</f>
        <v>-1.01657</v>
      </c>
    </row>
    <row r="467" spans="1:9" x14ac:dyDescent="0.2">
      <c r="A467" t="s">
        <v>926</v>
      </c>
      <c r="B467">
        <f>VLOOKUP($A467,[2]修饰!$A:$H,8,FALSE)</f>
        <v>1.64533</v>
      </c>
      <c r="H467" t="s">
        <v>1693</v>
      </c>
      <c r="I467">
        <f>VLOOKUP($H467,[3]Sheet2!$A:$H,8,FALSE)</f>
        <v>-2.4675600000000002</v>
      </c>
    </row>
    <row r="468" spans="1:9" x14ac:dyDescent="0.2">
      <c r="A468" t="s">
        <v>927</v>
      </c>
      <c r="B468">
        <f>VLOOKUP($A468,[2]修饰!$A:$H,8,FALSE)</f>
        <v>1.0265299999999999</v>
      </c>
      <c r="H468" t="s">
        <v>732</v>
      </c>
      <c r="I468">
        <f>VLOOKUP($H468,[3]Sheet2!$A:$H,8,FALSE)</f>
        <v>-1.3070600000000001</v>
      </c>
    </row>
    <row r="469" spans="1:9" x14ac:dyDescent="0.2">
      <c r="A469" t="s">
        <v>928</v>
      </c>
      <c r="B469">
        <f>VLOOKUP($A469,[2]修饰!$A:$H,8,FALSE)</f>
        <v>-1.0562499999999999</v>
      </c>
      <c r="H469" t="s">
        <v>1694</v>
      </c>
      <c r="I469">
        <f>VLOOKUP($H469,[3]Sheet2!$A:$H,8,FALSE)</f>
        <v>-1.3625799999999999</v>
      </c>
    </row>
    <row r="470" spans="1:9" x14ac:dyDescent="0.2">
      <c r="A470" t="s">
        <v>929</v>
      </c>
      <c r="B470">
        <f>VLOOKUP($A470,[2]修饰!$A:$H,8,FALSE)</f>
        <v>-2.1177000000000001</v>
      </c>
      <c r="H470" t="s">
        <v>1695</v>
      </c>
      <c r="I470">
        <f>VLOOKUP($H470,[3]Sheet2!$A:$H,8,FALSE)</f>
        <v>1.5058800000000001</v>
      </c>
    </row>
    <row r="471" spans="1:9" x14ac:dyDescent="0.2">
      <c r="A471" t="s">
        <v>930</v>
      </c>
      <c r="B471">
        <f>VLOOKUP($A471,[2]修饰!$A:$H,8,FALSE)</f>
        <v>-2.6061899999999998</v>
      </c>
      <c r="H471" t="s">
        <v>734</v>
      </c>
      <c r="I471">
        <f>VLOOKUP($H471,[3]Sheet2!$A:$H,8,FALSE)</f>
        <v>-1.6043700000000001</v>
      </c>
    </row>
    <row r="472" spans="1:9" x14ac:dyDescent="0.2">
      <c r="A472" t="s">
        <v>931</v>
      </c>
      <c r="B472">
        <f>VLOOKUP($A472,[2]修饰!$A:$H,8,FALSE)</f>
        <v>-1.6931799999999999</v>
      </c>
      <c r="H472" t="s">
        <v>1373</v>
      </c>
      <c r="I472">
        <f>VLOOKUP($H472,[3]Sheet2!$A:$H,8,FALSE)</f>
        <v>1.2493700000000001</v>
      </c>
    </row>
    <row r="473" spans="1:9" x14ac:dyDescent="0.2">
      <c r="A473" t="s">
        <v>933</v>
      </c>
      <c r="B473" t="str">
        <f>VLOOKUP($A473,[2]修饰!$A:$H,8,FALSE)</f>
        <v>BD</v>
      </c>
      <c r="H473" t="s">
        <v>1374</v>
      </c>
      <c r="I473">
        <f>VLOOKUP($H473,[3]Sheet2!$A:$H,8,FALSE)</f>
        <v>1.4305000000000001</v>
      </c>
    </row>
    <row r="474" spans="1:9" x14ac:dyDescent="0.2">
      <c r="A474" t="s">
        <v>935</v>
      </c>
      <c r="B474">
        <f>VLOOKUP($A474,[2]修饰!$A:$H,8,FALSE)</f>
        <v>-1.01085</v>
      </c>
      <c r="H474" t="s">
        <v>1696</v>
      </c>
      <c r="I474">
        <f>VLOOKUP($H474,[3]Sheet2!$A:$H,8,FALSE)</f>
        <v>-1.36846</v>
      </c>
    </row>
    <row r="475" spans="1:9" x14ac:dyDescent="0.2">
      <c r="A475" t="s">
        <v>940</v>
      </c>
      <c r="B475">
        <f>VLOOKUP($A475,[2]修饰!$A:$H,8,FALSE)</f>
        <v>1.6513100000000001</v>
      </c>
      <c r="H475" t="s">
        <v>1697</v>
      </c>
      <c r="I475">
        <f>VLOOKUP($H475,[3]Sheet2!$A:$H,8,FALSE)</f>
        <v>-1.05125</v>
      </c>
    </row>
    <row r="476" spans="1:9" x14ac:dyDescent="0.2">
      <c r="A476" t="s">
        <v>941</v>
      </c>
      <c r="B476">
        <f>VLOOKUP($A476,[2]修饰!$A:$H,8,FALSE)</f>
        <v>1.5398400000000001</v>
      </c>
      <c r="H476" t="s">
        <v>741</v>
      </c>
      <c r="I476">
        <f>VLOOKUP($H476,[3]Sheet2!$A:$H,8,FALSE)</f>
        <v>-1.03166</v>
      </c>
    </row>
    <row r="477" spans="1:9" x14ac:dyDescent="0.2">
      <c r="A477" t="s">
        <v>942</v>
      </c>
      <c r="B477">
        <f>VLOOKUP($A477,[2]修饰!$A:$H,8,FALSE)</f>
        <v>-1.1202799999999999</v>
      </c>
      <c r="H477" t="s">
        <v>1376</v>
      </c>
      <c r="I477">
        <f>VLOOKUP($H477,[3]Sheet2!$A:$H,8,FALSE)</f>
        <v>-1.0101500000000001</v>
      </c>
    </row>
    <row r="478" spans="1:9" x14ac:dyDescent="0.2">
      <c r="A478" t="s">
        <v>943</v>
      </c>
      <c r="B478">
        <f>VLOOKUP($A478,[2]修饰!$A:$H,8,FALSE)</f>
        <v>-1.64307</v>
      </c>
      <c r="H478" t="s">
        <v>1698</v>
      </c>
      <c r="I478">
        <f>VLOOKUP($H478,[3]Sheet2!$A:$H,8,FALSE)</f>
        <v>1.03495</v>
      </c>
    </row>
    <row r="479" spans="1:9" x14ac:dyDescent="0.2">
      <c r="A479" t="s">
        <v>945</v>
      </c>
      <c r="B479">
        <f>VLOOKUP($A479,[2]修饰!$A:$H,8,FALSE)</f>
        <v>-1.0658700000000001</v>
      </c>
      <c r="H479" t="s">
        <v>745</v>
      </c>
      <c r="I479">
        <f>VLOOKUP($H479,[3]Sheet2!$A:$H,8,FALSE)</f>
        <v>-1.14652</v>
      </c>
    </row>
    <row r="480" spans="1:9" x14ac:dyDescent="0.2">
      <c r="A480" t="s">
        <v>946</v>
      </c>
      <c r="B480">
        <f>VLOOKUP($A480,[2]修饰!$A:$H,8,FALSE)</f>
        <v>-1.0769599999999999</v>
      </c>
      <c r="H480" t="s">
        <v>746</v>
      </c>
      <c r="I480">
        <f>VLOOKUP($H480,[3]Sheet2!$A:$H,8,FALSE)</f>
        <v>1.67462</v>
      </c>
    </row>
    <row r="481" spans="1:9" x14ac:dyDescent="0.2">
      <c r="A481" t="s">
        <v>948</v>
      </c>
      <c r="B481">
        <f>VLOOKUP($A481,[2]修饰!$A:$H,8,FALSE)</f>
        <v>-1.2628699999999999</v>
      </c>
      <c r="H481" t="s">
        <v>1699</v>
      </c>
      <c r="I481">
        <f>VLOOKUP($H481,[3]Sheet2!$A:$H,8,FALSE)</f>
        <v>-1.1745699999999999</v>
      </c>
    </row>
    <row r="482" spans="1:9" x14ac:dyDescent="0.2">
      <c r="A482" t="s">
        <v>950</v>
      </c>
      <c r="B482">
        <f>VLOOKUP($A482,[2]修饰!$A:$H,8,FALSE)</f>
        <v>1.34127</v>
      </c>
      <c r="H482" t="s">
        <v>1700</v>
      </c>
      <c r="I482">
        <f>VLOOKUP($H482,[3]Sheet2!$A:$H,8,FALSE)</f>
        <v>2.0104500000000001</v>
      </c>
    </row>
    <row r="483" spans="1:9" x14ac:dyDescent="0.2">
      <c r="A483" t="s">
        <v>951</v>
      </c>
      <c r="B483">
        <f>VLOOKUP($A483,[2]修饰!$A:$H,8,FALSE)</f>
        <v>1.1122300000000001</v>
      </c>
      <c r="H483" t="s">
        <v>1701</v>
      </c>
      <c r="I483">
        <f>VLOOKUP($H483,[3]Sheet2!$A:$H,8,FALSE)</f>
        <v>-1.18276</v>
      </c>
    </row>
    <row r="484" spans="1:9" x14ac:dyDescent="0.2">
      <c r="A484" t="s">
        <v>953</v>
      </c>
      <c r="B484">
        <f>VLOOKUP($A484,[2]修饰!$A:$H,8,FALSE)</f>
        <v>-1.6488100000000001</v>
      </c>
      <c r="H484" t="s">
        <v>1377</v>
      </c>
      <c r="I484">
        <f>VLOOKUP($H484,[3]Sheet2!$A:$H,8,FALSE)</f>
        <v>1.9897400000000001</v>
      </c>
    </row>
    <row r="485" spans="1:9" x14ac:dyDescent="0.2">
      <c r="A485" t="s">
        <v>954</v>
      </c>
      <c r="B485" t="str">
        <f>VLOOKUP($A485,[2]修饰!$A:$H,8,FALSE)</f>
        <v>BD</v>
      </c>
      <c r="H485" t="s">
        <v>1702</v>
      </c>
      <c r="I485">
        <f>VLOOKUP($H485,[3]Sheet2!$A:$H,8,FALSE)</f>
        <v>-1.52437</v>
      </c>
    </row>
    <row r="486" spans="1:9" x14ac:dyDescent="0.2">
      <c r="A486" t="s">
        <v>955</v>
      </c>
      <c r="B486" t="str">
        <f>VLOOKUP($A486,[2]修饰!$A:$H,8,FALSE)</f>
        <v>BD</v>
      </c>
      <c r="H486" t="s">
        <v>1379</v>
      </c>
      <c r="I486">
        <f>VLOOKUP($H486,[3]Sheet2!$A:$H,8,FALSE)</f>
        <v>1.17008</v>
      </c>
    </row>
    <row r="487" spans="1:9" x14ac:dyDescent="0.2">
      <c r="A487" t="s">
        <v>956</v>
      </c>
      <c r="B487">
        <f>VLOOKUP($A487,[2]修饰!$A:$H,8,FALSE)</f>
        <v>-1.1484799999999999</v>
      </c>
      <c r="H487" t="s">
        <v>1380</v>
      </c>
      <c r="I487">
        <f>VLOOKUP($H487,[3]Sheet2!$A:$H,8,FALSE)</f>
        <v>1.2449699999999999</v>
      </c>
    </row>
    <row r="488" spans="1:9" x14ac:dyDescent="0.2">
      <c r="A488" t="s">
        <v>957</v>
      </c>
      <c r="B488">
        <f>VLOOKUP($A488,[2]修饰!$A:$H,8,FALSE)</f>
        <v>-1.09294</v>
      </c>
      <c r="H488" t="s">
        <v>1381</v>
      </c>
      <c r="I488">
        <f>VLOOKUP($H488,[3]Sheet2!$A:$H,8,FALSE)</f>
        <v>1.40587</v>
      </c>
    </row>
    <row r="489" spans="1:9" x14ac:dyDescent="0.2">
      <c r="A489" t="s">
        <v>959</v>
      </c>
      <c r="B489">
        <f>VLOOKUP($A489,[2]修饰!$A:$H,8,FALSE)</f>
        <v>-1.36802</v>
      </c>
      <c r="H489" t="s">
        <v>1703</v>
      </c>
      <c r="I489">
        <f>VLOOKUP($H489,[3]Sheet2!$A:$H,8,FALSE)</f>
        <v>1.14788</v>
      </c>
    </row>
    <row r="490" spans="1:9" x14ac:dyDescent="0.2">
      <c r="A490" t="s">
        <v>961</v>
      </c>
      <c r="B490">
        <f>VLOOKUP($A490,[2]修饰!$A:$H,8,FALSE)</f>
        <v>-1.9486699999999999</v>
      </c>
      <c r="H490" t="s">
        <v>1704</v>
      </c>
      <c r="I490">
        <f>VLOOKUP($H490,[3]Sheet2!$A:$H,8,FALSE)</f>
        <v>1.0176799999999999</v>
      </c>
    </row>
    <row r="491" spans="1:9" x14ac:dyDescent="0.2">
      <c r="A491" t="s">
        <v>963</v>
      </c>
      <c r="B491">
        <f>VLOOKUP($A491,[2]修饰!$A:$H,8,FALSE)</f>
        <v>1.2501500000000001</v>
      </c>
      <c r="H491" t="s">
        <v>1705</v>
      </c>
      <c r="I491">
        <f>VLOOKUP($H491,[3]Sheet2!$A:$H,8,FALSE)</f>
        <v>1.0205500000000001</v>
      </c>
    </row>
    <row r="492" spans="1:9" x14ac:dyDescent="0.2">
      <c r="A492" t="s">
        <v>965</v>
      </c>
      <c r="B492">
        <f>VLOOKUP($A492,[2]修饰!$A:$H,8,FALSE)</f>
        <v>-1.07843</v>
      </c>
      <c r="H492" t="s">
        <v>1706</v>
      </c>
      <c r="I492">
        <f>VLOOKUP($H492,[3]Sheet2!$A:$H,8,FALSE)</f>
        <v>-1.4519899999999999</v>
      </c>
    </row>
    <row r="493" spans="1:9" x14ac:dyDescent="0.2">
      <c r="A493" t="s">
        <v>966</v>
      </c>
      <c r="B493" t="str">
        <f>VLOOKUP($A493,[2]修饰!$A:$H,8,FALSE)</f>
        <v>BD</v>
      </c>
      <c r="H493" t="s">
        <v>753</v>
      </c>
      <c r="I493">
        <f>VLOOKUP($H493,[3]Sheet2!$A:$H,8,FALSE)</f>
        <v>-1.4014200000000001</v>
      </c>
    </row>
    <row r="494" spans="1:9" x14ac:dyDescent="0.2">
      <c r="A494" t="s">
        <v>968</v>
      </c>
      <c r="B494">
        <f>VLOOKUP($A494,[2]修饰!$A:$H,8,FALSE)</f>
        <v>-1.2615000000000001</v>
      </c>
      <c r="H494" t="s">
        <v>1707</v>
      </c>
      <c r="I494">
        <f>VLOOKUP($H494,[3]Sheet2!$A:$H,8,FALSE)</f>
        <v>-1.1227100000000001</v>
      </c>
    </row>
    <row r="495" spans="1:9" x14ac:dyDescent="0.2">
      <c r="A495" t="s">
        <v>969</v>
      </c>
      <c r="B495">
        <f>VLOOKUP($A495,[2]修饰!$A:$H,8,FALSE)</f>
        <v>1.01657</v>
      </c>
      <c r="H495" t="s">
        <v>756</v>
      </c>
      <c r="I495">
        <f>VLOOKUP($H495,[3]Sheet2!$A:$H,8,FALSE)</f>
        <v>-1.39341</v>
      </c>
    </row>
    <row r="496" spans="1:9" x14ac:dyDescent="0.2">
      <c r="A496" t="s">
        <v>970</v>
      </c>
      <c r="B496">
        <f>VLOOKUP($A496,[2]修饰!$A:$H,8,FALSE)</f>
        <v>1.15473</v>
      </c>
      <c r="H496" t="s">
        <v>757</v>
      </c>
      <c r="I496">
        <f>VLOOKUP($H496,[3]Sheet2!$A:$H,8,FALSE)</f>
        <v>-1.3100700000000001</v>
      </c>
    </row>
    <row r="497" spans="1:9" x14ac:dyDescent="0.2">
      <c r="A497" t="s">
        <v>971</v>
      </c>
      <c r="B497">
        <f>VLOOKUP($A497,[2]修饰!$A:$H,8,FALSE)</f>
        <v>-1.0427200000000001</v>
      </c>
      <c r="H497" t="s">
        <v>1708</v>
      </c>
      <c r="I497">
        <f>VLOOKUP($H497,[3]Sheet2!$A:$H,8,FALSE)</f>
        <v>-1.0242100000000001</v>
      </c>
    </row>
    <row r="498" spans="1:9" x14ac:dyDescent="0.2">
      <c r="A498" t="s">
        <v>972</v>
      </c>
      <c r="B498">
        <f>VLOOKUP($A498,[2]修饰!$A:$H,8,FALSE)</f>
        <v>1.43648</v>
      </c>
      <c r="H498" t="s">
        <v>765</v>
      </c>
      <c r="I498">
        <f>VLOOKUP($H498,[3]Sheet2!$A:$H,8,FALSE)</f>
        <v>1.12642</v>
      </c>
    </row>
    <row r="499" spans="1:9" x14ac:dyDescent="0.2">
      <c r="A499" t="s">
        <v>973</v>
      </c>
      <c r="B499">
        <f>VLOOKUP($A499,[2]修饰!$A:$H,8,FALSE)</f>
        <v>-1.11496</v>
      </c>
      <c r="H499" t="s">
        <v>1384</v>
      </c>
      <c r="I499">
        <f>VLOOKUP($H499,[3]Sheet2!$A:$H,8,FALSE)</f>
        <v>1.1490499999999999</v>
      </c>
    </row>
    <row r="500" spans="1:9" x14ac:dyDescent="0.2">
      <c r="A500" t="s">
        <v>974</v>
      </c>
      <c r="B500">
        <f>VLOOKUP($A500,[2]修饰!$A:$H,8,FALSE)</f>
        <v>-1.0977699999999999</v>
      </c>
      <c r="H500" t="s">
        <v>1709</v>
      </c>
      <c r="I500">
        <f>VLOOKUP($H500,[3]Sheet2!$A:$H,8,FALSE)</f>
        <v>2.4834000000000001</v>
      </c>
    </row>
    <row r="501" spans="1:9" x14ac:dyDescent="0.2">
      <c r="A501" t="s">
        <v>975</v>
      </c>
      <c r="B501">
        <f>VLOOKUP($A501,[2]修饰!$A:$H,8,FALSE)</f>
        <v>-1.1052999999999999</v>
      </c>
      <c r="H501" t="s">
        <v>768</v>
      </c>
      <c r="I501">
        <f>VLOOKUP($H501,[3]Sheet2!$A:$H,8,FALSE)</f>
        <v>3.0949</v>
      </c>
    </row>
    <row r="502" spans="1:9" x14ac:dyDescent="0.2">
      <c r="A502" t="s">
        <v>977</v>
      </c>
      <c r="B502">
        <f>VLOOKUP($A502,[2]修饰!$A:$H,8,FALSE)</f>
        <v>-1.4030100000000001</v>
      </c>
      <c r="H502" t="s">
        <v>1710</v>
      </c>
      <c r="I502">
        <f>VLOOKUP($H502,[3]Sheet2!$A:$H,8,FALSE)</f>
        <v>-1.4</v>
      </c>
    </row>
    <row r="503" spans="1:9" x14ac:dyDescent="0.2">
      <c r="A503" t="s">
        <v>979</v>
      </c>
      <c r="B503">
        <f>VLOOKUP($A503,[2]修饰!$A:$H,8,FALSE)</f>
        <v>1.5501499999999999</v>
      </c>
      <c r="H503" t="s">
        <v>770</v>
      </c>
      <c r="I503">
        <f>VLOOKUP($H503,[3]Sheet2!$A:$H,8,FALSE)</f>
        <v>1.8331900000000001</v>
      </c>
    </row>
    <row r="504" spans="1:9" x14ac:dyDescent="0.2">
      <c r="A504" t="s">
        <v>980</v>
      </c>
      <c r="B504">
        <f>VLOOKUP($A504,[2]修饰!$A:$H,8,FALSE)</f>
        <v>1.43161</v>
      </c>
      <c r="H504" t="s">
        <v>1711</v>
      </c>
      <c r="I504">
        <f>VLOOKUP($H504,[3]Sheet2!$A:$H,8,FALSE)</f>
        <v>1.4818499999999999</v>
      </c>
    </row>
    <row r="505" spans="1:9" x14ac:dyDescent="0.2">
      <c r="A505" t="s">
        <v>983</v>
      </c>
      <c r="B505">
        <f>VLOOKUP($A505,[2]修饰!$A:$H,8,FALSE)</f>
        <v>1.1873</v>
      </c>
      <c r="H505" t="s">
        <v>1712</v>
      </c>
      <c r="I505">
        <f>VLOOKUP($H505,[3]Sheet2!$A:$H,8,FALSE)</f>
        <v>1.8253900000000001</v>
      </c>
    </row>
    <row r="506" spans="1:9" x14ac:dyDescent="0.2">
      <c r="A506" t="s">
        <v>984</v>
      </c>
      <c r="B506">
        <f>VLOOKUP($A506,[2]修饰!$A:$H,8,FALSE)</f>
        <v>1.40554</v>
      </c>
      <c r="H506" t="s">
        <v>772</v>
      </c>
      <c r="I506">
        <f>VLOOKUP($H506,[3]Sheet2!$A:$H,8,FALSE)</f>
        <v>-1.22461</v>
      </c>
    </row>
    <row r="507" spans="1:9" x14ac:dyDescent="0.2">
      <c r="A507" t="s">
        <v>985</v>
      </c>
      <c r="B507" t="str">
        <f>VLOOKUP($A507,[2]修饰!$A:$H,8,FALSE)</f>
        <v>BD</v>
      </c>
      <c r="H507" t="s">
        <v>774</v>
      </c>
      <c r="I507">
        <f>VLOOKUP($H507,[3]Sheet2!$A:$H,8,FALSE)</f>
        <v>1.08802</v>
      </c>
    </row>
    <row r="508" spans="1:9" x14ac:dyDescent="0.2">
      <c r="A508" t="s">
        <v>986</v>
      </c>
      <c r="B508">
        <f>VLOOKUP($A508,[2]修饰!$A:$H,8,FALSE)</f>
        <v>1.3119700000000001</v>
      </c>
      <c r="H508" t="s">
        <v>1713</v>
      </c>
      <c r="I508">
        <f>VLOOKUP($H508,[3]Sheet2!$A:$H,8,FALSE)</f>
        <v>1.23681</v>
      </c>
    </row>
    <row r="509" spans="1:9" x14ac:dyDescent="0.2">
      <c r="A509" t="s">
        <v>989</v>
      </c>
      <c r="B509">
        <f>VLOOKUP($A509,[2]修饰!$A:$H,8,FALSE)</f>
        <v>-1.3727400000000001</v>
      </c>
      <c r="H509" t="s">
        <v>776</v>
      </c>
      <c r="I509">
        <f>VLOOKUP($H509,[3]Sheet2!$A:$H,8,FALSE)</f>
        <v>1.2138199999999999</v>
      </c>
    </row>
    <row r="510" spans="1:9" x14ac:dyDescent="0.2">
      <c r="A510" t="s">
        <v>991</v>
      </c>
      <c r="B510">
        <f>VLOOKUP($A510,[2]修饰!$A:$H,8,FALSE)</f>
        <v>1.8239099999999999</v>
      </c>
      <c r="H510" t="s">
        <v>1385</v>
      </c>
      <c r="I510" t="str">
        <f>VLOOKUP($H510,[3]Sheet2!$A:$H,8,FALSE)</f>
        <v>inf</v>
      </c>
    </row>
    <row r="511" spans="1:9" x14ac:dyDescent="0.2">
      <c r="A511" t="s">
        <v>992</v>
      </c>
      <c r="B511" t="str">
        <f>VLOOKUP($A511,[2]修饰!$A:$H,8,FALSE)</f>
        <v>BD</v>
      </c>
      <c r="H511" t="s">
        <v>1386</v>
      </c>
      <c r="I511">
        <f>VLOOKUP($H511,[3]Sheet2!$A:$H,8,FALSE)</f>
        <v>1.35419</v>
      </c>
    </row>
    <row r="512" spans="1:9" x14ac:dyDescent="0.2">
      <c r="A512" t="s">
        <v>994</v>
      </c>
      <c r="B512">
        <f>VLOOKUP($A512,[2]修饰!$A:$H,8,FALSE)</f>
        <v>2.0247000000000002</v>
      </c>
      <c r="H512" t="s">
        <v>778</v>
      </c>
      <c r="I512">
        <f>VLOOKUP($H512,[3]Sheet2!$A:$H,8,FALSE)</f>
        <v>1.2711600000000001</v>
      </c>
    </row>
    <row r="513" spans="1:9" x14ac:dyDescent="0.2">
      <c r="A513" t="s">
        <v>995</v>
      </c>
      <c r="B513">
        <f>VLOOKUP($A513,[2]修饰!$A:$H,8,FALSE)</f>
        <v>-1.14984</v>
      </c>
      <c r="H513" t="s">
        <v>1714</v>
      </c>
      <c r="I513">
        <f>VLOOKUP($H513,[3]Sheet2!$A:$H,8,FALSE)</f>
        <v>1.50031</v>
      </c>
    </row>
    <row r="514" spans="1:9" x14ac:dyDescent="0.2">
      <c r="A514" t="s">
        <v>1002</v>
      </c>
      <c r="B514">
        <f>VLOOKUP($A514,[2]修饰!$A:$H,8,FALSE)</f>
        <v>-1.4377200000000001</v>
      </c>
      <c r="H514" t="s">
        <v>780</v>
      </c>
      <c r="I514">
        <f>VLOOKUP($H514,[3]Sheet2!$A:$H,8,FALSE)</f>
        <v>-1.09104</v>
      </c>
    </row>
    <row r="515" spans="1:9" x14ac:dyDescent="0.2">
      <c r="A515" t="s">
        <v>1003</v>
      </c>
      <c r="B515">
        <f>VLOOKUP($A515,[2]修饰!$A:$H,8,FALSE)</f>
        <v>1.22668</v>
      </c>
      <c r="H515" t="s">
        <v>1715</v>
      </c>
      <c r="I515" t="str">
        <f>VLOOKUP($H515,[3]Sheet2!$A:$H,8,FALSE)</f>
        <v>inf</v>
      </c>
    </row>
    <row r="516" spans="1:9" x14ac:dyDescent="0.2">
      <c r="A516" t="s">
        <v>1004</v>
      </c>
      <c r="B516">
        <f>VLOOKUP($A516,[2]修饰!$A:$H,8,FALSE)</f>
        <v>2.0083000000000002</v>
      </c>
      <c r="H516" t="s">
        <v>783</v>
      </c>
      <c r="I516">
        <f>VLOOKUP($H516,[3]Sheet2!$A:$H,8,FALSE)</f>
        <v>1.08362</v>
      </c>
    </row>
    <row r="517" spans="1:9" x14ac:dyDescent="0.2">
      <c r="A517" t="s">
        <v>1005</v>
      </c>
      <c r="B517">
        <f>VLOOKUP($A517,[2]修饰!$A:$H,8,FALSE)</f>
        <v>1.06684</v>
      </c>
      <c r="H517" t="s">
        <v>788</v>
      </c>
      <c r="I517">
        <f>VLOOKUP($H517,[3]Sheet2!$A:$H,8,FALSE)</f>
        <v>1.4257599999999999</v>
      </c>
    </row>
    <row r="518" spans="1:9" x14ac:dyDescent="0.2">
      <c r="A518" t="s">
        <v>1007</v>
      </c>
      <c r="B518" t="str">
        <f>VLOOKUP($A518,[2]修饰!$A:$H,8,FALSE)</f>
        <v>BD</v>
      </c>
      <c r="H518" t="s">
        <v>1716</v>
      </c>
      <c r="I518">
        <f>VLOOKUP($H518,[3]Sheet2!$A:$H,8,FALSE)</f>
        <v>-1.7717499999999999</v>
      </c>
    </row>
    <row r="519" spans="1:9" x14ac:dyDescent="0.2">
      <c r="A519" t="s">
        <v>1008</v>
      </c>
      <c r="B519">
        <f>VLOOKUP($A519,[2]修饰!$A:$H,8,FALSE)</f>
        <v>-1.3427899999999999</v>
      </c>
      <c r="H519" t="s">
        <v>1390</v>
      </c>
      <c r="I519">
        <f>VLOOKUP($H519,[3]Sheet2!$A:$H,8,FALSE)</f>
        <v>1.34928</v>
      </c>
    </row>
    <row r="520" spans="1:9" x14ac:dyDescent="0.2">
      <c r="A520" t="s">
        <v>1009</v>
      </c>
      <c r="B520">
        <f>VLOOKUP($A520,[2]修饰!$A:$H,8,FALSE)</f>
        <v>1.14079</v>
      </c>
      <c r="H520" t="s">
        <v>1717</v>
      </c>
      <c r="I520">
        <f>VLOOKUP($H520,[3]Sheet2!$A:$H,8,FALSE)</f>
        <v>1.1785099999999999</v>
      </c>
    </row>
    <row r="521" spans="1:9" x14ac:dyDescent="0.2">
      <c r="A521" t="s">
        <v>1010</v>
      </c>
      <c r="B521">
        <f>VLOOKUP($A521,[2]修饰!$A:$H,8,FALSE)</f>
        <v>-1.58439</v>
      </c>
      <c r="H521" t="s">
        <v>1718</v>
      </c>
      <c r="I521">
        <f>VLOOKUP($H521,[3]Sheet2!$A:$H,8,FALSE)</f>
        <v>-1.1656899999999999</v>
      </c>
    </row>
    <row r="522" spans="1:9" x14ac:dyDescent="0.2">
      <c r="A522" t="s">
        <v>1011</v>
      </c>
      <c r="B522">
        <f>VLOOKUP($A522,[2]修饰!$A:$H,8,FALSE)</f>
        <v>1.0883</v>
      </c>
      <c r="H522" t="s">
        <v>792</v>
      </c>
      <c r="I522">
        <f>VLOOKUP($H522,[3]Sheet2!$A:$H,8,FALSE)</f>
        <v>2.27122</v>
      </c>
    </row>
    <row r="523" spans="1:9" x14ac:dyDescent="0.2">
      <c r="A523" t="s">
        <v>1013</v>
      </c>
      <c r="B523">
        <f>VLOOKUP($A523,[2]修饰!$A:$H,8,FALSE)</f>
        <v>1.6073</v>
      </c>
      <c r="H523" t="s">
        <v>793</v>
      </c>
      <c r="I523">
        <f>VLOOKUP($H523,[3]Sheet2!$A:$H,8,FALSE)</f>
        <v>-1.12768</v>
      </c>
    </row>
    <row r="524" spans="1:9" x14ac:dyDescent="0.2">
      <c r="A524" t="s">
        <v>1014</v>
      </c>
      <c r="B524">
        <f>VLOOKUP($A524,[2]修饰!$A:$H,8,FALSE)</f>
        <v>1.0504800000000001</v>
      </c>
      <c r="H524" t="s">
        <v>794</v>
      </c>
      <c r="I524">
        <f>VLOOKUP($H524,[3]Sheet2!$A:$H,8,FALSE)</f>
        <v>-1.0948100000000001</v>
      </c>
    </row>
    <row r="525" spans="1:9" x14ac:dyDescent="0.2">
      <c r="A525" t="s">
        <v>1015</v>
      </c>
      <c r="B525">
        <f>VLOOKUP($A525,[2]修饰!$A:$H,8,FALSE)</f>
        <v>1.19689</v>
      </c>
      <c r="H525" t="s">
        <v>1394</v>
      </c>
      <c r="I525">
        <f>VLOOKUP($H525,[3]Sheet2!$A:$H,8,FALSE)</f>
        <v>1.23909</v>
      </c>
    </row>
    <row r="526" spans="1:9" x14ac:dyDescent="0.2">
      <c r="A526" t="s">
        <v>1016</v>
      </c>
      <c r="B526">
        <f>VLOOKUP($A526,[2]修饰!$A:$H,8,FALSE)</f>
        <v>-1.76129</v>
      </c>
      <c r="H526" t="s">
        <v>1395</v>
      </c>
      <c r="I526">
        <f>VLOOKUP($H526,[3]Sheet2!$A:$H,8,FALSE)</f>
        <v>-1.1597999999999999</v>
      </c>
    </row>
    <row r="527" spans="1:9" x14ac:dyDescent="0.2">
      <c r="A527" t="s">
        <v>1017</v>
      </c>
      <c r="B527">
        <f>VLOOKUP($A527,[2]修饰!$A:$H,8,FALSE)</f>
        <v>-1.9333800000000001</v>
      </c>
      <c r="H527" t="s">
        <v>1719</v>
      </c>
      <c r="I527">
        <f>VLOOKUP($H527,[3]Sheet2!$A:$H,8,FALSE)</f>
        <v>1.38412</v>
      </c>
    </row>
    <row r="528" spans="1:9" x14ac:dyDescent="0.2">
      <c r="A528" t="s">
        <v>1018</v>
      </c>
      <c r="B528">
        <f>VLOOKUP($A528,[2]修饰!$A:$H,8,FALSE)</f>
        <v>-1.02206</v>
      </c>
      <c r="H528" t="s">
        <v>1397</v>
      </c>
      <c r="I528">
        <f>VLOOKUP($H528,[3]Sheet2!$A:$H,8,FALSE)</f>
        <v>1.01746</v>
      </c>
    </row>
    <row r="529" spans="1:9" x14ac:dyDescent="0.2">
      <c r="A529" t="s">
        <v>1019</v>
      </c>
      <c r="B529">
        <f>VLOOKUP($A529,[2]修饰!$A:$H,8,FALSE)</f>
        <v>-1.54054</v>
      </c>
      <c r="H529" t="s">
        <v>1720</v>
      </c>
      <c r="I529">
        <f>VLOOKUP($H529,[3]Sheet2!$A:$H,8,FALSE)</f>
        <v>1.3326100000000001</v>
      </c>
    </row>
    <row r="530" spans="1:9" x14ac:dyDescent="0.2">
      <c r="A530" t="s">
        <v>1021</v>
      </c>
      <c r="B530">
        <f>VLOOKUP($A530,[2]修饰!$A:$H,8,FALSE)</f>
        <v>-1.4317800000000001</v>
      </c>
      <c r="H530" t="s">
        <v>1721</v>
      </c>
      <c r="I530">
        <f>VLOOKUP($H530,[3]Sheet2!$A:$H,8,FALSE)</f>
        <v>1.05724</v>
      </c>
    </row>
    <row r="531" spans="1:9" x14ac:dyDescent="0.2">
      <c r="A531" t="s">
        <v>1022</v>
      </c>
      <c r="B531">
        <f>VLOOKUP($A531,[2]修饰!$A:$H,8,FALSE)</f>
        <v>-2.1299000000000001</v>
      </c>
      <c r="H531" t="s">
        <v>811</v>
      </c>
      <c r="I531">
        <f>VLOOKUP($H531,[3]Sheet2!$A:$H,8,FALSE)</f>
        <v>2.65394</v>
      </c>
    </row>
    <row r="532" spans="1:9" x14ac:dyDescent="0.2">
      <c r="A532" t="s">
        <v>1024</v>
      </c>
      <c r="B532">
        <f>VLOOKUP($A532,[2]修饰!$A:$H,8,FALSE)</f>
        <v>-1.24448</v>
      </c>
      <c r="H532" t="s">
        <v>1722</v>
      </c>
      <c r="I532">
        <f>VLOOKUP($H532,[3]Sheet2!$A:$H,8,FALSE)</f>
        <v>1.74674</v>
      </c>
    </row>
    <row r="533" spans="1:9" x14ac:dyDescent="0.2">
      <c r="A533" t="s">
        <v>1025</v>
      </c>
      <c r="B533">
        <f>VLOOKUP($A533,[2]修饰!$A:$H,8,FALSE)</f>
        <v>-1.91476</v>
      </c>
      <c r="H533" t="s">
        <v>1723</v>
      </c>
      <c r="I533">
        <f>VLOOKUP($H533,[3]Sheet2!$A:$H,8,FALSE)</f>
        <v>1.8423499999999999</v>
      </c>
    </row>
    <row r="534" spans="1:9" x14ac:dyDescent="0.2">
      <c r="A534" t="s">
        <v>1027</v>
      </c>
      <c r="B534">
        <f>VLOOKUP($A534,[2]修饰!$A:$H,8,FALSE)</f>
        <v>-1.1940200000000001</v>
      </c>
      <c r="H534" t="s">
        <v>817</v>
      </c>
      <c r="I534">
        <f>VLOOKUP($H534,[3]Sheet2!$A:$H,8,FALSE)</f>
        <v>1.4459200000000001</v>
      </c>
    </row>
    <row r="535" spans="1:9" x14ac:dyDescent="0.2">
      <c r="A535" t="s">
        <v>1030</v>
      </c>
      <c r="B535">
        <f>VLOOKUP($A535,[2]修饰!$A:$H,8,FALSE)</f>
        <v>-1.62018</v>
      </c>
      <c r="H535" t="s">
        <v>1724</v>
      </c>
      <c r="I535">
        <f>VLOOKUP($H535,[3]Sheet2!$A:$H,8,FALSE)</f>
        <v>-1.34169</v>
      </c>
    </row>
    <row r="536" spans="1:9" x14ac:dyDescent="0.2">
      <c r="A536" t="s">
        <v>1031</v>
      </c>
      <c r="B536">
        <f>VLOOKUP($A536,[2]修饰!$A:$H,8,FALSE)</f>
        <v>2.3722599999999998</v>
      </c>
      <c r="H536" t="s">
        <v>825</v>
      </c>
      <c r="I536">
        <f>VLOOKUP($H536,[3]Sheet2!$A:$H,8,FALSE)</f>
        <v>3.8425600000000002</v>
      </c>
    </row>
    <row r="537" spans="1:9" x14ac:dyDescent="0.2">
      <c r="A537" t="s">
        <v>1033</v>
      </c>
      <c r="B537">
        <f>VLOOKUP($A537,[2]修饰!$A:$H,8,FALSE)</f>
        <v>-1.7470300000000001</v>
      </c>
      <c r="H537" t="s">
        <v>1725</v>
      </c>
      <c r="I537">
        <f>VLOOKUP($H537,[3]Sheet2!$A:$H,8,FALSE)</f>
        <v>1.28247</v>
      </c>
    </row>
    <row r="538" spans="1:9" x14ac:dyDescent="0.2">
      <c r="A538" t="s">
        <v>1036</v>
      </c>
      <c r="B538">
        <f>VLOOKUP($A538,[2]修饰!$A:$H,8,FALSE)</f>
        <v>-1.96299</v>
      </c>
      <c r="H538" t="s">
        <v>1726</v>
      </c>
      <c r="I538">
        <f>VLOOKUP($H538,[3]Sheet2!$A:$H,8,FALSE)</f>
        <v>-1.2116199999999999</v>
      </c>
    </row>
    <row r="539" spans="1:9" x14ac:dyDescent="0.2">
      <c r="A539" t="s">
        <v>1038</v>
      </c>
      <c r="B539">
        <f>VLOOKUP($A539,[2]修饰!$A:$H,8,FALSE)</f>
        <v>1.19445</v>
      </c>
      <c r="H539" t="s">
        <v>1402</v>
      </c>
      <c r="I539">
        <f>VLOOKUP($H539,[3]Sheet2!$A:$H,8,FALSE)</f>
        <v>1.5705</v>
      </c>
    </row>
    <row r="540" spans="1:9" x14ac:dyDescent="0.2">
      <c r="A540" t="s">
        <v>1041</v>
      </c>
      <c r="B540">
        <f>VLOOKUP($A540,[2]修饰!$A:$H,8,FALSE)</f>
        <v>1.3017700000000001</v>
      </c>
      <c r="H540" t="s">
        <v>831</v>
      </c>
      <c r="I540">
        <f>VLOOKUP($H540,[3]Sheet2!$A:$H,8,FALSE)</f>
        <v>-1.34293</v>
      </c>
    </row>
    <row r="541" spans="1:9" x14ac:dyDescent="0.2">
      <c r="A541" t="s">
        <v>1043</v>
      </c>
      <c r="B541">
        <f>VLOOKUP($A541,[2]修饰!$A:$H,8,FALSE)</f>
        <v>1.4464699999999999</v>
      </c>
      <c r="H541" t="s">
        <v>832</v>
      </c>
      <c r="I541">
        <f>VLOOKUP($H541,[3]Sheet2!$A:$H,8,FALSE)</f>
        <v>-1.1429</v>
      </c>
    </row>
    <row r="542" spans="1:9" x14ac:dyDescent="0.2">
      <c r="A542" t="s">
        <v>1044</v>
      </c>
      <c r="B542">
        <f>VLOOKUP($A542,[2]修饰!$A:$H,8,FALSE)</f>
        <v>-1.1385799999999999</v>
      </c>
      <c r="H542" t="s">
        <v>1404</v>
      </c>
      <c r="I542">
        <f>VLOOKUP($H542,[3]Sheet2!$A:$H,8,FALSE)</f>
        <v>1.8756699999999999</v>
      </c>
    </row>
    <row r="543" spans="1:9" x14ac:dyDescent="0.2">
      <c r="A543" t="s">
        <v>1045</v>
      </c>
      <c r="B543">
        <f>VLOOKUP($A543,[2]修饰!$A:$H,8,FALSE)</f>
        <v>-1.2825599999999999</v>
      </c>
      <c r="H543" t="s">
        <v>1727</v>
      </c>
      <c r="I543">
        <f>VLOOKUP($H543,[3]Sheet2!$A:$H,8,FALSE)</f>
        <v>1.33606</v>
      </c>
    </row>
    <row r="544" spans="1:9" x14ac:dyDescent="0.2">
      <c r="A544" t="s">
        <v>1046</v>
      </c>
      <c r="B544">
        <f>VLOOKUP($A544,[2]修饰!$A:$H,8,FALSE)</f>
        <v>-1.7260200000000001</v>
      </c>
      <c r="H544" t="s">
        <v>1406</v>
      </c>
      <c r="I544">
        <f>VLOOKUP($H544,[3]Sheet2!$A:$H,8,FALSE)</f>
        <v>1.4063300000000001</v>
      </c>
    </row>
    <row r="545" spans="1:9" x14ac:dyDescent="0.2">
      <c r="A545" t="s">
        <v>1047</v>
      </c>
      <c r="B545">
        <f>VLOOKUP($A545,[2]修饰!$A:$H,8,FALSE)</f>
        <v>-1.1136900000000001</v>
      </c>
      <c r="H545" t="s">
        <v>838</v>
      </c>
      <c r="I545">
        <f>VLOOKUP($H545,[3]Sheet2!$A:$H,8,FALSE)</f>
        <v>-1.01353</v>
      </c>
    </row>
    <row r="546" spans="1:9" x14ac:dyDescent="0.2">
      <c r="A546" t="s">
        <v>1051</v>
      </c>
      <c r="B546">
        <f>VLOOKUP($A546,[2]修饰!$A:$H,8,FALSE)</f>
        <v>-2.5703900000000002</v>
      </c>
      <c r="H546" t="s">
        <v>1728</v>
      </c>
      <c r="I546">
        <f>VLOOKUP($H546,[3]Sheet2!$A:$H,8,FALSE)</f>
        <v>1.34531</v>
      </c>
    </row>
    <row r="547" spans="1:9" x14ac:dyDescent="0.2">
      <c r="A547" t="s">
        <v>1052</v>
      </c>
      <c r="B547">
        <f>VLOOKUP($A547,[2]修饰!$A:$H,8,FALSE)</f>
        <v>1.00597</v>
      </c>
      <c r="H547" t="s">
        <v>1729</v>
      </c>
      <c r="I547">
        <f>VLOOKUP($H547,[3]Sheet2!$A:$H,8,FALSE)</f>
        <v>1.2416700000000001</v>
      </c>
    </row>
    <row r="548" spans="1:9" x14ac:dyDescent="0.2">
      <c r="A548" t="s">
        <v>1053</v>
      </c>
      <c r="B548">
        <f>VLOOKUP($A548,[2]修饰!$A:$H,8,FALSE)</f>
        <v>-1.29454</v>
      </c>
      <c r="H548" t="s">
        <v>847</v>
      </c>
      <c r="I548">
        <f>VLOOKUP($H548,[3]Sheet2!$A:$H,8,FALSE)</f>
        <v>2.0366900000000001</v>
      </c>
    </row>
    <row r="549" spans="1:9" x14ac:dyDescent="0.2">
      <c r="A549" t="s">
        <v>1056</v>
      </c>
      <c r="B549">
        <f>VLOOKUP($A549,[2]修饰!$A:$H,8,FALSE)</f>
        <v>-1.36551</v>
      </c>
      <c r="H549" t="s">
        <v>1730</v>
      </c>
      <c r="I549">
        <f>VLOOKUP($H549,[3]Sheet2!$A:$H,8,FALSE)</f>
        <v>1.0845899999999999</v>
      </c>
    </row>
    <row r="550" spans="1:9" x14ac:dyDescent="0.2">
      <c r="A550" t="s">
        <v>1059</v>
      </c>
      <c r="B550">
        <f>VLOOKUP($A550,[2]修饰!$A:$H,8,FALSE)</f>
        <v>1.1870000000000001</v>
      </c>
      <c r="H550" t="s">
        <v>1731</v>
      </c>
      <c r="I550">
        <f>VLOOKUP($H550,[3]Sheet2!$A:$H,8,FALSE)</f>
        <v>1.23987</v>
      </c>
    </row>
    <row r="551" spans="1:9" x14ac:dyDescent="0.2">
      <c r="A551" t="s">
        <v>1062</v>
      </c>
      <c r="B551">
        <f>VLOOKUP($A551,[2]修饰!$A:$H,8,FALSE)</f>
        <v>1.21245</v>
      </c>
      <c r="H551" t="s">
        <v>850</v>
      </c>
      <c r="I551">
        <f>VLOOKUP($H551,[3]Sheet2!$A:$H,8,FALSE)</f>
        <v>1.3027500000000001</v>
      </c>
    </row>
    <row r="552" spans="1:9" x14ac:dyDescent="0.2">
      <c r="A552" t="s">
        <v>1063</v>
      </c>
      <c r="B552">
        <f>VLOOKUP($A552,[2]修饰!$A:$H,8,FALSE)</f>
        <v>1.1160000000000001</v>
      </c>
      <c r="H552" t="s">
        <v>1408</v>
      </c>
      <c r="I552">
        <f>VLOOKUP($H552,[3]Sheet2!$A:$H,8,FALSE)</f>
        <v>1.0209600000000001</v>
      </c>
    </row>
    <row r="553" spans="1:9" x14ac:dyDescent="0.2">
      <c r="A553" t="s">
        <v>1065</v>
      </c>
      <c r="B553">
        <f>VLOOKUP($A553,[2]修饰!$A:$H,8,FALSE)</f>
        <v>-1.59659</v>
      </c>
      <c r="H553" t="s">
        <v>1733</v>
      </c>
      <c r="I553">
        <f>VLOOKUP($H553,[3]Sheet2!$A:$H,8,FALSE)</f>
        <v>1.2654099999999999</v>
      </c>
    </row>
    <row r="554" spans="1:9" x14ac:dyDescent="0.2">
      <c r="A554" t="s">
        <v>1066</v>
      </c>
      <c r="B554">
        <f>VLOOKUP($A554,[2]修饰!$A:$H,8,FALSE)</f>
        <v>-1.5493399999999999</v>
      </c>
      <c r="H554" t="s">
        <v>1734</v>
      </c>
      <c r="I554">
        <f>VLOOKUP($H554,[3]Sheet2!$A:$H,8,FALSE)</f>
        <v>1.58128</v>
      </c>
    </row>
    <row r="555" spans="1:9" x14ac:dyDescent="0.2">
      <c r="A555" t="s">
        <v>1068</v>
      </c>
      <c r="B555" t="str">
        <f>VLOOKUP($A555,[2]修饰!$A:$H,8,FALSE)</f>
        <v>BD</v>
      </c>
      <c r="H555" t="s">
        <v>1735</v>
      </c>
      <c r="I555" t="str">
        <f>VLOOKUP($H555,[3]Sheet2!$A:$H,8,FALSE)</f>
        <v>inf</v>
      </c>
    </row>
    <row r="556" spans="1:9" x14ac:dyDescent="0.2">
      <c r="A556" t="s">
        <v>1069</v>
      </c>
      <c r="B556">
        <f>VLOOKUP($A556,[2]修饰!$A:$H,8,FALSE)</f>
        <v>1.2017599999999999</v>
      </c>
      <c r="H556" t="s">
        <v>856</v>
      </c>
      <c r="I556">
        <f>VLOOKUP($H556,[3]Sheet2!$A:$H,8,FALSE)</f>
        <v>1.13571</v>
      </c>
    </row>
    <row r="557" spans="1:9" x14ac:dyDescent="0.2">
      <c r="A557" t="s">
        <v>1071</v>
      </c>
      <c r="B557">
        <f>VLOOKUP($A557,[2]修饰!$A:$H,8,FALSE)</f>
        <v>-1.08396</v>
      </c>
      <c r="H557" t="s">
        <v>1409</v>
      </c>
      <c r="I557">
        <f>VLOOKUP($H557,[3]Sheet2!$A:$H,8,FALSE)</f>
        <v>-1.06721</v>
      </c>
    </row>
    <row r="558" spans="1:9" x14ac:dyDescent="0.2">
      <c r="A558" t="s">
        <v>1072</v>
      </c>
      <c r="B558">
        <f>VLOOKUP($A558,[2]修饰!$A:$H,8,FALSE)</f>
        <v>-1.21797</v>
      </c>
      <c r="H558" t="s">
        <v>1736</v>
      </c>
      <c r="I558">
        <f>VLOOKUP($H558,[3]Sheet2!$A:$H,8,FALSE)</f>
        <v>1.1657900000000001</v>
      </c>
    </row>
    <row r="559" spans="1:9" x14ac:dyDescent="0.2">
      <c r="A559" t="s">
        <v>1073</v>
      </c>
      <c r="B559">
        <f>VLOOKUP($A559,[2]修饰!$A:$H,8,FALSE)</f>
        <v>-1.54077</v>
      </c>
      <c r="H559" t="s">
        <v>1410</v>
      </c>
      <c r="I559">
        <f>VLOOKUP($H559,[3]Sheet2!$A:$H,8,FALSE)</f>
        <v>-1.0555600000000001</v>
      </c>
    </row>
    <row r="560" spans="1:9" x14ac:dyDescent="0.2">
      <c r="A560" t="s">
        <v>1075</v>
      </c>
      <c r="B560">
        <f>VLOOKUP($A560,[2]修饰!$A:$H,8,FALSE)</f>
        <v>1.32413</v>
      </c>
      <c r="H560" t="s">
        <v>1411</v>
      </c>
      <c r="I560">
        <f>VLOOKUP($H560,[3]Sheet2!$A:$H,8,FALSE)</f>
        <v>-1.2914000000000001</v>
      </c>
    </row>
    <row r="561" spans="1:9" x14ac:dyDescent="0.2">
      <c r="A561" t="s">
        <v>1076</v>
      </c>
      <c r="B561">
        <f>VLOOKUP($A561,[2]修饰!$A:$H,8,FALSE)</f>
        <v>-1.74899</v>
      </c>
      <c r="H561" t="s">
        <v>1413</v>
      </c>
      <c r="I561">
        <f>VLOOKUP($H561,[3]Sheet2!$A:$H,8,FALSE)</f>
        <v>1.7017800000000001</v>
      </c>
    </row>
    <row r="562" spans="1:9" x14ac:dyDescent="0.2">
      <c r="A562" t="s">
        <v>1084</v>
      </c>
      <c r="B562">
        <f>VLOOKUP($A562,[2]修饰!$A:$H,8,FALSE)</f>
        <v>4.1471900000000002</v>
      </c>
      <c r="H562" t="s">
        <v>1737</v>
      </c>
      <c r="I562">
        <f>VLOOKUP($H562,[3]Sheet2!$A:$H,8,FALSE)</f>
        <v>-1.0319799999999999</v>
      </c>
    </row>
    <row r="563" spans="1:9" x14ac:dyDescent="0.2">
      <c r="A563" t="s">
        <v>1085</v>
      </c>
      <c r="B563">
        <f>VLOOKUP($A563,[2]修饰!$A:$H,8,FALSE)</f>
        <v>-2.50983</v>
      </c>
      <c r="H563" t="s">
        <v>867</v>
      </c>
      <c r="I563">
        <f>VLOOKUP($H563,[3]Sheet2!$A:$H,8,FALSE)</f>
        <v>1.0280100000000001</v>
      </c>
    </row>
    <row r="564" spans="1:9" x14ac:dyDescent="0.2">
      <c r="A564" t="s">
        <v>1086</v>
      </c>
      <c r="B564" t="str">
        <f>VLOOKUP($A564,[2]修饰!$A:$H,8,FALSE)</f>
        <v>BD</v>
      </c>
      <c r="H564" t="s">
        <v>874</v>
      </c>
      <c r="I564">
        <f>VLOOKUP($H564,[3]Sheet2!$A:$H,8,FALSE)</f>
        <v>-1.1960200000000001</v>
      </c>
    </row>
    <row r="565" spans="1:9" x14ac:dyDescent="0.2">
      <c r="A565" t="s">
        <v>1087</v>
      </c>
      <c r="B565">
        <f>VLOOKUP($A565,[2]修饰!$A:$H,8,FALSE)</f>
        <v>1.7636099999999999</v>
      </c>
      <c r="H565" t="s">
        <v>1738</v>
      </c>
      <c r="I565">
        <f>VLOOKUP($H565,[3]Sheet2!$A:$H,8,FALSE)</f>
        <v>1.20462</v>
      </c>
    </row>
    <row r="566" spans="1:9" x14ac:dyDescent="0.2">
      <c r="A566" t="s">
        <v>1088</v>
      </c>
      <c r="B566">
        <f>VLOOKUP($A566,[2]修饰!$A:$H,8,FALSE)</f>
        <v>-1.3794999999999999</v>
      </c>
      <c r="H566" t="s">
        <v>1739</v>
      </c>
      <c r="I566">
        <f>VLOOKUP($H566,[3]Sheet2!$A:$H,8,FALSE)</f>
        <v>1.3526199999999999</v>
      </c>
    </row>
    <row r="567" spans="1:9" x14ac:dyDescent="0.2">
      <c r="A567" t="s">
        <v>1091</v>
      </c>
      <c r="B567">
        <f>VLOOKUP($A567,[2]修饰!$A:$H,8,FALSE)</f>
        <v>-1.4879800000000001</v>
      </c>
      <c r="H567" t="s">
        <v>881</v>
      </c>
      <c r="I567">
        <f>VLOOKUP($H567,[3]Sheet2!$A:$H,8,FALSE)</f>
        <v>1.6664300000000001</v>
      </c>
    </row>
    <row r="568" spans="1:9" x14ac:dyDescent="0.2">
      <c r="A568" t="s">
        <v>1092</v>
      </c>
      <c r="B568">
        <f>VLOOKUP($A568,[2]修饰!$A:$H,8,FALSE)</f>
        <v>1.0971</v>
      </c>
      <c r="H568" t="s">
        <v>1740</v>
      </c>
      <c r="I568">
        <f>VLOOKUP($H568,[3]Sheet2!$A:$H,8,FALSE)</f>
        <v>-1.0248299999999999</v>
      </c>
    </row>
    <row r="569" spans="1:9" x14ac:dyDescent="0.2">
      <c r="A569" t="s">
        <v>1093</v>
      </c>
      <c r="B569">
        <f>VLOOKUP($A569,[2]修饰!$A:$H,8,FALSE)</f>
        <v>2.18032</v>
      </c>
      <c r="H569" t="s">
        <v>1741</v>
      </c>
      <c r="I569">
        <f>VLOOKUP($H569,[3]Sheet2!$A:$H,8,FALSE)</f>
        <v>-1.20746</v>
      </c>
    </row>
    <row r="570" spans="1:9" x14ac:dyDescent="0.2">
      <c r="A570" t="s">
        <v>1097</v>
      </c>
      <c r="B570" t="str">
        <f>VLOOKUP($A570,[2]修饰!$A:$H,8,FALSE)</f>
        <v>BD</v>
      </c>
      <c r="H570" t="s">
        <v>885</v>
      </c>
      <c r="I570">
        <f>VLOOKUP($H570,[3]Sheet2!$A:$H,8,FALSE)</f>
        <v>-1.43167</v>
      </c>
    </row>
    <row r="571" spans="1:9" x14ac:dyDescent="0.2">
      <c r="A571" t="s">
        <v>1098</v>
      </c>
      <c r="B571">
        <f>VLOOKUP($A571,[2]修饰!$A:$H,8,FALSE)</f>
        <v>-2.50068</v>
      </c>
      <c r="H571" t="s">
        <v>886</v>
      </c>
      <c r="I571">
        <f>VLOOKUP($H571,[3]Sheet2!$A:$H,8,FALSE)</f>
        <v>1.53321</v>
      </c>
    </row>
    <row r="572" spans="1:9" x14ac:dyDescent="0.2">
      <c r="A572" t="s">
        <v>1100</v>
      </c>
      <c r="B572">
        <f>VLOOKUP($A572,[2]修饰!$A:$H,8,FALSE)</f>
        <v>-1.1090599999999999</v>
      </c>
      <c r="H572" t="s">
        <v>887</v>
      </c>
      <c r="I572">
        <f>VLOOKUP($H572,[3]Sheet2!$A:$H,8,FALSE)</f>
        <v>2.21577</v>
      </c>
    </row>
    <row r="573" spans="1:9" x14ac:dyDescent="0.2">
      <c r="A573" t="s">
        <v>1101</v>
      </c>
      <c r="B573" t="str">
        <f>VLOOKUP($A573,[2]修饰!$A:$H,8,FALSE)</f>
        <v>BD</v>
      </c>
      <c r="H573" t="s">
        <v>3022</v>
      </c>
      <c r="I573">
        <f>VLOOKUP($H573,[3]Sheet2!$A:$H,8,FALSE)</f>
        <v>1.7115100000000001</v>
      </c>
    </row>
    <row r="574" spans="1:9" x14ac:dyDescent="0.2">
      <c r="A574" t="s">
        <v>1103</v>
      </c>
      <c r="B574">
        <f>VLOOKUP($A574,[2]修饰!$A:$H,8,FALSE)</f>
        <v>1.25485</v>
      </c>
      <c r="H574" t="s">
        <v>888</v>
      </c>
      <c r="I574">
        <f>VLOOKUP($H574,[3]Sheet2!$A:$H,8,FALSE)</f>
        <v>-1.7730900000000001</v>
      </c>
    </row>
    <row r="575" spans="1:9" x14ac:dyDescent="0.2">
      <c r="A575" t="s">
        <v>1105</v>
      </c>
      <c r="B575">
        <f>VLOOKUP($A575,[2]修饰!$A:$H,8,FALSE)</f>
        <v>1.1214500000000001</v>
      </c>
      <c r="H575" t="s">
        <v>1742</v>
      </c>
      <c r="I575">
        <f>VLOOKUP($H575,[3]Sheet2!$A:$H,8,FALSE)</f>
        <v>1.3526499999999999</v>
      </c>
    </row>
    <row r="576" spans="1:9" x14ac:dyDescent="0.2">
      <c r="A576" t="s">
        <v>1107</v>
      </c>
      <c r="B576">
        <f>VLOOKUP($A576,[2]修饰!$A:$H,8,FALSE)</f>
        <v>-2.49783</v>
      </c>
      <c r="H576" t="s">
        <v>1415</v>
      </c>
      <c r="I576">
        <f>VLOOKUP($H576,[3]Sheet2!$A:$H,8,FALSE)</f>
        <v>1.8312299999999999</v>
      </c>
    </row>
    <row r="577" spans="1:9" x14ac:dyDescent="0.2">
      <c r="A577" t="s">
        <v>1110</v>
      </c>
      <c r="B577">
        <f>VLOOKUP($A577,[2]修饰!$A:$H,8,FALSE)</f>
        <v>-1.2864500000000001</v>
      </c>
      <c r="H577" t="s">
        <v>1743</v>
      </c>
      <c r="I577">
        <f>VLOOKUP($H577,[3]Sheet2!$A:$H,8,FALSE)</f>
        <v>-1.0589500000000001</v>
      </c>
    </row>
    <row r="578" spans="1:9" x14ac:dyDescent="0.2">
      <c r="A578" t="s">
        <v>1111</v>
      </c>
      <c r="B578">
        <f>VLOOKUP($A578,[2]修饰!$A:$H,8,FALSE)</f>
        <v>-1.14798</v>
      </c>
      <c r="H578" t="s">
        <v>1744</v>
      </c>
      <c r="I578">
        <f>VLOOKUP($H578,[3]Sheet2!$A:$H,8,FALSE)</f>
        <v>1.04033</v>
      </c>
    </row>
    <row r="579" spans="1:9" x14ac:dyDescent="0.2">
      <c r="A579" t="s">
        <v>1113</v>
      </c>
      <c r="B579">
        <f>VLOOKUP($A579,[2]修饰!$A:$H,8,FALSE)</f>
        <v>-1.1226700000000001</v>
      </c>
      <c r="H579" t="s">
        <v>898</v>
      </c>
      <c r="I579">
        <f>VLOOKUP($H579,[3]Sheet2!$A:$H,8,FALSE)</f>
        <v>1.9773000000000001</v>
      </c>
    </row>
    <row r="580" spans="1:9" x14ac:dyDescent="0.2">
      <c r="A580" t="s">
        <v>1116</v>
      </c>
      <c r="B580">
        <f>VLOOKUP($A580,[2]修饰!$A:$H,8,FALSE)</f>
        <v>-1.7723100000000001</v>
      </c>
      <c r="H580" t="s">
        <v>1745</v>
      </c>
      <c r="I580">
        <f>VLOOKUP($H580,[3]Sheet2!$A:$H,8,FALSE)</f>
        <v>1.1360399999999999</v>
      </c>
    </row>
    <row r="581" spans="1:9" x14ac:dyDescent="0.2">
      <c r="A581" t="s">
        <v>1118</v>
      </c>
      <c r="B581">
        <f>VLOOKUP($A581,[2]修饰!$A:$H,8,FALSE)</f>
        <v>2.10798</v>
      </c>
      <c r="H581" t="s">
        <v>1746</v>
      </c>
      <c r="I581" t="e">
        <f>VLOOKUP($H581,[3]Sheet2!$A:$H,8,FALSE)</f>
        <v>#NAME?</v>
      </c>
    </row>
    <row r="582" spans="1:9" x14ac:dyDescent="0.2">
      <c r="A582" t="s">
        <v>1119</v>
      </c>
      <c r="B582">
        <f>VLOOKUP($A582,[2]修饰!$A:$H,8,FALSE)</f>
        <v>1.01938</v>
      </c>
      <c r="H582" t="s">
        <v>1417</v>
      </c>
      <c r="I582">
        <f>VLOOKUP($H582,[3]Sheet2!$A:$H,8,FALSE)</f>
        <v>-1.2336800000000001</v>
      </c>
    </row>
    <row r="583" spans="1:9" x14ac:dyDescent="0.2">
      <c r="A583" t="s">
        <v>1123</v>
      </c>
      <c r="B583">
        <f>VLOOKUP($A583,[2]修饰!$A:$H,8,FALSE)</f>
        <v>-1.4671700000000001</v>
      </c>
      <c r="H583" t="s">
        <v>1747</v>
      </c>
      <c r="I583">
        <f>VLOOKUP($H583,[3]Sheet2!$A:$H,8,FALSE)</f>
        <v>-1.0581400000000001</v>
      </c>
    </row>
    <row r="584" spans="1:9" x14ac:dyDescent="0.2">
      <c r="A584" t="s">
        <v>1126</v>
      </c>
      <c r="B584">
        <f>VLOOKUP($A584,[2]修饰!$A:$H,8,FALSE)</f>
        <v>-1.03546</v>
      </c>
      <c r="H584" t="s">
        <v>901</v>
      </c>
      <c r="I584">
        <f>VLOOKUP($H584,[3]Sheet2!$A:$H,8,FALSE)</f>
        <v>-1.0589900000000001</v>
      </c>
    </row>
    <row r="585" spans="1:9" x14ac:dyDescent="0.2">
      <c r="A585" t="s">
        <v>5</v>
      </c>
      <c r="B585">
        <f>VLOOKUP($A585,[2]修饰!$A:$H,8,FALSE)</f>
        <v>-1.3279000000000001</v>
      </c>
      <c r="H585" t="s">
        <v>1748</v>
      </c>
      <c r="I585">
        <f>VLOOKUP($H585,[3]Sheet2!$A:$H,8,FALSE)</f>
        <v>-1.38147</v>
      </c>
    </row>
    <row r="586" spans="1:9" x14ac:dyDescent="0.2">
      <c r="H586" t="s">
        <v>1419</v>
      </c>
      <c r="I586">
        <f>VLOOKUP($H586,[3]Sheet2!$A:$H,8,FALSE)</f>
        <v>1.47821</v>
      </c>
    </row>
    <row r="587" spans="1:9" x14ac:dyDescent="0.2">
      <c r="H587" t="s">
        <v>1420</v>
      </c>
      <c r="I587">
        <f>VLOOKUP($H587,[3]Sheet2!$A:$H,8,FALSE)</f>
        <v>1.08721</v>
      </c>
    </row>
    <row r="588" spans="1:9" x14ac:dyDescent="0.2">
      <c r="H588" t="s">
        <v>1750</v>
      </c>
      <c r="I588">
        <f>VLOOKUP($H588,[3]Sheet2!$A:$H,8,FALSE)</f>
        <v>1.2371000000000001</v>
      </c>
    </row>
    <row r="589" spans="1:9" x14ac:dyDescent="0.2">
      <c r="H589" t="s">
        <v>908</v>
      </c>
      <c r="I589">
        <f>VLOOKUP($H589,[3]Sheet2!$A:$H,8,FALSE)</f>
        <v>1.34537</v>
      </c>
    </row>
    <row r="590" spans="1:9" x14ac:dyDescent="0.2">
      <c r="H590" t="s">
        <v>1751</v>
      </c>
      <c r="I590">
        <f>VLOOKUP($H590,[3]Sheet2!$A:$H,8,FALSE)</f>
        <v>-1.09517</v>
      </c>
    </row>
    <row r="591" spans="1:9" x14ac:dyDescent="0.2">
      <c r="H591" t="s">
        <v>1421</v>
      </c>
      <c r="I591">
        <f>VLOOKUP($H591,[3]Sheet2!$A:$H,8,FALSE)</f>
        <v>1.02129</v>
      </c>
    </row>
    <row r="592" spans="1:9" x14ac:dyDescent="0.2">
      <c r="H592" t="s">
        <v>911</v>
      </c>
      <c r="I592">
        <f>VLOOKUP($H592,[3]Sheet2!$A:$H,8,FALSE)</f>
        <v>1.24081</v>
      </c>
    </row>
    <row r="593" spans="8:9" x14ac:dyDescent="0.2">
      <c r="H593" t="s">
        <v>912</v>
      </c>
      <c r="I593">
        <f>VLOOKUP($H593,[3]Sheet2!$A:$H,8,FALSE)</f>
        <v>1.0172399999999999</v>
      </c>
    </row>
    <row r="594" spans="8:9" x14ac:dyDescent="0.2">
      <c r="H594" t="s">
        <v>1752</v>
      </c>
      <c r="I594">
        <f>VLOOKUP($H594,[3]Sheet2!$A:$H,8,FALSE)</f>
        <v>1.47089</v>
      </c>
    </row>
    <row r="595" spans="8:9" x14ac:dyDescent="0.2">
      <c r="H595" t="s">
        <v>915</v>
      </c>
      <c r="I595">
        <f>VLOOKUP($H595,[3]Sheet2!$A:$H,8,FALSE)</f>
        <v>1.0264500000000001</v>
      </c>
    </row>
    <row r="596" spans="8:9" x14ac:dyDescent="0.2">
      <c r="H596" t="s">
        <v>1753</v>
      </c>
      <c r="I596">
        <f>VLOOKUP($H596,[3]Sheet2!$A:$H,8,FALSE)</f>
        <v>1.50844</v>
      </c>
    </row>
    <row r="597" spans="8:9" x14ac:dyDescent="0.2">
      <c r="H597" t="s">
        <v>1755</v>
      </c>
      <c r="I597">
        <f>VLOOKUP($H597,[3]Sheet2!$A:$H,8,FALSE)</f>
        <v>3.5853899999999999</v>
      </c>
    </row>
    <row r="598" spans="8:9" x14ac:dyDescent="0.2">
      <c r="H598" t="s">
        <v>923</v>
      </c>
      <c r="I598">
        <f>VLOOKUP($H598,[3]Sheet2!$A:$H,8,FALSE)</f>
        <v>1.3028599999999999</v>
      </c>
    </row>
    <row r="599" spans="8:9" x14ac:dyDescent="0.2">
      <c r="H599" t="s">
        <v>1756</v>
      </c>
      <c r="I599">
        <f>VLOOKUP($H599,[3]Sheet2!$A:$H,8,FALSE)</f>
        <v>1.85057</v>
      </c>
    </row>
    <row r="600" spans="8:9" x14ac:dyDescent="0.2">
      <c r="H600" t="s">
        <v>934</v>
      </c>
      <c r="I600">
        <f>VLOOKUP($H600,[3]Sheet2!$A:$H,8,FALSE)</f>
        <v>-1.03078</v>
      </c>
    </row>
    <row r="601" spans="8:9" x14ac:dyDescent="0.2">
      <c r="H601" t="s">
        <v>1425</v>
      </c>
      <c r="I601">
        <f>VLOOKUP($H601,[3]Sheet2!$A:$H,8,FALSE)</f>
        <v>2.4627599999999998</v>
      </c>
    </row>
    <row r="602" spans="8:9" x14ac:dyDescent="0.2">
      <c r="H602" t="s">
        <v>1757</v>
      </c>
      <c r="I602">
        <f>VLOOKUP($H602,[3]Sheet2!$A:$H,8,FALSE)</f>
        <v>-1.5471200000000001</v>
      </c>
    </row>
    <row r="603" spans="8:9" x14ac:dyDescent="0.2">
      <c r="H603" t="s">
        <v>1426</v>
      </c>
      <c r="I603">
        <f>VLOOKUP($H603,[3]Sheet2!$A:$H,8,FALSE)</f>
        <v>1.1007199999999999</v>
      </c>
    </row>
    <row r="604" spans="8:9" x14ac:dyDescent="0.2">
      <c r="H604" t="s">
        <v>944</v>
      </c>
      <c r="I604">
        <f>VLOOKUP($H604,[3]Sheet2!$A:$H,8,FALSE)</f>
        <v>1.0641799999999999</v>
      </c>
    </row>
    <row r="605" spans="8:9" x14ac:dyDescent="0.2">
      <c r="H605" t="s">
        <v>1429</v>
      </c>
      <c r="I605">
        <f>VLOOKUP($H605,[3]Sheet2!$A:$H,8,FALSE)</f>
        <v>2.0828099999999998</v>
      </c>
    </row>
    <row r="606" spans="8:9" x14ac:dyDescent="0.2">
      <c r="H606" t="s">
        <v>949</v>
      </c>
      <c r="I606">
        <f>VLOOKUP($H606,[3]Sheet2!$A:$H,8,FALSE)</f>
        <v>1.5354300000000001</v>
      </c>
    </row>
    <row r="607" spans="8:9" x14ac:dyDescent="0.2">
      <c r="H607" t="s">
        <v>952</v>
      </c>
      <c r="I607">
        <f>VLOOKUP($H607,[3]Sheet2!$A:$H,8,FALSE)</f>
        <v>2.14636</v>
      </c>
    </row>
    <row r="608" spans="8:9" x14ac:dyDescent="0.2">
      <c r="H608" t="s">
        <v>1430</v>
      </c>
      <c r="I608">
        <f>VLOOKUP($H608,[3]Sheet2!$A:$H,8,FALSE)</f>
        <v>1.2264900000000001</v>
      </c>
    </row>
    <row r="609" spans="8:9" x14ac:dyDescent="0.2">
      <c r="H609" t="s">
        <v>1759</v>
      </c>
      <c r="I609">
        <f>VLOOKUP($H609,[3]Sheet2!$A:$H,8,FALSE)</f>
        <v>-1.03999</v>
      </c>
    </row>
    <row r="610" spans="8:9" x14ac:dyDescent="0.2">
      <c r="H610" t="s">
        <v>958</v>
      </c>
      <c r="I610">
        <f>VLOOKUP($H610,[3]Sheet2!$A:$H,8,FALSE)</f>
        <v>-1.4216800000000001</v>
      </c>
    </row>
    <row r="611" spans="8:9" x14ac:dyDescent="0.2">
      <c r="H611" t="s">
        <v>962</v>
      </c>
      <c r="I611">
        <f>VLOOKUP($H611,[3]Sheet2!$A:$H,8,FALSE)</f>
        <v>1.0739099999999999</v>
      </c>
    </row>
    <row r="612" spans="8:9" x14ac:dyDescent="0.2">
      <c r="H612" t="s">
        <v>1760</v>
      </c>
      <c r="I612">
        <f>VLOOKUP($H612,[3]Sheet2!$A:$H,8,FALSE)</f>
        <v>1.0572299999999999</v>
      </c>
    </row>
    <row r="613" spans="8:9" x14ac:dyDescent="0.2">
      <c r="H613" t="s">
        <v>1761</v>
      </c>
      <c r="I613">
        <f>VLOOKUP($H613,[3]Sheet2!$A:$H,8,FALSE)</f>
        <v>1.5452399999999999</v>
      </c>
    </row>
    <row r="614" spans="8:9" x14ac:dyDescent="0.2">
      <c r="H614" t="s">
        <v>1762</v>
      </c>
      <c r="I614">
        <f>VLOOKUP($H614,[3]Sheet2!$A:$H,8,FALSE)</f>
        <v>-1.4658899999999999</v>
      </c>
    </row>
    <row r="615" spans="8:9" x14ac:dyDescent="0.2">
      <c r="H615" t="s">
        <v>967</v>
      </c>
      <c r="I615">
        <f>VLOOKUP($H615,[3]Sheet2!$A:$H,8,FALSE)</f>
        <v>-1.1768700000000001</v>
      </c>
    </row>
    <row r="616" spans="8:9" x14ac:dyDescent="0.2">
      <c r="H616" t="s">
        <v>1763</v>
      </c>
      <c r="I616">
        <f>VLOOKUP($H616,[3]Sheet2!$A:$H,8,FALSE)</f>
        <v>1.5401400000000001</v>
      </c>
    </row>
    <row r="617" spans="8:9" x14ac:dyDescent="0.2">
      <c r="H617" t="s">
        <v>1764</v>
      </c>
      <c r="I617">
        <f>VLOOKUP($H617,[3]Sheet2!$A:$H,8,FALSE)</f>
        <v>1.1571100000000001</v>
      </c>
    </row>
    <row r="618" spans="8:9" x14ac:dyDescent="0.2">
      <c r="H618" t="s">
        <v>1765</v>
      </c>
      <c r="I618">
        <f>VLOOKUP($H618,[3]Sheet2!$A:$H,8,FALSE)</f>
        <v>-1.25318</v>
      </c>
    </row>
    <row r="619" spans="8:9" x14ac:dyDescent="0.2">
      <c r="H619" t="s">
        <v>1437</v>
      </c>
      <c r="I619">
        <f>VLOOKUP($H619,[3]Sheet2!$A:$H,8,FALSE)</f>
        <v>2.6666799999999999</v>
      </c>
    </row>
    <row r="620" spans="8:9" x14ac:dyDescent="0.2">
      <c r="H620" t="s">
        <v>1766</v>
      </c>
      <c r="I620">
        <f>VLOOKUP($H620,[3]Sheet2!$A:$H,8,FALSE)</f>
        <v>-1.0431999999999999</v>
      </c>
    </row>
    <row r="621" spans="8:9" x14ac:dyDescent="0.2">
      <c r="H621" t="s">
        <v>976</v>
      </c>
      <c r="I621">
        <f>VLOOKUP($H621,[3]Sheet2!$A:$H,8,FALSE)</f>
        <v>1.0088699999999999</v>
      </c>
    </row>
    <row r="622" spans="8:9" x14ac:dyDescent="0.2">
      <c r="H622" t="s">
        <v>1767</v>
      </c>
      <c r="I622">
        <f>VLOOKUP($H622,[3]Sheet2!$A:$H,8,FALSE)</f>
        <v>-1.6147199999999999</v>
      </c>
    </row>
    <row r="623" spans="8:9" x14ac:dyDescent="0.2">
      <c r="H623" t="s">
        <v>1768</v>
      </c>
      <c r="I623">
        <f>VLOOKUP($H623,[3]Sheet2!$A:$H,8,FALSE)</f>
        <v>-1.2313700000000001</v>
      </c>
    </row>
    <row r="624" spans="8:9" x14ac:dyDescent="0.2">
      <c r="H624" t="s">
        <v>1769</v>
      </c>
      <c r="I624">
        <f>VLOOKUP($H624,[3]Sheet2!$A:$H,8,FALSE)</f>
        <v>1.11747</v>
      </c>
    </row>
    <row r="625" spans="8:9" x14ac:dyDescent="0.2">
      <c r="H625" t="s">
        <v>1770</v>
      </c>
      <c r="I625">
        <f>VLOOKUP($H625,[3]Sheet2!$A:$H,8,FALSE)</f>
        <v>1.4578</v>
      </c>
    </row>
    <row r="626" spans="8:9" x14ac:dyDescent="0.2">
      <c r="H626" t="s">
        <v>981</v>
      </c>
      <c r="I626">
        <f>VLOOKUP($H626,[3]Sheet2!$A:$H,8,FALSE)</f>
        <v>1.75956</v>
      </c>
    </row>
    <row r="627" spans="8:9" x14ac:dyDescent="0.2">
      <c r="H627" t="s">
        <v>982</v>
      </c>
      <c r="I627">
        <f>VLOOKUP($H627,[3]Sheet2!$A:$H,8,FALSE)</f>
        <v>-1.3263199999999999</v>
      </c>
    </row>
    <row r="628" spans="8:9" x14ac:dyDescent="0.2">
      <c r="H628" t="s">
        <v>1771</v>
      </c>
      <c r="I628">
        <f>VLOOKUP($H628,[3]Sheet2!$A:$H,8,FALSE)</f>
        <v>-1.2276199999999999</v>
      </c>
    </row>
    <row r="629" spans="8:9" x14ac:dyDescent="0.2">
      <c r="H629" t="s">
        <v>996</v>
      </c>
      <c r="I629">
        <f>VLOOKUP($H629,[3]Sheet2!$A:$H,8,FALSE)</f>
        <v>1.38714</v>
      </c>
    </row>
    <row r="630" spans="8:9" x14ac:dyDescent="0.2">
      <c r="H630" t="s">
        <v>998</v>
      </c>
      <c r="I630">
        <f>VLOOKUP($H630,[3]Sheet2!$A:$H,8,FALSE)</f>
        <v>-1.3107500000000001</v>
      </c>
    </row>
    <row r="631" spans="8:9" x14ac:dyDescent="0.2">
      <c r="H631" t="s">
        <v>999</v>
      </c>
      <c r="I631">
        <f>VLOOKUP($H631,[3]Sheet2!$A:$H,8,FALSE)</f>
        <v>1.67994</v>
      </c>
    </row>
    <row r="632" spans="8:9" x14ac:dyDescent="0.2">
      <c r="H632" t="s">
        <v>1439</v>
      </c>
      <c r="I632">
        <f>VLOOKUP($H632,[3]Sheet2!$A:$H,8,FALSE)</f>
        <v>1.6200699999999999</v>
      </c>
    </row>
    <row r="633" spans="8:9" x14ac:dyDescent="0.2">
      <c r="H633" t="s">
        <v>1772</v>
      </c>
      <c r="I633">
        <f>VLOOKUP($H633,[3]Sheet2!$A:$H,8,FALSE)</f>
        <v>1.27197</v>
      </c>
    </row>
    <row r="634" spans="8:9" x14ac:dyDescent="0.2">
      <c r="H634" t="s">
        <v>1443</v>
      </c>
      <c r="I634">
        <f>VLOOKUP($H634,[3]Sheet2!$A:$H,8,FALSE)</f>
        <v>1.0011099999999999</v>
      </c>
    </row>
    <row r="635" spans="8:9" x14ac:dyDescent="0.2">
      <c r="H635" t="s">
        <v>1773</v>
      </c>
      <c r="I635">
        <f>VLOOKUP($H635,[3]Sheet2!$A:$H,8,FALSE)</f>
        <v>1.1785399999999999</v>
      </c>
    </row>
    <row r="636" spans="8:9" x14ac:dyDescent="0.2">
      <c r="H636" t="s">
        <v>1006</v>
      </c>
      <c r="I636">
        <f>VLOOKUP($H636,[3]Sheet2!$A:$H,8,FALSE)</f>
        <v>-1.1274900000000001</v>
      </c>
    </row>
    <row r="637" spans="8:9" x14ac:dyDescent="0.2">
      <c r="H637" t="s">
        <v>1444</v>
      </c>
      <c r="I637">
        <f>VLOOKUP($H637,[3]Sheet2!$A:$H,8,FALSE)</f>
        <v>1.04427</v>
      </c>
    </row>
    <row r="638" spans="8:9" x14ac:dyDescent="0.2">
      <c r="H638" t="s">
        <v>1023</v>
      </c>
      <c r="I638">
        <f>VLOOKUP($H638,[3]Sheet2!$A:$H,8,FALSE)</f>
        <v>1.11968</v>
      </c>
    </row>
    <row r="639" spans="8:9" x14ac:dyDescent="0.2">
      <c r="H639" t="s">
        <v>1448</v>
      </c>
      <c r="I639">
        <f>VLOOKUP($H639,[3]Sheet2!$A:$H,8,FALSE)</f>
        <v>1.02281</v>
      </c>
    </row>
    <row r="640" spans="8:9" x14ac:dyDescent="0.2">
      <c r="H640" t="s">
        <v>1032</v>
      </c>
      <c r="I640">
        <f>VLOOKUP($H640,[3]Sheet2!$A:$H,8,FALSE)</f>
        <v>1.00386</v>
      </c>
    </row>
    <row r="641" spans="8:9" x14ac:dyDescent="0.2">
      <c r="H641" t="s">
        <v>1774</v>
      </c>
      <c r="I641">
        <f>VLOOKUP($H641,[3]Sheet2!$A:$H,8,FALSE)</f>
        <v>-1.0058</v>
      </c>
    </row>
    <row r="642" spans="8:9" x14ac:dyDescent="0.2">
      <c r="H642" t="s">
        <v>1775</v>
      </c>
      <c r="I642">
        <f>VLOOKUP($H642,[3]Sheet2!$A:$H,8,FALSE)</f>
        <v>-1.2513399999999999</v>
      </c>
    </row>
    <row r="643" spans="8:9" x14ac:dyDescent="0.2">
      <c r="H643" t="s">
        <v>1034</v>
      </c>
      <c r="I643">
        <f>VLOOKUP($H643,[3]Sheet2!$A:$H,8,FALSE)</f>
        <v>1.79558</v>
      </c>
    </row>
    <row r="644" spans="8:9" x14ac:dyDescent="0.2">
      <c r="H644" t="s">
        <v>1776</v>
      </c>
      <c r="I644">
        <f>VLOOKUP($H644,[3]Sheet2!$A:$H,8,FALSE)</f>
        <v>-1.01688</v>
      </c>
    </row>
    <row r="645" spans="8:9" x14ac:dyDescent="0.2">
      <c r="H645" t="s">
        <v>1035</v>
      </c>
      <c r="I645">
        <f>VLOOKUP($H645,[3]Sheet2!$A:$H,8,FALSE)</f>
        <v>1.7414700000000001</v>
      </c>
    </row>
    <row r="646" spans="8:9" x14ac:dyDescent="0.2">
      <c r="H646" t="s">
        <v>1037</v>
      </c>
      <c r="I646">
        <f>VLOOKUP($H646,[3]Sheet2!$A:$H,8,FALSE)</f>
        <v>-1.01257</v>
      </c>
    </row>
    <row r="647" spans="8:9" x14ac:dyDescent="0.2">
      <c r="H647" t="s">
        <v>1039</v>
      </c>
      <c r="I647">
        <f>VLOOKUP($H647,[3]Sheet2!$A:$H,8,FALSE)</f>
        <v>1.1115900000000001</v>
      </c>
    </row>
    <row r="648" spans="8:9" x14ac:dyDescent="0.2">
      <c r="H648" t="s">
        <v>1777</v>
      </c>
      <c r="I648">
        <f>VLOOKUP($H648,[3]Sheet2!$A:$H,8,FALSE)</f>
        <v>-1.0966199999999999</v>
      </c>
    </row>
    <row r="649" spans="8:9" x14ac:dyDescent="0.2">
      <c r="H649" t="s">
        <v>1778</v>
      </c>
      <c r="I649">
        <f>VLOOKUP($H649,[3]Sheet2!$A:$H,8,FALSE)</f>
        <v>1.0491699999999999</v>
      </c>
    </row>
    <row r="650" spans="8:9" x14ac:dyDescent="0.2">
      <c r="H650" t="s">
        <v>1779</v>
      </c>
      <c r="I650">
        <f>VLOOKUP($H650,[3]Sheet2!$A:$H,8,FALSE)</f>
        <v>1.19326</v>
      </c>
    </row>
    <row r="651" spans="8:9" x14ac:dyDescent="0.2">
      <c r="H651" t="s">
        <v>1048</v>
      </c>
      <c r="I651">
        <f>VLOOKUP($H651,[3]Sheet2!$A:$H,8,FALSE)</f>
        <v>1.2878000000000001</v>
      </c>
    </row>
    <row r="652" spans="8:9" x14ac:dyDescent="0.2">
      <c r="H652" t="s">
        <v>1780</v>
      </c>
      <c r="I652">
        <f>VLOOKUP($H652,[3]Sheet2!$A:$H,8,FALSE)</f>
        <v>-1.3410599999999999</v>
      </c>
    </row>
    <row r="653" spans="8:9" x14ac:dyDescent="0.2">
      <c r="H653" t="s">
        <v>1781</v>
      </c>
      <c r="I653">
        <f>VLOOKUP($H653,[3]Sheet2!$A:$H,8,FALSE)</f>
        <v>2.2837100000000001</v>
      </c>
    </row>
    <row r="654" spans="8:9" x14ac:dyDescent="0.2">
      <c r="H654" t="s">
        <v>1450</v>
      </c>
      <c r="I654">
        <f>VLOOKUP($H654,[3]Sheet2!$A:$H,8,FALSE)</f>
        <v>2.9317899999999999</v>
      </c>
    </row>
    <row r="655" spans="8:9" x14ac:dyDescent="0.2">
      <c r="H655" t="s">
        <v>1782</v>
      </c>
      <c r="I655">
        <f>VLOOKUP($H655,[3]Sheet2!$A:$H,8,FALSE)</f>
        <v>1.04884</v>
      </c>
    </row>
    <row r="656" spans="8:9" x14ac:dyDescent="0.2">
      <c r="H656" t="s">
        <v>1054</v>
      </c>
      <c r="I656">
        <f>VLOOKUP($H656,[3]Sheet2!$A:$H,8,FALSE)</f>
        <v>-1.1250599999999999</v>
      </c>
    </row>
    <row r="657" spans="8:9" x14ac:dyDescent="0.2">
      <c r="H657" t="s">
        <v>1055</v>
      </c>
      <c r="I657">
        <f>VLOOKUP($H657,[3]Sheet2!$A:$H,8,FALSE)</f>
        <v>-1.0482</v>
      </c>
    </row>
    <row r="658" spans="8:9" x14ac:dyDescent="0.2">
      <c r="H658" t="s">
        <v>1057</v>
      </c>
      <c r="I658">
        <f>VLOOKUP($H658,[3]Sheet2!$A:$H,8,FALSE)</f>
        <v>3.16188</v>
      </c>
    </row>
    <row r="659" spans="8:9" x14ac:dyDescent="0.2">
      <c r="H659" t="s">
        <v>1783</v>
      </c>
      <c r="I659">
        <f>VLOOKUP($H659,[3]Sheet2!$A:$H,8,FALSE)</f>
        <v>-1.2428300000000001</v>
      </c>
    </row>
    <row r="660" spans="8:9" x14ac:dyDescent="0.2">
      <c r="H660" t="s">
        <v>1453</v>
      </c>
      <c r="I660">
        <f>VLOOKUP($H660,[3]Sheet2!$A:$H,8,FALSE)</f>
        <v>1.02172</v>
      </c>
    </row>
    <row r="661" spans="8:9" x14ac:dyDescent="0.2">
      <c r="H661" t="s">
        <v>1784</v>
      </c>
      <c r="I661">
        <f>VLOOKUP($H661,[3]Sheet2!$A:$H,8,FALSE)</f>
        <v>-1.05335</v>
      </c>
    </row>
    <row r="662" spans="8:9" x14ac:dyDescent="0.2">
      <c r="H662" t="s">
        <v>1785</v>
      </c>
      <c r="I662">
        <f>VLOOKUP($H662,[3]Sheet2!$A:$H,8,FALSE)</f>
        <v>1.43919</v>
      </c>
    </row>
    <row r="663" spans="8:9" x14ac:dyDescent="0.2">
      <c r="H663" t="s">
        <v>1058</v>
      </c>
      <c r="I663">
        <f>VLOOKUP($H663,[3]Sheet2!$A:$H,8,FALSE)</f>
        <v>-1.4995499999999999</v>
      </c>
    </row>
    <row r="664" spans="8:9" x14ac:dyDescent="0.2">
      <c r="H664" t="s">
        <v>1786</v>
      </c>
      <c r="I664">
        <f>VLOOKUP($H664,[3]Sheet2!$A:$H,8,FALSE)</f>
        <v>-1.3412299999999999</v>
      </c>
    </row>
    <row r="665" spans="8:9" x14ac:dyDescent="0.2">
      <c r="H665" t="s">
        <v>1787</v>
      </c>
      <c r="I665">
        <f>VLOOKUP($H665,[3]Sheet2!$A:$H,8,FALSE)</f>
        <v>1.2381599999999999</v>
      </c>
    </row>
    <row r="666" spans="8:9" x14ac:dyDescent="0.2">
      <c r="H666" t="s">
        <v>1788</v>
      </c>
      <c r="I666">
        <f>VLOOKUP($H666,[3]Sheet2!$A:$H,8,FALSE)</f>
        <v>-1.0646199999999999</v>
      </c>
    </row>
    <row r="667" spans="8:9" x14ac:dyDescent="0.2">
      <c r="H667" t="s">
        <v>1789</v>
      </c>
      <c r="I667">
        <f>VLOOKUP($H667,[3]Sheet2!$A:$H,8,FALSE)</f>
        <v>1.1582600000000001</v>
      </c>
    </row>
    <row r="668" spans="8:9" x14ac:dyDescent="0.2">
      <c r="H668" t="s">
        <v>1454</v>
      </c>
      <c r="I668">
        <f>VLOOKUP($H668,[3]Sheet2!$A:$H,8,FALSE)</f>
        <v>1.2726900000000001</v>
      </c>
    </row>
    <row r="669" spans="8:9" x14ac:dyDescent="0.2">
      <c r="H669" t="s">
        <v>1067</v>
      </c>
      <c r="I669">
        <f>VLOOKUP($H669,[3]Sheet2!$A:$H,8,FALSE)</f>
        <v>1.3586499999999999</v>
      </c>
    </row>
    <row r="670" spans="8:9" x14ac:dyDescent="0.2">
      <c r="H670" t="s">
        <v>1457</v>
      </c>
      <c r="I670">
        <f>VLOOKUP($H670,[3]Sheet2!$A:$H,8,FALSE)</f>
        <v>2.2201399999999998</v>
      </c>
    </row>
    <row r="671" spans="8:9" x14ac:dyDescent="0.2">
      <c r="H671" t="s">
        <v>1790</v>
      </c>
      <c r="I671">
        <f>VLOOKUP($H671,[3]Sheet2!$A:$H,8,FALSE)</f>
        <v>1.12243</v>
      </c>
    </row>
    <row r="672" spans="8:9" x14ac:dyDescent="0.2">
      <c r="H672" t="s">
        <v>1791</v>
      </c>
      <c r="I672">
        <f>VLOOKUP($H672,[3]Sheet2!$A:$H,8,FALSE)</f>
        <v>-1.2536400000000001</v>
      </c>
    </row>
    <row r="673" spans="8:9" x14ac:dyDescent="0.2">
      <c r="H673" t="s">
        <v>1079</v>
      </c>
      <c r="I673">
        <f>VLOOKUP($H673,[3]Sheet2!$A:$H,8,FALSE)</f>
        <v>1.35029</v>
      </c>
    </row>
    <row r="674" spans="8:9" x14ac:dyDescent="0.2">
      <c r="H674" t="s">
        <v>1081</v>
      </c>
      <c r="I674">
        <f>VLOOKUP($H674,[3]Sheet2!$A:$H,8,FALSE)</f>
        <v>1.21841</v>
      </c>
    </row>
    <row r="675" spans="8:9" x14ac:dyDescent="0.2">
      <c r="H675" t="s">
        <v>1792</v>
      </c>
      <c r="I675">
        <f>VLOOKUP($H675,[3]Sheet2!$A:$H,8,FALSE)</f>
        <v>-4.8311500000000001</v>
      </c>
    </row>
    <row r="676" spans="8:9" x14ac:dyDescent="0.2">
      <c r="H676" t="s">
        <v>1793</v>
      </c>
      <c r="I676">
        <f>VLOOKUP($H676,[3]Sheet2!$A:$H,8,FALSE)</f>
        <v>1.1894800000000001</v>
      </c>
    </row>
    <row r="677" spans="8:9" x14ac:dyDescent="0.2">
      <c r="H677" t="s">
        <v>1095</v>
      </c>
      <c r="I677">
        <f>VLOOKUP($H677,[3]Sheet2!$A:$H,8,FALSE)</f>
        <v>2.65754</v>
      </c>
    </row>
    <row r="678" spans="8:9" x14ac:dyDescent="0.2">
      <c r="H678" t="s">
        <v>1464</v>
      </c>
      <c r="I678">
        <f>VLOOKUP($H678,[3]Sheet2!$A:$H,8,FALSE)</f>
        <v>-1.0544500000000001</v>
      </c>
    </row>
    <row r="679" spans="8:9" x14ac:dyDescent="0.2">
      <c r="H679" t="s">
        <v>1102</v>
      </c>
      <c r="I679">
        <f>VLOOKUP($H679,[3]Sheet2!$A:$H,8,FALSE)</f>
        <v>1.34297</v>
      </c>
    </row>
    <row r="680" spans="8:9" x14ac:dyDescent="0.2">
      <c r="H680" t="s">
        <v>1104</v>
      </c>
      <c r="I680">
        <f>VLOOKUP($H680,[3]Sheet2!$A:$H,8,FALSE)</f>
        <v>1.1217200000000001</v>
      </c>
    </row>
    <row r="681" spans="8:9" x14ac:dyDescent="0.2">
      <c r="H681" t="s">
        <v>1466</v>
      </c>
      <c r="I681">
        <f>VLOOKUP($H681,[3]Sheet2!$A:$H,8,FALSE)</f>
        <v>3.09999</v>
      </c>
    </row>
    <row r="682" spans="8:9" x14ac:dyDescent="0.2">
      <c r="H682" t="s">
        <v>1108</v>
      </c>
      <c r="I682">
        <f>VLOOKUP($H682,[3]Sheet2!$A:$H,8,FALSE)</f>
        <v>1.29922</v>
      </c>
    </row>
    <row r="683" spans="8:9" x14ac:dyDescent="0.2">
      <c r="H683" t="s">
        <v>1468</v>
      </c>
      <c r="I683">
        <f>VLOOKUP($H683,[3]Sheet2!$A:$H,8,FALSE)</f>
        <v>1.1557599999999999</v>
      </c>
    </row>
    <row r="684" spans="8:9" x14ac:dyDescent="0.2">
      <c r="H684" t="s">
        <v>1114</v>
      </c>
      <c r="I684">
        <f>VLOOKUP($H684,[3]Sheet2!$A:$H,8,FALSE)</f>
        <v>1.42452</v>
      </c>
    </row>
    <row r="685" spans="8:9" x14ac:dyDescent="0.2">
      <c r="H685" t="s">
        <v>1795</v>
      </c>
      <c r="I685">
        <f>VLOOKUP($H685,[3]Sheet2!$A:$H,8,FALSE)</f>
        <v>2.2658399999999999</v>
      </c>
    </row>
    <row r="686" spans="8:9" x14ac:dyDescent="0.2">
      <c r="H686" t="s">
        <v>1115</v>
      </c>
      <c r="I686">
        <f>VLOOKUP($H686,[3]Sheet2!$A:$H,8,FALSE)</f>
        <v>-1.0487500000000001</v>
      </c>
    </row>
    <row r="687" spans="8:9" x14ac:dyDescent="0.2">
      <c r="H687" t="s">
        <v>1796</v>
      </c>
      <c r="I687">
        <f>VLOOKUP($H687,[3]Sheet2!$A:$H,8,FALSE)</f>
        <v>1.05131</v>
      </c>
    </row>
    <row r="688" spans="8:9" x14ac:dyDescent="0.2">
      <c r="H688" t="s">
        <v>1797</v>
      </c>
      <c r="I688">
        <f>VLOOKUP($H688,[3]Sheet2!$A:$H,8,FALSE)</f>
        <v>-1.46852</v>
      </c>
    </row>
    <row r="689" spans="8:9" x14ac:dyDescent="0.2">
      <c r="H689" t="s">
        <v>1469</v>
      </c>
      <c r="I689">
        <f>VLOOKUP($H689,[3]Sheet2!$A:$H,8,FALSE)</f>
        <v>2.31223</v>
      </c>
    </row>
    <row r="690" spans="8:9" x14ac:dyDescent="0.2">
      <c r="H690" t="s">
        <v>1117</v>
      </c>
      <c r="I690">
        <f>VLOOKUP($H690,[3]Sheet2!$A:$H,8,FALSE)</f>
        <v>1.48214</v>
      </c>
    </row>
    <row r="691" spans="8:9" x14ac:dyDescent="0.2">
      <c r="H691" t="s">
        <v>1121</v>
      </c>
      <c r="I691">
        <f>VLOOKUP($H691,[3]Sheet2!$A:$H,8,FALSE)</f>
        <v>-1.6138600000000001</v>
      </c>
    </row>
    <row r="692" spans="8:9" x14ac:dyDescent="0.2">
      <c r="H692" t="s">
        <v>1122</v>
      </c>
      <c r="I692">
        <f>VLOOKUP($H692,[3]Sheet2!$A:$H,8,FALSE)</f>
        <v>-1.27915</v>
      </c>
    </row>
    <row r="693" spans="8:9" x14ac:dyDescent="0.2">
      <c r="H693" t="s">
        <v>1125</v>
      </c>
      <c r="I693">
        <f>VLOOKUP($H693,[3]Sheet2!$A:$H,8,FALSE)</f>
        <v>-1.03783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9"/>
  <sheetViews>
    <sheetView tabSelected="1" workbookViewId="0">
      <selection activeCell="I1" sqref="I1:I1048576"/>
    </sheetView>
  </sheetViews>
  <sheetFormatPr defaultRowHeight="14.25" x14ac:dyDescent="0.2"/>
  <cols>
    <col min="1" max="1" width="19.625" customWidth="1"/>
    <col min="8" max="8" width="15.375" customWidth="1"/>
    <col min="9" max="9" width="15.375" style="39" customWidth="1"/>
  </cols>
  <sheetData>
    <row r="1" spans="1:9" ht="20.25" x14ac:dyDescent="0.2">
      <c r="A1" s="11" t="s">
        <v>3530</v>
      </c>
    </row>
    <row r="2" spans="1:9" s="36" customFormat="1" ht="18" x14ac:dyDescent="0.2">
      <c r="A2" s="36" t="s">
        <v>3545</v>
      </c>
      <c r="B2" s="36" t="s">
        <v>4</v>
      </c>
      <c r="D2" s="25" t="s">
        <v>3546</v>
      </c>
      <c r="E2" s="36" t="s">
        <v>3526</v>
      </c>
      <c r="F2" s="36" t="s">
        <v>3529</v>
      </c>
      <c r="H2" s="36" t="s">
        <v>3547</v>
      </c>
      <c r="I2" s="40" t="s">
        <v>4</v>
      </c>
    </row>
    <row r="3" spans="1:9" x14ac:dyDescent="0.2">
      <c r="A3" t="s">
        <v>14</v>
      </c>
      <c r="B3">
        <f>VLOOKUP($A3,[4]加注释!$A:$H,8,FALSE)</f>
        <v>-1.3591500000000001</v>
      </c>
      <c r="D3" t="s">
        <v>10</v>
      </c>
      <c r="E3">
        <f>VLOOKUP($D3,[4]加注释!$A:$H,8,FALSE)</f>
        <v>1.1343000000000001</v>
      </c>
      <c r="F3">
        <f>VLOOKUP($D3,[5]Sheet2!$A:$H,8,FALSE)</f>
        <v>1.0957699999999999</v>
      </c>
      <c r="H3" t="s">
        <v>11</v>
      </c>
      <c r="I3" s="39">
        <f>VLOOKUP($H3,[5]Sheet2!$A:$H,8,FALSE)</f>
        <v>1.5603100000000001</v>
      </c>
    </row>
    <row r="4" spans="1:9" x14ac:dyDescent="0.2">
      <c r="A4" t="s">
        <v>1127</v>
      </c>
      <c r="B4">
        <f>VLOOKUP($A4,[4]加注释!$A:$H,8,FALSE)</f>
        <v>1.4285300000000001</v>
      </c>
      <c r="D4" t="s">
        <v>1128</v>
      </c>
      <c r="E4">
        <f>VLOOKUP($D4,[4]加注释!$A:$H,8,FALSE)</f>
        <v>1.3089</v>
      </c>
      <c r="F4">
        <f>VLOOKUP($D4,[5]Sheet2!$A:$H,8,FALSE)</f>
        <v>-1.2310099999999999</v>
      </c>
      <c r="H4" t="s">
        <v>12</v>
      </c>
      <c r="I4" s="39">
        <f>VLOOKUP($H4,[5]Sheet2!$A:$H,8,FALSE)</f>
        <v>1.0240800000000001</v>
      </c>
    </row>
    <row r="5" spans="1:9" x14ac:dyDescent="0.2">
      <c r="A5" t="s">
        <v>1129</v>
      </c>
      <c r="B5">
        <f>VLOOKUP($A5,[4]加注释!$A:$H,8,FALSE)</f>
        <v>-1.06253</v>
      </c>
      <c r="D5" t="s">
        <v>24</v>
      </c>
      <c r="E5">
        <f>VLOOKUP($D5,[4]加注释!$A:$H,8,FALSE)</f>
        <v>-1.98895</v>
      </c>
      <c r="F5">
        <f>VLOOKUP($D5,[5]Sheet2!$A:$H,8,FALSE)</f>
        <v>1.5245500000000001</v>
      </c>
      <c r="H5" t="s">
        <v>13</v>
      </c>
      <c r="I5" s="39">
        <f>VLOOKUP($H5,[5]Sheet2!$A:$H,8,FALSE)</f>
        <v>-1.0362800000000001</v>
      </c>
    </row>
    <row r="6" spans="1:9" x14ac:dyDescent="0.2">
      <c r="A6" t="s">
        <v>18</v>
      </c>
      <c r="B6">
        <f>VLOOKUP($A6,[4]加注释!$A:$H,8,FALSE)</f>
        <v>-1.43371</v>
      </c>
      <c r="D6" t="s">
        <v>1132</v>
      </c>
      <c r="E6">
        <f>VLOOKUP($D6,[4]加注释!$A:$H,8,FALSE)</f>
        <v>1.1517500000000001</v>
      </c>
      <c r="F6">
        <f>VLOOKUP($D6,[5]Sheet2!$A:$H,8,FALSE)</f>
        <v>-1.41743</v>
      </c>
      <c r="H6" t="s">
        <v>22</v>
      </c>
      <c r="I6" s="39">
        <f>VLOOKUP($H6,[5]Sheet2!$A:$H,8,FALSE)</f>
        <v>-1.2924899999999999</v>
      </c>
    </row>
    <row r="7" spans="1:9" x14ac:dyDescent="0.2">
      <c r="A7" t="s">
        <v>1130</v>
      </c>
      <c r="B7">
        <f>VLOOKUP($A7,[4]加注释!$A:$H,8,FALSE)</f>
        <v>-1.62348</v>
      </c>
      <c r="D7" t="s">
        <v>80</v>
      </c>
      <c r="E7">
        <f>VLOOKUP($D7,[4]加注释!$A:$H,8,FALSE)</f>
        <v>-1.26485</v>
      </c>
      <c r="F7">
        <f>VLOOKUP($D7,[5]Sheet2!$A:$H,8,FALSE)</f>
        <v>1.11486</v>
      </c>
      <c r="H7" t="s">
        <v>36</v>
      </c>
      <c r="I7" s="39">
        <f>VLOOKUP($H7,[5]Sheet2!$A:$H,8,FALSE)</f>
        <v>-1.1301300000000001</v>
      </c>
    </row>
    <row r="8" spans="1:9" x14ac:dyDescent="0.2">
      <c r="A8" t="s">
        <v>1131</v>
      </c>
      <c r="B8">
        <f>VLOOKUP($A8,[4]加注释!$A:$H,8,FALSE)</f>
        <v>-2.3887999999999998</v>
      </c>
      <c r="D8" t="s">
        <v>1157</v>
      </c>
      <c r="E8">
        <f>VLOOKUP($D8,[4]加注释!$A:$H,8,FALSE)</f>
        <v>-1.1711400000000001</v>
      </c>
      <c r="F8">
        <f>VLOOKUP($D8,[5]Sheet2!$A:$H,8,FALSE)</f>
        <v>1.0042899999999999</v>
      </c>
      <c r="H8" t="s">
        <v>1134</v>
      </c>
      <c r="I8" s="39">
        <f>VLOOKUP($H8,[5]Sheet2!$A:$H,8,FALSE)</f>
        <v>2.1272899999999999</v>
      </c>
    </row>
    <row r="9" spans="1:9" x14ac:dyDescent="0.2">
      <c r="A9" t="s">
        <v>26</v>
      </c>
      <c r="B9">
        <f>VLOOKUP($A9,[4]加注释!$A:$H,8,FALSE)</f>
        <v>1.20116</v>
      </c>
      <c r="D9" t="s">
        <v>125</v>
      </c>
      <c r="E9">
        <f>VLOOKUP($D9,[4]加注释!$A:$H,8,FALSE)</f>
        <v>-1.5339100000000001</v>
      </c>
      <c r="F9">
        <f>VLOOKUP($D9,[5]Sheet2!$A:$H,8,FALSE)</f>
        <v>1.24122</v>
      </c>
      <c r="H9" t="s">
        <v>1798</v>
      </c>
      <c r="I9" s="39" t="e">
        <f>VLOOKUP($H9,[5]Sheet2!$A:$H,8,FALSE)</f>
        <v>#NAME?</v>
      </c>
    </row>
    <row r="10" spans="1:9" x14ac:dyDescent="0.2">
      <c r="A10" t="s">
        <v>27</v>
      </c>
      <c r="B10">
        <f>VLOOKUP($A10,[4]加注释!$A:$H,8,FALSE)</f>
        <v>-1.2334499999999999</v>
      </c>
      <c r="D10" t="s">
        <v>127</v>
      </c>
      <c r="E10">
        <f>VLOOKUP($D10,[4]加注释!$A:$H,8,FALSE)</f>
        <v>-2.2204799999999998</v>
      </c>
      <c r="F10">
        <f>VLOOKUP($D10,[5]Sheet2!$A:$H,8,FALSE)</f>
        <v>1.65194</v>
      </c>
      <c r="H10" t="s">
        <v>47</v>
      </c>
      <c r="I10" s="39">
        <f>VLOOKUP($H10,[5]Sheet2!$A:$H,8,FALSE)</f>
        <v>-1.0330299999999999</v>
      </c>
    </row>
    <row r="11" spans="1:9" x14ac:dyDescent="0.2">
      <c r="A11" t="s">
        <v>29</v>
      </c>
      <c r="B11">
        <f>VLOOKUP($A11,[4]加注释!$A:$H,8,FALSE)</f>
        <v>1.08104</v>
      </c>
      <c r="D11" t="s">
        <v>143</v>
      </c>
      <c r="E11">
        <f>VLOOKUP($D11,[4]加注释!$A:$H,8,FALSE)</f>
        <v>-1.1396900000000001</v>
      </c>
      <c r="F11">
        <f>VLOOKUP($D11,[5]Sheet2!$A:$H,8,FALSE)</f>
        <v>1.7978799999999999</v>
      </c>
      <c r="H11" t="s">
        <v>49</v>
      </c>
      <c r="I11" s="39">
        <f>VLOOKUP($H11,[5]Sheet2!$A:$H,8,FALSE)</f>
        <v>1.20157</v>
      </c>
    </row>
    <row r="12" spans="1:9" x14ac:dyDescent="0.2">
      <c r="A12" t="s">
        <v>31</v>
      </c>
      <c r="B12">
        <f>VLOOKUP($A12,[4]加注释!$A:$H,8,FALSE)</f>
        <v>-1.3991199999999999</v>
      </c>
      <c r="D12" t="s">
        <v>201</v>
      </c>
      <c r="E12">
        <f>VLOOKUP($D12,[4]加注释!$A:$H,8,FALSE)</f>
        <v>-1.9534899999999999</v>
      </c>
      <c r="F12">
        <f>VLOOKUP($D12,[5]Sheet2!$A:$H,8,FALSE)</f>
        <v>1.09917</v>
      </c>
      <c r="H12" t="s">
        <v>1489</v>
      </c>
      <c r="I12" s="39">
        <f>VLOOKUP($H12,[5]Sheet2!$A:$H,8,FALSE)</f>
        <v>-1.04695</v>
      </c>
    </row>
    <row r="13" spans="1:9" x14ac:dyDescent="0.2">
      <c r="A13" t="s">
        <v>32</v>
      </c>
      <c r="B13">
        <f>VLOOKUP($A13,[4]加注释!$A:$H,8,FALSE)</f>
        <v>-1.0324599999999999</v>
      </c>
      <c r="D13" t="s">
        <v>206</v>
      </c>
      <c r="E13">
        <f>VLOOKUP($D13,[4]加注释!$A:$H,8,FALSE)</f>
        <v>-1.4353</v>
      </c>
      <c r="F13">
        <f>VLOOKUP($D13,[5]Sheet2!$A:$H,8,FALSE)</f>
        <v>1.0559799999999999</v>
      </c>
      <c r="H13" t="s">
        <v>1490</v>
      </c>
      <c r="I13" s="39">
        <f>VLOOKUP($H13,[5]Sheet2!$A:$H,8,FALSE)</f>
        <v>1.58046</v>
      </c>
    </row>
    <row r="14" spans="1:9" x14ac:dyDescent="0.2">
      <c r="A14" t="s">
        <v>34</v>
      </c>
      <c r="B14">
        <f>VLOOKUP($A14,[4]加注释!$A:$H,8,FALSE)</f>
        <v>-2.3327</v>
      </c>
      <c r="D14" t="s">
        <v>242</v>
      </c>
      <c r="E14">
        <f>VLOOKUP($D14,[4]加注释!$A:$H,8,FALSE)</f>
        <v>-1.3429500000000001</v>
      </c>
      <c r="F14">
        <f>VLOOKUP($D14,[5]Sheet2!$A:$H,8,FALSE)</f>
        <v>1.0942700000000001</v>
      </c>
      <c r="H14" t="s">
        <v>1492</v>
      </c>
      <c r="I14" s="39">
        <f>VLOOKUP($H14,[5]Sheet2!$A:$H,8,FALSE)</f>
        <v>1.73831</v>
      </c>
    </row>
    <row r="15" spans="1:9" x14ac:dyDescent="0.2">
      <c r="A15" t="s">
        <v>1133</v>
      </c>
      <c r="B15">
        <f>VLOOKUP($A15,[4]加注释!$A:$H,8,FALSE)</f>
        <v>1.1519999999999999</v>
      </c>
      <c r="D15" t="s">
        <v>1210</v>
      </c>
      <c r="E15">
        <f>VLOOKUP($D15,[4]加注释!$A:$H,8,FALSE)</f>
        <v>1.38598</v>
      </c>
      <c r="F15">
        <f>VLOOKUP($D15,[5]Sheet2!$A:$H,8,FALSE)</f>
        <v>1.22411</v>
      </c>
      <c r="H15" t="s">
        <v>61</v>
      </c>
      <c r="I15" s="39">
        <f>VLOOKUP($H15,[5]Sheet2!$A:$H,8,FALSE)</f>
        <v>1.34372</v>
      </c>
    </row>
    <row r="16" spans="1:9" x14ac:dyDescent="0.2">
      <c r="A16" t="s">
        <v>38</v>
      </c>
      <c r="B16">
        <f>VLOOKUP($A16,[4]加注释!$A:$H,8,FALSE)</f>
        <v>-1.62741</v>
      </c>
      <c r="D16" t="s">
        <v>1213</v>
      </c>
      <c r="E16">
        <f>VLOOKUP($D16,[4]加注释!$A:$H,8,FALSE)</f>
        <v>-1.78921</v>
      </c>
      <c r="F16">
        <f>VLOOKUP($D16,[5]Sheet2!$A:$H,8,FALSE)</f>
        <v>1.49532</v>
      </c>
      <c r="H16" t="s">
        <v>1151</v>
      </c>
      <c r="I16" s="39">
        <f>VLOOKUP($H16,[5]Sheet2!$A:$H,8,FALSE)</f>
        <v>1.0990200000000001</v>
      </c>
    </row>
    <row r="17" spans="1:9" x14ac:dyDescent="0.2">
      <c r="A17" t="s">
        <v>1135</v>
      </c>
      <c r="B17">
        <f>VLOOKUP($A17,[4]加注释!$A:$H,8,FALSE)</f>
        <v>-1.74505</v>
      </c>
      <c r="D17" t="s">
        <v>272</v>
      </c>
      <c r="E17">
        <f>VLOOKUP($D17,[4]加注释!$A:$H,8,FALSE)</f>
        <v>-1.3518399999999999</v>
      </c>
      <c r="F17">
        <f>VLOOKUP($D17,[5]Sheet2!$A:$H,8,FALSE)</f>
        <v>1.0766500000000001</v>
      </c>
      <c r="H17" t="s">
        <v>1493</v>
      </c>
      <c r="I17" s="39">
        <f>VLOOKUP($H17,[5]Sheet2!$A:$H,8,FALSE)</f>
        <v>1.19608</v>
      </c>
    </row>
    <row r="18" spans="1:9" x14ac:dyDescent="0.2">
      <c r="A18" t="s">
        <v>1136</v>
      </c>
      <c r="B18">
        <f>VLOOKUP($A18,[4]加注释!$A:$H,8,FALSE)</f>
        <v>-3.0339999999999998</v>
      </c>
      <c r="D18" t="s">
        <v>276</v>
      </c>
      <c r="E18">
        <f>VLOOKUP($D18,[4]加注释!$A:$H,8,FALSE)</f>
        <v>-2.19658</v>
      </c>
      <c r="F18">
        <f>VLOOKUP($D18,[5]Sheet2!$A:$H,8,FALSE)</f>
        <v>1.3022899999999999</v>
      </c>
      <c r="H18" t="s">
        <v>1495</v>
      </c>
      <c r="I18" s="39">
        <f>VLOOKUP($H18,[5]Sheet2!$A:$H,8,FALSE)</f>
        <v>1.0862099999999999</v>
      </c>
    </row>
    <row r="19" spans="1:9" x14ac:dyDescent="0.2">
      <c r="A19" t="s">
        <v>1137</v>
      </c>
      <c r="B19" t="str">
        <f>VLOOKUP($A19,[4]加注释!$A:$H,8,FALSE)</f>
        <v>inf</v>
      </c>
      <c r="D19" t="s">
        <v>1237</v>
      </c>
      <c r="E19">
        <f>VLOOKUP($D19,[4]加注释!$A:$H,8,FALSE)</f>
        <v>-1.77433</v>
      </c>
      <c r="F19">
        <f>VLOOKUP($D19,[5]Sheet2!$A:$H,8,FALSE)</f>
        <v>1.5647800000000001</v>
      </c>
      <c r="H19" t="s">
        <v>73</v>
      </c>
      <c r="I19" s="39">
        <f>VLOOKUP($H19,[5]Sheet2!$A:$H,8,FALSE)</f>
        <v>1.2382299999999999</v>
      </c>
    </row>
    <row r="20" spans="1:9" x14ac:dyDescent="0.2">
      <c r="A20" t="s">
        <v>1138</v>
      </c>
      <c r="B20">
        <f>VLOOKUP($A20,[4]加注释!$A:$H,8,FALSE)</f>
        <v>-1.5093700000000001</v>
      </c>
      <c r="D20" t="s">
        <v>312</v>
      </c>
      <c r="E20">
        <f>VLOOKUP($D20,[4]加注释!$A:$H,8,FALSE)</f>
        <v>-1.22658</v>
      </c>
      <c r="F20">
        <f>VLOOKUP($D20,[5]Sheet2!$A:$H,8,FALSE)</f>
        <v>1.0160899999999999</v>
      </c>
      <c r="H20" t="s">
        <v>74</v>
      </c>
      <c r="I20" s="39">
        <f>VLOOKUP($H20,[5]Sheet2!$A:$H,8,FALSE)</f>
        <v>1.1413500000000001</v>
      </c>
    </row>
    <row r="21" spans="1:9" x14ac:dyDescent="0.2">
      <c r="A21" t="s">
        <v>1139</v>
      </c>
      <c r="B21">
        <f>VLOOKUP($A21,[4]加注释!$A:$H,8,FALSE)</f>
        <v>-1.34657</v>
      </c>
      <c r="D21" t="s">
        <v>327</v>
      </c>
      <c r="E21">
        <f>VLOOKUP($D21,[4]加注释!$A:$H,8,FALSE)</f>
        <v>-1.4723299999999999</v>
      </c>
      <c r="F21">
        <f>VLOOKUP($D21,[5]Sheet2!$A:$H,8,FALSE)</f>
        <v>1.2761899999999999</v>
      </c>
      <c r="H21" t="s">
        <v>1799</v>
      </c>
      <c r="I21" s="39">
        <f>VLOOKUP($H21,[5]Sheet2!$A:$H,8,FALSE)</f>
        <v>2.0706600000000002</v>
      </c>
    </row>
    <row r="22" spans="1:9" x14ac:dyDescent="0.2">
      <c r="A22" t="s">
        <v>1140</v>
      </c>
      <c r="B22">
        <f>VLOOKUP($A22,[4]加注释!$A:$H,8,FALSE)</f>
        <v>1.2892399999999999</v>
      </c>
      <c r="D22" t="s">
        <v>1242</v>
      </c>
      <c r="E22">
        <f>VLOOKUP($D22,[4]加注释!$A:$H,8,FALSE)</f>
        <v>-1.6027800000000001</v>
      </c>
      <c r="F22">
        <f>VLOOKUP($D22,[5]Sheet2!$A:$H,8,FALSE)</f>
        <v>1.44686</v>
      </c>
      <c r="H22" t="s">
        <v>1800</v>
      </c>
      <c r="I22" s="39">
        <f>VLOOKUP($H22,[5]Sheet2!$A:$H,8,FALSE)</f>
        <v>1.2951900000000001</v>
      </c>
    </row>
    <row r="23" spans="1:9" x14ac:dyDescent="0.2">
      <c r="A23" t="s">
        <v>1142</v>
      </c>
      <c r="B23">
        <f>VLOOKUP($A23,[4]加注释!$A:$H,8,FALSE)</f>
        <v>-1.5915900000000001</v>
      </c>
      <c r="D23" t="s">
        <v>1243</v>
      </c>
      <c r="E23" t="str">
        <f>VLOOKUP($D23,[4]加注释!$A:$H,8,FALSE)</f>
        <v>inf</v>
      </c>
      <c r="F23">
        <f>VLOOKUP($D23,[5]Sheet2!$A:$H,8,FALSE)</f>
        <v>-1.0915699999999999</v>
      </c>
      <c r="H23" t="s">
        <v>1801</v>
      </c>
      <c r="I23" s="39">
        <f>VLOOKUP($H23,[5]Sheet2!$A:$H,8,FALSE)</f>
        <v>-1.75518</v>
      </c>
    </row>
    <row r="24" spans="1:9" x14ac:dyDescent="0.2">
      <c r="A24" t="s">
        <v>1143</v>
      </c>
      <c r="B24">
        <f>VLOOKUP($A24,[4]加注释!$A:$H,8,FALSE)</f>
        <v>3.7935599999999998</v>
      </c>
      <c r="D24" t="s">
        <v>1253</v>
      </c>
      <c r="E24">
        <f>VLOOKUP($D24,[4]加注释!$A:$H,8,FALSE)</f>
        <v>-2.1493000000000002</v>
      </c>
      <c r="F24">
        <f>VLOOKUP($D24,[5]Sheet2!$A:$H,8,FALSE)</f>
        <v>1.4070499999999999</v>
      </c>
      <c r="H24" t="s">
        <v>103</v>
      </c>
      <c r="I24" s="39">
        <f>VLOOKUP($H24,[5]Sheet2!$A:$H,8,FALSE)</f>
        <v>1.6117900000000001</v>
      </c>
    </row>
    <row r="25" spans="1:9" x14ac:dyDescent="0.2">
      <c r="A25" t="s">
        <v>1144</v>
      </c>
      <c r="B25">
        <f>VLOOKUP($A25,[4]加注释!$A:$H,8,FALSE)</f>
        <v>1.0559499999999999</v>
      </c>
      <c r="D25" t="s">
        <v>1258</v>
      </c>
      <c r="E25">
        <f>VLOOKUP($D25,[4]加注释!$A:$H,8,FALSE)</f>
        <v>-1.2416</v>
      </c>
      <c r="F25">
        <f>VLOOKUP($D25,[5]Sheet2!$A:$H,8,FALSE)</f>
        <v>1.2904100000000001</v>
      </c>
      <c r="H25" t="s">
        <v>1802</v>
      </c>
      <c r="I25" s="39">
        <f>VLOOKUP($H25,[5]Sheet2!$A:$H,8,FALSE)</f>
        <v>1.0189699999999999</v>
      </c>
    </row>
    <row r="26" spans="1:9" x14ac:dyDescent="0.2">
      <c r="A26" t="s">
        <v>52</v>
      </c>
      <c r="B26">
        <f>VLOOKUP($A26,[4]加注释!$A:$H,8,FALSE)</f>
        <v>1.0729</v>
      </c>
      <c r="D26" t="s">
        <v>1259</v>
      </c>
      <c r="E26">
        <f>VLOOKUP($D26,[4]加注释!$A:$H,8,FALSE)</f>
        <v>-1.77481</v>
      </c>
      <c r="F26">
        <f>VLOOKUP($D26,[5]Sheet2!$A:$H,8,FALSE)</f>
        <v>1.9002399999999999</v>
      </c>
      <c r="H26" t="s">
        <v>1803</v>
      </c>
      <c r="I26" s="39">
        <f>VLOOKUP($H26,[5]Sheet2!$A:$H,8,FALSE)</f>
        <v>-1.3108900000000001</v>
      </c>
    </row>
    <row r="27" spans="1:9" x14ac:dyDescent="0.2">
      <c r="A27" t="s">
        <v>1146</v>
      </c>
      <c r="B27">
        <f>VLOOKUP($A27,[4]加注释!$A:$H,8,FALSE)</f>
        <v>1.8774599999999999</v>
      </c>
      <c r="D27" t="s">
        <v>1261</v>
      </c>
      <c r="E27">
        <f>VLOOKUP($D27,[4]加注释!$A:$H,8,FALSE)</f>
        <v>1.29895</v>
      </c>
      <c r="F27">
        <f>VLOOKUP($D27,[5]Sheet2!$A:$H,8,FALSE)</f>
        <v>1.2464900000000001</v>
      </c>
      <c r="H27" t="s">
        <v>1509</v>
      </c>
      <c r="I27" s="39">
        <f>VLOOKUP($H27,[5]Sheet2!$A:$H,8,FALSE)</f>
        <v>1.9354199999999999</v>
      </c>
    </row>
    <row r="28" spans="1:9" x14ac:dyDescent="0.2">
      <c r="A28" t="s">
        <v>1147</v>
      </c>
      <c r="B28">
        <f>VLOOKUP($A28,[4]加注释!$A:$H,8,FALSE)</f>
        <v>1.8406400000000001</v>
      </c>
      <c r="D28" t="s">
        <v>389</v>
      </c>
      <c r="E28">
        <f>VLOOKUP($D28,[4]加注释!$A:$H,8,FALSE)</f>
        <v>1.06782</v>
      </c>
      <c r="F28">
        <f>VLOOKUP($D28,[5]Sheet2!$A:$H,8,FALSE)</f>
        <v>1.7485200000000001</v>
      </c>
      <c r="H28" t="s">
        <v>131</v>
      </c>
      <c r="I28" s="39">
        <f>VLOOKUP($H28,[5]Sheet2!$A:$H,8,FALSE)</f>
        <v>-1.0017499999999999</v>
      </c>
    </row>
    <row r="29" spans="1:9" x14ac:dyDescent="0.2">
      <c r="A29" t="s">
        <v>1148</v>
      </c>
      <c r="B29">
        <f>VLOOKUP($A29,[4]加注释!$A:$H,8,FALSE)</f>
        <v>-2.2762799999999999</v>
      </c>
      <c r="D29" t="s">
        <v>406</v>
      </c>
      <c r="E29">
        <f>VLOOKUP($D29,[4]加注释!$A:$H,8,FALSE)</f>
        <v>-3.2538200000000002</v>
      </c>
      <c r="F29">
        <f>VLOOKUP($D29,[5]Sheet2!$A:$H,8,FALSE)</f>
        <v>2.6673200000000001</v>
      </c>
      <c r="H29" t="s">
        <v>1513</v>
      </c>
      <c r="I29" s="39">
        <f>VLOOKUP($H29,[5]Sheet2!$A:$H,8,FALSE)</f>
        <v>-1.4534899999999999</v>
      </c>
    </row>
    <row r="30" spans="1:9" x14ac:dyDescent="0.2">
      <c r="A30" t="s">
        <v>1149</v>
      </c>
      <c r="B30">
        <f>VLOOKUP($A30,[4]加注释!$A:$H,8,FALSE)</f>
        <v>-1.1818200000000001</v>
      </c>
      <c r="D30" t="s">
        <v>413</v>
      </c>
      <c r="E30">
        <f>VLOOKUP($D30,[4]加注释!$A:$H,8,FALSE)</f>
        <v>-2.3684500000000002</v>
      </c>
      <c r="F30">
        <f>VLOOKUP($D30,[5]Sheet2!$A:$H,8,FALSE)</f>
        <v>1.44682</v>
      </c>
      <c r="H30" t="s">
        <v>136</v>
      </c>
      <c r="I30" s="39">
        <f>VLOOKUP($H30,[5]Sheet2!$A:$H,8,FALSE)</f>
        <v>1.52518</v>
      </c>
    </row>
    <row r="31" spans="1:9" x14ac:dyDescent="0.2">
      <c r="A31" t="s">
        <v>56</v>
      </c>
      <c r="B31">
        <f>VLOOKUP($A31,[4]加注释!$A:$H,8,FALSE)</f>
        <v>-1.6666099999999999</v>
      </c>
      <c r="D31" t="s">
        <v>414</v>
      </c>
      <c r="E31">
        <f>VLOOKUP($D31,[4]加注释!$A:$H,8,FALSE)</f>
        <v>-2.00482</v>
      </c>
      <c r="F31">
        <f>VLOOKUP($D31,[5]Sheet2!$A:$H,8,FALSE)</f>
        <v>1.3578300000000001</v>
      </c>
      <c r="H31" t="s">
        <v>1515</v>
      </c>
      <c r="I31" s="39">
        <f>VLOOKUP($H31,[5]Sheet2!$A:$H,8,FALSE)</f>
        <v>1.2012499999999999</v>
      </c>
    </row>
    <row r="32" spans="1:9" x14ac:dyDescent="0.2">
      <c r="A32" t="s">
        <v>1150</v>
      </c>
      <c r="B32">
        <f>VLOOKUP($A32,[4]加注释!$A:$H,8,FALSE)</f>
        <v>-2.0948699999999998</v>
      </c>
      <c r="D32" t="s">
        <v>433</v>
      </c>
      <c r="E32">
        <f>VLOOKUP($D32,[4]加注释!$A:$H,8,FALSE)</f>
        <v>-1.08409</v>
      </c>
      <c r="F32">
        <f>VLOOKUP($D32,[5]Sheet2!$A:$H,8,FALSE)</f>
        <v>1.0688500000000001</v>
      </c>
      <c r="H32" t="s">
        <v>1516</v>
      </c>
      <c r="I32" s="39">
        <f>VLOOKUP($H32,[5]Sheet2!$A:$H,8,FALSE)</f>
        <v>-1.0473699999999999</v>
      </c>
    </row>
    <row r="33" spans="1:9" x14ac:dyDescent="0.2">
      <c r="A33" t="s">
        <v>60</v>
      </c>
      <c r="B33">
        <f>VLOOKUP($A33,[4]加注释!$A:$H,8,FALSE)</f>
        <v>2.0200399999999998</v>
      </c>
      <c r="D33" t="s">
        <v>496</v>
      </c>
      <c r="E33">
        <f>VLOOKUP($D33,[4]加注释!$A:$H,8,FALSE)</f>
        <v>-1.31612</v>
      </c>
      <c r="F33">
        <f>VLOOKUP($D33,[5]Sheet2!$A:$H,8,FALSE)</f>
        <v>-1.0695699999999999</v>
      </c>
      <c r="H33" t="s">
        <v>149</v>
      </c>
      <c r="I33" s="39">
        <f>VLOOKUP($H33,[5]Sheet2!$A:$H,8,FALSE)</f>
        <v>1.33551</v>
      </c>
    </row>
    <row r="34" spans="1:9" x14ac:dyDescent="0.2">
      <c r="A34" t="s">
        <v>65</v>
      </c>
      <c r="B34">
        <f>VLOOKUP($A34,[4]加注释!$A:$H,8,FALSE)</f>
        <v>-1.7162500000000001</v>
      </c>
      <c r="D34" t="s">
        <v>498</v>
      </c>
      <c r="E34">
        <f>VLOOKUP($D34,[4]加注释!$A:$H,8,FALSE)</f>
        <v>-2.8820299999999999</v>
      </c>
      <c r="F34">
        <f>VLOOKUP($D34,[5]Sheet2!$A:$H,8,FALSE)</f>
        <v>2.5358999999999998</v>
      </c>
      <c r="H34" t="s">
        <v>150</v>
      </c>
      <c r="I34" s="39">
        <f>VLOOKUP($H34,[5]Sheet2!$A:$H,8,FALSE)</f>
        <v>1.07673</v>
      </c>
    </row>
    <row r="35" spans="1:9" x14ac:dyDescent="0.2">
      <c r="A35" t="s">
        <v>66</v>
      </c>
      <c r="B35">
        <f>VLOOKUP($A35,[4]加注释!$A:$H,8,FALSE)</f>
        <v>-1.3847799999999999</v>
      </c>
      <c r="D35" t="s">
        <v>501</v>
      </c>
      <c r="E35">
        <f>VLOOKUP($D35,[4]加注释!$A:$H,8,FALSE)</f>
        <v>-1.14981</v>
      </c>
      <c r="F35">
        <f>VLOOKUP($D35,[5]Sheet2!$A:$H,8,FALSE)</f>
        <v>1.34741</v>
      </c>
      <c r="H35" t="s">
        <v>1189</v>
      </c>
      <c r="I35" s="39">
        <f>VLOOKUP($H35,[5]Sheet2!$A:$H,8,FALSE)</f>
        <v>-1.4860100000000001</v>
      </c>
    </row>
    <row r="36" spans="1:9" x14ac:dyDescent="0.2">
      <c r="A36" t="s">
        <v>68</v>
      </c>
      <c r="B36">
        <f>VLOOKUP($A36,[4]加注释!$A:$H,8,FALSE)</f>
        <v>-2.4935999999999998</v>
      </c>
      <c r="D36" t="s">
        <v>514</v>
      </c>
      <c r="E36">
        <f>VLOOKUP($D36,[4]加注释!$A:$H,8,FALSE)</f>
        <v>-1.3278799999999999</v>
      </c>
      <c r="F36">
        <f>VLOOKUP($D36,[5]Sheet2!$A:$H,8,FALSE)</f>
        <v>2.2527499999999998</v>
      </c>
      <c r="H36" t="s">
        <v>1520</v>
      </c>
      <c r="I36" s="39">
        <f>VLOOKUP($H36,[5]Sheet2!$A:$H,8,FALSE)</f>
        <v>1.45336</v>
      </c>
    </row>
    <row r="37" spans="1:9" x14ac:dyDescent="0.2">
      <c r="A37" t="s">
        <v>69</v>
      </c>
      <c r="B37">
        <f>VLOOKUP($A37,[4]加注释!$A:$H,8,FALSE)</f>
        <v>-2.4079100000000002</v>
      </c>
      <c r="D37" t="s">
        <v>1290</v>
      </c>
      <c r="E37">
        <f>VLOOKUP($D37,[4]加注释!$A:$H,8,FALSE)</f>
        <v>-1.9388700000000001</v>
      </c>
      <c r="F37">
        <f>VLOOKUP($D37,[5]Sheet2!$A:$H,8,FALSE)</f>
        <v>1.68374</v>
      </c>
      <c r="H37" t="s">
        <v>1804</v>
      </c>
      <c r="I37" s="39">
        <f>VLOOKUP($H37,[5]Sheet2!$A:$H,8,FALSE)</f>
        <v>1.5075700000000001</v>
      </c>
    </row>
    <row r="38" spans="1:9" x14ac:dyDescent="0.2">
      <c r="A38" t="s">
        <v>71</v>
      </c>
      <c r="B38">
        <f>VLOOKUP($A38,[4]加注释!$A:$H,8,FALSE)</f>
        <v>-1.2005999999999999</v>
      </c>
      <c r="D38" t="s">
        <v>532</v>
      </c>
      <c r="E38">
        <f>VLOOKUP($D38,[4]加注释!$A:$H,8,FALSE)</f>
        <v>-1.06189</v>
      </c>
      <c r="F38">
        <f>VLOOKUP($D38,[5]Sheet2!$A:$H,8,FALSE)</f>
        <v>1.54931</v>
      </c>
      <c r="H38" t="s">
        <v>1521</v>
      </c>
      <c r="I38" s="39">
        <f>VLOOKUP($H38,[5]Sheet2!$A:$H,8,FALSE)</f>
        <v>1.01935</v>
      </c>
    </row>
    <row r="39" spans="1:9" x14ac:dyDescent="0.2">
      <c r="A39" t="s">
        <v>1152</v>
      </c>
      <c r="B39">
        <f>VLOOKUP($A39,[4]加注释!$A:$H,8,FALSE)</f>
        <v>1.2865200000000001</v>
      </c>
      <c r="D39" t="s">
        <v>1291</v>
      </c>
      <c r="E39">
        <f>VLOOKUP($D39,[4]加注释!$A:$H,8,FALSE)</f>
        <v>-1.0956699999999999</v>
      </c>
      <c r="F39">
        <f>VLOOKUP($D39,[5]Sheet2!$A:$H,8,FALSE)</f>
        <v>1.15934</v>
      </c>
      <c r="H39" t="s">
        <v>188</v>
      </c>
      <c r="I39" s="39">
        <f>VLOOKUP($H39,[5]Sheet2!$A:$H,8,FALSE)</f>
        <v>1.4255800000000001</v>
      </c>
    </row>
    <row r="40" spans="1:9" x14ac:dyDescent="0.2">
      <c r="A40" t="s">
        <v>75</v>
      </c>
      <c r="B40">
        <f>VLOOKUP($A40,[4]加注释!$A:$H,8,FALSE)</f>
        <v>-1.1065499999999999</v>
      </c>
      <c r="D40" t="s">
        <v>579</v>
      </c>
      <c r="E40">
        <f>VLOOKUP($D40,[4]加注释!$A:$H,8,FALSE)</f>
        <v>-3.01227</v>
      </c>
      <c r="F40">
        <f>VLOOKUP($D40,[5]Sheet2!$A:$H,8,FALSE)</f>
        <v>2.5548700000000002</v>
      </c>
      <c r="H40" t="s">
        <v>1193</v>
      </c>
      <c r="I40" s="39">
        <f>VLOOKUP($H40,[5]Sheet2!$A:$H,8,FALSE)</f>
        <v>1.2920700000000001</v>
      </c>
    </row>
    <row r="41" spans="1:9" x14ac:dyDescent="0.2">
      <c r="A41" t="s">
        <v>77</v>
      </c>
      <c r="B41">
        <f>VLOOKUP($A41,[4]加注释!$A:$H,8,FALSE)</f>
        <v>-1.0238100000000001</v>
      </c>
      <c r="D41" t="s">
        <v>581</v>
      </c>
      <c r="E41">
        <f>VLOOKUP($D41,[4]加注释!$A:$H,8,FALSE)</f>
        <v>-1.62096</v>
      </c>
      <c r="F41">
        <f>VLOOKUP($D41,[5]Sheet2!$A:$H,8,FALSE)</f>
        <v>2.86978</v>
      </c>
      <c r="H41" t="s">
        <v>210</v>
      </c>
      <c r="I41" s="39">
        <f>VLOOKUP($H41,[5]Sheet2!$A:$H,8,FALSE)</f>
        <v>-1.3990499999999999</v>
      </c>
    </row>
    <row r="42" spans="1:9" x14ac:dyDescent="0.2">
      <c r="A42" t="s">
        <v>1153</v>
      </c>
      <c r="B42">
        <f>VLOOKUP($A42,[4]加注释!$A:$H,8,FALSE)</f>
        <v>-1.4082300000000001</v>
      </c>
      <c r="D42" t="s">
        <v>1307</v>
      </c>
      <c r="E42">
        <f>VLOOKUP($D42,[4]加注释!$A:$H,8,FALSE)</f>
        <v>-1.8120799999999999</v>
      </c>
      <c r="F42">
        <f>VLOOKUP($D42,[5]Sheet2!$A:$H,8,FALSE)</f>
        <v>1.5883</v>
      </c>
      <c r="H42" t="s">
        <v>1197</v>
      </c>
      <c r="I42" s="39">
        <f>VLOOKUP($H42,[5]Sheet2!$A:$H,8,FALSE)</f>
        <v>1.18781</v>
      </c>
    </row>
    <row r="43" spans="1:9" x14ac:dyDescent="0.2">
      <c r="A43" t="s">
        <v>81</v>
      </c>
      <c r="B43">
        <f>VLOOKUP($A43,[4]加注释!$A:$H,8,FALSE)</f>
        <v>-1.3254699999999999</v>
      </c>
      <c r="D43" t="s">
        <v>1309</v>
      </c>
      <c r="E43">
        <f>VLOOKUP($D43,[4]加注释!$A:$H,8,FALSE)</f>
        <v>-1.3098399999999999</v>
      </c>
      <c r="F43">
        <f>VLOOKUP($D43,[5]Sheet2!$A:$H,8,FALSE)</f>
        <v>-1.1493800000000001</v>
      </c>
      <c r="H43" t="s">
        <v>217</v>
      </c>
      <c r="I43" s="39">
        <f>VLOOKUP($H43,[5]Sheet2!$A:$H,8,FALSE)</f>
        <v>-1.34592</v>
      </c>
    </row>
    <row r="44" spans="1:9" x14ac:dyDescent="0.2">
      <c r="A44" t="s">
        <v>82</v>
      </c>
      <c r="B44">
        <f>VLOOKUP($A44,[4]加注释!$A:$H,8,FALSE)</f>
        <v>1.8174300000000001</v>
      </c>
      <c r="D44" t="s">
        <v>624</v>
      </c>
      <c r="E44">
        <f>VLOOKUP($D44,[4]加注释!$A:$H,8,FALSE)</f>
        <v>-1.3734299999999999</v>
      </c>
      <c r="F44">
        <f>VLOOKUP($D44,[5]Sheet2!$A:$H,8,FALSE)</f>
        <v>1.1796199999999999</v>
      </c>
      <c r="H44" t="s">
        <v>1805</v>
      </c>
      <c r="I44" s="39">
        <f>VLOOKUP($H44,[5]Sheet2!$A:$H,8,FALSE)</f>
        <v>1.46801</v>
      </c>
    </row>
    <row r="45" spans="1:9" x14ac:dyDescent="0.2">
      <c r="A45" t="s">
        <v>83</v>
      </c>
      <c r="B45">
        <f>VLOOKUP($A45,[4]加注释!$A:$H,8,FALSE)</f>
        <v>-1.43729</v>
      </c>
      <c r="D45" t="s">
        <v>630</v>
      </c>
      <c r="E45">
        <f>VLOOKUP($D45,[4]加注释!$A:$H,8,FALSE)</f>
        <v>-1.6973400000000001</v>
      </c>
      <c r="F45">
        <f>VLOOKUP($D45,[5]Sheet2!$A:$H,8,FALSE)</f>
        <v>2.9573200000000002</v>
      </c>
      <c r="H45" t="s">
        <v>1534</v>
      </c>
      <c r="I45" s="39">
        <f>VLOOKUP($H45,[5]Sheet2!$A:$H,8,FALSE)</f>
        <v>1.1615599999999999</v>
      </c>
    </row>
    <row r="46" spans="1:9" x14ac:dyDescent="0.2">
      <c r="A46" t="s">
        <v>84</v>
      </c>
      <c r="B46">
        <f>VLOOKUP($A46,[4]加注释!$A:$H,8,FALSE)</f>
        <v>-1.8532999999999999</v>
      </c>
      <c r="D46" t="s">
        <v>1337</v>
      </c>
      <c r="E46">
        <f>VLOOKUP($D46,[4]加注释!$A:$H,8,FALSE)</f>
        <v>-1.14001</v>
      </c>
      <c r="F46">
        <f>VLOOKUP($D46,[5]Sheet2!$A:$H,8,FALSE)</f>
        <v>1.5923400000000001</v>
      </c>
      <c r="H46" t="s">
        <v>1806</v>
      </c>
      <c r="I46" s="39">
        <f>VLOOKUP($H46,[5]Sheet2!$A:$H,8,FALSE)</f>
        <v>1.2125699999999999</v>
      </c>
    </row>
    <row r="47" spans="1:9" x14ac:dyDescent="0.2">
      <c r="A47" t="s">
        <v>1155</v>
      </c>
      <c r="B47">
        <f>VLOOKUP($A47,[4]加注释!$A:$H,8,FALSE)</f>
        <v>-1.6398299999999999</v>
      </c>
      <c r="D47" t="s">
        <v>668</v>
      </c>
      <c r="E47">
        <f>VLOOKUP($D47,[4]加注释!$A:$H,8,FALSE)</f>
        <v>-1.5966499999999999</v>
      </c>
      <c r="F47">
        <f>VLOOKUP($D47,[5]Sheet2!$A:$H,8,FALSE)</f>
        <v>1.0083</v>
      </c>
      <c r="H47" t="s">
        <v>229</v>
      </c>
      <c r="I47" s="39">
        <f>VLOOKUP($H47,[5]Sheet2!$A:$H,8,FALSE)</f>
        <v>1.4651700000000001</v>
      </c>
    </row>
    <row r="48" spans="1:9" x14ac:dyDescent="0.2">
      <c r="A48" t="s">
        <v>1156</v>
      </c>
      <c r="B48">
        <f>VLOOKUP($A48,[4]加注释!$A:$H,8,FALSE)</f>
        <v>-1.0217400000000001</v>
      </c>
      <c r="D48" t="s">
        <v>681</v>
      </c>
      <c r="E48">
        <f>VLOOKUP($D48,[4]加注释!$A:$H,8,FALSE)</f>
        <v>-2.0713499999999998</v>
      </c>
      <c r="F48">
        <f>VLOOKUP($D48,[5]Sheet2!$A:$H,8,FALSE)</f>
        <v>1.0670299999999999</v>
      </c>
      <c r="H48" t="s">
        <v>1807</v>
      </c>
      <c r="I48" s="39">
        <f>VLOOKUP($H48,[5]Sheet2!$A:$H,8,FALSE)</f>
        <v>1.0759700000000001</v>
      </c>
    </row>
    <row r="49" spans="1:9" x14ac:dyDescent="0.2">
      <c r="A49" t="s">
        <v>89</v>
      </c>
      <c r="B49">
        <f>VLOOKUP($A49,[4]加注释!$A:$H,8,FALSE)</f>
        <v>-1.25132</v>
      </c>
      <c r="D49" t="s">
        <v>1355</v>
      </c>
      <c r="E49">
        <f>VLOOKUP($D49,[4]加注释!$A:$H,8,FALSE)</f>
        <v>1.07881</v>
      </c>
      <c r="F49">
        <f>VLOOKUP($D49,[5]Sheet2!$A:$H,8,FALSE)</f>
        <v>-1.0005599999999999</v>
      </c>
      <c r="H49" t="s">
        <v>1536</v>
      </c>
      <c r="I49" s="39">
        <f>VLOOKUP($H49,[5]Sheet2!$A:$H,8,FALSE)</f>
        <v>1.0528999999999999</v>
      </c>
    </row>
    <row r="50" spans="1:9" x14ac:dyDescent="0.2">
      <c r="A50" t="s">
        <v>90</v>
      </c>
      <c r="B50">
        <f>VLOOKUP($A50,[4]加注释!$A:$H,8,FALSE)</f>
        <v>1.10314</v>
      </c>
      <c r="D50" t="s">
        <v>707</v>
      </c>
      <c r="E50">
        <f>VLOOKUP($D50,[4]加注释!$A:$H,8,FALSE)</f>
        <v>-2.1618499999999998</v>
      </c>
      <c r="F50">
        <f>VLOOKUP($D50,[5]Sheet2!$A:$H,8,FALSE)</f>
        <v>1.2216199999999999</v>
      </c>
      <c r="H50" t="s">
        <v>1537</v>
      </c>
      <c r="I50" s="39">
        <f>VLOOKUP($H50,[5]Sheet2!$A:$H,8,FALSE)</f>
        <v>-1.3884399999999999</v>
      </c>
    </row>
    <row r="51" spans="1:9" x14ac:dyDescent="0.2">
      <c r="A51" t="s">
        <v>91</v>
      </c>
      <c r="B51">
        <f>VLOOKUP($A51,[4]加注释!$A:$H,8,FALSE)</f>
        <v>-1.24675</v>
      </c>
      <c r="D51" t="s">
        <v>1362</v>
      </c>
      <c r="E51">
        <f>VLOOKUP($D51,[4]加注释!$A:$H,8,FALSE)</f>
        <v>-1.0973200000000001</v>
      </c>
      <c r="F51">
        <f>VLOOKUP($D51,[5]Sheet2!$A:$H,8,FALSE)</f>
        <v>2.8371599999999999</v>
      </c>
      <c r="H51" t="s">
        <v>239</v>
      </c>
      <c r="I51" s="39">
        <f>VLOOKUP($H51,[5]Sheet2!$A:$H,8,FALSE)</f>
        <v>1.06213</v>
      </c>
    </row>
    <row r="52" spans="1:9" x14ac:dyDescent="0.2">
      <c r="A52" t="s">
        <v>93</v>
      </c>
      <c r="B52">
        <f>VLOOKUP($A52,[4]加注释!$A:$H,8,FALSE)</f>
        <v>-1.1708799999999999</v>
      </c>
      <c r="D52" t="s">
        <v>722</v>
      </c>
      <c r="E52">
        <f>VLOOKUP($D52,[4]加注释!$A:$H,8,FALSE)</f>
        <v>1.6463099999999999</v>
      </c>
      <c r="F52">
        <f>VLOOKUP($D52,[5]Sheet2!$A:$H,8,FALSE)</f>
        <v>1.44136</v>
      </c>
      <c r="H52" t="s">
        <v>1808</v>
      </c>
      <c r="I52" s="39">
        <f>VLOOKUP($H52,[5]Sheet2!$A:$H,8,FALSE)</f>
        <v>-1.1180099999999999</v>
      </c>
    </row>
    <row r="53" spans="1:9" x14ac:dyDescent="0.2">
      <c r="A53" t="s">
        <v>94</v>
      </c>
      <c r="B53">
        <f>VLOOKUP($A53,[4]加注释!$A:$H,8,FALSE)</f>
        <v>-1.2482200000000001</v>
      </c>
      <c r="D53" t="s">
        <v>742</v>
      </c>
      <c r="E53">
        <f>VLOOKUP($D53,[4]加注释!$A:$H,8,FALSE)</f>
        <v>-1.05091</v>
      </c>
      <c r="F53">
        <f>VLOOKUP($D53,[5]Sheet2!$A:$H,8,FALSE)</f>
        <v>1.04338</v>
      </c>
      <c r="H53" t="s">
        <v>244</v>
      </c>
      <c r="I53" s="39">
        <f>VLOOKUP($H53,[5]Sheet2!$A:$H,8,FALSE)</f>
        <v>-1.1603600000000001</v>
      </c>
    </row>
    <row r="54" spans="1:9" x14ac:dyDescent="0.2">
      <c r="A54" t="s">
        <v>98</v>
      </c>
      <c r="B54">
        <f>VLOOKUP($A54,[4]加注释!$A:$H,8,FALSE)</f>
        <v>-2.3152900000000001</v>
      </c>
      <c r="D54" t="s">
        <v>744</v>
      </c>
      <c r="E54">
        <f>VLOOKUP($D54,[4]加注释!$A:$H,8,FALSE)</f>
        <v>-2.2781500000000001</v>
      </c>
      <c r="F54">
        <f>VLOOKUP($D54,[5]Sheet2!$A:$H,8,FALSE)</f>
        <v>1.0893699999999999</v>
      </c>
      <c r="H54" t="s">
        <v>1209</v>
      </c>
      <c r="I54" s="39">
        <f>VLOOKUP($H54,[5]Sheet2!$A:$H,8,FALSE)</f>
        <v>1.0885199999999999</v>
      </c>
    </row>
    <row r="55" spans="1:9" x14ac:dyDescent="0.2">
      <c r="A55" t="s">
        <v>102</v>
      </c>
      <c r="B55">
        <f>VLOOKUP($A55,[4]加注释!$A:$H,8,FALSE)</f>
        <v>-1.9333</v>
      </c>
      <c r="D55" t="s">
        <v>1381</v>
      </c>
      <c r="E55">
        <f>VLOOKUP($D55,[4]加注释!$A:$H,8,FALSE)</f>
        <v>-1.19733</v>
      </c>
      <c r="F55">
        <f>VLOOKUP($D55,[5]Sheet2!$A:$H,8,FALSE)</f>
        <v>1.54844</v>
      </c>
      <c r="H55" t="s">
        <v>259</v>
      </c>
      <c r="I55" s="39">
        <f>VLOOKUP($H55,[5]Sheet2!$A:$H,8,FALSE)</f>
        <v>1.15787</v>
      </c>
    </row>
    <row r="56" spans="1:9" x14ac:dyDescent="0.2">
      <c r="A56" t="s">
        <v>104</v>
      </c>
      <c r="B56">
        <f>VLOOKUP($A56,[4]加注释!$A:$H,8,FALSE)</f>
        <v>1.4835400000000001</v>
      </c>
      <c r="D56" t="s">
        <v>1386</v>
      </c>
      <c r="E56">
        <f>VLOOKUP($D56,[4]加注释!$A:$H,8,FALSE)</f>
        <v>-1.5945100000000001</v>
      </c>
      <c r="F56">
        <f>VLOOKUP($D56,[5]Sheet2!$A:$H,8,FALSE)</f>
        <v>1.381</v>
      </c>
      <c r="H56" t="s">
        <v>1551</v>
      </c>
      <c r="I56" s="39">
        <f>VLOOKUP($H56,[5]Sheet2!$A:$H,8,FALSE)</f>
        <v>-1.46288</v>
      </c>
    </row>
    <row r="57" spans="1:9" x14ac:dyDescent="0.2">
      <c r="A57" t="s">
        <v>1159</v>
      </c>
      <c r="B57">
        <f>VLOOKUP($A57,[4]加注释!$A:$H,8,FALSE)</f>
        <v>-1.0795300000000001</v>
      </c>
      <c r="D57" t="s">
        <v>1388</v>
      </c>
      <c r="E57">
        <f>VLOOKUP($D57,[4]加注释!$A:$H,8,FALSE)</f>
        <v>1.0446</v>
      </c>
      <c r="F57">
        <f>VLOOKUP($D57,[5]Sheet2!$A:$H,8,FALSE)</f>
        <v>-1.0705800000000001</v>
      </c>
      <c r="H57" t="s">
        <v>1553</v>
      </c>
      <c r="I57" s="39">
        <f>VLOOKUP($H57,[5]Sheet2!$A:$H,8,FALSE)</f>
        <v>-1.1436500000000001</v>
      </c>
    </row>
    <row r="58" spans="1:9" x14ac:dyDescent="0.2">
      <c r="A58" t="s">
        <v>106</v>
      </c>
      <c r="B58">
        <f>VLOOKUP($A58,[4]加注释!$A:$H,8,FALSE)</f>
        <v>-1.3531599999999999</v>
      </c>
      <c r="D58" t="s">
        <v>797</v>
      </c>
      <c r="E58">
        <f>VLOOKUP($D58,[4]加注释!$A:$H,8,FALSE)</f>
        <v>-1.2618499999999999</v>
      </c>
      <c r="F58">
        <f>VLOOKUP($D58,[5]Sheet2!$A:$H,8,FALSE)</f>
        <v>1.3288500000000001</v>
      </c>
      <c r="H58" t="s">
        <v>1809</v>
      </c>
      <c r="I58" s="39">
        <f>VLOOKUP($H58,[5]Sheet2!$A:$H,8,FALSE)</f>
        <v>1.3761300000000001</v>
      </c>
    </row>
    <row r="59" spans="1:9" x14ac:dyDescent="0.2">
      <c r="A59" t="s">
        <v>1160</v>
      </c>
      <c r="B59">
        <f>VLOOKUP($A59,[4]加注释!$A:$H,8,FALSE)</f>
        <v>-1.91422</v>
      </c>
      <c r="D59" t="s">
        <v>799</v>
      </c>
      <c r="E59">
        <f>VLOOKUP($D59,[4]加注释!$A:$H,8,FALSE)</f>
        <v>2.07897</v>
      </c>
      <c r="F59">
        <f>VLOOKUP($D59,[5]Sheet2!$A:$H,8,FALSE)</f>
        <v>1.65422</v>
      </c>
      <c r="H59" t="s">
        <v>1810</v>
      </c>
      <c r="I59" s="39" t="e">
        <f>VLOOKUP($H59,[5]Sheet2!$A:$H,8,FALSE)</f>
        <v>#NAME?</v>
      </c>
    </row>
    <row r="60" spans="1:9" x14ac:dyDescent="0.2">
      <c r="A60" t="s">
        <v>1161</v>
      </c>
      <c r="B60">
        <f>VLOOKUP($A60,[4]加注释!$A:$H,8,FALSE)</f>
        <v>1.12388</v>
      </c>
      <c r="D60" t="s">
        <v>817</v>
      </c>
      <c r="E60">
        <f>VLOOKUP($D60,[4]加注释!$A:$H,8,FALSE)</f>
        <v>-1.0620000000000001</v>
      </c>
      <c r="F60">
        <f>VLOOKUP($D60,[5]Sheet2!$A:$H,8,FALSE)</f>
        <v>1.2521100000000001</v>
      </c>
      <c r="H60" t="s">
        <v>1811</v>
      </c>
      <c r="I60" s="39">
        <f>VLOOKUP($H60,[5]Sheet2!$A:$H,8,FALSE)</f>
        <v>1.2696799999999999</v>
      </c>
    </row>
    <row r="61" spans="1:9" x14ac:dyDescent="0.2">
      <c r="A61" t="s">
        <v>1163</v>
      </c>
      <c r="B61">
        <f>VLOOKUP($A61,[4]加注释!$A:$H,8,FALSE)</f>
        <v>-1.0123200000000001</v>
      </c>
      <c r="D61" t="s">
        <v>825</v>
      </c>
      <c r="E61">
        <f>VLOOKUP($D61,[4]加注释!$A:$H,8,FALSE)</f>
        <v>-3.37635</v>
      </c>
      <c r="F61">
        <f>VLOOKUP($D61,[5]Sheet2!$A:$H,8,FALSE)</f>
        <v>1.90605</v>
      </c>
      <c r="H61" t="s">
        <v>288</v>
      </c>
      <c r="I61" s="39">
        <f>VLOOKUP($H61,[5]Sheet2!$A:$H,8,FALSE)</f>
        <v>1.07386</v>
      </c>
    </row>
    <row r="62" spans="1:9" x14ac:dyDescent="0.2">
      <c r="A62" t="s">
        <v>1164</v>
      </c>
      <c r="B62">
        <f>VLOOKUP($A62,[4]加注释!$A:$H,8,FALSE)</f>
        <v>-1.3709899999999999</v>
      </c>
      <c r="D62" t="s">
        <v>859</v>
      </c>
      <c r="E62">
        <f>VLOOKUP($D62,[4]加注释!$A:$H,8,FALSE)</f>
        <v>-1.3505199999999999</v>
      </c>
      <c r="F62">
        <f>VLOOKUP($D62,[5]Sheet2!$A:$H,8,FALSE)</f>
        <v>1.25143</v>
      </c>
      <c r="H62" t="s">
        <v>289</v>
      </c>
      <c r="I62" s="39">
        <f>VLOOKUP($H62,[5]Sheet2!$A:$H,8,FALSE)</f>
        <v>1.4574</v>
      </c>
    </row>
    <row r="63" spans="1:9" x14ac:dyDescent="0.2">
      <c r="A63" t="s">
        <v>1165</v>
      </c>
      <c r="B63" t="str">
        <f>VLOOKUP($A63,[4]加注释!$A:$H,8,FALSE)</f>
        <v>inf</v>
      </c>
      <c r="D63" t="s">
        <v>1415</v>
      </c>
      <c r="E63">
        <f>VLOOKUP($D63,[4]加注释!$A:$H,8,FALSE)</f>
        <v>1.7926500000000001</v>
      </c>
      <c r="F63">
        <f>VLOOKUP($D63,[5]Sheet2!$A:$H,8,FALSE)</f>
        <v>2.06873</v>
      </c>
      <c r="H63" t="s">
        <v>290</v>
      </c>
      <c r="I63" s="39">
        <f>VLOOKUP($H63,[5]Sheet2!$A:$H,8,FALSE)</f>
        <v>2.2080099999999998</v>
      </c>
    </row>
    <row r="64" spans="1:9" x14ac:dyDescent="0.2">
      <c r="A64" t="s">
        <v>114</v>
      </c>
      <c r="B64">
        <f>VLOOKUP($A64,[4]加注释!$A:$H,8,FALSE)</f>
        <v>1.49396</v>
      </c>
      <c r="D64" t="s">
        <v>895</v>
      </c>
      <c r="E64">
        <f>VLOOKUP($D64,[4]加注释!$A:$H,8,FALSE)</f>
        <v>1.50986</v>
      </c>
      <c r="F64">
        <f>VLOOKUP($D64,[5]Sheet2!$A:$H,8,FALSE)</f>
        <v>2.33249</v>
      </c>
      <c r="H64" t="s">
        <v>1566</v>
      </c>
      <c r="I64" s="39">
        <f>VLOOKUP($H64,[5]Sheet2!$A:$H,8,FALSE)</f>
        <v>1.7152799999999999</v>
      </c>
    </row>
    <row r="65" spans="1:9" x14ac:dyDescent="0.2">
      <c r="A65" t="s">
        <v>1167</v>
      </c>
      <c r="B65">
        <f>VLOOKUP($A65,[4]加注释!$A:$H,8,FALSE)</f>
        <v>-1.4229099999999999</v>
      </c>
      <c r="D65" t="s">
        <v>913</v>
      </c>
      <c r="E65">
        <f>VLOOKUP($D65,[4]加注释!$A:$H,8,FALSE)</f>
        <v>-1.74105</v>
      </c>
      <c r="F65">
        <f>VLOOKUP($D65,[5]Sheet2!$A:$H,8,FALSE)</f>
        <v>1.6349800000000001</v>
      </c>
      <c r="H65" t="s">
        <v>1567</v>
      </c>
      <c r="I65" s="39">
        <f>VLOOKUP($H65,[5]Sheet2!$A:$H,8,FALSE)</f>
        <v>-1.4052</v>
      </c>
    </row>
    <row r="66" spans="1:9" x14ac:dyDescent="0.2">
      <c r="A66" t="s">
        <v>118</v>
      </c>
      <c r="B66">
        <f>VLOOKUP($A66,[4]加注释!$A:$H,8,FALSE)</f>
        <v>1.14279</v>
      </c>
      <c r="D66" t="s">
        <v>937</v>
      </c>
      <c r="E66">
        <f>VLOOKUP($D66,[4]加注释!$A:$H,8,FALSE)</f>
        <v>-2.3315100000000002</v>
      </c>
      <c r="F66">
        <f>VLOOKUP($D66,[5]Sheet2!$A:$H,8,FALSE)</f>
        <v>1.39781</v>
      </c>
      <c r="H66" t="s">
        <v>305</v>
      </c>
      <c r="I66" s="39">
        <f>VLOOKUP($H66,[5]Sheet2!$A:$H,8,FALSE)</f>
        <v>1.92126</v>
      </c>
    </row>
    <row r="67" spans="1:9" x14ac:dyDescent="0.2">
      <c r="A67" t="s">
        <v>1169</v>
      </c>
      <c r="B67">
        <f>VLOOKUP($A67,[4]加注释!$A:$H,8,FALSE)</f>
        <v>-1.14693</v>
      </c>
      <c r="D67" t="s">
        <v>1425</v>
      </c>
      <c r="E67">
        <f>VLOOKUP($D67,[4]加注释!$A:$H,8,FALSE)</f>
        <v>-1.3610500000000001</v>
      </c>
      <c r="F67">
        <f>VLOOKUP($D67,[5]Sheet2!$A:$H,8,FALSE)</f>
        <v>1.0628500000000001</v>
      </c>
      <c r="H67" t="s">
        <v>309</v>
      </c>
      <c r="I67" s="39">
        <f>VLOOKUP($H67,[5]Sheet2!$A:$H,8,FALSE)</f>
        <v>1.1898500000000001</v>
      </c>
    </row>
    <row r="68" spans="1:9" x14ac:dyDescent="0.2">
      <c r="A68" t="s">
        <v>123</v>
      </c>
      <c r="B68">
        <f>VLOOKUP($A68,[4]加注释!$A:$H,8,FALSE)</f>
        <v>-1.03027</v>
      </c>
      <c r="D68" t="s">
        <v>1429</v>
      </c>
      <c r="E68">
        <f>VLOOKUP($D68,[4]加注释!$A:$H,8,FALSE)</f>
        <v>-1.2327399999999999</v>
      </c>
      <c r="F68">
        <f>VLOOKUP($D68,[5]Sheet2!$A:$H,8,FALSE)</f>
        <v>1.7051099999999999</v>
      </c>
      <c r="H68" t="s">
        <v>311</v>
      </c>
      <c r="I68" s="39">
        <f>VLOOKUP($H68,[5]Sheet2!$A:$H,8,FALSE)</f>
        <v>1.0956300000000001</v>
      </c>
    </row>
    <row r="69" spans="1:9" x14ac:dyDescent="0.2">
      <c r="A69" t="s">
        <v>1170</v>
      </c>
      <c r="B69">
        <f>VLOOKUP($A69,[4]加注释!$A:$H,8,FALSE)</f>
        <v>1.53992</v>
      </c>
      <c r="D69" t="s">
        <v>952</v>
      </c>
      <c r="E69">
        <f>VLOOKUP($D69,[4]加注释!$A:$H,8,FALSE)</f>
        <v>2.5631599999999999</v>
      </c>
      <c r="F69">
        <f>VLOOKUP($D69,[5]Sheet2!$A:$H,8,FALSE)</f>
        <v>2.1703800000000002</v>
      </c>
      <c r="H69" t="s">
        <v>1573</v>
      </c>
      <c r="I69" s="39">
        <f>VLOOKUP($H69,[5]Sheet2!$A:$H,8,FALSE)</f>
        <v>-1.0327299999999999</v>
      </c>
    </row>
    <row r="70" spans="1:9" x14ac:dyDescent="0.2">
      <c r="A70" t="s">
        <v>1171</v>
      </c>
      <c r="B70">
        <f>VLOOKUP($A70,[4]加注释!$A:$H,8,FALSE)</f>
        <v>1.1145799999999999</v>
      </c>
      <c r="D70" t="s">
        <v>988</v>
      </c>
      <c r="E70">
        <f>VLOOKUP($D70,[4]加注释!$A:$H,8,FALSE)</f>
        <v>-2.1850700000000001</v>
      </c>
      <c r="F70">
        <f>VLOOKUP($D70,[5]Sheet2!$A:$H,8,FALSE)</f>
        <v>2.7112599999999998</v>
      </c>
      <c r="H70" t="s">
        <v>339</v>
      </c>
      <c r="I70" s="39">
        <f>VLOOKUP($H70,[5]Sheet2!$A:$H,8,FALSE)</f>
        <v>2.3412999999999999</v>
      </c>
    </row>
    <row r="71" spans="1:9" x14ac:dyDescent="0.2">
      <c r="A71" t="s">
        <v>124</v>
      </c>
      <c r="B71">
        <f>VLOOKUP($A71,[4]加注释!$A:$H,8,FALSE)</f>
        <v>-4.3837200000000003</v>
      </c>
      <c r="D71" t="s">
        <v>1439</v>
      </c>
      <c r="E71">
        <f>VLOOKUP($D71,[4]加注释!$A:$H,8,FALSE)</f>
        <v>-1.0488500000000001</v>
      </c>
      <c r="F71">
        <f>VLOOKUP($D71,[5]Sheet2!$A:$H,8,FALSE)</f>
        <v>1.3954</v>
      </c>
      <c r="H71" t="s">
        <v>343</v>
      </c>
      <c r="I71" s="39">
        <f>VLOOKUP($H71,[5]Sheet2!$A:$H,8,FALSE)</f>
        <v>-1.0929500000000001</v>
      </c>
    </row>
    <row r="72" spans="1:9" x14ac:dyDescent="0.2">
      <c r="A72" t="s">
        <v>129</v>
      </c>
      <c r="B72">
        <f>VLOOKUP($A72,[4]加注释!$A:$H,8,FALSE)</f>
        <v>-1.12984</v>
      </c>
      <c r="D72" t="s">
        <v>1010</v>
      </c>
      <c r="E72">
        <f>VLOOKUP($D72,[4]加注释!$A:$H,8,FALSE)</f>
        <v>-1.76129</v>
      </c>
      <c r="F72">
        <f>VLOOKUP($D72,[5]Sheet2!$A:$H,8,FALSE)</f>
        <v>2.1148500000000001</v>
      </c>
      <c r="H72" t="s">
        <v>1581</v>
      </c>
      <c r="I72" s="39">
        <f>VLOOKUP($H72,[5]Sheet2!$A:$H,8,FALSE)</f>
        <v>-1.1605799999999999</v>
      </c>
    </row>
    <row r="73" spans="1:9" x14ac:dyDescent="0.2">
      <c r="A73" t="s">
        <v>1172</v>
      </c>
      <c r="B73">
        <f>VLOOKUP($A73,[4]加注释!$A:$H,8,FALSE)</f>
        <v>-1.67215</v>
      </c>
      <c r="D73" t="s">
        <v>1022</v>
      </c>
      <c r="E73">
        <f>VLOOKUP($D73,[4]加注释!$A:$H,8,FALSE)</f>
        <v>-1.3947499999999999</v>
      </c>
      <c r="F73">
        <f>VLOOKUP($D73,[5]Sheet2!$A:$H,8,FALSE)</f>
        <v>1.1684600000000001</v>
      </c>
      <c r="H73" t="s">
        <v>1254</v>
      </c>
      <c r="I73" s="39">
        <f>VLOOKUP($H73,[5]Sheet2!$A:$H,8,FALSE)</f>
        <v>1.9266399999999999</v>
      </c>
    </row>
    <row r="74" spans="1:9" x14ac:dyDescent="0.2">
      <c r="A74" t="s">
        <v>1173</v>
      </c>
      <c r="B74">
        <f>VLOOKUP($A74,[4]加注释!$A:$H,8,FALSE)</f>
        <v>-1.1304099999999999</v>
      </c>
      <c r="D74" t="s">
        <v>1449</v>
      </c>
      <c r="E74">
        <f>VLOOKUP($D74,[4]加注释!$A:$H,8,FALSE)</f>
        <v>-1.6449</v>
      </c>
      <c r="F74">
        <f>VLOOKUP($D74,[5]Sheet2!$A:$H,8,FALSE)</f>
        <v>-2.0269200000000001</v>
      </c>
      <c r="H74" t="s">
        <v>364</v>
      </c>
      <c r="I74" s="39">
        <f>VLOOKUP($H74,[5]Sheet2!$A:$H,8,FALSE)</f>
        <v>-1.4301600000000001</v>
      </c>
    </row>
    <row r="75" spans="1:9" x14ac:dyDescent="0.2">
      <c r="A75" t="s">
        <v>1174</v>
      </c>
      <c r="B75">
        <f>VLOOKUP($A75,[4]加注释!$A:$H,8,FALSE)</f>
        <v>-1.1138399999999999</v>
      </c>
      <c r="D75" t="s">
        <v>1064</v>
      </c>
      <c r="E75">
        <f>VLOOKUP($D75,[4]加注释!$A:$H,8,FALSE)</f>
        <v>-1.3156099999999999</v>
      </c>
      <c r="F75">
        <f>VLOOKUP($D75,[5]Sheet2!$A:$H,8,FALSE)</f>
        <v>1.2057500000000001</v>
      </c>
      <c r="H75" t="s">
        <v>1584</v>
      </c>
      <c r="I75" s="39">
        <f>VLOOKUP($H75,[5]Sheet2!$A:$H,8,FALSE)</f>
        <v>1.53226</v>
      </c>
    </row>
    <row r="76" spans="1:9" x14ac:dyDescent="0.2">
      <c r="A76" t="s">
        <v>1175</v>
      </c>
      <c r="B76">
        <f>VLOOKUP($A76,[4]加注释!$A:$H,8,FALSE)</f>
        <v>1.18512</v>
      </c>
      <c r="D76" t="s">
        <v>1457</v>
      </c>
      <c r="E76">
        <f>VLOOKUP($D76,[4]加注释!$A:$H,8,FALSE)</f>
        <v>-4.1650200000000002</v>
      </c>
      <c r="F76">
        <f>VLOOKUP($D76,[5]Sheet2!$A:$H,8,FALSE)</f>
        <v>2.3499699999999999</v>
      </c>
      <c r="H76" t="s">
        <v>380</v>
      </c>
      <c r="I76" s="39">
        <f>VLOOKUP($H76,[5]Sheet2!$A:$H,8,FALSE)</f>
        <v>-1.77626</v>
      </c>
    </row>
    <row r="77" spans="1:9" x14ac:dyDescent="0.2">
      <c r="A77" t="s">
        <v>1176</v>
      </c>
      <c r="B77">
        <f>VLOOKUP($A77,[4]加注释!$A:$H,8,FALSE)</f>
        <v>1.0529200000000001</v>
      </c>
      <c r="D77" t="s">
        <v>1082</v>
      </c>
      <c r="E77">
        <f>VLOOKUP($D77,[4]加注释!$A:$H,8,FALSE)</f>
        <v>-1.7730399999999999</v>
      </c>
      <c r="F77">
        <f>VLOOKUP($D77,[5]Sheet2!$A:$H,8,FALSE)</f>
        <v>1.95424</v>
      </c>
      <c r="H77" t="s">
        <v>386</v>
      </c>
      <c r="I77" s="39" t="str">
        <f>VLOOKUP($H77,[5]Sheet2!$A:$H,8,FALSE)</f>
        <v>inf</v>
      </c>
    </row>
    <row r="78" spans="1:9" x14ac:dyDescent="0.2">
      <c r="A78" t="s">
        <v>1177</v>
      </c>
      <c r="B78">
        <f>VLOOKUP($A78,[4]加注释!$A:$H,8,FALSE)</f>
        <v>1.03789</v>
      </c>
      <c r="D78" t="s">
        <v>1083</v>
      </c>
      <c r="E78">
        <f>VLOOKUP($D78,[4]加注释!$A:$H,8,FALSE)</f>
        <v>-2.3336000000000001</v>
      </c>
      <c r="F78">
        <f>VLOOKUP($D78,[5]Sheet2!$A:$H,8,FALSE)</f>
        <v>1.7695399999999999</v>
      </c>
      <c r="H78" t="s">
        <v>392</v>
      </c>
      <c r="I78" s="39">
        <f>VLOOKUP($H78,[5]Sheet2!$A:$H,8,FALSE)</f>
        <v>1.4555</v>
      </c>
    </row>
    <row r="79" spans="1:9" x14ac:dyDescent="0.2">
      <c r="A79" t="s">
        <v>133</v>
      </c>
      <c r="B79">
        <f>VLOOKUP($A79,[4]加注释!$A:$H,8,FALSE)</f>
        <v>-1.6407700000000001</v>
      </c>
      <c r="D79" t="s">
        <v>1089</v>
      </c>
      <c r="E79">
        <f>VLOOKUP($D79,[4]加注释!$A:$H,8,FALSE)</f>
        <v>-2.5348700000000002</v>
      </c>
      <c r="F79">
        <f>VLOOKUP($D79,[5]Sheet2!$A:$H,8,FALSE)</f>
        <v>1.5656600000000001</v>
      </c>
      <c r="H79" t="s">
        <v>1812</v>
      </c>
      <c r="I79" s="39">
        <f>VLOOKUP($H79,[5]Sheet2!$A:$H,8,FALSE)</f>
        <v>1.5458000000000001</v>
      </c>
    </row>
    <row r="80" spans="1:9" x14ac:dyDescent="0.2">
      <c r="A80" t="s">
        <v>1178</v>
      </c>
      <c r="B80">
        <f>VLOOKUP($A80,[4]加注释!$A:$H,8,FALSE)</f>
        <v>-1.2218100000000001</v>
      </c>
      <c r="D80" t="s">
        <v>1095</v>
      </c>
      <c r="E80">
        <f>VLOOKUP($D80,[4]加注释!$A:$H,8,FALSE)</f>
        <v>-1.1109800000000001</v>
      </c>
      <c r="F80">
        <f>VLOOKUP($D80,[5]Sheet2!$A:$H,8,FALSE)</f>
        <v>1.7378</v>
      </c>
      <c r="H80" t="s">
        <v>1813</v>
      </c>
      <c r="I80" s="39">
        <f>VLOOKUP($H80,[5]Sheet2!$A:$H,8,FALSE)</f>
        <v>1.0022800000000001</v>
      </c>
    </row>
    <row r="81" spans="1:9" x14ac:dyDescent="0.2">
      <c r="A81" t="s">
        <v>134</v>
      </c>
      <c r="B81">
        <f>VLOOKUP($A81,[4]加注释!$A:$H,8,FALSE)</f>
        <v>-1.2386900000000001</v>
      </c>
      <c r="D81" t="s">
        <v>1466</v>
      </c>
      <c r="E81">
        <f>VLOOKUP($D81,[4]加注释!$A:$H,8,FALSE)</f>
        <v>-2.1577299999999999</v>
      </c>
      <c r="F81">
        <f>VLOOKUP($D81,[5]Sheet2!$A:$H,8,FALSE)</f>
        <v>2.0962100000000001</v>
      </c>
      <c r="H81" t="s">
        <v>422</v>
      </c>
      <c r="I81" s="39">
        <f>VLOOKUP($H81,[5]Sheet2!$A:$H,8,FALSE)</f>
        <v>2.03091</v>
      </c>
    </row>
    <row r="82" spans="1:9" x14ac:dyDescent="0.2">
      <c r="A82" t="s">
        <v>1179</v>
      </c>
      <c r="B82">
        <f>VLOOKUP($A82,[4]加注释!$A:$H,8,FALSE)</f>
        <v>-1.0174099999999999</v>
      </c>
      <c r="D82" t="s">
        <v>1468</v>
      </c>
      <c r="E82">
        <f>VLOOKUP($D82,[4]加注释!$A:$H,8,FALSE)</f>
        <v>-1.79318</v>
      </c>
      <c r="F82">
        <f>VLOOKUP($D82,[5]Sheet2!$A:$H,8,FALSE)</f>
        <v>1.0204899999999999</v>
      </c>
      <c r="H82" t="s">
        <v>429</v>
      </c>
      <c r="I82" s="39">
        <f>VLOOKUP($H82,[5]Sheet2!$A:$H,8,FALSE)</f>
        <v>-1.7382500000000001</v>
      </c>
    </row>
    <row r="83" spans="1:9" x14ac:dyDescent="0.2">
      <c r="A83" t="s">
        <v>137</v>
      </c>
      <c r="B83">
        <f>VLOOKUP($A83,[4]加注释!$A:$H,8,FALSE)</f>
        <v>-1.84531</v>
      </c>
      <c r="H83" t="s">
        <v>442</v>
      </c>
      <c r="I83" s="39">
        <f>VLOOKUP($H83,[5]Sheet2!$A:$H,8,FALSE)</f>
        <v>-1.0391600000000001</v>
      </c>
    </row>
    <row r="84" spans="1:9" x14ac:dyDescent="0.2">
      <c r="A84" t="s">
        <v>1180</v>
      </c>
      <c r="B84">
        <f>VLOOKUP($A84,[4]加注释!$A:$H,8,FALSE)</f>
        <v>-1.49638</v>
      </c>
      <c r="H84" t="s">
        <v>1814</v>
      </c>
      <c r="I84" s="39">
        <f>VLOOKUP($H84,[5]Sheet2!$A:$H,8,FALSE)</f>
        <v>-1.0391699999999999</v>
      </c>
    </row>
    <row r="85" spans="1:9" x14ac:dyDescent="0.2">
      <c r="A85" t="s">
        <v>145</v>
      </c>
      <c r="B85">
        <f>VLOOKUP($A85,[4]加注释!$A:$H,8,FALSE)</f>
        <v>5.3779700000000004</v>
      </c>
      <c r="H85" t="s">
        <v>446</v>
      </c>
      <c r="I85" s="39">
        <f>VLOOKUP($H85,[5]Sheet2!$A:$H,8,FALSE)</f>
        <v>-1.2998099999999999</v>
      </c>
    </row>
    <row r="86" spans="1:9" x14ac:dyDescent="0.2">
      <c r="A86" t="s">
        <v>1182</v>
      </c>
      <c r="B86">
        <f>VLOOKUP($A86,[4]加注释!$A:$H,8,FALSE)</f>
        <v>-2.0588099999999998</v>
      </c>
      <c r="H86" t="s">
        <v>449</v>
      </c>
      <c r="I86" s="39">
        <f>VLOOKUP($H86,[5]Sheet2!$A:$H,8,FALSE)</f>
        <v>1.1249499999999999</v>
      </c>
    </row>
    <row r="87" spans="1:9" x14ac:dyDescent="0.2">
      <c r="A87" t="s">
        <v>1183</v>
      </c>
      <c r="B87">
        <f>VLOOKUP($A87,[4]加注释!$A:$H,8,FALSE)</f>
        <v>1.02671</v>
      </c>
      <c r="H87" t="s">
        <v>1602</v>
      </c>
      <c r="I87" s="39">
        <f>VLOOKUP($H87,[5]Sheet2!$A:$H,8,FALSE)</f>
        <v>1.23204</v>
      </c>
    </row>
    <row r="88" spans="1:9" x14ac:dyDescent="0.2">
      <c r="A88" t="s">
        <v>1185</v>
      </c>
      <c r="B88">
        <f>VLOOKUP($A88,[4]加注释!$A:$H,8,FALSE)</f>
        <v>-1.0848899999999999</v>
      </c>
      <c r="H88" t="s">
        <v>1815</v>
      </c>
      <c r="I88" s="39">
        <f>VLOOKUP($H88,[5]Sheet2!$A:$H,8,FALSE)</f>
        <v>1.0192300000000001</v>
      </c>
    </row>
    <row r="89" spans="1:9" x14ac:dyDescent="0.2">
      <c r="A89" t="s">
        <v>156</v>
      </c>
      <c r="B89">
        <f>VLOOKUP($A89,[4]加注释!$A:$H,8,FALSE)</f>
        <v>-2.54128</v>
      </c>
      <c r="H89" t="s">
        <v>1610</v>
      </c>
      <c r="I89" s="39">
        <f>VLOOKUP($H89,[5]Sheet2!$A:$H,8,FALSE)</f>
        <v>2.0643500000000001</v>
      </c>
    </row>
    <row r="90" spans="1:9" x14ac:dyDescent="0.2">
      <c r="A90" t="s">
        <v>1186</v>
      </c>
      <c r="B90">
        <f>VLOOKUP($A90,[4]加注释!$A:$H,8,FALSE)</f>
        <v>-1.4747399999999999</v>
      </c>
      <c r="H90" t="s">
        <v>485</v>
      </c>
      <c r="I90" s="39">
        <f>VLOOKUP($H90,[5]Sheet2!$A:$H,8,FALSE)</f>
        <v>1.12148</v>
      </c>
    </row>
    <row r="91" spans="1:9" x14ac:dyDescent="0.2">
      <c r="A91" t="s">
        <v>157</v>
      </c>
      <c r="B91">
        <f>VLOOKUP($A91,[4]加注释!$A:$H,8,FALSE)</f>
        <v>-2.3079499999999999</v>
      </c>
      <c r="H91" t="s">
        <v>487</v>
      </c>
      <c r="I91" s="39">
        <f>VLOOKUP($H91,[5]Sheet2!$A:$H,8,FALSE)</f>
        <v>1.14435</v>
      </c>
    </row>
    <row r="92" spans="1:9" x14ac:dyDescent="0.2">
      <c r="A92" t="s">
        <v>158</v>
      </c>
      <c r="B92">
        <f>VLOOKUP($A92,[4]加注释!$A:$H,8,FALSE)</f>
        <v>-1.3966000000000001</v>
      </c>
      <c r="H92" t="s">
        <v>509</v>
      </c>
      <c r="I92" s="39">
        <f>VLOOKUP($H92,[5]Sheet2!$A:$H,8,FALSE)</f>
        <v>1.73872</v>
      </c>
    </row>
    <row r="93" spans="1:9" x14ac:dyDescent="0.2">
      <c r="A93" t="s">
        <v>1187</v>
      </c>
      <c r="B93">
        <f>VLOOKUP($A93,[4]加注释!$A:$H,8,FALSE)</f>
        <v>1.5686599999999999</v>
      </c>
      <c r="H93" t="s">
        <v>526</v>
      </c>
      <c r="I93" s="39">
        <f>VLOOKUP($H93,[5]Sheet2!$A:$H,8,FALSE)</f>
        <v>-1.30986</v>
      </c>
    </row>
    <row r="94" spans="1:9" x14ac:dyDescent="0.2">
      <c r="A94" t="s">
        <v>163</v>
      </c>
      <c r="B94">
        <f>VLOOKUP($A94,[4]加注释!$A:$H,8,FALSE)</f>
        <v>-1.0198799999999999</v>
      </c>
      <c r="H94" t="s">
        <v>528</v>
      </c>
      <c r="I94" s="39">
        <f>VLOOKUP($H94,[5]Sheet2!$A:$H,8,FALSE)</f>
        <v>1.2295799999999999</v>
      </c>
    </row>
    <row r="95" spans="1:9" x14ac:dyDescent="0.2">
      <c r="A95" t="s">
        <v>169</v>
      </c>
      <c r="B95">
        <f>VLOOKUP($A95,[4]加注释!$A:$H,8,FALSE)</f>
        <v>-1.24461</v>
      </c>
      <c r="H95" t="s">
        <v>1621</v>
      </c>
      <c r="I95" s="39">
        <f>VLOOKUP($H95,[5]Sheet2!$A:$H,8,FALSE)</f>
        <v>1.31033</v>
      </c>
    </row>
    <row r="96" spans="1:9" x14ac:dyDescent="0.2">
      <c r="A96" t="s">
        <v>170</v>
      </c>
      <c r="B96">
        <f>VLOOKUP($A96,[4]加注释!$A:$H,8,FALSE)</f>
        <v>1.14988</v>
      </c>
      <c r="H96" t="s">
        <v>1816</v>
      </c>
      <c r="I96" s="39">
        <f>VLOOKUP($H96,[5]Sheet2!$A:$H,8,FALSE)</f>
        <v>2.0260600000000002</v>
      </c>
    </row>
    <row r="97" spans="1:9" x14ac:dyDescent="0.2">
      <c r="A97" t="s">
        <v>171</v>
      </c>
      <c r="B97">
        <f>VLOOKUP($A97,[4]加注释!$A:$H,8,FALSE)</f>
        <v>-1.3444499999999999</v>
      </c>
      <c r="H97" t="s">
        <v>531</v>
      </c>
      <c r="I97" s="39">
        <f>VLOOKUP($H97,[5]Sheet2!$A:$H,8,FALSE)</f>
        <v>-1.3311999999999999</v>
      </c>
    </row>
    <row r="98" spans="1:9" x14ac:dyDescent="0.2">
      <c r="A98" t="s">
        <v>172</v>
      </c>
      <c r="B98">
        <f>VLOOKUP($A98,[4]加注释!$A:$H,8,FALSE)</f>
        <v>-1.4359200000000001</v>
      </c>
      <c r="H98" t="s">
        <v>1622</v>
      </c>
      <c r="I98" s="39">
        <f>VLOOKUP($H98,[5]Sheet2!$A:$H,8,FALSE)</f>
        <v>-1.1060000000000001</v>
      </c>
    </row>
    <row r="99" spans="1:9" x14ac:dyDescent="0.2">
      <c r="A99" t="s">
        <v>1188</v>
      </c>
      <c r="B99" t="str">
        <f>VLOOKUP($A99,[4]加注释!$A:$H,8,FALSE)</f>
        <v>inf</v>
      </c>
      <c r="H99" t="s">
        <v>1623</v>
      </c>
      <c r="I99" s="39">
        <f>VLOOKUP($H99,[5]Sheet2!$A:$H,8,FALSE)</f>
        <v>1.2317199999999999</v>
      </c>
    </row>
    <row r="100" spans="1:9" x14ac:dyDescent="0.2">
      <c r="A100" t="s">
        <v>173</v>
      </c>
      <c r="B100">
        <f>VLOOKUP($A100,[4]加注释!$A:$H,8,FALSE)</f>
        <v>-1.4545399999999999</v>
      </c>
      <c r="H100" t="s">
        <v>1624</v>
      </c>
      <c r="I100" s="39">
        <f>VLOOKUP($H100,[5]Sheet2!$A:$H,8,FALSE)</f>
        <v>1.1389800000000001</v>
      </c>
    </row>
    <row r="101" spans="1:9" x14ac:dyDescent="0.2">
      <c r="A101" t="s">
        <v>175</v>
      </c>
      <c r="B101">
        <f>VLOOKUP($A101,[4]加注释!$A:$H,8,FALSE)</f>
        <v>-1.1032200000000001</v>
      </c>
      <c r="H101" t="s">
        <v>1817</v>
      </c>
      <c r="I101" s="39">
        <f>VLOOKUP($H101,[5]Sheet2!$A:$H,8,FALSE)</f>
        <v>-2.9293100000000001</v>
      </c>
    </row>
    <row r="102" spans="1:9" x14ac:dyDescent="0.2">
      <c r="A102" t="s">
        <v>179</v>
      </c>
      <c r="B102">
        <f>VLOOKUP($A102,[4]加注释!$A:$H,8,FALSE)</f>
        <v>1.6088</v>
      </c>
      <c r="H102" t="s">
        <v>1298</v>
      </c>
      <c r="I102" s="39">
        <f>VLOOKUP($H102,[5]Sheet2!$A:$H,8,FALSE)</f>
        <v>1.01677</v>
      </c>
    </row>
    <row r="103" spans="1:9" x14ac:dyDescent="0.2">
      <c r="A103" t="s">
        <v>181</v>
      </c>
      <c r="B103">
        <f>VLOOKUP($A103,[4]加注释!$A:$H,8,FALSE)</f>
        <v>-1.2918700000000001</v>
      </c>
      <c r="H103" t="s">
        <v>1636</v>
      </c>
      <c r="I103" s="39">
        <f>VLOOKUP($H103,[5]Sheet2!$A:$H,8,FALSE)</f>
        <v>-1.17441</v>
      </c>
    </row>
    <row r="104" spans="1:9" x14ac:dyDescent="0.2">
      <c r="A104" t="s">
        <v>1190</v>
      </c>
      <c r="B104">
        <f>VLOOKUP($A104,[4]加注释!$A:$H,8,FALSE)</f>
        <v>1.1467000000000001</v>
      </c>
      <c r="H104" t="s">
        <v>1299</v>
      </c>
      <c r="I104" s="39">
        <f>VLOOKUP($H104,[5]Sheet2!$A:$H,8,FALSE)</f>
        <v>-1.26613</v>
      </c>
    </row>
    <row r="105" spans="1:9" x14ac:dyDescent="0.2">
      <c r="A105" t="s">
        <v>186</v>
      </c>
      <c r="B105">
        <f>VLOOKUP($A105,[4]加注释!$A:$H,8,FALSE)</f>
        <v>1.3287199999999999</v>
      </c>
      <c r="H105" t="s">
        <v>1301</v>
      </c>
      <c r="I105" s="39">
        <f>VLOOKUP($H105,[5]Sheet2!$A:$H,8,FALSE)</f>
        <v>-1.23902</v>
      </c>
    </row>
    <row r="106" spans="1:9" x14ac:dyDescent="0.2">
      <c r="A106" t="s">
        <v>1191</v>
      </c>
      <c r="B106">
        <f>VLOOKUP($A106,[4]加注释!$A:$H,8,FALSE)</f>
        <v>-1.92757</v>
      </c>
      <c r="H106" t="s">
        <v>573</v>
      </c>
      <c r="I106" s="39">
        <f>VLOOKUP($H106,[5]Sheet2!$A:$H,8,FALSE)</f>
        <v>1.2757400000000001</v>
      </c>
    </row>
    <row r="107" spans="1:9" x14ac:dyDescent="0.2">
      <c r="A107" t="s">
        <v>1192</v>
      </c>
      <c r="B107">
        <f>VLOOKUP($A107,[4]加注释!$A:$H,8,FALSE)</f>
        <v>-1.47732</v>
      </c>
      <c r="H107" t="s">
        <v>1639</v>
      </c>
      <c r="I107" s="39">
        <f>VLOOKUP($H107,[5]Sheet2!$A:$H,8,FALSE)</f>
        <v>1.0643499999999999</v>
      </c>
    </row>
    <row r="108" spans="1:9" x14ac:dyDescent="0.2">
      <c r="A108" t="s">
        <v>190</v>
      </c>
      <c r="B108">
        <f>VLOOKUP($A108,[4]加注释!$A:$H,8,FALSE)</f>
        <v>-1.1825699999999999</v>
      </c>
      <c r="H108" t="s">
        <v>1818</v>
      </c>
      <c r="I108" s="39">
        <f>VLOOKUP($H108,[5]Sheet2!$A:$H,8,FALSE)</f>
        <v>1.1089100000000001</v>
      </c>
    </row>
    <row r="109" spans="1:9" x14ac:dyDescent="0.2">
      <c r="A109" t="s">
        <v>194</v>
      </c>
      <c r="B109">
        <f>VLOOKUP($A109,[4]加注释!$A:$H,8,FALSE)</f>
        <v>1.5617799999999999</v>
      </c>
      <c r="H109" t="s">
        <v>1306</v>
      </c>
      <c r="I109" s="39">
        <f>VLOOKUP($H109,[5]Sheet2!$A:$H,8,FALSE)</f>
        <v>1.74651</v>
      </c>
    </row>
    <row r="110" spans="1:9" x14ac:dyDescent="0.2">
      <c r="A110" t="s">
        <v>195</v>
      </c>
      <c r="B110">
        <f>VLOOKUP($A110,[4]加注释!$A:$H,8,FALSE)</f>
        <v>1.18753</v>
      </c>
      <c r="H110" t="s">
        <v>1640</v>
      </c>
      <c r="I110" s="39">
        <f>VLOOKUP($H110,[5]Sheet2!$A:$H,8,FALSE)</f>
        <v>1.0611200000000001</v>
      </c>
    </row>
    <row r="111" spans="1:9" x14ac:dyDescent="0.2">
      <c r="A111" t="s">
        <v>196</v>
      </c>
      <c r="B111">
        <f>VLOOKUP($A111,[4]加注释!$A:$H,8,FALSE)</f>
        <v>-1.8297600000000001</v>
      </c>
      <c r="H111" t="s">
        <v>587</v>
      </c>
      <c r="I111" s="39">
        <f>VLOOKUP($H111,[5]Sheet2!$A:$H,8,FALSE)</f>
        <v>-1.0145200000000001</v>
      </c>
    </row>
    <row r="112" spans="1:9" x14ac:dyDescent="0.2">
      <c r="A112" t="s">
        <v>197</v>
      </c>
      <c r="B112">
        <f>VLOOKUP($A112,[4]加注释!$A:$H,8,FALSE)</f>
        <v>1.4309099999999999</v>
      </c>
      <c r="H112" t="s">
        <v>1310</v>
      </c>
      <c r="I112" s="39">
        <f>VLOOKUP($H112,[5]Sheet2!$A:$H,8,FALSE)</f>
        <v>1.2918400000000001</v>
      </c>
    </row>
    <row r="113" spans="1:9" x14ac:dyDescent="0.2">
      <c r="A113" t="s">
        <v>1194</v>
      </c>
      <c r="B113">
        <f>VLOOKUP($A113,[4]加注释!$A:$H,8,FALSE)</f>
        <v>-2.0514100000000002</v>
      </c>
      <c r="H113" t="s">
        <v>1313</v>
      </c>
      <c r="I113" s="39">
        <f>VLOOKUP($H113,[5]Sheet2!$A:$H,8,FALSE)</f>
        <v>1.2391399999999999</v>
      </c>
    </row>
    <row r="114" spans="1:9" x14ac:dyDescent="0.2">
      <c r="A114" t="s">
        <v>199</v>
      </c>
      <c r="B114">
        <f>VLOOKUP($A114,[4]加注释!$A:$H,8,FALSE)</f>
        <v>1.0971500000000001</v>
      </c>
      <c r="H114" t="s">
        <v>1647</v>
      </c>
      <c r="I114" s="39" t="str">
        <f>VLOOKUP($H114,[5]Sheet2!$A:$H,8,FALSE)</f>
        <v>inf</v>
      </c>
    </row>
    <row r="115" spans="1:9" x14ac:dyDescent="0.2">
      <c r="A115" t="s">
        <v>200</v>
      </c>
      <c r="B115">
        <f>VLOOKUP($A115,[4]加注释!$A:$H,8,FALSE)</f>
        <v>1.2346299999999999</v>
      </c>
      <c r="H115" t="s">
        <v>605</v>
      </c>
      <c r="I115" s="39">
        <f>VLOOKUP($H115,[5]Sheet2!$A:$H,8,FALSE)</f>
        <v>1.03024</v>
      </c>
    </row>
    <row r="116" spans="1:9" x14ac:dyDescent="0.2">
      <c r="A116" t="s">
        <v>1196</v>
      </c>
      <c r="B116">
        <f>VLOOKUP($A116,[4]加注释!$A:$H,8,FALSE)</f>
        <v>-1.083</v>
      </c>
      <c r="H116" t="s">
        <v>1648</v>
      </c>
      <c r="I116" s="39">
        <f>VLOOKUP($H116,[5]Sheet2!$A:$H,8,FALSE)</f>
        <v>-1.0332399999999999</v>
      </c>
    </row>
    <row r="117" spans="1:9" x14ac:dyDescent="0.2">
      <c r="A117" t="s">
        <v>205</v>
      </c>
      <c r="B117">
        <f>VLOOKUP($A117,[4]加注释!$A:$H,8,FALSE)</f>
        <v>1.04271</v>
      </c>
      <c r="H117" t="s">
        <v>609</v>
      </c>
      <c r="I117" s="39">
        <f>VLOOKUP($H117,[5]Sheet2!$A:$H,8,FALSE)</f>
        <v>1.3501099999999999</v>
      </c>
    </row>
    <row r="118" spans="1:9" x14ac:dyDescent="0.2">
      <c r="A118" t="s">
        <v>211</v>
      </c>
      <c r="B118">
        <f>VLOOKUP($A118,[4]加注释!$A:$H,8,FALSE)</f>
        <v>1.37853</v>
      </c>
      <c r="H118" t="s">
        <v>1650</v>
      </c>
      <c r="I118" s="39">
        <f>VLOOKUP($H118,[5]Sheet2!$A:$H,8,FALSE)</f>
        <v>-1.02132</v>
      </c>
    </row>
    <row r="119" spans="1:9" x14ac:dyDescent="0.2">
      <c r="A119" t="s">
        <v>214</v>
      </c>
      <c r="B119">
        <f>VLOOKUP($A119,[4]加注释!$A:$H,8,FALSE)</f>
        <v>-2.0031400000000001</v>
      </c>
      <c r="H119" t="s">
        <v>615</v>
      </c>
      <c r="I119" s="39">
        <f>VLOOKUP($H119,[5]Sheet2!$A:$H,8,FALSE)</f>
        <v>-1.32518</v>
      </c>
    </row>
    <row r="120" spans="1:9" x14ac:dyDescent="0.2">
      <c r="A120" t="s">
        <v>220</v>
      </c>
      <c r="B120">
        <f>VLOOKUP($A120,[4]加注释!$A:$H,8,FALSE)</f>
        <v>-1.17119</v>
      </c>
      <c r="H120" t="s">
        <v>622</v>
      </c>
      <c r="I120" s="39">
        <f>VLOOKUP($H120,[5]Sheet2!$A:$H,8,FALSE)</f>
        <v>1.0463899999999999</v>
      </c>
    </row>
    <row r="121" spans="1:9" x14ac:dyDescent="0.2">
      <c r="A121" t="s">
        <v>1198</v>
      </c>
      <c r="B121">
        <f>VLOOKUP($A121,[4]加注释!$A:$H,8,FALSE)</f>
        <v>-1.2304999999999999</v>
      </c>
      <c r="H121" t="s">
        <v>1651</v>
      </c>
      <c r="I121" s="39">
        <f>VLOOKUP($H121,[5]Sheet2!$A:$H,8,FALSE)</f>
        <v>1.3948799999999999</v>
      </c>
    </row>
    <row r="122" spans="1:9" x14ac:dyDescent="0.2">
      <c r="A122" t="s">
        <v>227</v>
      </c>
      <c r="B122">
        <f>VLOOKUP($A122,[4]加注释!$A:$H,8,FALSE)</f>
        <v>-1.06105</v>
      </c>
      <c r="H122" t="s">
        <v>1819</v>
      </c>
      <c r="I122" s="39">
        <f>VLOOKUP($H122,[5]Sheet2!$A:$H,8,FALSE)</f>
        <v>-1.2761100000000001</v>
      </c>
    </row>
    <row r="123" spans="1:9" x14ac:dyDescent="0.2">
      <c r="A123" t="s">
        <v>1199</v>
      </c>
      <c r="B123">
        <f>VLOOKUP($A123,[4]加注释!$A:$H,8,FALSE)</f>
        <v>-2.0463300000000002</v>
      </c>
      <c r="H123" t="s">
        <v>1657</v>
      </c>
      <c r="I123" s="39">
        <f>VLOOKUP($H123,[5]Sheet2!$A:$H,8,FALSE)</f>
        <v>1.2268300000000001</v>
      </c>
    </row>
    <row r="124" spans="1:9" x14ac:dyDescent="0.2">
      <c r="A124" t="s">
        <v>1200</v>
      </c>
      <c r="B124">
        <f>VLOOKUP($A124,[4]加注释!$A:$H,8,FALSE)</f>
        <v>-1.1361300000000001</v>
      </c>
      <c r="H124" t="s">
        <v>632</v>
      </c>
      <c r="I124" s="39">
        <f>VLOOKUP($H124,[5]Sheet2!$A:$H,8,FALSE)</f>
        <v>1.0035400000000001</v>
      </c>
    </row>
    <row r="125" spans="1:9" x14ac:dyDescent="0.2">
      <c r="A125" t="s">
        <v>1201</v>
      </c>
      <c r="B125">
        <f>VLOOKUP($A125,[4]加注释!$A:$H,8,FALSE)</f>
        <v>1.98763</v>
      </c>
      <c r="H125" t="s">
        <v>1662</v>
      </c>
      <c r="I125" s="39">
        <f>VLOOKUP($H125,[5]Sheet2!$A:$H,8,FALSE)</f>
        <v>1.03816</v>
      </c>
    </row>
    <row r="126" spans="1:9" x14ac:dyDescent="0.2">
      <c r="A126" t="s">
        <v>233</v>
      </c>
      <c r="B126">
        <f>VLOOKUP($A126,[4]加注释!$A:$H,8,FALSE)</f>
        <v>-1.2326600000000001</v>
      </c>
      <c r="H126" t="s">
        <v>1820</v>
      </c>
      <c r="I126" s="39">
        <f>VLOOKUP($H126,[5]Sheet2!$A:$H,8,FALSE)</f>
        <v>-1.0643499999999999</v>
      </c>
    </row>
    <row r="127" spans="1:9" x14ac:dyDescent="0.2">
      <c r="A127" t="s">
        <v>1204</v>
      </c>
      <c r="B127">
        <f>VLOOKUP($A127,[4]加注释!$A:$H,8,FALSE)</f>
        <v>-1.1428700000000001</v>
      </c>
      <c r="H127" t="s">
        <v>1665</v>
      </c>
      <c r="I127" s="39">
        <f>VLOOKUP($H127,[5]Sheet2!$A:$H,8,FALSE)</f>
        <v>-1.74539</v>
      </c>
    </row>
    <row r="128" spans="1:9" x14ac:dyDescent="0.2">
      <c r="A128" t="s">
        <v>240</v>
      </c>
      <c r="B128">
        <f>VLOOKUP($A128,[4]加注释!$A:$H,8,FALSE)</f>
        <v>-1.1633100000000001</v>
      </c>
      <c r="H128" t="s">
        <v>1666</v>
      </c>
      <c r="I128" s="39">
        <f>VLOOKUP($H128,[5]Sheet2!$A:$H,8,FALSE)</f>
        <v>2.43032</v>
      </c>
    </row>
    <row r="129" spans="1:9" x14ac:dyDescent="0.2">
      <c r="A129" t="s">
        <v>1205</v>
      </c>
      <c r="B129">
        <f>VLOOKUP($A129,[4]加注释!$A:$H,8,FALSE)</f>
        <v>-1.51248</v>
      </c>
      <c r="H129" t="s">
        <v>1668</v>
      </c>
      <c r="I129" s="39">
        <f>VLOOKUP($H129,[5]Sheet2!$A:$H,8,FALSE)</f>
        <v>1.46628</v>
      </c>
    </row>
    <row r="130" spans="1:9" x14ac:dyDescent="0.2">
      <c r="A130" t="s">
        <v>1207</v>
      </c>
      <c r="B130">
        <f>VLOOKUP($A130,[4]加注释!$A:$H,8,FALSE)</f>
        <v>-1.02963</v>
      </c>
      <c r="H130" t="s">
        <v>1336</v>
      </c>
      <c r="I130" s="39">
        <f>VLOOKUP($H130,[5]Sheet2!$A:$H,8,FALSE)</f>
        <v>1.2918499999999999</v>
      </c>
    </row>
    <row r="131" spans="1:9" x14ac:dyDescent="0.2">
      <c r="A131" t="s">
        <v>1208</v>
      </c>
      <c r="B131">
        <f>VLOOKUP($A131,[4]加注释!$A:$H,8,FALSE)</f>
        <v>-1.3985700000000001</v>
      </c>
      <c r="H131" t="s">
        <v>1821</v>
      </c>
      <c r="I131" s="39">
        <f>VLOOKUP($H131,[5]Sheet2!$A:$H,8,FALSE)</f>
        <v>1.1045400000000001</v>
      </c>
    </row>
    <row r="132" spans="1:9" x14ac:dyDescent="0.2">
      <c r="A132" t="s">
        <v>248</v>
      </c>
      <c r="B132">
        <f>VLOOKUP($A132,[4]加注释!$A:$H,8,FALSE)</f>
        <v>-1.48672</v>
      </c>
      <c r="H132" t="s">
        <v>661</v>
      </c>
      <c r="I132" s="39">
        <f>VLOOKUP($H132,[5]Sheet2!$A:$H,8,FALSE)</f>
        <v>1.96027</v>
      </c>
    </row>
    <row r="133" spans="1:9" x14ac:dyDescent="0.2">
      <c r="A133" t="s">
        <v>249</v>
      </c>
      <c r="B133">
        <f>VLOOKUP($A133,[4]加注释!$A:$H,8,FALSE)</f>
        <v>-4.6495499999999996</v>
      </c>
      <c r="H133" t="s">
        <v>1673</v>
      </c>
      <c r="I133" s="39">
        <f>VLOOKUP($H133,[5]Sheet2!$A:$H,8,FALSE)</f>
        <v>-1.0066299999999999</v>
      </c>
    </row>
    <row r="134" spans="1:9" x14ac:dyDescent="0.2">
      <c r="A134" t="s">
        <v>250</v>
      </c>
      <c r="B134">
        <f>VLOOKUP($A134,[4]加注释!$A:$H,8,FALSE)</f>
        <v>-2.3772500000000001</v>
      </c>
      <c r="H134" t="s">
        <v>678</v>
      </c>
      <c r="I134" s="39">
        <f>VLOOKUP($H134,[5]Sheet2!$A:$H,8,FALSE)</f>
        <v>-1.2042600000000001</v>
      </c>
    </row>
    <row r="135" spans="1:9" x14ac:dyDescent="0.2">
      <c r="A135" t="s">
        <v>251</v>
      </c>
      <c r="B135">
        <f>VLOOKUP($A135,[4]加注释!$A:$H,8,FALSE)</f>
        <v>-1.11412</v>
      </c>
      <c r="H135" t="s">
        <v>1674</v>
      </c>
      <c r="I135" s="39">
        <f>VLOOKUP($H135,[5]Sheet2!$A:$H,8,FALSE)</f>
        <v>-1.5019800000000001</v>
      </c>
    </row>
    <row r="136" spans="1:9" x14ac:dyDescent="0.2">
      <c r="A136" t="s">
        <v>254</v>
      </c>
      <c r="B136">
        <f>VLOOKUP($A136,[4]加注释!$A:$H,8,FALSE)</f>
        <v>1.28474</v>
      </c>
      <c r="H136" t="s">
        <v>1822</v>
      </c>
      <c r="I136" s="39">
        <f>VLOOKUP($H136,[5]Sheet2!$A:$H,8,FALSE)</f>
        <v>-1.2761400000000001</v>
      </c>
    </row>
    <row r="137" spans="1:9" x14ac:dyDescent="0.2">
      <c r="A137" t="s">
        <v>257</v>
      </c>
      <c r="B137">
        <f>VLOOKUP($A137,[4]加注释!$A:$H,8,FALSE)</f>
        <v>-3.58778</v>
      </c>
      <c r="H137" t="s">
        <v>1823</v>
      </c>
      <c r="I137" s="39" t="str">
        <f>VLOOKUP($H137,[5]Sheet2!$A:$H,8,FALSE)</f>
        <v>inf</v>
      </c>
    </row>
    <row r="138" spans="1:9" x14ac:dyDescent="0.2">
      <c r="A138" t="s">
        <v>1211</v>
      </c>
      <c r="B138">
        <f>VLOOKUP($A138,[4]加注释!$A:$H,8,FALSE)</f>
        <v>-1.04647</v>
      </c>
      <c r="H138" t="s">
        <v>1349</v>
      </c>
      <c r="I138" s="39">
        <f>VLOOKUP($H138,[5]Sheet2!$A:$H,8,FALSE)</f>
        <v>1.59924</v>
      </c>
    </row>
    <row r="139" spans="1:9" x14ac:dyDescent="0.2">
      <c r="A139" t="s">
        <v>260</v>
      </c>
      <c r="B139">
        <f>VLOOKUP($A139,[4]加注释!$A:$H,8,FALSE)</f>
        <v>-1.4368399999999999</v>
      </c>
      <c r="H139" t="s">
        <v>1677</v>
      </c>
      <c r="I139" s="39">
        <f>VLOOKUP($H139,[5]Sheet2!$A:$H,8,FALSE)</f>
        <v>1.08447</v>
      </c>
    </row>
    <row r="140" spans="1:9" x14ac:dyDescent="0.2">
      <c r="A140" t="s">
        <v>1212</v>
      </c>
      <c r="B140">
        <f>VLOOKUP($A140,[4]加注释!$A:$H,8,FALSE)</f>
        <v>-1.2985</v>
      </c>
      <c r="H140" t="s">
        <v>1681</v>
      </c>
      <c r="I140" s="39">
        <f>VLOOKUP($H140,[5]Sheet2!$A:$H,8,FALSE)</f>
        <v>1.22302</v>
      </c>
    </row>
    <row r="141" spans="1:9" x14ac:dyDescent="0.2">
      <c r="A141" t="s">
        <v>264</v>
      </c>
      <c r="B141">
        <f>VLOOKUP($A141,[4]加注释!$A:$H,8,FALSE)</f>
        <v>-1.3366100000000001</v>
      </c>
      <c r="H141" t="s">
        <v>1682</v>
      </c>
      <c r="I141" s="39">
        <f>VLOOKUP($H141,[5]Sheet2!$A:$H,8,FALSE)</f>
        <v>-1.09222</v>
      </c>
    </row>
    <row r="142" spans="1:9" x14ac:dyDescent="0.2">
      <c r="A142" t="s">
        <v>266</v>
      </c>
      <c r="B142">
        <f>VLOOKUP($A142,[4]加注释!$A:$H,8,FALSE)</f>
        <v>5.1457800000000002</v>
      </c>
      <c r="H142" t="s">
        <v>1683</v>
      </c>
      <c r="I142" s="39">
        <f>VLOOKUP($H142,[5]Sheet2!$A:$H,8,FALSE)</f>
        <v>1.16917</v>
      </c>
    </row>
    <row r="143" spans="1:9" x14ac:dyDescent="0.2">
      <c r="A143" t="s">
        <v>1214</v>
      </c>
      <c r="B143">
        <f>VLOOKUP($A143,[4]加注释!$A:$H,8,FALSE)</f>
        <v>1.4719</v>
      </c>
      <c r="H143" t="s">
        <v>1351</v>
      </c>
      <c r="I143" s="39">
        <f>VLOOKUP($H143,[5]Sheet2!$A:$H,8,FALSE)</f>
        <v>2.4313600000000002</v>
      </c>
    </row>
    <row r="144" spans="1:9" x14ac:dyDescent="0.2">
      <c r="A144" t="s">
        <v>268</v>
      </c>
      <c r="B144">
        <f>VLOOKUP($A144,[4]加注释!$A:$H,8,FALSE)</f>
        <v>1.1946600000000001</v>
      </c>
      <c r="H144" t="s">
        <v>704</v>
      </c>
      <c r="I144" s="39">
        <f>VLOOKUP($H144,[5]Sheet2!$A:$H,8,FALSE)</f>
        <v>-1.16039</v>
      </c>
    </row>
    <row r="145" spans="1:9" x14ac:dyDescent="0.2">
      <c r="A145" t="s">
        <v>269</v>
      </c>
      <c r="B145">
        <f>VLOOKUP($A145,[4]加注释!$A:$H,8,FALSE)</f>
        <v>5.9490600000000002</v>
      </c>
      <c r="H145" t="s">
        <v>1686</v>
      </c>
      <c r="I145" s="39">
        <f>VLOOKUP($H145,[5]Sheet2!$A:$H,8,FALSE)</f>
        <v>-1.21149</v>
      </c>
    </row>
    <row r="146" spans="1:9" x14ac:dyDescent="0.2">
      <c r="A146" t="s">
        <v>274</v>
      </c>
      <c r="B146">
        <f>VLOOKUP($A146,[4]加注释!$A:$H,8,FALSE)</f>
        <v>-1.1584700000000001</v>
      </c>
      <c r="H146" t="s">
        <v>716</v>
      </c>
      <c r="I146" s="39">
        <f>VLOOKUP($H146,[5]Sheet2!$A:$H,8,FALSE)</f>
        <v>1.0773999999999999</v>
      </c>
    </row>
    <row r="147" spans="1:9" x14ac:dyDescent="0.2">
      <c r="A147" t="s">
        <v>1217</v>
      </c>
      <c r="B147" t="str">
        <f>VLOOKUP($A147,[4]加注释!$A:$H,8,FALSE)</f>
        <v>inf</v>
      </c>
      <c r="H147" t="s">
        <v>1363</v>
      </c>
      <c r="I147" s="39">
        <f>VLOOKUP($H147,[5]Sheet2!$A:$H,8,FALSE)</f>
        <v>1.4465600000000001</v>
      </c>
    </row>
    <row r="148" spans="1:9" x14ac:dyDescent="0.2">
      <c r="A148" t="s">
        <v>1218</v>
      </c>
      <c r="B148" t="str">
        <f>VLOOKUP($A148,[4]加注释!$A:$H,8,FALSE)</f>
        <v>inf</v>
      </c>
      <c r="H148" t="s">
        <v>724</v>
      </c>
      <c r="I148" s="39">
        <f>VLOOKUP($H148,[5]Sheet2!$A:$H,8,FALSE)</f>
        <v>1.01302</v>
      </c>
    </row>
    <row r="149" spans="1:9" x14ac:dyDescent="0.2">
      <c r="A149" t="s">
        <v>277</v>
      </c>
      <c r="B149">
        <f>VLOOKUP($A149,[4]加注释!$A:$H,8,FALSE)</f>
        <v>1.0432600000000001</v>
      </c>
      <c r="H149" t="s">
        <v>726</v>
      </c>
      <c r="I149" s="39">
        <f>VLOOKUP($H149,[5]Sheet2!$A:$H,8,FALSE)</f>
        <v>2.4241600000000001</v>
      </c>
    </row>
    <row r="150" spans="1:9" x14ac:dyDescent="0.2">
      <c r="A150" t="s">
        <v>279</v>
      </c>
      <c r="B150">
        <f>VLOOKUP($A150,[4]加注释!$A:$H,8,FALSE)</f>
        <v>-1.36659</v>
      </c>
      <c r="H150" t="s">
        <v>727</v>
      </c>
      <c r="I150" s="39">
        <f>VLOOKUP($H150,[5]Sheet2!$A:$H,8,FALSE)</f>
        <v>-1.0337000000000001</v>
      </c>
    </row>
    <row r="151" spans="1:9" x14ac:dyDescent="0.2">
      <c r="A151" t="s">
        <v>280</v>
      </c>
      <c r="B151">
        <f>VLOOKUP($A151,[4]加注释!$A:$H,8,FALSE)</f>
        <v>-3.19096</v>
      </c>
      <c r="H151" t="s">
        <v>1693</v>
      </c>
      <c r="I151" s="39">
        <f>VLOOKUP($H151,[5]Sheet2!$A:$H,8,FALSE)</f>
        <v>-2.0057499999999999</v>
      </c>
    </row>
    <row r="152" spans="1:9" x14ac:dyDescent="0.2">
      <c r="A152" t="s">
        <v>281</v>
      </c>
      <c r="B152">
        <f>VLOOKUP($A152,[4]加注释!$A:$H,8,FALSE)</f>
        <v>1.0210900000000001</v>
      </c>
      <c r="H152" t="s">
        <v>1368</v>
      </c>
      <c r="I152" s="39">
        <f>VLOOKUP($H152,[5]Sheet2!$A:$H,8,FALSE)</f>
        <v>-1.4624299999999999</v>
      </c>
    </row>
    <row r="153" spans="1:9" x14ac:dyDescent="0.2">
      <c r="A153" t="s">
        <v>282</v>
      </c>
      <c r="B153">
        <f>VLOOKUP($A153,[4]加注释!$A:$H,8,FALSE)</f>
        <v>-1.9288000000000001</v>
      </c>
      <c r="H153" t="s">
        <v>734</v>
      </c>
      <c r="I153" s="39">
        <f>VLOOKUP($H153,[5]Sheet2!$A:$H,8,FALSE)</f>
        <v>-1.49366</v>
      </c>
    </row>
    <row r="154" spans="1:9" x14ac:dyDescent="0.2">
      <c r="A154" t="s">
        <v>283</v>
      </c>
      <c r="B154">
        <f>VLOOKUP($A154,[4]加注释!$A:$H,8,FALSE)</f>
        <v>1.04036</v>
      </c>
      <c r="H154" t="s">
        <v>735</v>
      </c>
      <c r="I154" s="39">
        <f>VLOOKUP($H154,[5]Sheet2!$A:$H,8,FALSE)</f>
        <v>-1.54617</v>
      </c>
    </row>
    <row r="155" spans="1:9" x14ac:dyDescent="0.2">
      <c r="A155" t="s">
        <v>1220</v>
      </c>
      <c r="B155">
        <f>VLOOKUP($A155,[4]加注释!$A:$H,8,FALSE)</f>
        <v>-1.6511800000000001</v>
      </c>
      <c r="H155" t="s">
        <v>738</v>
      </c>
      <c r="I155" s="39">
        <f>VLOOKUP($H155,[5]Sheet2!$A:$H,8,FALSE)</f>
        <v>1.68957</v>
      </c>
    </row>
    <row r="156" spans="1:9" x14ac:dyDescent="0.2">
      <c r="A156" t="s">
        <v>1222</v>
      </c>
      <c r="B156">
        <f>VLOOKUP($A156,[4]加注释!$A:$H,8,FALSE)</f>
        <v>-1.17398</v>
      </c>
      <c r="H156" t="s">
        <v>1377</v>
      </c>
      <c r="I156" s="39">
        <f>VLOOKUP($H156,[5]Sheet2!$A:$H,8,FALSE)</f>
        <v>1.08023</v>
      </c>
    </row>
    <row r="157" spans="1:9" x14ac:dyDescent="0.2">
      <c r="A157" t="s">
        <v>1223</v>
      </c>
      <c r="B157">
        <f>VLOOKUP($A157,[4]加注释!$A:$H,8,FALSE)</f>
        <v>-1.1724600000000001</v>
      </c>
      <c r="H157" t="s">
        <v>1824</v>
      </c>
      <c r="I157" s="39">
        <f>VLOOKUP($H157,[5]Sheet2!$A:$H,8,FALSE)</f>
        <v>1.0073300000000001</v>
      </c>
    </row>
    <row r="158" spans="1:9" x14ac:dyDescent="0.2">
      <c r="A158" t="s">
        <v>1224</v>
      </c>
      <c r="B158">
        <f>VLOOKUP($A158,[4]加注释!$A:$H,8,FALSE)</f>
        <v>1.6728499999999999</v>
      </c>
      <c r="H158" t="s">
        <v>1825</v>
      </c>
      <c r="I158" s="39">
        <f>VLOOKUP($H158,[5]Sheet2!$A:$H,8,FALSE)</f>
        <v>1.2219599999999999</v>
      </c>
    </row>
    <row r="159" spans="1:9" x14ac:dyDescent="0.2">
      <c r="A159" t="s">
        <v>293</v>
      </c>
      <c r="B159">
        <f>VLOOKUP($A159,[4]加注释!$A:$H,8,FALSE)</f>
        <v>1.2391000000000001</v>
      </c>
      <c r="H159" t="s">
        <v>1706</v>
      </c>
      <c r="I159" s="39">
        <f>VLOOKUP($H159,[5]Sheet2!$A:$H,8,FALSE)</f>
        <v>-1.1406799999999999</v>
      </c>
    </row>
    <row r="160" spans="1:9" x14ac:dyDescent="0.2">
      <c r="A160" t="s">
        <v>1225</v>
      </c>
      <c r="B160">
        <f>VLOOKUP($A160,[4]加注释!$A:$H,8,FALSE)</f>
        <v>1.3939299999999999</v>
      </c>
      <c r="H160" t="s">
        <v>753</v>
      </c>
      <c r="I160" s="39">
        <f>VLOOKUP($H160,[5]Sheet2!$A:$H,8,FALSE)</f>
        <v>-1.3393299999999999</v>
      </c>
    </row>
    <row r="161" spans="1:9" x14ac:dyDescent="0.2">
      <c r="A161" t="s">
        <v>295</v>
      </c>
      <c r="B161">
        <f>VLOOKUP($A161,[4]加注释!$A:$H,8,FALSE)</f>
        <v>-2.8889200000000002</v>
      </c>
      <c r="H161" t="s">
        <v>757</v>
      </c>
      <c r="I161" s="39">
        <f>VLOOKUP($H161,[5]Sheet2!$A:$H,8,FALSE)</f>
        <v>-1.10873</v>
      </c>
    </row>
    <row r="162" spans="1:9" x14ac:dyDescent="0.2">
      <c r="A162" t="s">
        <v>1226</v>
      </c>
      <c r="B162">
        <f>VLOOKUP($A162,[4]加注释!$A:$H,8,FALSE)</f>
        <v>-1.78342</v>
      </c>
      <c r="H162" t="s">
        <v>1709</v>
      </c>
      <c r="I162" s="39">
        <f>VLOOKUP($H162,[5]Sheet2!$A:$H,8,FALSE)</f>
        <v>1.65724</v>
      </c>
    </row>
    <row r="163" spans="1:9" x14ac:dyDescent="0.2">
      <c r="A163" t="s">
        <v>297</v>
      </c>
      <c r="B163">
        <f>VLOOKUP($A163,[4]加注释!$A:$H,8,FALSE)</f>
        <v>-1.40978</v>
      </c>
      <c r="H163" t="s">
        <v>1711</v>
      </c>
      <c r="I163" s="39">
        <f>VLOOKUP($H163,[5]Sheet2!$A:$H,8,FALSE)</f>
        <v>1.16265</v>
      </c>
    </row>
    <row r="164" spans="1:9" x14ac:dyDescent="0.2">
      <c r="A164" t="s">
        <v>299</v>
      </c>
      <c r="B164">
        <f>VLOOKUP($A164,[4]加注释!$A:$H,8,FALSE)</f>
        <v>1.1491899999999999</v>
      </c>
      <c r="H164" t="s">
        <v>1712</v>
      </c>
      <c r="I164" s="39">
        <f>VLOOKUP($H164,[5]Sheet2!$A:$H,8,FALSE)</f>
        <v>1.2547299999999999</v>
      </c>
    </row>
    <row r="165" spans="1:9" x14ac:dyDescent="0.2">
      <c r="A165" t="s">
        <v>1227</v>
      </c>
      <c r="B165">
        <f>VLOOKUP($A165,[4]加注释!$A:$H,8,FALSE)</f>
        <v>-1.3081400000000001</v>
      </c>
      <c r="H165" t="s">
        <v>785</v>
      </c>
      <c r="I165" s="39">
        <f>VLOOKUP($H165,[5]Sheet2!$A:$H,8,FALSE)</f>
        <v>1.0269999999999999</v>
      </c>
    </row>
    <row r="166" spans="1:9" x14ac:dyDescent="0.2">
      <c r="A166" t="s">
        <v>1228</v>
      </c>
      <c r="B166">
        <f>VLOOKUP($A166,[4]加注释!$A:$H,8,FALSE)</f>
        <v>-1.2621599999999999</v>
      </c>
      <c r="H166" t="s">
        <v>1716</v>
      </c>
      <c r="I166" s="39">
        <f>VLOOKUP($H166,[5]Sheet2!$A:$H,8,FALSE)</f>
        <v>-1.39225</v>
      </c>
    </row>
    <row r="167" spans="1:9" x14ac:dyDescent="0.2">
      <c r="A167" t="s">
        <v>1229</v>
      </c>
      <c r="B167">
        <f>VLOOKUP($A167,[4]加注释!$A:$H,8,FALSE)</f>
        <v>-1.1405700000000001</v>
      </c>
      <c r="H167" t="s">
        <v>790</v>
      </c>
      <c r="I167" s="39">
        <f>VLOOKUP($H167,[5]Sheet2!$A:$H,8,FALSE)</f>
        <v>1.7615700000000001</v>
      </c>
    </row>
    <row r="168" spans="1:9" x14ac:dyDescent="0.2">
      <c r="A168" t="s">
        <v>1230</v>
      </c>
      <c r="B168">
        <f>VLOOKUP($A168,[4]加注释!$A:$H,8,FALSE)</f>
        <v>1.2482</v>
      </c>
      <c r="H168" t="s">
        <v>1717</v>
      </c>
      <c r="I168" s="39">
        <f>VLOOKUP($H168,[5]Sheet2!$A:$H,8,FALSE)</f>
        <v>1.32439</v>
      </c>
    </row>
    <row r="169" spans="1:9" x14ac:dyDescent="0.2">
      <c r="A169" t="s">
        <v>301</v>
      </c>
      <c r="B169">
        <f>VLOOKUP($A169,[4]加注释!$A:$H,8,FALSE)</f>
        <v>1.1702900000000001</v>
      </c>
      <c r="H169" t="s">
        <v>1718</v>
      </c>
      <c r="I169" s="39">
        <f>VLOOKUP($H169,[5]Sheet2!$A:$H,8,FALSE)</f>
        <v>-1.2720100000000001</v>
      </c>
    </row>
    <row r="170" spans="1:9" x14ac:dyDescent="0.2">
      <c r="A170" t="s">
        <v>1232</v>
      </c>
      <c r="B170">
        <f>VLOOKUP($A170,[4]加注释!$A:$H,8,FALSE)</f>
        <v>-1.03752</v>
      </c>
      <c r="H170" t="s">
        <v>792</v>
      </c>
      <c r="I170" s="39">
        <f>VLOOKUP($H170,[5]Sheet2!$A:$H,8,FALSE)</f>
        <v>1.6558299999999999</v>
      </c>
    </row>
    <row r="171" spans="1:9" x14ac:dyDescent="0.2">
      <c r="A171" t="s">
        <v>1233</v>
      </c>
      <c r="B171">
        <f>VLOOKUP($A171,[4]加注释!$A:$H,8,FALSE)</f>
        <v>1.08175</v>
      </c>
      <c r="H171" t="s">
        <v>793</v>
      </c>
      <c r="I171" s="39">
        <f>VLOOKUP($H171,[5]Sheet2!$A:$H,8,FALSE)</f>
        <v>-1.0687199999999999</v>
      </c>
    </row>
    <row r="172" spans="1:9" x14ac:dyDescent="0.2">
      <c r="A172" t="s">
        <v>1235</v>
      </c>
      <c r="B172">
        <f>VLOOKUP($A172,[4]加注释!$A:$H,8,FALSE)</f>
        <v>-1.01701</v>
      </c>
      <c r="H172" t="s">
        <v>794</v>
      </c>
      <c r="I172" s="39">
        <f>VLOOKUP($H172,[5]Sheet2!$A:$H,8,FALSE)</f>
        <v>-1.7043299999999999</v>
      </c>
    </row>
    <row r="173" spans="1:9" x14ac:dyDescent="0.2">
      <c r="A173" t="s">
        <v>1236</v>
      </c>
      <c r="B173">
        <f>VLOOKUP($A173,[4]加注释!$A:$H,8,FALSE)</f>
        <v>1.3158399999999999</v>
      </c>
      <c r="H173" t="s">
        <v>803</v>
      </c>
      <c r="I173" s="39">
        <f>VLOOKUP($H173,[5]Sheet2!$A:$H,8,FALSE)</f>
        <v>-2.05748</v>
      </c>
    </row>
    <row r="174" spans="1:9" x14ac:dyDescent="0.2">
      <c r="A174" t="s">
        <v>307</v>
      </c>
      <c r="B174">
        <f>VLOOKUP($A174,[4]加注释!$A:$H,8,FALSE)</f>
        <v>1.0445199999999999</v>
      </c>
      <c r="H174" t="s">
        <v>807</v>
      </c>
      <c r="I174" s="39">
        <f>VLOOKUP($H174,[5]Sheet2!$A:$H,8,FALSE)</f>
        <v>1.6027899999999999</v>
      </c>
    </row>
    <row r="175" spans="1:9" x14ac:dyDescent="0.2">
      <c r="A175" t="s">
        <v>318</v>
      </c>
      <c r="B175">
        <f>VLOOKUP($A175,[4]加注释!$A:$H,8,FALSE)</f>
        <v>1.4400599999999999</v>
      </c>
      <c r="H175" t="s">
        <v>1402</v>
      </c>
      <c r="I175" s="39">
        <f>VLOOKUP($H175,[5]Sheet2!$A:$H,8,FALSE)</f>
        <v>1.2305600000000001</v>
      </c>
    </row>
    <row r="176" spans="1:9" x14ac:dyDescent="0.2">
      <c r="A176" t="s">
        <v>320</v>
      </c>
      <c r="B176">
        <f>VLOOKUP($A176,[4]加注释!$A:$H,8,FALSE)</f>
        <v>-1.0307299999999999</v>
      </c>
      <c r="H176" t="s">
        <v>1729</v>
      </c>
      <c r="I176" s="39">
        <f>VLOOKUP($H176,[5]Sheet2!$A:$H,8,FALSE)</f>
        <v>1.1626300000000001</v>
      </c>
    </row>
    <row r="177" spans="1:9" x14ac:dyDescent="0.2">
      <c r="A177" t="s">
        <v>323</v>
      </c>
      <c r="B177">
        <f>VLOOKUP($A177,[4]加注释!$A:$H,8,FALSE)</f>
        <v>2.6462400000000001</v>
      </c>
      <c r="H177" t="s">
        <v>8</v>
      </c>
      <c r="I177" s="39">
        <f>VLOOKUP($H177,[5]Sheet2!$A:$H,8,FALSE)</f>
        <v>2.5607099999999998</v>
      </c>
    </row>
    <row r="178" spans="1:9" x14ac:dyDescent="0.2">
      <c r="A178" t="s">
        <v>326</v>
      </c>
      <c r="B178">
        <f>VLOOKUP($A178,[4]加注释!$A:$H,8,FALSE)</f>
        <v>1.2183900000000001</v>
      </c>
      <c r="H178" t="s">
        <v>847</v>
      </c>
      <c r="I178" s="39">
        <f>VLOOKUP($H178,[5]Sheet2!$A:$H,8,FALSE)</f>
        <v>1.4486699999999999</v>
      </c>
    </row>
    <row r="179" spans="1:9" x14ac:dyDescent="0.2">
      <c r="A179" t="s">
        <v>328</v>
      </c>
      <c r="B179">
        <f>VLOOKUP($A179,[4]加注释!$A:$H,8,FALSE)</f>
        <v>1.6684699999999999</v>
      </c>
      <c r="H179" t="s">
        <v>850</v>
      </c>
      <c r="I179" s="39">
        <f>VLOOKUP($H179,[5]Sheet2!$A:$H,8,FALSE)</f>
        <v>1.1706099999999999</v>
      </c>
    </row>
    <row r="180" spans="1:9" x14ac:dyDescent="0.2">
      <c r="A180" t="s">
        <v>329</v>
      </c>
      <c r="B180">
        <f>VLOOKUP($A180,[4]加注释!$A:$H,8,FALSE)</f>
        <v>1.18075</v>
      </c>
      <c r="H180" t="s">
        <v>1732</v>
      </c>
      <c r="I180" s="39">
        <f>VLOOKUP($H180,[5]Sheet2!$A:$H,8,FALSE)</f>
        <v>1.10764</v>
      </c>
    </row>
    <row r="181" spans="1:9" x14ac:dyDescent="0.2">
      <c r="A181" t="s">
        <v>1240</v>
      </c>
      <c r="B181">
        <f>VLOOKUP($A181,[4]加注释!$A:$H,8,FALSE)</f>
        <v>2.4193899999999999</v>
      </c>
      <c r="H181" t="s">
        <v>1735</v>
      </c>
      <c r="I181" s="39" t="str">
        <f>VLOOKUP($H181,[5]Sheet2!$A:$H,8,FALSE)</f>
        <v>inf</v>
      </c>
    </row>
    <row r="182" spans="1:9" x14ac:dyDescent="0.2">
      <c r="A182" t="s">
        <v>1241</v>
      </c>
      <c r="B182">
        <f>VLOOKUP($A182,[4]加注释!$A:$H,8,FALSE)</f>
        <v>-1.7142599999999999</v>
      </c>
      <c r="H182" t="s">
        <v>854</v>
      </c>
      <c r="I182" s="39">
        <f>VLOOKUP($H182,[5]Sheet2!$A:$H,8,FALSE)</f>
        <v>-1.0464500000000001</v>
      </c>
    </row>
    <row r="183" spans="1:9" x14ac:dyDescent="0.2">
      <c r="A183" t="s">
        <v>333</v>
      </c>
      <c r="B183">
        <f>VLOOKUP($A183,[4]加注释!$A:$H,8,FALSE)</f>
        <v>-1.24149</v>
      </c>
      <c r="H183" t="s">
        <v>860</v>
      </c>
      <c r="I183" s="39">
        <f>VLOOKUP($H183,[5]Sheet2!$A:$H,8,FALSE)</f>
        <v>1.87334</v>
      </c>
    </row>
    <row r="184" spans="1:9" x14ac:dyDescent="0.2">
      <c r="A184" t="s">
        <v>1244</v>
      </c>
      <c r="B184">
        <f>VLOOKUP($A184,[4]加注释!$A:$H,8,FALSE)</f>
        <v>1.18343</v>
      </c>
      <c r="H184" t="s">
        <v>1413</v>
      </c>
      <c r="I184" s="39">
        <f>VLOOKUP($H184,[5]Sheet2!$A:$H,8,FALSE)</f>
        <v>1.92506</v>
      </c>
    </row>
    <row r="185" spans="1:9" x14ac:dyDescent="0.2">
      <c r="A185" t="s">
        <v>334</v>
      </c>
      <c r="B185">
        <f>VLOOKUP($A185,[4]加注释!$A:$H,8,FALSE)</f>
        <v>1.1565099999999999</v>
      </c>
      <c r="H185" t="s">
        <v>870</v>
      </c>
      <c r="I185" s="39">
        <f>VLOOKUP($H185,[5]Sheet2!$A:$H,8,FALSE)</f>
        <v>1.1627700000000001</v>
      </c>
    </row>
    <row r="186" spans="1:9" x14ac:dyDescent="0.2">
      <c r="A186" t="s">
        <v>337</v>
      </c>
      <c r="B186">
        <f>VLOOKUP($A186,[4]加注释!$A:$H,8,FALSE)</f>
        <v>1.2034499999999999</v>
      </c>
      <c r="H186" t="s">
        <v>1741</v>
      </c>
      <c r="I186" s="39">
        <f>VLOOKUP($H186,[5]Sheet2!$A:$H,8,FALSE)</f>
        <v>-1.0923700000000001</v>
      </c>
    </row>
    <row r="187" spans="1:9" x14ac:dyDescent="0.2">
      <c r="A187" t="s">
        <v>338</v>
      </c>
      <c r="B187">
        <f>VLOOKUP($A187,[4]加注释!$A:$H,8,FALSE)</f>
        <v>-3.5991</v>
      </c>
      <c r="H187" t="s">
        <v>884</v>
      </c>
      <c r="I187" s="39">
        <f>VLOOKUP($H187,[5]Sheet2!$A:$H,8,FALSE)</f>
        <v>1.0268600000000001</v>
      </c>
    </row>
    <row r="188" spans="1:9" x14ac:dyDescent="0.2">
      <c r="A188" t="s">
        <v>340</v>
      </c>
      <c r="B188">
        <f>VLOOKUP($A188,[4]加注释!$A:$H,8,FALSE)</f>
        <v>1.0124200000000001</v>
      </c>
      <c r="H188" t="s">
        <v>885</v>
      </c>
      <c r="I188" s="39">
        <f>VLOOKUP($H188,[5]Sheet2!$A:$H,8,FALSE)</f>
        <v>-1.1554800000000001</v>
      </c>
    </row>
    <row r="189" spans="1:9" x14ac:dyDescent="0.2">
      <c r="A189" t="s">
        <v>1246</v>
      </c>
      <c r="B189">
        <f>VLOOKUP($A189,[4]加注释!$A:$H,8,FALSE)</f>
        <v>-1.083</v>
      </c>
      <c r="H189" t="s">
        <v>1749</v>
      </c>
      <c r="I189" s="39">
        <f>VLOOKUP($H189,[5]Sheet2!$A:$H,8,FALSE)</f>
        <v>1.11104</v>
      </c>
    </row>
    <row r="190" spans="1:9" x14ac:dyDescent="0.2">
      <c r="A190" t="s">
        <v>342</v>
      </c>
      <c r="B190">
        <f>VLOOKUP($A190,[4]加注释!$A:$H,8,FALSE)</f>
        <v>-1.5796300000000001</v>
      </c>
      <c r="H190" t="s">
        <v>1419</v>
      </c>
      <c r="I190" s="39">
        <f>VLOOKUP($H190,[5]Sheet2!$A:$H,8,FALSE)</f>
        <v>1.11744</v>
      </c>
    </row>
    <row r="191" spans="1:9" x14ac:dyDescent="0.2">
      <c r="A191" t="s">
        <v>345</v>
      </c>
      <c r="B191">
        <f>VLOOKUP($A191,[4]加注释!$A:$H,8,FALSE)</f>
        <v>3.3242799999999999</v>
      </c>
      <c r="H191" t="s">
        <v>908</v>
      </c>
      <c r="I191" s="39">
        <f>VLOOKUP($H191,[5]Sheet2!$A:$H,8,FALSE)</f>
        <v>1.06846</v>
      </c>
    </row>
    <row r="192" spans="1:9" x14ac:dyDescent="0.2">
      <c r="A192" t="s">
        <v>1248</v>
      </c>
      <c r="B192">
        <f>VLOOKUP($A192,[4]加注释!$A:$H,8,FALSE)</f>
        <v>-1.5980099999999999</v>
      </c>
      <c r="H192" t="s">
        <v>911</v>
      </c>
      <c r="I192" s="39">
        <f>VLOOKUP($H192,[5]Sheet2!$A:$H,8,FALSE)</f>
        <v>1.1499699999999999</v>
      </c>
    </row>
    <row r="193" spans="1:9" x14ac:dyDescent="0.2">
      <c r="A193" t="s">
        <v>348</v>
      </c>
      <c r="B193">
        <f>VLOOKUP($A193,[4]加注释!$A:$H,8,FALSE)</f>
        <v>-1.7411799999999999</v>
      </c>
      <c r="H193" t="s">
        <v>1826</v>
      </c>
      <c r="I193" s="39">
        <f>VLOOKUP($H193,[5]Sheet2!$A:$H,8,FALSE)</f>
        <v>1.0301199999999999</v>
      </c>
    </row>
    <row r="194" spans="1:9" x14ac:dyDescent="0.2">
      <c r="A194" t="s">
        <v>1249</v>
      </c>
      <c r="B194">
        <f>VLOOKUP($A194,[4]加注释!$A:$H,8,FALSE)</f>
        <v>-1.1199300000000001</v>
      </c>
      <c r="H194" t="s">
        <v>1827</v>
      </c>
      <c r="I194" s="39">
        <f>VLOOKUP($H194,[5]Sheet2!$A:$H,8,FALSE)</f>
        <v>-1.0258499999999999</v>
      </c>
    </row>
    <row r="195" spans="1:9" x14ac:dyDescent="0.2">
      <c r="A195" t="s">
        <v>1250</v>
      </c>
      <c r="B195">
        <f>VLOOKUP($A195,[4]加注释!$A:$H,8,FALSE)</f>
        <v>-1.17577</v>
      </c>
      <c r="H195" t="s">
        <v>1754</v>
      </c>
      <c r="I195" s="39">
        <f>VLOOKUP($H195,[5]Sheet2!$A:$H,8,FALSE)</f>
        <v>1.0177</v>
      </c>
    </row>
    <row r="196" spans="1:9" x14ac:dyDescent="0.2">
      <c r="A196" t="s">
        <v>351</v>
      </c>
      <c r="B196">
        <f>VLOOKUP($A196,[4]加注释!$A:$H,8,FALSE)</f>
        <v>1.2549399999999999</v>
      </c>
      <c r="H196" t="s">
        <v>932</v>
      </c>
      <c r="I196" s="39">
        <f>VLOOKUP($H196,[5]Sheet2!$A:$H,8,FALSE)</f>
        <v>-1.00176</v>
      </c>
    </row>
    <row r="197" spans="1:9" x14ac:dyDescent="0.2">
      <c r="A197" t="s">
        <v>352</v>
      </c>
      <c r="B197">
        <f>VLOOKUP($A197,[4]加注释!$A:$H,8,FALSE)</f>
        <v>-1.1772100000000001</v>
      </c>
      <c r="H197" t="s">
        <v>1828</v>
      </c>
      <c r="I197" s="39" t="str">
        <f>VLOOKUP($H197,[5]Sheet2!$A:$H,8,FALSE)</f>
        <v>inf</v>
      </c>
    </row>
    <row r="198" spans="1:9" x14ac:dyDescent="0.2">
      <c r="A198" t="s">
        <v>353</v>
      </c>
      <c r="B198">
        <f>VLOOKUP($A198,[4]加注释!$A:$H,8,FALSE)</f>
        <v>1.73919</v>
      </c>
      <c r="H198" t="s">
        <v>1427</v>
      </c>
      <c r="I198" s="39">
        <f>VLOOKUP($H198,[5]Sheet2!$A:$H,8,FALSE)</f>
        <v>1.3326100000000001</v>
      </c>
    </row>
    <row r="199" spans="1:9" x14ac:dyDescent="0.2">
      <c r="A199" t="s">
        <v>354</v>
      </c>
      <c r="B199">
        <f>VLOOKUP($A199,[4]加注释!$A:$H,8,FALSE)</f>
        <v>-1.1639699999999999</v>
      </c>
      <c r="H199" t="s">
        <v>1758</v>
      </c>
      <c r="I199" s="39">
        <f>VLOOKUP($H199,[5]Sheet2!$A:$H,8,FALSE)</f>
        <v>-1.3141099999999999</v>
      </c>
    </row>
    <row r="200" spans="1:9" x14ac:dyDescent="0.2">
      <c r="A200" t="s">
        <v>1251</v>
      </c>
      <c r="B200">
        <f>VLOOKUP($A200,[4]加注释!$A:$H,8,FALSE)</f>
        <v>-1.5299</v>
      </c>
      <c r="H200" t="s">
        <v>1829</v>
      </c>
      <c r="I200" s="39">
        <f>VLOOKUP($H200,[5]Sheet2!$A:$H,8,FALSE)</f>
        <v>1.32067</v>
      </c>
    </row>
    <row r="201" spans="1:9" x14ac:dyDescent="0.2">
      <c r="A201" t="s">
        <v>1252</v>
      </c>
      <c r="B201">
        <f>VLOOKUP($A201,[4]加注释!$A:$H,8,FALSE)</f>
        <v>-1.1472599999999999</v>
      </c>
      <c r="H201" t="s">
        <v>1830</v>
      </c>
      <c r="I201" s="39">
        <f>VLOOKUP($H201,[5]Sheet2!$A:$H,8,FALSE)</f>
        <v>1.14208</v>
      </c>
    </row>
    <row r="202" spans="1:9" x14ac:dyDescent="0.2">
      <c r="A202" t="s">
        <v>356</v>
      </c>
      <c r="B202">
        <f>VLOOKUP($A202,[4]加注释!$A:$H,8,FALSE)</f>
        <v>1.2638100000000001</v>
      </c>
      <c r="H202" t="s">
        <v>1765</v>
      </c>
      <c r="I202" s="39">
        <f>VLOOKUP($H202,[5]Sheet2!$A:$H,8,FALSE)</f>
        <v>-1.2432000000000001</v>
      </c>
    </row>
    <row r="203" spans="1:9" x14ac:dyDescent="0.2">
      <c r="A203" t="s">
        <v>357</v>
      </c>
      <c r="B203">
        <f>VLOOKUP($A203,[4]加注释!$A:$H,8,FALSE)</f>
        <v>1.2625900000000001</v>
      </c>
      <c r="H203" t="s">
        <v>1767</v>
      </c>
      <c r="I203" s="39">
        <f>VLOOKUP($H203,[5]Sheet2!$A:$H,8,FALSE)</f>
        <v>-1.5900399999999999</v>
      </c>
    </row>
    <row r="204" spans="1:9" x14ac:dyDescent="0.2">
      <c r="A204" t="s">
        <v>360</v>
      </c>
      <c r="B204" t="e">
        <f>VLOOKUP($A204,[4]加注释!$A:$H,8,FALSE)</f>
        <v>#NAME?</v>
      </c>
      <c r="H204" t="s">
        <v>1768</v>
      </c>
      <c r="I204" s="39">
        <f>VLOOKUP($H204,[5]Sheet2!$A:$H,8,FALSE)</f>
        <v>-1.2980499999999999</v>
      </c>
    </row>
    <row r="205" spans="1:9" x14ac:dyDescent="0.2">
      <c r="A205" t="s">
        <v>361</v>
      </c>
      <c r="B205">
        <f>VLOOKUP($A205,[4]加注释!$A:$H,8,FALSE)</f>
        <v>-2.0010699999999999</v>
      </c>
      <c r="H205" t="s">
        <v>1831</v>
      </c>
      <c r="I205" s="39">
        <f>VLOOKUP($H205,[5]Sheet2!$A:$H,8,FALSE)</f>
        <v>1.4063699999999999</v>
      </c>
    </row>
    <row r="206" spans="1:9" x14ac:dyDescent="0.2">
      <c r="A206" t="s">
        <v>1255</v>
      </c>
      <c r="B206">
        <f>VLOOKUP($A206,[4]加注释!$A:$H,8,FALSE)</f>
        <v>-1.7635400000000001</v>
      </c>
      <c r="H206" t="s">
        <v>1438</v>
      </c>
      <c r="I206" s="39">
        <f>VLOOKUP($H206,[5]Sheet2!$A:$H,8,FALSE)</f>
        <v>1.1767099999999999</v>
      </c>
    </row>
    <row r="207" spans="1:9" x14ac:dyDescent="0.2">
      <c r="A207" t="s">
        <v>365</v>
      </c>
      <c r="B207">
        <f>VLOOKUP($A207,[4]加注释!$A:$H,8,FALSE)</f>
        <v>-2.0818400000000001</v>
      </c>
      <c r="H207" t="s">
        <v>996</v>
      </c>
      <c r="I207" s="39">
        <f>VLOOKUP($H207,[5]Sheet2!$A:$H,8,FALSE)</f>
        <v>2.2412700000000001</v>
      </c>
    </row>
    <row r="208" spans="1:9" x14ac:dyDescent="0.2">
      <c r="A208" t="s">
        <v>366</v>
      </c>
      <c r="B208">
        <f>VLOOKUP($A208,[4]加注释!$A:$H,8,FALSE)</f>
        <v>-1.0253399999999999</v>
      </c>
      <c r="H208" t="s">
        <v>999</v>
      </c>
      <c r="I208" s="39">
        <f>VLOOKUP($H208,[5]Sheet2!$A:$H,8,FALSE)</f>
        <v>1.07358</v>
      </c>
    </row>
    <row r="209" spans="1:9" x14ac:dyDescent="0.2">
      <c r="A209" t="s">
        <v>1257</v>
      </c>
      <c r="B209">
        <f>VLOOKUP($A209,[4]加注释!$A:$H,8,FALSE)</f>
        <v>1.2417499999999999</v>
      </c>
      <c r="H209" t="s">
        <v>1001</v>
      </c>
      <c r="I209" s="39">
        <f>VLOOKUP($H209,[5]Sheet2!$A:$H,8,FALSE)</f>
        <v>-1.7999400000000001</v>
      </c>
    </row>
    <row r="210" spans="1:9" x14ac:dyDescent="0.2">
      <c r="A210" t="s">
        <v>1260</v>
      </c>
      <c r="B210">
        <f>VLOOKUP($A210,[4]加注释!$A:$H,8,FALSE)</f>
        <v>-1.07925</v>
      </c>
      <c r="H210" t="s">
        <v>1006</v>
      </c>
      <c r="I210" s="39">
        <f>VLOOKUP($H210,[5]Sheet2!$A:$H,8,FALSE)</f>
        <v>-1.21068</v>
      </c>
    </row>
    <row r="211" spans="1:9" x14ac:dyDescent="0.2">
      <c r="A211" t="s">
        <v>372</v>
      </c>
      <c r="B211">
        <f>VLOOKUP($A211,[4]加注释!$A:$H,8,FALSE)</f>
        <v>-1.17903</v>
      </c>
      <c r="H211" t="s">
        <v>1832</v>
      </c>
      <c r="I211" s="39">
        <f>VLOOKUP($H211,[5]Sheet2!$A:$H,8,FALSE)</f>
        <v>1.15815</v>
      </c>
    </row>
    <row r="212" spans="1:9" x14ac:dyDescent="0.2">
      <c r="A212" t="s">
        <v>1262</v>
      </c>
      <c r="B212">
        <f>VLOOKUP($A212,[4]加注释!$A:$H,8,FALSE)</f>
        <v>-1.13273</v>
      </c>
      <c r="H212" t="s">
        <v>1026</v>
      </c>
      <c r="I212" s="39">
        <f>VLOOKUP($H212,[5]Sheet2!$A:$H,8,FALSE)</f>
        <v>-1.09117</v>
      </c>
    </row>
    <row r="213" spans="1:9" x14ac:dyDescent="0.2">
      <c r="A213" t="s">
        <v>1263</v>
      </c>
      <c r="B213">
        <f>VLOOKUP($A213,[4]加注释!$A:$H,8,FALSE)</f>
        <v>2.00624</v>
      </c>
      <c r="H213" t="s">
        <v>1029</v>
      </c>
      <c r="I213" s="39">
        <f>VLOOKUP($H213,[5]Sheet2!$A:$H,8,FALSE)</f>
        <v>-1.00986</v>
      </c>
    </row>
    <row r="214" spans="1:9" x14ac:dyDescent="0.2">
      <c r="A214" t="s">
        <v>374</v>
      </c>
      <c r="B214">
        <f>VLOOKUP($A214,[4]加注释!$A:$H,8,FALSE)</f>
        <v>-1.3171299999999999</v>
      </c>
      <c r="H214" t="s">
        <v>1833</v>
      </c>
      <c r="I214" s="39">
        <f>VLOOKUP($H214,[5]Sheet2!$A:$H,8,FALSE)</f>
        <v>-1.0024</v>
      </c>
    </row>
    <row r="215" spans="1:9" x14ac:dyDescent="0.2">
      <c r="A215" t="s">
        <v>376</v>
      </c>
      <c r="B215">
        <f>VLOOKUP($A215,[4]加注释!$A:$H,8,FALSE)</f>
        <v>-1.7955300000000001</v>
      </c>
      <c r="H215" t="s">
        <v>1057</v>
      </c>
      <c r="I215" s="39">
        <f>VLOOKUP($H215,[5]Sheet2!$A:$H,8,FALSE)</f>
        <v>1.3652299999999999</v>
      </c>
    </row>
    <row r="216" spans="1:9" x14ac:dyDescent="0.2">
      <c r="A216" t="s">
        <v>379</v>
      </c>
      <c r="B216">
        <f>VLOOKUP($A216,[4]加注释!$A:$H,8,FALSE)</f>
        <v>-2.3954800000000001</v>
      </c>
      <c r="H216" t="s">
        <v>1834</v>
      </c>
      <c r="I216" s="39">
        <f>VLOOKUP($H216,[5]Sheet2!$A:$H,8,FALSE)</f>
        <v>1.40004</v>
      </c>
    </row>
    <row r="217" spans="1:9" x14ac:dyDescent="0.2">
      <c r="A217" t="s">
        <v>382</v>
      </c>
      <c r="B217">
        <f>VLOOKUP($A217,[4]加注释!$A:$H,8,FALSE)</f>
        <v>1.8321400000000001</v>
      </c>
      <c r="H217" t="s">
        <v>1079</v>
      </c>
      <c r="I217" s="39">
        <f>VLOOKUP($H217,[5]Sheet2!$A:$H,8,FALSE)</f>
        <v>1.33477</v>
      </c>
    </row>
    <row r="218" spans="1:9" x14ac:dyDescent="0.2">
      <c r="A218" t="s">
        <v>384</v>
      </c>
      <c r="B218">
        <f>VLOOKUP($A218,[4]加注释!$A:$H,8,FALSE)</f>
        <v>-1.11632</v>
      </c>
      <c r="H218" t="s">
        <v>1096</v>
      </c>
      <c r="I218" s="39">
        <f>VLOOKUP($H218,[5]Sheet2!$A:$H,8,FALSE)</f>
        <v>3.3620399999999999</v>
      </c>
    </row>
    <row r="219" spans="1:9" x14ac:dyDescent="0.2">
      <c r="A219" t="s">
        <v>385</v>
      </c>
      <c r="B219">
        <f>VLOOKUP($A219,[4]加注释!$A:$H,8,FALSE)</f>
        <v>-1.04619</v>
      </c>
      <c r="H219" t="s">
        <v>1794</v>
      </c>
      <c r="I219" s="39">
        <f>VLOOKUP($H219,[5]Sheet2!$A:$H,8,FALSE)</f>
        <v>1.5383199999999999</v>
      </c>
    </row>
    <row r="220" spans="1:9" x14ac:dyDescent="0.2">
      <c r="A220" t="s">
        <v>1265</v>
      </c>
      <c r="B220">
        <f>VLOOKUP($A220,[4]加注释!$A:$H,8,FALSE)</f>
        <v>1.1031599999999999</v>
      </c>
      <c r="H220" t="s">
        <v>1114</v>
      </c>
      <c r="I220" s="39">
        <f>VLOOKUP($H220,[5]Sheet2!$A:$H,8,FALSE)</f>
        <v>1.2439100000000001</v>
      </c>
    </row>
    <row r="221" spans="1:9" x14ac:dyDescent="0.2">
      <c r="A221" t="s">
        <v>1266</v>
      </c>
      <c r="B221">
        <f>VLOOKUP($A221,[4]加注释!$A:$H,8,FALSE)</f>
        <v>-1.11582</v>
      </c>
      <c r="H221" t="s">
        <v>1796</v>
      </c>
      <c r="I221" s="39">
        <f>VLOOKUP($H221,[5]Sheet2!$A:$H,8,FALSE)</f>
        <v>1.3093399999999999</v>
      </c>
    </row>
    <row r="222" spans="1:9" x14ac:dyDescent="0.2">
      <c r="A222" t="s">
        <v>1267</v>
      </c>
      <c r="B222">
        <f>VLOOKUP($A222,[4]加注释!$A:$H,8,FALSE)</f>
        <v>-1.5256400000000001</v>
      </c>
      <c r="H222" t="s">
        <v>1835</v>
      </c>
      <c r="I222" s="39">
        <f>VLOOKUP($H222,[5]Sheet2!$A:$H,8,FALSE)</f>
        <v>1.74682</v>
      </c>
    </row>
    <row r="223" spans="1:9" x14ac:dyDescent="0.2">
      <c r="A223" t="s">
        <v>1268</v>
      </c>
      <c r="B223">
        <f>VLOOKUP($A223,[4]加注释!$A:$H,8,FALSE)</f>
        <v>1.01406</v>
      </c>
      <c r="H223" t="s">
        <v>1124</v>
      </c>
      <c r="I223" s="39">
        <f>VLOOKUP($H223,[5]Sheet2!$A:$H,8,FALSE)</f>
        <v>1.1477599999999999</v>
      </c>
    </row>
    <row r="224" spans="1:9" x14ac:dyDescent="0.2">
      <c r="A224" t="s">
        <v>394</v>
      </c>
      <c r="B224">
        <f>VLOOKUP($A224,[4]加注释!$A:$H,8,FALSE)</f>
        <v>-1.5044200000000001</v>
      </c>
    </row>
    <row r="225" spans="1:2" x14ac:dyDescent="0.2">
      <c r="A225" t="s">
        <v>395</v>
      </c>
      <c r="B225">
        <f>VLOOKUP($A225,[4]加注释!$A:$H,8,FALSE)</f>
        <v>1.9749000000000001</v>
      </c>
    </row>
    <row r="226" spans="1:2" x14ac:dyDescent="0.2">
      <c r="A226" t="s">
        <v>396</v>
      </c>
      <c r="B226">
        <f>VLOOKUP($A226,[4]加注释!$A:$H,8,FALSE)</f>
        <v>-1.24546</v>
      </c>
    </row>
    <row r="227" spans="1:2" x14ac:dyDescent="0.2">
      <c r="A227" t="s">
        <v>1269</v>
      </c>
      <c r="B227">
        <f>VLOOKUP($A227,[4]加注释!$A:$H,8,FALSE)</f>
        <v>-1.2438899999999999</v>
      </c>
    </row>
    <row r="228" spans="1:2" x14ac:dyDescent="0.2">
      <c r="A228" t="s">
        <v>399</v>
      </c>
      <c r="B228">
        <f>VLOOKUP($A228,[4]加注释!$A:$H,8,FALSE)</f>
        <v>-1.2859799999999999</v>
      </c>
    </row>
    <row r="229" spans="1:2" x14ac:dyDescent="0.2">
      <c r="A229" t="s">
        <v>401</v>
      </c>
      <c r="B229">
        <f>VLOOKUP($A229,[4]加注释!$A:$H,8,FALSE)</f>
        <v>-1.46132</v>
      </c>
    </row>
    <row r="230" spans="1:2" x14ac:dyDescent="0.2">
      <c r="A230" t="s">
        <v>405</v>
      </c>
      <c r="B230">
        <f>VLOOKUP($A230,[4]加注释!$A:$H,8,FALSE)</f>
        <v>-2.3770799999999999</v>
      </c>
    </row>
    <row r="231" spans="1:2" x14ac:dyDescent="0.2">
      <c r="A231" t="s">
        <v>1270</v>
      </c>
      <c r="B231">
        <f>VLOOKUP($A231,[4]加注释!$A:$H,8,FALSE)</f>
        <v>2.4862600000000001</v>
      </c>
    </row>
    <row r="232" spans="1:2" x14ac:dyDescent="0.2">
      <c r="A232" t="s">
        <v>416</v>
      </c>
      <c r="B232">
        <f>VLOOKUP($A232,[4]加注释!$A:$H,8,FALSE)</f>
        <v>-1.0678399999999999</v>
      </c>
    </row>
    <row r="233" spans="1:2" x14ac:dyDescent="0.2">
      <c r="A233" t="s">
        <v>417</v>
      </c>
      <c r="B233">
        <f>VLOOKUP($A233,[4]加注释!$A:$H,8,FALSE)</f>
        <v>-1.09629</v>
      </c>
    </row>
    <row r="234" spans="1:2" x14ac:dyDescent="0.2">
      <c r="A234" t="s">
        <v>421</v>
      </c>
      <c r="B234">
        <f>VLOOKUP($A234,[4]加注释!$A:$H,8,FALSE)</f>
        <v>1.05243</v>
      </c>
    </row>
    <row r="235" spans="1:2" x14ac:dyDescent="0.2">
      <c r="A235" t="s">
        <v>1271</v>
      </c>
      <c r="B235">
        <f>VLOOKUP($A235,[4]加注释!$A:$H,8,FALSE)</f>
        <v>-1.0475699999999999</v>
      </c>
    </row>
    <row r="236" spans="1:2" x14ac:dyDescent="0.2">
      <c r="A236" t="s">
        <v>423</v>
      </c>
      <c r="B236">
        <f>VLOOKUP($A236,[4]加注释!$A:$H,8,FALSE)</f>
        <v>-2.48285</v>
      </c>
    </row>
    <row r="237" spans="1:2" x14ac:dyDescent="0.2">
      <c r="A237" t="s">
        <v>1272</v>
      </c>
      <c r="B237">
        <f>VLOOKUP($A237,[4]加注释!$A:$H,8,FALSE)</f>
        <v>1.20943</v>
      </c>
    </row>
    <row r="238" spans="1:2" x14ac:dyDescent="0.2">
      <c r="A238" t="s">
        <v>427</v>
      </c>
      <c r="B238">
        <f>VLOOKUP($A238,[4]加注释!$A:$H,8,FALSE)</f>
        <v>-1.49583</v>
      </c>
    </row>
    <row r="239" spans="1:2" x14ac:dyDescent="0.2">
      <c r="A239" t="s">
        <v>428</v>
      </c>
      <c r="B239">
        <f>VLOOKUP($A239,[4]加注释!$A:$H,8,FALSE)</f>
        <v>-1.75142</v>
      </c>
    </row>
    <row r="240" spans="1:2" x14ac:dyDescent="0.2">
      <c r="A240" t="s">
        <v>430</v>
      </c>
      <c r="B240">
        <f>VLOOKUP($A240,[4]加注释!$A:$H,8,FALSE)</f>
        <v>-1.60697</v>
      </c>
    </row>
    <row r="241" spans="1:2" x14ac:dyDescent="0.2">
      <c r="A241" t="s">
        <v>431</v>
      </c>
      <c r="B241">
        <f>VLOOKUP($A241,[4]加注释!$A:$H,8,FALSE)</f>
        <v>2.19225</v>
      </c>
    </row>
    <row r="242" spans="1:2" x14ac:dyDescent="0.2">
      <c r="A242" t="s">
        <v>434</v>
      </c>
      <c r="B242">
        <f>VLOOKUP($A242,[4]加注释!$A:$H,8,FALSE)</f>
        <v>-1.1564300000000001</v>
      </c>
    </row>
    <row r="243" spans="1:2" x14ac:dyDescent="0.2">
      <c r="A243" t="s">
        <v>437</v>
      </c>
      <c r="B243">
        <f>VLOOKUP($A243,[4]加注释!$A:$H,8,FALSE)</f>
        <v>1.02772</v>
      </c>
    </row>
    <row r="244" spans="1:2" x14ac:dyDescent="0.2">
      <c r="A244" t="s">
        <v>438</v>
      </c>
      <c r="B244">
        <f>VLOOKUP($A244,[4]加注释!$A:$H,8,FALSE)</f>
        <v>2.3054000000000001</v>
      </c>
    </row>
    <row r="245" spans="1:2" x14ac:dyDescent="0.2">
      <c r="A245" t="s">
        <v>440</v>
      </c>
      <c r="B245">
        <f>VLOOKUP($A245,[4]加注释!$A:$H,8,FALSE)</f>
        <v>1.07437</v>
      </c>
    </row>
    <row r="246" spans="1:2" x14ac:dyDescent="0.2">
      <c r="A246" t="s">
        <v>1273</v>
      </c>
      <c r="B246" t="str">
        <f>VLOOKUP($A246,[4]加注释!$A:$H,8,FALSE)</f>
        <v>inf</v>
      </c>
    </row>
    <row r="247" spans="1:2" x14ac:dyDescent="0.2">
      <c r="A247" t="s">
        <v>441</v>
      </c>
      <c r="B247">
        <f>VLOOKUP($A247,[4]加注释!$A:$H,8,FALSE)</f>
        <v>-1.92889</v>
      </c>
    </row>
    <row r="248" spans="1:2" x14ac:dyDescent="0.2">
      <c r="A248" t="s">
        <v>443</v>
      </c>
      <c r="B248">
        <f>VLOOKUP($A248,[4]加注释!$A:$H,8,FALSE)</f>
        <v>-1.16204</v>
      </c>
    </row>
    <row r="249" spans="1:2" x14ac:dyDescent="0.2">
      <c r="A249" t="s">
        <v>1275</v>
      </c>
      <c r="B249">
        <f>VLOOKUP($A249,[4]加注释!$A:$H,8,FALSE)</f>
        <v>-1.0544</v>
      </c>
    </row>
    <row r="250" spans="1:2" x14ac:dyDescent="0.2">
      <c r="A250" t="s">
        <v>455</v>
      </c>
      <c r="B250">
        <f>VLOOKUP($A250,[4]加注释!$A:$H,8,FALSE)</f>
        <v>1.10687</v>
      </c>
    </row>
    <row r="251" spans="1:2" x14ac:dyDescent="0.2">
      <c r="A251" t="s">
        <v>456</v>
      </c>
      <c r="B251">
        <f>VLOOKUP($A251,[4]加注释!$A:$H,8,FALSE)</f>
        <v>-1.3675299999999999</v>
      </c>
    </row>
    <row r="252" spans="1:2" x14ac:dyDescent="0.2">
      <c r="A252" t="s">
        <v>457</v>
      </c>
      <c r="B252">
        <f>VLOOKUP($A252,[4]加注释!$A:$H,8,FALSE)</f>
        <v>1.0855999999999999</v>
      </c>
    </row>
    <row r="253" spans="1:2" x14ac:dyDescent="0.2">
      <c r="A253" t="s">
        <v>460</v>
      </c>
      <c r="B253">
        <f>VLOOKUP($A253,[4]加注释!$A:$H,8,FALSE)</f>
        <v>-1.1451</v>
      </c>
    </row>
    <row r="254" spans="1:2" x14ac:dyDescent="0.2">
      <c r="A254" t="s">
        <v>461</v>
      </c>
      <c r="B254">
        <f>VLOOKUP($A254,[4]加注释!$A:$H,8,FALSE)</f>
        <v>-1.3300799999999999</v>
      </c>
    </row>
    <row r="255" spans="1:2" x14ac:dyDescent="0.2">
      <c r="A255" t="s">
        <v>463</v>
      </c>
      <c r="B255">
        <f>VLOOKUP($A255,[4]加注释!$A:$H,8,FALSE)</f>
        <v>-1.5348999999999999</v>
      </c>
    </row>
    <row r="256" spans="1:2" x14ac:dyDescent="0.2">
      <c r="A256" t="s">
        <v>465</v>
      </c>
      <c r="B256">
        <f>VLOOKUP($A256,[4]加注释!$A:$H,8,FALSE)</f>
        <v>-1.0591200000000001</v>
      </c>
    </row>
    <row r="257" spans="1:2" x14ac:dyDescent="0.2">
      <c r="A257" t="s">
        <v>1277</v>
      </c>
      <c r="B257">
        <f>VLOOKUP($A257,[4]加注释!$A:$H,8,FALSE)</f>
        <v>-2.28423</v>
      </c>
    </row>
    <row r="258" spans="1:2" x14ac:dyDescent="0.2">
      <c r="A258" t="s">
        <v>1278</v>
      </c>
      <c r="B258">
        <f>VLOOKUP($A258,[4]加注释!$A:$H,8,FALSE)</f>
        <v>1.18971</v>
      </c>
    </row>
    <row r="259" spans="1:2" x14ac:dyDescent="0.2">
      <c r="A259" t="s">
        <v>473</v>
      </c>
      <c r="B259">
        <f>VLOOKUP($A259,[4]加注释!$A:$H,8,FALSE)</f>
        <v>1.3387</v>
      </c>
    </row>
    <row r="260" spans="1:2" x14ac:dyDescent="0.2">
      <c r="A260" t="s">
        <v>474</v>
      </c>
      <c r="B260">
        <f>VLOOKUP($A260,[4]加注释!$A:$H,8,FALSE)</f>
        <v>-1.3794900000000001</v>
      </c>
    </row>
    <row r="261" spans="1:2" x14ac:dyDescent="0.2">
      <c r="A261" t="s">
        <v>475</v>
      </c>
      <c r="B261">
        <f>VLOOKUP($A261,[4]加注释!$A:$H,8,FALSE)</f>
        <v>-1.0621499999999999</v>
      </c>
    </row>
    <row r="262" spans="1:2" x14ac:dyDescent="0.2">
      <c r="A262" t="s">
        <v>476</v>
      </c>
      <c r="B262">
        <f>VLOOKUP($A262,[4]加注释!$A:$H,8,FALSE)</f>
        <v>2.4807199999999998</v>
      </c>
    </row>
    <row r="263" spans="1:2" x14ac:dyDescent="0.2">
      <c r="A263" t="s">
        <v>1279</v>
      </c>
      <c r="B263">
        <f>VLOOKUP($A263,[4]加注释!$A:$H,8,FALSE)</f>
        <v>1.3362499999999999</v>
      </c>
    </row>
    <row r="264" spans="1:2" x14ac:dyDescent="0.2">
      <c r="A264" t="s">
        <v>480</v>
      </c>
      <c r="B264">
        <f>VLOOKUP($A264,[4]加注释!$A:$H,8,FALSE)</f>
        <v>-1.25647</v>
      </c>
    </row>
    <row r="265" spans="1:2" x14ac:dyDescent="0.2">
      <c r="A265" t="s">
        <v>481</v>
      </c>
      <c r="B265">
        <f>VLOOKUP($A265,[4]加注释!$A:$H,8,FALSE)</f>
        <v>1.09714</v>
      </c>
    </row>
    <row r="266" spans="1:2" x14ac:dyDescent="0.2">
      <c r="A266" t="s">
        <v>1281</v>
      </c>
      <c r="B266">
        <f>VLOOKUP($A266,[4]加注释!$A:$H,8,FALSE)</f>
        <v>-1.62805</v>
      </c>
    </row>
    <row r="267" spans="1:2" x14ac:dyDescent="0.2">
      <c r="A267" t="s">
        <v>1282</v>
      </c>
      <c r="B267">
        <f>VLOOKUP($A267,[4]加注释!$A:$H,8,FALSE)</f>
        <v>-1.40923</v>
      </c>
    </row>
    <row r="268" spans="1:2" x14ac:dyDescent="0.2">
      <c r="A268" t="s">
        <v>486</v>
      </c>
      <c r="B268">
        <f>VLOOKUP($A268,[4]加注释!$A:$H,8,FALSE)</f>
        <v>-1.46157</v>
      </c>
    </row>
    <row r="269" spans="1:2" x14ac:dyDescent="0.2">
      <c r="A269" t="s">
        <v>489</v>
      </c>
      <c r="B269">
        <f>VLOOKUP($A269,[4]加注释!$A:$H,8,FALSE)</f>
        <v>1.1108100000000001</v>
      </c>
    </row>
    <row r="270" spans="1:2" x14ac:dyDescent="0.2">
      <c r="A270" t="s">
        <v>495</v>
      </c>
      <c r="B270">
        <f>VLOOKUP($A270,[4]加注释!$A:$H,8,FALSE)</f>
        <v>-1.0045999999999999</v>
      </c>
    </row>
    <row r="271" spans="1:2" x14ac:dyDescent="0.2">
      <c r="A271" t="s">
        <v>1283</v>
      </c>
      <c r="B271">
        <f>VLOOKUP($A271,[4]加注释!$A:$H,8,FALSE)</f>
        <v>-1.73081</v>
      </c>
    </row>
    <row r="272" spans="1:2" x14ac:dyDescent="0.2">
      <c r="A272" t="s">
        <v>503</v>
      </c>
      <c r="B272">
        <f>VLOOKUP($A272,[4]加注释!$A:$H,8,FALSE)</f>
        <v>-1.0045500000000001</v>
      </c>
    </row>
    <row r="273" spans="1:2" x14ac:dyDescent="0.2">
      <c r="A273" t="s">
        <v>507</v>
      </c>
      <c r="B273">
        <f>VLOOKUP($A273,[4]加注释!$A:$H,8,FALSE)</f>
        <v>-2.06508</v>
      </c>
    </row>
    <row r="274" spans="1:2" x14ac:dyDescent="0.2">
      <c r="A274" t="s">
        <v>510</v>
      </c>
      <c r="B274">
        <f>VLOOKUP($A274,[4]加注释!$A:$H,8,FALSE)</f>
        <v>-1.2060299999999999</v>
      </c>
    </row>
    <row r="275" spans="1:2" x14ac:dyDescent="0.2">
      <c r="A275" t="s">
        <v>512</v>
      </c>
      <c r="B275">
        <f>VLOOKUP($A275,[4]加注释!$A:$H,8,FALSE)</f>
        <v>-1.00143</v>
      </c>
    </row>
    <row r="276" spans="1:2" x14ac:dyDescent="0.2">
      <c r="A276" t="s">
        <v>515</v>
      </c>
      <c r="B276">
        <f>VLOOKUP($A276,[4]加注释!$A:$H,8,FALSE)</f>
        <v>-1.85731</v>
      </c>
    </row>
    <row r="277" spans="1:2" x14ac:dyDescent="0.2">
      <c r="A277" t="s">
        <v>518</v>
      </c>
      <c r="B277">
        <f>VLOOKUP($A277,[4]加注释!$A:$H,8,FALSE)</f>
        <v>-2.14601</v>
      </c>
    </row>
    <row r="278" spans="1:2" x14ac:dyDescent="0.2">
      <c r="A278" t="s">
        <v>1284</v>
      </c>
      <c r="B278">
        <f>VLOOKUP($A278,[4]加注释!$A:$H,8,FALSE)</f>
        <v>1.5595699999999999</v>
      </c>
    </row>
    <row r="279" spans="1:2" x14ac:dyDescent="0.2">
      <c r="A279" t="s">
        <v>1285</v>
      </c>
      <c r="B279">
        <f>VLOOKUP($A279,[4]加注释!$A:$H,8,FALSE)</f>
        <v>-1.14083</v>
      </c>
    </row>
    <row r="280" spans="1:2" x14ac:dyDescent="0.2">
      <c r="A280" t="s">
        <v>523</v>
      </c>
      <c r="B280">
        <f>VLOOKUP($A280,[4]加注释!$A:$H,8,FALSE)</f>
        <v>-1.2302500000000001</v>
      </c>
    </row>
    <row r="281" spans="1:2" x14ac:dyDescent="0.2">
      <c r="A281" t="s">
        <v>1286</v>
      </c>
      <c r="B281">
        <f>VLOOKUP($A281,[4]加注释!$A:$H,8,FALSE)</f>
        <v>-1.4090199999999999</v>
      </c>
    </row>
    <row r="282" spans="1:2" x14ac:dyDescent="0.2">
      <c r="A282" t="s">
        <v>1287</v>
      </c>
      <c r="B282">
        <f>VLOOKUP($A282,[4]加注释!$A:$H,8,FALSE)</f>
        <v>-1.2070000000000001</v>
      </c>
    </row>
    <row r="283" spans="1:2" x14ac:dyDescent="0.2">
      <c r="A283" t="s">
        <v>524</v>
      </c>
      <c r="B283">
        <f>VLOOKUP($A283,[4]加注释!$A:$H,8,FALSE)</f>
        <v>-1.1720999999999999</v>
      </c>
    </row>
    <row r="284" spans="1:2" x14ac:dyDescent="0.2">
      <c r="A284" t="s">
        <v>525</v>
      </c>
      <c r="B284">
        <f>VLOOKUP($A284,[4]加注释!$A:$H,8,FALSE)</f>
        <v>-1.12036</v>
      </c>
    </row>
    <row r="285" spans="1:2" x14ac:dyDescent="0.2">
      <c r="A285" t="s">
        <v>1288</v>
      </c>
      <c r="B285">
        <f>VLOOKUP($A285,[4]加注释!$A:$H,8,FALSE)</f>
        <v>1.2214100000000001</v>
      </c>
    </row>
    <row r="286" spans="1:2" x14ac:dyDescent="0.2">
      <c r="A286" t="s">
        <v>1289</v>
      </c>
      <c r="B286">
        <f>VLOOKUP($A286,[4]加注释!$A:$H,8,FALSE)</f>
        <v>-1.0047299999999999</v>
      </c>
    </row>
    <row r="287" spans="1:2" x14ac:dyDescent="0.2">
      <c r="A287" t="s">
        <v>530</v>
      </c>
      <c r="B287">
        <f>VLOOKUP($A287,[4]加注释!$A:$H,8,FALSE)</f>
        <v>-1.20183</v>
      </c>
    </row>
    <row r="288" spans="1:2" x14ac:dyDescent="0.2">
      <c r="A288" t="s">
        <v>1292</v>
      </c>
      <c r="B288">
        <f>VLOOKUP($A288,[4]加注释!$A:$H,8,FALSE)</f>
        <v>-2.3813599999999999</v>
      </c>
    </row>
    <row r="289" spans="1:2" x14ac:dyDescent="0.2">
      <c r="A289" t="s">
        <v>1293</v>
      </c>
      <c r="B289">
        <f>VLOOKUP($A289,[4]加注释!$A:$H,8,FALSE)</f>
        <v>-2.2819799999999999</v>
      </c>
    </row>
    <row r="290" spans="1:2" x14ac:dyDescent="0.2">
      <c r="A290" t="s">
        <v>1294</v>
      </c>
      <c r="B290">
        <f>VLOOKUP($A290,[4]加注释!$A:$H,8,FALSE)</f>
        <v>-2.1938300000000002</v>
      </c>
    </row>
    <row r="291" spans="1:2" x14ac:dyDescent="0.2">
      <c r="A291" t="s">
        <v>543</v>
      </c>
      <c r="B291">
        <f>VLOOKUP($A291,[4]加注释!$A:$H,8,FALSE)</f>
        <v>-1.0052099999999999</v>
      </c>
    </row>
    <row r="292" spans="1:2" x14ac:dyDescent="0.2">
      <c r="A292" t="s">
        <v>1295</v>
      </c>
      <c r="B292">
        <f>VLOOKUP($A292,[4]加注释!$A:$H,8,FALSE)</f>
        <v>-1.45156</v>
      </c>
    </row>
    <row r="293" spans="1:2" x14ac:dyDescent="0.2">
      <c r="A293" t="s">
        <v>1296</v>
      </c>
      <c r="B293">
        <f>VLOOKUP($A293,[4]加注释!$A:$H,8,FALSE)</f>
        <v>-1.8916999999999999</v>
      </c>
    </row>
    <row r="294" spans="1:2" x14ac:dyDescent="0.2">
      <c r="A294" t="s">
        <v>1297</v>
      </c>
      <c r="B294">
        <f>VLOOKUP($A294,[4]加注释!$A:$H,8,FALSE)</f>
        <v>-1.1118399999999999</v>
      </c>
    </row>
    <row r="295" spans="1:2" x14ac:dyDescent="0.2">
      <c r="A295" t="s">
        <v>549</v>
      </c>
      <c r="B295">
        <f>VLOOKUP($A295,[4]加注释!$A:$H,8,FALSE)</f>
        <v>1.89381</v>
      </c>
    </row>
    <row r="296" spans="1:2" x14ac:dyDescent="0.2">
      <c r="A296" t="s">
        <v>550</v>
      </c>
      <c r="B296">
        <f>VLOOKUP($A296,[4]加注释!$A:$H,8,FALSE)</f>
        <v>-1.05325</v>
      </c>
    </row>
    <row r="297" spans="1:2" x14ac:dyDescent="0.2">
      <c r="A297" t="s">
        <v>551</v>
      </c>
      <c r="B297">
        <f>VLOOKUP($A297,[4]加注释!$A:$H,8,FALSE)</f>
        <v>1.2705</v>
      </c>
    </row>
    <row r="298" spans="1:2" x14ac:dyDescent="0.2">
      <c r="A298" t="s">
        <v>556</v>
      </c>
      <c r="B298">
        <f>VLOOKUP($A298,[4]加注释!$A:$H,8,FALSE)</f>
        <v>2.1406499999999999</v>
      </c>
    </row>
    <row r="299" spans="1:2" x14ac:dyDescent="0.2">
      <c r="A299" t="s">
        <v>557</v>
      </c>
      <c r="B299">
        <f>VLOOKUP($A299,[4]加注释!$A:$H,8,FALSE)</f>
        <v>-1.0685899999999999</v>
      </c>
    </row>
    <row r="300" spans="1:2" x14ac:dyDescent="0.2">
      <c r="A300" t="s">
        <v>558</v>
      </c>
      <c r="B300">
        <f>VLOOKUP($A300,[4]加注释!$A:$H,8,FALSE)</f>
        <v>-1.19171</v>
      </c>
    </row>
    <row r="301" spans="1:2" x14ac:dyDescent="0.2">
      <c r="A301" t="s">
        <v>564</v>
      </c>
      <c r="B301">
        <f>VLOOKUP($A301,[4]加注释!$A:$H,8,FALSE)</f>
        <v>-1.95729</v>
      </c>
    </row>
    <row r="302" spans="1:2" x14ac:dyDescent="0.2">
      <c r="A302" t="s">
        <v>565</v>
      </c>
      <c r="B302">
        <f>VLOOKUP($A302,[4]加注释!$A:$H,8,FALSE)</f>
        <v>-1.736</v>
      </c>
    </row>
    <row r="303" spans="1:2" x14ac:dyDescent="0.2">
      <c r="A303" t="s">
        <v>1302</v>
      </c>
      <c r="B303" t="str">
        <f>VLOOKUP($A303,[4]加注释!$A:$H,8,FALSE)</f>
        <v>inf</v>
      </c>
    </row>
    <row r="304" spans="1:2" x14ac:dyDescent="0.2">
      <c r="A304" t="s">
        <v>575</v>
      </c>
      <c r="B304">
        <f>VLOOKUP($A304,[4]加注释!$A:$H,8,FALSE)</f>
        <v>-1.0950800000000001</v>
      </c>
    </row>
    <row r="305" spans="1:2" x14ac:dyDescent="0.2">
      <c r="A305" t="s">
        <v>1303</v>
      </c>
      <c r="B305">
        <f>VLOOKUP($A305,[4]加注释!$A:$H,8,FALSE)</f>
        <v>-1.86022</v>
      </c>
    </row>
    <row r="306" spans="1:2" x14ac:dyDescent="0.2">
      <c r="A306" t="s">
        <v>578</v>
      </c>
      <c r="B306">
        <f>VLOOKUP($A306,[4]加注释!$A:$H,8,FALSE)</f>
        <v>-1.09091</v>
      </c>
    </row>
    <row r="307" spans="1:2" x14ac:dyDescent="0.2">
      <c r="A307" t="s">
        <v>582</v>
      </c>
      <c r="B307">
        <f>VLOOKUP($A307,[4]加注释!$A:$H,8,FALSE)</f>
        <v>-1.3459399999999999</v>
      </c>
    </row>
    <row r="308" spans="1:2" x14ac:dyDescent="0.2">
      <c r="A308" t="s">
        <v>1304</v>
      </c>
      <c r="B308">
        <f>VLOOKUP($A308,[4]加注释!$A:$H,8,FALSE)</f>
        <v>-1.1148100000000001</v>
      </c>
    </row>
    <row r="309" spans="1:2" x14ac:dyDescent="0.2">
      <c r="A309" t="s">
        <v>1305</v>
      </c>
      <c r="B309">
        <f>VLOOKUP($A309,[4]加注释!$A:$H,8,FALSE)</f>
        <v>-1.0282</v>
      </c>
    </row>
    <row r="310" spans="1:2" x14ac:dyDescent="0.2">
      <c r="A310" t="s">
        <v>585</v>
      </c>
      <c r="B310">
        <f>VLOOKUP($A310,[4]加注释!$A:$H,8,FALSE)</f>
        <v>1.48062</v>
      </c>
    </row>
    <row r="311" spans="1:2" x14ac:dyDescent="0.2">
      <c r="A311" t="s">
        <v>588</v>
      </c>
      <c r="B311">
        <f>VLOOKUP($A311,[4]加注释!$A:$H,8,FALSE)</f>
        <v>1.32124</v>
      </c>
    </row>
    <row r="312" spans="1:2" x14ac:dyDescent="0.2">
      <c r="A312" t="s">
        <v>1308</v>
      </c>
      <c r="B312">
        <f>VLOOKUP($A312,[4]加注释!$A:$H,8,FALSE)</f>
        <v>1.5054399999999999</v>
      </c>
    </row>
    <row r="313" spans="1:2" x14ac:dyDescent="0.2">
      <c r="A313" t="s">
        <v>590</v>
      </c>
      <c r="B313">
        <f>VLOOKUP($A313,[4]加注释!$A:$H,8,FALSE)</f>
        <v>1.55084</v>
      </c>
    </row>
    <row r="314" spans="1:2" x14ac:dyDescent="0.2">
      <c r="A314" t="s">
        <v>1311</v>
      </c>
      <c r="B314">
        <f>VLOOKUP($A314,[4]加注释!$A:$H,8,FALSE)</f>
        <v>-1.80471</v>
      </c>
    </row>
    <row r="315" spans="1:2" x14ac:dyDescent="0.2">
      <c r="A315" t="s">
        <v>591</v>
      </c>
      <c r="B315">
        <f>VLOOKUP($A315,[4]加注释!$A:$H,8,FALSE)</f>
        <v>-1.23234</v>
      </c>
    </row>
    <row r="316" spans="1:2" x14ac:dyDescent="0.2">
      <c r="A316" t="s">
        <v>1312</v>
      </c>
      <c r="B316">
        <f>VLOOKUP($A316,[4]加注释!$A:$H,8,FALSE)</f>
        <v>-1.3797600000000001</v>
      </c>
    </row>
    <row r="317" spans="1:2" x14ac:dyDescent="0.2">
      <c r="A317" t="s">
        <v>595</v>
      </c>
      <c r="B317">
        <f>VLOOKUP($A317,[4]加注释!$A:$H,8,FALSE)</f>
        <v>-1.5713200000000001</v>
      </c>
    </row>
    <row r="318" spans="1:2" x14ac:dyDescent="0.2">
      <c r="A318" t="s">
        <v>597</v>
      </c>
      <c r="B318">
        <f>VLOOKUP($A318,[4]加注释!$A:$H,8,FALSE)</f>
        <v>-2.1677</v>
      </c>
    </row>
    <row r="319" spans="1:2" x14ac:dyDescent="0.2">
      <c r="A319" t="s">
        <v>598</v>
      </c>
      <c r="B319">
        <f>VLOOKUP($A319,[4]加注释!$A:$H,8,FALSE)</f>
        <v>-1.1125</v>
      </c>
    </row>
    <row r="320" spans="1:2" x14ac:dyDescent="0.2">
      <c r="A320" t="s">
        <v>601</v>
      </c>
      <c r="B320">
        <f>VLOOKUP($A320,[4]加注释!$A:$H,8,FALSE)</f>
        <v>-1.4830700000000001</v>
      </c>
    </row>
    <row r="321" spans="1:2" x14ac:dyDescent="0.2">
      <c r="A321" t="s">
        <v>1315</v>
      </c>
      <c r="B321">
        <f>VLOOKUP($A321,[4]加注释!$A:$H,8,FALSE)</f>
        <v>-1.08958</v>
      </c>
    </row>
    <row r="322" spans="1:2" x14ac:dyDescent="0.2">
      <c r="A322" t="s">
        <v>1316</v>
      </c>
      <c r="B322">
        <f>VLOOKUP($A322,[4]加注释!$A:$H,8,FALSE)</f>
        <v>1.1799299999999999</v>
      </c>
    </row>
    <row r="323" spans="1:2" x14ac:dyDescent="0.2">
      <c r="A323" t="s">
        <v>611</v>
      </c>
      <c r="B323">
        <f>VLOOKUP($A323,[4]加注释!$A:$H,8,FALSE)</f>
        <v>-1.0216400000000001</v>
      </c>
    </row>
    <row r="324" spans="1:2" x14ac:dyDescent="0.2">
      <c r="A324" t="s">
        <v>613</v>
      </c>
      <c r="B324">
        <f>VLOOKUP($A324,[4]加注释!$A:$H,8,FALSE)</f>
        <v>-2.5833200000000001</v>
      </c>
    </row>
    <row r="325" spans="1:2" x14ac:dyDescent="0.2">
      <c r="A325" t="s">
        <v>1319</v>
      </c>
      <c r="B325">
        <f>VLOOKUP($A325,[4]加注释!$A:$H,8,FALSE)</f>
        <v>-1.49552</v>
      </c>
    </row>
    <row r="326" spans="1:2" x14ac:dyDescent="0.2">
      <c r="A326" t="s">
        <v>1320</v>
      </c>
      <c r="B326">
        <f>VLOOKUP($A326,[4]加注释!$A:$H,8,FALSE)</f>
        <v>1.2566600000000001</v>
      </c>
    </row>
    <row r="327" spans="1:2" x14ac:dyDescent="0.2">
      <c r="A327" t="s">
        <v>619</v>
      </c>
      <c r="B327">
        <f>VLOOKUP($A327,[4]加注释!$A:$H,8,FALSE)</f>
        <v>-2.3990800000000001</v>
      </c>
    </row>
    <row r="328" spans="1:2" x14ac:dyDescent="0.2">
      <c r="A328" t="s">
        <v>1321</v>
      </c>
      <c r="B328">
        <f>VLOOKUP($A328,[4]加注释!$A:$H,8,FALSE)</f>
        <v>-1.16428</v>
      </c>
    </row>
    <row r="329" spans="1:2" x14ac:dyDescent="0.2">
      <c r="A329" t="s">
        <v>623</v>
      </c>
      <c r="B329">
        <f>VLOOKUP($A329,[4]加注释!$A:$H,8,FALSE)</f>
        <v>1.3844000000000001</v>
      </c>
    </row>
    <row r="330" spans="1:2" x14ac:dyDescent="0.2">
      <c r="A330" t="s">
        <v>625</v>
      </c>
      <c r="B330">
        <f>VLOOKUP($A330,[4]加注释!$A:$H,8,FALSE)</f>
        <v>-2.5136699999999998</v>
      </c>
    </row>
    <row r="331" spans="1:2" x14ac:dyDescent="0.2">
      <c r="A331" t="s">
        <v>1322</v>
      </c>
      <c r="B331">
        <f>VLOOKUP($A331,[4]加注释!$A:$H,8,FALSE)</f>
        <v>-2.48258</v>
      </c>
    </row>
    <row r="332" spans="1:2" x14ac:dyDescent="0.2">
      <c r="A332" t="s">
        <v>1323</v>
      </c>
      <c r="B332">
        <f>VLOOKUP($A332,[4]加注释!$A:$H,8,FALSE)</f>
        <v>-1.5899799999999999</v>
      </c>
    </row>
    <row r="333" spans="1:2" x14ac:dyDescent="0.2">
      <c r="A333" t="s">
        <v>1324</v>
      </c>
      <c r="B333">
        <f>VLOOKUP($A333,[4]加注释!$A:$H,8,FALSE)</f>
        <v>-2.2094499999999999</v>
      </c>
    </row>
    <row r="334" spans="1:2" x14ac:dyDescent="0.2">
      <c r="A334" t="s">
        <v>1325</v>
      </c>
      <c r="B334">
        <f>VLOOKUP($A334,[4]加注释!$A:$H,8,FALSE)</f>
        <v>-3.0196200000000002</v>
      </c>
    </row>
    <row r="335" spans="1:2" x14ac:dyDescent="0.2">
      <c r="A335" t="s">
        <v>634</v>
      </c>
      <c r="B335">
        <f>VLOOKUP($A335,[4]加注释!$A:$H,8,FALSE)</f>
        <v>-1.1912799999999999</v>
      </c>
    </row>
    <row r="336" spans="1:2" x14ac:dyDescent="0.2">
      <c r="A336" t="s">
        <v>1326</v>
      </c>
      <c r="B336">
        <f>VLOOKUP($A336,[4]加注释!$A:$H,8,FALSE)</f>
        <v>-1.2847999999999999</v>
      </c>
    </row>
    <row r="337" spans="1:2" x14ac:dyDescent="0.2">
      <c r="A337" t="s">
        <v>637</v>
      </c>
      <c r="B337">
        <f>VLOOKUP($A337,[4]加注释!$A:$H,8,FALSE)</f>
        <v>-3.9672900000000002</v>
      </c>
    </row>
    <row r="338" spans="1:2" x14ac:dyDescent="0.2">
      <c r="A338" t="s">
        <v>1327</v>
      </c>
      <c r="B338">
        <f>VLOOKUP($A338,[4]加注释!$A:$H,8,FALSE)</f>
        <v>1.1957899999999999</v>
      </c>
    </row>
    <row r="339" spans="1:2" x14ac:dyDescent="0.2">
      <c r="A339" t="s">
        <v>638</v>
      </c>
      <c r="B339">
        <f>VLOOKUP($A339,[4]加注释!$A:$H,8,FALSE)</f>
        <v>-1.05813</v>
      </c>
    </row>
    <row r="340" spans="1:2" x14ac:dyDescent="0.2">
      <c r="A340" t="s">
        <v>1328</v>
      </c>
      <c r="B340">
        <f>VLOOKUP($A340,[4]加注释!$A:$H,8,FALSE)</f>
        <v>-1.6324799999999999</v>
      </c>
    </row>
    <row r="341" spans="1:2" x14ac:dyDescent="0.2">
      <c r="A341" t="s">
        <v>1329</v>
      </c>
      <c r="B341">
        <f>VLOOKUP($A341,[4]加注释!$A:$H,8,FALSE)</f>
        <v>-1.12557</v>
      </c>
    </row>
    <row r="342" spans="1:2" x14ac:dyDescent="0.2">
      <c r="A342" t="s">
        <v>640</v>
      </c>
      <c r="B342">
        <f>VLOOKUP($A342,[4]加注释!$A:$H,8,FALSE)</f>
        <v>1.20865</v>
      </c>
    </row>
    <row r="343" spans="1:2" x14ac:dyDescent="0.2">
      <c r="A343" t="s">
        <v>641</v>
      </c>
      <c r="B343">
        <f>VLOOKUP($A343,[4]加注释!$A:$H,8,FALSE)</f>
        <v>-2.4498000000000002</v>
      </c>
    </row>
    <row r="344" spans="1:2" x14ac:dyDescent="0.2">
      <c r="A344" t="s">
        <v>1331</v>
      </c>
      <c r="B344">
        <f>VLOOKUP($A344,[4]加注释!$A:$H,8,FALSE)</f>
        <v>-1.33629</v>
      </c>
    </row>
    <row r="345" spans="1:2" x14ac:dyDescent="0.2">
      <c r="A345" t="s">
        <v>1332</v>
      </c>
      <c r="B345" t="str">
        <f>VLOOKUP($A345,[4]加注释!$A:$H,8,FALSE)</f>
        <v>inf</v>
      </c>
    </row>
    <row r="346" spans="1:2" x14ac:dyDescent="0.2">
      <c r="A346" t="s">
        <v>646</v>
      </c>
      <c r="B346">
        <f>VLOOKUP($A346,[4]加注释!$A:$H,8,FALSE)</f>
        <v>-1.6296999999999999</v>
      </c>
    </row>
    <row r="347" spans="1:2" x14ac:dyDescent="0.2">
      <c r="A347" t="s">
        <v>647</v>
      </c>
      <c r="B347">
        <f>VLOOKUP($A347,[4]加注释!$A:$H,8,FALSE)</f>
        <v>-1.3438399999999999</v>
      </c>
    </row>
    <row r="348" spans="1:2" x14ac:dyDescent="0.2">
      <c r="A348" t="s">
        <v>648</v>
      </c>
      <c r="B348">
        <f>VLOOKUP($A348,[4]加注释!$A:$H,8,FALSE)</f>
        <v>-1.45628</v>
      </c>
    </row>
    <row r="349" spans="1:2" x14ac:dyDescent="0.2">
      <c r="A349" t="s">
        <v>651</v>
      </c>
      <c r="B349">
        <f>VLOOKUP($A349,[4]加注释!$A:$H,8,FALSE)</f>
        <v>1.57663</v>
      </c>
    </row>
    <row r="350" spans="1:2" x14ac:dyDescent="0.2">
      <c r="A350" t="s">
        <v>1333</v>
      </c>
      <c r="B350">
        <f>VLOOKUP($A350,[4]加注释!$A:$H,8,FALSE)</f>
        <v>-1.01278</v>
      </c>
    </row>
    <row r="351" spans="1:2" x14ac:dyDescent="0.2">
      <c r="A351" t="s">
        <v>1334</v>
      </c>
      <c r="B351">
        <f>VLOOKUP($A351,[4]加注释!$A:$H,8,FALSE)</f>
        <v>-1.95407</v>
      </c>
    </row>
    <row r="352" spans="1:2" x14ac:dyDescent="0.2">
      <c r="A352" t="s">
        <v>1335</v>
      </c>
      <c r="B352">
        <f>VLOOKUP($A352,[4]加注释!$A:$H,8,FALSE)</f>
        <v>-1.4819800000000001</v>
      </c>
    </row>
    <row r="353" spans="1:2" x14ac:dyDescent="0.2">
      <c r="A353" t="s">
        <v>655</v>
      </c>
      <c r="B353">
        <f>VLOOKUP($A353,[4]加注释!$A:$H,8,FALSE)</f>
        <v>-1.8648899999999999</v>
      </c>
    </row>
    <row r="354" spans="1:2" x14ac:dyDescent="0.2">
      <c r="A354" t="s">
        <v>656</v>
      </c>
      <c r="B354">
        <f>VLOOKUP($A354,[4]加注释!$A:$H,8,FALSE)</f>
        <v>-2.3859300000000001</v>
      </c>
    </row>
    <row r="355" spans="1:2" x14ac:dyDescent="0.2">
      <c r="A355" t="s">
        <v>657</v>
      </c>
      <c r="B355">
        <f>VLOOKUP($A355,[4]加注释!$A:$H,8,FALSE)</f>
        <v>-1.6215200000000001</v>
      </c>
    </row>
    <row r="356" spans="1:2" x14ac:dyDescent="0.2">
      <c r="A356" t="s">
        <v>658</v>
      </c>
      <c r="B356">
        <f>VLOOKUP($A356,[4]加注释!$A:$H,8,FALSE)</f>
        <v>1.4674199999999999</v>
      </c>
    </row>
    <row r="357" spans="1:2" x14ac:dyDescent="0.2">
      <c r="A357" t="s">
        <v>1338</v>
      </c>
      <c r="B357">
        <f>VLOOKUP($A357,[4]加注释!$A:$H,8,FALSE)</f>
        <v>-1.22844</v>
      </c>
    </row>
    <row r="358" spans="1:2" x14ac:dyDescent="0.2">
      <c r="A358" t="s">
        <v>662</v>
      </c>
      <c r="B358">
        <f>VLOOKUP($A358,[4]加注释!$A:$H,8,FALSE)</f>
        <v>1.08945</v>
      </c>
    </row>
    <row r="359" spans="1:2" x14ac:dyDescent="0.2">
      <c r="A359" t="s">
        <v>1339</v>
      </c>
      <c r="B359">
        <f>VLOOKUP($A359,[4]加注释!$A:$H,8,FALSE)</f>
        <v>1.1855</v>
      </c>
    </row>
    <row r="360" spans="1:2" x14ac:dyDescent="0.2">
      <c r="A360" t="s">
        <v>665</v>
      </c>
      <c r="B360">
        <f>VLOOKUP($A360,[4]加注释!$A:$H,8,FALSE)</f>
        <v>-1.09707</v>
      </c>
    </row>
    <row r="361" spans="1:2" x14ac:dyDescent="0.2">
      <c r="A361" t="s">
        <v>1340</v>
      </c>
      <c r="B361">
        <f>VLOOKUP($A361,[4]加注释!$A:$H,8,FALSE)</f>
        <v>1.74196</v>
      </c>
    </row>
    <row r="362" spans="1:2" x14ac:dyDescent="0.2">
      <c r="A362" t="s">
        <v>666</v>
      </c>
      <c r="B362">
        <f>VLOOKUP($A362,[4]加注释!$A:$H,8,FALSE)</f>
        <v>-4.0346299999999999</v>
      </c>
    </row>
    <row r="363" spans="1:2" x14ac:dyDescent="0.2">
      <c r="A363" t="s">
        <v>1341</v>
      </c>
      <c r="B363">
        <f>VLOOKUP($A363,[4]加注释!$A:$H,8,FALSE)</f>
        <v>-1.6376500000000001</v>
      </c>
    </row>
    <row r="364" spans="1:2" x14ac:dyDescent="0.2">
      <c r="A364" t="s">
        <v>677</v>
      </c>
      <c r="B364">
        <f>VLOOKUP($A364,[4]加注释!$A:$H,8,FALSE)</f>
        <v>1.09673</v>
      </c>
    </row>
    <row r="365" spans="1:2" x14ac:dyDescent="0.2">
      <c r="A365" t="s">
        <v>1343</v>
      </c>
      <c r="B365">
        <f>VLOOKUP($A365,[4]加注释!$A:$H,8,FALSE)</f>
        <v>1.0325500000000001</v>
      </c>
    </row>
    <row r="366" spans="1:2" x14ac:dyDescent="0.2">
      <c r="A366" t="s">
        <v>1344</v>
      </c>
      <c r="B366">
        <f>VLOOKUP($A366,[4]加注释!$A:$H,8,FALSE)</f>
        <v>-2.5183599999999999</v>
      </c>
    </row>
    <row r="367" spans="1:2" x14ac:dyDescent="0.2">
      <c r="A367" t="s">
        <v>1345</v>
      </c>
      <c r="B367">
        <f>VLOOKUP($A367,[4]加注释!$A:$H,8,FALSE)</f>
        <v>-1.0571900000000001</v>
      </c>
    </row>
    <row r="368" spans="1:2" x14ac:dyDescent="0.2">
      <c r="A368" t="s">
        <v>682</v>
      </c>
      <c r="B368">
        <f>VLOOKUP($A368,[4]加注释!$A:$H,8,FALSE)</f>
        <v>-1.0080800000000001</v>
      </c>
    </row>
    <row r="369" spans="1:2" x14ac:dyDescent="0.2">
      <c r="A369" t="s">
        <v>1346</v>
      </c>
      <c r="B369">
        <f>VLOOKUP($A369,[4]加注释!$A:$H,8,FALSE)</f>
        <v>1.1381600000000001</v>
      </c>
    </row>
    <row r="370" spans="1:2" x14ac:dyDescent="0.2">
      <c r="A370" t="s">
        <v>684</v>
      </c>
      <c r="B370">
        <f>VLOOKUP($A370,[4]加注释!$A:$H,8,FALSE)</f>
        <v>-1.20424</v>
      </c>
    </row>
    <row r="371" spans="1:2" x14ac:dyDescent="0.2">
      <c r="A371" t="s">
        <v>686</v>
      </c>
      <c r="B371">
        <f>VLOOKUP($A371,[4]加注释!$A:$H,8,FALSE)</f>
        <v>-1.9330400000000001</v>
      </c>
    </row>
    <row r="372" spans="1:2" x14ac:dyDescent="0.2">
      <c r="A372" t="s">
        <v>687</v>
      </c>
      <c r="B372">
        <f>VLOOKUP($A372,[4]加注释!$A:$H,8,FALSE)</f>
        <v>-2.4315600000000002</v>
      </c>
    </row>
    <row r="373" spans="1:2" x14ac:dyDescent="0.2">
      <c r="A373" t="s">
        <v>690</v>
      </c>
      <c r="B373">
        <f>VLOOKUP($A373,[4]加注释!$A:$H,8,FALSE)</f>
        <v>-1.4133800000000001</v>
      </c>
    </row>
    <row r="374" spans="1:2" x14ac:dyDescent="0.2">
      <c r="A374" t="s">
        <v>1350</v>
      </c>
      <c r="B374">
        <f>VLOOKUP($A374,[4]加注释!$A:$H,8,FALSE)</f>
        <v>-1.00041</v>
      </c>
    </row>
    <row r="375" spans="1:2" x14ac:dyDescent="0.2">
      <c r="A375" t="s">
        <v>699</v>
      </c>
      <c r="B375">
        <f>VLOOKUP($A375,[4]加注释!$A:$H,8,FALSE)</f>
        <v>-1.3794999999999999</v>
      </c>
    </row>
    <row r="376" spans="1:2" x14ac:dyDescent="0.2">
      <c r="A376" t="s">
        <v>1352</v>
      </c>
      <c r="B376">
        <f>VLOOKUP($A376,[4]加注释!$A:$H,8,FALSE)</f>
        <v>1.1207199999999999</v>
      </c>
    </row>
    <row r="377" spans="1:2" x14ac:dyDescent="0.2">
      <c r="A377" t="s">
        <v>1353</v>
      </c>
      <c r="B377">
        <f>VLOOKUP($A377,[4]加注释!$A:$H,8,FALSE)</f>
        <v>-1.3887</v>
      </c>
    </row>
    <row r="378" spans="1:2" x14ac:dyDescent="0.2">
      <c r="A378" t="s">
        <v>701</v>
      </c>
      <c r="B378">
        <f>VLOOKUP($A378,[4]加注释!$A:$H,8,FALSE)</f>
        <v>-1.5487500000000001</v>
      </c>
    </row>
    <row r="379" spans="1:2" x14ac:dyDescent="0.2">
      <c r="A379" t="s">
        <v>1354</v>
      </c>
      <c r="B379">
        <f>VLOOKUP($A379,[4]加注释!$A:$H,8,FALSE)</f>
        <v>-1.7526299999999999</v>
      </c>
    </row>
    <row r="380" spans="1:2" x14ac:dyDescent="0.2">
      <c r="A380" t="s">
        <v>1356</v>
      </c>
      <c r="B380">
        <f>VLOOKUP($A380,[4]加注释!$A:$H,8,FALSE)</f>
        <v>1.18407</v>
      </c>
    </row>
    <row r="381" spans="1:2" x14ac:dyDescent="0.2">
      <c r="A381" t="s">
        <v>714</v>
      </c>
      <c r="B381">
        <f>VLOOKUP($A381,[4]加注释!$A:$H,8,FALSE)</f>
        <v>1.09229</v>
      </c>
    </row>
    <row r="382" spans="1:2" x14ac:dyDescent="0.2">
      <c r="A382" t="s">
        <v>1357</v>
      </c>
      <c r="B382">
        <f>VLOOKUP($A382,[4]加注释!$A:$H,8,FALSE)</f>
        <v>-1.09155</v>
      </c>
    </row>
    <row r="383" spans="1:2" x14ac:dyDescent="0.2">
      <c r="A383" t="s">
        <v>1358</v>
      </c>
      <c r="B383">
        <f>VLOOKUP($A383,[4]加注释!$A:$H,8,FALSE)</f>
        <v>-1.81907</v>
      </c>
    </row>
    <row r="384" spans="1:2" x14ac:dyDescent="0.2">
      <c r="A384" t="s">
        <v>1359</v>
      </c>
      <c r="B384">
        <f>VLOOKUP($A384,[4]加注释!$A:$H,8,FALSE)</f>
        <v>2.28531</v>
      </c>
    </row>
    <row r="385" spans="1:2" x14ac:dyDescent="0.2">
      <c r="A385" t="s">
        <v>1360</v>
      </c>
      <c r="B385">
        <f>VLOOKUP($A385,[4]加注释!$A:$H,8,FALSE)</f>
        <v>-1.9537100000000001</v>
      </c>
    </row>
    <row r="386" spans="1:2" x14ac:dyDescent="0.2">
      <c r="A386" t="s">
        <v>1361</v>
      </c>
      <c r="B386">
        <f>VLOOKUP($A386,[4]加注释!$A:$H,8,FALSE)</f>
        <v>-1.0681700000000001</v>
      </c>
    </row>
    <row r="387" spans="1:2" x14ac:dyDescent="0.2">
      <c r="A387" t="s">
        <v>721</v>
      </c>
      <c r="B387">
        <f>VLOOKUP($A387,[4]加注释!$A:$H,8,FALSE)</f>
        <v>-1.7603500000000001</v>
      </c>
    </row>
    <row r="388" spans="1:2" x14ac:dyDescent="0.2">
      <c r="A388" t="s">
        <v>1364</v>
      </c>
      <c r="B388">
        <f>VLOOKUP($A388,[4]加注释!$A:$H,8,FALSE)</f>
        <v>-1.0242</v>
      </c>
    </row>
    <row r="389" spans="1:2" x14ac:dyDescent="0.2">
      <c r="A389" t="s">
        <v>1365</v>
      </c>
      <c r="B389">
        <f>VLOOKUP($A389,[4]加注释!$A:$H,8,FALSE)</f>
        <v>-1.4936100000000001</v>
      </c>
    </row>
    <row r="390" spans="1:2" x14ac:dyDescent="0.2">
      <c r="A390" t="s">
        <v>1366</v>
      </c>
      <c r="B390">
        <f>VLOOKUP($A390,[4]加注释!$A:$H,8,FALSE)</f>
        <v>1.0181899999999999</v>
      </c>
    </row>
    <row r="391" spans="1:2" x14ac:dyDescent="0.2">
      <c r="A391" t="s">
        <v>730</v>
      </c>
      <c r="B391">
        <f>VLOOKUP($A391,[4]加注释!$A:$H,8,FALSE)</f>
        <v>-1.26627</v>
      </c>
    </row>
    <row r="392" spans="1:2" x14ac:dyDescent="0.2">
      <c r="A392" t="s">
        <v>731</v>
      </c>
      <c r="B392">
        <f>VLOOKUP($A392,[4]加注释!$A:$H,8,FALSE)</f>
        <v>-1.11528</v>
      </c>
    </row>
    <row r="393" spans="1:2" x14ac:dyDescent="0.2">
      <c r="A393" t="s">
        <v>1367</v>
      </c>
      <c r="B393">
        <f>VLOOKUP($A393,[4]加注释!$A:$H,8,FALSE)</f>
        <v>-1.89988</v>
      </c>
    </row>
    <row r="394" spans="1:2" x14ac:dyDescent="0.2">
      <c r="A394" t="s">
        <v>1369</v>
      </c>
      <c r="B394">
        <f>VLOOKUP($A394,[4]加注释!$A:$H,8,FALSE)</f>
        <v>1.641</v>
      </c>
    </row>
    <row r="395" spans="1:2" x14ac:dyDescent="0.2">
      <c r="A395" t="s">
        <v>1370</v>
      </c>
      <c r="B395">
        <f>VLOOKUP($A395,[4]加注释!$A:$H,8,FALSE)</f>
        <v>1.2510699999999999</v>
      </c>
    </row>
    <row r="396" spans="1:2" x14ac:dyDescent="0.2">
      <c r="A396" t="s">
        <v>1371</v>
      </c>
      <c r="B396">
        <f>VLOOKUP($A396,[4]加注释!$A:$H,8,FALSE)</f>
        <v>-1.14344</v>
      </c>
    </row>
    <row r="397" spans="1:2" x14ac:dyDescent="0.2">
      <c r="A397" t="s">
        <v>1372</v>
      </c>
      <c r="B397">
        <f>VLOOKUP($A397,[4]加注释!$A:$H,8,FALSE)</f>
        <v>-2.1474500000000001</v>
      </c>
    </row>
    <row r="398" spans="1:2" x14ac:dyDescent="0.2">
      <c r="A398" t="s">
        <v>1373</v>
      </c>
      <c r="B398">
        <f>VLOOKUP($A398,[4]加注释!$A:$H,8,FALSE)</f>
        <v>-1.0481799999999999</v>
      </c>
    </row>
    <row r="399" spans="1:2" x14ac:dyDescent="0.2">
      <c r="A399" t="s">
        <v>1375</v>
      </c>
      <c r="B399">
        <f>VLOOKUP($A399,[4]加注释!$A:$H,8,FALSE)</f>
        <v>-1.06409</v>
      </c>
    </row>
    <row r="400" spans="1:2" x14ac:dyDescent="0.2">
      <c r="A400" t="s">
        <v>743</v>
      </c>
      <c r="B400">
        <f>VLOOKUP($A400,[4]加注释!$A:$H,8,FALSE)</f>
        <v>-1.1169500000000001</v>
      </c>
    </row>
    <row r="401" spans="1:2" x14ac:dyDescent="0.2">
      <c r="A401" t="s">
        <v>1376</v>
      </c>
      <c r="B401">
        <f>VLOOKUP($A401,[4]加注释!$A:$H,8,FALSE)</f>
        <v>1.0821799999999999</v>
      </c>
    </row>
    <row r="402" spans="1:2" x14ac:dyDescent="0.2">
      <c r="A402" t="s">
        <v>1378</v>
      </c>
      <c r="B402">
        <f>VLOOKUP($A402,[4]加注释!$A:$H,8,FALSE)</f>
        <v>-1.0769</v>
      </c>
    </row>
    <row r="403" spans="1:2" x14ac:dyDescent="0.2">
      <c r="A403" t="s">
        <v>1380</v>
      </c>
      <c r="B403">
        <f>VLOOKUP($A403,[4]加注释!$A:$H,8,FALSE)</f>
        <v>-1.68716</v>
      </c>
    </row>
    <row r="404" spans="1:2" x14ac:dyDescent="0.2">
      <c r="A404" t="s">
        <v>750</v>
      </c>
      <c r="B404">
        <f>VLOOKUP($A404,[4]加注释!$A:$H,8,FALSE)</f>
        <v>-2.14235</v>
      </c>
    </row>
    <row r="405" spans="1:2" x14ac:dyDescent="0.2">
      <c r="A405" t="s">
        <v>754</v>
      </c>
      <c r="B405">
        <f>VLOOKUP($A405,[4]加注释!$A:$H,8,FALSE)</f>
        <v>-1.1122799999999999</v>
      </c>
    </row>
    <row r="406" spans="1:2" x14ac:dyDescent="0.2">
      <c r="A406" t="s">
        <v>759</v>
      </c>
      <c r="B406">
        <f>VLOOKUP($A406,[4]加注释!$A:$H,8,FALSE)</f>
        <v>-1.6428100000000001</v>
      </c>
    </row>
    <row r="407" spans="1:2" x14ac:dyDescent="0.2">
      <c r="A407" t="s">
        <v>760</v>
      </c>
      <c r="B407">
        <f>VLOOKUP($A407,[4]加注释!$A:$H,8,FALSE)</f>
        <v>-2.5783399999999999</v>
      </c>
    </row>
    <row r="408" spans="1:2" x14ac:dyDescent="0.2">
      <c r="A408" t="s">
        <v>1382</v>
      </c>
      <c r="B408">
        <f>VLOOKUP($A408,[4]加注释!$A:$H,8,FALSE)</f>
        <v>-1.18607</v>
      </c>
    </row>
    <row r="409" spans="1:2" x14ac:dyDescent="0.2">
      <c r="A409" t="s">
        <v>763</v>
      </c>
      <c r="B409">
        <f>VLOOKUP($A409,[4]加注释!$A:$H,8,FALSE)</f>
        <v>-2.0514299999999999</v>
      </c>
    </row>
    <row r="410" spans="1:2" x14ac:dyDescent="0.2">
      <c r="A410" t="s">
        <v>1383</v>
      </c>
      <c r="B410">
        <f>VLOOKUP($A410,[4]加注释!$A:$H,8,FALSE)</f>
        <v>1.7581899999999999</v>
      </c>
    </row>
    <row r="411" spans="1:2" x14ac:dyDescent="0.2">
      <c r="A411" t="s">
        <v>1384</v>
      </c>
      <c r="B411">
        <f>VLOOKUP($A411,[4]加注释!$A:$H,8,FALSE)</f>
        <v>-2.8657599999999999</v>
      </c>
    </row>
    <row r="412" spans="1:2" x14ac:dyDescent="0.2">
      <c r="A412" t="s">
        <v>766</v>
      </c>
      <c r="B412">
        <f>VLOOKUP($A412,[4]加注释!$A:$H,8,FALSE)</f>
        <v>-1.19811</v>
      </c>
    </row>
    <row r="413" spans="1:2" x14ac:dyDescent="0.2">
      <c r="A413" t="s">
        <v>767</v>
      </c>
      <c r="B413">
        <f>VLOOKUP($A413,[4]加注释!$A:$H,8,FALSE)</f>
        <v>1.0029300000000001</v>
      </c>
    </row>
    <row r="414" spans="1:2" x14ac:dyDescent="0.2">
      <c r="A414" t="s">
        <v>773</v>
      </c>
      <c r="B414">
        <f>VLOOKUP($A414,[4]加注释!$A:$H,8,FALSE)</f>
        <v>-1.2816000000000001</v>
      </c>
    </row>
    <row r="415" spans="1:2" x14ac:dyDescent="0.2">
      <c r="A415" t="s">
        <v>1385</v>
      </c>
      <c r="B415" t="str">
        <f>VLOOKUP($A415,[4]加注释!$A:$H,8,FALSE)</f>
        <v>inf</v>
      </c>
    </row>
    <row r="416" spans="1:2" x14ac:dyDescent="0.2">
      <c r="A416" t="s">
        <v>777</v>
      </c>
      <c r="B416">
        <f>VLOOKUP($A416,[4]加注释!$A:$H,8,FALSE)</f>
        <v>-1.373</v>
      </c>
    </row>
    <row r="417" spans="1:2" x14ac:dyDescent="0.2">
      <c r="A417" t="s">
        <v>778</v>
      </c>
      <c r="B417">
        <f>VLOOKUP($A417,[4]加注释!$A:$H,8,FALSE)</f>
        <v>-1.37243</v>
      </c>
    </row>
    <row r="418" spans="1:2" x14ac:dyDescent="0.2">
      <c r="A418" t="s">
        <v>1387</v>
      </c>
      <c r="B418">
        <f>VLOOKUP($A418,[4]加注释!$A:$H,8,FALSE)</f>
        <v>1.09091</v>
      </c>
    </row>
    <row r="419" spans="1:2" x14ac:dyDescent="0.2">
      <c r="A419" t="s">
        <v>786</v>
      </c>
      <c r="B419">
        <f>VLOOKUP($A419,[4]加注释!$A:$H,8,FALSE)</f>
        <v>1.3352900000000001</v>
      </c>
    </row>
    <row r="420" spans="1:2" x14ac:dyDescent="0.2">
      <c r="A420" t="s">
        <v>788</v>
      </c>
      <c r="B420">
        <f>VLOOKUP($A420,[4]加注释!$A:$H,8,FALSE)</f>
        <v>-1.1009899999999999</v>
      </c>
    </row>
    <row r="421" spans="1:2" x14ac:dyDescent="0.2">
      <c r="A421" t="s">
        <v>1389</v>
      </c>
      <c r="B421">
        <f>VLOOKUP($A421,[4]加注释!$A:$H,8,FALSE)</f>
        <v>-1.10327</v>
      </c>
    </row>
    <row r="422" spans="1:2" x14ac:dyDescent="0.2">
      <c r="A422" t="s">
        <v>1390</v>
      </c>
      <c r="B422">
        <f>VLOOKUP($A422,[4]加注释!$A:$H,8,FALSE)</f>
        <v>-1.09091</v>
      </c>
    </row>
    <row r="423" spans="1:2" x14ac:dyDescent="0.2">
      <c r="A423" t="s">
        <v>1391</v>
      </c>
      <c r="B423">
        <f>VLOOKUP($A423,[4]加注释!$A:$H,8,FALSE)</f>
        <v>1.0823199999999999</v>
      </c>
    </row>
    <row r="424" spans="1:2" x14ac:dyDescent="0.2">
      <c r="A424" t="s">
        <v>1392</v>
      </c>
      <c r="B424">
        <f>VLOOKUP($A424,[4]加注释!$A:$H,8,FALSE)</f>
        <v>-1.4952000000000001</v>
      </c>
    </row>
    <row r="425" spans="1:2" x14ac:dyDescent="0.2">
      <c r="A425" t="s">
        <v>1393</v>
      </c>
      <c r="B425">
        <f>VLOOKUP($A425,[4]加注释!$A:$H,8,FALSE)</f>
        <v>-1.1344000000000001</v>
      </c>
    </row>
    <row r="426" spans="1:2" x14ac:dyDescent="0.2">
      <c r="A426" t="s">
        <v>796</v>
      </c>
      <c r="B426">
        <f>VLOOKUP($A426,[4]加注释!$A:$H,8,FALSE)</f>
        <v>-1.01692</v>
      </c>
    </row>
    <row r="427" spans="1:2" x14ac:dyDescent="0.2">
      <c r="A427" t="s">
        <v>1395</v>
      </c>
      <c r="B427">
        <f>VLOOKUP($A427,[4]加注释!$A:$H,8,FALSE)</f>
        <v>1.02491</v>
      </c>
    </row>
    <row r="428" spans="1:2" x14ac:dyDescent="0.2">
      <c r="A428" t="s">
        <v>800</v>
      </c>
      <c r="B428">
        <f>VLOOKUP($A428,[4]加注释!$A:$H,8,FALSE)</f>
        <v>-1.17919</v>
      </c>
    </row>
    <row r="429" spans="1:2" x14ac:dyDescent="0.2">
      <c r="A429" t="s">
        <v>802</v>
      </c>
      <c r="B429">
        <f>VLOOKUP($A429,[4]加注释!$A:$H,8,FALSE)</f>
        <v>-2.4167700000000001</v>
      </c>
    </row>
    <row r="430" spans="1:2" x14ac:dyDescent="0.2">
      <c r="A430" t="s">
        <v>1396</v>
      </c>
      <c r="B430">
        <f>VLOOKUP($A430,[4]加注释!$A:$H,8,FALSE)</f>
        <v>1.4110199999999999</v>
      </c>
    </row>
    <row r="431" spans="1:2" x14ac:dyDescent="0.2">
      <c r="A431" t="s">
        <v>806</v>
      </c>
      <c r="B431">
        <f>VLOOKUP($A431,[4]加注释!$A:$H,8,FALSE)</f>
        <v>-1.6838200000000001</v>
      </c>
    </row>
    <row r="432" spans="1:2" x14ac:dyDescent="0.2">
      <c r="A432" t="s">
        <v>808</v>
      </c>
      <c r="B432">
        <f>VLOOKUP($A432,[4]加注释!$A:$H,8,FALSE)</f>
        <v>-1.02535</v>
      </c>
    </row>
    <row r="433" spans="1:2" x14ac:dyDescent="0.2">
      <c r="A433" t="s">
        <v>809</v>
      </c>
      <c r="B433">
        <f>VLOOKUP($A433,[4]加注释!$A:$H,8,FALSE)</f>
        <v>-2.5322800000000001</v>
      </c>
    </row>
    <row r="434" spans="1:2" x14ac:dyDescent="0.2">
      <c r="A434" t="s">
        <v>1398</v>
      </c>
      <c r="B434">
        <f>VLOOKUP($A434,[4]加注释!$A:$H,8,FALSE)</f>
        <v>-1.30223</v>
      </c>
    </row>
    <row r="435" spans="1:2" x14ac:dyDescent="0.2">
      <c r="A435" t="s">
        <v>1399</v>
      </c>
      <c r="B435">
        <f>VLOOKUP($A435,[4]加注释!$A:$H,8,FALSE)</f>
        <v>1.4057999999999999</v>
      </c>
    </row>
    <row r="436" spans="1:2" x14ac:dyDescent="0.2">
      <c r="A436" t="s">
        <v>819</v>
      </c>
      <c r="B436">
        <f>VLOOKUP($A436,[4]加注释!$A:$H,8,FALSE)</f>
        <v>-1.11243</v>
      </c>
    </row>
    <row r="437" spans="1:2" x14ac:dyDescent="0.2">
      <c r="A437" t="s">
        <v>1400</v>
      </c>
      <c r="B437">
        <f>VLOOKUP($A437,[4]加注释!$A:$H,8,FALSE)</f>
        <v>-1.3052600000000001</v>
      </c>
    </row>
    <row r="438" spans="1:2" x14ac:dyDescent="0.2">
      <c r="A438" t="s">
        <v>1401</v>
      </c>
      <c r="B438">
        <f>VLOOKUP($A438,[4]加注释!$A:$H,8,FALSE)</f>
        <v>-1.29322</v>
      </c>
    </row>
    <row r="439" spans="1:2" x14ac:dyDescent="0.2">
      <c r="A439" t="s">
        <v>826</v>
      </c>
      <c r="B439">
        <f>VLOOKUP($A439,[4]加注释!$A:$H,8,FALSE)</f>
        <v>-1.68062</v>
      </c>
    </row>
    <row r="440" spans="1:2" x14ac:dyDescent="0.2">
      <c r="A440" t="s">
        <v>828</v>
      </c>
      <c r="B440">
        <f>VLOOKUP($A440,[4]加注释!$A:$H,8,FALSE)</f>
        <v>-1.2142599999999999</v>
      </c>
    </row>
    <row r="441" spans="1:2" x14ac:dyDescent="0.2">
      <c r="A441" t="s">
        <v>829</v>
      </c>
      <c r="B441">
        <f>VLOOKUP($A441,[4]加注释!$A:$H,8,FALSE)</f>
        <v>-1.00763</v>
      </c>
    </row>
    <row r="442" spans="1:2" x14ac:dyDescent="0.2">
      <c r="A442" t="s">
        <v>830</v>
      </c>
      <c r="B442">
        <f>VLOOKUP($A442,[4]加注释!$A:$H,8,FALSE)</f>
        <v>-1.6496500000000001</v>
      </c>
    </row>
    <row r="443" spans="1:2" x14ac:dyDescent="0.2">
      <c r="A443" t="s">
        <v>1403</v>
      </c>
      <c r="B443">
        <f>VLOOKUP($A443,[4]加注释!$A:$H,8,FALSE)</f>
        <v>-2.6021899999999998</v>
      </c>
    </row>
    <row r="444" spans="1:2" x14ac:dyDescent="0.2">
      <c r="A444" t="s">
        <v>834</v>
      </c>
      <c r="B444">
        <f>VLOOKUP($A444,[4]加注释!$A:$H,8,FALSE)</f>
        <v>-2.1709999999999998</v>
      </c>
    </row>
    <row r="445" spans="1:2" x14ac:dyDescent="0.2">
      <c r="A445" t="s">
        <v>1405</v>
      </c>
      <c r="B445">
        <f>VLOOKUP($A445,[4]加注释!$A:$H,8,FALSE)</f>
        <v>1.30664</v>
      </c>
    </row>
    <row r="446" spans="1:2" x14ac:dyDescent="0.2">
      <c r="A446" t="s">
        <v>835</v>
      </c>
      <c r="B446">
        <f>VLOOKUP($A446,[4]加注释!$A:$H,8,FALSE)</f>
        <v>-1.56002</v>
      </c>
    </row>
    <row r="447" spans="1:2" x14ac:dyDescent="0.2">
      <c r="A447" t="s">
        <v>836</v>
      </c>
      <c r="B447">
        <f>VLOOKUP($A447,[4]加注释!$A:$H,8,FALSE)</f>
        <v>-1.2089700000000001</v>
      </c>
    </row>
    <row r="448" spans="1:2" x14ac:dyDescent="0.2">
      <c r="A448" t="s">
        <v>1406</v>
      </c>
      <c r="B448">
        <f>VLOOKUP($A448,[4]加注释!$A:$H,8,FALSE)</f>
        <v>-1.7638</v>
      </c>
    </row>
    <row r="449" spans="1:2" x14ac:dyDescent="0.2">
      <c r="A449" t="s">
        <v>1407</v>
      </c>
      <c r="B449">
        <f>VLOOKUP($A449,[4]加注释!$A:$H,8,FALSE)</f>
        <v>-1.1797800000000001</v>
      </c>
    </row>
    <row r="450" spans="1:2" x14ac:dyDescent="0.2">
      <c r="A450" t="s">
        <v>842</v>
      </c>
      <c r="B450">
        <f>VLOOKUP($A450,[4]加注释!$A:$H,8,FALSE)</f>
        <v>-1.6438999999999999</v>
      </c>
    </row>
    <row r="451" spans="1:2" x14ac:dyDescent="0.2">
      <c r="A451" t="s">
        <v>844</v>
      </c>
      <c r="B451">
        <f>VLOOKUP($A451,[4]加注释!$A:$H,8,FALSE)</f>
        <v>-1.0310299999999999</v>
      </c>
    </row>
    <row r="452" spans="1:2" x14ac:dyDescent="0.2">
      <c r="A452" t="s">
        <v>845</v>
      </c>
      <c r="B452">
        <f>VLOOKUP($A452,[4]加注释!$A:$H,8,FALSE)</f>
        <v>1.41429</v>
      </c>
    </row>
    <row r="453" spans="1:2" x14ac:dyDescent="0.2">
      <c r="A453" t="s">
        <v>848</v>
      </c>
      <c r="B453">
        <f>VLOOKUP($A453,[4]加注释!$A:$H,8,FALSE)</f>
        <v>-1.2809299999999999</v>
      </c>
    </row>
    <row r="454" spans="1:2" x14ac:dyDescent="0.2">
      <c r="A454" t="s">
        <v>849</v>
      </c>
      <c r="B454">
        <f>VLOOKUP($A454,[4]加注释!$A:$H,8,FALSE)</f>
        <v>-2.1200999999999999</v>
      </c>
    </row>
    <row r="455" spans="1:2" x14ac:dyDescent="0.2">
      <c r="A455" t="s">
        <v>851</v>
      </c>
      <c r="B455">
        <f>VLOOKUP($A455,[4]加注释!$A:$H,8,FALSE)</f>
        <v>-1.18302</v>
      </c>
    </row>
    <row r="456" spans="1:2" x14ac:dyDescent="0.2">
      <c r="A456" t="s">
        <v>853</v>
      </c>
      <c r="B456">
        <f>VLOOKUP($A456,[4]加注释!$A:$H,8,FALSE)</f>
        <v>-1.2452700000000001</v>
      </c>
    </row>
    <row r="457" spans="1:2" x14ac:dyDescent="0.2">
      <c r="A457" t="s">
        <v>858</v>
      </c>
      <c r="B457">
        <f>VLOOKUP($A457,[4]加注释!$A:$H,8,FALSE)</f>
        <v>1.3456999999999999</v>
      </c>
    </row>
    <row r="458" spans="1:2" x14ac:dyDescent="0.2">
      <c r="A458" t="s">
        <v>1412</v>
      </c>
      <c r="B458">
        <f>VLOOKUP($A458,[4]加注释!$A:$H,8,FALSE)</f>
        <v>-1.00379</v>
      </c>
    </row>
    <row r="459" spans="1:2" x14ac:dyDescent="0.2">
      <c r="A459" t="s">
        <v>862</v>
      </c>
      <c r="B459">
        <f>VLOOKUP($A459,[4]加注释!$A:$H,8,FALSE)</f>
        <v>1.19621</v>
      </c>
    </row>
    <row r="460" spans="1:2" x14ac:dyDescent="0.2">
      <c r="A460" t="s">
        <v>865</v>
      </c>
      <c r="B460">
        <f>VLOOKUP($A460,[4]加注释!$A:$H,8,FALSE)</f>
        <v>-2.27284</v>
      </c>
    </row>
    <row r="461" spans="1:2" x14ac:dyDescent="0.2">
      <c r="A461" t="s">
        <v>871</v>
      </c>
      <c r="B461">
        <f>VLOOKUP($A461,[4]加注释!$A:$H,8,FALSE)</f>
        <v>-1.4357500000000001</v>
      </c>
    </row>
    <row r="462" spans="1:2" x14ac:dyDescent="0.2">
      <c r="A462" t="s">
        <v>878</v>
      </c>
      <c r="B462">
        <f>VLOOKUP($A462,[4]加注释!$A:$H,8,FALSE)</f>
        <v>-3.9964400000000002</v>
      </c>
    </row>
    <row r="463" spans="1:2" x14ac:dyDescent="0.2">
      <c r="A463" t="s">
        <v>889</v>
      </c>
      <c r="B463">
        <f>VLOOKUP($A463,[4]加注释!$A:$H,8,FALSE)</f>
        <v>-1.8822000000000001</v>
      </c>
    </row>
    <row r="464" spans="1:2" x14ac:dyDescent="0.2">
      <c r="A464" t="s">
        <v>890</v>
      </c>
      <c r="B464">
        <f>VLOOKUP($A464,[4]加注释!$A:$H,8,FALSE)</f>
        <v>-1.01918</v>
      </c>
    </row>
    <row r="465" spans="1:2" x14ac:dyDescent="0.2">
      <c r="A465" t="s">
        <v>1414</v>
      </c>
      <c r="B465">
        <f>VLOOKUP($A465,[4]加注释!$A:$H,8,FALSE)</f>
        <v>-1.6008800000000001</v>
      </c>
    </row>
    <row r="466" spans="1:2" x14ac:dyDescent="0.2">
      <c r="A466" t="s">
        <v>891</v>
      </c>
      <c r="B466">
        <f>VLOOKUP($A466,[4]加注释!$A:$H,8,FALSE)</f>
        <v>-1.26115</v>
      </c>
    </row>
    <row r="467" spans="1:2" x14ac:dyDescent="0.2">
      <c r="A467" t="s">
        <v>894</v>
      </c>
      <c r="B467">
        <f>VLOOKUP($A467,[4]加注释!$A:$H,8,FALSE)</f>
        <v>-1.12886</v>
      </c>
    </row>
    <row r="468" spans="1:2" x14ac:dyDescent="0.2">
      <c r="A468" t="s">
        <v>896</v>
      </c>
      <c r="B468">
        <f>VLOOKUP($A468,[4]加注释!$A:$H,8,FALSE)</f>
        <v>1.1066199999999999</v>
      </c>
    </row>
    <row r="469" spans="1:2" x14ac:dyDescent="0.2">
      <c r="A469" t="s">
        <v>1416</v>
      </c>
      <c r="B469">
        <f>VLOOKUP($A469,[4]加注释!$A:$H,8,FALSE)</f>
        <v>-1.4605900000000001</v>
      </c>
    </row>
    <row r="470" spans="1:2" x14ac:dyDescent="0.2">
      <c r="A470" t="s">
        <v>1418</v>
      </c>
      <c r="B470">
        <f>VLOOKUP($A470,[4]加注释!$A:$H,8,FALSE)</f>
        <v>-1.2690600000000001</v>
      </c>
    </row>
    <row r="471" spans="1:2" x14ac:dyDescent="0.2">
      <c r="A471" t="s">
        <v>905</v>
      </c>
      <c r="B471">
        <f>VLOOKUP($A471,[4]加注释!$A:$H,8,FALSE)</f>
        <v>-2.8213499999999998</v>
      </c>
    </row>
    <row r="472" spans="1:2" x14ac:dyDescent="0.2">
      <c r="A472" t="s">
        <v>907</v>
      </c>
      <c r="B472">
        <f>VLOOKUP($A472,[4]加注释!$A:$H,8,FALSE)</f>
        <v>-3.4407199999999998</v>
      </c>
    </row>
    <row r="473" spans="1:2" x14ac:dyDescent="0.2">
      <c r="A473" t="s">
        <v>910</v>
      </c>
      <c r="B473">
        <f>VLOOKUP($A473,[4]加注释!$A:$H,8,FALSE)</f>
        <v>-2.0674899999999998</v>
      </c>
    </row>
    <row r="474" spans="1:2" x14ac:dyDescent="0.2">
      <c r="A474" t="s">
        <v>914</v>
      </c>
      <c r="B474">
        <f>VLOOKUP($A474,[4]加注释!$A:$H,8,FALSE)</f>
        <v>-1.6066800000000001</v>
      </c>
    </row>
    <row r="475" spans="1:2" x14ac:dyDescent="0.2">
      <c r="A475" t="s">
        <v>1422</v>
      </c>
      <c r="B475">
        <f>VLOOKUP($A475,[4]加注释!$A:$H,8,FALSE)</f>
        <v>1.15265</v>
      </c>
    </row>
    <row r="476" spans="1:2" x14ac:dyDescent="0.2">
      <c r="A476" t="s">
        <v>1423</v>
      </c>
      <c r="B476">
        <f>VLOOKUP($A476,[4]加注释!$A:$H,8,FALSE)</f>
        <v>1.5810900000000001</v>
      </c>
    </row>
    <row r="477" spans="1:2" x14ac:dyDescent="0.2">
      <c r="A477" t="s">
        <v>924</v>
      </c>
      <c r="B477">
        <f>VLOOKUP($A477,[4]加注释!$A:$H,8,FALSE)</f>
        <v>1.1568099999999999</v>
      </c>
    </row>
    <row r="478" spans="1:2" x14ac:dyDescent="0.2">
      <c r="A478" t="s">
        <v>1424</v>
      </c>
      <c r="B478">
        <f>VLOOKUP($A478,[4]加注释!$A:$H,8,FALSE)</f>
        <v>-3.0129899999999998</v>
      </c>
    </row>
    <row r="479" spans="1:2" x14ac:dyDescent="0.2">
      <c r="A479" t="s">
        <v>929</v>
      </c>
      <c r="B479">
        <f>VLOOKUP($A479,[4]加注释!$A:$H,8,FALSE)</f>
        <v>-1.82483</v>
      </c>
    </row>
    <row r="480" spans="1:2" x14ac:dyDescent="0.2">
      <c r="A480" t="s">
        <v>930</v>
      </c>
      <c r="B480">
        <f>VLOOKUP($A480,[4]加注释!$A:$H,8,FALSE)</f>
        <v>-3.41181</v>
      </c>
    </row>
    <row r="481" spans="1:2" x14ac:dyDescent="0.2">
      <c r="A481" t="s">
        <v>931</v>
      </c>
      <c r="B481">
        <f>VLOOKUP($A481,[4]加注释!$A:$H,8,FALSE)</f>
        <v>-1.72184</v>
      </c>
    </row>
    <row r="482" spans="1:2" x14ac:dyDescent="0.2">
      <c r="A482" t="s">
        <v>936</v>
      </c>
      <c r="B482">
        <f>VLOOKUP($A482,[4]加注释!$A:$H,8,FALSE)</f>
        <v>-1.07891</v>
      </c>
    </row>
    <row r="483" spans="1:2" x14ac:dyDescent="0.2">
      <c r="A483" t="s">
        <v>1426</v>
      </c>
      <c r="B483">
        <f>VLOOKUP($A483,[4]加注释!$A:$H,8,FALSE)</f>
        <v>-1.2601500000000001</v>
      </c>
    </row>
    <row r="484" spans="1:2" x14ac:dyDescent="0.2">
      <c r="A484" t="s">
        <v>939</v>
      </c>
      <c r="B484">
        <f>VLOOKUP($A484,[4]加注释!$A:$H,8,FALSE)</f>
        <v>-1.04453</v>
      </c>
    </row>
    <row r="485" spans="1:2" x14ac:dyDescent="0.2">
      <c r="A485" t="s">
        <v>940</v>
      </c>
      <c r="B485">
        <f>VLOOKUP($A485,[4]加注释!$A:$H,8,FALSE)</f>
        <v>-1.8916200000000001</v>
      </c>
    </row>
    <row r="486" spans="1:2" x14ac:dyDescent="0.2">
      <c r="A486" t="s">
        <v>1428</v>
      </c>
      <c r="B486">
        <f>VLOOKUP($A486,[4]加注释!$A:$H,8,FALSE)</f>
        <v>-2.3938199999999998</v>
      </c>
    </row>
    <row r="487" spans="1:2" x14ac:dyDescent="0.2">
      <c r="A487" t="s">
        <v>942</v>
      </c>
      <c r="B487">
        <f>VLOOKUP($A487,[4]加注释!$A:$H,8,FALSE)</f>
        <v>-1.365</v>
      </c>
    </row>
    <row r="488" spans="1:2" x14ac:dyDescent="0.2">
      <c r="A488" t="s">
        <v>943</v>
      </c>
      <c r="B488">
        <f>VLOOKUP($A488,[4]加注释!$A:$H,8,FALSE)</f>
        <v>-1.1314500000000001</v>
      </c>
    </row>
    <row r="489" spans="1:2" x14ac:dyDescent="0.2">
      <c r="A489" t="s">
        <v>953</v>
      </c>
      <c r="B489">
        <f>VLOOKUP($A489,[4]加注释!$A:$H,8,FALSE)</f>
        <v>-1.3665</v>
      </c>
    </row>
    <row r="490" spans="1:2" x14ac:dyDescent="0.2">
      <c r="A490" t="s">
        <v>955</v>
      </c>
      <c r="B490" t="str">
        <f>VLOOKUP($A490,[4]加注释!$A:$H,8,FALSE)</f>
        <v>inf</v>
      </c>
    </row>
    <row r="491" spans="1:2" x14ac:dyDescent="0.2">
      <c r="A491" t="s">
        <v>1431</v>
      </c>
      <c r="B491">
        <f>VLOOKUP($A491,[4]加注释!$A:$H,8,FALSE)</f>
        <v>-2.1037699999999999</v>
      </c>
    </row>
    <row r="492" spans="1:2" x14ac:dyDescent="0.2">
      <c r="A492" t="s">
        <v>961</v>
      </c>
      <c r="B492">
        <f>VLOOKUP($A492,[4]加注释!$A:$H,8,FALSE)</f>
        <v>-1.30572</v>
      </c>
    </row>
    <row r="493" spans="1:2" x14ac:dyDescent="0.2">
      <c r="A493" t="s">
        <v>962</v>
      </c>
      <c r="B493">
        <f>VLOOKUP($A493,[4]加注释!$A:$H,8,FALSE)</f>
        <v>-1.2558</v>
      </c>
    </row>
    <row r="494" spans="1:2" x14ac:dyDescent="0.2">
      <c r="A494" t="s">
        <v>1432</v>
      </c>
      <c r="B494">
        <f>VLOOKUP($A494,[4]加注释!$A:$H,8,FALSE)</f>
        <v>1.03471</v>
      </c>
    </row>
    <row r="495" spans="1:2" x14ac:dyDescent="0.2">
      <c r="A495" t="s">
        <v>1433</v>
      </c>
      <c r="B495">
        <f>VLOOKUP($A495,[4]加注释!$A:$H,8,FALSE)</f>
        <v>-1.4371799999999999</v>
      </c>
    </row>
    <row r="496" spans="1:2" x14ac:dyDescent="0.2">
      <c r="A496" t="s">
        <v>1434</v>
      </c>
      <c r="B496">
        <f>VLOOKUP($A496,[4]加注释!$A:$H,8,FALSE)</f>
        <v>1.8216399999999999</v>
      </c>
    </row>
    <row r="497" spans="1:2" x14ac:dyDescent="0.2">
      <c r="A497" t="s">
        <v>965</v>
      </c>
      <c r="B497">
        <f>VLOOKUP($A497,[4]加注释!$A:$H,8,FALSE)</f>
        <v>-1.0066999999999999</v>
      </c>
    </row>
    <row r="498" spans="1:2" x14ac:dyDescent="0.2">
      <c r="A498" t="s">
        <v>1435</v>
      </c>
      <c r="B498">
        <f>VLOOKUP($A498,[4]加注释!$A:$H,8,FALSE)</f>
        <v>-1.1323099999999999</v>
      </c>
    </row>
    <row r="499" spans="1:2" x14ac:dyDescent="0.2">
      <c r="A499" t="s">
        <v>1436</v>
      </c>
      <c r="B499">
        <f>VLOOKUP($A499,[4]加注释!$A:$H,8,FALSE)</f>
        <v>-1.0937300000000001</v>
      </c>
    </row>
    <row r="500" spans="1:2" x14ac:dyDescent="0.2">
      <c r="A500" t="s">
        <v>972</v>
      </c>
      <c r="B500">
        <f>VLOOKUP($A500,[4]加注释!$A:$H,8,FALSE)</f>
        <v>1.0303</v>
      </c>
    </row>
    <row r="501" spans="1:2" x14ac:dyDescent="0.2">
      <c r="A501" t="s">
        <v>1437</v>
      </c>
      <c r="B501">
        <f>VLOOKUP($A501,[4]加注释!$A:$H,8,FALSE)</f>
        <v>-1.48712</v>
      </c>
    </row>
    <row r="502" spans="1:2" x14ac:dyDescent="0.2">
      <c r="A502" t="s">
        <v>977</v>
      </c>
      <c r="B502">
        <f>VLOOKUP($A502,[4]加注释!$A:$H,8,FALSE)</f>
        <v>-1.28731</v>
      </c>
    </row>
    <row r="503" spans="1:2" x14ac:dyDescent="0.2">
      <c r="A503" t="s">
        <v>978</v>
      </c>
      <c r="B503">
        <f>VLOOKUP($A503,[4]加注释!$A:$H,8,FALSE)</f>
        <v>-1.1622399999999999</v>
      </c>
    </row>
    <row r="504" spans="1:2" x14ac:dyDescent="0.2">
      <c r="A504" t="s">
        <v>984</v>
      </c>
      <c r="B504">
        <f>VLOOKUP($A504,[4]加注释!$A:$H,8,FALSE)</f>
        <v>-1.09598</v>
      </c>
    </row>
    <row r="505" spans="1:2" x14ac:dyDescent="0.2">
      <c r="A505" t="s">
        <v>987</v>
      </c>
      <c r="B505">
        <f>VLOOKUP($A505,[4]加注释!$A:$H,8,FALSE)</f>
        <v>-1.29488</v>
      </c>
    </row>
    <row r="506" spans="1:2" x14ac:dyDescent="0.2">
      <c r="A506" t="s">
        <v>993</v>
      </c>
      <c r="B506">
        <f>VLOOKUP($A506,[4]加注释!$A:$H,8,FALSE)</f>
        <v>-1.03095</v>
      </c>
    </row>
    <row r="507" spans="1:2" x14ac:dyDescent="0.2">
      <c r="A507" t="s">
        <v>1440</v>
      </c>
      <c r="B507">
        <f>VLOOKUP($A507,[4]加注释!$A:$H,8,FALSE)</f>
        <v>-1.76631</v>
      </c>
    </row>
    <row r="508" spans="1:2" x14ac:dyDescent="0.2">
      <c r="A508" t="s">
        <v>1000</v>
      </c>
      <c r="B508">
        <f>VLOOKUP($A508,[4]加注释!$A:$H,8,FALSE)</f>
        <v>-1.54447</v>
      </c>
    </row>
    <row r="509" spans="1:2" x14ac:dyDescent="0.2">
      <c r="A509" t="s">
        <v>1002</v>
      </c>
      <c r="B509">
        <f>VLOOKUP($A509,[4]加注释!$A:$H,8,FALSE)</f>
        <v>-1.4427300000000001</v>
      </c>
    </row>
    <row r="510" spans="1:2" x14ac:dyDescent="0.2">
      <c r="A510" t="s">
        <v>1441</v>
      </c>
      <c r="B510">
        <f>VLOOKUP($A510,[4]加注释!$A:$H,8,FALSE)</f>
        <v>1.5003200000000001</v>
      </c>
    </row>
    <row r="511" spans="1:2" x14ac:dyDescent="0.2">
      <c r="A511" t="s">
        <v>1442</v>
      </c>
      <c r="B511">
        <f>VLOOKUP($A511,[4]加注释!$A:$H,8,FALSE)</f>
        <v>1.54345</v>
      </c>
    </row>
    <row r="512" spans="1:2" x14ac:dyDescent="0.2">
      <c r="A512" t="s">
        <v>1011</v>
      </c>
      <c r="B512">
        <f>VLOOKUP($A512,[4]加注释!$A:$H,8,FALSE)</f>
        <v>1.12466</v>
      </c>
    </row>
    <row r="513" spans="1:2" x14ac:dyDescent="0.2">
      <c r="A513" t="s">
        <v>1012</v>
      </c>
      <c r="B513">
        <f>VLOOKUP($A513,[4]加注释!$A:$H,8,FALSE)</f>
        <v>-1.0987100000000001</v>
      </c>
    </row>
    <row r="514" spans="1:2" x14ac:dyDescent="0.2">
      <c r="A514" t="s">
        <v>1016</v>
      </c>
      <c r="B514">
        <f>VLOOKUP($A514,[4]加注释!$A:$H,8,FALSE)</f>
        <v>-1.35568</v>
      </c>
    </row>
    <row r="515" spans="1:2" x14ac:dyDescent="0.2">
      <c r="A515" t="s">
        <v>1017</v>
      </c>
      <c r="B515">
        <f>VLOOKUP($A515,[4]加注释!$A:$H,8,FALSE)</f>
        <v>-1.8392200000000001</v>
      </c>
    </row>
    <row r="516" spans="1:2" x14ac:dyDescent="0.2">
      <c r="A516" t="s">
        <v>1019</v>
      </c>
      <c r="B516">
        <f>VLOOKUP($A516,[4]加注释!$A:$H,8,FALSE)</f>
        <v>-1.7755399999999999</v>
      </c>
    </row>
    <row r="517" spans="1:2" x14ac:dyDescent="0.2">
      <c r="A517" t="s">
        <v>1025</v>
      </c>
      <c r="B517">
        <f>VLOOKUP($A517,[4]加注释!$A:$H,8,FALSE)</f>
        <v>-1.1730700000000001</v>
      </c>
    </row>
    <row r="518" spans="1:2" x14ac:dyDescent="0.2">
      <c r="A518" t="s">
        <v>1445</v>
      </c>
      <c r="B518">
        <f>VLOOKUP($A518,[4]加注释!$A:$H,8,FALSE)</f>
        <v>1.20373</v>
      </c>
    </row>
    <row r="519" spans="1:2" x14ac:dyDescent="0.2">
      <c r="A519" t="s">
        <v>1028</v>
      </c>
      <c r="B519">
        <f>VLOOKUP($A519,[4]加注释!$A:$H,8,FALSE)</f>
        <v>-1.67289</v>
      </c>
    </row>
    <row r="520" spans="1:2" x14ac:dyDescent="0.2">
      <c r="A520" t="s">
        <v>1446</v>
      </c>
      <c r="B520">
        <f>VLOOKUP($A520,[4]加注释!$A:$H,8,FALSE)</f>
        <v>-1.30121</v>
      </c>
    </row>
    <row r="521" spans="1:2" x14ac:dyDescent="0.2">
      <c r="A521" t="s">
        <v>1447</v>
      </c>
      <c r="B521">
        <f>VLOOKUP($A521,[4]加注释!$A:$H,8,FALSE)</f>
        <v>-1.82589</v>
      </c>
    </row>
    <row r="522" spans="1:2" x14ac:dyDescent="0.2">
      <c r="A522" t="s">
        <v>1030</v>
      </c>
      <c r="B522">
        <f>VLOOKUP($A522,[4]加注释!$A:$H,8,FALSE)</f>
        <v>-1.37998</v>
      </c>
    </row>
    <row r="523" spans="1:2" x14ac:dyDescent="0.2">
      <c r="A523" t="s">
        <v>1448</v>
      </c>
      <c r="B523">
        <f>VLOOKUP($A523,[4]加注释!$A:$H,8,FALSE)</f>
        <v>-1.59721</v>
      </c>
    </row>
    <row r="524" spans="1:2" x14ac:dyDescent="0.2">
      <c r="A524" t="s">
        <v>1033</v>
      </c>
      <c r="B524">
        <f>VLOOKUP($A524,[4]加注释!$A:$H,8,FALSE)</f>
        <v>-1.2270300000000001</v>
      </c>
    </row>
    <row r="525" spans="1:2" x14ac:dyDescent="0.2">
      <c r="A525" t="s">
        <v>1036</v>
      </c>
      <c r="B525">
        <f>VLOOKUP($A525,[4]加注释!$A:$H,8,FALSE)</f>
        <v>-2.27258</v>
      </c>
    </row>
    <row r="526" spans="1:2" x14ac:dyDescent="0.2">
      <c r="A526" t="s">
        <v>1038</v>
      </c>
      <c r="B526">
        <f>VLOOKUP($A526,[4]加注释!$A:$H,8,FALSE)</f>
        <v>1.1140099999999999</v>
      </c>
    </row>
    <row r="527" spans="1:2" x14ac:dyDescent="0.2">
      <c r="A527" t="s">
        <v>1040</v>
      </c>
      <c r="B527">
        <f>VLOOKUP($A527,[4]加注释!$A:$H,8,FALSE)</f>
        <v>-2.1719200000000001</v>
      </c>
    </row>
    <row r="528" spans="1:2" x14ac:dyDescent="0.2">
      <c r="A528" t="s">
        <v>1042</v>
      </c>
      <c r="B528">
        <f>VLOOKUP($A528,[4]加注释!$A:$H,8,FALSE)</f>
        <v>-2.03146</v>
      </c>
    </row>
    <row r="529" spans="1:2" x14ac:dyDescent="0.2">
      <c r="A529" t="s">
        <v>1046</v>
      </c>
      <c r="B529">
        <f>VLOOKUP($A529,[4]加注释!$A:$H,8,FALSE)</f>
        <v>-3.94313</v>
      </c>
    </row>
    <row r="530" spans="1:2" x14ac:dyDescent="0.2">
      <c r="A530" t="s">
        <v>1050</v>
      </c>
      <c r="B530">
        <f>VLOOKUP($A530,[4]加注释!$A:$H,8,FALSE)</f>
        <v>-1.3895599999999999</v>
      </c>
    </row>
    <row r="531" spans="1:2" x14ac:dyDescent="0.2">
      <c r="A531" t="s">
        <v>1450</v>
      </c>
      <c r="B531">
        <f>VLOOKUP($A531,[4]加注释!$A:$H,8,FALSE)</f>
        <v>-1.79068</v>
      </c>
    </row>
    <row r="532" spans="1:2" x14ac:dyDescent="0.2">
      <c r="A532" t="s">
        <v>1451</v>
      </c>
      <c r="B532" t="e">
        <f>VLOOKUP($A532,[4]加注释!$A:$H,8,FALSE)</f>
        <v>#NAME?</v>
      </c>
    </row>
    <row r="533" spans="1:2" x14ac:dyDescent="0.2">
      <c r="A533" t="s">
        <v>1452</v>
      </c>
      <c r="B533" t="str">
        <f>VLOOKUP($A533,[4]加注释!$A:$H,8,FALSE)</f>
        <v>inf</v>
      </c>
    </row>
    <row r="534" spans="1:2" x14ac:dyDescent="0.2">
      <c r="A534" t="s">
        <v>1056</v>
      </c>
      <c r="B534">
        <f>VLOOKUP($A534,[4]加注释!$A:$H,8,FALSE)</f>
        <v>-3.87399</v>
      </c>
    </row>
    <row r="535" spans="1:2" x14ac:dyDescent="0.2">
      <c r="A535" t="s">
        <v>1061</v>
      </c>
      <c r="B535">
        <f>VLOOKUP($A535,[4]加注释!$A:$H,8,FALSE)</f>
        <v>-1.0033000000000001</v>
      </c>
    </row>
    <row r="536" spans="1:2" x14ac:dyDescent="0.2">
      <c r="A536" t="s">
        <v>1062</v>
      </c>
      <c r="B536">
        <f>VLOOKUP($A536,[4]加注释!$A:$H,8,FALSE)</f>
        <v>1.1352899999999999</v>
      </c>
    </row>
    <row r="537" spans="1:2" x14ac:dyDescent="0.2">
      <c r="A537" t="s">
        <v>1065</v>
      </c>
      <c r="B537">
        <f>VLOOKUP($A537,[4]加注释!$A:$H,8,FALSE)</f>
        <v>-1.9025399999999999</v>
      </c>
    </row>
    <row r="538" spans="1:2" x14ac:dyDescent="0.2">
      <c r="A538" t="s">
        <v>1066</v>
      </c>
      <c r="B538">
        <f>VLOOKUP($A538,[4]加注释!$A:$H,8,FALSE)</f>
        <v>-3.9738099999999998</v>
      </c>
    </row>
    <row r="539" spans="1:2" x14ac:dyDescent="0.2">
      <c r="A539" t="s">
        <v>1455</v>
      </c>
      <c r="B539">
        <f>VLOOKUP($A539,[4]加注释!$A:$H,8,FALSE)</f>
        <v>-1.0079800000000001</v>
      </c>
    </row>
    <row r="540" spans="1:2" x14ac:dyDescent="0.2">
      <c r="A540" t="s">
        <v>1456</v>
      </c>
      <c r="B540">
        <f>VLOOKUP($A540,[4]加注释!$A:$H,8,FALSE)</f>
        <v>2.59253</v>
      </c>
    </row>
    <row r="541" spans="1:2" x14ac:dyDescent="0.2">
      <c r="A541" t="s">
        <v>1458</v>
      </c>
      <c r="B541">
        <f>VLOOKUP($A541,[4]加注释!$A:$H,8,FALSE)</f>
        <v>-2.7965599999999999</v>
      </c>
    </row>
    <row r="542" spans="1:2" x14ac:dyDescent="0.2">
      <c r="A542" t="s">
        <v>1459</v>
      </c>
      <c r="B542">
        <f>VLOOKUP($A542,[4]加注释!$A:$H,8,FALSE)</f>
        <v>-1.2822</v>
      </c>
    </row>
    <row r="543" spans="1:2" x14ac:dyDescent="0.2">
      <c r="A543" t="s">
        <v>1073</v>
      </c>
      <c r="B543">
        <f>VLOOKUP($A543,[4]加注释!$A:$H,8,FALSE)</f>
        <v>-1.01309</v>
      </c>
    </row>
    <row r="544" spans="1:2" x14ac:dyDescent="0.2">
      <c r="A544" t="s">
        <v>1080</v>
      </c>
      <c r="B544">
        <f>VLOOKUP($A544,[4]加注释!$A:$H,8,FALSE)</f>
        <v>-1.05983</v>
      </c>
    </row>
    <row r="545" spans="1:2" x14ac:dyDescent="0.2">
      <c r="A545" t="s">
        <v>1081</v>
      </c>
      <c r="B545">
        <f>VLOOKUP($A545,[4]加注释!$A:$H,8,FALSE)</f>
        <v>-1.2163999999999999</v>
      </c>
    </row>
    <row r="546" spans="1:2" x14ac:dyDescent="0.2">
      <c r="A546" t="s">
        <v>1460</v>
      </c>
      <c r="B546">
        <f>VLOOKUP($A546,[4]加注释!$A:$H,8,FALSE)</f>
        <v>-1.5323899999999999</v>
      </c>
    </row>
    <row r="547" spans="1:2" x14ac:dyDescent="0.2">
      <c r="A547" t="s">
        <v>1461</v>
      </c>
      <c r="B547">
        <f>VLOOKUP($A547,[4]加注释!$A:$H,8,FALSE)</f>
        <v>2.2045499999999998</v>
      </c>
    </row>
    <row r="548" spans="1:2" x14ac:dyDescent="0.2">
      <c r="A548" t="s">
        <v>1086</v>
      </c>
      <c r="B548" t="str">
        <f>VLOOKUP($A548,[4]加注释!$A:$H,8,FALSE)</f>
        <v>inf</v>
      </c>
    </row>
    <row r="549" spans="1:2" x14ac:dyDescent="0.2">
      <c r="A549" t="s">
        <v>1087</v>
      </c>
      <c r="B549">
        <f>VLOOKUP($A549,[4]加注释!$A:$H,8,FALSE)</f>
        <v>1.7352799999999999</v>
      </c>
    </row>
    <row r="550" spans="1:2" x14ac:dyDescent="0.2">
      <c r="A550" t="s">
        <v>1088</v>
      </c>
      <c r="B550">
        <f>VLOOKUP($A550,[4]加注释!$A:$H,8,FALSE)</f>
        <v>-1.1022700000000001</v>
      </c>
    </row>
    <row r="551" spans="1:2" x14ac:dyDescent="0.2">
      <c r="A551" t="s">
        <v>1093</v>
      </c>
      <c r="B551">
        <f>VLOOKUP($A551,[4]加注释!$A:$H,8,FALSE)</f>
        <v>2.29976</v>
      </c>
    </row>
    <row r="552" spans="1:2" x14ac:dyDescent="0.2">
      <c r="A552" t="s">
        <v>1094</v>
      </c>
      <c r="B552">
        <f>VLOOKUP($A552,[4]加注释!$A:$H,8,FALSE)</f>
        <v>-1.0410299999999999</v>
      </c>
    </row>
    <row r="553" spans="1:2" x14ac:dyDescent="0.2">
      <c r="A553" t="s">
        <v>1462</v>
      </c>
      <c r="B553">
        <f>VLOOKUP($A553,[4]加注释!$A:$H,8,FALSE)</f>
        <v>-1.2324200000000001</v>
      </c>
    </row>
    <row r="554" spans="1:2" x14ac:dyDescent="0.2">
      <c r="A554" t="s">
        <v>1098</v>
      </c>
      <c r="B554">
        <f>VLOOKUP($A554,[4]加注释!$A:$H,8,FALSE)</f>
        <v>-3.2585299999999999</v>
      </c>
    </row>
    <row r="555" spans="1:2" x14ac:dyDescent="0.2">
      <c r="A555" t="s">
        <v>1099</v>
      </c>
      <c r="B555">
        <f>VLOOKUP($A555,[4]加注释!$A:$H,8,FALSE)</f>
        <v>1.3385800000000001</v>
      </c>
    </row>
    <row r="556" spans="1:2" x14ac:dyDescent="0.2">
      <c r="A556" t="s">
        <v>1463</v>
      </c>
      <c r="B556">
        <f>VLOOKUP($A556,[4]加注释!$A:$H,8,FALSE)</f>
        <v>1.0231699999999999</v>
      </c>
    </row>
    <row r="557" spans="1:2" x14ac:dyDescent="0.2">
      <c r="A557" t="s">
        <v>1103</v>
      </c>
      <c r="B557">
        <f>VLOOKUP($A557,[4]加注释!$A:$H,8,FALSE)</f>
        <v>1.09822</v>
      </c>
    </row>
    <row r="558" spans="1:2" x14ac:dyDescent="0.2">
      <c r="A558" t="s">
        <v>1465</v>
      </c>
      <c r="B558">
        <f>VLOOKUP($A558,[4]加注释!$A:$H,8,FALSE)</f>
        <v>-1.96733</v>
      </c>
    </row>
    <row r="559" spans="1:2" x14ac:dyDescent="0.2">
      <c r="A559" t="s">
        <v>1107</v>
      </c>
      <c r="B559">
        <f>VLOOKUP($A559,[4]加注释!$A:$H,8,FALSE)</f>
        <v>-1.2734399999999999</v>
      </c>
    </row>
    <row r="560" spans="1:2" x14ac:dyDescent="0.2">
      <c r="A560" t="s">
        <v>1467</v>
      </c>
      <c r="B560">
        <f>VLOOKUP($A560,[4]加注释!$A:$H,8,FALSE)</f>
        <v>1.06725</v>
      </c>
    </row>
    <row r="561" spans="1:2" x14ac:dyDescent="0.2">
      <c r="A561" t="s">
        <v>1469</v>
      </c>
      <c r="B561">
        <f>VLOOKUP($A561,[4]加注释!$A:$H,8,FALSE)</f>
        <v>-1.2730600000000001</v>
      </c>
    </row>
    <row r="562" spans="1:2" x14ac:dyDescent="0.2">
      <c r="A562" t="s">
        <v>1470</v>
      </c>
      <c r="B562">
        <f>VLOOKUP($A562,[4]加注释!$A:$H,8,FALSE)</f>
        <v>1.6714800000000001</v>
      </c>
    </row>
    <row r="563" spans="1:2" x14ac:dyDescent="0.2">
      <c r="A563" t="s">
        <v>1119</v>
      </c>
      <c r="B563">
        <f>VLOOKUP($A563,[4]加注释!$A:$H,8,FALSE)</f>
        <v>1.5061899999999999</v>
      </c>
    </row>
    <row r="564" spans="1:2" x14ac:dyDescent="0.2">
      <c r="A564" t="s">
        <v>1471</v>
      </c>
      <c r="B564">
        <f>VLOOKUP($A564,[4]加注释!$A:$H,8,FALSE)</f>
        <v>1.35267</v>
      </c>
    </row>
    <row r="565" spans="1:2" x14ac:dyDescent="0.2">
      <c r="A565" t="s">
        <v>1472</v>
      </c>
      <c r="B565">
        <f>VLOOKUP($A565,[4]加注释!$A:$H,8,FALSE)</f>
        <v>1.0131399999999999</v>
      </c>
    </row>
    <row r="566" spans="1:2" x14ac:dyDescent="0.2">
      <c r="A566" t="s">
        <v>1120</v>
      </c>
      <c r="B566">
        <f>VLOOKUP($A566,[4]加注释!$A:$H,8,FALSE)</f>
        <v>1.6927399999999999</v>
      </c>
    </row>
    <row r="567" spans="1:2" x14ac:dyDescent="0.2">
      <c r="A567" t="s">
        <v>1123</v>
      </c>
      <c r="B567">
        <f>VLOOKUP($A567,[4]加注释!$A:$H,8,FALSE)</f>
        <v>-1.4361699999999999</v>
      </c>
    </row>
    <row r="568" spans="1:2" x14ac:dyDescent="0.2">
      <c r="A568" t="s">
        <v>1473</v>
      </c>
      <c r="B568" t="e">
        <f>VLOOKUP($A568,[4]加注释!$A:$H,8,FALSE)</f>
        <v>#NAME?</v>
      </c>
    </row>
    <row r="569" spans="1:2" x14ac:dyDescent="0.2">
      <c r="A569" t="s">
        <v>1474</v>
      </c>
      <c r="B569">
        <f>VLOOKUP($A569,[4]加注释!$A:$H,8,FALSE)</f>
        <v>-1.0659700000000001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3.XLSX</DocumentId>
    <FileFormat xmlns="c9a61552-4ef7-4f28-96d6-ad85a0258266">XLSX</FileFormat>
    <IsDeleted xmlns="c9a61552-4ef7-4f28-96d6-ad85a0258266">false</IsDeleted>
    <TitleName xmlns="c9a61552-4ef7-4f28-96d6-ad85a0258266">Table 3.XLSX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9659B7B1-087D-4D86-B43C-F34356F3C63F}"/>
</file>

<file path=customXml/itemProps2.xml><?xml version="1.0" encoding="utf-8"?>
<ds:datastoreItem xmlns:ds="http://schemas.openxmlformats.org/officeDocument/2006/customXml" ds:itemID="{FDA06620-568E-4DFA-9992-1CE2835885D1}"/>
</file>

<file path=customXml/itemProps3.xml><?xml version="1.0" encoding="utf-8"?>
<ds:datastoreItem xmlns:ds="http://schemas.openxmlformats.org/officeDocument/2006/customXml" ds:itemID="{71ACBF08-290C-4773-AB4B-6E3DA63A1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B73 and Mo17</vt:lpstr>
      <vt:lpstr>B73 6 h</vt:lpstr>
      <vt:lpstr>B73 24 h</vt:lpstr>
      <vt:lpstr>Mo17 6 h</vt:lpstr>
      <vt:lpstr>Mo17 24 h</vt:lpstr>
      <vt:lpstr>up-regulated in B73 6 h</vt:lpstr>
      <vt:lpstr>up-regulated in B73 24 h</vt:lpstr>
      <vt:lpstr>up-regulated in Mo17 6 h</vt:lpstr>
      <vt:lpstr>up-regulated in Mo17 24 h</vt:lpstr>
      <vt:lpstr>down-regulated in B73 6h</vt:lpstr>
      <vt:lpstr>down-regulated in B73 24 h</vt:lpstr>
      <vt:lpstr>down-regulated in Mo17 6 h</vt:lpstr>
      <vt:lpstr>down-regulated in Mo17 24 h</vt:lpstr>
      <vt:lpstr>B73 Mo17 6 h</vt:lpstr>
      <vt:lpstr>B73 Mo17 24 h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2015-11-07T12:16:25Z</dcterms:created>
  <dcterms:modified xsi:type="dcterms:W3CDTF">2017-04-06T02:24:25Z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0x0101006670156C8ACEF944B083A200EE5CE9F0</vt:lpwstr>
  </property>
</Properties>
</file>